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0"/>
  <workbookPr codeName="ThisWorkbook"/>
  <mc:AlternateContent xmlns:mc="http://schemas.openxmlformats.org/markup-compatibility/2006">
    <mc:Choice Requires="x15">
      <x15ac:absPath xmlns:x15ac="http://schemas.microsoft.com/office/spreadsheetml/2010/11/ac" url="Q:\קופות גמל\חשבות\קל גמל\דוחות\רשימות נכסים רבעוניות\2024\רבעון 3\דוח סופי\"/>
    </mc:Choice>
  </mc:AlternateContent>
  <xr:revisionPtr revIDLastSave="0" documentId="13_ncr:1_{92DF942C-6797-49D9-8769-B50914F907F1}" xr6:coauthVersionLast="36" xr6:coauthVersionMax="36" xr10:uidLastSave="{00000000-0000-0000-0000-000000000000}"/>
  <bookViews>
    <workbookView xWindow="0" yWindow="0" windowWidth="20430" windowHeight="8370" tabRatio="840" firstSheet="21" activeTab="30" xr2:uid="{00000000-000D-0000-FFFF-FFFF00000000}"/>
  </bookViews>
  <sheets>
    <sheet name="עמוד פתיחה" sheetId="38" r:id="rId1"/>
    <sheet name="סכום נכסים" sheetId="2" r:id="rId2"/>
    <sheet name="מזומנים ושווי מזומנים" sheetId="3" r:id="rId3"/>
    <sheet name="איגרות חוב ממשלתיות" sheetId="4" r:id="rId4"/>
    <sheet name="ניירות ערך מסחריים" sheetId="5" r:id="rId5"/>
    <sheet name="איגרות חוב" sheetId="6" r:id="rId6"/>
    <sheet name="מניות מבכ ויהש" sheetId="7" r:id="rId7"/>
    <sheet name="קרנות סל" sheetId="8" r:id="rId8"/>
    <sheet name="קרנות נאמנות" sheetId="9" r:id="rId9"/>
    <sheet name="כתבי אופציה" sheetId="10" r:id="rId10"/>
    <sheet name="אופציות" sheetId="11" r:id="rId11"/>
    <sheet name="חוזים עתידיים" sheetId="12" r:id="rId12"/>
    <sheet name="מוצרים מובנים" sheetId="13" r:id="rId13"/>
    <sheet name="לא סחיר איגרות חוב ממשלתיות" sheetId="14" r:id="rId14"/>
    <sheet name="לא סחיר איגרות חוב מיועדות" sheetId="15" r:id="rId15"/>
    <sheet name="אפיק השקעה מובטח תשואה" sheetId="48" r:id="rId16"/>
    <sheet name="לא סחיר ניירות ערך מסחריים" sheetId="16" r:id="rId17"/>
    <sheet name="לא סחיר איגרות חוב" sheetId="17" r:id="rId18"/>
    <sheet name="לא סחיר מניות מבכ ויהש" sheetId="18" r:id="rId19"/>
    <sheet name="קרנות השקעה" sheetId="19" r:id="rId20"/>
    <sheet name="לא סחיר כתבי אופציה" sheetId="20" r:id="rId21"/>
    <sheet name="לא סחיר אופציות" sheetId="21" r:id="rId22"/>
    <sheet name="לא סחיר נגזרים אחרים" sheetId="40" r:id="rId23"/>
    <sheet name="הלוואות" sheetId="23" r:id="rId24"/>
    <sheet name="לא סחיר מוצרים מובנים" sheetId="24" r:id="rId25"/>
    <sheet name="פיקדונות מעל 3 חודשים" sheetId="25" r:id="rId26"/>
    <sheet name="זכויות מקרקעין" sheetId="26" r:id="rId27"/>
    <sheet name="השקעה בחברות מוחזקות" sheetId="27" r:id="rId28"/>
    <sheet name="נכסים אחרים" sheetId="28" r:id="rId29"/>
    <sheet name="מסגרות אשראי" sheetId="29" r:id="rId30"/>
    <sheet name="יתרות התחייבות להשקעה" sheetId="47" r:id="rId31"/>
    <sheet name="אפשרויות בחירה" sheetId="49" r:id="rId32"/>
    <sheet name="מיפוי סעיפים" sheetId="58" r:id="rId33"/>
    <sheet name="File Name Info" sheetId="41" state="hidden" r:id="rId34"/>
  </sheets>
  <externalReferences>
    <externalReference r:id="rId35"/>
    <externalReference r:id="rId36"/>
  </externalReferences>
  <definedNames>
    <definedName name="_xlnm._FilterDatabase" localSheetId="31" hidden="1">'אפשרויות בחירה'!$A$1:$D$1040</definedName>
    <definedName name="_xlnm._FilterDatabase" localSheetId="2" hidden="1">'מזומנים ושווי מזומנים'!$A$1:$Q$71</definedName>
    <definedName name="_xlnm._FilterDatabase" localSheetId="32" hidden="1">'מיפוי סעיפים'!$A$1:$D$795</definedName>
    <definedName name="_xlnm._FilterDatabase" localSheetId="7" hidden="1">'קרנות סל'!$A$1:$W$220</definedName>
    <definedName name="Additional_Factor">'אפשרויות בחירה'!$C$701:$C$850</definedName>
    <definedName name="Amoritization">'אפשרויות בחירה'!$C$546:$C$550</definedName>
    <definedName name="Capsule">'אפשרויות בחירה'!$C$926:$C$928</definedName>
    <definedName name="Company_Name">'File Name Info'!$A$34:$A$120</definedName>
    <definedName name="Company_Name_ID">'File Name Info'!$A$34:$B$120</definedName>
    <definedName name="Consortium">'אפשרויות בחירה'!$C$514:$C$515</definedName>
    <definedName name="Country_list">'אפשרויות בחירה'!$C$4:$C$85</definedName>
    <definedName name="Country_list_funds">'אפשרויות בחירה'!$C$4:$C$103</definedName>
    <definedName name="CSA">'אפשרויות בחירה'!$C$688:$C$689</definedName>
    <definedName name="Delivery">'אפשרויות בחירה'!$C$666:$C$667</definedName>
    <definedName name="Dependence_Independence">'אפשרויות בחירה'!$C$654:$C$655</definedName>
    <definedName name="Duration_Underlying_Interest_Rate">'אפשרויות בחירה'!$C$680:$C$687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בחירה'!$C$597:$C$621</definedName>
    <definedName name="Fund_type">'אפשרויות בחירה'!$C$328:$C$498</definedName>
    <definedName name="Holding_interest">'אפשרויות בחירה'!$C$146:$C$147</definedName>
    <definedName name="In_the_books">'אפשרויות בחירה'!$C$656:$C$657</definedName>
    <definedName name="Industry_Sector">'אפשרויות בחירה'!$C$1129:$C$1245</definedName>
    <definedName name="Industry_sector_all">'אפשרויות בחירה'!$C$202:$C$327</definedName>
    <definedName name="Industry_sectors">'אפשרויות בחירה'!$C$202:$C$327</definedName>
    <definedName name="israel_abroad">'אפשרויות בחירה'!$C$2:$C$3</definedName>
    <definedName name="Issuer_Number_Banks">'אפשרויות בחירה'!$C$111:$C$113</definedName>
    <definedName name="Issuer_Number_Fund">'אפשרויות בחירה'!$C$114:$C$117</definedName>
    <definedName name="issuer_number_loan">'אפשרויות בחירה'!$C$118:$C$126</definedName>
    <definedName name="Issuer_Number_Type">'אפשרויות בחירה'!$C$104:$C$110</definedName>
    <definedName name="Issuer_Number_Type_2">'אפשרויות בחירה'!$C$1076:$C$1079</definedName>
    <definedName name="Issuer_Number_Type_3">'אפשרויות בחירה'!$C$1081:$C$1085</definedName>
    <definedName name="Issuer_Number_Type_V2" localSheetId="31">'אפשרויות בחירה'!$C$104:$C$110</definedName>
    <definedName name="Issuer_Type_TFunds">'אפשרויות בחירה'!$C$1087:$C$1089</definedName>
    <definedName name="Leading_factor">'אפשרויות בחירה'!$C$692:$C$700</definedName>
    <definedName name="Linked_Type">'אפשרויות בחירה'!$C$516:$C$519</definedName>
    <definedName name="other_investments">'אפשרויות בחירה'!$C$1000:$C$1033</definedName>
    <definedName name="Penalty">'אפשרויות בחירה'!$C$851:$C$852</definedName>
    <definedName name="QTR">'File Name Info'!$A$15:$A$19</definedName>
    <definedName name="Rating_Agency">'אפשרויות בחירה'!$C$188:$C$201</definedName>
    <definedName name="real_estate_lifestage">'אפשרויות בחירה'!$C$634:$C$642</definedName>
    <definedName name="real_estate_loans">'אפשרויות בחירה'!$C$553:$C$591</definedName>
    <definedName name="Real_Estate_Main_Use">'אפשרויות בחירה'!$C$622:$C$633</definedName>
    <definedName name="Recourse_Nonrecourse">'אפשרויות בחירה'!$C$544:$C$545</definedName>
    <definedName name="Repayment_Rights">'אפשרויות בחירה'!$C$551:$C$552</definedName>
    <definedName name="Reset_frequency">'אפשרויות בחירה'!$C$658:$C$665</definedName>
    <definedName name="Security_ID_Number_Type">'אפשרויות בחירה'!$C$1113:$C$1116</definedName>
    <definedName name="Security_Number_Loans" localSheetId="31">'אפשרויות בחירה'!$C$131</definedName>
    <definedName name="Stock_Exchange">'אפשרויות בחירה'!$C$1283:$C$1315</definedName>
    <definedName name="Stock_Exchange_Gov_Bonds">'אפשרויות בחירה'!$C$148:$C$181</definedName>
    <definedName name="Subordination_Risk">'אפשרויות בחירה'!$C$186:$C$187</definedName>
    <definedName name="Tradeable_Status">'אפשרויות בחירה'!$C$1272:$C$1281</definedName>
    <definedName name="Tradeable_Status_All">'אפשרויות בחירה'!$C$135:$C$145</definedName>
    <definedName name="tradeable_status_bonds">'אפשרויות בחירה'!$C$1248:$C$1253</definedName>
    <definedName name="tradeable_status_funds">'אפשרויות בחירה'!$C$1118:$C$1119</definedName>
    <definedName name="tradeable_status_stock">'אפשרויות בחירה'!$C$1255:$C$1259</definedName>
    <definedName name="Tradeable_Status_v2">'אפשרויות בחירה'!$C$1121:$C$1126</definedName>
    <definedName name="tradeable_status_warrants">'אפשרויות בחירה'!$C$1261:$C$1265</definedName>
    <definedName name="tradeable_status_warrants_v2">'אפשרויות בחירה'!$C$1267:$C$1269</definedName>
    <definedName name="Transaction" localSheetId="31">'אפשרויות בחירה'!$C$643:$C$646</definedName>
    <definedName name="Type">'File Name Info'!$A$2:$A$8</definedName>
    <definedName name="Type_of_Interest_Rate">'אפשרויות בחירה'!$C$592:$C$594</definedName>
    <definedName name="Type_of_Security">'אפשרויות בחירה'!$C$520:$C$543</definedName>
    <definedName name="Type_of_Security_ID">'אפשרויות בחירה'!$C$127:$C$131</definedName>
    <definedName name="Type_of_Security_ID_Fund">'אפשרויות בחירה'!$C$132:$C$134</definedName>
    <definedName name="Type_of_Security_ID_V2" localSheetId="31">'אפשרויות בחירה'!$C$127:$C$131</definedName>
    <definedName name="Underlying_Asset">'אפשרויות בחירה'!$C$499:$C$513</definedName>
    <definedName name="Underlying_Asset_Structured">'אפשרויות בחירה'!$C$1094:$C$1105</definedName>
    <definedName name="Underlying_Interest_Rates">'אפשרויות בחירה'!$C$668:$C$679</definedName>
    <definedName name="Underlying_Interest_Rates_Der" localSheetId="31">'אפשרויות בחירה'!$C$670:$C$679</definedName>
    <definedName name="Valuation">'אפשרויות בחירה'!$C$649:$C$653</definedName>
    <definedName name="Valuation_Loans">'אפשרויות בחירה'!$C$1091:$C$1092</definedName>
    <definedName name="Valuation_Method">'אפשרויות בחירה'!$C$643:$C$648</definedName>
    <definedName name="Valuation_Realestate">'אפשרויות בחירה'!$C$1108:$C$1111</definedName>
    <definedName name="What_is_rated">'אפשרויות בחירה'!$C$182:$C$185</definedName>
    <definedName name="what_is_rated_loans">'אפשרויות בחירה'!$C$183:$C$185</definedName>
    <definedName name="YEAR">'File Name Info'!$A$21:$A$31</definedName>
    <definedName name="Yes_No_Bad_Debt">'אפשרויות בחירה'!$C$595:$C$596</definedName>
    <definedName name="Z_AE318230_F718_49FC_82EB_7CAC3DCD05F1_.wvu.FilterData" localSheetId="2" hidden="1">'מזומנים ושווי מזומנים'!$A$1:$N$1</definedName>
    <definedName name="Z_AE318230_F718_49FC_82EB_7CAC3DCD05F1_.wvu.Rows" localSheetId="10" hidden="1">אופציות!#REF!</definedName>
    <definedName name="Z_AE318230_F718_49FC_82EB_7CAC3DCD05F1_.wvu.Rows" localSheetId="5" hidden="1">'איגרות חוב'!#REF!</definedName>
    <definedName name="Z_AE318230_F718_49FC_82EB_7CAC3DCD05F1_.wvu.Rows" localSheetId="3" hidden="1">'איגרות חוב ממשלתיות'!#REF!</definedName>
    <definedName name="Z_AE318230_F718_49FC_82EB_7CAC3DCD05F1_.wvu.Rows" localSheetId="15" hidden="1">'אפיק השקעה מובטח תשואה'!#REF!</definedName>
    <definedName name="Z_AE318230_F718_49FC_82EB_7CAC3DCD05F1_.wvu.Rows" localSheetId="27" hidden="1">'השקעה בחברות מוחזקות'!#REF!</definedName>
    <definedName name="Z_AE318230_F718_49FC_82EB_7CAC3DCD05F1_.wvu.Rows" localSheetId="26" hidden="1">'זכויות מקרקעין'!#REF!</definedName>
    <definedName name="Z_AE318230_F718_49FC_82EB_7CAC3DCD05F1_.wvu.Rows" localSheetId="11" hidden="1">'חוזים עתידיים'!#REF!</definedName>
    <definedName name="Z_AE318230_F718_49FC_82EB_7CAC3DCD05F1_.wvu.Rows" localSheetId="30" hidden="1">'יתרות התחייבות להשקעה'!#REF!</definedName>
    <definedName name="Z_AE318230_F718_49FC_82EB_7CAC3DCD05F1_.wvu.Rows" localSheetId="9" hidden="1">'כתבי אופציה'!#REF!</definedName>
    <definedName name="Z_AE318230_F718_49FC_82EB_7CAC3DCD05F1_.wvu.Rows" localSheetId="21" hidden="1">'לא סחיר אופציות'!#REF!</definedName>
    <definedName name="Z_AE318230_F718_49FC_82EB_7CAC3DCD05F1_.wvu.Rows" localSheetId="17" hidden="1">'לא סחיר איגרות חוב'!#REF!</definedName>
    <definedName name="Z_AE318230_F718_49FC_82EB_7CAC3DCD05F1_.wvu.Rows" localSheetId="14" hidden="1">'לא סחיר איגרות חוב מיועדות'!#REF!</definedName>
    <definedName name="Z_AE318230_F718_49FC_82EB_7CAC3DCD05F1_.wvu.Rows" localSheetId="13" hidden="1">'לא סחיר איגרות חוב ממשלתיות'!#REF!</definedName>
    <definedName name="Z_AE318230_F718_49FC_82EB_7CAC3DCD05F1_.wvu.Rows" localSheetId="20" hidden="1">'לא סחיר כתבי אופציה'!#REF!</definedName>
    <definedName name="Z_AE318230_F718_49FC_82EB_7CAC3DCD05F1_.wvu.Rows" localSheetId="24" hidden="1">'לא סחיר מוצרים מובנים'!#REF!</definedName>
    <definedName name="Z_AE318230_F718_49FC_82EB_7CAC3DCD05F1_.wvu.Rows" localSheetId="18" hidden="1">'לא סחיר מניות מבכ ויהש'!#REF!</definedName>
    <definedName name="Z_AE318230_F718_49FC_82EB_7CAC3DCD05F1_.wvu.Rows" localSheetId="16" hidden="1">'לא סחיר ניירות ערך מסחריים'!#REF!</definedName>
    <definedName name="Z_AE318230_F718_49FC_82EB_7CAC3DCD05F1_.wvu.Rows" localSheetId="12" hidden="1">'מוצרים מובנים'!#REF!</definedName>
    <definedName name="Z_AE318230_F718_49FC_82EB_7CAC3DCD05F1_.wvu.Rows" localSheetId="6" hidden="1">'מניות מבכ ויהש'!#REF!</definedName>
    <definedName name="Z_AE318230_F718_49FC_82EB_7CAC3DCD05F1_.wvu.Rows" localSheetId="29" hidden="1">'מסגרות אשראי'!#REF!</definedName>
    <definedName name="Z_AE318230_F718_49FC_82EB_7CAC3DCD05F1_.wvu.Rows" localSheetId="4" hidden="1">'ניירות ערך מסחריים'!#REF!</definedName>
    <definedName name="Z_AE318230_F718_49FC_82EB_7CAC3DCD05F1_.wvu.Rows" localSheetId="28" hidden="1">'נכסים אחרים'!#REF!</definedName>
    <definedName name="Z_AE318230_F718_49FC_82EB_7CAC3DCD05F1_.wvu.Rows" localSheetId="25" hidden="1">'פיקדונות מעל 3 חודשים'!#REF!</definedName>
    <definedName name="Z_AE318230_F718_49FC_82EB_7CAC3DCD05F1_.wvu.Rows" localSheetId="19" hidden="1">'קרנות השקעה'!#REF!</definedName>
    <definedName name="Z_AE318230_F718_49FC_82EB_7CAC3DCD05F1_.wvu.Rows" localSheetId="8" hidden="1">'קרנות נאמנות'!#REF!</definedName>
    <definedName name="Z_AE318230_F718_49FC_82EB_7CAC3DCD05F1_.wvu.Rows" localSheetId="7" hidden="1">'קרנות סל'!#REF!</definedName>
  </definedNames>
  <calcPr calcId="191029"/>
  <customWorkbookViews>
    <customWorkbookView name="נירית שימרון - Personal View" guid="{AE318230-F718-49FC-82EB-7CAC3DCD05F1}" mergeInterval="0" personalView="1" maximized="1" xWindow="-8" yWindow="-8" windowWidth="1696" windowHeight="1026" tabRatio="894" activeSheetId="3" showComments="commIndAndComment"/>
  </customWorkbookView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V4" i="9" l="1"/>
  <c r="V3" i="9"/>
  <c r="V2" i="9"/>
  <c r="B8" i="2" l="1"/>
  <c r="D30" i="2" l="1"/>
  <c r="C30" i="2"/>
  <c r="B24" i="2"/>
  <c r="B23" i="2"/>
  <c r="B20" i="2"/>
  <c r="B9" i="2"/>
  <c r="B7" i="2"/>
  <c r="B4" i="2"/>
  <c r="B3" i="2"/>
  <c r="D13" i="38"/>
  <c r="D15" i="38" s="1"/>
  <c r="B30" i="2" l="1"/>
  <c r="W3" i="9" l="1"/>
  <c r="W2" i="9"/>
  <c r="W4" i="9"/>
  <c r="E20" i="2"/>
  <c r="W10" i="8"/>
  <c r="E14" i="2"/>
  <c r="E21" i="2"/>
  <c r="E11" i="2"/>
  <c r="E13" i="2"/>
  <c r="E8" i="2"/>
  <c r="E3" i="2"/>
  <c r="E29" i="2"/>
  <c r="E19" i="2"/>
  <c r="E9" i="2"/>
  <c r="E24" i="2"/>
  <c r="E12" i="2"/>
  <c r="E27" i="2"/>
  <c r="E22" i="2"/>
  <c r="E17" i="2"/>
  <c r="E15" i="2"/>
  <c r="E16" i="2"/>
  <c r="E23" i="2"/>
  <c r="E4" i="2"/>
  <c r="E10" i="2"/>
  <c r="E5" i="2"/>
  <c r="E25" i="2"/>
  <c r="E18" i="2"/>
  <c r="E26" i="2"/>
  <c r="E6" i="2"/>
  <c r="E7" i="2"/>
  <c r="E28" i="2"/>
  <c r="E30" i="2" l="1"/>
</calcChain>
</file>

<file path=xl/sharedStrings.xml><?xml version="1.0" encoding="utf-8"?>
<sst xmlns="http://schemas.openxmlformats.org/spreadsheetml/2006/main" count="9349" uniqueCount="1731">
  <si>
    <t>מספר מסלול</t>
  </si>
  <si>
    <t>מאפיין עיקרי</t>
  </si>
  <si>
    <t>מספר מנפיק</t>
  </si>
  <si>
    <t xml:space="preserve">שם נייר ערך </t>
  </si>
  <si>
    <t>בעל  עניין/צד קשור</t>
  </si>
  <si>
    <t>זירת מסחר</t>
  </si>
  <si>
    <t>דירוג</t>
  </si>
  <si>
    <t xml:space="preserve">דירוג נייר הערך/המנפיק </t>
  </si>
  <si>
    <t>שם מדרג</t>
  </si>
  <si>
    <t>ענף מסחר</t>
  </si>
  <si>
    <t>נכס בסיס</t>
  </si>
  <si>
    <t>שער חליפין</t>
  </si>
  <si>
    <t>תאריך רכישה</t>
  </si>
  <si>
    <t>מח"מ</t>
  </si>
  <si>
    <t>שיעור ריבית</t>
  </si>
  <si>
    <t>שער נייר הערך</t>
  </si>
  <si>
    <t>תאריך שערוך אחרון</t>
  </si>
  <si>
    <t>שווי הוגן</t>
  </si>
  <si>
    <t>שיעור מערך נקוב מונפק</t>
  </si>
  <si>
    <t>שיעור מנכסי אפיק ההשקעה</t>
  </si>
  <si>
    <t>סוג בטוחה</t>
  </si>
  <si>
    <t>יעוד הלוואה</t>
  </si>
  <si>
    <t>שיעור יתרת המחויבות</t>
  </si>
  <si>
    <t>שער מימוש</t>
  </si>
  <si>
    <t>שימוש עיקרי בנכס</t>
  </si>
  <si>
    <t>כתובת הנכס</t>
  </si>
  <si>
    <t>השיטה שיושמה בדוח הכספי</t>
  </si>
  <si>
    <t>עלות מופחתת</t>
  </si>
  <si>
    <t>סוג מספר נייר ערך</t>
  </si>
  <si>
    <t>מספר נייר ערך</t>
  </si>
  <si>
    <t>שיעור מסך נכסי ההשקעה</t>
  </si>
  <si>
    <t>מזומנים ושווי מזומנים</t>
  </si>
  <si>
    <t>ניירות ערך מסחריים</t>
  </si>
  <si>
    <t>איגרות חוב</t>
  </si>
  <si>
    <t>קרנות סל</t>
  </si>
  <si>
    <t>קרנות נאמנות</t>
  </si>
  <si>
    <t>כתבי אופציה</t>
  </si>
  <si>
    <t>אופציות</t>
  </si>
  <si>
    <t>חוזים עתידיים</t>
  </si>
  <si>
    <t>מוצרים מובנים</t>
  </si>
  <si>
    <t>איגרות חוב ממשלתיות</t>
  </si>
  <si>
    <t>לא סחיר איגרות חוב ממשלתיות</t>
  </si>
  <si>
    <t>לא סחיר איגרות חוב מיועדות</t>
  </si>
  <si>
    <t>לא סחיר ניירות ערך מסחריים</t>
  </si>
  <si>
    <t>לא סחיר איגרות חוב</t>
  </si>
  <si>
    <t>קרנות השקעה</t>
  </si>
  <si>
    <t>לא סחיר כתבי אופציה</t>
  </si>
  <si>
    <t>לא סחיר אופציות</t>
  </si>
  <si>
    <t>הלוואות</t>
  </si>
  <si>
    <t>לא סחיר מוצרים מובנים</t>
  </si>
  <si>
    <t>פיקדונות מעל 3 חודשים</t>
  </si>
  <si>
    <t>זכויות מקרקעין</t>
  </si>
  <si>
    <t>נכסים אחרים</t>
  </si>
  <si>
    <t>ישראל</t>
  </si>
  <si>
    <t>חסום</t>
  </si>
  <si>
    <t>כן</t>
  </si>
  <si>
    <t>TASE - Tel Aviv Stock Exchange</t>
  </si>
  <si>
    <t>נייר ערך</t>
  </si>
  <si>
    <t>נדל"ן עבורו התקבלה ההלוואה</t>
  </si>
  <si>
    <t>אוסטריה</t>
  </si>
  <si>
    <t>מגורים (כולל דיור מוגן)</t>
  </si>
  <si>
    <t>חו"ל</t>
  </si>
  <si>
    <t>לא</t>
  </si>
  <si>
    <t>NYSE - New York Stock Exchange</t>
  </si>
  <si>
    <t>מנפיק</t>
  </si>
  <si>
    <t>S&amp;P מעלות</t>
  </si>
  <si>
    <t>ביוטכנולוגיה</t>
  </si>
  <si>
    <t>אוסטרליה</t>
  </si>
  <si>
    <t>משרדים</t>
  </si>
  <si>
    <t>השעיה</t>
  </si>
  <si>
    <t>מידרוג Moodys</t>
  </si>
  <si>
    <t>מכשור רפואי</t>
  </si>
  <si>
    <t>מט"ח</t>
  </si>
  <si>
    <t>מניות</t>
  </si>
  <si>
    <t>אזור תעלת פנמה</t>
  </si>
  <si>
    <t>מסחר</t>
  </si>
  <si>
    <t>ISIN</t>
  </si>
  <si>
    <t>JPX - Japan Exchange Group</t>
  </si>
  <si>
    <t>פנימי</t>
  </si>
  <si>
    <t>מדד המחירים לצרכן</t>
  </si>
  <si>
    <t>כלי רכב</t>
  </si>
  <si>
    <t>אזרביג'אן</t>
  </si>
  <si>
    <t>קניון</t>
  </si>
  <si>
    <t>AMEX - American Stock Exchange</t>
  </si>
  <si>
    <t>Moodys</t>
  </si>
  <si>
    <t>פארמה</t>
  </si>
  <si>
    <t>תזרים עמלות</t>
  </si>
  <si>
    <t>לוגיסטיקה ותעשייה</t>
  </si>
  <si>
    <t>OCC</t>
  </si>
  <si>
    <t>ADX - Abu Dhabi Securities Exchange</t>
  </si>
  <si>
    <t>AM Best</t>
  </si>
  <si>
    <t>חסכון עמיתים/מבוטחים</t>
  </si>
  <si>
    <t>איטליה</t>
  </si>
  <si>
    <t>מלונאות</t>
  </si>
  <si>
    <t>FIGI</t>
  </si>
  <si>
    <t>ASX -  Australian Securities Exchange</t>
  </si>
  <si>
    <t>S&amp;P</t>
  </si>
  <si>
    <t>מניות לרבות מדדי מניות</t>
  </si>
  <si>
    <t>משכנתאות או תיקי משכנתאות</t>
  </si>
  <si>
    <t>טיקר</t>
  </si>
  <si>
    <t>BOVESPA -  Brazilian Stock Exchange</t>
  </si>
  <si>
    <t>Fitch</t>
  </si>
  <si>
    <t>אחר</t>
  </si>
  <si>
    <t>ערבות בנקאית</t>
  </si>
  <si>
    <t>איי סיישל</t>
  </si>
  <si>
    <t>חניון</t>
  </si>
  <si>
    <t>BSE - Bombay Stock Exchange</t>
  </si>
  <si>
    <t>DBRS</t>
  </si>
  <si>
    <t>ללא בטחונות</t>
  </si>
  <si>
    <t>איי קיימן</t>
  </si>
  <si>
    <t>CME - Chicago Mercantile Exchange</t>
  </si>
  <si>
    <t>איי שלמה הבריטיים</t>
  </si>
  <si>
    <t>חממת שרתים</t>
  </si>
  <si>
    <t>EURONEXT - Euronext Group Stock Exchange</t>
  </si>
  <si>
    <t>איסלנד</t>
  </si>
  <si>
    <t>EUREX - Eurex Exchange</t>
  </si>
  <si>
    <t>Kroll</t>
  </si>
  <si>
    <t>אירלנד</t>
  </si>
  <si>
    <t>FWB - Frankfurt Stock Exchange</t>
  </si>
  <si>
    <t>Japan Credit</t>
  </si>
  <si>
    <t>אנדורה</t>
  </si>
  <si>
    <t>HKSE - Hong Kong Stock Exchange</t>
  </si>
  <si>
    <t>השקעות בהיי-טק</t>
  </si>
  <si>
    <t>אסטוניה</t>
  </si>
  <si>
    <t>ISE - Irish Stock Exchange</t>
  </si>
  <si>
    <t>ארגנטינה</t>
  </si>
  <si>
    <t>JSE - Johannesburg Stock Exchange</t>
  </si>
  <si>
    <t>KRX - Korea Exchange</t>
  </si>
  <si>
    <t>אתיופיה</t>
  </si>
  <si>
    <t>LSE - London Stock Exchange</t>
  </si>
  <si>
    <t>Other</t>
  </si>
  <si>
    <t>בהמס</t>
  </si>
  <si>
    <t>בולגריה</t>
  </si>
  <si>
    <t>NASDAQD - NASDAQ Dubai</t>
  </si>
  <si>
    <t>בוליביה</t>
  </si>
  <si>
    <t>NSE - National Stock Exchange of India</t>
  </si>
  <si>
    <t>בחריין</t>
  </si>
  <si>
    <t>SSE - Shanghai Stock Exchange</t>
  </si>
  <si>
    <t>בלגיה</t>
  </si>
  <si>
    <t>SZSE - Shenzen Stock Market</t>
  </si>
  <si>
    <t>בנייה</t>
  </si>
  <si>
    <t>בליז</t>
  </si>
  <si>
    <t>SGX - Singapore Exchange</t>
  </si>
  <si>
    <t>ברזיל</t>
  </si>
  <si>
    <t>BME - Spanish Exchanges</t>
  </si>
  <si>
    <t>ברמודה</t>
  </si>
  <si>
    <t>SIX - Swiss Exchange</t>
  </si>
  <si>
    <t>גאורגיה</t>
  </si>
  <si>
    <t>TSEC - Taiwan Stock Exchange Corporation</t>
  </si>
  <si>
    <t>גיברלטר</t>
  </si>
  <si>
    <t>TSE - Tokyo Stock Exchange</t>
  </si>
  <si>
    <t>גמייקה</t>
  </si>
  <si>
    <t>TSX - Toronto Stock Exchange</t>
  </si>
  <si>
    <t>גרמניה</t>
  </si>
  <si>
    <t>דנמרק</t>
  </si>
  <si>
    <t>דרום אפריקה</t>
  </si>
  <si>
    <t>אנרגיה</t>
  </si>
  <si>
    <t>הודו</t>
  </si>
  <si>
    <t>הולנד</t>
  </si>
  <si>
    <t>הונג קונג</t>
  </si>
  <si>
    <t>הונגריה</t>
  </si>
  <si>
    <t>הונדורס</t>
  </si>
  <si>
    <t>חברה בפירוק</t>
  </si>
  <si>
    <t>תשתיות</t>
  </si>
  <si>
    <t>יוון</t>
  </si>
  <si>
    <t>תעשיה</t>
  </si>
  <si>
    <t>יפן</t>
  </si>
  <si>
    <t>ליסינג</t>
  </si>
  <si>
    <t>ירדן</t>
  </si>
  <si>
    <t>תחבורה</t>
  </si>
  <si>
    <t>תעופה</t>
  </si>
  <si>
    <t>כווית</t>
  </si>
  <si>
    <t>אחסנה</t>
  </si>
  <si>
    <t>לוכסמבורג</t>
  </si>
  <si>
    <t>שירותים ציבוריים</t>
  </si>
  <si>
    <t>לטביה</t>
  </si>
  <si>
    <t>אנשים פרטיים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</si>
  <si>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</si>
  <si>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</si>
  <si>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</si>
  <si>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</si>
  <si>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</si>
  <si>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</si>
  <si>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</si>
  <si>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מצרים</t>
  </si>
  <si>
    <t>מקסיקו</t>
  </si>
  <si>
    <t>מרוקו</t>
  </si>
  <si>
    <t>ניו זילנד</t>
  </si>
  <si>
    <t>סין</t>
  </si>
  <si>
    <t>סינגפור</t>
  </si>
  <si>
    <t>סלובניה</t>
  </si>
  <si>
    <t>סלובקיה</t>
  </si>
  <si>
    <t>ספרד</t>
  </si>
  <si>
    <t>סרביה</t>
  </si>
  <si>
    <t>ערב הסעודית</t>
  </si>
  <si>
    <t>Banks</t>
  </si>
  <si>
    <t>פולין</t>
  </si>
  <si>
    <t>פורטוגל</t>
  </si>
  <si>
    <t>פינלנד</t>
  </si>
  <si>
    <t>פנמה</t>
  </si>
  <si>
    <t>צילה</t>
  </si>
  <si>
    <t>צכיה</t>
  </si>
  <si>
    <t>Semiconductors &amp; Semiconductor Equipment</t>
  </si>
  <si>
    <t>צרפת</t>
  </si>
  <si>
    <t>קנדה</t>
  </si>
  <si>
    <t>קפריסין</t>
  </si>
  <si>
    <t>רומניה</t>
  </si>
  <si>
    <t>רוסיה</t>
  </si>
  <si>
    <t>שוודיה</t>
  </si>
  <si>
    <t>שוויץ</t>
  </si>
  <si>
    <t>תורכיה</t>
  </si>
  <si>
    <t>אג"ח קונצרני</t>
  </si>
  <si>
    <t>אג"ח ממשלתי</t>
  </si>
  <si>
    <t>מזומן ועו"ש בש"ח</t>
  </si>
  <si>
    <t>פק"מ לתקופה של עד שלושה חודשים</t>
  </si>
  <si>
    <t>פקדון צמוד למדד המחירים לצרכן עד שלושה חודשים</t>
  </si>
  <si>
    <t>פקדון צמוד מט"ח עד שלושה חודשים (פצ"מ)</t>
  </si>
  <si>
    <t>פקדון במט"ח עד שלושה חודשים</t>
  </si>
  <si>
    <t>מזומן ועו"ש נקוב במט"ח</t>
  </si>
  <si>
    <t>פח"ק/פר"י</t>
  </si>
  <si>
    <t>בטחונות שוטפים</t>
  </si>
  <si>
    <t>צמוד למדד המחירים לצרכן בריבית קבועה</t>
  </si>
  <si>
    <t>צמוד למדד המחירים לצרכן בריבית משתנה</t>
  </si>
  <si>
    <t>לא צמוד למדד המחירים לצרכן ריבית קבועה</t>
  </si>
  <si>
    <t>לא צמוד למדד המחירים לצרכן ריבית משתנה</t>
  </si>
  <si>
    <t>צמוד מט"ח בריבית קבועה</t>
  </si>
  <si>
    <t>צמוד מט"ח בריבית משתנה</t>
  </si>
  <si>
    <t>מק"מ קצר משנים עשר חודשים</t>
  </si>
  <si>
    <t>לא צמוד למדד המחירים לצרכן</t>
  </si>
  <si>
    <t>צמוד למדד המחירים לצרכן</t>
  </si>
  <si>
    <t>צמוד למט"ח</t>
  </si>
  <si>
    <t>צמוד למדד אחר</t>
  </si>
  <si>
    <t>מניות בכורה</t>
  </si>
  <si>
    <t>TASE UP</t>
  </si>
  <si>
    <t>עוקב אחר מדדי מניות בישראל</t>
  </si>
  <si>
    <t>עוקב אחר מדדי מניות בחו"ל</t>
  </si>
  <si>
    <t>עוקב אחר מדדים אחרים בישראל</t>
  </si>
  <si>
    <t>עוקב אחר מדדים אחרים בחו"ל</t>
  </si>
  <si>
    <t>מכירה בחסר (שורט)</t>
  </si>
  <si>
    <t>קרן מובטחת</t>
  </si>
  <si>
    <t>קרן לא מובטחת</t>
  </si>
  <si>
    <t>קרן נדל"ן</t>
  </si>
  <si>
    <t>קרן אנרגיה ותשתיות</t>
  </si>
  <si>
    <t>נושא משרה/עובד</t>
  </si>
  <si>
    <t>סוכן</t>
  </si>
  <si>
    <t>תאגיד</t>
  </si>
  <si>
    <t>נקוב במט"ח</t>
  </si>
  <si>
    <t>בטחונות לא שוטפים</t>
  </si>
  <si>
    <t>התחייבות להשקעה</t>
  </si>
  <si>
    <t>Insurance</t>
  </si>
  <si>
    <t>NASDAQ - National Association of Securities Dealers Automated Quotations</t>
  </si>
  <si>
    <t>MICEX- RTS - Moscow Exchange</t>
  </si>
  <si>
    <t>שירותי מידע</t>
  </si>
  <si>
    <t>תוכנה ואינטרנט</t>
  </si>
  <si>
    <t>מוליכים למחצה</t>
  </si>
  <si>
    <t>קלינטק</t>
  </si>
  <si>
    <t>בנקים</t>
  </si>
  <si>
    <t>שירותים פיננסיים</t>
  </si>
  <si>
    <t>שירותים</t>
  </si>
  <si>
    <t>מלונאות ותיירות</t>
  </si>
  <si>
    <t>תקשורת ומדיה</t>
  </si>
  <si>
    <t>מזון</t>
  </si>
  <si>
    <t>אופנה והלבשה</t>
  </si>
  <si>
    <t>מתכת ומוצרי בניה</t>
  </si>
  <si>
    <t>חשמל</t>
  </si>
  <si>
    <t>כימיה, גומי ופלסטיק</t>
  </si>
  <si>
    <t>עץ, נייר ודפוס</t>
  </si>
  <si>
    <t>חיפושי נפט וגז</t>
  </si>
  <si>
    <t>רשויות מקומיות</t>
  </si>
  <si>
    <t>ביטוח</t>
  </si>
  <si>
    <t>השקעות במדעי החיים</t>
  </si>
  <si>
    <t>Core</t>
  </si>
  <si>
    <t>Core-Plus</t>
  </si>
  <si>
    <t>FOF/Managed Account</t>
  </si>
  <si>
    <t>Direct Real Estate</t>
  </si>
  <si>
    <t>Distressed Debt</t>
  </si>
  <si>
    <t>Balanced</t>
  </si>
  <si>
    <t>Buyout</t>
  </si>
  <si>
    <t>Secondaries</t>
  </si>
  <si>
    <t>Turnaround</t>
  </si>
  <si>
    <t>קרן חוב</t>
  </si>
  <si>
    <t>קרן גידור (Hedge Fund)</t>
  </si>
  <si>
    <t>סוג הצמדה</t>
  </si>
  <si>
    <t>לא צמוד</t>
  </si>
  <si>
    <t>בשימוש</t>
  </si>
  <si>
    <t>בשיפוץ</t>
  </si>
  <si>
    <t>מחזור חיי הנכס</t>
  </si>
  <si>
    <t>בהרחבה</t>
  </si>
  <si>
    <t xml:space="preserve">השיטה שבאמצעותה נקבע שווי הנכס </t>
  </si>
  <si>
    <t>אסטרטגיית קרן ההשקעה</t>
  </si>
  <si>
    <t>אג"ח להמרה לא צמוד למדד</t>
  </si>
  <si>
    <t>אג"ח להמרה צמוד למדד אחר</t>
  </si>
  <si>
    <t xml:space="preserve">בשימוש </t>
  </si>
  <si>
    <t>בשיפוץ – שיפוץ מהותי שאומדן עלותו מהווה מעל ל-50% משווי הנכס.</t>
  </si>
  <si>
    <t>שלבים התחלתיים</t>
  </si>
  <si>
    <t>שלבים מתקדמים</t>
  </si>
  <si>
    <t>בשלבי גמר</t>
  </si>
  <si>
    <t>קונסורציום/ סינדיקציה</t>
  </si>
  <si>
    <t>NR</t>
  </si>
  <si>
    <t>שם הנכס</t>
  </si>
  <si>
    <t>סיווג הקרן</t>
  </si>
  <si>
    <t>מומחה בלתי תלוי</t>
  </si>
  <si>
    <t>גורם תלוי/פנימי</t>
  </si>
  <si>
    <t>דיווח מנהל הקרן</t>
  </si>
  <si>
    <t>קיימת תלות</t>
  </si>
  <si>
    <t>אי-תלות</t>
  </si>
  <si>
    <t>אג"ח להמרה צמוד למדד המחירים לצרכן</t>
  </si>
  <si>
    <t>אג"ח להמרה צמוד למט"ח</t>
  </si>
  <si>
    <t>סוג הסליקה</t>
  </si>
  <si>
    <t>ריבית עוגן</t>
  </si>
  <si>
    <t>תקופת ריבית עוגן</t>
  </si>
  <si>
    <t>TASE</t>
  </si>
  <si>
    <t>נש"ר</t>
  </si>
  <si>
    <t>אירופה</t>
  </si>
  <si>
    <t>ארה"ב</t>
  </si>
  <si>
    <t>בריטניה</t>
  </si>
  <si>
    <t>אסיה</t>
  </si>
  <si>
    <t>גלובלי</t>
  </si>
  <si>
    <t>אפריקה</t>
  </si>
  <si>
    <t>Libor</t>
  </si>
  <si>
    <t>Euribor</t>
  </si>
  <si>
    <t>Eonia</t>
  </si>
  <si>
    <t>Sonia</t>
  </si>
  <si>
    <t>Tona</t>
  </si>
  <si>
    <t>€STR</t>
  </si>
  <si>
    <t>SOFR</t>
  </si>
  <si>
    <t>ערך נקוב (רגל 1)</t>
  </si>
  <si>
    <t>ערך נקוב (רגל 2)</t>
  </si>
  <si>
    <t>שיעור מנכסי אפיק ההשקעה (רגל 1)</t>
  </si>
  <si>
    <t>שיעור מסך נכסי ההשקעה (רגל 1)</t>
  </si>
  <si>
    <t>שווי הוגן במטבע הנסחר (רגל 1)</t>
  </si>
  <si>
    <t>שווי הוגן במטבע הנסחר (רגל 2)</t>
  </si>
  <si>
    <t>תנודתיות</t>
  </si>
  <si>
    <t>ממונף</t>
  </si>
  <si>
    <t>שם עמודה</t>
  </si>
  <si>
    <t>אפשרות בחירה</t>
  </si>
  <si>
    <t>בבנייה שלבים התחלתיים (עד 30% ביצוע) – לפי אומדן עלות השקעה כוללת צפויה</t>
  </si>
  <si>
    <t>בבנייה שלבים מתקדמים (עד 70% ביצוע) - לפי אומדן עלות השקעה כוללת צפויה</t>
  </si>
  <si>
    <t>בבנייה בשלבי גמר (מעל 70% ביצוע) - לפי אומדן עלות השקעה כוללת צפויה</t>
  </si>
  <si>
    <t>קיים חוזה</t>
  </si>
  <si>
    <t>לא קיים חוזה</t>
  </si>
  <si>
    <t>הצד הנגדי</t>
  </si>
  <si>
    <t>גורם אחר</t>
  </si>
  <si>
    <t>פקטור מוביל</t>
  </si>
  <si>
    <t>שווי שוק</t>
  </si>
  <si>
    <t>שם:</t>
  </si>
  <si>
    <t>מספר טלפון:</t>
  </si>
  <si>
    <t>כתובת מייל:</t>
  </si>
  <si>
    <t>שיעור מסך אפיק ההשקעה (רגל 2)</t>
  </si>
  <si>
    <t>שיעור ריבית עוגן</t>
  </si>
  <si>
    <t>Unfunded Swap</t>
  </si>
  <si>
    <t>Funded Swap</t>
  </si>
  <si>
    <t>Unfunded Forward</t>
  </si>
  <si>
    <t>Funded Forward</t>
  </si>
  <si>
    <t>Unfunded Interest Rate Swap</t>
  </si>
  <si>
    <t>Funded Interest Rate Swap</t>
  </si>
  <si>
    <t>יומי</t>
  </si>
  <si>
    <t>שבועי</t>
  </si>
  <si>
    <t>חודשי</t>
  </si>
  <si>
    <t>רבעוני</t>
  </si>
  <si>
    <t>חצי-שנתי</t>
  </si>
  <si>
    <t>שנתי</t>
  </si>
  <si>
    <t>ללא</t>
  </si>
  <si>
    <t>Delivery</t>
  </si>
  <si>
    <t>האם קיים קנס בגין יציאה מוקדמת</t>
  </si>
  <si>
    <t>מועד ההתקשרות בעסקה</t>
  </si>
  <si>
    <t>מועד סיום חוזי</t>
  </si>
  <si>
    <t>שער נכס הבסיס במועד ההתקשרות בעסקה</t>
  </si>
  <si>
    <t>נספח התחשבנות בטחונות - CSA</t>
  </si>
  <si>
    <t>נספח התחשבנות בטחונות (CSA)</t>
  </si>
  <si>
    <t>No-delivery</t>
  </si>
  <si>
    <t>שם קובץ לשמירה</t>
  </si>
  <si>
    <t>תלות/אי-תלות המשערך</t>
  </si>
  <si>
    <t>הערות והסברים</t>
  </si>
  <si>
    <t>CBOE - Chicago Board Options Exchange</t>
  </si>
  <si>
    <t>ICE - Intercontinental Exchange</t>
  </si>
  <si>
    <t>מדינה/איזור גאוגרפי</t>
  </si>
  <si>
    <t>מתכות</t>
  </si>
  <si>
    <t>סחורות חקלאיות רכות</t>
  </si>
  <si>
    <t>בעלי חיים</t>
  </si>
  <si>
    <t>גרעינים וחיטה</t>
  </si>
  <si>
    <t>מדדי סחורות</t>
  </si>
  <si>
    <t>ריבית ואג"ח</t>
  </si>
  <si>
    <t>Debt Infrastructure</t>
  </si>
  <si>
    <t>Opportunistic Infrastructure</t>
  </si>
  <si>
    <t>Value Added Infrastructure</t>
  </si>
  <si>
    <t>Value Added Real Estate</t>
  </si>
  <si>
    <t>Opportunistic Real Estate</t>
  </si>
  <si>
    <t>Distressed Real Estate</t>
  </si>
  <si>
    <t>Direct Lending Debt</t>
  </si>
  <si>
    <t>Mezzanine Debt</t>
  </si>
  <si>
    <t>Special Situations Debt</t>
  </si>
  <si>
    <t>Venture Debt</t>
  </si>
  <si>
    <t>Leveraged Buyout</t>
  </si>
  <si>
    <t>Growth Venture Capital</t>
  </si>
  <si>
    <t>Seed/Early Stage Venture Capital</t>
  </si>
  <si>
    <t>מטבע פעילות</t>
  </si>
  <si>
    <t>קרקע/זכויות מקרקעין</t>
  </si>
  <si>
    <t>מדדי מניות</t>
  </si>
  <si>
    <t>Unfunded Total Return/Equity Swap</t>
  </si>
  <si>
    <t>Funded Total Return/Equity Swap</t>
  </si>
  <si>
    <t>סטנדרד &amp; פורסס מעלות בע"מ (S&amp;P)</t>
  </si>
  <si>
    <t>מידרוג בע"מ (Moody's)</t>
  </si>
  <si>
    <t>Moody's Investor Service</t>
  </si>
  <si>
    <t>A.M Best Company, Inc</t>
  </si>
  <si>
    <t>Standard &amp; Poor's Corporation</t>
  </si>
  <si>
    <t>Fitch Investors Service, L.P.</t>
  </si>
  <si>
    <t>DBRS Ratings Limited.</t>
  </si>
  <si>
    <t>Egan-Jones Ratings Co.</t>
  </si>
  <si>
    <t>HR Ratings de México, S.A. de C.V.</t>
  </si>
  <si>
    <t>Kroll Bond Rating Agency, Inc</t>
  </si>
  <si>
    <t>Japan Credit Rating Agency Ltd.</t>
  </si>
  <si>
    <t>Not rated</t>
  </si>
  <si>
    <t>Egan-Jones</t>
  </si>
  <si>
    <t>אג"ח מובנות</t>
  </si>
  <si>
    <t>הוראות למילוי הדיווח:</t>
  </si>
  <si>
    <t>SPAC</t>
  </si>
  <si>
    <t>Special Puropse Acquistion Company/Blank Check Company</t>
  </si>
  <si>
    <t>מספר עסקה (רגל 1)</t>
  </si>
  <si>
    <t>מספר עסקה (רגל 2)</t>
  </si>
  <si>
    <t>מבנה לוח סילוקין</t>
  </si>
  <si>
    <t>מועד פדיון</t>
  </si>
  <si>
    <t>שפיצר</t>
  </si>
  <si>
    <t>קרן שווה</t>
  </si>
  <si>
    <t xml:space="preserve">אחר </t>
  </si>
  <si>
    <t>נגזרי אשראי</t>
  </si>
  <si>
    <t>שעבוד שוטף</t>
  </si>
  <si>
    <t>בטוחה פיזית אחרת</t>
  </si>
  <si>
    <t>בטוחה פיננסית אחרת</t>
  </si>
  <si>
    <t>ח.פ.</t>
  </si>
  <si>
    <t>LEI</t>
  </si>
  <si>
    <t>SWIFT</t>
  </si>
  <si>
    <t>מספר שותפות</t>
  </si>
  <si>
    <t>מרשם</t>
  </si>
  <si>
    <t>דרכון</t>
  </si>
  <si>
    <t>ת"ז</t>
  </si>
  <si>
    <t>צד נגדי - Counterparty</t>
  </si>
  <si>
    <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</si>
  <si>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HR Ratings</t>
  </si>
  <si>
    <t>בלון</t>
  </si>
  <si>
    <t>סוג הריבית</t>
  </si>
  <si>
    <t>משתנה</t>
  </si>
  <si>
    <t xml:space="preserve">קבועה </t>
  </si>
  <si>
    <t>Telbor</t>
  </si>
  <si>
    <t>בולט (Bullet)</t>
  </si>
  <si>
    <t>Co-Investment/Direct</t>
  </si>
  <si>
    <t>זכויות אוויר (Air Rights)</t>
  </si>
  <si>
    <t>שיטת החילוץ</t>
  </si>
  <si>
    <t>Residual</t>
  </si>
  <si>
    <t>Comparison</t>
  </si>
  <si>
    <t xml:space="preserve">שיטה השוואתית </t>
  </si>
  <si>
    <t>Discounted Cash Flows</t>
  </si>
  <si>
    <t xml:space="preserve">היוון תזרים </t>
  </si>
  <si>
    <t>Direct Capitalization</t>
  </si>
  <si>
    <t>שיטת ההכנסה</t>
  </si>
  <si>
    <t>Large cap</t>
  </si>
  <si>
    <t>Mid cap</t>
  </si>
  <si>
    <t>Small cap</t>
  </si>
  <si>
    <t>שיעור הקנס בגין יציאה מוקדמת</t>
  </si>
  <si>
    <t>מניות, מניות בכורה ויחידות השתתפות</t>
  </si>
  <si>
    <t>יחידות השתתפות</t>
  </si>
  <si>
    <t>לא סחיר נגזרים אחרים</t>
  </si>
  <si>
    <t>לא סחיר מניות, מניות בכורה ויחידות השתתפות</t>
  </si>
  <si>
    <t>פקטור נוסף</t>
  </si>
  <si>
    <t>סוג הנכס</t>
  </si>
  <si>
    <t>מניות לא סחירות</t>
  </si>
  <si>
    <t>מניות בכורה לא סחירות</t>
  </si>
  <si>
    <t>יחידות השתתפות אינשורטק</t>
  </si>
  <si>
    <t>יחידות השתתפות פינטק</t>
  </si>
  <si>
    <t>יחידות השתתפות תשתיות</t>
  </si>
  <si>
    <t>חברה מוחזקת</t>
  </si>
  <si>
    <t>יחידות השתתפות אחרות</t>
  </si>
  <si>
    <t>חברת בת</t>
  </si>
  <si>
    <t>חברה כלולה</t>
  </si>
  <si>
    <t>PIPE</t>
  </si>
  <si>
    <t xml:space="preserve">תאריך אחרון בו נבחנה בפועל ירידת ערך </t>
  </si>
  <si>
    <t>NYSE</t>
  </si>
  <si>
    <t>AMEX</t>
  </si>
  <si>
    <t>ASX</t>
  </si>
  <si>
    <t>NASDAQ</t>
  </si>
  <si>
    <t>JPX</t>
  </si>
  <si>
    <t>ADX</t>
  </si>
  <si>
    <t>BOVESPA</t>
  </si>
  <si>
    <t>BSE</t>
  </si>
  <si>
    <t>CME</t>
  </si>
  <si>
    <t>CBOE</t>
  </si>
  <si>
    <t>EURONEXT</t>
  </si>
  <si>
    <t>EUREX</t>
  </si>
  <si>
    <t>FWB</t>
  </si>
  <si>
    <t>HKSE</t>
  </si>
  <si>
    <t>ICE</t>
  </si>
  <si>
    <t>ISE</t>
  </si>
  <si>
    <t>JSE</t>
  </si>
  <si>
    <t>KRX</t>
  </si>
  <si>
    <t>LSE</t>
  </si>
  <si>
    <t>MICEX - RTS</t>
  </si>
  <si>
    <t>NSE</t>
  </si>
  <si>
    <t>SSE</t>
  </si>
  <si>
    <t>SZSE</t>
  </si>
  <si>
    <t>SGX</t>
  </si>
  <si>
    <t>BME</t>
  </si>
  <si>
    <t>SIX</t>
  </si>
  <si>
    <t>TSEC</t>
  </si>
  <si>
    <t>TSE</t>
  </si>
  <si>
    <t>TSX</t>
  </si>
  <si>
    <t>קופה קטנה</t>
  </si>
  <si>
    <t>השקעה בחברות מוחזקות</t>
  </si>
  <si>
    <t>יש לבחור תחום:</t>
  </si>
  <si>
    <t>יש לדווח לפי ההנחיות בחלק ג' לנספח 5.4.3.2 שבפרק 3 שבחלק 4 לשער 5 בחוזר המאוחד - "רשימת נכסים ברמת הנכס הבודד".</t>
  </si>
  <si>
    <t>ח.פ. הגוף המוסדי:</t>
  </si>
  <si>
    <t>מלזיה</t>
  </si>
  <si>
    <t>p</t>
  </si>
  <si>
    <t>שנה</t>
  </si>
  <si>
    <t>רבעון</t>
  </si>
  <si>
    <t>01</t>
  </si>
  <si>
    <t>02</t>
  </si>
  <si>
    <t>03</t>
  </si>
  <si>
    <t>04</t>
  </si>
  <si>
    <t>קרן ביטוח הדדי לחברי הסתדרות עובדי המדינה בישראל בע"מ</t>
  </si>
  <si>
    <t>החברה המנהלת של קרן השתלמות של עובדי חברת החשמל לישראל בע"מ</t>
  </si>
  <si>
    <t>החברה לניהול קרן השתלמות לשופטים בע"מ</t>
  </si>
  <si>
    <t>עוצ"מ חברה לניהול קופות גמל והשתלמות בע"מ</t>
  </si>
  <si>
    <t>החברה לניהול קופת התגמולים והפנסיה של עובדי הסוכנות היהודית לארץ ישראל בע"מ</t>
  </si>
  <si>
    <t>יהב אחים ואחיות - חברה לניהול קופות גמל בע"מ</t>
  </si>
  <si>
    <t>קרן הביטוח והפנסיה של פועלי בנין ועבודות ציבוריות אגודה שיתופית בע"מ</t>
  </si>
  <si>
    <t>קרן ביטוח ופנסיה לפועלים חקלאים ובלתי מקצועיים בישראל אגודה שיתופית בע"מ</t>
  </si>
  <si>
    <t>מבטחים מוסד לביטוח סוציאלי של העובדים בע"מ</t>
  </si>
  <si>
    <t>קרן מקפת מרכז לפנסיה ותגמולים אגודה שיתופית בע"מ</t>
  </si>
  <si>
    <t>רעות חברה לניהול קופות גמל בע"מ</t>
  </si>
  <si>
    <t>כלל פנסיה וגמל בע"מ</t>
  </si>
  <si>
    <t>קופת תגמולים של עובדי אל על נתיבי אוויר לישראל בע"מ אגודה שיתופית</t>
  </si>
  <si>
    <t>הפניקס אקסלנס פנסיה וגמל בע"מ</t>
  </si>
  <si>
    <t>עגור חברה לניהול קופות גמל וקרנות השתלמות בע"מ</t>
  </si>
  <si>
    <t>ילין לפידות ניהול קופות גמל בע"מ</t>
  </si>
  <si>
    <t>אלטשולר שחם גמל ופנסיה בע"מ</t>
  </si>
  <si>
    <t>מיטב דש גמל ופנסיה בע"מ</t>
  </si>
  <si>
    <t>מגדל מקפת קרנות פנסיה וקופות גמל בע"מ</t>
  </si>
  <si>
    <t>מחר - חברה לניהול קופות גמל בע"מ</t>
  </si>
  <si>
    <t>מחוג - מינהל גמל לעובדי חברת חשמל לישראל בע"מ</t>
  </si>
  <si>
    <t>שיבולת - חברה לניהול קופות גמל בע"מ</t>
  </si>
  <si>
    <t>מנורה מבטחים פנסיה וגמל בע"מ</t>
  </si>
  <si>
    <t>מנורה מבטחים והסתדרות המהנדסים ניהול קופות גמל בע"מ</t>
  </si>
  <si>
    <t>החברה לניהול קופות התגמולים והפיצויים של עובדי בנק לאומי בע"מ</t>
  </si>
  <si>
    <t>סלייס גמל בע"מ</t>
  </si>
  <si>
    <t>תגמולים של עובדים בעירית ת"א-יפו א.ש. בע"מ</t>
  </si>
  <si>
    <t>חברה לניהול קופות גמל של העובדים בעיריית תל - אביב יפו בע"מ</t>
  </si>
  <si>
    <t>יהב רופאים - חברה לניהול קופות גמל בע"מ</t>
  </si>
  <si>
    <t>ק.ל.ע. - חברה לניהול קרן השתלמות לעובדים סוציאליים בע"מ</t>
  </si>
  <si>
    <t>חברת הגמל לעובדי האוניברסיטה העברית בע"מ</t>
  </si>
  <si>
    <t>קופת"ג של עובדי עירית חיפה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</si>
  <si>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</si>
  <si>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</si>
  <si>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>החברה לניהול קרן ההשתלמות להנדסאים וטכנאים בע"מ</t>
  </si>
  <si>
    <t>הנדסאים וטכנאים - חברה לניהול קופות גמל בע"מ</t>
  </si>
  <si>
    <t>הראל פנסיה וגמל בע"מ</t>
  </si>
  <si>
    <t>קרן החסכון לצבא הקבע - חברה לניהול קופות גמל בע"מ</t>
  </si>
  <si>
    <t>החברה המנהלת של מינהל קרן ההשתלמות לפקידים עובדי המנהל והשירותים בע"מ</t>
  </si>
  <si>
    <t>ארם גמולים - חברה לניהול קופות גמל בע''מ</t>
  </si>
  <si>
    <t>החברה לניהול קרן השתלמות למשפטנים בע"מ</t>
  </si>
  <si>
    <t>החברה לניהול קרן השתלמות לאקדמאים במדעי החברה והרוח בע"מ</t>
  </si>
  <si>
    <t>לאומי קמ"פ בע"מ</t>
  </si>
  <si>
    <t>עוצ"מ - אגודה שיתופית לניהול קופות גמל בע"מ</t>
  </si>
  <si>
    <t>החברה המנהלת של רום קרן ההשתלמות לעובדי הרשויות המקומיות בע"מ</t>
  </si>
  <si>
    <t>יהב - פ.ר.ח. - חברה לניהול קופות גמל בע"מ</t>
  </si>
  <si>
    <t>קו הבריאות חברה לניהול קופות גמל בע"מ</t>
  </si>
  <si>
    <t>עמ"י - חברה לניהול קופות גמל ענפיות בע"מ</t>
  </si>
  <si>
    <t>עו"ס - חברה לניהול קופות גמל בע"מ</t>
  </si>
  <si>
    <t>החברה לניהול קרן ההשתלמות לעובדי המדינה בע"מ</t>
  </si>
  <si>
    <t>אנליסט קופות גמל בע"מ</t>
  </si>
  <si>
    <t>קופת תגמולים של עובדי התעשיה האוירית לישראל בע"מ</t>
  </si>
  <si>
    <t>יוזמה קרן פנסיה לעצמאים בע"מ</t>
  </si>
  <si>
    <t>לעתיד חברה לניהול קרנות פנסיה בע"מ</t>
  </si>
  <si>
    <t>הלמן-אלדובי חח"י גמל בע"מ</t>
  </si>
  <si>
    <t>גילעד גימלאות לעובדים דתיים בע"מ</t>
  </si>
  <si>
    <t>נתיב קרן הפנסיה של פועלי ועובדי מפעלי משק ההסתדרות בע"מ</t>
  </si>
  <si>
    <t>קופת הפנסיה לעובדי הדסה בע"מ</t>
  </si>
  <si>
    <t>קרן הגמלאות המרכזית של עובדי ההסתדרות בע"מ</t>
  </si>
  <si>
    <t>קרן הגמלאות של חברי אגד בע"מ</t>
  </si>
  <si>
    <t>החברה המנהלת של קרן הגמלאות של חברי "דן" בע"מ</t>
  </si>
  <si>
    <t>חברת ב'ת למ'ד דל'ת בע"מ</t>
  </si>
  <si>
    <t>שם גוף מוסדי</t>
  </si>
  <si>
    <t>יש לבחור את הגוף המוסדי:</t>
  </si>
  <si>
    <t>מנורה מבטחים ביטוח בע"מ</t>
  </si>
  <si>
    <t>הפניקס חברה לביטוח בע"מ</t>
  </si>
  <si>
    <t>כלל חברה לביטוח בע"מ</t>
  </si>
  <si>
    <t>איילון חברה לביטוח בע"מ</t>
  </si>
  <si>
    <t>הכשרה חברה לביטוח בע"מ</t>
  </si>
  <si>
    <t>מגדל חברה לביטוח בע"מ</t>
  </si>
  <si>
    <t>איי. די. איי. חברה לביטוח בע"מ</t>
  </si>
  <si>
    <t>הראל חברה לביטוח בע"מ</t>
  </si>
  <si>
    <t>ב.ס.ס.ח. - החברה הישראלית לביטוח אשראי בע"מ</t>
  </si>
  <si>
    <t>ביטוח חקלאי אגודה מרכזית בע"מ</t>
  </si>
  <si>
    <t>דיויד שילד חברה לביטוח בע"מ</t>
  </si>
  <si>
    <t>ווישור חברה לביטוח בע"מ</t>
  </si>
  <si>
    <t>כלל חברה לביטוח אשראי בע"מ</t>
  </si>
  <si>
    <t>ליברה חברה לביטוח בע"מ</t>
  </si>
  <si>
    <t>ענבל חברה לביטוח בע"מ</t>
  </si>
  <si>
    <t>שומרה חברה לביטוח בע"מ</t>
  </si>
  <si>
    <t>אשרא - החברה הישראלית לביטוח יצוא בע"מ</t>
  </si>
  <si>
    <t>איי.אי.ג'י חברה לביטוח בע"מ</t>
  </si>
  <si>
    <t>גל - ניהול קופות גמל לעובדי הוראה בע"מ</t>
  </si>
  <si>
    <t>יש לבחור את רבעון הדיווח:</t>
  </si>
  <si>
    <t>יש לבחור את שנת הדיווח:</t>
  </si>
  <si>
    <t>אי. אם. איי - עזר חברה לביטוח משכנתאות בע"מ</t>
  </si>
  <si>
    <t>קרן לביטוח נזקי טבע בחקלאות בע"מ</t>
  </si>
  <si>
    <t>ש. שלמה חברה לביטוח בע"מ</t>
  </si>
  <si>
    <t>שם גיליון
(רלוונטי לגיליונות עם עמודה "מאפיין עיקרי")</t>
  </si>
  <si>
    <t>החברה לניהול קרן השתלמות לביוכימאים  ומקרוביולוגים בע"מ</t>
  </si>
  <si>
    <t>מספר קונסורציום/ סינדיקציה</t>
  </si>
  <si>
    <t>NASDAQD</t>
  </si>
  <si>
    <t>אג"ח סחיר</t>
  </si>
  <si>
    <t>אג"ח לא סחיר</t>
  </si>
  <si>
    <t>מניות סחירות</t>
  </si>
  <si>
    <t>האם מדובר בקובץ לממומנה או לציבור:</t>
  </si>
  <si>
    <t>לממונה</t>
  </si>
  <si>
    <t>לציבור</t>
  </si>
  <si>
    <t>בתכנון/בהיתרים</t>
  </si>
  <si>
    <t>בהסבה/שינויי ייעוד</t>
  </si>
  <si>
    <t>בהסבה/שינוי ייעוד – אם מעל ל-50% משווי הנכס מוסב לשימוש אחר.</t>
  </si>
  <si>
    <t>סך הכל נכסים</t>
  </si>
  <si>
    <t>ישראל/חו"ל</t>
  </si>
  <si>
    <t>מדינה לפי חשיפה כלכלית</t>
  </si>
  <si>
    <t>בעל עניין/צד קשור</t>
  </si>
  <si>
    <t>אג"ח להמרה לא צמוד למדד המחירים לצרכן</t>
  </si>
  <si>
    <t>בהשאלה</t>
  </si>
  <si>
    <t>סטאטוס סחירות</t>
  </si>
  <si>
    <t>חץ</t>
  </si>
  <si>
    <t>פיקדון חשכ"ל</t>
  </si>
  <si>
    <t>תדירות Reset</t>
  </si>
  <si>
    <t>יחס המרה</t>
  </si>
  <si>
    <t>נדל"ן אחר - נדל"ן מניב</t>
  </si>
  <si>
    <t>נדל"ן אחר - נדל"ן לא מניב</t>
  </si>
  <si>
    <t>נדל"ן אחר - קרקע</t>
  </si>
  <si>
    <t>שער הנגזר במועד ההתקשרות בעסקה</t>
  </si>
  <si>
    <t>שיעור אחזקה באמצעי שליטה</t>
  </si>
  <si>
    <t>החוב נחות</t>
  </si>
  <si>
    <t>החוב לא נחות</t>
  </si>
  <si>
    <t>תשואה לפדיון</t>
  </si>
  <si>
    <t>שיעור ריבית בגין אי-ניצול מסגרת האשראי</t>
  </si>
  <si>
    <t>קונסורציום/סינדיקציה</t>
  </si>
  <si>
    <t>Private Equity in Public Equity</t>
  </si>
  <si>
    <t>תאריך פקיעת פיקדון</t>
  </si>
  <si>
    <t>נכס בסיס/סוג הנכס</t>
  </si>
  <si>
    <t>יחיד שאינו עמית/מבוטח</t>
  </si>
  <si>
    <t>עמית/מבוטח</t>
  </si>
  <si>
    <t>רובוטיקה ותלת מימד</t>
  </si>
  <si>
    <t>ציוד תקשורת</t>
  </si>
  <si>
    <t>אנרגיה מתחדשת</t>
  </si>
  <si>
    <t>פודטק</t>
  </si>
  <si>
    <t>אשראי חוץ בנקאי</t>
  </si>
  <si>
    <t>רשתות שיווק</t>
  </si>
  <si>
    <t>נדל"ן מניב בישראל</t>
  </si>
  <si>
    <t>נדל"ן מניב בחו"ל</t>
  </si>
  <si>
    <t>אלקטרוניקה ואופטיקה</t>
  </si>
  <si>
    <t>ביטחוניות</t>
  </si>
  <si>
    <t>חברות מעטפת</t>
  </si>
  <si>
    <t>קנאביס</t>
  </si>
  <si>
    <t>מניה</t>
  </si>
  <si>
    <t>מדד</t>
  </si>
  <si>
    <t>קרן סל</t>
  </si>
  <si>
    <t>סחורה</t>
  </si>
  <si>
    <t>שכבת חוב (Tranche) בדרוג AA- ומעלה</t>
  </si>
  <si>
    <t>שכבת חוב (Tranche) בדרוג BBB- ומעלה</t>
  </si>
  <si>
    <t>שכבת חוב (Tranche) בדרוג BB+ ומטה</t>
  </si>
  <si>
    <t>מירון בקרן פנסיה ותיקה</t>
  </si>
  <si>
    <t>ערד בקרן פנסיה ותיקה</t>
  </si>
  <si>
    <t>ערד בקרן פנסיה מקיפה חדשה</t>
  </si>
  <si>
    <t>מספר קופה/קרן/ח.פ. עבור חברת ביטוח</t>
  </si>
  <si>
    <t>התחייבות להשקעה - קרן בפירוק</t>
  </si>
  <si>
    <t>התחייבות להשקעה - קרן בהנזלה</t>
  </si>
  <si>
    <t>התחייבות להשקעה - צמיתה</t>
  </si>
  <si>
    <t>כאשר מועד המחויבות להשקעה הוא ללא תאריך ספציפי.</t>
  </si>
  <si>
    <t>כאשר הקרן נמצאת בשלבי הנזלה (liquidation).</t>
  </si>
  <si>
    <t>כאשר המחויבות להשקעה מסתיימת במועד פירוק הקרן.</t>
  </si>
  <si>
    <t>שיעור הבטוחות מהחוב</t>
  </si>
  <si>
    <t>מועד עדכון אחרון לשווי הבטוחות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</si>
  <si>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</si>
  <si>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</si>
  <si>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</si>
  <si>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</si>
  <si>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אשראי קמעונאי</t>
  </si>
  <si>
    <t>אשראי בגין נדל"ן יזמי</t>
  </si>
  <si>
    <t>תאריך פקיעה</t>
  </si>
  <si>
    <t>אפיק השקעה מובטח תשואה</t>
  </si>
  <si>
    <t>שכבת הון (Equity Tranch)</t>
  </si>
  <si>
    <t>האם סווג כחוב בעייתי</t>
  </si>
  <si>
    <t xml:space="preserve">ישראל/חו"ל </t>
  </si>
  <si>
    <t xml:space="preserve">נכס או התחייבות בגין השלמת המדינה לתשואת היעד </t>
  </si>
  <si>
    <t>התאמה לשווי ההוגן</t>
  </si>
  <si>
    <t>שיעור תוספת/הפחתה לריבית העוגן</t>
  </si>
  <si>
    <t>זכות פירעון מוקדם</t>
  </si>
  <si>
    <t>ni</t>
  </si>
  <si>
    <t>nf</t>
  </si>
  <si>
    <t>תזרים מזומנים</t>
  </si>
  <si>
    <t>לא חסום בהשעיה</t>
  </si>
  <si>
    <t>לא חסום בהשאלה</t>
  </si>
  <si>
    <t>חסום בהשעיה</t>
  </si>
  <si>
    <t>חסום בהשאלה</t>
  </si>
  <si>
    <t>ני"ע אשר מכירתו מוגבלת לפי הוראות דין או חוזה לתקופה שנקבעה.</t>
  </si>
  <si>
    <t xml:space="preserve">ני"ע שהמסחר בו בזירת המסחר בה הור נסחר הופסק לפרק זמן </t>
  </si>
  <si>
    <t>בטחונות לתקופה של מעל 3 חודשים</t>
  </si>
  <si>
    <t>ריבית בנק ישראל</t>
  </si>
  <si>
    <t>ריבית פריים</t>
  </si>
  <si>
    <t>Mega cap</t>
  </si>
  <si>
    <t>מדדים</t>
  </si>
  <si>
    <t>ריביות</t>
  </si>
  <si>
    <t>מט"ח/מט"ח</t>
  </si>
  <si>
    <t>מט"ח/₪</t>
  </si>
  <si>
    <t>השקעה ואחזקות</t>
  </si>
  <si>
    <t>התחייבות הממשלה בגין אי העלאת גיל הפרישה לנשים</t>
  </si>
  <si>
    <t>סיוע ממשלתי</t>
  </si>
  <si>
    <t>דיבידנד לקבל</t>
  </si>
  <si>
    <t>הפרשה למס</t>
  </si>
  <si>
    <t>התחייבות Forward</t>
  </si>
  <si>
    <t>חוב בפיגור</t>
  </si>
  <si>
    <t>חייבים בגין מקדמות</t>
  </si>
  <si>
    <t xml:space="preserve">חייבים בגין עסקה עתידית </t>
  </si>
  <si>
    <t xml:space="preserve">חייבים בגין תקבולים </t>
  </si>
  <si>
    <t xml:space="preserve">חייבים בנאמנות </t>
  </si>
  <si>
    <t>חייבים הלוואות</t>
  </si>
  <si>
    <t>חייבים העברות</t>
  </si>
  <si>
    <t>חייבים וזכאים</t>
  </si>
  <si>
    <t>חייבים וזכאים בגין שיקוף</t>
  </si>
  <si>
    <t>חייבים וזכאים מס</t>
  </si>
  <si>
    <t>חייבים וזכאים עמיתים</t>
  </si>
  <si>
    <t>חייבים זכאים במט"ח</t>
  </si>
  <si>
    <t>חייבים זכאים בש"ח</t>
  </si>
  <si>
    <t>חייבים/זכאים עמלת up front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</si>
  <si>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</si>
  <si>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</si>
  <si>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</si>
  <si>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</si>
  <si>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</si>
  <si>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</si>
  <si>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</si>
  <si>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</si>
  <si>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</si>
  <si>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</si>
  <si>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קרנות היי טק</t>
  </si>
  <si>
    <t>שם הבנק</t>
  </si>
  <si>
    <t>שם מנפיק</t>
  </si>
  <si>
    <t>מספר מזהה לווה</t>
  </si>
  <si>
    <t>סוג מספר מזהה לווה</t>
  </si>
  <si>
    <t>שם הלוואה</t>
  </si>
  <si>
    <t>מספר הלוואה</t>
  </si>
  <si>
    <t>שער הלוואה</t>
  </si>
  <si>
    <t xml:space="preserve">סוג מספר מזהה מנפיק </t>
  </si>
  <si>
    <t>שם גורם משערך</t>
  </si>
  <si>
    <t>תאריך העמדת הלוואה</t>
  </si>
  <si>
    <t>תאריך העמדת מסגרת אשראי</t>
  </si>
  <si>
    <t>נדל"ן מניב</t>
  </si>
  <si>
    <t>נדל"ן לא מניב</t>
  </si>
  <si>
    <t>שיעור החזקה בקרן השקעה</t>
  </si>
  <si>
    <t>גורם מצטט</t>
  </si>
  <si>
    <t>נכס בסיס (כתב אופציה)</t>
  </si>
  <si>
    <t>מדינת התאגדות קרן השקעה</t>
  </si>
  <si>
    <t>סוג מספר מזהה מנפיק</t>
  </si>
  <si>
    <t>מספר מזהה בנק</t>
  </si>
  <si>
    <t>סוג מספר מזהה בנק</t>
  </si>
  <si>
    <t>תזרים מפרויקטים</t>
  </si>
  <si>
    <t>שעבוד שלילי</t>
  </si>
  <si>
    <t>תאריך העמדת התחייבות לקרן השקעה</t>
  </si>
  <si>
    <t>מספר מזהה קרן השקעה</t>
  </si>
  <si>
    <t>שם קרן השקעה</t>
  </si>
  <si>
    <t>שיעור יתרת מסגרת אשראי</t>
  </si>
  <si>
    <t>פרייבט אקוויטי</t>
  </si>
  <si>
    <t>משאבים טבעיים</t>
  </si>
  <si>
    <t>סוג מספר מזהה קרן השקעות</t>
  </si>
  <si>
    <t>סוג מספר מזהה מנהל קרן השקעות</t>
  </si>
  <si>
    <t>סוג מספר קרן השקעה</t>
  </si>
  <si>
    <t>מיקום משרד השותף הכללי</t>
  </si>
  <si>
    <t>מסגרות אשראי</t>
  </si>
  <si>
    <t>יתרות התחייבויות להשקעה</t>
  </si>
  <si>
    <t>חודש הבדיקה</t>
  </si>
  <si>
    <t>חודש הנפקת שכבה</t>
  </si>
  <si>
    <t>Equity Funds</t>
  </si>
  <si>
    <t>Bond/Fixed Income Funds</t>
  </si>
  <si>
    <t>Commodity Funds</t>
  </si>
  <si>
    <t>Currency Funds</t>
  </si>
  <si>
    <t>Sustainable Funds</t>
  </si>
  <si>
    <t>Asset Allocation Funds</t>
  </si>
  <si>
    <t>Index Funds</t>
  </si>
  <si>
    <t>Real Estate Funds</t>
  </si>
  <si>
    <t>מספר תאגיד או שותפות בחו"ל</t>
  </si>
  <si>
    <t>שווי הבטוחות העומדות כנגד ההלוואה</t>
  </si>
  <si>
    <t>אג"ח שנרכש ביון 04/11/2008 ועד 31/03/2015 ונמדד בעלות מופחתת</t>
  </si>
  <si>
    <t>אג"ח לא סחיר שנרכש בין 04/11/2008 ועד 31/03/2015 ונמדד לפי עלות מופחתת</t>
  </si>
  <si>
    <t>שווי הוגן (בש"ח)</t>
  </si>
  <si>
    <t>דירוג הבנק</t>
  </si>
  <si>
    <t>ערך נקוב (יחידות)</t>
  </si>
  <si>
    <t>יתרות התחייבות להשקעה</t>
  </si>
  <si>
    <t>חברת ציטוט</t>
  </si>
  <si>
    <t>סימול בנק</t>
  </si>
  <si>
    <t xml:space="preserve">דירוג הלוואה/המנפיק </t>
  </si>
  <si>
    <t xml:space="preserve">דירוג נייר הערך/הלוואה/המנפיק </t>
  </si>
  <si>
    <t>הלוואה</t>
  </si>
  <si>
    <t>שם שותף כללי קרן השקעות</t>
  </si>
  <si>
    <t>סוג מספר מזהה שותף כללי קרן השקעות</t>
  </si>
  <si>
    <t>מדינת מיקום נדל"ן</t>
  </si>
  <si>
    <t>מדינה לפי חשיפה כלכלית; מדינת התאגדות קרן השקעה, מיקום משרד השותף הכללי, מדינת מיקום נדל"ן</t>
  </si>
  <si>
    <t>מספר קרן</t>
  </si>
  <si>
    <t>שם הנכס האחר</t>
  </si>
  <si>
    <t>מספר הנכס האחר</t>
  </si>
  <si>
    <t>שווי הוגן (במטבע הפעילות)</t>
  </si>
  <si>
    <t>עלות מופחתת (במטבע הפעילות)</t>
  </si>
  <si>
    <t>שם גיליון</t>
  </si>
  <si>
    <t>שם סעיף</t>
  </si>
  <si>
    <t>מניות, מב"כ ויה"ש</t>
  </si>
  <si>
    <t>לא סחיר מניות, מב"כ ויה"ש</t>
  </si>
  <si>
    <t>מספר מזהה שותף כללי קרן השקעות</t>
  </si>
  <si>
    <t>תאריך עסקה</t>
  </si>
  <si>
    <t>שער פיקדון</t>
  </si>
  <si>
    <t>סכום מסגרת האשראי הראשוני (במטבע הפעילות)</t>
  </si>
  <si>
    <t>תאריך פקיעת מחויבות להשקעה</t>
  </si>
  <si>
    <t>מטבע פעילות (רגל 1)</t>
  </si>
  <si>
    <t>מטבע פעילות (רגל 2)</t>
  </si>
  <si>
    <t>מספר סעיף</t>
  </si>
  <si>
    <t>in</t>
  </si>
  <si>
    <t>ca</t>
  </si>
  <si>
    <t>אינפיניטי השתלמות, גמל ופנסיה בע"מ</t>
  </si>
  <si>
    <t>מור גמל ופנסיה בע"מ</t>
  </si>
  <si>
    <t>סחיר</t>
  </si>
  <si>
    <t>מושעה</t>
  </si>
  <si>
    <t>נכסי עמיתים - קופות גמל</t>
  </si>
  <si>
    <t>נכסי עמיתים - קרנות פנסיה</t>
  </si>
  <si>
    <t>נכסי אפיק השקעה מובטח תשואה</t>
  </si>
  <si>
    <t>נכסי נוסטרו - חברת ביטוח</t>
  </si>
  <si>
    <t>נכסי מבוטחים - חברת ביטוח</t>
  </si>
  <si>
    <t>נכסי נוסטרו - חברה מנהלת</t>
  </si>
  <si>
    <t>pn</t>
  </si>
  <si>
    <t>gm</t>
  </si>
  <si>
    <t>סוג קובץ</t>
  </si>
  <si>
    <t>יעוד הקובץ</t>
  </si>
  <si>
    <t>מאפיין הלווואת מתואמות זכויות מקרקעין</t>
  </si>
  <si>
    <t>נדל"ן מניב - משרדים</t>
  </si>
  <si>
    <t>נדל"ן מניב
 - מסחר</t>
  </si>
  <si>
    <t>נדל"ן מניב
 - מגורים (כולל דיור מוגן)</t>
  </si>
  <si>
    <t>נדל"ן מניב
 - מלונאות</t>
  </si>
  <si>
    <t>נדל"ן מניב
 - לוגיסטיקה</t>
  </si>
  <si>
    <t>נדל"ן מניב
 - תעשייה</t>
  </si>
  <si>
    <t>נדל"ן מניב
 - אחר/לא מסווג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</si>
  <si>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</si>
  <si>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</si>
  <si>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</si>
  <si>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  מזה: בליווי פיננסי סגור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</si>
  <si>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</si>
  <si>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</si>
  <si>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</si>
  <si>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</si>
  <si>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</si>
  <si>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</si>
  <si>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</si>
  <si>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</si>
  <si>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</si>
  <si>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</si>
  <si>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</si>
  <si>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</si>
  <si>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</si>
  <si>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</si>
  <si>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</si>
  <si>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</si>
  <si>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</si>
  <si>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</si>
  <si>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</si>
  <si>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 xml:space="preserve">אשראי אחר בענף הנדל"ן
 (לרבות אשראי לכל מטרה) - אשראי לפעילות הונית </t>
  </si>
  <si>
    <t>אשראי אחר בענף הנדל"ן
 (לרבות אשראי לכל מטרה) - אחר/לא מסווג</t>
  </si>
  <si>
    <t>זכות חזרה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</si>
  <si>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</si>
  <si>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</si>
  <si>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</si>
  <si>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</si>
  <si>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</si>
  <si>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קובץ דיווח עבור רשימת נכסים ברמת הנכס הבודד (חוזר גופים מוסדיים 2015-9-14)</t>
  </si>
  <si>
    <t>Distributors</t>
  </si>
  <si>
    <t>Office REITs</t>
  </si>
  <si>
    <t>Health Care REITs</t>
  </si>
  <si>
    <t>Retail REITs</t>
  </si>
  <si>
    <t>Air Freight &amp; Logistics</t>
  </si>
  <si>
    <t>Energy Equipment &amp; Services</t>
  </si>
  <si>
    <t>Oil, Gas &amp; Consumable Fuels</t>
  </si>
  <si>
    <t>Chemicals</t>
  </si>
  <si>
    <t>Construction Materials</t>
  </si>
  <si>
    <t>Containers &amp; Packaging</t>
  </si>
  <si>
    <t>Metals &amp; Mining</t>
  </si>
  <si>
    <t>Paper &amp; Forest Products</t>
  </si>
  <si>
    <t>Aerospace &amp; Defense</t>
  </si>
  <si>
    <t>Building Products</t>
  </si>
  <si>
    <t>Construction &amp; Engineering</t>
  </si>
  <si>
    <t>Electrical Equipment</t>
  </si>
  <si>
    <t>Industrial Conglomerates</t>
  </si>
  <si>
    <t>Machinery</t>
  </si>
  <si>
    <t>Trading Companies &amp; Distributors</t>
  </si>
  <si>
    <t>Commercial Services &amp; Supplies</t>
  </si>
  <si>
    <t>Professional Services</t>
  </si>
  <si>
    <t>Transportation Infrastructure</t>
  </si>
  <si>
    <t>Automobiles</t>
  </si>
  <si>
    <t>Household Durables</t>
  </si>
  <si>
    <t>Leisure Products</t>
  </si>
  <si>
    <t>Textiles, Apparel &amp; Luxury Goods</t>
  </si>
  <si>
    <t>Hotels, Restaurants &amp; Leisure</t>
  </si>
  <si>
    <t>Diversified Consumer Services</t>
  </si>
  <si>
    <t>Specialty Retail</t>
  </si>
  <si>
    <t>Beverages</t>
  </si>
  <si>
    <t>Food Products</t>
  </si>
  <si>
    <t>Tobacco</t>
  </si>
  <si>
    <t>Household Products</t>
  </si>
  <si>
    <t>Health Care Equipment &amp; Supplies</t>
  </si>
  <si>
    <t>Health Care Providers &amp; Services</t>
  </si>
  <si>
    <t>Health Care Technology</t>
  </si>
  <si>
    <t>Biotechnology</t>
  </si>
  <si>
    <t>Pharmaceuticals</t>
  </si>
  <si>
    <t>Life Sciences Tools &amp; Services</t>
  </si>
  <si>
    <t>Consumer Finance</t>
  </si>
  <si>
    <t>Capital Markets</t>
  </si>
  <si>
    <t>IT Services</t>
  </si>
  <si>
    <t>Software</t>
  </si>
  <si>
    <t>Communications Equipment</t>
  </si>
  <si>
    <t>Technology Hardware, Storage &amp; Peripherals</t>
  </si>
  <si>
    <t>Electronic Equipment, Instruments &amp; Components</t>
  </si>
  <si>
    <t>Diversified Telecommunication Services</t>
  </si>
  <si>
    <t>Wireless Telecommunication Services</t>
  </si>
  <si>
    <t>Electric Utilities</t>
  </si>
  <si>
    <t>Gas Utilities</t>
  </si>
  <si>
    <t>Multi-Utilities</t>
  </si>
  <si>
    <t>Water Utilities</t>
  </si>
  <si>
    <t>Independent Power and Renewable Electricity Producers</t>
  </si>
  <si>
    <t>Equity Real Estate Investment Trusts</t>
  </si>
  <si>
    <t>Industrial REITs</t>
  </si>
  <si>
    <t>Hotel &amp; Resort REITs</t>
  </si>
  <si>
    <t>Residential REITs</t>
  </si>
  <si>
    <t>Specialized REITs</t>
  </si>
  <si>
    <t>Real Estate Management &amp; Development</t>
  </si>
  <si>
    <t>מאפיין הלוואות מתואמות עבור זכויות מקרקעין</t>
  </si>
  <si>
    <t>סוג גורם משערך</t>
  </si>
  <si>
    <t>שיעור מסך נכסי השקעה</t>
  </si>
  <si>
    <t>חלוקה בפועל מקרן השקעה</t>
  </si>
  <si>
    <r>
      <t xml:space="preserve">נדל"ן </t>
    </r>
    <r>
      <rPr>
        <b/>
        <sz val="11"/>
        <color theme="1"/>
        <rFont val="Calibri"/>
        <family val="2"/>
        <scheme val="minor"/>
      </rPr>
      <t>שלא</t>
    </r>
    <r>
      <rPr>
        <sz val="11"/>
        <color theme="1"/>
        <rFont val="Calibri"/>
        <family val="2"/>
        <charset val="177"/>
        <scheme val="minor"/>
      </rPr>
      <t xml:space="preserve"> בגינו ניתנה ההלוואה</t>
    </r>
  </si>
  <si>
    <t>ידווח בקבצי נכסי הנוסטרו בלבד</t>
  </si>
  <si>
    <t>שווי מטבעי</t>
  </si>
  <si>
    <t>NAV
(במטבע הדיווח של קרן ההשקעה)</t>
  </si>
  <si>
    <t>סכום המחויבות הראשוני (במטבע הדיווח של קרן ההשקעה)</t>
  </si>
  <si>
    <t>יתרת המחויבות לתקופת הדיווח (במטבע הדיווח של קרן ההשקעה)</t>
  </si>
  <si>
    <t>נחיתות חוזית</t>
  </si>
  <si>
    <t>קרן השקעה אחרת</t>
  </si>
  <si>
    <t>TASE-UP</t>
  </si>
  <si>
    <t>החזקה באפיק השקעה מובטח תשואה</t>
  </si>
  <si>
    <t>איחוד האמירויות הערביות</t>
  </si>
  <si>
    <t>אמריקה הצפונית</t>
  </si>
  <si>
    <t>אמריקה הדרומית</t>
  </si>
  <si>
    <t>אוקיאניה</t>
  </si>
  <si>
    <t>פלטפורמת TASE-UP</t>
  </si>
  <si>
    <t xml:space="preserve"> In liquidation/administration</t>
  </si>
  <si>
    <t>ü</t>
  </si>
  <si>
    <t>NAV (במטבע הדיווח של קרן ההשקעה)</t>
  </si>
  <si>
    <t>השקעה בחברה מוחזקת</t>
  </si>
  <si>
    <t>סכום לקבל (במטבע הפעילות)</t>
  </si>
  <si>
    <t>בשלבי רישום למסחר</t>
  </si>
  <si>
    <t>גלובלי ללא ארה"ב</t>
  </si>
  <si>
    <t>משולב</t>
  </si>
  <si>
    <t>גלובלי בלי ארה"ב</t>
  </si>
  <si>
    <t>שיעור מנכסי ההשקעה (רגל 2)</t>
  </si>
  <si>
    <t>שיעור מנכסי אפיק ההשקעה (רגל 2)</t>
  </si>
  <si>
    <t>שיעור מסך נכסי אפיק ההשקעה (רגל 2)</t>
  </si>
  <si>
    <t>לפי הגדרת MSCI</t>
  </si>
  <si>
    <t>מידע שניתן לדווח רק לרשות</t>
  </si>
  <si>
    <t>ערך נקוב</t>
  </si>
  <si>
    <t>שיעור תשואה בפועל במהלך הרבעון</t>
  </si>
  <si>
    <t>Diversified REITs</t>
  </si>
  <si>
    <t>Media</t>
  </si>
  <si>
    <t>Entertainment</t>
  </si>
  <si>
    <t>Interactive Media &amp; Services</t>
  </si>
  <si>
    <t>דרום קוריאה</t>
  </si>
  <si>
    <t>נורבגיה</t>
  </si>
  <si>
    <t>טייוואן</t>
  </si>
  <si>
    <t>ריבית</t>
  </si>
  <si>
    <t>לא סחיר</t>
  </si>
  <si>
    <t>השקעה בחברות מוחזקת</t>
  </si>
  <si>
    <t>איי הבתולה הבריטיים</t>
  </si>
  <si>
    <t>איי הבתולה של ארצות הברית</t>
  </si>
  <si>
    <t>(ומעלה ו/ או מדינה AA) אג"ח בארץ - כללי-אג"ח כללי בארץ - ללא מניות-אג"ח כללי בארץ בדירוג גבוה בלבד</t>
  </si>
  <si>
    <t>20 אג"ח בארץ - חברות והמרה-תל בונד צמוד מדד-תל בונד</t>
  </si>
  <si>
    <t>40 אג"ח בארץ - חברות והמרה-תל בונד צמוד מדד-תל בונד</t>
  </si>
  <si>
    <t>60 אג"ח בארץ - חברות והמרה-תל בונד צמוד מדד-תל בונד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</si>
  <si>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</si>
  <si>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</si>
  <si>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</si>
  <si>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</si>
  <si>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</si>
  <si>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</si>
  <si>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</si>
  <si>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</si>
  <si>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</si>
  <si>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</si>
  <si>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</si>
  <si>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</si>
  <si>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</si>
  <si>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 מדד- אחר</t>
  </si>
  <si>
    <t>אג"ח בארץ - חברות והמרה-תל בונד צמוד מדד-תל בונד צמודות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</si>
  <si>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</si>
  <si>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</si>
  <si>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</si>
  <si>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</si>
  <si>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שקלי</t>
  </si>
  <si>
    <t>אג"ח בארץ - חברות והמרה-תל בונד שקלי-תל בונד- תשואות שקל</t>
  </si>
  <si>
    <t>אג"ח בארץ - חברות והמרה-תל בונד שקלי-תל בונד שקלי- אחר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</si>
  <si>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</si>
  <si>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</si>
  <si>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</si>
  <si>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30%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</si>
  <si>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</si>
  <si>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</si>
  <si>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</si>
  <si>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10% מניות-אג"ח כללי בארץ- עד 10% מניות ועם סימן קריאה</t>
  </si>
  <si>
    <t>אג"ח בארץ - כללי-אג"ח כללי בארץ - עד 10% מניות-אג"ח כללי בארץ- עד 10% מניות ללא סימן קריאה</t>
  </si>
  <si>
    <t>אג"ח בארץ - כללי-אג"ח כללי בארץ - עד 20% מניות</t>
  </si>
  <si>
    <t>אג"ח בארץ - כללי-אג"ח כללי בארץ - עד 30% מניות</t>
  </si>
  <si>
    <t>אג"ח בארץ - מדינה-אג"ח מדינה כללי- עד 20% מניות</t>
  </si>
  <si>
    <t>אג"ח בארץ - מדינה-אג"ח מדינה כללי - ללא מניות</t>
  </si>
  <si>
    <t>אג"ח בארץ - מדינה-אג"ח מדינה כללי - עד 10% מניות</t>
  </si>
  <si>
    <t>אג"ח בארץ - מדינה-אג"ח מדינה משולבת - חשיפה מרבית מעל 10% מניות</t>
  </si>
  <si>
    <t>אג"ח בארץ - מדינה-אג"ח מדינה משולבת - ללא מניות</t>
  </si>
  <si>
    <t>אג"ח בארץ - מדינה-אג"ח מדינה משולבת - עד 10% מניות</t>
  </si>
  <si>
    <t>אג"ח בארץ - מדינה-אג"ח מדינה צמוד מדד- ללא מניות</t>
  </si>
  <si>
    <t>אג"ח בארץ - מדינה-אג"ח מדינה צמוד מדד- עד 10%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</si>
  <si>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</si>
  <si>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</si>
  <si>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0-2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</si>
  <si>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</si>
  <si>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5-10 שנים</t>
  </si>
  <si>
    <t>אג"ח בארץ - מדינה-אג"ח מדינה שקליות- ללא מניות</t>
  </si>
  <si>
    <t>אג"ח בארץ - מדינה-אג"ח מדינה שקליות- עד 10%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</si>
  <si>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</si>
  <si>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</si>
  <si>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</si>
  <si>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</si>
  <si>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</si>
  <si>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0-2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</si>
  <si>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</si>
  <si>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</si>
  <si>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</si>
  <si>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30% מניות</t>
  </si>
  <si>
    <t>אג"ח בארץ משולבת - כללי-אג"ח כללי בארץ משולבת - ללא מניות</t>
  </si>
  <si>
    <t>אג"ח בארץ משולבת - כללי-אג"ח כללי בארץ משולבת - עד 10% מניות</t>
  </si>
  <si>
    <t>אג"ח בארץ משולבת - כללי-אג"ח כללי בארץ משולבת - עד 20% מניות</t>
  </si>
  <si>
    <t>אג"ח בארץ משולבת - כללי-אג"ח כללי בארץ משולבת - עד 30% מניות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</si>
  <si>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</si>
  <si>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</si>
  <si>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</si>
  <si>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</si>
  <si>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</si>
  <si>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</si>
  <si>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</si>
  <si>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</si>
  <si>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</si>
  <si>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</si>
  <si>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</si>
  <si>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</si>
  <si>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</si>
  <si>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</si>
  <si>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</si>
  <si>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קרן סגורה-קרן טכנולוגיה עילית</t>
  </si>
  <si>
    <t>35 מניות בארץ - מניות כללי-ת"א</t>
  </si>
  <si>
    <t>90 מניות בארץ - מניות כללי-ת"א</t>
  </si>
  <si>
    <t>All Cap מניות בארץ - מניות לפי שווי שוק-מניות</t>
  </si>
  <si>
    <t>Banks מניות בחו"ל - מניות לפי ענפים בחו"ל - מנוטרלת מט"ח-אירופה- מניות</t>
  </si>
  <si>
    <t>CNX NIFTY - מניות בחו"ל - מניות גיאוגרפי - חשופת מט"ח-אסיה הודו</t>
  </si>
  <si>
    <t>DAX 30 - מניות בחו"ל - מניות גיאוגרפי - חשופת מט"ח-אירופה גרמניה</t>
  </si>
  <si>
    <t>DAX 30 - מניות בחו"ל - מניות גיאוגרפי - מנוטרלת מט"ח-אירופה גרמניה</t>
  </si>
  <si>
    <t>DJ INDUSTRIAL AVERAGE - מניות בחו"ל - מניות גיאוגרפי - חשופת מט"ח-ארה"ב</t>
  </si>
  <si>
    <t>(ממונפות ואסטרטגיות - אסטרטגיות (לא ממונפות</t>
  </si>
  <si>
    <t>125 מניות בארץ - מניות כללי-ת"א</t>
  </si>
  <si>
    <t>EURO STOXX 50 - מניות בחו"ל - מניות גיאוגרפי - חשופת מט"ח-אירופה כללי</t>
  </si>
  <si>
    <t>EURO STOXX 50 - מניות בחו"ל - מניות גיאוגרפי - מנוטרלת מט"ח-אירופה כללי</t>
  </si>
  <si>
    <t>Financial מניות בחו"ל - מניות לפי ענפים בחו"ל - חשופת מט"ח-ארה"ב- מניות</t>
  </si>
  <si>
    <t>FTSE 250 INDEX - מניות בחו"ל - מניות גיאוגרפי - מנוטרלת מט"ח-אירופה אנגליה</t>
  </si>
  <si>
    <t>FTSE China 50 - מניות בחו"ל - מניות גיאוגרפי - חשופת מט"ח-אסיה סין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</si>
  <si>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</si>
  <si>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</si>
  <si>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</si>
  <si>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30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</si>
  <si>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</si>
  <si>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</si>
  <si>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MSCI AC WORLD INDEX - מניות בחו"ל - מניות כללי בחו"ל - חשופת מט"ח-מניות כללי בחו"ל</t>
  </si>
  <si>
    <t>MSCI EMERGING MARKETS - מניות בחו"ל - מניות גיאוגרפי - חשופת מט"ח-שווקים מתעוררים כללי</t>
  </si>
  <si>
    <t>NASDAQ 100 - מניות בחו"ל - מניות גיאוגרפי - חשופת מט"ח-ארה"ב</t>
  </si>
  <si>
    <t>NASDAQ 100 -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</si>
  <si>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</si>
  <si>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</si>
  <si>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</si>
  <si>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RUSSELL 2000 - מניות בחו"ל - מניות גיאוגרפי - חשופת מט"ח-ארה"ב</t>
  </si>
  <si>
    <t>RUSSELL 2000 - מניות בחו"ל - מניות גיאוגרפי - מנוטרלת מט"ח-ארה"ב</t>
  </si>
  <si>
    <t>S&amp;P 500 - מניות בחו"ל - מניות גיאוגרפי - חשופת מט"ח-ארה"ב</t>
  </si>
  <si>
    <t>S&amp;P 500 - מניות בחו"ל - מניות גיאוגרפי - מנוטרלת מט"ח-ארה"ב</t>
  </si>
  <si>
    <t>S&amp;P/ASX 200 - מניות בחו"ל - מניות גיאוגרפי - חשופת מט"ח-חו"ל גיאוגרפי אחר - אוסטרליה</t>
  </si>
  <si>
    <t>Small Cap מניות בארץ - מניות לפי שווי שוק-מניות</t>
  </si>
  <si>
    <t>SME60 מניות בארץ - מניות כללי-ת"א</t>
  </si>
  <si>
    <t>STOXX EUROPE 600 - מניות בחו"ל - מניות גיאוגרפי - מנוטרלת מט"ח-אירופה כללי</t>
  </si>
  <si>
    <t>STOXX EUROPE 600 -מניות בחו"ל - מניות גיאוגרפי - חשופת מט"ח-אירופה כללי</t>
  </si>
  <si>
    <t>Technology מניות בחו"ל - מניות לפי ענפים בחו"ל - חשופת מט"ח-ארה"ב- מניות</t>
  </si>
  <si>
    <t>Technology מניות בחו"ל - מניות לפי ענפים בחו"ל - מנוטרלת מט"ח-ארה"ב-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</si>
  <si>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</si>
  <si>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</si>
  <si>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</si>
  <si>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חשופת מט"ח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</si>
  <si>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</si>
  <si>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</si>
  <si>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</si>
  <si>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</si>
  <si>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</si>
  <si>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</si>
  <si>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</si>
  <si>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</si>
  <si>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</si>
  <si>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</si>
  <si>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</si>
  <si>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</si>
  <si>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</si>
  <si>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</si>
  <si>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</si>
  <si>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בחו"ל משולבת</t>
  </si>
  <si>
    <t>מניות בחו"ל - מניות גיאוגרפי-ארה"ב חשופת מט"ח</t>
  </si>
  <si>
    <t>מניות בחו"ל - מניות גיאוגרפי-מניות גיאוגרפי אחר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</si>
  <si>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</si>
  <si>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</si>
  <si>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</si>
  <si>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</si>
  <si>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</si>
  <si>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</si>
  <si>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</si>
  <si>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</si>
  <si>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</si>
  <si>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גיאוגרפי - מנוטרלת מט"ח-שווקים מתעוררים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</si>
  <si>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</si>
  <si>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</si>
  <si>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</si>
  <si>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</si>
  <si>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</si>
  <si>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</si>
  <si>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חשופת מט"ח-ענפים אחרים</t>
  </si>
  <si>
    <t>מניות בחו"ל - מניות לפי ענפים בחו"ל - מנוטרלת מט"ח-ענפים אחרים</t>
  </si>
  <si>
    <t>גרנזי (Guernsey)</t>
  </si>
  <si>
    <t>ג'רזי (Jersey)</t>
  </si>
  <si>
    <t>זירת מסחר פיקטבית עבור הדיווח של אג"ח שהנפיקה ממשלה זרה</t>
  </si>
  <si>
    <t>נוסף במהדורה 12</t>
  </si>
  <si>
    <t>Repo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</si>
  <si>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</si>
  <si>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Passenger Airlines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</si>
  <si>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</si>
  <si>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Marine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</si>
  <si>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</si>
  <si>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Ground Transportation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</si>
  <si>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</si>
  <si>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Automobile Components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</si>
  <si>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</si>
  <si>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Broadline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</si>
  <si>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</si>
  <si>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Consumer Staples Distribution &amp; Retail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</si>
  <si>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</si>
  <si>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Personal Care Products</t>
  </si>
  <si>
    <t>Financial Services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</si>
  <si>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</si>
  <si>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Mortgage Real Estate Investment Trusts (REITs)</t>
  </si>
  <si>
    <t>סעיף מאזני</t>
  </si>
  <si>
    <t>שם נייר ערך</t>
  </si>
  <si>
    <t>דירוג נייר הערך/המנפיק</t>
  </si>
  <si>
    <t>תאריך אחרון בו נבחנה בפועל ירידת ערך</t>
  </si>
  <si>
    <t>דירוג הלוואה/המנפיק</t>
  </si>
  <si>
    <t>השיטה שבאמצעותה נקבע שווי הנכס</t>
  </si>
  <si>
    <t>FOREIGN_GOV_SEC</t>
  </si>
  <si>
    <t>עסקאות REPO</t>
  </si>
  <si>
    <t>חברות ללא פעילות ומעטפת</t>
  </si>
  <si>
    <t>שווי הוגן (באלפי ש"ח)</t>
  </si>
  <si>
    <t>עלות מופחתת (באלפי ש"ח)</t>
  </si>
  <si>
    <t>שווי הוגן (נטו  באלפי ש"ח)</t>
  </si>
  <si>
    <t>שווי מאזני (באלפי ש"ח)</t>
  </si>
  <si>
    <t>סכום מסגרת האשראי הראשוני (באלפי ש"ח)</t>
  </si>
  <si>
    <t>סכום המחויבות הראשוני (באלפי ש"ח)</t>
  </si>
  <si>
    <t>יתרת המחויבות לתקופת הדיווח (באלפי ש"ח)</t>
  </si>
  <si>
    <t>שווי הוגן (נטו באלפי ש"ח)</t>
  </si>
  <si>
    <t>שווי הנכסים באפיק (באלפי ש"ח)</t>
  </si>
  <si>
    <t>בתכנון / בהיתרים</t>
  </si>
  <si>
    <t>מגדלי תקשורת</t>
  </si>
  <si>
    <t>Developed Markets - Americas</t>
  </si>
  <si>
    <t>Developed Markets - Europe</t>
  </si>
  <si>
    <t>Developed Markets - Pacific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</si>
  <si>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</si>
  <si>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Emerging Markets - Americas</t>
  </si>
  <si>
    <t>Emerging Markets - Euope, Middle East &amp; Africa</t>
  </si>
  <si>
    <t>Emerging Markets - Asia</t>
  </si>
  <si>
    <t>Frontier Markets - Euope</t>
  </si>
  <si>
    <t>Frontier Markets - Africa</t>
  </si>
  <si>
    <t>Frontier Markets - Middle East</t>
  </si>
  <si>
    <t>Frontier Markets - Asia</t>
  </si>
  <si>
    <r>
      <rPr>
        <strike/>
        <sz val="11"/>
        <color theme="1"/>
        <rFont val="Calibri"/>
        <family val="2"/>
        <scheme val="minor"/>
      </rPr>
      <t>שווקים מתעוררים</t>
    </r>
    <r>
      <rPr>
        <sz val="11"/>
        <color theme="1"/>
        <rFont val="Calibri"/>
        <family val="2"/>
        <scheme val="minor"/>
      </rPr>
      <t xml:space="preserve"> לפי הגדרת MSCI</t>
    </r>
  </si>
  <si>
    <t>Emerging Markets</t>
  </si>
  <si>
    <t>Developed Markets</t>
  </si>
  <si>
    <t>Frontier Markets</t>
  </si>
  <si>
    <t>זכאים בגין נדל"ן</t>
  </si>
  <si>
    <t>הכנסות עו"ש לקבל</t>
  </si>
  <si>
    <t>חייבים והכנסות שכר דירה לקבל</t>
  </si>
  <si>
    <t>נוסף במסגרת עדכון הרשימה</t>
  </si>
  <si>
    <t>נוסף במסגרת עדכון הרשימה - שם גיליון</t>
  </si>
  <si>
    <t>תשתיות - שלב הקמה</t>
  </si>
  <si>
    <t>תשתיות - שלב תפעול</t>
  </si>
  <si>
    <t>אפרת ריינהרדט</t>
  </si>
  <si>
    <t>efrat@slice.co.il</t>
  </si>
  <si>
    <t>בנק לאומי לישראל בע"מ</t>
  </si>
  <si>
    <t>ilAAA</t>
  </si>
  <si>
    <t>ILS</t>
  </si>
  <si>
    <t>בנק הפועלים בע"מ</t>
  </si>
  <si>
    <t>USD</t>
  </si>
  <si>
    <t>EUR</t>
  </si>
  <si>
    <t>AUD</t>
  </si>
  <si>
    <t>GBP</t>
  </si>
  <si>
    <t>בזק</t>
  </si>
  <si>
    <t>ישראמקו נגב 2 שותפות מוגבלת</t>
  </si>
  <si>
    <t>ישראמקו     יהש</t>
  </si>
  <si>
    <t>פורמולה מערכות (1985)בע"מ</t>
  </si>
  <si>
    <t>פורמולה מערכות</t>
  </si>
  <si>
    <t>נייס בע"מ</t>
  </si>
  <si>
    <t>נייס</t>
  </si>
  <si>
    <t>מליסרון בע"מ</t>
  </si>
  <si>
    <t>מליסרון</t>
  </si>
  <si>
    <t>רציו אנרגיות-שותפות מוגבלת</t>
  </si>
  <si>
    <t>רציו      יהש</t>
  </si>
  <si>
    <t>מטריקס אי.טי בע"מ</t>
  </si>
  <si>
    <t>מטריקס</t>
  </si>
  <si>
    <t>ניו-מד אנרג'י- שותפות מוגבלת</t>
  </si>
  <si>
    <t>ניו-מד אנרג יהש</t>
  </si>
  <si>
    <t>מנורה מבטחים החזקות בע"מ</t>
  </si>
  <si>
    <t>מנורה מב החז</t>
  </si>
  <si>
    <t>הבנק הבינלאומי הראשון לישראל ב</t>
  </si>
  <si>
    <t>בינלאומי</t>
  </si>
  <si>
    <t>לאומי</t>
  </si>
  <si>
    <t>ישרס חברה להשקעות בע"מ</t>
  </si>
  <si>
    <t>ישרס</t>
  </si>
  <si>
    <t>לפידות קפיטל בע"מ</t>
  </si>
  <si>
    <t>לפידות קפיטל</t>
  </si>
  <si>
    <t>נפטא חברה ישראלית לנפט בע"מ</t>
  </si>
  <si>
    <t>נפטא</t>
  </si>
  <si>
    <t>פועלים</t>
  </si>
  <si>
    <t>בנק דיסקונט לישראל בע"מ</t>
  </si>
  <si>
    <t>דיסקונט       א</t>
  </si>
  <si>
    <t>בנק מזרחי טפחות בע"מ</t>
  </si>
  <si>
    <t>מזרחי טפחות</t>
  </si>
  <si>
    <t>ערד השקעות ופתוח תעשיה בע"מ</t>
  </si>
  <si>
    <t>ערד</t>
  </si>
  <si>
    <t>שטראוס גרופ בע"מ</t>
  </si>
  <si>
    <t>שטראוס</t>
  </si>
  <si>
    <t>פ.י.ב.י. אחזקות בע"מ</t>
  </si>
  <si>
    <t>פיבי</t>
  </si>
  <si>
    <t>הפניקס</t>
  </si>
  <si>
    <t>אלביט מערכות בע"מ</t>
  </si>
  <si>
    <t>אלביט מערכות</t>
  </si>
  <si>
    <t>מגדל אחזקות ביטוח ופיננסים בע"</t>
  </si>
  <si>
    <t>מגדל ביטוח</t>
  </si>
  <si>
    <t>טאואר סמיקונדקטור בע"מ</t>
  </si>
  <si>
    <t>טאואר</t>
  </si>
  <si>
    <t>גילת רשתות לווין בע"מ</t>
  </si>
  <si>
    <t>גילת</t>
  </si>
  <si>
    <t>נובה בע"מ</t>
  </si>
  <si>
    <t>נובה</t>
  </si>
  <si>
    <t>חילן בע"מ</t>
  </si>
  <si>
    <t>חילן</t>
  </si>
  <si>
    <t>סאפיינס אינטרנשיונל קורפוריישן</t>
  </si>
  <si>
    <t>סאפיינס</t>
  </si>
  <si>
    <t>מיטרוניקס בע"מ</t>
  </si>
  <si>
    <t>מיטרוניקס</t>
  </si>
  <si>
    <t>קמטק בע"מ</t>
  </si>
  <si>
    <t>קמטק</t>
  </si>
  <si>
    <t>פריון נטוורק בע"מ</t>
  </si>
  <si>
    <t>פריון נטוורק</t>
  </si>
  <si>
    <t>אמות השקעות בע"מ</t>
  </si>
  <si>
    <t>אמות</t>
  </si>
  <si>
    <t>אפריקה ישראל מגורים בע"מ</t>
  </si>
  <si>
    <t>אפריקה מגורים</t>
  </si>
  <si>
    <t>פז חברת הנפט בע"מ</t>
  </si>
  <si>
    <t>פז נפט</t>
  </si>
  <si>
    <t>רשת חנויות רמי לוי שיווק השיקמ</t>
  </si>
  <si>
    <t>רמי לוי</t>
  </si>
  <si>
    <t>סלע קפיטל נדל"ן בע"מ</t>
  </si>
  <si>
    <t>סלע נדלן</t>
  </si>
  <si>
    <t>קבוצת עזריאלי בע"מ</t>
  </si>
  <si>
    <t>עזריאלי קבוצה</t>
  </si>
  <si>
    <t>מגדלי הים התיכון בע"מ</t>
  </si>
  <si>
    <t>מגדלי תיכון</t>
  </si>
  <si>
    <t>אורמת טכנולוגיות, אינק</t>
  </si>
  <si>
    <t>אורמת טכנו</t>
  </si>
  <si>
    <t>נאוויטס פטרוליום, שותפות מוגבל</t>
  </si>
  <si>
    <t>נאוויטס פטר יהש</t>
  </si>
  <si>
    <t>ישראכרט בע"מ</t>
  </si>
  <si>
    <t>ישראכרט</t>
  </si>
  <si>
    <t>מ.יוחננוף ובניו (1988) בע"מ</t>
  </si>
  <si>
    <t>יוחננוף</t>
  </si>
  <si>
    <t>משק אנרגיה-אנרגיות מתחדשות בע"</t>
  </si>
  <si>
    <t>משק אנרגיה</t>
  </si>
  <si>
    <t>דניה סיבוס בע"מ</t>
  </si>
  <si>
    <t>דניה סיבוס</t>
  </si>
  <si>
    <t>דיפלומט אחזקות בע"מ</t>
  </si>
  <si>
    <t>דיפלומט אחזקות</t>
  </si>
  <si>
    <t>ישרס אחזקות בע"מ</t>
  </si>
  <si>
    <t>ישרס אחזקות</t>
  </si>
  <si>
    <t>בתי זקוק לנפט בע"מ</t>
  </si>
  <si>
    <t>בזן</t>
  </si>
  <si>
    <t>מיטב קרנות נאמנות בע"מ</t>
  </si>
  <si>
    <t>תכ.תא35</t>
  </si>
  <si>
    <t>קסם קרנות נאמנות בע"מ</t>
  </si>
  <si>
    <t>קסם.תא 35</t>
  </si>
  <si>
    <t>הראל קרנות נאמנות בע"מ</t>
  </si>
  <si>
    <t>הרל.תא 35</t>
  </si>
  <si>
    <t>מגדל קרנות נאמנות בע"מ</t>
  </si>
  <si>
    <t>MTF.תא35</t>
  </si>
  <si>
    <t>תכ.תלבונד60</t>
  </si>
  <si>
    <t>קסם.תלבונד 60</t>
  </si>
  <si>
    <t>הרל.תלבונד 60</t>
  </si>
  <si>
    <t>AMUNDI S&amp;P 500 UCITS ETF</t>
  </si>
  <si>
    <t>LU1681048804</t>
  </si>
  <si>
    <t>INVESCO S&amp;P 500 ACC</t>
  </si>
  <si>
    <t>IE00B3YCGJ38</t>
  </si>
  <si>
    <t>ISHARES CORE S&amp;P 500</t>
  </si>
  <si>
    <t>IE00B5BMR087</t>
  </si>
  <si>
    <t>X S&amp;P 500 SWAP</t>
  </si>
  <si>
    <t>LU0490618542</t>
  </si>
  <si>
    <t>קסם.תל ג-צמ 0-2</t>
  </si>
  <si>
    <t>קסם.תלבונד שקלי</t>
  </si>
  <si>
    <t>קסם.SP500ממ</t>
  </si>
  <si>
    <t>SP500.MTFממ</t>
  </si>
  <si>
    <t>STX600.MTFממ</t>
  </si>
  <si>
    <t>INVESCO QQQ TRUST SERIES 1</t>
  </si>
  <si>
    <t>US46090E1038</t>
  </si>
  <si>
    <t>ISHARES 0-5 YR HY CORP BOND</t>
  </si>
  <si>
    <t>US46434V4077</t>
  </si>
  <si>
    <t>ISHARES U.S. FINANCIAL SERVI</t>
  </si>
  <si>
    <t>US4642877702</t>
  </si>
  <si>
    <t>תכ.תלבונדשקלי</t>
  </si>
  <si>
    <t>תכ.NDX100ממ</t>
  </si>
  <si>
    <t>SP500.הרל</t>
  </si>
  <si>
    <t>הרל.SP500 ממ</t>
  </si>
  <si>
    <t>הרל.SPFINANCEממ</t>
  </si>
  <si>
    <t>מור ניהול קרנות נאמנות</t>
  </si>
  <si>
    <t>מו.SP500ממ</t>
  </si>
  <si>
    <t>ISHARES S&amp;P 500 INDEX FUND</t>
  </si>
  <si>
    <t>US4642872000</t>
  </si>
  <si>
    <t>INVESCO S&amp;P 500 LOW VOLATIL</t>
  </si>
  <si>
    <t>US46138E3541</t>
  </si>
  <si>
    <t>SPDR BofA ML Crossover Corp Bo</t>
  </si>
  <si>
    <t>US78468R6062</t>
  </si>
  <si>
    <t>ISHARES JPM USD EM CORP BND</t>
  </si>
  <si>
    <t>IE00B6TLBW47</t>
  </si>
  <si>
    <t>ISHARES J.P.MORGAN EM CORPORAT</t>
  </si>
  <si>
    <t>US4642862514</t>
  </si>
  <si>
    <t>X MSCI JAPAN ESG</t>
  </si>
  <si>
    <t>IE00BG36TC12</t>
  </si>
  <si>
    <t>MTF.תלבונדשקלי</t>
  </si>
  <si>
    <t>מו.NDX100ממ</t>
  </si>
  <si>
    <t>INVESCO S&amp;P 500 DOWNSIDE HED</t>
  </si>
  <si>
    <t>US46090A7054</t>
  </si>
  <si>
    <t>SP500.מו</t>
  </si>
  <si>
    <t>MTF.תלבנצ1-3</t>
  </si>
  <si>
    <t>קסם.תלבונד צ1-3</t>
  </si>
  <si>
    <t>SPDR DJIA TRUST</t>
  </si>
  <si>
    <t>US78467X1090</t>
  </si>
  <si>
    <t>תכ.תלבונדמאגר</t>
  </si>
  <si>
    <t>SP500.תכ</t>
  </si>
  <si>
    <t>קסם.תלבונד מאגר</t>
  </si>
  <si>
    <t>הרל.תלבונד מאגר</t>
  </si>
  <si>
    <t>MTF.תלבונד-מאגר</t>
  </si>
  <si>
    <t>LYXOR CORE EURSTX 600 DR</t>
  </si>
  <si>
    <t>LU0908500753</t>
  </si>
  <si>
    <t>STX600.MTF</t>
  </si>
  <si>
    <t>הרל.תלבונד שקלי</t>
  </si>
  <si>
    <t>הרל.תלבונד צמוד</t>
  </si>
  <si>
    <t>ISHARES TRUST ISHARES ESG AW</t>
  </si>
  <si>
    <t>US46435G4257</t>
  </si>
  <si>
    <t>SPDR S&amp;P 500</t>
  </si>
  <si>
    <t>IE00B6YX5C33</t>
  </si>
  <si>
    <t>תכ.STOXX600מא</t>
  </si>
  <si>
    <t>NASDAQ100.MTFממ</t>
  </si>
  <si>
    <t>ISHARES DOW JONES INDUS AVRG</t>
  </si>
  <si>
    <t>IE00B53L4350</t>
  </si>
  <si>
    <t>MARKET VECTORS GOLD MINERS</t>
  </si>
  <si>
    <t>US9229083632</t>
  </si>
  <si>
    <t>אלטשולר שחם ניהול קרנות</t>
  </si>
  <si>
    <t>אלטש כספ לא קנצ</t>
  </si>
  <si>
    <t>מור כספית</t>
  </si>
  <si>
    <t>הראל כס מגמ ריב</t>
  </si>
  <si>
    <t>STX EURO600 קסם</t>
  </si>
  <si>
    <t>BLKR ADV EUR X UK-D USD HDG</t>
  </si>
  <si>
    <t>IE00BFZP7J29</t>
  </si>
  <si>
    <t>BGF-FIX INC GL OP-D2 USD</t>
  </si>
  <si>
    <t>LU0278469043</t>
  </si>
  <si>
    <t>BLKRK ADV US EQ-D USD ACC</t>
  </si>
  <si>
    <t>IE00BFZP7V49</t>
  </si>
  <si>
    <t>BLCKRCK I ICAV TAC-D USD ACC</t>
  </si>
  <si>
    <t>IE00BK4PZV64</t>
  </si>
  <si>
    <t>קסם SPHLTCAREממ</t>
  </si>
  <si>
    <t>פניקס קפיטל</t>
  </si>
  <si>
    <t>Stepstone</t>
  </si>
  <si>
    <t>Stepstone_SCL E</t>
  </si>
  <si>
    <t>SCL Enhanched $</t>
  </si>
  <si>
    <t>פניקס קפיטל/פולן</t>
  </si>
  <si>
    <t>POLLEN FUND</t>
  </si>
  <si>
    <t>הפניקס רילטק בע"מ</t>
  </si>
  <si>
    <t>Real Es_Dbt KYC</t>
  </si>
  <si>
    <t>Ares Real Estat</t>
  </si>
  <si>
    <t>(Hedge Fund) קרן גידור</t>
  </si>
  <si>
    <t>קומריט השקעות בע"מ</t>
  </si>
  <si>
    <t>Comrit Inv_fund</t>
  </si>
  <si>
    <t>Debt strateg In</t>
  </si>
  <si>
    <t>טנדם קפיטל השקעות בע"מ</t>
  </si>
  <si>
    <t>GB Fund</t>
  </si>
  <si>
    <t>METROPOLITAN OFFSHORE PARTNERS FUND VII, LP</t>
  </si>
  <si>
    <t>Metropolitan</t>
  </si>
  <si>
    <t xml:space="preserve"> </t>
  </si>
  <si>
    <t xml:space="preserve">      שווי הוגן</t>
  </si>
  <si>
    <t>Ares Real Estate Enhanced Income Advisors LLC</t>
  </si>
  <si>
    <t>הראל תל גוב-שקל</t>
  </si>
  <si>
    <t>קסם אקטכספיתפט</t>
  </si>
  <si>
    <t>BlackRock Advantage Eurore</t>
  </si>
  <si>
    <t>BlackRock Global Funds - Fixed</t>
  </si>
  <si>
    <t>BlackRock Sustainable Advantag</t>
  </si>
  <si>
    <t>BlackRock Funds I ICAV</t>
  </si>
  <si>
    <t>IBI.יSHILLERUSמ</t>
  </si>
  <si>
    <t>SHILLERCUSי.IBI</t>
  </si>
  <si>
    <t>IBI.SHILLER נ $</t>
  </si>
  <si>
    <t>מדינת ישראל</t>
  </si>
  <si>
    <t>ממשל שקלית 0229</t>
  </si>
  <si>
    <t>RF</t>
  </si>
  <si>
    <t>ממשל צמודה 1028</t>
  </si>
  <si>
    <t>קסם תל גוב-שקלי</t>
  </si>
  <si>
    <t>קבועה</t>
  </si>
  <si>
    <t>iShares Core S&amp;P 500 UCITS ETF</t>
  </si>
  <si>
    <t>IBI.תלבונד 60</t>
  </si>
  <si>
    <t>הרל.תא 125</t>
  </si>
  <si>
    <t>מו.סל תא 125</t>
  </si>
  <si>
    <t>SPDR Dow Jones Industrial Aver</t>
  </si>
  <si>
    <t>iShares 0-5 Year High Yield Co</t>
  </si>
  <si>
    <t>iShares U.S. Financial Service</t>
  </si>
  <si>
    <t>תכ.SP500ממ</t>
  </si>
  <si>
    <t>Amundi Stoxx Europe 600 UCITS</t>
  </si>
  <si>
    <t>MTF.תא125</t>
  </si>
  <si>
    <t>Invesco QQQ Trust Series 1</t>
  </si>
  <si>
    <t>iShares ESG Aware MSCI USA ETF</t>
  </si>
  <si>
    <t>מו.סל תלבונד 60</t>
  </si>
  <si>
    <t>SPDR S&amp;P 500 UCITS ETF</t>
  </si>
  <si>
    <t>תכ.תא125</t>
  </si>
  <si>
    <t>קסם.תא 125</t>
  </si>
  <si>
    <t>iShares Dow Jones Industrial A</t>
  </si>
  <si>
    <t>Vanguard S&amp;P 500 ETF</t>
  </si>
  <si>
    <t>Amundi S&amp;P 500 UCITS ETF</t>
  </si>
  <si>
    <t>Xtrackers S&amp;P 500 Swap UCITS E</t>
  </si>
  <si>
    <t>SPDR S&amp;P 500 UCITC ETF</t>
  </si>
  <si>
    <t>SPDR S&amp;P 500 UCITS ETF ACC</t>
  </si>
  <si>
    <t>IE000XZSV718</t>
  </si>
  <si>
    <t>SP500.קסם</t>
  </si>
  <si>
    <t>SPDR Portfolio High Yield Bond</t>
  </si>
  <si>
    <t>Invesco S&amp;P 500 Downside Hedge</t>
  </si>
  <si>
    <t>MTF.תלבונד60</t>
  </si>
  <si>
    <t>BNP Paribas Easy S&amp;P 500 UCITS</t>
  </si>
  <si>
    <t>BNP P S&amp;P 500 UCITS ETF</t>
  </si>
  <si>
    <t>FR0011550177</t>
  </si>
  <si>
    <t>IBI.תא 125</t>
  </si>
  <si>
    <t>iShares Core S&amp;P 500 ETF</t>
  </si>
  <si>
    <t>Franklin U.S. Low Volatility H</t>
  </si>
  <si>
    <t>LEGG MASON LO VOL HI DIV ETF</t>
  </si>
  <si>
    <t>US52468L4068</t>
  </si>
  <si>
    <t>Invesco S&amp;P 500 Low Volatility</t>
  </si>
  <si>
    <t>SPDR Bloomberg Short Term High</t>
  </si>
  <si>
    <t>SPDR BLOOMBERG SHORT TERM HIGH</t>
  </si>
  <si>
    <t>US78468R4083</t>
  </si>
  <si>
    <t>Xtrackers MSCI Pacific ex Japa</t>
  </si>
  <si>
    <t>DB X-TRACKERS MSCI PAC X-JPN</t>
  </si>
  <si>
    <t>LU0322252338</t>
  </si>
  <si>
    <t>iShares JP Morgan USD EM Corp</t>
  </si>
  <si>
    <t>Amundi USD Floating Rate Corpo</t>
  </si>
  <si>
    <t>AMUNDI ETF FLOAT RATE USD CP</t>
  </si>
  <si>
    <t>LU1681040900</t>
  </si>
  <si>
    <t>Xtrackers MSCI USA UCITS ETF</t>
  </si>
  <si>
    <t>DBX MSCI USA (DR)</t>
  </si>
  <si>
    <t>IE00BJ0KDR00</t>
  </si>
  <si>
    <t>iShares J.P. Morgan EM Corpora</t>
  </si>
  <si>
    <t>Vanguard USD Emerging Markets</t>
  </si>
  <si>
    <t>VANG USDEMGVB USDA</t>
  </si>
  <si>
    <t>IE00BGYWCB81</t>
  </si>
  <si>
    <t>Vanguard Mortgage-Backed Secur</t>
  </si>
  <si>
    <t>US92206C7719</t>
  </si>
  <si>
    <t>Xtrackers MSCI Japan ESG UCITS</t>
  </si>
  <si>
    <t>UBS Lux Fund Solutions - MSCI</t>
  </si>
  <si>
    <t>UBS ETF MSCI EMU USD</t>
  </si>
  <si>
    <t>LU1169819809</t>
  </si>
  <si>
    <t>Amundi MSCI Emerging Markets I</t>
  </si>
  <si>
    <t>AM MSCI EM MARKETS</t>
  </si>
  <si>
    <t>LU2573966905</t>
  </si>
  <si>
    <t>WisdomTree Japan Equity UCITS</t>
  </si>
  <si>
    <t>WISDOMTREE JAPAN</t>
  </si>
  <si>
    <t>IE00BYQCZN58</t>
  </si>
  <si>
    <t>Invesco US Treasury 7-10 Year</t>
  </si>
  <si>
    <t>IE00BF2FN646</t>
  </si>
  <si>
    <t>Invesco US Treasury 3-7 Year U</t>
  </si>
  <si>
    <t>INVESCO US TRES 3-7 YR</t>
  </si>
  <si>
    <t>IE00BF2FNQ44</t>
  </si>
  <si>
    <t>Invesco US Treasury Bond 10+ Y</t>
  </si>
  <si>
    <t>INVESCO US TRES 10 YR</t>
  </si>
  <si>
    <t>IE00BKWD3743</t>
  </si>
  <si>
    <t>Amundi FTSE 100 UCITS ETF</t>
  </si>
  <si>
    <t>AMUNDI FTSE 100 ETF USD</t>
  </si>
  <si>
    <t>LU1650492504</t>
  </si>
  <si>
    <t>Invesco US Treasury 1-3 Year U</t>
  </si>
  <si>
    <t>INVESCO US TRES 1-3 YR</t>
  </si>
  <si>
    <t>IE00BF2FNH52</t>
  </si>
  <si>
    <t>IL0011948028</t>
  </si>
  <si>
    <t>IL0011973265</t>
  </si>
  <si>
    <t>בזק החברה הישראלית לתקשורת בע"</t>
  </si>
  <si>
    <t xml:space="preserve">   520031931</t>
  </si>
  <si>
    <t>ח.פ</t>
  </si>
  <si>
    <t>IL0002300114</t>
  </si>
  <si>
    <t xml:space="preserve">   550010003</t>
  </si>
  <si>
    <t>IL0002320179</t>
  </si>
  <si>
    <t xml:space="preserve">   520036690</t>
  </si>
  <si>
    <t>IL0002560162</t>
  </si>
  <si>
    <t xml:space="preserve">   520036872</t>
  </si>
  <si>
    <t>IL0002730112</t>
  </si>
  <si>
    <t xml:space="preserve">   520037789</t>
  </si>
  <si>
    <t>IL0003230146</t>
  </si>
  <si>
    <t xml:space="preserve">   550012777</t>
  </si>
  <si>
    <t>IL0003940157</t>
  </si>
  <si>
    <t xml:space="preserve">   520039413</t>
  </si>
  <si>
    <t>IL0004450156</t>
  </si>
  <si>
    <t xml:space="preserve">   550013098</t>
  </si>
  <si>
    <t>IL0004750209</t>
  </si>
  <si>
    <t xml:space="preserve">   520007469</t>
  </si>
  <si>
    <t>IL0005660183</t>
  </si>
  <si>
    <t xml:space="preserve">   520029083</t>
  </si>
  <si>
    <t>IL0005930388</t>
  </si>
  <si>
    <t xml:space="preserve">   520018078</t>
  </si>
  <si>
    <t>IL0006046119</t>
  </si>
  <si>
    <t xml:space="preserve">   520017807</t>
  </si>
  <si>
    <t>IL0006130343</t>
  </si>
  <si>
    <t xml:space="preserve">   520022971</t>
  </si>
  <si>
    <t>IL0006420173</t>
  </si>
  <si>
    <t xml:space="preserve">   520020942</t>
  </si>
  <si>
    <t>IL0006430156</t>
  </si>
  <si>
    <t xml:space="preserve">   520000118</t>
  </si>
  <si>
    <t>IL0006625771</t>
  </si>
  <si>
    <t xml:space="preserve">   520007030</t>
  </si>
  <si>
    <t>IL0006912120</t>
  </si>
  <si>
    <t xml:space="preserve">   520000522</t>
  </si>
  <si>
    <t>IL0006954379</t>
  </si>
  <si>
    <t xml:space="preserve">   520025198</t>
  </si>
  <si>
    <t>IL0007310183</t>
  </si>
  <si>
    <t xml:space="preserve">   520003781</t>
  </si>
  <si>
    <t>IL0007460160</t>
  </si>
  <si>
    <t xml:space="preserve">   520029026</t>
  </si>
  <si>
    <t>IL0007630119</t>
  </si>
  <si>
    <t>הפניקס פיננסים בע"מ</t>
  </si>
  <si>
    <t xml:space="preserve">   520017450</t>
  </si>
  <si>
    <t>IL0007670123</t>
  </si>
  <si>
    <t xml:space="preserve">   520043027</t>
  </si>
  <si>
    <t>IL0010811243</t>
  </si>
  <si>
    <t xml:space="preserve">   520029984</t>
  </si>
  <si>
    <t>IL0010811656</t>
  </si>
  <si>
    <t xml:space="preserve">   520041997</t>
  </si>
  <si>
    <t>IL0010823792</t>
  </si>
  <si>
    <t xml:space="preserve">   520038936</t>
  </si>
  <si>
    <t>IL0010825102</t>
  </si>
  <si>
    <t xml:space="preserve">   511812463</t>
  </si>
  <si>
    <t>IL0010845571</t>
  </si>
  <si>
    <t xml:space="preserve">   520039942</t>
  </si>
  <si>
    <t>IL0010846983</t>
  </si>
  <si>
    <t>53368</t>
  </si>
  <si>
    <t>KYG7T16G1039</t>
  </si>
  <si>
    <t xml:space="preserve">   511527202</t>
  </si>
  <si>
    <t>IL0010910656</t>
  </si>
  <si>
    <t xml:space="preserve">   511235434</t>
  </si>
  <si>
    <t>IL0010952641</t>
  </si>
  <si>
    <t xml:space="preserve">   512849498</t>
  </si>
  <si>
    <t>IL0010958192</t>
  </si>
  <si>
    <t xml:space="preserve">   520026683</t>
  </si>
  <si>
    <t>IL0010972789</t>
  </si>
  <si>
    <t xml:space="preserve">   520034760</t>
  </si>
  <si>
    <t>IL0010979487</t>
  </si>
  <si>
    <t xml:space="preserve">   510216054</t>
  </si>
  <si>
    <t>IL0011000077</t>
  </si>
  <si>
    <t xml:space="preserve">   513770669</t>
  </si>
  <si>
    <t>IL0011042491</t>
  </si>
  <si>
    <t xml:space="preserve">   513992529</t>
  </si>
  <si>
    <t>IL0011096448</t>
  </si>
  <si>
    <t xml:space="preserve">   510960719</t>
  </si>
  <si>
    <t>IL0011194789</t>
  </si>
  <si>
    <t xml:space="preserve">   512719485</t>
  </si>
  <si>
    <t>IL0011315236</t>
  </si>
  <si>
    <t>880326081</t>
  </si>
  <si>
    <t>US6866881021</t>
  </si>
  <si>
    <t xml:space="preserve">   550263107</t>
  </si>
  <si>
    <t>IL0011419699</t>
  </si>
  <si>
    <t xml:space="preserve">   510706153</t>
  </si>
  <si>
    <t>IL0011574030</t>
  </si>
  <si>
    <t xml:space="preserve">   511344186</t>
  </si>
  <si>
    <t>IL0011612640</t>
  </si>
  <si>
    <t xml:space="preserve">   516167343</t>
  </si>
  <si>
    <t>IL0011669749</t>
  </si>
  <si>
    <t xml:space="preserve">   512569237</t>
  </si>
  <si>
    <t>IL0011731374</t>
  </si>
  <si>
    <t xml:space="preserve">   510400740</t>
  </si>
  <si>
    <t>IL0011734915</t>
  </si>
  <si>
    <t xml:space="preserve">   516632387</t>
  </si>
  <si>
    <t>IL0012029778</t>
  </si>
  <si>
    <t xml:space="preserve">   520036658</t>
  </si>
  <si>
    <t>IL0025902482</t>
  </si>
  <si>
    <t>513534974</t>
  </si>
  <si>
    <t>IL0011437006</t>
  </si>
  <si>
    <t>510938608</t>
  </si>
  <si>
    <t>IL0011465700</t>
  </si>
  <si>
    <t>511776783</t>
  </si>
  <si>
    <t>IL0011489072</t>
  </si>
  <si>
    <t xml:space="preserve">   511303661</t>
  </si>
  <si>
    <t>IL0011501843</t>
  </si>
  <si>
    <t>IL0011451015</t>
  </si>
  <si>
    <t>IL0011462327</t>
  </si>
  <si>
    <t>אי.בי.אי קרנות נאמנות בעמ</t>
  </si>
  <si>
    <t xml:space="preserve">   513765339</t>
  </si>
  <si>
    <t>IL0011480063</t>
  </si>
  <si>
    <t>IL0011504730</t>
  </si>
  <si>
    <t>2138007NOUJ46G9POA93</t>
  </si>
  <si>
    <t>Invesco</t>
  </si>
  <si>
    <t>ECPGFXU8A2SH</t>
  </si>
  <si>
    <t>5493006ESS9BM09FB892</t>
  </si>
  <si>
    <t>54930044TWZ26JPZ4913</t>
  </si>
  <si>
    <t>549300F1TODGOV4WQV40</t>
  </si>
  <si>
    <t>IL0011461337</t>
  </si>
  <si>
    <t>IL0011499964</t>
  </si>
  <si>
    <t>IL0011953044</t>
  </si>
  <si>
    <t>IL0011437188</t>
  </si>
  <si>
    <t>IL0011451841</t>
  </si>
  <si>
    <t>IL0011464141</t>
  </si>
  <si>
    <t>IL0011464711</t>
  </si>
  <si>
    <t>IL0011466047</t>
  </si>
  <si>
    <t>IL0011491375</t>
  </si>
  <si>
    <t>IL0011502833</t>
  </si>
  <si>
    <t>IL0011505729</t>
  </si>
  <si>
    <t>IL0011506149</t>
  </si>
  <si>
    <t>IL0011658288</t>
  </si>
  <si>
    <t>IL0011961534</t>
  </si>
  <si>
    <t>549300VY6FEJBCIMET58</t>
  </si>
  <si>
    <t>549300R96U5WQ7R5ID10</t>
  </si>
  <si>
    <t>549300O3BGVZIZJEZC19</t>
  </si>
  <si>
    <t>IL0011488082</t>
  </si>
  <si>
    <t>969500M16QGQY5B5T207</t>
  </si>
  <si>
    <t>IL0011437345</t>
  </si>
  <si>
    <t>IL0011490203</t>
  </si>
  <si>
    <t>IL0011498974</t>
  </si>
  <si>
    <t>5493007M4YMN8XL48C14</t>
  </si>
  <si>
    <t>549300PKK8HNPP2M1496</t>
  </si>
  <si>
    <t>549300FATA6ZCF8G1744</t>
  </si>
  <si>
    <t>549300YI2V5ELVW58659</t>
  </si>
  <si>
    <t>549300IMXTZVDI0YUS81</t>
  </si>
  <si>
    <t>549300B3SM8J1H4W2052</t>
  </si>
  <si>
    <t>549300357UC6D7NUY405</t>
  </si>
  <si>
    <t>549300W6M26WPJCWRV83</t>
  </si>
  <si>
    <t>549300J9YPZW8OQXLF38</t>
  </si>
  <si>
    <t>549300KPO5RMKK5GGF02</t>
  </si>
  <si>
    <t>549300F8XA3BCKJYN050</t>
  </si>
  <si>
    <t>157FPOCFDEEVUKWE4M41</t>
  </si>
  <si>
    <t>B8GS85IADJB33D8WL305</t>
  </si>
  <si>
    <t>549300VT3CD217Z7Q476</t>
  </si>
  <si>
    <t>5493006APQNFBILQN550</t>
  </si>
  <si>
    <t>213800EH8RDDKCSGK398</t>
  </si>
  <si>
    <t>549300RMMYLGSFFMT454</t>
  </si>
  <si>
    <t>549300M83IV9PRQ2B094</t>
  </si>
  <si>
    <t>549300ITT22V0R1UG360</t>
  </si>
  <si>
    <t>549300ZSUNT442XC2W03</t>
  </si>
  <si>
    <t>969500FMP5CVBAARUA49</t>
  </si>
  <si>
    <t>254900KX9HZCHMBQ8059</t>
  </si>
  <si>
    <t>SP500.IBI</t>
  </si>
  <si>
    <t>IL0011481624</t>
  </si>
  <si>
    <t>IL0011488991</t>
  </si>
  <si>
    <t>IL0011500027</t>
  </si>
  <si>
    <t>IL0011658445</t>
  </si>
  <si>
    <t>IL0011658106</t>
  </si>
  <si>
    <t>IL0011931271</t>
  </si>
  <si>
    <t>IL0011936148</t>
  </si>
  <si>
    <t>54930039F2SG3UG2OZ18</t>
  </si>
  <si>
    <t>IL0011438178</t>
  </si>
  <si>
    <t>IL0011440133</t>
  </si>
  <si>
    <t>IL0011443855</t>
  </si>
  <si>
    <t>IL0011470817</t>
  </si>
  <si>
    <t>IL0011696221</t>
  </si>
  <si>
    <t>IL0011933178</t>
  </si>
  <si>
    <t>96950059MYAJ2V6YHN55</t>
  </si>
  <si>
    <t>IL0011502262</t>
  </si>
  <si>
    <t>IL0011505232</t>
  </si>
  <si>
    <t>IL0011506065</t>
  </si>
  <si>
    <t>549300N2OW8SZV95FP93</t>
  </si>
  <si>
    <t>IBI.תלבונד צמוד</t>
  </si>
  <si>
    <t>IL0011480485</t>
  </si>
  <si>
    <t>IL0011438335</t>
  </si>
  <si>
    <t>IL0011463564</t>
  </si>
  <si>
    <t>IL0011814451</t>
  </si>
  <si>
    <t>549300L1K8RUOX2MIF18</t>
  </si>
  <si>
    <t>IL0051058209</t>
  </si>
  <si>
    <t>IL0051198138</t>
  </si>
  <si>
    <t>IL0051278815</t>
  </si>
  <si>
    <t>IL0051277908</t>
  </si>
  <si>
    <t>IL0051256126</t>
  </si>
  <si>
    <t>549300MQT7YRWQ7R2C91</t>
  </si>
  <si>
    <t>549300CNEUCVQC88OL03</t>
  </si>
  <si>
    <t>5493002MQ0TZR3NYON05</t>
  </si>
  <si>
    <t>549300CTIHAGMB3T0563</t>
  </si>
  <si>
    <t>IL0051346893</t>
  </si>
  <si>
    <t>IL0051307374</t>
  </si>
  <si>
    <t>IL0051371792</t>
  </si>
  <si>
    <t>IL0051360563</t>
  </si>
  <si>
    <t>FW EUR 225</t>
  </si>
  <si>
    <t>FW EUR 227</t>
  </si>
  <si>
    <t>FW $ 260</t>
  </si>
  <si>
    <t>FW $ 262</t>
  </si>
  <si>
    <t>FW $ 266</t>
  </si>
  <si>
    <t xml:space="preserve">         תכ.שחר</t>
  </si>
  <si>
    <t>IL0011451437</t>
  </si>
  <si>
    <t>מח גוב שקלי MTF</t>
  </si>
  <si>
    <t>IL0051180474</t>
  </si>
  <si>
    <t>IL0051233935</t>
  </si>
  <si>
    <t>IL0051281116</t>
  </si>
  <si>
    <t>הלוואה 1</t>
  </si>
  <si>
    <t>הלוואה 2</t>
  </si>
  <si>
    <t>הלוואה 3</t>
  </si>
  <si>
    <t>הלוואה 4</t>
  </si>
  <si>
    <t>הלוואה 5</t>
  </si>
  <si>
    <t>הלוואה 6</t>
  </si>
  <si>
    <t>הלוואה 7</t>
  </si>
  <si>
    <t>הלוואה 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</si>
</sst>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3" formatCode="_-* #,##0.00_-;\-* #,##0.00_-;_-* &quot;-&quot;??_-;_-@_-"/>
    <numFmt numFmtId="164" formatCode="0.000"/>
    <numFmt numFmtId="165" formatCode="#,##0.000"/>
    <numFmt numFmtId="166" formatCode="#0"/>
    <numFmt numFmtId="167" formatCode="#,##0.000%"/>
    <numFmt numFmtId="168" formatCode="#,##0.######"/>
    <numFmt numFmtId="169" formatCode="dd/mm/yy"/>
    <numFmt numFmtId="170" formatCode="#0.000%"/>
    <numFmt numFmtId="171" formatCode="#0.000"/>
    <numFmt numFmtId="172" formatCode="0.0000"/>
  </numFmts>
  <fonts count="29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theme="1"/>
      <name val="Calibri"/>
      <family val="2"/>
      <scheme val="minor"/>
    </font>
    <font>
      <sz val="11"/>
      <color theme="1"/>
      <name val="Calibri"/>
      <family val="2"/>
      <charset val="177"/>
      <scheme val="minor"/>
    </font>
    <font>
      <b/>
      <sz val="10"/>
      <color theme="1"/>
      <name val="Arial"/>
      <family val="2"/>
    </font>
    <font>
      <sz val="10"/>
      <color theme="3"/>
      <name val="Arial"/>
      <family val="2"/>
    </font>
    <font>
      <sz val="10"/>
      <color theme="2" tint="-0.749992370372631"/>
      <name val="Open Sans"/>
      <family val="2"/>
    </font>
    <font>
      <b/>
      <sz val="11"/>
      <color theme="1"/>
      <name val="Calibri"/>
      <family val="2"/>
      <scheme val="minor"/>
    </font>
    <font>
      <b/>
      <sz val="14"/>
      <color theme="0"/>
      <name val="Arial"/>
      <family val="2"/>
    </font>
    <font>
      <b/>
      <u/>
      <sz val="10"/>
      <color theme="1"/>
      <name val="Calibri"/>
      <family val="2"/>
      <scheme val="minor"/>
    </font>
    <font>
      <b/>
      <u/>
      <sz val="11"/>
      <color theme="1"/>
      <name val="Arial"/>
      <family val="2"/>
    </font>
    <font>
      <i/>
      <sz val="11"/>
      <color theme="1"/>
      <name val="Calibri"/>
      <family val="2"/>
      <scheme val="minor"/>
    </font>
    <font>
      <sz val="12"/>
      <color theme="1"/>
      <name val="David"/>
      <family val="2"/>
    </font>
    <font>
      <b/>
      <sz val="12"/>
      <color theme="1"/>
      <name val="David"/>
      <family val="2"/>
    </font>
    <font>
      <b/>
      <sz val="11"/>
      <color theme="0"/>
      <name val="Arial"/>
      <family val="2"/>
    </font>
    <font>
      <sz val="11"/>
      <color theme="1"/>
      <name val="David"/>
      <family val="2"/>
    </font>
    <font>
      <b/>
      <sz val="12"/>
      <color theme="9" tint="-0.499984740745262"/>
      <name val="Wingdings"/>
      <charset val="2"/>
    </font>
    <font>
      <b/>
      <sz val="12"/>
      <color theme="9" tint="-0.499984740745262"/>
      <name val="David"/>
      <family val="2"/>
    </font>
    <font>
      <strike/>
      <sz val="11"/>
      <color theme="1"/>
      <name val="Arial"/>
      <family val="2"/>
    </font>
    <font>
      <strike/>
      <sz val="11"/>
      <color theme="1"/>
      <name val="Calibri"/>
      <family val="2"/>
      <scheme val="minor"/>
    </font>
    <font>
      <strike/>
      <sz val="11"/>
      <color theme="1"/>
      <name val="Calibri"/>
      <family val="2"/>
      <charset val="177"/>
      <scheme val="minor"/>
    </font>
    <font>
      <u/>
      <sz val="11"/>
      <color theme="10"/>
      <name val="Calibri"/>
      <family val="2"/>
      <charset val="177"/>
      <scheme val="minor"/>
    </font>
    <font>
      <sz val="8"/>
      <color theme="1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3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/>
      <diagonal/>
    </border>
    <border>
      <left style="thin">
        <color theme="4" tint="0.39994506668294322"/>
      </left>
      <right style="thin">
        <color theme="4" tint="0.39994506668294322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/>
      <bottom style="thin">
        <color theme="4" tint="0.39994506668294322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1454817346722"/>
      </top>
      <bottom/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dashed">
        <color auto="1"/>
      </left>
      <right/>
      <top style="dashed">
        <color auto="1"/>
      </top>
      <bottom/>
      <diagonal/>
    </border>
    <border>
      <left/>
      <right/>
      <top style="dashed">
        <color auto="1"/>
      </top>
      <bottom/>
      <diagonal/>
    </border>
    <border>
      <left/>
      <right style="dashed">
        <color auto="1"/>
      </right>
      <top style="dashed">
        <color auto="1"/>
      </top>
      <bottom/>
      <diagonal/>
    </border>
    <border>
      <left/>
      <right style="thin">
        <color theme="4" tint="0.39994506668294322"/>
      </right>
      <top/>
      <bottom/>
      <diagonal/>
    </border>
    <border>
      <left style="thin">
        <color theme="4" tint="0.39994506668294322"/>
      </left>
      <right/>
      <top/>
      <bottom/>
      <diagonal/>
    </border>
    <border>
      <left/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6">
    <xf numFmtId="0" fontId="0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27" fillId="0" borderId="0" applyNumberFormat="0" applyFill="0" applyBorder="0" applyAlignment="0" applyProtection="0"/>
    <xf numFmtId="43" fontId="9" fillId="0" borderId="0" applyFont="0" applyFill="0" applyBorder="0" applyAlignment="0" applyProtection="0"/>
  </cellStyleXfs>
  <cellXfs count="195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/>
    <xf numFmtId="0" fontId="4" fillId="0" borderId="0" xfId="0" applyFont="1" applyAlignment="1">
      <alignment vertical="center" wrapText="1"/>
    </xf>
    <xf numFmtId="0" fontId="3" fillId="0" borderId="0" xfId="0" applyFont="1"/>
    <xf numFmtId="0" fontId="4" fillId="0" borderId="0" xfId="0" applyFont="1" applyBorder="1"/>
    <xf numFmtId="0" fontId="4" fillId="0" borderId="1" xfId="0" applyFont="1" applyBorder="1" applyProtection="1">
      <protection locked="0"/>
    </xf>
    <xf numFmtId="0" fontId="3" fillId="0" borderId="2" xfId="0" applyFont="1" applyBorder="1" applyProtection="1">
      <protection locked="0"/>
    </xf>
    <xf numFmtId="0" fontId="3" fillId="0" borderId="1" xfId="0" applyFont="1" applyBorder="1" applyProtection="1">
      <protection locked="0"/>
    </xf>
    <xf numFmtId="0" fontId="3" fillId="0" borderId="0" xfId="0" applyFont="1" applyAlignment="1" applyProtection="1">
      <alignment horizontal="right" readingOrder="1"/>
    </xf>
    <xf numFmtId="0" fontId="8" fillId="0" borderId="0" xfId="0" applyFont="1"/>
    <xf numFmtId="0" fontId="8" fillId="0" borderId="0" xfId="0" applyFont="1" applyAlignment="1">
      <alignment horizontal="center" vertical="center" wrapText="1"/>
    </xf>
    <xf numFmtId="0" fontId="2" fillId="0" borderId="0" xfId="0" applyFont="1"/>
    <xf numFmtId="0" fontId="2" fillId="0" borderId="0" xfId="0" applyFont="1" applyBorder="1" applyAlignment="1">
      <alignment horizontal="center"/>
    </xf>
    <xf numFmtId="0" fontId="10" fillId="4" borderId="0" xfId="0" applyFont="1" applyFill="1"/>
    <xf numFmtId="0" fontId="11" fillId="0" borderId="0" xfId="0" applyFont="1"/>
    <xf numFmtId="0" fontId="0" fillId="0" borderId="0" xfId="0" applyFont="1" applyBorder="1" applyAlignment="1">
      <alignment horizontal="right"/>
    </xf>
    <xf numFmtId="0" fontId="0" fillId="0" borderId="0" xfId="0" applyFont="1"/>
    <xf numFmtId="0" fontId="0" fillId="0" borderId="0" xfId="0" applyProtection="1">
      <protection locked="0"/>
    </xf>
    <xf numFmtId="0" fontId="5" fillId="4" borderId="0" xfId="0" applyFont="1" applyFill="1"/>
    <xf numFmtId="0" fontId="3" fillId="0" borderId="0" xfId="0" applyFont="1" applyBorder="1" applyProtection="1">
      <protection locked="0"/>
    </xf>
    <xf numFmtId="0" fontId="7" fillId="3" borderId="3" xfId="0" applyFont="1" applyFill="1" applyBorder="1" applyAlignment="1">
      <alignment horizontal="center" vertical="center" wrapText="1"/>
    </xf>
    <xf numFmtId="0" fontId="4" fillId="0" borderId="0" xfId="0" applyFont="1" applyBorder="1" applyProtection="1">
      <protection locked="0"/>
    </xf>
    <xf numFmtId="0" fontId="4" fillId="0" borderId="0" xfId="0" applyFont="1" applyFill="1" applyBorder="1" applyProtection="1">
      <protection locked="0"/>
    </xf>
    <xf numFmtId="0" fontId="3" fillId="2" borderId="4" xfId="0" applyFont="1" applyFill="1" applyBorder="1" applyAlignment="1" applyProtection="1">
      <alignment horizontal="right"/>
    </xf>
    <xf numFmtId="0" fontId="3" fillId="0" borderId="4" xfId="0" applyFont="1" applyFill="1" applyBorder="1" applyAlignment="1" applyProtection="1">
      <alignment horizontal="right"/>
    </xf>
    <xf numFmtId="0" fontId="13" fillId="0" borderId="0" xfId="0" applyFont="1"/>
    <xf numFmtId="0" fontId="13" fillId="0" borderId="0" xfId="0" applyFont="1" applyAlignment="1">
      <alignment horizontal="right" vertical="top"/>
    </xf>
    <xf numFmtId="0" fontId="0" fillId="0" borderId="0" xfId="0" applyAlignment="1">
      <alignment horizontal="right" vertical="top" wrapText="1"/>
    </xf>
    <xf numFmtId="0" fontId="2" fillId="0" borderId="0" xfId="0" applyFont="1" applyBorder="1" applyProtection="1">
      <protection locked="0"/>
    </xf>
    <xf numFmtId="0" fontId="0" fillId="0" borderId="0" xfId="0" applyAlignment="1">
      <alignment horizontal="right" vertical="top"/>
    </xf>
    <xf numFmtId="0" fontId="7" fillId="3" borderId="9" xfId="0" applyFont="1" applyFill="1" applyBorder="1" applyAlignment="1">
      <alignment horizontal="center" vertical="center" wrapText="1"/>
    </xf>
    <xf numFmtId="0" fontId="0" fillId="0" borderId="0" xfId="0" applyFont="1" applyAlignment="1"/>
    <xf numFmtId="0" fontId="3" fillId="0" borderId="0" xfId="0" applyFont="1" applyFill="1" applyBorder="1" applyProtection="1">
      <protection locked="0"/>
    </xf>
    <xf numFmtId="0" fontId="0" fillId="0" borderId="0" xfId="0" applyAlignment="1">
      <alignment horizontal="right"/>
    </xf>
    <xf numFmtId="0" fontId="12" fillId="5" borderId="0" xfId="1" applyFont="1" applyFill="1" applyBorder="1" applyAlignment="1" applyProtection="1">
      <alignment horizontal="left" vertical="center" wrapText="1" indent="1"/>
      <protection locked="0"/>
    </xf>
    <xf numFmtId="0" fontId="14" fillId="3" borderId="8" xfId="0" applyFont="1" applyFill="1" applyBorder="1" applyAlignment="1">
      <alignment vertical="center"/>
    </xf>
    <xf numFmtId="0" fontId="14" fillId="3" borderId="0" xfId="0" applyFont="1" applyFill="1" applyBorder="1" applyAlignment="1">
      <alignment vertical="center"/>
    </xf>
    <xf numFmtId="49" fontId="0" fillId="0" borderId="0" xfId="0" applyNumberFormat="1" applyAlignment="1">
      <alignment horizontal="right"/>
    </xf>
    <xf numFmtId="49" fontId="13" fillId="0" borderId="0" xfId="0" applyNumberFormat="1" applyFont="1" applyAlignment="1">
      <alignment horizontal="right"/>
    </xf>
    <xf numFmtId="0" fontId="17" fillId="0" borderId="0" xfId="0" applyFont="1"/>
    <xf numFmtId="0" fontId="2" fillId="0" borderId="0" xfId="0" applyFont="1" applyFill="1"/>
    <xf numFmtId="0" fontId="2" fillId="0" borderId="0" xfId="0" applyFont="1" applyFill="1" applyBorder="1" applyProtection="1">
      <protection locked="0"/>
    </xf>
    <xf numFmtId="0" fontId="0" fillId="0" borderId="0" xfId="0" applyFill="1"/>
    <xf numFmtId="0" fontId="4" fillId="0" borderId="0" xfId="0" applyFont="1" applyFill="1"/>
    <xf numFmtId="0" fontId="2" fillId="0" borderId="0" xfId="0" applyFont="1" applyBorder="1"/>
    <xf numFmtId="0" fontId="4" fillId="0" borderId="0" xfId="0" applyFont="1" applyFill="1" applyBorder="1"/>
    <xf numFmtId="0" fontId="3" fillId="0" borderId="0" xfId="0" applyFont="1" applyFill="1"/>
    <xf numFmtId="0" fontId="0" fillId="0" borderId="0" xfId="0" applyNumberFormat="1"/>
    <xf numFmtId="0" fontId="18" fillId="0" borderId="1" xfId="0" applyFont="1" applyBorder="1" applyAlignment="1">
      <alignment vertical="center" wrapText="1" readingOrder="2"/>
    </xf>
    <xf numFmtId="0" fontId="18" fillId="0" borderId="1" xfId="0" applyFont="1" applyBorder="1" applyAlignment="1">
      <alignment horizontal="right" vertical="center" wrapText="1" readingOrder="2"/>
    </xf>
    <xf numFmtId="2" fontId="18" fillId="0" borderId="1" xfId="0" applyNumberFormat="1" applyFont="1" applyBorder="1" applyAlignment="1">
      <alignment vertical="center" wrapText="1" readingOrder="2"/>
    </xf>
    <xf numFmtId="164" fontId="18" fillId="0" borderId="1" xfId="0" applyNumberFormat="1" applyFont="1" applyBorder="1" applyAlignment="1">
      <alignment vertical="center" wrapText="1" readingOrder="2"/>
    </xf>
    <xf numFmtId="0" fontId="18" fillId="0" borderId="1" xfId="0" applyFont="1" applyFill="1" applyBorder="1" applyAlignment="1">
      <alignment horizontal="right" vertical="center" wrapText="1" readingOrder="2"/>
    </xf>
    <xf numFmtId="0" fontId="2" fillId="6" borderId="0" xfId="0" applyFont="1" applyFill="1"/>
    <xf numFmtId="1" fontId="0" fillId="0" borderId="0" xfId="0" applyNumberFormat="1" applyAlignment="1">
      <alignment horizontal="right"/>
    </xf>
    <xf numFmtId="0" fontId="19" fillId="0" borderId="1" xfId="0" applyFont="1" applyBorder="1" applyAlignment="1">
      <alignment vertical="center" wrapText="1" readingOrder="2"/>
    </xf>
    <xf numFmtId="0" fontId="6" fillId="3" borderId="11" xfId="0" applyFont="1" applyFill="1" applyBorder="1" applyAlignment="1">
      <alignment horizontal="center" vertical="center" wrapText="1"/>
    </xf>
    <xf numFmtId="0" fontId="7" fillId="3" borderId="11" xfId="0" applyFont="1" applyFill="1" applyBorder="1" applyAlignment="1">
      <alignment horizontal="center" vertical="center" wrapText="1"/>
    </xf>
    <xf numFmtId="0" fontId="7" fillId="3" borderId="11" xfId="0" applyFont="1" applyFill="1" applyBorder="1" applyAlignment="1">
      <alignment horizontal="right" vertical="center" wrapText="1"/>
    </xf>
    <xf numFmtId="0" fontId="8" fillId="0" borderId="11" xfId="0" applyFont="1" applyBorder="1"/>
    <xf numFmtId="0" fontId="8" fillId="0" borderId="11" xfId="0" applyFont="1" applyBorder="1" applyAlignment="1">
      <alignment horizontal="center" vertical="center" wrapText="1"/>
    </xf>
    <xf numFmtId="0" fontId="8" fillId="0" borderId="11" xfId="0" applyFont="1" applyFill="1" applyBorder="1"/>
    <xf numFmtId="0" fontId="8" fillId="0" borderId="11" xfId="0" applyFont="1" applyFill="1" applyBorder="1" applyAlignment="1">
      <alignment horizontal="center" vertical="center" wrapText="1"/>
    </xf>
    <xf numFmtId="0" fontId="15" fillId="0" borderId="11" xfId="0" applyFont="1" applyBorder="1" applyAlignment="1">
      <alignment horizontal="center" vertical="center" wrapText="1"/>
    </xf>
    <xf numFmtId="0" fontId="20" fillId="3" borderId="4" xfId="0" applyFont="1" applyFill="1" applyBorder="1" applyAlignment="1">
      <alignment horizontal="center" vertical="center" wrapText="1"/>
    </xf>
    <xf numFmtId="0" fontId="0" fillId="0" borderId="0" xfId="0" applyFont="1" applyAlignment="1">
      <alignment horizontal="center" vertical="center"/>
    </xf>
    <xf numFmtId="0" fontId="0" fillId="2" borderId="4" xfId="0" applyFont="1" applyFill="1" applyBorder="1" applyAlignment="1">
      <alignment horizontal="right"/>
    </xf>
    <xf numFmtId="0" fontId="0" fillId="0" borderId="4" xfId="0" applyFont="1" applyFill="1" applyBorder="1" applyAlignment="1"/>
    <xf numFmtId="0" fontId="0" fillId="0" borderId="0" xfId="0" applyFont="1" applyAlignment="1">
      <alignment horizontal="right"/>
    </xf>
    <xf numFmtId="0" fontId="0" fillId="0" borderId="4" xfId="0" applyFont="1" applyFill="1" applyBorder="1" applyAlignment="1">
      <alignment horizontal="right"/>
    </xf>
    <xf numFmtId="0" fontId="0" fillId="0" borderId="5" xfId="0" applyFont="1" applyFill="1" applyBorder="1" applyAlignment="1">
      <alignment horizontal="right"/>
    </xf>
    <xf numFmtId="0" fontId="0" fillId="2" borderId="5" xfId="0" applyFont="1" applyFill="1" applyBorder="1" applyAlignment="1">
      <alignment horizontal="right"/>
    </xf>
    <xf numFmtId="0" fontId="0" fillId="2" borderId="7" xfId="0" applyFont="1" applyFill="1" applyBorder="1" applyAlignment="1">
      <alignment horizontal="right"/>
    </xf>
    <xf numFmtId="0" fontId="21" fillId="0" borderId="0" xfId="0" applyFont="1"/>
    <xf numFmtId="0" fontId="0" fillId="0" borderId="7" xfId="0" applyFont="1" applyFill="1" applyBorder="1" applyAlignment="1">
      <alignment horizontal="right"/>
    </xf>
    <xf numFmtId="0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2" fillId="2" borderId="5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0" fillId="0" borderId="5" xfId="0" applyFont="1" applyFill="1" applyBorder="1" applyAlignment="1">
      <alignment horizontal="center" vertical="top"/>
    </xf>
    <xf numFmtId="0" fontId="0" fillId="0" borderId="6" xfId="0" applyFont="1" applyFill="1" applyBorder="1" applyAlignment="1">
      <alignment horizontal="center" vertical="top"/>
    </xf>
    <xf numFmtId="0" fontId="0" fillId="0" borderId="7" xfId="0" applyFont="1" applyFill="1" applyBorder="1" applyAlignment="1">
      <alignment horizontal="center" vertical="top"/>
    </xf>
    <xf numFmtId="0" fontId="0" fillId="0" borderId="5" xfId="0" applyFont="1" applyFill="1" applyBorder="1" applyAlignment="1">
      <alignment horizontal="right" vertical="top"/>
    </xf>
    <xf numFmtId="0" fontId="0" fillId="0" borderId="6" xfId="0" applyFont="1" applyFill="1" applyBorder="1" applyAlignment="1">
      <alignment horizontal="right" vertical="top"/>
    </xf>
    <xf numFmtId="0" fontId="0" fillId="0" borderId="7" xfId="0" applyFont="1" applyFill="1" applyBorder="1" applyAlignment="1">
      <alignment horizontal="right" vertical="top"/>
    </xf>
    <xf numFmtId="0" fontId="2" fillId="0" borderId="5" xfId="0" applyFont="1" applyFill="1" applyBorder="1" applyAlignment="1">
      <alignment horizontal="right" vertical="top"/>
    </xf>
    <xf numFmtId="0" fontId="2" fillId="0" borderId="6" xfId="0" applyFont="1" applyFill="1" applyBorder="1" applyAlignment="1">
      <alignment horizontal="right" vertical="top"/>
    </xf>
    <xf numFmtId="0" fontId="2" fillId="0" borderId="7" xfId="0" applyFont="1" applyFill="1" applyBorder="1" applyAlignment="1">
      <alignment horizontal="right" vertical="top"/>
    </xf>
    <xf numFmtId="0" fontId="0" fillId="0" borderId="5" xfId="0" applyFont="1" applyFill="1" applyBorder="1" applyAlignment="1">
      <alignment vertical="top"/>
    </xf>
    <xf numFmtId="0" fontId="0" fillId="0" borderId="6" xfId="0" applyFont="1" applyFill="1" applyBorder="1" applyAlignment="1">
      <alignment vertical="top"/>
    </xf>
    <xf numFmtId="0" fontId="0" fillId="0" borderId="7" xfId="0" applyFont="1" applyFill="1" applyBorder="1" applyAlignment="1">
      <alignment vertical="top"/>
    </xf>
    <xf numFmtId="0" fontId="0" fillId="2" borderId="5" xfId="0" applyFont="1" applyFill="1" applyBorder="1" applyAlignment="1">
      <alignment vertical="top"/>
    </xf>
    <xf numFmtId="0" fontId="0" fillId="2" borderId="6" xfId="0" applyFont="1" applyFill="1" applyBorder="1" applyAlignment="1">
      <alignment vertical="top"/>
    </xf>
    <xf numFmtId="0" fontId="0" fillId="2" borderId="7" xfId="0" applyFont="1" applyFill="1" applyBorder="1" applyAlignment="1">
      <alignment vertical="top"/>
    </xf>
    <xf numFmtId="0" fontId="0" fillId="0" borderId="6" xfId="0" applyFont="1" applyFill="1" applyBorder="1" applyAlignment="1">
      <alignment horizontal="center"/>
    </xf>
    <xf numFmtId="0" fontId="2" fillId="0" borderId="5" xfId="0" applyFont="1" applyFill="1" applyBorder="1" applyAlignment="1">
      <alignment horizontal="center"/>
    </xf>
    <xf numFmtId="0" fontId="2" fillId="0" borderId="6" xfId="0" applyFont="1" applyFill="1" applyBorder="1" applyAlignment="1">
      <alignment horizontal="center"/>
    </xf>
    <xf numFmtId="0" fontId="2" fillId="0" borderId="7" xfId="0" applyFont="1" applyFill="1" applyBorder="1" applyAlignment="1">
      <alignment horizontal="center"/>
    </xf>
    <xf numFmtId="0" fontId="0" fillId="2" borderId="5" xfId="0" applyFont="1" applyFill="1" applyBorder="1" applyAlignment="1">
      <alignment horizontal="right" vertical="top"/>
    </xf>
    <xf numFmtId="0" fontId="0" fillId="2" borderId="6" xfId="0" applyFont="1" applyFill="1" applyBorder="1" applyAlignment="1">
      <alignment horizontal="right" vertical="top"/>
    </xf>
    <xf numFmtId="0" fontId="0" fillId="2" borderId="5" xfId="0" applyFont="1" applyFill="1" applyBorder="1" applyAlignment="1">
      <alignment horizontal="center"/>
    </xf>
    <xf numFmtId="0" fontId="0" fillId="2" borderId="6" xfId="0" applyFont="1" applyFill="1" applyBorder="1" applyAlignment="1">
      <alignment horizontal="center"/>
    </xf>
    <xf numFmtId="0" fontId="0" fillId="2" borderId="5" xfId="0" applyFont="1" applyFill="1" applyBorder="1" applyAlignment="1">
      <alignment vertical="center" wrapText="1"/>
    </xf>
    <xf numFmtId="0" fontId="0" fillId="2" borderId="7" xfId="0" applyFont="1" applyFill="1" applyBorder="1" applyAlignment="1">
      <alignment vertical="center" wrapText="1"/>
    </xf>
    <xf numFmtId="0" fontId="2" fillId="0" borderId="10" xfId="0" applyFont="1" applyFill="1" applyBorder="1" applyAlignment="1">
      <alignment horizontal="right" vertical="top"/>
    </xf>
    <xf numFmtId="0" fontId="0" fillId="2" borderId="5" xfId="0" applyFont="1" applyFill="1" applyBorder="1" applyAlignment="1">
      <alignment horizontal="right" vertical="top" wrapText="1"/>
    </xf>
    <xf numFmtId="0" fontId="0" fillId="2" borderId="6" xfId="0" applyFont="1" applyFill="1" applyBorder="1" applyAlignment="1">
      <alignment horizontal="right" vertical="top" wrapText="1"/>
    </xf>
    <xf numFmtId="0" fontId="2" fillId="2" borderId="5" xfId="0" applyFont="1" applyFill="1" applyBorder="1" applyAlignment="1">
      <alignment horizontal="right" vertical="top"/>
    </xf>
    <xf numFmtId="0" fontId="2" fillId="2" borderId="10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0" fontId="3" fillId="0" borderId="5" xfId="0" applyFont="1" applyFill="1" applyBorder="1" applyAlignment="1" applyProtection="1">
      <alignment horizontal="right" vertical="top"/>
    </xf>
    <xf numFmtId="0" fontId="3" fillId="0" borderId="7" xfId="0" applyFont="1" applyFill="1" applyBorder="1" applyAlignment="1" applyProtection="1">
      <alignment horizontal="right" vertical="top"/>
    </xf>
    <xf numFmtId="0" fontId="0" fillId="0" borderId="5" xfId="0" applyFont="1" applyFill="1" applyBorder="1" applyAlignment="1">
      <alignment horizontal="right" vertical="top" wrapText="1"/>
    </xf>
    <xf numFmtId="0" fontId="0" fillId="0" borderId="6" xfId="0" applyFont="1" applyFill="1" applyBorder="1" applyAlignment="1">
      <alignment horizontal="right" vertical="top" wrapText="1"/>
    </xf>
    <xf numFmtId="0" fontId="0" fillId="2" borderId="5" xfId="0" applyFont="1" applyFill="1" applyBorder="1" applyAlignment="1">
      <alignment vertical="top" wrapText="1"/>
    </xf>
    <xf numFmtId="0" fontId="0" fillId="2" borderId="6" xfId="0" applyFont="1" applyFill="1" applyBorder="1" applyAlignment="1">
      <alignment vertical="top" wrapText="1"/>
    </xf>
    <xf numFmtId="0" fontId="0" fillId="0" borderId="5" xfId="0" applyFont="1" applyFill="1" applyBorder="1" applyAlignment="1">
      <alignment vertical="top" wrapText="1"/>
    </xf>
    <xf numFmtId="0" fontId="0" fillId="0" borderId="6" xfId="0" applyFont="1" applyFill="1" applyBorder="1" applyAlignment="1">
      <alignment vertical="top" wrapText="1"/>
    </xf>
    <xf numFmtId="0" fontId="12" fillId="5" borderId="12" xfId="1" applyFont="1" applyFill="1" applyBorder="1" applyAlignment="1" applyProtection="1">
      <alignment horizontal="right" vertical="center" wrapText="1"/>
      <protection locked="0"/>
    </xf>
    <xf numFmtId="0" fontId="12" fillId="5" borderId="12" xfId="1" applyFont="1" applyFill="1" applyBorder="1" applyAlignment="1" applyProtection="1">
      <alignment horizontal="right" vertical="center" wrapText="1"/>
    </xf>
    <xf numFmtId="0" fontId="12" fillId="5" borderId="12" xfId="1" applyFont="1" applyFill="1" applyBorder="1" applyAlignment="1" applyProtection="1">
      <alignment horizontal="left" vertical="center" wrapText="1" indent="1"/>
      <protection locked="0"/>
    </xf>
    <xf numFmtId="0" fontId="7" fillId="3" borderId="14" xfId="0" applyFont="1" applyFill="1" applyBorder="1" applyAlignment="1">
      <alignment horizontal="center" vertical="center"/>
    </xf>
    <xf numFmtId="0" fontId="7" fillId="3" borderId="13" xfId="0" applyFont="1" applyFill="1" applyBorder="1" applyAlignment="1">
      <alignment horizontal="right" vertical="center"/>
    </xf>
    <xf numFmtId="0" fontId="0" fillId="0" borderId="5" xfId="0" applyFont="1" applyBorder="1" applyAlignment="1">
      <alignment vertical="top" wrapText="1"/>
    </xf>
    <xf numFmtId="0" fontId="0" fillId="0" borderId="6" xfId="0" applyFont="1" applyBorder="1" applyAlignment="1">
      <alignment vertical="top" wrapText="1"/>
    </xf>
    <xf numFmtId="0" fontId="8" fillId="0" borderId="0" xfId="0" applyFont="1" applyFill="1"/>
    <xf numFmtId="0" fontId="7" fillId="3" borderId="3" xfId="0" applyFont="1" applyFill="1" applyBorder="1" applyAlignment="1">
      <alignment horizontal="center" vertical="center" wrapText="1" readingOrder="2"/>
    </xf>
    <xf numFmtId="0" fontId="19" fillId="0" borderId="15" xfId="0" applyFont="1" applyBorder="1"/>
    <xf numFmtId="0" fontId="19" fillId="0" borderId="16" xfId="0" applyFont="1" applyBorder="1"/>
    <xf numFmtId="0" fontId="19" fillId="0" borderId="17" xfId="0" applyFont="1" applyBorder="1" applyAlignment="1">
      <alignment horizontal="right"/>
    </xf>
    <xf numFmtId="0" fontId="22" fillId="0" borderId="1" xfId="0" applyFont="1" applyBorder="1" applyAlignment="1">
      <alignment horizontal="center" vertical="center" wrapText="1" readingOrder="2"/>
    </xf>
    <xf numFmtId="0" fontId="23" fillId="0" borderId="1" xfId="0" applyFont="1" applyBorder="1" applyAlignment="1">
      <alignment vertical="center" wrapText="1" readingOrder="2"/>
    </xf>
    <xf numFmtId="0" fontId="2" fillId="2" borderId="5" xfId="0" applyFont="1" applyFill="1" applyBorder="1" applyAlignment="1">
      <alignment horizontal="right"/>
    </xf>
    <xf numFmtId="0" fontId="3" fillId="0" borderId="18" xfId="0" applyFont="1" applyFill="1" applyBorder="1" applyAlignment="1" applyProtection="1">
      <alignment horizontal="right" vertical="top"/>
    </xf>
    <xf numFmtId="0" fontId="2" fillId="0" borderId="0" xfId="0" applyFont="1" applyFill="1" applyBorder="1" applyAlignment="1">
      <alignment horizontal="center"/>
    </xf>
    <xf numFmtId="0" fontId="0" fillId="0" borderId="5" xfId="0" applyFont="1" applyFill="1" applyBorder="1" applyAlignment="1">
      <alignment horizontal="center"/>
    </xf>
    <xf numFmtId="0" fontId="0" fillId="2" borderId="6" xfId="0" applyFont="1" applyFill="1" applyBorder="1" applyAlignment="1">
      <alignment horizontal="right"/>
    </xf>
    <xf numFmtId="0" fontId="2" fillId="2" borderId="6" xfId="0" applyFont="1" applyFill="1" applyBorder="1" applyAlignment="1">
      <alignment horizontal="right"/>
    </xf>
    <xf numFmtId="0" fontId="0" fillId="0" borderId="19" xfId="0" applyFont="1" applyFill="1" applyBorder="1" applyAlignment="1">
      <alignment horizontal="right" vertical="top"/>
    </xf>
    <xf numFmtId="0" fontId="0" fillId="0" borderId="20" xfId="0" applyFont="1" applyFill="1" applyBorder="1" applyAlignment="1">
      <alignment horizontal="right"/>
    </xf>
    <xf numFmtId="0" fontId="0" fillId="0" borderId="0" xfId="0" applyFont="1" applyFill="1" applyBorder="1" applyAlignment="1">
      <alignment vertical="top"/>
    </xf>
    <xf numFmtId="0" fontId="0" fillId="0" borderId="7" xfId="0" applyFont="1" applyFill="1" applyBorder="1" applyAlignment="1">
      <alignment horizontal="right" vertical="top" wrapText="1"/>
    </xf>
    <xf numFmtId="0" fontId="0" fillId="0" borderId="7" xfId="0" applyFont="1" applyFill="1" applyBorder="1" applyAlignment="1">
      <alignment vertical="top" wrapText="1"/>
    </xf>
    <xf numFmtId="0" fontId="13" fillId="2" borderId="4" xfId="0" applyFont="1" applyFill="1" applyBorder="1" applyAlignment="1">
      <alignment horizontal="right"/>
    </xf>
    <xf numFmtId="0" fontId="0" fillId="0" borderId="0" xfId="0" applyFont="1" applyFill="1"/>
    <xf numFmtId="0" fontId="19" fillId="0" borderId="0" xfId="0" applyFont="1" applyFill="1" applyBorder="1"/>
    <xf numFmtId="0" fontId="2" fillId="2" borderId="4" xfId="0" applyFont="1" applyFill="1" applyBorder="1" applyAlignment="1">
      <alignment horizontal="right"/>
    </xf>
    <xf numFmtId="17" fontId="0" fillId="0" borderId="0" xfId="0" applyNumberFormat="1" applyFill="1"/>
    <xf numFmtId="0" fontId="24" fillId="2" borderId="4" xfId="0" applyFont="1" applyFill="1" applyBorder="1" applyAlignment="1" applyProtection="1">
      <alignment horizontal="right"/>
    </xf>
    <xf numFmtId="0" fontId="0" fillId="0" borderId="4" xfId="0" applyFont="1" applyFill="1" applyBorder="1" applyAlignment="1">
      <alignment horizontal="right" readingOrder="1"/>
    </xf>
    <xf numFmtId="0" fontId="0" fillId="0" borderId="4" xfId="0" applyFont="1" applyFill="1" applyBorder="1" applyAlignment="1">
      <alignment readingOrder="1"/>
    </xf>
    <xf numFmtId="0" fontId="2" fillId="0" borderId="0" xfId="0" applyFont="1" applyAlignment="1">
      <alignment horizontal="right"/>
    </xf>
    <xf numFmtId="0" fontId="26" fillId="2" borderId="4" xfId="0" applyFont="1" applyFill="1" applyBorder="1" applyAlignment="1">
      <alignment horizontal="right"/>
    </xf>
    <xf numFmtId="0" fontId="27" fillId="5" borderId="12" xfId="4" applyFill="1" applyBorder="1" applyAlignment="1" applyProtection="1">
      <alignment vertical="center" wrapText="1"/>
      <protection locked="0"/>
    </xf>
    <xf numFmtId="165" fontId="8" fillId="0" borderId="11" xfId="0" applyNumberFormat="1" applyFont="1" applyBorder="1" applyAlignment="1">
      <alignment horizontal="center" vertical="center" wrapText="1"/>
    </xf>
    <xf numFmtId="165" fontId="8" fillId="0" borderId="11" xfId="0" applyNumberFormat="1" applyFont="1" applyFill="1" applyBorder="1" applyAlignment="1">
      <alignment horizontal="center" vertical="center" wrapText="1"/>
    </xf>
    <xf numFmtId="165" fontId="15" fillId="0" borderId="11" xfId="0" applyNumberFormat="1" applyFont="1" applyBorder="1" applyAlignment="1">
      <alignment horizontal="center" vertical="center" wrapText="1"/>
    </xf>
    <xf numFmtId="10" fontId="8" fillId="0" borderId="11" xfId="0" applyNumberFormat="1" applyFont="1" applyBorder="1" applyAlignment="1">
      <alignment horizontal="center" vertical="center" wrapText="1"/>
    </xf>
    <xf numFmtId="10" fontId="15" fillId="0" borderId="11" xfId="3" applyNumberFormat="1" applyFont="1" applyBorder="1" applyAlignment="1">
      <alignment horizontal="center" vertical="center" wrapText="1"/>
    </xf>
    <xf numFmtId="166" fontId="28" fillId="0" borderId="21" xfId="0" applyNumberFormat="1" applyFont="1" applyBorder="1" applyAlignment="1">
      <alignment horizontal="right" vertical="top"/>
    </xf>
    <xf numFmtId="0" fontId="28" fillId="0" borderId="21" xfId="0" applyFont="1" applyBorder="1" applyAlignment="1">
      <alignment horizontal="right" vertical="top"/>
    </xf>
    <xf numFmtId="165" fontId="28" fillId="0" borderId="21" xfId="0" applyNumberFormat="1" applyFont="1" applyBorder="1" applyAlignment="1">
      <alignment horizontal="right" vertical="top"/>
    </xf>
    <xf numFmtId="167" fontId="28" fillId="0" borderId="21" xfId="0" applyNumberFormat="1" applyFont="1" applyBorder="1" applyAlignment="1">
      <alignment horizontal="right" vertical="top"/>
    </xf>
    <xf numFmtId="0" fontId="0" fillId="0" borderId="21" xfId="0" applyBorder="1"/>
    <xf numFmtId="0" fontId="28" fillId="0" borderId="21" xfId="0" applyFont="1" applyBorder="1" applyAlignment="1">
      <alignment horizontal="center" vertical="top"/>
    </xf>
    <xf numFmtId="0" fontId="28" fillId="0" borderId="21" xfId="0" applyNumberFormat="1" applyFont="1" applyBorder="1" applyAlignment="1">
      <alignment horizontal="center" vertical="top"/>
    </xf>
    <xf numFmtId="0" fontId="28" fillId="0" borderId="21" xfId="0" applyNumberFormat="1" applyFont="1" applyBorder="1" applyAlignment="1">
      <alignment horizontal="right" vertical="top"/>
    </xf>
    <xf numFmtId="165" fontId="28" fillId="0" borderId="21" xfId="0" applyNumberFormat="1" applyFont="1" applyBorder="1" applyAlignment="1">
      <alignment horizontal="center" vertical="top"/>
    </xf>
    <xf numFmtId="167" fontId="28" fillId="0" borderId="21" xfId="0" applyNumberFormat="1" applyFont="1" applyBorder="1" applyAlignment="1">
      <alignment horizontal="center" vertical="top"/>
    </xf>
    <xf numFmtId="3" fontId="28" fillId="0" borderId="21" xfId="0" applyNumberFormat="1" applyFont="1" applyBorder="1" applyAlignment="1">
      <alignment horizontal="right" vertical="top"/>
    </xf>
    <xf numFmtId="168" fontId="28" fillId="0" borderId="21" xfId="0" applyNumberFormat="1" applyFont="1" applyBorder="1" applyAlignment="1">
      <alignment horizontal="right" vertical="top"/>
    </xf>
    <xf numFmtId="169" fontId="28" fillId="0" borderId="21" xfId="0" applyNumberFormat="1" applyFont="1" applyBorder="1" applyAlignment="1">
      <alignment horizontal="center" vertical="top"/>
    </xf>
    <xf numFmtId="14" fontId="28" fillId="0" borderId="22" xfId="0" applyNumberFormat="1" applyFont="1" applyBorder="1" applyAlignment="1">
      <alignment wrapText="1"/>
    </xf>
    <xf numFmtId="14" fontId="28" fillId="0" borderId="21" xfId="0" applyNumberFormat="1" applyFont="1" applyBorder="1" applyAlignment="1">
      <alignment horizontal="center" vertical="top"/>
    </xf>
    <xf numFmtId="170" fontId="28" fillId="0" borderId="21" xfId="0" applyNumberFormat="1" applyFont="1" applyBorder="1" applyAlignment="1">
      <alignment horizontal="center" vertical="top"/>
    </xf>
    <xf numFmtId="166" fontId="28" fillId="0" borderId="21" xfId="0" applyNumberFormat="1" applyFont="1" applyBorder="1" applyAlignment="1">
      <alignment horizontal="center" vertical="top"/>
    </xf>
    <xf numFmtId="171" fontId="28" fillId="0" borderId="21" xfId="0" applyNumberFormat="1" applyFont="1" applyBorder="1" applyAlignment="1">
      <alignment horizontal="center" vertical="top"/>
    </xf>
    <xf numFmtId="0" fontId="28" fillId="0" borderId="21" xfId="0" applyFont="1" applyFill="1" applyBorder="1" applyAlignment="1">
      <alignment horizontal="center" vertical="top"/>
    </xf>
    <xf numFmtId="10" fontId="28" fillId="0" borderId="21" xfId="0" applyNumberFormat="1" applyFont="1" applyBorder="1" applyAlignment="1">
      <alignment horizontal="center" vertical="top"/>
    </xf>
    <xf numFmtId="0" fontId="28" fillId="0" borderId="21" xfId="0" applyFont="1" applyBorder="1"/>
    <xf numFmtId="171" fontId="28" fillId="0" borderId="21" xfId="0" applyNumberFormat="1" applyFont="1" applyBorder="1" applyAlignment="1">
      <alignment horizontal="right" vertical="top"/>
    </xf>
    <xf numFmtId="14" fontId="28" fillId="0" borderId="21" xfId="0" applyNumberFormat="1" applyFont="1" applyBorder="1" applyAlignment="1">
      <alignment horizontal="right" vertical="top"/>
    </xf>
    <xf numFmtId="170" fontId="28" fillId="0" borderId="21" xfId="0" applyNumberFormat="1" applyFont="1" applyBorder="1" applyAlignment="1">
      <alignment horizontal="right" vertical="top"/>
    </xf>
    <xf numFmtId="0" fontId="28" fillId="0" borderId="21" xfId="0" applyFont="1" applyBorder="1" applyAlignment="1">
      <alignment horizontal="center"/>
    </xf>
    <xf numFmtId="0" fontId="28" fillId="0" borderId="0" xfId="0" applyFont="1" applyAlignment="1">
      <alignment horizontal="center"/>
    </xf>
    <xf numFmtId="172" fontId="28" fillId="0" borderId="21" xfId="0" applyNumberFormat="1" applyFont="1" applyBorder="1" applyAlignment="1">
      <alignment horizontal="center"/>
    </xf>
    <xf numFmtId="165" fontId="28" fillId="0" borderId="21" xfId="0" applyNumberFormat="1" applyFont="1" applyBorder="1" applyAlignment="1">
      <alignment horizontal="center"/>
    </xf>
    <xf numFmtId="10" fontId="28" fillId="0" borderId="21" xfId="3" applyNumberFormat="1" applyFont="1" applyBorder="1" applyAlignment="1">
      <alignment horizontal="center"/>
    </xf>
    <xf numFmtId="14" fontId="28" fillId="0" borderId="21" xfId="0" applyNumberFormat="1" applyFont="1" applyFill="1" applyBorder="1" applyAlignment="1">
      <alignment horizontal="center"/>
    </xf>
    <xf numFmtId="43" fontId="4" fillId="0" borderId="0" xfId="5" applyFont="1"/>
    <xf numFmtId="0" fontId="7" fillId="0" borderId="3" xfId="0" applyFont="1" applyFill="1" applyBorder="1" applyAlignment="1">
      <alignment horizontal="center" vertical="center" wrapText="1"/>
    </xf>
    <xf numFmtId="165" fontId="28" fillId="0" borderId="21" xfId="0" applyNumberFormat="1" applyFont="1" applyFill="1" applyBorder="1" applyAlignment="1">
      <alignment horizontal="right" vertical="top"/>
    </xf>
    <xf numFmtId="0" fontId="0" fillId="0" borderId="21" xfId="0" applyFill="1" applyBorder="1"/>
    <xf numFmtId="0" fontId="28" fillId="0" borderId="21" xfId="0" applyNumberFormat="1" applyFont="1" applyBorder="1" applyAlignment="1">
      <alignment horizontal="center"/>
    </xf>
  </cellXfs>
  <cellStyles count="6">
    <cellStyle name="Comma" xfId="5" builtinId="3"/>
    <cellStyle name="Hyperlink" xfId="4" builtinId="8"/>
    <cellStyle name="Normal" xfId="0" builtinId="0"/>
    <cellStyle name="Normal 3" xfId="1" xr:uid="{00000000-0005-0000-0000-000003000000}"/>
    <cellStyle name="Normal 9" xfId="2" xr:uid="{00000000-0005-0000-0000-000004000000}"/>
    <cellStyle name="Percent" xfId="3" builtinId="5"/>
  </cellStyles>
  <dxfs count="12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0" defaultTableStyle="TableStyleMedium2" defaultPivotStyle="PivotStyleLight16"/>
  <colors>
    <mruColors>
      <color rgb="FFB2B2B2"/>
      <color rgb="FF7F93AD"/>
      <color rgb="FF7A8FAA"/>
      <color rgb="FF60779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externalLink" Target="externalLinks/externalLink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externalLink" Target="externalLinks/externalLink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1511;&#1493;&#1508;&#1493;&#1514;%20&#1490;&#1502;&#1500;/&#1495;&#1513;&#1489;&#1493;&#1514;/&#1499;&#1500;&#1500;&#1497;/&#1491;&#1493;&#1495;%20&#1504;&#1499;&#1505;&#1497;&#1501;%20&#1512;&#1489;&#1506;&#1493;&#1504;&#1497;/&#1512;&#1513;&#1497;&#1502;&#1514;%20&#1504;&#1499;&#1505;&#1497;&#1501;-&#1495;&#1493;&#1494;&#1512;%20&#1495;&#1491;&#1513;%2003.2023/single_asset_template-&#1505;&#1493;&#1508;&#1497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Documents\&#1511;&#1493;&#1489;&#1509;%20&#1491;&#1497;&#1493;&#1493;&#1495;%20&#1504;&#1499;&#1505;%20&#1489;&#1493;&#1491;&#1491;%20&#1504;&#1490;&#1494;&#1512;&#1497;&#1501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עמוד פתיחה"/>
      <sheetName val="סכום נכסים"/>
      <sheetName val="מזומנים ושווי מזומנים"/>
      <sheetName val="איגרות חוב ממשלתיות"/>
      <sheetName val="ניירות ערך מסחריים"/>
      <sheetName val="איגרות חוב"/>
      <sheetName val="מניות מבכ ויהש"/>
      <sheetName val="קרנות סל"/>
      <sheetName val="קרנות נאמנות"/>
      <sheetName val="כתבי אופציה"/>
      <sheetName val="אופציות"/>
      <sheetName val="חוזים עתידיים"/>
      <sheetName val="מוצרים מובנים"/>
      <sheetName val="לא סחיר איגרות חוב ממשלתיות"/>
      <sheetName val="לא סחיר איגרות חוב מיועדות"/>
      <sheetName val="אפיק השקעה מובטח תשואה"/>
      <sheetName val="לא סחיר ניירות ערך מסחריים"/>
      <sheetName val="לא סחיר איגרות חוב"/>
      <sheetName val="לא סחיר מניות מבכ ויהש"/>
      <sheetName val="קרנות השקעה"/>
      <sheetName val="לא סחיר כתבי אופציה"/>
      <sheetName val="לא סחיר אופציות"/>
      <sheetName val="לא סחיר נגזרים אחרים"/>
      <sheetName val="הלוואות"/>
      <sheetName val="לא סחיר מוצרים מובנים"/>
      <sheetName val="פיקדונות מעל 3 חודשים"/>
      <sheetName val="זכויות מקרקעין"/>
      <sheetName val="השקעה בחברות מוחזקות"/>
      <sheetName val="נכסים אחרים"/>
      <sheetName val="מסגרות אשראי"/>
      <sheetName val="יתרות התחייבות להשקעה"/>
      <sheetName val="אפשרויות בחירה"/>
      <sheetName val="מיפוי סעיפים"/>
      <sheetName val="File Name Inf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O"/>
      <sheetName val="לא סחיר נגזרים"/>
      <sheetName val="אפשריות בחירה"/>
      <sheetName val="אפשרויות בחירה"/>
    </sheetNames>
    <sheetDataSet>
      <sheetData sheetId="0"/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efrat@slice.co.il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printerSettings" Target="../printerSettings/printerSettings4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4.bin"/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1.bin"/><Relationship Id="rId1" Type="http://schemas.openxmlformats.org/officeDocument/2006/relationships/printerSettings" Target="../printerSettings/printerSettings20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3.bin"/><Relationship Id="rId1" Type="http://schemas.openxmlformats.org/officeDocument/2006/relationships/printerSettings" Target="../printerSettings/printerSettings22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6.bin"/><Relationship Id="rId1" Type="http://schemas.openxmlformats.org/officeDocument/2006/relationships/printerSettings" Target="../printerSettings/printerSettings25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H29"/>
  <sheetViews>
    <sheetView showGridLines="0" rightToLeft="1" workbookViewId="0">
      <selection activeCell="D7" sqref="D7"/>
    </sheetView>
  </sheetViews>
  <sheetFormatPr defaultRowHeight="15"/>
  <cols>
    <col min="1" max="1" width="29.42578125" bestFit="1" customWidth="1"/>
    <col min="2" max="2" width="11" customWidth="1"/>
    <col min="3" max="3" width="4.5703125" customWidth="1"/>
    <col min="4" max="4" width="67.42578125" customWidth="1"/>
    <col min="10" max="10" width="34.7109375" customWidth="1"/>
    <col min="11" max="11" width="25.85546875" customWidth="1"/>
    <col min="12" max="12" width="21.42578125" customWidth="1"/>
  </cols>
  <sheetData>
    <row r="1" spans="1:8" ht="18">
      <c r="A1" s="36" t="s">
        <v>872</v>
      </c>
      <c r="B1" s="37"/>
      <c r="C1" s="37"/>
      <c r="D1" s="37"/>
    </row>
    <row r="3" spans="1:8">
      <c r="A3" t="s">
        <v>507</v>
      </c>
      <c r="D3" s="119" t="s">
        <v>823</v>
      </c>
    </row>
    <row r="5" spans="1:8">
      <c r="A5" t="s">
        <v>613</v>
      </c>
      <c r="D5" s="119" t="s">
        <v>614</v>
      </c>
    </row>
    <row r="7" spans="1:8">
      <c r="A7" t="s">
        <v>601</v>
      </c>
      <c r="D7" s="119" t="s">
        <v>516</v>
      </c>
    </row>
    <row r="8" spans="1:8">
      <c r="D8" s="35"/>
      <c r="E8" s="35"/>
      <c r="F8" s="35"/>
      <c r="G8" s="35"/>
      <c r="H8" s="35"/>
    </row>
    <row r="9" spans="1:8">
      <c r="A9" t="s">
        <v>602</v>
      </c>
      <c r="D9" s="119">
        <v>2024</v>
      </c>
    </row>
    <row r="11" spans="1:8">
      <c r="A11" t="s">
        <v>581</v>
      </c>
      <c r="D11" s="119" t="s">
        <v>543</v>
      </c>
    </row>
    <row r="13" spans="1:8">
      <c r="A13" t="s">
        <v>509</v>
      </c>
      <c r="D13" s="120">
        <f>IFERROR(VLOOKUP(D11,'File Name Info'!A35:B121,2,0),"תא מחושב")</f>
        <v>514767490</v>
      </c>
    </row>
    <row r="15" spans="1:8">
      <c r="A15" s="19" t="s">
        <v>371</v>
      </c>
      <c r="D15" s="120" t="str">
        <f>IF(D5="לממונה",CONCATENATE(D13, "_",VLOOKUP(D3,Full_Type,2,0),"_",D7,VLOOKUP(D9,Full_Year,2,0),".xlxs"),IF(D5="לציבור",CONCATENATE(D13,"_",VLOOKUP(D3,Full_Type_Nostro,2,0),"_",VLOOKUP(D5,Full_File_Type,2,0),"_",D7,VLOOKUP(D9,Full_Year,2,0),".xlsx"),"שם קובץ לשמירה"))</f>
        <v>514767490_gm_0324.xlxs</v>
      </c>
    </row>
    <row r="16" spans="1:8">
      <c r="A16" s="19"/>
      <c r="D16" s="35"/>
      <c r="E16" s="35"/>
      <c r="F16" s="35"/>
      <c r="G16" s="35"/>
      <c r="H16" s="35"/>
    </row>
    <row r="17" spans="1:8">
      <c r="A17" s="19" t="s">
        <v>437</v>
      </c>
      <c r="B17" s="16" t="s">
        <v>345</v>
      </c>
      <c r="C17" s="16"/>
      <c r="D17" s="121" t="s">
        <v>1204</v>
      </c>
    </row>
    <row r="18" spans="1:8">
      <c r="A18" s="14"/>
      <c r="B18" s="17"/>
      <c r="C18" s="17"/>
      <c r="D18" s="18"/>
      <c r="E18" s="18"/>
      <c r="F18" s="18"/>
      <c r="G18" s="18"/>
      <c r="H18" s="18"/>
    </row>
    <row r="19" spans="1:8">
      <c r="A19" s="14"/>
      <c r="B19" s="16" t="s">
        <v>346</v>
      </c>
      <c r="C19" s="16"/>
      <c r="D19" s="121"/>
    </row>
    <row r="20" spans="1:8">
      <c r="A20" s="14"/>
      <c r="B20" s="17"/>
      <c r="C20" s="17"/>
      <c r="D20" s="18"/>
      <c r="E20" s="18"/>
      <c r="F20" s="18"/>
      <c r="G20" s="18"/>
      <c r="H20" s="18"/>
    </row>
    <row r="21" spans="1:8">
      <c r="A21" s="14"/>
      <c r="B21" s="16" t="s">
        <v>347</v>
      </c>
      <c r="C21" s="16"/>
      <c r="D21" s="154" t="s">
        <v>1205</v>
      </c>
    </row>
    <row r="22" spans="1:8">
      <c r="A22" s="14"/>
      <c r="B22" s="15"/>
      <c r="C22" s="15"/>
    </row>
    <row r="23" spans="1:8">
      <c r="A23" s="19" t="s">
        <v>415</v>
      </c>
      <c r="D23" s="32" t="s">
        <v>508</v>
      </c>
      <c r="E23" s="32"/>
      <c r="F23" s="32"/>
      <c r="G23" s="32"/>
      <c r="H23" s="32"/>
    </row>
    <row r="25" spans="1:8">
      <c r="D25" s="1"/>
    </row>
    <row r="28" spans="1:8" ht="14.1" customHeight="1">
      <c r="A28" s="27"/>
      <c r="D28" s="28"/>
      <c r="E28" s="30"/>
      <c r="F28" s="30"/>
      <c r="G28" s="30"/>
      <c r="H28" s="30"/>
    </row>
    <row r="29" spans="1:8">
      <c r="D29" s="77"/>
      <c r="E29" s="77"/>
      <c r="F29" s="77"/>
      <c r="G29" s="77"/>
      <c r="H29" s="77"/>
    </row>
  </sheetData>
  <conditionalFormatting sqref="D21">
    <cfRule type="containsText" dxfId="11" priority="19" operator="containsText" text="Please fill in data">
      <formula>NOT(ISERROR(SEARCH("Please fill in data",D21)))</formula>
    </cfRule>
  </conditionalFormatting>
  <conditionalFormatting sqref="D17">
    <cfRule type="containsText" dxfId="10" priority="21" operator="containsText" text="Please fill in data">
      <formula>NOT(ISERROR(SEARCH("Please fill in data",D17)))</formula>
    </cfRule>
  </conditionalFormatting>
  <conditionalFormatting sqref="D19">
    <cfRule type="containsText" dxfId="9" priority="20" operator="containsText" text="Please fill in data">
      <formula>NOT(ISERROR(SEARCH("Please fill in data",D19)))</formula>
    </cfRule>
  </conditionalFormatting>
  <conditionalFormatting sqref="D16">
    <cfRule type="containsText" dxfId="8" priority="18" operator="containsText" text="Please fill in data">
      <formula>NOT(ISERROR(SEARCH("Please fill in data",D16)))</formula>
    </cfRule>
  </conditionalFormatting>
  <conditionalFormatting sqref="D3">
    <cfRule type="containsText" dxfId="7" priority="13" operator="containsText" text="Please fill in data">
      <formula>NOT(ISERROR(SEARCH("Please fill in data",D3)))</formula>
    </cfRule>
  </conditionalFormatting>
  <conditionalFormatting sqref="D7">
    <cfRule type="containsText" dxfId="6" priority="6" operator="containsText" text="Please fill in data">
      <formula>NOT(ISERROR(SEARCH("Please fill in data",D7)))</formula>
    </cfRule>
  </conditionalFormatting>
  <conditionalFormatting sqref="D8">
    <cfRule type="containsText" dxfId="5" priority="11" operator="containsText" text="Please fill in data">
      <formula>NOT(ISERROR(SEARCH("Please fill in data",D8)))</formula>
    </cfRule>
  </conditionalFormatting>
  <conditionalFormatting sqref="D5">
    <cfRule type="containsText" dxfId="4" priority="7" operator="containsText" text="Please fill in data">
      <formula>NOT(ISERROR(SEARCH("Please fill in data",D5)))</formula>
    </cfRule>
  </conditionalFormatting>
  <conditionalFormatting sqref="D9">
    <cfRule type="containsText" dxfId="3" priority="5" operator="containsText" text="Please fill in data">
      <formula>NOT(ISERROR(SEARCH("Please fill in data",D9)))</formula>
    </cfRule>
  </conditionalFormatting>
  <conditionalFormatting sqref="D11">
    <cfRule type="containsText" dxfId="2" priority="4" operator="containsText" text="Please fill in data">
      <formula>NOT(ISERROR(SEARCH("Please fill in data",D11)))</formula>
    </cfRule>
  </conditionalFormatting>
  <conditionalFormatting sqref="D13">
    <cfRule type="containsText" dxfId="1" priority="3" operator="containsText" text="Please fill in data">
      <formula>NOT(ISERROR(SEARCH("Please fill in data",D13)))</formula>
    </cfRule>
  </conditionalFormatting>
  <conditionalFormatting sqref="D15">
    <cfRule type="containsText" dxfId="0" priority="1" operator="containsText" text="Please fill in data">
      <formula>NOT(ISERROR(SEARCH("Please fill in data",D15)))</formula>
    </cfRule>
  </conditionalFormatting>
  <dataValidations count="5">
    <dataValidation type="list" allowBlank="1" showInputMessage="1" showErrorMessage="1" sqref="D3" xr:uid="{00000000-0002-0000-0000-000000000000}">
      <formula1>Type</formula1>
    </dataValidation>
    <dataValidation type="list" allowBlank="1" showInputMessage="1" showErrorMessage="1" sqref="D5" xr:uid="{00000000-0002-0000-0000-000001000000}">
      <formula1>File_Type</formula1>
    </dataValidation>
    <dataValidation type="list" allowBlank="1" showInputMessage="1" showErrorMessage="1" sqref="D7" xr:uid="{00000000-0002-0000-0000-000002000000}">
      <formula1>QTR</formula1>
    </dataValidation>
    <dataValidation type="list" allowBlank="1" showInputMessage="1" showErrorMessage="1" sqref="D9" xr:uid="{00000000-0002-0000-0000-000003000000}">
      <formula1>YEAR</formula1>
    </dataValidation>
    <dataValidation type="list" allowBlank="1" showInputMessage="1" showErrorMessage="1" sqref="D11" xr:uid="{00000000-0002-0000-0000-000004000000}">
      <formula1>Company_Name</formula1>
    </dataValidation>
  </dataValidations>
  <hyperlinks>
    <hyperlink ref="D21" r:id="rId1" xr:uid="{00000000-0004-0000-0000-000000000000}"/>
  </hyperlink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L55"/>
  <sheetViews>
    <sheetView showGridLines="0" rightToLeft="1" workbookViewId="0">
      <selection activeCell="C26" sqref="C26"/>
    </sheetView>
  </sheetViews>
  <sheetFormatPr defaultColWidth="9" defaultRowHeight="12.75"/>
  <cols>
    <col min="1" max="1" width="42.7109375" style="10" customWidth="1"/>
    <col min="2" max="5" width="13" style="11" customWidth="1"/>
    <col min="6" max="6" width="11.140625" style="10" customWidth="1"/>
    <col min="7" max="8" width="8.5703125" style="10" customWidth="1"/>
    <col min="9" max="10" width="9" style="10"/>
    <col min="11" max="12" width="8.5703125" style="10" customWidth="1"/>
    <col min="13" max="16384" width="9" style="10"/>
  </cols>
  <sheetData>
    <row r="1" spans="1:12" ht="18.75" customHeight="1">
      <c r="A1" s="57"/>
      <c r="B1" s="58"/>
      <c r="C1" s="123" t="s">
        <v>937</v>
      </c>
      <c r="D1" s="122"/>
      <c r="E1" s="58"/>
    </row>
    <row r="2" spans="1:12" ht="39.75" customHeight="1">
      <c r="A2" s="57"/>
      <c r="B2" s="58" t="s">
        <v>17</v>
      </c>
      <c r="C2" s="58" t="s">
        <v>27</v>
      </c>
      <c r="D2" s="58" t="s">
        <v>26</v>
      </c>
      <c r="E2" s="58" t="s">
        <v>934</v>
      </c>
    </row>
    <row r="3" spans="1:12">
      <c r="A3" s="60" t="s">
        <v>31</v>
      </c>
      <c r="B3" s="155">
        <f>SUM('מזומנים ושווי מזומנים'!$O:$O)</f>
        <v>127965.22076</v>
      </c>
      <c r="C3" s="61"/>
      <c r="D3" s="61" t="s">
        <v>17</v>
      </c>
      <c r="E3" s="158">
        <f>+B3/$B$30</f>
        <v>0.10969784705110314</v>
      </c>
    </row>
    <row r="4" spans="1:12">
      <c r="A4" s="60" t="s">
        <v>40</v>
      </c>
      <c r="B4" s="155">
        <f>SUM('איגרות חוב ממשלתיות'!U:U)</f>
        <v>254163.78910000002</v>
      </c>
      <c r="C4" s="61"/>
      <c r="D4" s="61" t="s">
        <v>17</v>
      </c>
      <c r="E4" s="158">
        <f t="shared" ref="E4:E29" si="0">+B4/$B$30</f>
        <v>0.21788123598764492</v>
      </c>
    </row>
    <row r="5" spans="1:12">
      <c r="A5" s="60" t="s">
        <v>32</v>
      </c>
      <c r="B5" s="155"/>
      <c r="C5" s="61"/>
      <c r="D5" s="61"/>
      <c r="E5" s="158">
        <f t="shared" si="0"/>
        <v>0</v>
      </c>
    </row>
    <row r="6" spans="1:12">
      <c r="A6" s="60" t="s">
        <v>33</v>
      </c>
      <c r="B6" s="155"/>
      <c r="C6" s="61"/>
      <c r="D6" s="61"/>
      <c r="E6" s="158">
        <f t="shared" si="0"/>
        <v>0</v>
      </c>
    </row>
    <row r="7" spans="1:12">
      <c r="A7" s="60" t="s">
        <v>459</v>
      </c>
      <c r="B7" s="155">
        <f>SUM('מניות מבכ ויהש'!U:U)</f>
        <v>23153.063280000002</v>
      </c>
      <c r="C7" s="61"/>
      <c r="D7" s="61" t="s">
        <v>17</v>
      </c>
      <c r="E7" s="158">
        <f t="shared" si="0"/>
        <v>1.9847902261017073E-2</v>
      </c>
    </row>
    <row r="8" spans="1:12">
      <c r="A8" s="60" t="s">
        <v>34</v>
      </c>
      <c r="B8" s="155">
        <f>SUM('קרנות סל'!T:T)</f>
        <v>493851.76075000002</v>
      </c>
      <c r="C8" s="61"/>
      <c r="D8" s="61" t="s">
        <v>17</v>
      </c>
      <c r="E8" s="158">
        <f t="shared" si="0"/>
        <v>0.42335311575225765</v>
      </c>
    </row>
    <row r="9" spans="1:12">
      <c r="A9" s="60" t="s">
        <v>35</v>
      </c>
      <c r="B9" s="155">
        <f>SUM('קרנות נאמנות'!T:T)</f>
        <v>82248.894769999984</v>
      </c>
      <c r="C9" s="61"/>
      <c r="D9" s="61" t="s">
        <v>17</v>
      </c>
      <c r="E9" s="158">
        <f t="shared" si="0"/>
        <v>7.0507647507783155E-2</v>
      </c>
    </row>
    <row r="10" spans="1:12">
      <c r="A10" s="60" t="s">
        <v>36</v>
      </c>
      <c r="B10" s="155"/>
      <c r="C10" s="61"/>
      <c r="D10" s="61"/>
      <c r="E10" s="158">
        <f t="shared" si="0"/>
        <v>0</v>
      </c>
    </row>
    <row r="11" spans="1:12">
      <c r="A11" s="60" t="s">
        <v>37</v>
      </c>
      <c r="B11" s="155"/>
      <c r="C11" s="61"/>
      <c r="D11" s="61"/>
      <c r="E11" s="158">
        <f t="shared" si="0"/>
        <v>0</v>
      </c>
    </row>
    <row r="12" spans="1:12">
      <c r="A12" s="60" t="s">
        <v>38</v>
      </c>
      <c r="B12" s="155"/>
      <c r="C12" s="61"/>
      <c r="D12" s="61"/>
      <c r="E12" s="158">
        <f t="shared" si="0"/>
        <v>0</v>
      </c>
    </row>
    <row r="13" spans="1:12">
      <c r="A13" s="60" t="s">
        <v>39</v>
      </c>
      <c r="B13" s="155"/>
      <c r="C13" s="61"/>
      <c r="D13" s="61"/>
      <c r="E13" s="158">
        <f t="shared" si="0"/>
        <v>0</v>
      </c>
    </row>
    <row r="14" spans="1:12">
      <c r="A14" s="60" t="s">
        <v>41</v>
      </c>
      <c r="B14" s="155"/>
      <c r="C14" s="61"/>
      <c r="D14" s="61"/>
      <c r="E14" s="158">
        <f t="shared" si="0"/>
        <v>0</v>
      </c>
    </row>
    <row r="15" spans="1:12">
      <c r="A15" s="60" t="s">
        <v>42</v>
      </c>
      <c r="B15" s="155"/>
      <c r="C15" s="61"/>
      <c r="D15" s="61"/>
      <c r="E15" s="158">
        <f t="shared" si="0"/>
        <v>0</v>
      </c>
    </row>
    <row r="16" spans="1:12" s="126" customFormat="1">
      <c r="A16" s="62" t="s">
        <v>683</v>
      </c>
      <c r="B16" s="156"/>
      <c r="C16" s="63"/>
      <c r="D16" s="63"/>
      <c r="E16" s="158">
        <f t="shared" si="0"/>
        <v>0</v>
      </c>
      <c r="J16" s="10"/>
      <c r="K16" s="10"/>
      <c r="L16" s="10"/>
    </row>
    <row r="17" spans="1:11">
      <c r="A17" s="62" t="s">
        <v>43</v>
      </c>
      <c r="B17" s="156"/>
      <c r="C17" s="63"/>
      <c r="D17" s="63"/>
      <c r="E17" s="158">
        <f t="shared" si="0"/>
        <v>0</v>
      </c>
    </row>
    <row r="18" spans="1:11">
      <c r="A18" s="60" t="s">
        <v>44</v>
      </c>
      <c r="B18" s="155"/>
      <c r="C18" s="61"/>
      <c r="D18" s="61"/>
      <c r="E18" s="158">
        <f t="shared" si="0"/>
        <v>0</v>
      </c>
    </row>
    <row r="19" spans="1:11">
      <c r="A19" s="60" t="s">
        <v>462</v>
      </c>
      <c r="B19" s="155"/>
      <c r="C19" s="61"/>
      <c r="D19" s="61"/>
      <c r="E19" s="158">
        <f t="shared" si="0"/>
        <v>0</v>
      </c>
    </row>
    <row r="20" spans="1:11">
      <c r="A20" s="60" t="s">
        <v>45</v>
      </c>
      <c r="B20" s="155">
        <f>SUM('קרנות השקעה'!W:W)</f>
        <v>141585.0306</v>
      </c>
      <c r="C20" s="61"/>
      <c r="D20" s="61" t="s">
        <v>17</v>
      </c>
      <c r="E20" s="158">
        <f t="shared" si="0"/>
        <v>0.12137339301445174</v>
      </c>
    </row>
    <row r="21" spans="1:11">
      <c r="A21" s="60" t="s">
        <v>46</v>
      </c>
      <c r="B21" s="155"/>
      <c r="C21" s="61"/>
      <c r="D21" s="61"/>
      <c r="E21" s="158">
        <f t="shared" si="0"/>
        <v>0</v>
      </c>
    </row>
    <row r="22" spans="1:11">
      <c r="A22" s="60" t="s">
        <v>47</v>
      </c>
      <c r="B22" s="155"/>
      <c r="C22" s="61"/>
      <c r="D22" s="61"/>
      <c r="E22" s="158">
        <f t="shared" si="0"/>
        <v>0</v>
      </c>
    </row>
    <row r="23" spans="1:11">
      <c r="A23" s="60" t="s">
        <v>461</v>
      </c>
      <c r="B23" s="155">
        <f>SUM('לא סחיר נגזרים אחרים'!R:R)</f>
        <v>1058.42482</v>
      </c>
      <c r="C23" s="61"/>
      <c r="D23" s="61" t="s">
        <v>17</v>
      </c>
      <c r="E23" s="158">
        <f t="shared" si="0"/>
        <v>9.0733187759829692E-4</v>
      </c>
    </row>
    <row r="24" spans="1:11" ht="15">
      <c r="A24" s="60" t="s">
        <v>48</v>
      </c>
      <c r="B24" s="155">
        <f>SUM(הלוואות!AT:AT)</f>
        <v>42498.266489999995</v>
      </c>
      <c r="C24" s="61"/>
      <c r="D24" s="61" t="s">
        <v>17</v>
      </c>
      <c r="E24" s="158">
        <f t="shared" si="0"/>
        <v>3.6431526548143953E-2</v>
      </c>
      <c r="J24"/>
    </row>
    <row r="25" spans="1:11" ht="15">
      <c r="A25" s="60" t="s">
        <v>49</v>
      </c>
      <c r="B25" s="155"/>
      <c r="C25" s="61"/>
      <c r="D25" s="61"/>
      <c r="E25" s="158">
        <f t="shared" si="0"/>
        <v>0</v>
      </c>
      <c r="J25"/>
    </row>
    <row r="26" spans="1:11" ht="15">
      <c r="A26" s="60" t="s">
        <v>50</v>
      </c>
      <c r="B26" s="155"/>
      <c r="C26" s="61"/>
      <c r="D26" s="61"/>
      <c r="E26" s="158">
        <f t="shared" si="0"/>
        <v>0</v>
      </c>
      <c r="J26"/>
    </row>
    <row r="27" spans="1:11" ht="15">
      <c r="A27" s="60" t="s">
        <v>51</v>
      </c>
      <c r="B27" s="155"/>
      <c r="C27" s="61"/>
      <c r="D27" s="61"/>
      <c r="E27" s="158">
        <f t="shared" si="0"/>
        <v>0</v>
      </c>
      <c r="J27"/>
    </row>
    <row r="28" spans="1:11" ht="15">
      <c r="A28" s="60" t="s">
        <v>506</v>
      </c>
      <c r="B28" s="155"/>
      <c r="C28" s="61"/>
      <c r="D28" s="61"/>
      <c r="E28" s="158">
        <f t="shared" si="0"/>
        <v>0</v>
      </c>
      <c r="J28"/>
    </row>
    <row r="29" spans="1:11" ht="15">
      <c r="A29" s="60" t="s">
        <v>52</v>
      </c>
      <c r="B29" s="155"/>
      <c r="C29" s="61"/>
      <c r="D29" s="61"/>
      <c r="E29" s="158">
        <f t="shared" si="0"/>
        <v>0</v>
      </c>
      <c r="J29"/>
    </row>
    <row r="30" spans="1:11" ht="15">
      <c r="A30" s="59" t="s">
        <v>619</v>
      </c>
      <c r="B30" s="157">
        <f>SUM(B3:B29)</f>
        <v>1166524.4505700001</v>
      </c>
      <c r="C30" s="64">
        <f>SUM(C3:C29)</f>
        <v>0</v>
      </c>
      <c r="D30" s="64">
        <f>SUM(D3:D29)</f>
        <v>0</v>
      </c>
      <c r="E30" s="159">
        <f>SUM(E3:E29)</f>
        <v>0.99999999999999989</v>
      </c>
      <c r="J30"/>
    </row>
    <row r="31" spans="1:11" s="126" customFormat="1" ht="15">
      <c r="A31" s="62" t="s">
        <v>771</v>
      </c>
      <c r="B31" s="63"/>
      <c r="C31" s="63"/>
      <c r="D31" s="63"/>
      <c r="E31" s="63"/>
      <c r="J31"/>
      <c r="K31" s="10"/>
    </row>
    <row r="32" spans="1:11" ht="15">
      <c r="A32" s="62" t="s">
        <v>772</v>
      </c>
      <c r="B32" s="63"/>
      <c r="C32" s="63"/>
      <c r="D32" s="63"/>
      <c r="E32" s="63"/>
      <c r="J32"/>
    </row>
    <row r="33" spans="10:10" ht="15">
      <c r="J33"/>
    </row>
    <row r="34" spans="10:10" ht="15">
      <c r="J34"/>
    </row>
    <row r="35" spans="10:10" ht="15">
      <c r="J35"/>
    </row>
    <row r="36" spans="10:10" ht="15">
      <c r="J36"/>
    </row>
    <row r="37" spans="10:10" ht="15">
      <c r="J37"/>
    </row>
    <row r="38" spans="10:10" ht="15">
      <c r="J38"/>
    </row>
    <row r="39" spans="10:10" ht="15">
      <c r="J39"/>
    </row>
    <row r="40" spans="10:10" ht="15">
      <c r="J40"/>
    </row>
    <row r="41" spans="10:10" ht="15">
      <c r="J41"/>
    </row>
    <row r="42" spans="10:10" ht="15">
      <c r="J42"/>
    </row>
    <row r="43" spans="10:10" ht="15">
      <c r="J43"/>
    </row>
    <row r="44" spans="10:10" ht="15">
      <c r="J44"/>
    </row>
    <row r="45" spans="10:10" ht="15">
      <c r="J45"/>
    </row>
    <row r="46" spans="10:10" ht="15">
      <c r="J46"/>
    </row>
    <row r="47" spans="10:10" ht="15">
      <c r="J47"/>
    </row>
    <row r="48" spans="10:10" ht="15">
      <c r="J48"/>
    </row>
    <row r="49" spans="10:10" ht="15">
      <c r="J49"/>
    </row>
    <row r="50" spans="10:10" ht="15">
      <c r="J50"/>
    </row>
    <row r="51" spans="10:10" ht="15">
      <c r="J51"/>
    </row>
    <row r="52" spans="10:10" ht="15">
      <c r="J52"/>
    </row>
    <row r="53" spans="10:10" ht="15">
      <c r="J53"/>
    </row>
    <row r="54" spans="10:10" ht="15">
      <c r="J54"/>
    </row>
    <row r="55" spans="10:10" ht="15">
      <c r="J55"/>
    </row>
  </sheetData>
  <customSheetViews>
    <customSheetView guid="{AE318230-F718-49FC-82EB-7CAC3DCD05F1}" showGridLines="0">
      <pageMargins left="0.7" right="0.7" top="0.75" bottom="0.75" header="0.3" footer="0.3"/>
      <pageSetup orientation="portrait" r:id="rId1"/>
    </customSheetView>
  </customSheetViews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S71"/>
  <sheetViews>
    <sheetView rightToLeft="1" workbookViewId="0">
      <selection activeCell="N18" sqref="N18"/>
    </sheetView>
  </sheetViews>
  <sheetFormatPr defaultColWidth="9" defaultRowHeight="15"/>
  <cols>
    <col min="1" max="2" width="11.5703125" style="2" customWidth="1"/>
    <col min="3" max="3" width="19.140625" style="2" bestFit="1" customWidth="1"/>
    <col min="4" max="4" width="11.5703125" style="2" customWidth="1"/>
    <col min="5" max="5" width="11.5703125" style="4" customWidth="1"/>
    <col min="6" max="6" width="26.28515625" style="2" customWidth="1"/>
    <col min="7" max="14" width="11.5703125" style="2" customWidth="1"/>
    <col min="15" max="15" width="11.5703125" style="44" customWidth="1"/>
    <col min="16" max="18" width="11.5703125" style="2" customWidth="1"/>
    <col min="19" max="16384" width="9" style="2"/>
  </cols>
  <sheetData>
    <row r="1" spans="1:19" s="3" customFormat="1" ht="66.75" customHeight="1">
      <c r="A1" s="21" t="s">
        <v>667</v>
      </c>
      <c r="B1" s="21" t="s">
        <v>0</v>
      </c>
      <c r="C1" s="21" t="s">
        <v>739</v>
      </c>
      <c r="D1" s="21" t="s">
        <v>757</v>
      </c>
      <c r="E1" s="21" t="s">
        <v>758</v>
      </c>
      <c r="F1" s="21" t="s">
        <v>1</v>
      </c>
      <c r="G1" s="21" t="s">
        <v>620</v>
      </c>
      <c r="H1" s="21" t="s">
        <v>622</v>
      </c>
      <c r="I1" s="21" t="s">
        <v>788</v>
      </c>
      <c r="J1" s="21" t="s">
        <v>8</v>
      </c>
      <c r="K1" s="21" t="s">
        <v>396</v>
      </c>
      <c r="L1" s="21" t="s">
        <v>938</v>
      </c>
      <c r="M1" s="21" t="s">
        <v>11</v>
      </c>
      <c r="N1" s="21" t="s">
        <v>14</v>
      </c>
      <c r="O1" s="191" t="s">
        <v>1171</v>
      </c>
      <c r="P1" s="21" t="s">
        <v>19</v>
      </c>
      <c r="Q1" s="21" t="s">
        <v>30</v>
      </c>
    </row>
    <row r="2" spans="1:19" ht="15.75" thickBot="1">
      <c r="A2" s="160">
        <v>7891</v>
      </c>
      <c r="B2" s="160">
        <v>7892</v>
      </c>
      <c r="C2" s="161" t="s">
        <v>1206</v>
      </c>
      <c r="D2" s="166">
        <v>10</v>
      </c>
      <c r="E2" s="161" t="s">
        <v>792</v>
      </c>
      <c r="F2" s="161" t="s">
        <v>213</v>
      </c>
      <c r="G2" s="161" t="s">
        <v>53</v>
      </c>
      <c r="H2" s="161" t="s">
        <v>62</v>
      </c>
      <c r="I2" s="161" t="s">
        <v>1207</v>
      </c>
      <c r="J2" s="161" t="s">
        <v>65</v>
      </c>
      <c r="K2" s="161" t="s">
        <v>1208</v>
      </c>
      <c r="L2" s="162">
        <v>175.47463999999999</v>
      </c>
      <c r="M2" s="162">
        <v>1</v>
      </c>
      <c r="N2" s="163"/>
      <c r="O2" s="192">
        <v>175.47463999999999</v>
      </c>
      <c r="P2" s="163">
        <v>1</v>
      </c>
      <c r="Q2" s="163">
        <v>8.0559322074999995E-2</v>
      </c>
    </row>
    <row r="3" spans="1:19" ht="15.75" thickBot="1">
      <c r="A3" s="160">
        <v>7891</v>
      </c>
      <c r="B3" s="160">
        <v>7893</v>
      </c>
      <c r="C3" s="161" t="s">
        <v>1206</v>
      </c>
      <c r="D3" s="166">
        <v>10</v>
      </c>
      <c r="E3" s="161" t="s">
        <v>792</v>
      </c>
      <c r="F3" s="161" t="s">
        <v>213</v>
      </c>
      <c r="G3" s="161" t="s">
        <v>53</v>
      </c>
      <c r="H3" s="161" t="s">
        <v>62</v>
      </c>
      <c r="I3" s="161" t="s">
        <v>1207</v>
      </c>
      <c r="J3" s="161" t="s">
        <v>65</v>
      </c>
      <c r="K3" s="161" t="s">
        <v>1208</v>
      </c>
      <c r="L3" s="162">
        <v>35.751170000000002</v>
      </c>
      <c r="M3" s="162">
        <v>1</v>
      </c>
      <c r="N3" s="163"/>
      <c r="O3" s="192">
        <v>35.751170000000002</v>
      </c>
      <c r="P3" s="163">
        <v>1</v>
      </c>
      <c r="Q3" s="163">
        <v>3.2894698947999998E-2</v>
      </c>
    </row>
    <row r="4" spans="1:19" ht="15.75" thickBot="1">
      <c r="A4" s="160">
        <v>7891</v>
      </c>
      <c r="B4" s="160">
        <v>7895</v>
      </c>
      <c r="C4" s="161" t="s">
        <v>1209</v>
      </c>
      <c r="D4" s="166">
        <v>12</v>
      </c>
      <c r="E4" s="161" t="s">
        <v>792</v>
      </c>
      <c r="F4" s="161" t="s">
        <v>213</v>
      </c>
      <c r="G4" s="161" t="s">
        <v>53</v>
      </c>
      <c r="H4" s="161" t="s">
        <v>62</v>
      </c>
      <c r="I4" s="161" t="s">
        <v>1207</v>
      </c>
      <c r="J4" s="161" t="s">
        <v>65</v>
      </c>
      <c r="K4" s="161" t="s">
        <v>1208</v>
      </c>
      <c r="L4" s="162">
        <v>23.278390000000002</v>
      </c>
      <c r="M4" s="162">
        <v>1</v>
      </c>
      <c r="N4" s="163"/>
      <c r="O4" s="192">
        <v>23.278390000000002</v>
      </c>
      <c r="P4" s="163">
        <v>1</v>
      </c>
      <c r="Q4" s="163">
        <v>7.5035899165999995E-2</v>
      </c>
    </row>
    <row r="5" spans="1:19" ht="15.75" thickBot="1">
      <c r="A5" s="160">
        <v>7891</v>
      </c>
      <c r="B5" s="160">
        <v>7896</v>
      </c>
      <c r="C5" s="161" t="s">
        <v>1209</v>
      </c>
      <c r="D5" s="166">
        <v>12</v>
      </c>
      <c r="E5" s="161" t="s">
        <v>792</v>
      </c>
      <c r="F5" s="161" t="s">
        <v>213</v>
      </c>
      <c r="G5" s="161" t="s">
        <v>53</v>
      </c>
      <c r="H5" s="161" t="s">
        <v>62</v>
      </c>
      <c r="I5" s="161" t="s">
        <v>1207</v>
      </c>
      <c r="J5" s="161" t="s">
        <v>65</v>
      </c>
      <c r="K5" s="161" t="s">
        <v>1208</v>
      </c>
      <c r="L5" s="162">
        <v>458.87736999999998</v>
      </c>
      <c r="M5" s="162">
        <v>1</v>
      </c>
      <c r="N5" s="163"/>
      <c r="O5" s="192">
        <v>458.87736999999998</v>
      </c>
      <c r="P5" s="163">
        <v>0.88015165133600004</v>
      </c>
      <c r="Q5" s="163">
        <v>2.8040600983999998E-2</v>
      </c>
    </row>
    <row r="6" spans="1:19" ht="15.75" thickBot="1">
      <c r="A6" s="160">
        <v>7891</v>
      </c>
      <c r="B6" s="160">
        <v>7896</v>
      </c>
      <c r="C6" s="161" t="s">
        <v>1209</v>
      </c>
      <c r="D6" s="166">
        <v>12</v>
      </c>
      <c r="E6" s="161" t="s">
        <v>792</v>
      </c>
      <c r="F6" s="161" t="s">
        <v>218</v>
      </c>
      <c r="G6" s="161" t="s">
        <v>53</v>
      </c>
      <c r="H6" s="161" t="s">
        <v>62</v>
      </c>
      <c r="I6" s="161" t="s">
        <v>1207</v>
      </c>
      <c r="J6" s="161" t="s">
        <v>65</v>
      </c>
      <c r="K6" s="161" t="s">
        <v>1210</v>
      </c>
      <c r="L6" s="162">
        <v>14.141120000000001</v>
      </c>
      <c r="M6" s="162">
        <v>3.71</v>
      </c>
      <c r="N6" s="163"/>
      <c r="O6" s="192">
        <v>52.463560000000001</v>
      </c>
      <c r="P6" s="163">
        <v>0.10062794983499999</v>
      </c>
      <c r="Q6" s="163">
        <v>3.2058886490000001E-3</v>
      </c>
      <c r="S6" s="190"/>
    </row>
    <row r="7" spans="1:19" ht="15.75" thickBot="1">
      <c r="A7" s="160">
        <v>7891</v>
      </c>
      <c r="B7" s="160">
        <v>7896</v>
      </c>
      <c r="C7" s="161" t="s">
        <v>1209</v>
      </c>
      <c r="D7" s="166">
        <v>12</v>
      </c>
      <c r="E7" s="161" t="s">
        <v>792</v>
      </c>
      <c r="F7" s="161" t="s">
        <v>218</v>
      </c>
      <c r="G7" s="161" t="s">
        <v>53</v>
      </c>
      <c r="H7" s="161" t="s">
        <v>62</v>
      </c>
      <c r="I7" s="161" t="s">
        <v>1207</v>
      </c>
      <c r="J7" s="161" t="s">
        <v>65</v>
      </c>
      <c r="K7" s="161" t="s">
        <v>1211</v>
      </c>
      <c r="L7" s="162">
        <v>2.4132500000000001</v>
      </c>
      <c r="M7" s="162">
        <v>4.1524000000000001</v>
      </c>
      <c r="N7" s="163"/>
      <c r="O7" s="192">
        <v>10.02078</v>
      </c>
      <c r="P7" s="163">
        <v>1.9220398828000002E-2</v>
      </c>
      <c r="Q7" s="163">
        <v>6.1233939999999997E-4</v>
      </c>
      <c r="S7" s="190"/>
    </row>
    <row r="8" spans="1:19" ht="15.75" thickBot="1">
      <c r="A8" s="160">
        <v>7891</v>
      </c>
      <c r="B8" s="160">
        <v>7897</v>
      </c>
      <c r="C8" s="161" t="s">
        <v>1209</v>
      </c>
      <c r="D8" s="166">
        <v>12</v>
      </c>
      <c r="E8" s="161" t="s">
        <v>792</v>
      </c>
      <c r="F8" s="161" t="s">
        <v>213</v>
      </c>
      <c r="G8" s="161" t="s">
        <v>53</v>
      </c>
      <c r="H8" s="161" t="s">
        <v>62</v>
      </c>
      <c r="I8" s="161" t="s">
        <v>1207</v>
      </c>
      <c r="J8" s="161" t="s">
        <v>65</v>
      </c>
      <c r="K8" s="161" t="s">
        <v>1208</v>
      </c>
      <c r="L8" s="162">
        <v>93.163269999999997</v>
      </c>
      <c r="M8" s="162">
        <v>1</v>
      </c>
      <c r="N8" s="163"/>
      <c r="O8" s="192">
        <v>93.163269999999997</v>
      </c>
      <c r="P8" s="163">
        <v>5.5424686320000001E-3</v>
      </c>
      <c r="Q8" s="163">
        <v>1.019952307E-3</v>
      </c>
    </row>
    <row r="9" spans="1:19" ht="15.75" thickBot="1">
      <c r="A9" s="160">
        <v>7891</v>
      </c>
      <c r="B9" s="160">
        <v>7897</v>
      </c>
      <c r="C9" s="161" t="s">
        <v>1209</v>
      </c>
      <c r="D9" s="166">
        <v>12</v>
      </c>
      <c r="E9" s="161" t="s">
        <v>792</v>
      </c>
      <c r="F9" s="161" t="s">
        <v>218</v>
      </c>
      <c r="G9" s="161" t="s">
        <v>53</v>
      </c>
      <c r="H9" s="161" t="s">
        <v>62</v>
      </c>
      <c r="I9" s="161" t="s">
        <v>1207</v>
      </c>
      <c r="J9" s="161" t="s">
        <v>65</v>
      </c>
      <c r="K9" s="161" t="s">
        <v>1210</v>
      </c>
      <c r="L9" s="162">
        <v>-1.8000000000000001E-4</v>
      </c>
      <c r="M9" s="162">
        <v>3.71</v>
      </c>
      <c r="N9" s="163"/>
      <c r="O9" s="192">
        <v>-6.7000000000000002E-4</v>
      </c>
      <c r="P9" s="163">
        <v>-3.98596354953414E-8</v>
      </c>
      <c r="Q9" s="163">
        <v>-7.3351659514135896E-9</v>
      </c>
      <c r="S9" s="190"/>
    </row>
    <row r="10" spans="1:19" ht="15.75" thickBot="1">
      <c r="A10" s="160">
        <v>7891</v>
      </c>
      <c r="B10" s="160">
        <v>7897</v>
      </c>
      <c r="C10" s="161" t="s">
        <v>1209</v>
      </c>
      <c r="D10" s="166">
        <v>12</v>
      </c>
      <c r="E10" s="161" t="s">
        <v>792</v>
      </c>
      <c r="F10" s="161" t="s">
        <v>213</v>
      </c>
      <c r="G10" s="161" t="s">
        <v>53</v>
      </c>
      <c r="H10" s="161" t="s">
        <v>62</v>
      </c>
      <c r="I10" s="161" t="s">
        <v>1207</v>
      </c>
      <c r="J10" s="161" t="s">
        <v>65</v>
      </c>
      <c r="K10" s="161" t="s">
        <v>1208</v>
      </c>
      <c r="L10" s="162">
        <v>13461.114960000001</v>
      </c>
      <c r="M10" s="162">
        <v>1</v>
      </c>
      <c r="N10" s="163"/>
      <c r="O10" s="192">
        <v>13461.114960000001</v>
      </c>
      <c r="P10" s="163">
        <v>0.80082856069599995</v>
      </c>
      <c r="Q10" s="163">
        <v>0.14737240615300001</v>
      </c>
    </row>
    <row r="11" spans="1:19" ht="15.75" thickBot="1">
      <c r="A11" s="160">
        <v>7891</v>
      </c>
      <c r="B11" s="160">
        <v>7897</v>
      </c>
      <c r="C11" s="161" t="s">
        <v>1209</v>
      </c>
      <c r="D11" s="166">
        <v>12</v>
      </c>
      <c r="E11" s="161" t="s">
        <v>792</v>
      </c>
      <c r="F11" s="161" t="s">
        <v>218</v>
      </c>
      <c r="G11" s="161" t="s">
        <v>53</v>
      </c>
      <c r="H11" s="161" t="s">
        <v>62</v>
      </c>
      <c r="I11" s="161" t="s">
        <v>1207</v>
      </c>
      <c r="J11" s="161" t="s">
        <v>65</v>
      </c>
      <c r="K11" s="161" t="s">
        <v>1210</v>
      </c>
      <c r="L11" s="162">
        <v>855.80192999999997</v>
      </c>
      <c r="M11" s="162">
        <v>3.71</v>
      </c>
      <c r="N11" s="163"/>
      <c r="O11" s="192">
        <v>3175.0251600000001</v>
      </c>
      <c r="P11" s="163">
        <v>0.18888857547099999</v>
      </c>
      <c r="Q11" s="163">
        <v>3.4760203654000003E-2</v>
      </c>
      <c r="S11" s="190"/>
    </row>
    <row r="12" spans="1:19" ht="15.75" thickBot="1">
      <c r="A12" s="160">
        <v>7891</v>
      </c>
      <c r="B12" s="160">
        <v>7897</v>
      </c>
      <c r="C12" s="161" t="s">
        <v>1209</v>
      </c>
      <c r="D12" s="166">
        <v>12</v>
      </c>
      <c r="E12" s="161" t="s">
        <v>792</v>
      </c>
      <c r="F12" s="161" t="s">
        <v>218</v>
      </c>
      <c r="G12" s="161" t="s">
        <v>53</v>
      </c>
      <c r="H12" s="161" t="s">
        <v>62</v>
      </c>
      <c r="I12" s="161" t="s">
        <v>1207</v>
      </c>
      <c r="J12" s="161" t="s">
        <v>65</v>
      </c>
      <c r="K12" s="161" t="s">
        <v>1211</v>
      </c>
      <c r="L12" s="162">
        <v>19.189360000000001</v>
      </c>
      <c r="M12" s="162">
        <v>4.1524000000000001</v>
      </c>
      <c r="N12" s="163"/>
      <c r="O12" s="192">
        <v>79.681899999999999</v>
      </c>
      <c r="P12" s="163">
        <v>4.7404350589999996E-3</v>
      </c>
      <c r="Q12" s="163">
        <v>8.72358148E-4</v>
      </c>
      <c r="S12" s="190"/>
    </row>
    <row r="13" spans="1:19" ht="15.75" thickBot="1">
      <c r="A13" s="160">
        <v>7891</v>
      </c>
      <c r="B13" s="160">
        <v>7900</v>
      </c>
      <c r="C13" s="161" t="s">
        <v>1209</v>
      </c>
      <c r="D13" s="166">
        <v>12</v>
      </c>
      <c r="E13" s="161" t="s">
        <v>792</v>
      </c>
      <c r="F13" s="161" t="s">
        <v>213</v>
      </c>
      <c r="G13" s="161" t="s">
        <v>53</v>
      </c>
      <c r="H13" s="161" t="s">
        <v>62</v>
      </c>
      <c r="I13" s="161" t="s">
        <v>1207</v>
      </c>
      <c r="J13" s="161" t="s">
        <v>65</v>
      </c>
      <c r="K13" s="161" t="s">
        <v>1208</v>
      </c>
      <c r="L13" s="162">
        <v>286.74182999999999</v>
      </c>
      <c r="M13" s="162">
        <v>1</v>
      </c>
      <c r="N13" s="163"/>
      <c r="O13" s="192">
        <v>286.74182999999999</v>
      </c>
      <c r="P13" s="163">
        <v>0.95292489980100004</v>
      </c>
      <c r="Q13" s="163">
        <v>2.728719273E-2</v>
      </c>
    </row>
    <row r="14" spans="1:19" ht="15.75" thickBot="1">
      <c r="A14" s="160">
        <v>7891</v>
      </c>
      <c r="B14" s="160">
        <v>7900</v>
      </c>
      <c r="C14" s="161" t="s">
        <v>1209</v>
      </c>
      <c r="D14" s="166">
        <v>12</v>
      </c>
      <c r="E14" s="161" t="s">
        <v>792</v>
      </c>
      <c r="F14" s="161" t="s">
        <v>218</v>
      </c>
      <c r="G14" s="161" t="s">
        <v>53</v>
      </c>
      <c r="H14" s="161" t="s">
        <v>62</v>
      </c>
      <c r="I14" s="161" t="s">
        <v>1207</v>
      </c>
      <c r="J14" s="161" t="s">
        <v>65</v>
      </c>
      <c r="K14" s="161" t="s">
        <v>1210</v>
      </c>
      <c r="L14" s="162">
        <v>3.81812</v>
      </c>
      <c r="M14" s="162">
        <v>3.71</v>
      </c>
      <c r="N14" s="163"/>
      <c r="O14" s="192">
        <v>14.165229999999999</v>
      </c>
      <c r="P14" s="163">
        <v>4.7075100198E-2</v>
      </c>
      <c r="Q14" s="163">
        <v>1.348004792E-3</v>
      </c>
      <c r="S14" s="190"/>
    </row>
    <row r="15" spans="1:19" ht="15.75" thickBot="1">
      <c r="A15" s="160">
        <v>11925</v>
      </c>
      <c r="B15" s="160">
        <v>11926</v>
      </c>
      <c r="C15" s="161" t="s">
        <v>1209</v>
      </c>
      <c r="D15" s="166">
        <v>12</v>
      </c>
      <c r="E15" s="161" t="s">
        <v>792</v>
      </c>
      <c r="F15" s="161" t="s">
        <v>213</v>
      </c>
      <c r="G15" s="161" t="s">
        <v>53</v>
      </c>
      <c r="H15" s="161" t="s">
        <v>62</v>
      </c>
      <c r="I15" s="161" t="s">
        <v>1207</v>
      </c>
      <c r="J15" s="161" t="s">
        <v>65</v>
      </c>
      <c r="K15" s="161" t="s">
        <v>1208</v>
      </c>
      <c r="L15" s="162">
        <v>1758.5490500000001</v>
      </c>
      <c r="M15" s="162">
        <v>1</v>
      </c>
      <c r="N15" s="163"/>
      <c r="O15" s="192">
        <v>1758.5490500000001</v>
      </c>
      <c r="P15" s="163">
        <v>0.98805248347899999</v>
      </c>
      <c r="Q15" s="163">
        <v>7.2774944995999999E-2</v>
      </c>
    </row>
    <row r="16" spans="1:19" ht="15.75" thickBot="1">
      <c r="A16" s="160">
        <v>11925</v>
      </c>
      <c r="B16" s="160">
        <v>11926</v>
      </c>
      <c r="C16" s="161" t="s">
        <v>1209</v>
      </c>
      <c r="D16" s="166">
        <v>12</v>
      </c>
      <c r="E16" s="161" t="s">
        <v>792</v>
      </c>
      <c r="F16" s="161" t="s">
        <v>218</v>
      </c>
      <c r="G16" s="161" t="s">
        <v>53</v>
      </c>
      <c r="H16" s="161" t="s">
        <v>62</v>
      </c>
      <c r="I16" s="161" t="s">
        <v>1207</v>
      </c>
      <c r="J16" s="161" t="s">
        <v>65</v>
      </c>
      <c r="K16" s="161" t="s">
        <v>1210</v>
      </c>
      <c r="L16" s="162">
        <v>5.73163</v>
      </c>
      <c r="M16" s="162">
        <v>3.71</v>
      </c>
      <c r="N16" s="163"/>
      <c r="O16" s="192">
        <v>21.26435</v>
      </c>
      <c r="P16" s="163">
        <v>1.194751652E-2</v>
      </c>
      <c r="Q16" s="163">
        <v>8.7999359500000004E-4</v>
      </c>
      <c r="S16" s="190"/>
    </row>
    <row r="17" spans="1:19" ht="15.75" thickBot="1">
      <c r="A17" s="160">
        <v>11925</v>
      </c>
      <c r="B17" s="160">
        <v>11928</v>
      </c>
      <c r="C17" s="161" t="s">
        <v>1209</v>
      </c>
      <c r="D17" s="166">
        <v>12</v>
      </c>
      <c r="E17" s="161" t="s">
        <v>792</v>
      </c>
      <c r="F17" s="161" t="s">
        <v>213</v>
      </c>
      <c r="G17" s="161" t="s">
        <v>53</v>
      </c>
      <c r="H17" s="161" t="s">
        <v>62</v>
      </c>
      <c r="I17" s="161" t="s">
        <v>1207</v>
      </c>
      <c r="J17" s="161" t="s">
        <v>65</v>
      </c>
      <c r="K17" s="161" t="s">
        <v>1208</v>
      </c>
      <c r="L17" s="162">
        <v>114.69811</v>
      </c>
      <c r="M17" s="162">
        <v>1</v>
      </c>
      <c r="N17" s="163"/>
      <c r="O17" s="192">
        <v>114.69811</v>
      </c>
      <c r="P17" s="163">
        <v>5.3245869530000002E-3</v>
      </c>
      <c r="Q17" s="163">
        <v>8.8626579999999996E-4</v>
      </c>
    </row>
    <row r="18" spans="1:19" ht="15.75" thickBot="1">
      <c r="A18" s="160">
        <v>11925</v>
      </c>
      <c r="B18" s="160">
        <v>11928</v>
      </c>
      <c r="C18" s="161" t="s">
        <v>1209</v>
      </c>
      <c r="D18" s="166">
        <v>12</v>
      </c>
      <c r="E18" s="161" t="s">
        <v>792</v>
      </c>
      <c r="F18" s="161" t="s">
        <v>218</v>
      </c>
      <c r="G18" s="161" t="s">
        <v>53</v>
      </c>
      <c r="H18" s="161" t="s">
        <v>62</v>
      </c>
      <c r="I18" s="161" t="s">
        <v>1207</v>
      </c>
      <c r="J18" s="161" t="s">
        <v>65</v>
      </c>
      <c r="K18" s="161" t="s">
        <v>1210</v>
      </c>
      <c r="L18" s="162">
        <v>-2.7E-4</v>
      </c>
      <c r="M18" s="162">
        <v>3.71</v>
      </c>
      <c r="N18" s="163"/>
      <c r="O18" s="192">
        <v>-1E-3</v>
      </c>
      <c r="P18" s="163">
        <v>-4.6422621555565297E-8</v>
      </c>
      <c r="Q18" s="163">
        <v>-7.7269433670492806E-9</v>
      </c>
      <c r="S18" s="190"/>
    </row>
    <row r="19" spans="1:19" ht="15.75" thickBot="1">
      <c r="A19" s="160">
        <v>11925</v>
      </c>
      <c r="B19" s="160">
        <v>11928</v>
      </c>
      <c r="C19" s="161" t="s">
        <v>1209</v>
      </c>
      <c r="D19" s="166">
        <v>12</v>
      </c>
      <c r="E19" s="161" t="s">
        <v>792</v>
      </c>
      <c r="F19" s="161" t="s">
        <v>213</v>
      </c>
      <c r="G19" s="161" t="s">
        <v>53</v>
      </c>
      <c r="H19" s="161" t="s">
        <v>62</v>
      </c>
      <c r="I19" s="161" t="s">
        <v>1207</v>
      </c>
      <c r="J19" s="161" t="s">
        <v>65</v>
      </c>
      <c r="K19" s="161" t="s">
        <v>1208</v>
      </c>
      <c r="L19" s="162">
        <v>16459.276170000001</v>
      </c>
      <c r="M19" s="162">
        <v>1</v>
      </c>
      <c r="N19" s="163"/>
      <c r="O19" s="192">
        <v>16459.276170000001</v>
      </c>
      <c r="P19" s="163">
        <v>0.76408274871799997</v>
      </c>
      <c r="Q19" s="163">
        <v>0.12717989482799999</v>
      </c>
    </row>
    <row r="20" spans="1:19" ht="15.75" thickBot="1">
      <c r="A20" s="160">
        <v>11925</v>
      </c>
      <c r="B20" s="160">
        <v>11928</v>
      </c>
      <c r="C20" s="161" t="s">
        <v>1209</v>
      </c>
      <c r="D20" s="166">
        <v>12</v>
      </c>
      <c r="E20" s="161" t="s">
        <v>792</v>
      </c>
      <c r="F20" s="161" t="s">
        <v>218</v>
      </c>
      <c r="G20" s="161" t="s">
        <v>53</v>
      </c>
      <c r="H20" s="161" t="s">
        <v>62</v>
      </c>
      <c r="I20" s="161" t="s">
        <v>1207</v>
      </c>
      <c r="J20" s="161" t="s">
        <v>65</v>
      </c>
      <c r="K20" s="161" t="s">
        <v>1210</v>
      </c>
      <c r="L20" s="162">
        <v>1290.3124</v>
      </c>
      <c r="M20" s="162">
        <v>3.71</v>
      </c>
      <c r="N20" s="163"/>
      <c r="O20" s="192">
        <v>4787.0590000000002</v>
      </c>
      <c r="P20" s="163">
        <v>0.22222782832099999</v>
      </c>
      <c r="Q20" s="163">
        <v>3.6989333786999999E-2</v>
      </c>
      <c r="S20" s="190"/>
    </row>
    <row r="21" spans="1:19" s="44" customFormat="1" ht="15.75" thickBot="1">
      <c r="A21" s="160">
        <v>11925</v>
      </c>
      <c r="B21" s="160">
        <v>11928</v>
      </c>
      <c r="C21" s="161" t="s">
        <v>1209</v>
      </c>
      <c r="D21" s="166">
        <v>12</v>
      </c>
      <c r="E21" s="161" t="s">
        <v>792</v>
      </c>
      <c r="F21" s="161" t="s">
        <v>218</v>
      </c>
      <c r="G21" s="161" t="s">
        <v>53</v>
      </c>
      <c r="H21" s="161" t="s">
        <v>62</v>
      </c>
      <c r="I21" s="161" t="s">
        <v>1207</v>
      </c>
      <c r="J21" s="161" t="s">
        <v>65</v>
      </c>
      <c r="K21" s="161" t="s">
        <v>1211</v>
      </c>
      <c r="L21" s="162">
        <v>43.394129999999997</v>
      </c>
      <c r="M21" s="162">
        <v>4.1524000000000001</v>
      </c>
      <c r="N21" s="163"/>
      <c r="O21" s="192">
        <v>180.18978999999999</v>
      </c>
      <c r="P21" s="163">
        <v>8.3648824289999993E-3</v>
      </c>
      <c r="Q21" s="163">
        <v>1.3923163020000001E-3</v>
      </c>
      <c r="S21" s="190"/>
    </row>
    <row r="22" spans="1:19" ht="15.75" thickBot="1">
      <c r="A22" s="160">
        <v>11925</v>
      </c>
      <c r="B22" s="160">
        <v>11931</v>
      </c>
      <c r="C22" s="161" t="s">
        <v>1209</v>
      </c>
      <c r="D22" s="166">
        <v>12</v>
      </c>
      <c r="E22" s="161" t="s">
        <v>792</v>
      </c>
      <c r="F22" s="161" t="s">
        <v>213</v>
      </c>
      <c r="G22" s="161" t="s">
        <v>53</v>
      </c>
      <c r="H22" s="161" t="s">
        <v>62</v>
      </c>
      <c r="I22" s="161" t="s">
        <v>1207</v>
      </c>
      <c r="J22" s="161" t="s">
        <v>65</v>
      </c>
      <c r="K22" s="161" t="s">
        <v>1208</v>
      </c>
      <c r="L22" s="162">
        <v>254.97537</v>
      </c>
      <c r="M22" s="162">
        <v>1</v>
      </c>
      <c r="N22" s="163"/>
      <c r="O22" s="192">
        <v>254.97537</v>
      </c>
      <c r="P22" s="163">
        <v>0.93911189958200003</v>
      </c>
      <c r="Q22" s="163">
        <v>1.0884954043E-2</v>
      </c>
    </row>
    <row r="23" spans="1:19" ht="15.75" thickBot="1">
      <c r="A23" s="160">
        <v>11925</v>
      </c>
      <c r="B23" s="160">
        <v>11931</v>
      </c>
      <c r="C23" s="161" t="s">
        <v>1209</v>
      </c>
      <c r="D23" s="166">
        <v>12</v>
      </c>
      <c r="E23" s="161" t="s">
        <v>792</v>
      </c>
      <c r="F23" s="161" t="s">
        <v>218</v>
      </c>
      <c r="G23" s="161" t="s">
        <v>53</v>
      </c>
      <c r="H23" s="161" t="s">
        <v>62</v>
      </c>
      <c r="I23" s="161" t="s">
        <v>1207</v>
      </c>
      <c r="J23" s="161" t="s">
        <v>65</v>
      </c>
      <c r="K23" s="161" t="s">
        <v>1210</v>
      </c>
      <c r="L23" s="162">
        <v>4.45594</v>
      </c>
      <c r="M23" s="162">
        <v>3.71</v>
      </c>
      <c r="N23" s="163"/>
      <c r="O23" s="192">
        <v>16.53154</v>
      </c>
      <c r="P23" s="163">
        <v>6.0888100416999998E-2</v>
      </c>
      <c r="Q23" s="163">
        <v>7.0573504000000003E-4</v>
      </c>
      <c r="S23" s="190"/>
    </row>
    <row r="24" spans="1:19" ht="15.75" thickBot="1">
      <c r="A24" s="160">
        <v>11925</v>
      </c>
      <c r="B24" s="160">
        <v>11934</v>
      </c>
      <c r="C24" s="161" t="s">
        <v>1209</v>
      </c>
      <c r="D24" s="166">
        <v>12</v>
      </c>
      <c r="E24" s="161" t="s">
        <v>792</v>
      </c>
      <c r="F24" s="161" t="s">
        <v>213</v>
      </c>
      <c r="G24" s="161" t="s">
        <v>53</v>
      </c>
      <c r="H24" s="161" t="s">
        <v>62</v>
      </c>
      <c r="I24" s="161" t="s">
        <v>1207</v>
      </c>
      <c r="J24" s="161" t="s">
        <v>65</v>
      </c>
      <c r="K24" s="161" t="s">
        <v>1208</v>
      </c>
      <c r="L24" s="162">
        <v>604.34786999999994</v>
      </c>
      <c r="M24" s="162">
        <v>1</v>
      </c>
      <c r="N24" s="163"/>
      <c r="O24" s="192">
        <v>604.34786999999994</v>
      </c>
      <c r="P24" s="163">
        <v>0.98338311800699996</v>
      </c>
      <c r="Q24" s="163">
        <v>1.9781298100000001E-2</v>
      </c>
    </row>
    <row r="25" spans="1:19" ht="15.75" thickBot="1">
      <c r="A25" s="160">
        <v>11925</v>
      </c>
      <c r="B25" s="160">
        <v>11934</v>
      </c>
      <c r="C25" s="161" t="s">
        <v>1209</v>
      </c>
      <c r="D25" s="166">
        <v>12</v>
      </c>
      <c r="E25" s="161" t="s">
        <v>792</v>
      </c>
      <c r="F25" s="161" t="s">
        <v>218</v>
      </c>
      <c r="G25" s="161" t="s">
        <v>53</v>
      </c>
      <c r="H25" s="161" t="s">
        <v>62</v>
      </c>
      <c r="I25" s="161" t="s">
        <v>1207</v>
      </c>
      <c r="J25" s="161" t="s">
        <v>65</v>
      </c>
      <c r="K25" s="161" t="s">
        <v>1210</v>
      </c>
      <c r="L25" s="162">
        <v>1.4927900000000001</v>
      </c>
      <c r="M25" s="162">
        <v>3.71</v>
      </c>
      <c r="N25" s="163"/>
      <c r="O25" s="192">
        <v>5.5382499999999997</v>
      </c>
      <c r="P25" s="163">
        <v>9.0117328500000007E-3</v>
      </c>
      <c r="Q25" s="163">
        <v>1.8127601600000001E-4</v>
      </c>
      <c r="S25" s="190"/>
    </row>
    <row r="26" spans="1:19" ht="15.75" thickBot="1">
      <c r="A26" s="160">
        <v>11925</v>
      </c>
      <c r="B26" s="160">
        <v>11934</v>
      </c>
      <c r="C26" s="161" t="s">
        <v>1209</v>
      </c>
      <c r="D26" s="166">
        <v>12</v>
      </c>
      <c r="E26" s="161" t="s">
        <v>792</v>
      </c>
      <c r="F26" s="161" t="s">
        <v>218</v>
      </c>
      <c r="G26" s="161" t="s">
        <v>53</v>
      </c>
      <c r="H26" s="161" t="s">
        <v>62</v>
      </c>
      <c r="I26" s="161" t="s">
        <v>1207</v>
      </c>
      <c r="J26" s="161" t="s">
        <v>65</v>
      </c>
      <c r="K26" s="161" t="s">
        <v>1211</v>
      </c>
      <c r="L26" s="162">
        <v>1.12557</v>
      </c>
      <c r="M26" s="162">
        <v>4.1524000000000001</v>
      </c>
      <c r="N26" s="163"/>
      <c r="O26" s="192">
        <v>4.6738200000000001</v>
      </c>
      <c r="P26" s="163">
        <v>7.6051491410000002E-3</v>
      </c>
      <c r="Q26" s="163">
        <v>1.52981802E-4</v>
      </c>
      <c r="S26" s="190"/>
    </row>
    <row r="27" spans="1:19" ht="15.75" thickBot="1">
      <c r="A27" s="160">
        <v>11939</v>
      </c>
      <c r="B27" s="160">
        <v>11942</v>
      </c>
      <c r="C27" s="161" t="s">
        <v>1209</v>
      </c>
      <c r="D27" s="166">
        <v>12</v>
      </c>
      <c r="E27" s="161" t="s">
        <v>792</v>
      </c>
      <c r="F27" s="161" t="s">
        <v>213</v>
      </c>
      <c r="G27" s="161" t="s">
        <v>53</v>
      </c>
      <c r="H27" s="161" t="s">
        <v>62</v>
      </c>
      <c r="I27" s="161" t="s">
        <v>1207</v>
      </c>
      <c r="J27" s="161" t="s">
        <v>65</v>
      </c>
      <c r="K27" s="161" t="s">
        <v>1208</v>
      </c>
      <c r="L27" s="162">
        <v>2058.7067200000001</v>
      </c>
      <c r="M27" s="162">
        <v>1</v>
      </c>
      <c r="N27" s="163"/>
      <c r="O27" s="192">
        <v>2058.7067200000001</v>
      </c>
      <c r="P27" s="163">
        <v>3.4558981566999998E-2</v>
      </c>
      <c r="Q27" s="163">
        <v>7.4138895940000001E-3</v>
      </c>
    </row>
    <row r="28" spans="1:19" ht="15.75" thickBot="1">
      <c r="A28" s="160">
        <v>11939</v>
      </c>
      <c r="B28" s="160">
        <v>11942</v>
      </c>
      <c r="C28" s="161" t="s">
        <v>1209</v>
      </c>
      <c r="D28" s="166">
        <v>12</v>
      </c>
      <c r="E28" s="161" t="s">
        <v>792</v>
      </c>
      <c r="F28" s="161" t="s">
        <v>218</v>
      </c>
      <c r="G28" s="161" t="s">
        <v>53</v>
      </c>
      <c r="H28" s="161" t="s">
        <v>62</v>
      </c>
      <c r="I28" s="161" t="s">
        <v>1207</v>
      </c>
      <c r="J28" s="161" t="s">
        <v>65</v>
      </c>
      <c r="K28" s="161" t="s">
        <v>1210</v>
      </c>
      <c r="L28" s="162">
        <v>-6.8999999999999997E-4</v>
      </c>
      <c r="M28" s="162">
        <v>3.71</v>
      </c>
      <c r="N28" s="163"/>
      <c r="O28" s="192">
        <v>-2.5600000000000002E-3</v>
      </c>
      <c r="P28" s="163">
        <v>-4.29740632567619E-8</v>
      </c>
      <c r="Q28" s="163">
        <v>-9.2191652058121493E-9</v>
      </c>
      <c r="S28" s="190"/>
    </row>
    <row r="29" spans="1:19" ht="15.75" thickBot="1">
      <c r="A29" s="160">
        <v>11939</v>
      </c>
      <c r="B29" s="160">
        <v>11942</v>
      </c>
      <c r="C29" s="161" t="s">
        <v>1209</v>
      </c>
      <c r="D29" s="166">
        <v>12</v>
      </c>
      <c r="E29" s="161" t="s">
        <v>792</v>
      </c>
      <c r="F29" s="161" t="s">
        <v>213</v>
      </c>
      <c r="G29" s="161" t="s">
        <v>53</v>
      </c>
      <c r="H29" s="161" t="s">
        <v>62</v>
      </c>
      <c r="I29" s="161" t="s">
        <v>1207</v>
      </c>
      <c r="J29" s="161" t="s">
        <v>65</v>
      </c>
      <c r="K29" s="161" t="s">
        <v>1208</v>
      </c>
      <c r="L29" s="162">
        <v>45155.552889999999</v>
      </c>
      <c r="M29" s="162">
        <v>1</v>
      </c>
      <c r="N29" s="163"/>
      <c r="O29" s="192">
        <v>45155.552889999999</v>
      </c>
      <c r="P29" s="163">
        <v>0.75801468214400003</v>
      </c>
      <c r="Q29" s="163">
        <v>0.162615821114</v>
      </c>
    </row>
    <row r="30" spans="1:19" ht="15.75" thickBot="1">
      <c r="A30" s="160">
        <v>11939</v>
      </c>
      <c r="B30" s="160">
        <v>11942</v>
      </c>
      <c r="C30" s="161" t="s">
        <v>1209</v>
      </c>
      <c r="D30" s="166">
        <v>12</v>
      </c>
      <c r="E30" s="161" t="s">
        <v>792</v>
      </c>
      <c r="F30" s="161" t="s">
        <v>218</v>
      </c>
      <c r="G30" s="161" t="s">
        <v>53</v>
      </c>
      <c r="H30" s="161" t="s">
        <v>62</v>
      </c>
      <c r="I30" s="161" t="s">
        <v>1207</v>
      </c>
      <c r="J30" s="161" t="s">
        <v>65</v>
      </c>
      <c r="K30" s="161" t="s">
        <v>1210</v>
      </c>
      <c r="L30" s="162">
        <v>3319.6373400000002</v>
      </c>
      <c r="M30" s="162">
        <v>3.71</v>
      </c>
      <c r="N30" s="163"/>
      <c r="O30" s="192">
        <v>12315.854530000001</v>
      </c>
      <c r="P30" s="163">
        <v>0.20674309048100001</v>
      </c>
      <c r="Q30" s="163">
        <v>4.4352303735000001E-2</v>
      </c>
      <c r="S30" s="190"/>
    </row>
    <row r="31" spans="1:19" ht="15.75" thickBot="1">
      <c r="A31" s="160">
        <v>11939</v>
      </c>
      <c r="B31" s="160">
        <v>11942</v>
      </c>
      <c r="C31" s="161" t="s">
        <v>1209</v>
      </c>
      <c r="D31" s="166">
        <v>12</v>
      </c>
      <c r="E31" s="161" t="s">
        <v>792</v>
      </c>
      <c r="F31" s="161" t="s">
        <v>218</v>
      </c>
      <c r="G31" s="161" t="s">
        <v>53</v>
      </c>
      <c r="H31" s="161" t="s">
        <v>62</v>
      </c>
      <c r="I31" s="161" t="s">
        <v>1207</v>
      </c>
      <c r="J31" s="161" t="s">
        <v>65</v>
      </c>
      <c r="K31" s="161" t="s">
        <v>1211</v>
      </c>
      <c r="L31" s="162">
        <v>9.8025400000000005</v>
      </c>
      <c r="M31" s="162">
        <v>4.1524000000000001</v>
      </c>
      <c r="N31" s="163"/>
      <c r="O31" s="192">
        <v>40.704070000000002</v>
      </c>
      <c r="P31" s="163">
        <v>6.8328878000000002E-4</v>
      </c>
      <c r="Q31" s="163">
        <v>1.46584978E-4</v>
      </c>
      <c r="S31" s="190"/>
    </row>
    <row r="32" spans="1:19" ht="15.75" thickBot="1">
      <c r="A32" s="160">
        <v>11939</v>
      </c>
      <c r="B32" s="160">
        <v>11943</v>
      </c>
      <c r="C32" s="161" t="s">
        <v>1209</v>
      </c>
      <c r="D32" s="166">
        <v>12</v>
      </c>
      <c r="E32" s="161" t="s">
        <v>792</v>
      </c>
      <c r="F32" s="161" t="s">
        <v>213</v>
      </c>
      <c r="G32" s="161" t="s">
        <v>53</v>
      </c>
      <c r="H32" s="161" t="s">
        <v>62</v>
      </c>
      <c r="I32" s="161" t="s">
        <v>1207</v>
      </c>
      <c r="J32" s="161" t="s">
        <v>65</v>
      </c>
      <c r="K32" s="161" t="s">
        <v>1208</v>
      </c>
      <c r="L32" s="162">
        <v>436.56313</v>
      </c>
      <c r="M32" s="162">
        <v>1</v>
      </c>
      <c r="N32" s="163"/>
      <c r="O32" s="192">
        <v>436.56313</v>
      </c>
      <c r="P32" s="163">
        <v>0.93062248063399999</v>
      </c>
      <c r="Q32" s="163">
        <v>7.5624119183999999E-2</v>
      </c>
    </row>
    <row r="33" spans="1:19" ht="15.75" thickBot="1">
      <c r="A33" s="160">
        <v>11939</v>
      </c>
      <c r="B33" s="160">
        <v>11943</v>
      </c>
      <c r="C33" s="161" t="s">
        <v>1209</v>
      </c>
      <c r="D33" s="166">
        <v>12</v>
      </c>
      <c r="E33" s="161" t="s">
        <v>792</v>
      </c>
      <c r="F33" s="161" t="s">
        <v>218</v>
      </c>
      <c r="G33" s="161" t="s">
        <v>53</v>
      </c>
      <c r="H33" s="161" t="s">
        <v>62</v>
      </c>
      <c r="I33" s="161" t="s">
        <v>1207</v>
      </c>
      <c r="J33" s="161" t="s">
        <v>65</v>
      </c>
      <c r="K33" s="161" t="s">
        <v>1210</v>
      </c>
      <c r="L33" s="162">
        <v>8.7723999999999993</v>
      </c>
      <c r="M33" s="162">
        <v>3.71</v>
      </c>
      <c r="N33" s="163"/>
      <c r="O33" s="192">
        <v>32.5456</v>
      </c>
      <c r="P33" s="163">
        <v>6.9377519365000001E-2</v>
      </c>
      <c r="Q33" s="163">
        <v>5.6377466719999998E-3</v>
      </c>
      <c r="S33" s="190"/>
    </row>
    <row r="34" spans="1:19" ht="15.75" thickBot="1">
      <c r="A34" s="160">
        <v>11939</v>
      </c>
      <c r="B34" s="160">
        <v>11944</v>
      </c>
      <c r="C34" s="161" t="s">
        <v>1209</v>
      </c>
      <c r="D34" s="166">
        <v>12</v>
      </c>
      <c r="E34" s="161" t="s">
        <v>792</v>
      </c>
      <c r="F34" s="161" t="s">
        <v>213</v>
      </c>
      <c r="G34" s="161" t="s">
        <v>53</v>
      </c>
      <c r="H34" s="161" t="s">
        <v>62</v>
      </c>
      <c r="I34" s="161" t="s">
        <v>1207</v>
      </c>
      <c r="J34" s="161" t="s">
        <v>65</v>
      </c>
      <c r="K34" s="161" t="s">
        <v>1208</v>
      </c>
      <c r="L34" s="162">
        <v>764.11339999999996</v>
      </c>
      <c r="M34" s="162">
        <v>1</v>
      </c>
      <c r="N34" s="163"/>
      <c r="O34" s="192">
        <v>764.11339999999996</v>
      </c>
      <c r="P34" s="163">
        <v>0.87214173286100005</v>
      </c>
      <c r="Q34" s="163">
        <v>3.2927989478999997E-2</v>
      </c>
    </row>
    <row r="35" spans="1:19" ht="15.75" thickBot="1">
      <c r="A35" s="160">
        <v>11939</v>
      </c>
      <c r="B35" s="160">
        <v>11944</v>
      </c>
      <c r="C35" s="161" t="s">
        <v>1209</v>
      </c>
      <c r="D35" s="166">
        <v>12</v>
      </c>
      <c r="E35" s="161" t="s">
        <v>792</v>
      </c>
      <c r="F35" s="161" t="s">
        <v>218</v>
      </c>
      <c r="G35" s="161" t="s">
        <v>53</v>
      </c>
      <c r="H35" s="161" t="s">
        <v>62</v>
      </c>
      <c r="I35" s="161" t="s">
        <v>1207</v>
      </c>
      <c r="J35" s="161" t="s">
        <v>65</v>
      </c>
      <c r="K35" s="161" t="s">
        <v>1210</v>
      </c>
      <c r="L35" s="162">
        <v>30.194289999999999</v>
      </c>
      <c r="M35" s="162">
        <v>3.71</v>
      </c>
      <c r="N35" s="163"/>
      <c r="O35" s="192">
        <v>112.02082</v>
      </c>
      <c r="P35" s="163">
        <v>0.12785802744899999</v>
      </c>
      <c r="Q35" s="163">
        <v>4.827320633E-3</v>
      </c>
      <c r="S35" s="190"/>
    </row>
    <row r="36" spans="1:19" ht="15.75" thickBot="1">
      <c r="A36" s="160">
        <v>11939</v>
      </c>
      <c r="B36" s="160">
        <v>11944</v>
      </c>
      <c r="C36" s="161" t="s">
        <v>1209</v>
      </c>
      <c r="D36" s="166">
        <v>12</v>
      </c>
      <c r="E36" s="161" t="s">
        <v>792</v>
      </c>
      <c r="F36" s="161" t="s">
        <v>218</v>
      </c>
      <c r="G36" s="161" t="s">
        <v>53</v>
      </c>
      <c r="H36" s="161" t="s">
        <v>62</v>
      </c>
      <c r="I36" s="161" t="s">
        <v>1207</v>
      </c>
      <c r="J36" s="161" t="s">
        <v>65</v>
      </c>
      <c r="K36" s="161" t="s">
        <v>1212</v>
      </c>
      <c r="L36" s="162">
        <v>8.0000000000000007E-5</v>
      </c>
      <c r="M36" s="162">
        <v>2.5661</v>
      </c>
      <c r="N36" s="163"/>
      <c r="O36" s="192">
        <v>2.1000000000000001E-4</v>
      </c>
      <c r="P36" s="163">
        <v>2.3968924494840401E-7</v>
      </c>
      <c r="Q36" s="163">
        <v>9.0495439428679108E-9</v>
      </c>
      <c r="S36" s="190"/>
    </row>
    <row r="37" spans="1:19" ht="15.75" thickBot="1">
      <c r="A37" s="160">
        <v>11939</v>
      </c>
      <c r="B37" s="160">
        <v>11949</v>
      </c>
      <c r="C37" s="161" t="s">
        <v>1209</v>
      </c>
      <c r="D37" s="166">
        <v>12</v>
      </c>
      <c r="E37" s="161" t="s">
        <v>792</v>
      </c>
      <c r="F37" s="161" t="s">
        <v>213</v>
      </c>
      <c r="G37" s="161" t="s">
        <v>53</v>
      </c>
      <c r="H37" s="161" t="s">
        <v>62</v>
      </c>
      <c r="I37" s="161" t="s">
        <v>1207</v>
      </c>
      <c r="J37" s="161" t="s">
        <v>65</v>
      </c>
      <c r="K37" s="161" t="s">
        <v>1208</v>
      </c>
      <c r="L37" s="162">
        <v>515.59076000000005</v>
      </c>
      <c r="M37" s="162">
        <v>1</v>
      </c>
      <c r="N37" s="163"/>
      <c r="O37" s="192">
        <v>515.59076000000005</v>
      </c>
      <c r="P37" s="163">
        <v>0.98424503940899999</v>
      </c>
      <c r="Q37" s="163">
        <v>8.5234181672000003E-2</v>
      </c>
    </row>
    <row r="38" spans="1:19" ht="15.75" thickBot="1">
      <c r="A38" s="160">
        <v>11939</v>
      </c>
      <c r="B38" s="160">
        <v>11949</v>
      </c>
      <c r="C38" s="161" t="s">
        <v>1209</v>
      </c>
      <c r="D38" s="166">
        <v>12</v>
      </c>
      <c r="E38" s="161" t="s">
        <v>792</v>
      </c>
      <c r="F38" s="161" t="s">
        <v>218</v>
      </c>
      <c r="G38" s="161" t="s">
        <v>53</v>
      </c>
      <c r="H38" s="161" t="s">
        <v>62</v>
      </c>
      <c r="I38" s="161" t="s">
        <v>1207</v>
      </c>
      <c r="J38" s="161" t="s">
        <v>65</v>
      </c>
      <c r="K38" s="161" t="s">
        <v>1210</v>
      </c>
      <c r="L38" s="162">
        <v>1.43214</v>
      </c>
      <c r="M38" s="162">
        <v>3.71</v>
      </c>
      <c r="N38" s="163"/>
      <c r="O38" s="192">
        <v>5.3132400000000004</v>
      </c>
      <c r="P38" s="163">
        <v>1.0142792538E-2</v>
      </c>
      <c r="Q38" s="163">
        <v>8.7835100699999995E-4</v>
      </c>
      <c r="S38" s="190"/>
    </row>
    <row r="39" spans="1:19" ht="15.75" thickBot="1">
      <c r="A39" s="160">
        <v>11939</v>
      </c>
      <c r="B39" s="160">
        <v>11949</v>
      </c>
      <c r="C39" s="161" t="s">
        <v>1209</v>
      </c>
      <c r="D39" s="166">
        <v>12</v>
      </c>
      <c r="E39" s="161" t="s">
        <v>792</v>
      </c>
      <c r="F39" s="161" t="s">
        <v>218</v>
      </c>
      <c r="G39" s="161" t="s">
        <v>53</v>
      </c>
      <c r="H39" s="161" t="s">
        <v>62</v>
      </c>
      <c r="I39" s="161" t="s">
        <v>1207</v>
      </c>
      <c r="J39" s="161" t="s">
        <v>65</v>
      </c>
      <c r="K39" s="161" t="s">
        <v>1211</v>
      </c>
      <c r="L39" s="162">
        <v>0.70799999999999996</v>
      </c>
      <c r="M39" s="162">
        <v>4.1524000000000001</v>
      </c>
      <c r="N39" s="163"/>
      <c r="O39" s="192">
        <v>2.9399000000000002</v>
      </c>
      <c r="P39" s="163">
        <v>5.6121680519999996E-3</v>
      </c>
      <c r="Q39" s="163">
        <v>4.8600554899999999E-4</v>
      </c>
      <c r="S39" s="190"/>
    </row>
    <row r="40" spans="1:19" ht="15.75" thickBot="1">
      <c r="A40" s="160">
        <v>11939</v>
      </c>
      <c r="B40" s="160">
        <v>11979</v>
      </c>
      <c r="C40" s="161" t="s">
        <v>1209</v>
      </c>
      <c r="D40" s="166">
        <v>12</v>
      </c>
      <c r="E40" s="161" t="s">
        <v>792</v>
      </c>
      <c r="F40" s="161" t="s">
        <v>213</v>
      </c>
      <c r="G40" s="161" t="s">
        <v>53</v>
      </c>
      <c r="H40" s="161" t="s">
        <v>62</v>
      </c>
      <c r="I40" s="161" t="s">
        <v>1207</v>
      </c>
      <c r="J40" s="161" t="s">
        <v>65</v>
      </c>
      <c r="K40" s="161" t="s">
        <v>1208</v>
      </c>
      <c r="L40" s="162">
        <v>5107.4621399999996</v>
      </c>
      <c r="M40" s="162">
        <v>1</v>
      </c>
      <c r="N40" s="163"/>
      <c r="O40" s="192">
        <v>5107.4621399999996</v>
      </c>
      <c r="P40" s="163">
        <v>0.99126745992200005</v>
      </c>
      <c r="Q40" s="163">
        <v>0.15797757376999999</v>
      </c>
    </row>
    <row r="41" spans="1:19" ht="15.75" thickBot="1">
      <c r="A41" s="160">
        <v>11939</v>
      </c>
      <c r="B41" s="160">
        <v>11979</v>
      </c>
      <c r="C41" s="161" t="s">
        <v>1209</v>
      </c>
      <c r="D41" s="166">
        <v>12</v>
      </c>
      <c r="E41" s="161" t="s">
        <v>792</v>
      </c>
      <c r="F41" s="161" t="s">
        <v>218</v>
      </c>
      <c r="G41" s="161" t="s">
        <v>53</v>
      </c>
      <c r="H41" s="161" t="s">
        <v>62</v>
      </c>
      <c r="I41" s="161" t="s">
        <v>1207</v>
      </c>
      <c r="J41" s="161" t="s">
        <v>65</v>
      </c>
      <c r="K41" s="161" t="s">
        <v>1210</v>
      </c>
      <c r="L41" s="162">
        <v>12.12777</v>
      </c>
      <c r="M41" s="162">
        <v>3.71</v>
      </c>
      <c r="N41" s="163"/>
      <c r="O41" s="192">
        <v>44.994030000000002</v>
      </c>
      <c r="P41" s="163">
        <v>8.7325400770000006E-3</v>
      </c>
      <c r="Q41" s="163">
        <v>1.391698557E-3</v>
      </c>
      <c r="S41" s="190"/>
    </row>
    <row r="42" spans="1:19" ht="15.75" thickBot="1">
      <c r="A42" s="160">
        <v>11939</v>
      </c>
      <c r="B42" s="160">
        <v>11980</v>
      </c>
      <c r="C42" s="161" t="s">
        <v>1209</v>
      </c>
      <c r="D42" s="166">
        <v>12</v>
      </c>
      <c r="E42" s="161" t="s">
        <v>792</v>
      </c>
      <c r="F42" s="161" t="s">
        <v>213</v>
      </c>
      <c r="G42" s="161" t="s">
        <v>53</v>
      </c>
      <c r="H42" s="161" t="s">
        <v>62</v>
      </c>
      <c r="I42" s="161" t="s">
        <v>1207</v>
      </c>
      <c r="J42" s="161" t="s">
        <v>65</v>
      </c>
      <c r="K42" s="161" t="s">
        <v>1208</v>
      </c>
      <c r="L42" s="162">
        <v>387.04111999999998</v>
      </c>
      <c r="M42" s="162">
        <v>1</v>
      </c>
      <c r="N42" s="163"/>
      <c r="O42" s="192">
        <v>387.04111999999998</v>
      </c>
      <c r="P42" s="163">
        <v>0.963675988988</v>
      </c>
      <c r="Q42" s="163">
        <v>7.6931395976000003E-2</v>
      </c>
    </row>
    <row r="43" spans="1:19" ht="15.75" thickBot="1">
      <c r="A43" s="160">
        <v>11939</v>
      </c>
      <c r="B43" s="160">
        <v>11980</v>
      </c>
      <c r="C43" s="161" t="s">
        <v>1209</v>
      </c>
      <c r="D43" s="166">
        <v>12</v>
      </c>
      <c r="E43" s="161" t="s">
        <v>792</v>
      </c>
      <c r="F43" s="161" t="s">
        <v>218</v>
      </c>
      <c r="G43" s="161" t="s">
        <v>53</v>
      </c>
      <c r="H43" s="161" t="s">
        <v>62</v>
      </c>
      <c r="I43" s="161" t="s">
        <v>1207</v>
      </c>
      <c r="J43" s="161" t="s">
        <v>65</v>
      </c>
      <c r="K43" s="161" t="s">
        <v>1210</v>
      </c>
      <c r="L43" s="162">
        <v>3.9319600000000001</v>
      </c>
      <c r="M43" s="162">
        <v>3.71</v>
      </c>
      <c r="N43" s="163"/>
      <c r="O43" s="192">
        <v>14.587569999999999</v>
      </c>
      <c r="P43" s="163">
        <v>3.6320923592000003E-2</v>
      </c>
      <c r="Q43" s="163">
        <v>2.899542363E-3</v>
      </c>
      <c r="S43" s="190"/>
    </row>
    <row r="44" spans="1:19" ht="15.75" thickBot="1">
      <c r="A44" s="160">
        <v>11939</v>
      </c>
      <c r="B44" s="160">
        <v>11980</v>
      </c>
      <c r="C44" s="161" t="s">
        <v>1209</v>
      </c>
      <c r="D44" s="166">
        <v>12</v>
      </c>
      <c r="E44" s="161" t="s">
        <v>792</v>
      </c>
      <c r="F44" s="161" t="s">
        <v>218</v>
      </c>
      <c r="G44" s="161" t="s">
        <v>53</v>
      </c>
      <c r="H44" s="161" t="s">
        <v>62</v>
      </c>
      <c r="I44" s="161" t="s">
        <v>1207</v>
      </c>
      <c r="J44" s="161" t="s">
        <v>65</v>
      </c>
      <c r="K44" s="161" t="s">
        <v>1213</v>
      </c>
      <c r="L44" s="162">
        <v>2.5000000000000001E-4</v>
      </c>
      <c r="M44" s="162">
        <v>4.9748000000000001</v>
      </c>
      <c r="N44" s="163"/>
      <c r="O44" s="192">
        <v>1.24E-3</v>
      </c>
      <c r="P44" s="163">
        <v>3.08741930662389E-6</v>
      </c>
      <c r="Q44" s="163">
        <v>2.4647234126046801E-7</v>
      </c>
      <c r="S44" s="190"/>
    </row>
    <row r="45" spans="1:19" ht="15.75" thickBot="1">
      <c r="A45" s="160">
        <v>11939</v>
      </c>
      <c r="B45" s="160">
        <v>11981</v>
      </c>
      <c r="C45" s="161" t="s">
        <v>1209</v>
      </c>
      <c r="D45" s="166">
        <v>12</v>
      </c>
      <c r="E45" s="161" t="s">
        <v>792</v>
      </c>
      <c r="F45" s="161" t="s">
        <v>213</v>
      </c>
      <c r="G45" s="161" t="s">
        <v>53</v>
      </c>
      <c r="H45" s="161" t="s">
        <v>62</v>
      </c>
      <c r="I45" s="161" t="s">
        <v>1207</v>
      </c>
      <c r="J45" s="161" t="s">
        <v>65</v>
      </c>
      <c r="K45" s="161" t="s">
        <v>1208</v>
      </c>
      <c r="L45" s="162">
        <v>316.81794000000002</v>
      </c>
      <c r="M45" s="162">
        <v>1</v>
      </c>
      <c r="N45" s="163"/>
      <c r="O45" s="192">
        <v>316.81794000000002</v>
      </c>
      <c r="P45" s="163">
        <v>0.97647849520300001</v>
      </c>
      <c r="Q45" s="163">
        <v>0.109993066281</v>
      </c>
    </row>
    <row r="46" spans="1:19" ht="15.75" thickBot="1">
      <c r="A46" s="160">
        <v>11939</v>
      </c>
      <c r="B46" s="160">
        <v>11981</v>
      </c>
      <c r="C46" s="161" t="s">
        <v>1209</v>
      </c>
      <c r="D46" s="166">
        <v>12</v>
      </c>
      <c r="E46" s="161" t="s">
        <v>792</v>
      </c>
      <c r="F46" s="161" t="s">
        <v>218</v>
      </c>
      <c r="G46" s="161" t="s">
        <v>53</v>
      </c>
      <c r="H46" s="161" t="s">
        <v>62</v>
      </c>
      <c r="I46" s="161" t="s">
        <v>1207</v>
      </c>
      <c r="J46" s="161" t="s">
        <v>65</v>
      </c>
      <c r="K46" s="161" t="s">
        <v>1210</v>
      </c>
      <c r="L46" s="162">
        <v>2.0570200000000001</v>
      </c>
      <c r="M46" s="162">
        <v>3.71</v>
      </c>
      <c r="N46" s="163"/>
      <c r="O46" s="192">
        <v>7.6315400000000002</v>
      </c>
      <c r="P46" s="163">
        <v>2.3521504796000001E-2</v>
      </c>
      <c r="Q46" s="163">
        <v>2.649523208E-3</v>
      </c>
      <c r="S46" s="190"/>
    </row>
    <row r="47" spans="1:19" ht="15.75" thickBot="1">
      <c r="A47" s="160">
        <v>11342</v>
      </c>
      <c r="B47" s="160">
        <v>11343</v>
      </c>
      <c r="C47" s="161" t="s">
        <v>1206</v>
      </c>
      <c r="D47" s="166">
        <v>10</v>
      </c>
      <c r="E47" s="161" t="s">
        <v>792</v>
      </c>
      <c r="F47" s="161" t="s">
        <v>213</v>
      </c>
      <c r="G47" s="161" t="s">
        <v>53</v>
      </c>
      <c r="H47" s="161" t="s">
        <v>62</v>
      </c>
      <c r="I47" s="161" t="s">
        <v>1207</v>
      </c>
      <c r="J47" s="161" t="s">
        <v>65</v>
      </c>
      <c r="K47" s="161" t="s">
        <v>1208</v>
      </c>
      <c r="L47" s="162">
        <v>17298.09143</v>
      </c>
      <c r="M47" s="162">
        <v>1</v>
      </c>
      <c r="N47" s="163"/>
      <c r="O47" s="192">
        <v>17298.09143</v>
      </c>
      <c r="P47" s="163">
        <v>0.96138535435299999</v>
      </c>
      <c r="Q47" s="163">
        <v>3.7500139374999998E-2</v>
      </c>
    </row>
    <row r="48" spans="1:19" ht="15.75" thickBot="1">
      <c r="A48" s="160">
        <v>11342</v>
      </c>
      <c r="B48" s="160">
        <v>11343</v>
      </c>
      <c r="C48" s="161" t="s">
        <v>1206</v>
      </c>
      <c r="D48" s="166">
        <v>10</v>
      </c>
      <c r="E48" s="161" t="s">
        <v>792</v>
      </c>
      <c r="F48" s="161" t="s">
        <v>218</v>
      </c>
      <c r="G48" s="161" t="s">
        <v>53</v>
      </c>
      <c r="H48" s="161" t="s">
        <v>62</v>
      </c>
      <c r="I48" s="161" t="s">
        <v>1207</v>
      </c>
      <c r="J48" s="161" t="s">
        <v>65</v>
      </c>
      <c r="K48" s="161" t="s">
        <v>1210</v>
      </c>
      <c r="L48" s="162">
        <v>187.27457999999999</v>
      </c>
      <c r="M48" s="162">
        <v>3.71</v>
      </c>
      <c r="N48" s="163"/>
      <c r="O48" s="192">
        <v>694.78868999999997</v>
      </c>
      <c r="P48" s="163">
        <v>3.8614645646E-2</v>
      </c>
      <c r="Q48" s="163">
        <v>1.506216614E-3</v>
      </c>
      <c r="S48" s="190"/>
    </row>
    <row r="49" spans="1:19" ht="15.75" thickBot="1">
      <c r="A49" s="160">
        <v>11342</v>
      </c>
      <c r="B49" s="160">
        <v>11344</v>
      </c>
      <c r="C49" s="161" t="s">
        <v>1206</v>
      </c>
      <c r="D49" s="166">
        <v>10</v>
      </c>
      <c r="E49" s="161" t="s">
        <v>792</v>
      </c>
      <c r="F49" s="161" t="s">
        <v>213</v>
      </c>
      <c r="G49" s="161" t="s">
        <v>53</v>
      </c>
      <c r="H49" s="161" t="s">
        <v>62</v>
      </c>
      <c r="I49" s="161" t="s">
        <v>1207</v>
      </c>
      <c r="J49" s="161" t="s">
        <v>65</v>
      </c>
      <c r="K49" s="161" t="s">
        <v>1208</v>
      </c>
      <c r="L49" s="162">
        <v>155.88457</v>
      </c>
      <c r="M49" s="162">
        <v>1</v>
      </c>
      <c r="N49" s="163"/>
      <c r="O49" s="192">
        <v>155.88457</v>
      </c>
      <c r="P49" s="163">
        <v>0.968242779075</v>
      </c>
      <c r="Q49" s="163">
        <v>4.9438854371999998E-2</v>
      </c>
    </row>
    <row r="50" spans="1:19" ht="15.75" thickBot="1">
      <c r="A50" s="160">
        <v>11342</v>
      </c>
      <c r="B50" s="160">
        <v>11344</v>
      </c>
      <c r="C50" s="161" t="s">
        <v>1206</v>
      </c>
      <c r="D50" s="166">
        <v>10</v>
      </c>
      <c r="E50" s="161" t="s">
        <v>792</v>
      </c>
      <c r="F50" s="161" t="s">
        <v>218</v>
      </c>
      <c r="G50" s="161" t="s">
        <v>53</v>
      </c>
      <c r="H50" s="161" t="s">
        <v>62</v>
      </c>
      <c r="I50" s="161" t="s">
        <v>1207</v>
      </c>
      <c r="J50" s="161" t="s">
        <v>65</v>
      </c>
      <c r="K50" s="161" t="s">
        <v>1210</v>
      </c>
      <c r="L50" s="162">
        <v>1.37812</v>
      </c>
      <c r="M50" s="162">
        <v>3.71</v>
      </c>
      <c r="N50" s="163"/>
      <c r="O50" s="192">
        <v>5.1128299999999998</v>
      </c>
      <c r="P50" s="163">
        <v>3.1757220923999997E-2</v>
      </c>
      <c r="Q50" s="163">
        <v>1.6215361000000001E-3</v>
      </c>
      <c r="S50" s="190"/>
    </row>
    <row r="51" spans="1:19" ht="15.75" thickBot="1">
      <c r="A51" s="160">
        <v>11342</v>
      </c>
      <c r="B51" s="160">
        <v>11345</v>
      </c>
      <c r="C51" s="161" t="s">
        <v>1206</v>
      </c>
      <c r="D51" s="166">
        <v>10</v>
      </c>
      <c r="E51" s="161" t="s">
        <v>792</v>
      </c>
      <c r="F51" s="161" t="s">
        <v>213</v>
      </c>
      <c r="G51" s="161" t="s">
        <v>53</v>
      </c>
      <c r="H51" s="161" t="s">
        <v>62</v>
      </c>
      <c r="I51" s="161" t="s">
        <v>1207</v>
      </c>
      <c r="J51" s="161" t="s">
        <v>65</v>
      </c>
      <c r="K51" s="161" t="s">
        <v>1208</v>
      </c>
      <c r="L51" s="162">
        <v>329.21397000000002</v>
      </c>
      <c r="M51" s="162">
        <v>1</v>
      </c>
      <c r="N51" s="163"/>
      <c r="O51" s="192">
        <v>329.21397000000002</v>
      </c>
      <c r="P51" s="163">
        <v>0.78375873691999998</v>
      </c>
      <c r="Q51" s="163">
        <v>1.6633314026000001E-2</v>
      </c>
    </row>
    <row r="52" spans="1:19" ht="15.75" thickBot="1">
      <c r="A52" s="160">
        <v>11342</v>
      </c>
      <c r="B52" s="160">
        <v>11345</v>
      </c>
      <c r="C52" s="161" t="s">
        <v>1206</v>
      </c>
      <c r="D52" s="166">
        <v>10</v>
      </c>
      <c r="E52" s="161" t="s">
        <v>792</v>
      </c>
      <c r="F52" s="161" t="s">
        <v>218</v>
      </c>
      <c r="G52" s="161" t="s">
        <v>53</v>
      </c>
      <c r="H52" s="161" t="s">
        <v>62</v>
      </c>
      <c r="I52" s="161" t="s">
        <v>1207</v>
      </c>
      <c r="J52" s="161" t="s">
        <v>65</v>
      </c>
      <c r="K52" s="161" t="s">
        <v>1210</v>
      </c>
      <c r="L52" s="162">
        <v>24.48274</v>
      </c>
      <c r="M52" s="162">
        <v>3.71</v>
      </c>
      <c r="N52" s="163"/>
      <c r="O52" s="192">
        <v>90.830969999999994</v>
      </c>
      <c r="P52" s="163">
        <v>0.21624102501</v>
      </c>
      <c r="Q52" s="163">
        <v>4.5891735610000001E-3</v>
      </c>
      <c r="S52" s="190"/>
    </row>
    <row r="53" spans="1:19" ht="15.75" thickBot="1">
      <c r="A53" s="160">
        <v>11342</v>
      </c>
      <c r="B53" s="160">
        <v>11345</v>
      </c>
      <c r="C53" s="161" t="s">
        <v>1206</v>
      </c>
      <c r="D53" s="166">
        <v>10</v>
      </c>
      <c r="E53" s="161" t="s">
        <v>792</v>
      </c>
      <c r="F53" s="161" t="s">
        <v>218</v>
      </c>
      <c r="G53" s="161" t="s">
        <v>53</v>
      </c>
      <c r="H53" s="161" t="s">
        <v>62</v>
      </c>
      <c r="I53" s="161" t="s">
        <v>1207</v>
      </c>
      <c r="J53" s="161" t="s">
        <v>65</v>
      </c>
      <c r="K53" s="161" t="s">
        <v>1213</v>
      </c>
      <c r="L53" s="162">
        <v>2.0000000000000002E-5</v>
      </c>
      <c r="M53" s="162">
        <v>4.9748000000000001</v>
      </c>
      <c r="N53" s="163"/>
      <c r="O53" s="192">
        <v>1E-4</v>
      </c>
      <c r="P53" s="163">
        <v>2.3806970795322299E-7</v>
      </c>
      <c r="Q53" s="163">
        <v>5.0524326250000303E-9</v>
      </c>
      <c r="S53" s="190"/>
    </row>
    <row r="54" spans="1:19" ht="15.75" thickBot="1">
      <c r="A54" s="160">
        <v>7891</v>
      </c>
      <c r="B54" s="160">
        <v>7894</v>
      </c>
      <c r="C54" s="164"/>
      <c r="D54" s="164"/>
      <c r="E54" s="164"/>
      <c r="F54" s="164"/>
      <c r="G54" s="164"/>
      <c r="H54" s="164"/>
      <c r="I54" s="164"/>
      <c r="J54" s="164"/>
      <c r="K54" s="164"/>
      <c r="L54" s="164"/>
      <c r="M54" s="164"/>
      <c r="N54" s="164"/>
      <c r="O54" s="193"/>
      <c r="P54" s="164"/>
      <c r="Q54" s="164"/>
    </row>
    <row r="55" spans="1:19" ht="15.75" thickBot="1">
      <c r="A55" s="160">
        <v>7891</v>
      </c>
      <c r="B55" s="160">
        <v>7898</v>
      </c>
      <c r="C55" s="164"/>
      <c r="D55" s="164"/>
      <c r="E55" s="164"/>
      <c r="F55" s="164"/>
      <c r="G55" s="164"/>
      <c r="H55" s="164"/>
      <c r="I55" s="164"/>
      <c r="J55" s="164"/>
      <c r="K55" s="164"/>
      <c r="L55" s="164"/>
      <c r="M55" s="164"/>
      <c r="N55" s="164"/>
      <c r="O55" s="193"/>
      <c r="P55" s="164"/>
      <c r="Q55" s="164"/>
    </row>
    <row r="56" spans="1:19" ht="15.75" thickBot="1">
      <c r="A56" s="160">
        <v>7891</v>
      </c>
      <c r="B56" s="160">
        <v>7899</v>
      </c>
      <c r="C56" s="164"/>
      <c r="D56" s="164"/>
      <c r="E56" s="164"/>
      <c r="F56" s="164"/>
      <c r="G56" s="164"/>
      <c r="H56" s="164"/>
      <c r="I56" s="164"/>
      <c r="J56" s="164"/>
      <c r="K56" s="164"/>
      <c r="L56" s="164"/>
      <c r="M56" s="164"/>
      <c r="N56" s="164"/>
      <c r="O56" s="193"/>
      <c r="P56" s="164"/>
      <c r="Q56" s="164"/>
    </row>
    <row r="57" spans="1:19" ht="15.75" thickBot="1">
      <c r="A57" s="160">
        <v>7891</v>
      </c>
      <c r="B57" s="160">
        <v>7901</v>
      </c>
      <c r="C57" s="164"/>
      <c r="D57" s="164"/>
      <c r="E57" s="164"/>
      <c r="F57" s="164"/>
      <c r="G57" s="164"/>
      <c r="H57" s="164"/>
      <c r="I57" s="164"/>
      <c r="J57" s="164"/>
      <c r="K57" s="164"/>
      <c r="L57" s="164"/>
      <c r="M57" s="164"/>
      <c r="N57" s="164"/>
      <c r="O57" s="193"/>
      <c r="P57" s="164"/>
      <c r="Q57" s="164"/>
    </row>
    <row r="58" spans="1:19" ht="15.75" thickBot="1">
      <c r="A58" s="160">
        <v>7891</v>
      </c>
      <c r="B58" s="160">
        <v>7902</v>
      </c>
      <c r="C58" s="164"/>
      <c r="D58" s="164"/>
      <c r="E58" s="164"/>
      <c r="F58" s="164"/>
      <c r="G58" s="164"/>
      <c r="H58" s="164"/>
      <c r="I58" s="164"/>
      <c r="J58" s="164"/>
      <c r="K58" s="164"/>
      <c r="L58" s="164"/>
      <c r="M58" s="164"/>
      <c r="N58" s="164"/>
      <c r="O58" s="193"/>
      <c r="P58" s="164"/>
      <c r="Q58" s="164"/>
    </row>
    <row r="59" spans="1:19" ht="15.75" thickBot="1">
      <c r="A59" s="160">
        <v>11925</v>
      </c>
      <c r="B59" s="160">
        <v>11927</v>
      </c>
      <c r="C59" s="164"/>
      <c r="D59" s="164"/>
      <c r="E59" s="164"/>
      <c r="F59" s="164"/>
      <c r="G59" s="164"/>
      <c r="H59" s="164"/>
      <c r="I59" s="164"/>
      <c r="J59" s="164"/>
      <c r="K59" s="164"/>
      <c r="L59" s="164"/>
      <c r="M59" s="164"/>
      <c r="N59" s="164"/>
      <c r="O59" s="193"/>
      <c r="P59" s="164"/>
      <c r="Q59" s="164"/>
    </row>
    <row r="60" spans="1:19" ht="15.75" thickBot="1">
      <c r="A60" s="160">
        <v>11925</v>
      </c>
      <c r="B60" s="160">
        <v>11929</v>
      </c>
      <c r="C60" s="164"/>
      <c r="D60" s="164"/>
      <c r="E60" s="164"/>
      <c r="F60" s="164"/>
      <c r="G60" s="164"/>
      <c r="H60" s="164"/>
      <c r="I60" s="164"/>
      <c r="J60" s="164"/>
      <c r="K60" s="164"/>
      <c r="L60" s="164"/>
      <c r="M60" s="164"/>
      <c r="N60" s="164"/>
      <c r="O60" s="193"/>
      <c r="P60" s="164"/>
      <c r="Q60" s="164"/>
    </row>
    <row r="61" spans="1:19" ht="15.75" thickBot="1">
      <c r="A61" s="160">
        <v>11925</v>
      </c>
      <c r="B61" s="160">
        <v>11930</v>
      </c>
      <c r="C61" s="164"/>
      <c r="D61" s="164"/>
      <c r="E61" s="164"/>
      <c r="F61" s="164"/>
      <c r="G61" s="164"/>
      <c r="H61" s="164"/>
      <c r="I61" s="164"/>
      <c r="J61" s="164"/>
      <c r="K61" s="164"/>
      <c r="L61" s="164"/>
      <c r="M61" s="164"/>
      <c r="N61" s="164"/>
      <c r="O61" s="193"/>
      <c r="P61" s="164"/>
      <c r="Q61" s="164"/>
    </row>
    <row r="62" spans="1:19" ht="15.75" thickBot="1">
      <c r="A62" s="160">
        <v>11925</v>
      </c>
      <c r="B62" s="160">
        <v>11932</v>
      </c>
      <c r="C62" s="164"/>
      <c r="D62" s="164"/>
      <c r="E62" s="164"/>
      <c r="F62" s="164"/>
      <c r="G62" s="164"/>
      <c r="H62" s="164"/>
      <c r="I62" s="164"/>
      <c r="J62" s="164"/>
      <c r="K62" s="164"/>
      <c r="L62" s="164"/>
      <c r="M62" s="164"/>
      <c r="N62" s="164"/>
      <c r="O62" s="193"/>
      <c r="P62" s="164"/>
      <c r="Q62" s="164"/>
    </row>
    <row r="63" spans="1:19" ht="15.75" thickBot="1">
      <c r="A63" s="160">
        <v>11925</v>
      </c>
      <c r="B63" s="160">
        <v>11933</v>
      </c>
      <c r="C63" s="164"/>
      <c r="D63" s="164"/>
      <c r="E63" s="164"/>
      <c r="F63" s="164"/>
      <c r="G63" s="164"/>
      <c r="H63" s="164"/>
      <c r="I63" s="164"/>
      <c r="J63" s="164"/>
      <c r="K63" s="164"/>
      <c r="L63" s="164"/>
      <c r="M63" s="164"/>
      <c r="N63" s="164"/>
      <c r="O63" s="193"/>
      <c r="P63" s="164"/>
      <c r="Q63" s="164"/>
    </row>
    <row r="64" spans="1:19" ht="15.75" thickBot="1">
      <c r="A64" s="160">
        <v>11925</v>
      </c>
      <c r="B64" s="160">
        <v>11935</v>
      </c>
      <c r="C64" s="164"/>
      <c r="D64" s="164"/>
      <c r="E64" s="164"/>
      <c r="F64" s="164"/>
      <c r="G64" s="164"/>
      <c r="H64" s="164"/>
      <c r="I64" s="164"/>
      <c r="J64" s="164"/>
      <c r="K64" s="164"/>
      <c r="L64" s="164"/>
      <c r="M64" s="164"/>
      <c r="N64" s="164"/>
      <c r="O64" s="193"/>
      <c r="P64" s="164"/>
      <c r="Q64" s="164"/>
    </row>
    <row r="65" spans="1:17" ht="15.75" thickBot="1">
      <c r="A65" s="160">
        <v>11925</v>
      </c>
      <c r="B65" s="160">
        <v>11936</v>
      </c>
      <c r="C65" s="164"/>
      <c r="D65" s="164"/>
      <c r="E65" s="164"/>
      <c r="F65" s="164"/>
      <c r="G65" s="164"/>
      <c r="H65" s="164"/>
      <c r="I65" s="164"/>
      <c r="J65" s="164"/>
      <c r="K65" s="164"/>
      <c r="L65" s="164"/>
      <c r="M65" s="164"/>
      <c r="N65" s="164"/>
      <c r="O65" s="193"/>
      <c r="P65" s="164"/>
      <c r="Q65" s="164"/>
    </row>
    <row r="66" spans="1:17" ht="15.75" thickBot="1">
      <c r="A66" s="160">
        <v>11925</v>
      </c>
      <c r="B66" s="160">
        <v>11937</v>
      </c>
      <c r="C66" s="164"/>
      <c r="D66" s="164"/>
      <c r="E66" s="164"/>
      <c r="F66" s="164"/>
      <c r="G66" s="164"/>
      <c r="H66" s="164"/>
      <c r="I66" s="164"/>
      <c r="J66" s="164"/>
      <c r="K66" s="164"/>
      <c r="L66" s="164"/>
      <c r="M66" s="164"/>
      <c r="N66" s="164"/>
      <c r="O66" s="193"/>
      <c r="P66" s="164"/>
      <c r="Q66" s="164"/>
    </row>
    <row r="67" spans="1:17" ht="15.75" thickBot="1">
      <c r="A67" s="160">
        <v>11939</v>
      </c>
      <c r="B67" s="160">
        <v>11945</v>
      </c>
      <c r="C67" s="164"/>
      <c r="D67" s="164"/>
      <c r="E67" s="164"/>
      <c r="F67" s="164"/>
      <c r="G67" s="164"/>
      <c r="H67" s="164"/>
      <c r="I67" s="164"/>
      <c r="J67" s="164"/>
      <c r="K67" s="164"/>
      <c r="L67" s="164"/>
      <c r="M67" s="164"/>
      <c r="N67" s="164"/>
      <c r="O67" s="193"/>
      <c r="P67" s="164"/>
      <c r="Q67" s="164"/>
    </row>
    <row r="68" spans="1:17" ht="15.75" thickBot="1">
      <c r="A68" s="160">
        <v>11939</v>
      </c>
      <c r="B68" s="160">
        <v>11946</v>
      </c>
      <c r="C68" s="164"/>
      <c r="D68" s="164"/>
      <c r="E68" s="164"/>
      <c r="F68" s="164"/>
      <c r="G68" s="164"/>
      <c r="H68" s="164"/>
      <c r="I68" s="164"/>
      <c r="J68" s="164"/>
      <c r="K68" s="164"/>
      <c r="L68" s="164"/>
      <c r="M68" s="164"/>
      <c r="N68" s="164"/>
      <c r="O68" s="193"/>
      <c r="P68" s="164"/>
      <c r="Q68" s="164"/>
    </row>
    <row r="69" spans="1:17" ht="15.75" thickBot="1">
      <c r="A69" s="160">
        <v>11939</v>
      </c>
      <c r="B69" s="160">
        <v>11947</v>
      </c>
      <c r="C69" s="164"/>
      <c r="D69" s="164"/>
      <c r="E69" s="164"/>
      <c r="F69" s="164"/>
      <c r="G69" s="164"/>
      <c r="H69" s="164"/>
      <c r="I69" s="164"/>
      <c r="J69" s="164"/>
      <c r="K69" s="164"/>
      <c r="L69" s="164"/>
      <c r="M69" s="164"/>
      <c r="N69" s="164"/>
      <c r="O69" s="193"/>
      <c r="P69" s="164"/>
      <c r="Q69" s="164"/>
    </row>
    <row r="70" spans="1:17" ht="15.75" thickBot="1">
      <c r="A70" s="160">
        <v>11939</v>
      </c>
      <c r="B70" s="160">
        <v>11948</v>
      </c>
      <c r="C70" s="164"/>
      <c r="D70" s="164"/>
      <c r="E70" s="164"/>
      <c r="F70" s="164"/>
      <c r="G70" s="164"/>
      <c r="H70" s="164"/>
      <c r="I70" s="164"/>
      <c r="J70" s="164"/>
      <c r="K70" s="164"/>
      <c r="L70" s="164"/>
      <c r="M70" s="164"/>
      <c r="N70" s="164"/>
      <c r="O70" s="193"/>
      <c r="P70" s="164"/>
      <c r="Q70" s="164"/>
    </row>
    <row r="71" spans="1:17" ht="15.75" thickBot="1">
      <c r="A71" s="160">
        <v>11939</v>
      </c>
      <c r="B71" s="160">
        <v>11950</v>
      </c>
      <c r="C71" s="164"/>
      <c r="D71" s="164"/>
      <c r="E71" s="164"/>
      <c r="F71" s="164"/>
      <c r="G71" s="164"/>
      <c r="H71" s="164"/>
      <c r="I71" s="164"/>
      <c r="J71" s="164"/>
      <c r="K71" s="164"/>
      <c r="L71" s="164"/>
      <c r="M71" s="164"/>
      <c r="N71" s="164"/>
      <c r="O71" s="193"/>
      <c r="P71" s="164"/>
      <c r="Q71" s="164"/>
    </row>
  </sheetData>
  <sheetProtection formatColumns="0"/>
  <autoFilter ref="A1:Q71" xr:uid="{00000000-0009-0000-0000-000002000000}"/>
  <customSheetViews>
    <customSheetView guid="{AE318230-F718-49FC-82EB-7CAC3DCD05F1}" showGridLines="0">
      <selection activeCell="K3" sqref="K3"/>
      <pageMargins left="0.7" right="0.7" top="0.75" bottom="0.75" header="0.3" footer="0.3"/>
      <pageSetup paperSize="9" orientation="portrait" verticalDpi="0" r:id="rId1"/>
    </customSheetView>
  </customSheetViews>
  <dataValidations count="4">
    <dataValidation type="list" allowBlank="1" showInputMessage="1" showErrorMessage="1" sqref="G2:G20" xr:uid="{00000000-0002-0000-0200-000000000000}">
      <formula1>israel_abroad</formula1>
    </dataValidation>
    <dataValidation type="list" allowBlank="1" showInputMessage="1" showErrorMessage="1" sqref="H2:H20" xr:uid="{00000000-0002-0000-0200-000001000000}">
      <formula1>Holding_interest</formula1>
    </dataValidation>
    <dataValidation type="list" allowBlank="1" showInputMessage="1" showErrorMessage="1" sqref="J2:J53" xr:uid="{00000000-0002-0000-0200-000002000000}">
      <formula1>Rating_Agency</formula1>
    </dataValidation>
    <dataValidation type="list" allowBlank="1" showInputMessage="1" showErrorMessage="1" sqref="E2:E53" xr:uid="{00000000-0002-0000-0200-000003000000}">
      <formula1>Issuer_Number_Banks</formula1>
    </dataValidation>
  </dataValidations>
  <pageMargins left="0.7" right="0.7" top="0.75" bottom="0.75" header="0.3" footer="0.3"/>
  <pageSetup paperSize="9" orientation="portrait"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4000000}">
          <x14:formula1>
            <xm:f>'אפשרויות בחירה'!$C$853:$C$861</xm:f>
          </x14:formula1>
          <xm:sqref>F2:F53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/>
  <dimension ref="A1:Z50"/>
  <sheetViews>
    <sheetView rightToLeft="1" workbookViewId="0">
      <selection activeCell="A2" sqref="A2:Z50"/>
    </sheetView>
  </sheetViews>
  <sheetFormatPr defaultColWidth="9" defaultRowHeight="14.25"/>
  <cols>
    <col min="1" max="17" width="11.5703125" style="4" customWidth="1"/>
    <col min="18" max="18" width="13.140625" style="4" bestFit="1" customWidth="1"/>
    <col min="19" max="30" width="11.5703125" style="4" customWidth="1"/>
    <col min="31" max="16384" width="9" style="4"/>
  </cols>
  <sheetData>
    <row r="1" spans="1:26" ht="66.75" customHeight="1">
      <c r="A1" s="21" t="s">
        <v>667</v>
      </c>
      <c r="B1" s="21" t="s">
        <v>0</v>
      </c>
      <c r="C1" s="21" t="s">
        <v>740</v>
      </c>
      <c r="D1" s="21" t="s">
        <v>1163</v>
      </c>
      <c r="E1" s="21" t="s">
        <v>29</v>
      </c>
      <c r="F1" s="21" t="s">
        <v>1</v>
      </c>
      <c r="G1" s="21" t="s">
        <v>620</v>
      </c>
      <c r="H1" s="21" t="s">
        <v>621</v>
      </c>
      <c r="I1" s="21" t="s">
        <v>5</v>
      </c>
      <c r="J1" s="21" t="s">
        <v>6</v>
      </c>
      <c r="K1" s="21" t="s">
        <v>8</v>
      </c>
      <c r="L1" s="21" t="s">
        <v>396</v>
      </c>
      <c r="M1" s="21" t="s">
        <v>13</v>
      </c>
      <c r="N1" s="21" t="s">
        <v>421</v>
      </c>
      <c r="O1" s="21" t="s">
        <v>14</v>
      </c>
      <c r="P1" s="21" t="s">
        <v>637</v>
      </c>
      <c r="Q1" s="21" t="s">
        <v>955</v>
      </c>
      <c r="R1" s="21" t="s">
        <v>789</v>
      </c>
      <c r="S1" s="21" t="s">
        <v>11</v>
      </c>
      <c r="T1" s="21" t="s">
        <v>15</v>
      </c>
      <c r="U1" s="21" t="s">
        <v>1171</v>
      </c>
      <c r="V1" s="21" t="s">
        <v>1172</v>
      </c>
      <c r="W1" s="21" t="s">
        <v>26</v>
      </c>
      <c r="X1" s="21" t="s">
        <v>18</v>
      </c>
      <c r="Y1" s="21" t="s">
        <v>19</v>
      </c>
      <c r="Z1" s="21" t="s">
        <v>30</v>
      </c>
    </row>
    <row r="2" spans="1:26" ht="15.75" thickBot="1">
      <c r="A2" s="160">
        <v>7891</v>
      </c>
      <c r="B2" s="160">
        <v>7897</v>
      </c>
      <c r="C2" s="161" t="s">
        <v>1425</v>
      </c>
      <c r="D2" s="161" t="s">
        <v>1426</v>
      </c>
      <c r="E2" s="161" t="s">
        <v>1510</v>
      </c>
      <c r="F2" s="161" t="s">
        <v>223</v>
      </c>
      <c r="G2" s="161" t="s">
        <v>53</v>
      </c>
      <c r="H2" s="161" t="s">
        <v>53</v>
      </c>
      <c r="I2" s="161" t="s">
        <v>311</v>
      </c>
      <c r="J2" s="161" t="s">
        <v>1427</v>
      </c>
      <c r="K2" s="161" t="s">
        <v>102</v>
      </c>
      <c r="L2" s="161" t="s">
        <v>1208</v>
      </c>
      <c r="M2" s="181">
        <v>4.0570000000000004</v>
      </c>
      <c r="N2" s="182">
        <v>47177</v>
      </c>
      <c r="O2" s="163">
        <v>3.7499999999999999E-2</v>
      </c>
      <c r="P2" s="183">
        <v>4.5600000000000002E-2</v>
      </c>
      <c r="Q2" s="162">
        <v>0</v>
      </c>
      <c r="R2" s="162">
        <v>3139910</v>
      </c>
      <c r="S2" s="162">
        <v>1</v>
      </c>
      <c r="T2" s="162">
        <v>99.02</v>
      </c>
      <c r="U2" s="162">
        <v>3109.13888</v>
      </c>
      <c r="V2" s="164"/>
      <c r="W2" s="161" t="s">
        <v>17</v>
      </c>
      <c r="X2" s="163">
        <v>9.5246195874684096E-5</v>
      </c>
      <c r="Y2" s="163">
        <v>0.59530917401500005</v>
      </c>
      <c r="Z2" s="163">
        <v>3.4038880075E-2</v>
      </c>
    </row>
    <row r="3" spans="1:26" ht="15.75" thickBot="1">
      <c r="A3" s="160">
        <v>7891</v>
      </c>
      <c r="B3" s="160">
        <v>7897</v>
      </c>
      <c r="C3" s="161" t="s">
        <v>1425</v>
      </c>
      <c r="D3" s="161" t="s">
        <v>1428</v>
      </c>
      <c r="E3" s="161" t="s">
        <v>1511</v>
      </c>
      <c r="F3" s="161" t="s">
        <v>221</v>
      </c>
      <c r="G3" s="161" t="s">
        <v>53</v>
      </c>
      <c r="H3" s="161" t="s">
        <v>53</v>
      </c>
      <c r="I3" s="161" t="s">
        <v>311</v>
      </c>
      <c r="J3" s="161" t="s">
        <v>1427</v>
      </c>
      <c r="K3" s="161" t="s">
        <v>102</v>
      </c>
      <c r="L3" s="161" t="s">
        <v>1208</v>
      </c>
      <c r="M3" s="181">
        <v>3.9750000000000001</v>
      </c>
      <c r="N3" s="182">
        <v>47057</v>
      </c>
      <c r="O3" s="163">
        <v>1.0999999999999999E-2</v>
      </c>
      <c r="P3" s="183">
        <v>1.7999999999999999E-2</v>
      </c>
      <c r="Q3" s="162">
        <v>0</v>
      </c>
      <c r="R3" s="162">
        <v>2060030</v>
      </c>
      <c r="S3" s="162">
        <v>1</v>
      </c>
      <c r="T3" s="162">
        <v>102.6</v>
      </c>
      <c r="U3" s="162">
        <v>2113.59078</v>
      </c>
      <c r="V3" s="164"/>
      <c r="W3" s="161" t="s">
        <v>17</v>
      </c>
      <c r="X3" s="163">
        <v>1.00981278E-4</v>
      </c>
      <c r="Y3" s="163">
        <v>0.40469082598400002</v>
      </c>
      <c r="Z3" s="163">
        <v>2.3139610633000001E-2</v>
      </c>
    </row>
    <row r="4" spans="1:26" ht="15.75" thickBot="1">
      <c r="A4" s="160">
        <v>7891</v>
      </c>
      <c r="B4" s="160">
        <v>7900</v>
      </c>
      <c r="C4" s="161" t="s">
        <v>1425</v>
      </c>
      <c r="D4" s="161" t="s">
        <v>1426</v>
      </c>
      <c r="E4" s="161" t="s">
        <v>1510</v>
      </c>
      <c r="F4" s="161" t="s">
        <v>223</v>
      </c>
      <c r="G4" s="161" t="s">
        <v>53</v>
      </c>
      <c r="H4" s="161" t="s">
        <v>53</v>
      </c>
      <c r="I4" s="161" t="s">
        <v>311</v>
      </c>
      <c r="J4" s="161" t="s">
        <v>1427</v>
      </c>
      <c r="K4" s="161" t="s">
        <v>102</v>
      </c>
      <c r="L4" s="161" t="s">
        <v>1208</v>
      </c>
      <c r="M4" s="181">
        <v>4.0570000000000004</v>
      </c>
      <c r="N4" s="182">
        <v>47177</v>
      </c>
      <c r="O4" s="163">
        <v>3.7499999999999999E-2</v>
      </c>
      <c r="P4" s="183">
        <v>4.5600000000000002E-2</v>
      </c>
      <c r="Q4" s="162">
        <v>0</v>
      </c>
      <c r="R4" s="162">
        <v>1325500</v>
      </c>
      <c r="S4" s="162">
        <v>1</v>
      </c>
      <c r="T4" s="162">
        <v>99.02</v>
      </c>
      <c r="U4" s="162">
        <v>1312.5101</v>
      </c>
      <c r="V4" s="164"/>
      <c r="W4" s="161" t="s">
        <v>17</v>
      </c>
      <c r="X4" s="163">
        <v>4.0207787048639501E-5</v>
      </c>
      <c r="Y4" s="163">
        <v>0.59726397412800003</v>
      </c>
      <c r="Z4" s="163">
        <v>0.124902306925</v>
      </c>
    </row>
    <row r="5" spans="1:26" ht="15.75" thickBot="1">
      <c r="A5" s="160">
        <v>7891</v>
      </c>
      <c r="B5" s="160">
        <v>7900</v>
      </c>
      <c r="C5" s="161" t="s">
        <v>1425</v>
      </c>
      <c r="D5" s="161" t="s">
        <v>1428</v>
      </c>
      <c r="E5" s="161" t="s">
        <v>1511</v>
      </c>
      <c r="F5" s="161" t="s">
        <v>221</v>
      </c>
      <c r="G5" s="161" t="s">
        <v>53</v>
      </c>
      <c r="H5" s="161" t="s">
        <v>53</v>
      </c>
      <c r="I5" s="161" t="s">
        <v>311</v>
      </c>
      <c r="J5" s="161" t="s">
        <v>1427</v>
      </c>
      <c r="K5" s="161" t="s">
        <v>102</v>
      </c>
      <c r="L5" s="161" t="s">
        <v>1208</v>
      </c>
      <c r="M5" s="181">
        <v>3.9750000000000001</v>
      </c>
      <c r="N5" s="182">
        <v>47057</v>
      </c>
      <c r="O5" s="163">
        <v>1.0999999999999999E-2</v>
      </c>
      <c r="P5" s="183">
        <v>1.7999999999999999E-2</v>
      </c>
      <c r="Q5" s="162">
        <v>0</v>
      </c>
      <c r="R5" s="162">
        <v>862600</v>
      </c>
      <c r="S5" s="162">
        <v>1</v>
      </c>
      <c r="T5" s="162">
        <v>102.6</v>
      </c>
      <c r="U5" s="162">
        <v>885.02760000000001</v>
      </c>
      <c r="V5" s="164"/>
      <c r="W5" s="161" t="s">
        <v>17</v>
      </c>
      <c r="X5" s="163">
        <v>4.2284069141168699E-5</v>
      </c>
      <c r="Y5" s="163">
        <v>0.40273602587099999</v>
      </c>
      <c r="Z5" s="163">
        <v>8.4221819650999993E-2</v>
      </c>
    </row>
    <row r="6" spans="1:26" ht="15.75" thickBot="1">
      <c r="A6" s="160">
        <v>11925</v>
      </c>
      <c r="B6" s="160">
        <v>11926</v>
      </c>
      <c r="C6" s="161" t="s">
        <v>1425</v>
      </c>
      <c r="D6" s="161" t="s">
        <v>1426</v>
      </c>
      <c r="E6" s="161" t="s">
        <v>1510</v>
      </c>
      <c r="F6" s="161" t="s">
        <v>223</v>
      </c>
      <c r="G6" s="161" t="s">
        <v>53</v>
      </c>
      <c r="H6" s="161" t="s">
        <v>53</v>
      </c>
      <c r="I6" s="161" t="s">
        <v>311</v>
      </c>
      <c r="J6" s="161" t="s">
        <v>1427</v>
      </c>
      <c r="K6" s="161" t="s">
        <v>102</v>
      </c>
      <c r="L6" s="161" t="s">
        <v>1208</v>
      </c>
      <c r="M6" s="181">
        <v>4.0570000000000004</v>
      </c>
      <c r="N6" s="182">
        <v>47177</v>
      </c>
      <c r="O6" s="163">
        <v>3.7499999999999999E-2</v>
      </c>
      <c r="P6" s="183">
        <v>4.5600000000000002E-2</v>
      </c>
      <c r="Q6" s="162">
        <v>0</v>
      </c>
      <c r="R6" s="162">
        <v>2821600</v>
      </c>
      <c r="S6" s="162">
        <v>1</v>
      </c>
      <c r="T6" s="162">
        <v>99.02</v>
      </c>
      <c r="U6" s="162">
        <v>2793.94832</v>
      </c>
      <c r="V6" s="164"/>
      <c r="W6" s="161" t="s">
        <v>17</v>
      </c>
      <c r="X6" s="163">
        <v>8.5590563512969698E-5</v>
      </c>
      <c r="Y6" s="163">
        <v>0.59731925003200004</v>
      </c>
      <c r="Z6" s="163">
        <v>0.115623408577</v>
      </c>
    </row>
    <row r="7" spans="1:26" ht="15.75" thickBot="1">
      <c r="A7" s="160">
        <v>11925</v>
      </c>
      <c r="B7" s="160">
        <v>11926</v>
      </c>
      <c r="C7" s="161" t="s">
        <v>1425</v>
      </c>
      <c r="D7" s="161" t="s">
        <v>1428</v>
      </c>
      <c r="E7" s="161" t="s">
        <v>1511</v>
      </c>
      <c r="F7" s="161" t="s">
        <v>221</v>
      </c>
      <c r="G7" s="161" t="s">
        <v>53</v>
      </c>
      <c r="H7" s="161" t="s">
        <v>53</v>
      </c>
      <c r="I7" s="161" t="s">
        <v>311</v>
      </c>
      <c r="J7" s="161" t="s">
        <v>1427</v>
      </c>
      <c r="K7" s="161" t="s">
        <v>102</v>
      </c>
      <c r="L7" s="161" t="s">
        <v>1208</v>
      </c>
      <c r="M7" s="181">
        <v>3.9750000000000001</v>
      </c>
      <c r="N7" s="182">
        <v>47057</v>
      </c>
      <c r="O7" s="163">
        <v>1.0999999999999999E-2</v>
      </c>
      <c r="P7" s="183">
        <v>1.7999999999999999E-2</v>
      </c>
      <c r="Q7" s="162">
        <v>0</v>
      </c>
      <c r="R7" s="162">
        <v>1835800</v>
      </c>
      <c r="S7" s="162">
        <v>1</v>
      </c>
      <c r="T7" s="162">
        <v>102.6</v>
      </c>
      <c r="U7" s="162">
        <v>1883.5308</v>
      </c>
      <c r="V7" s="164"/>
      <c r="W7" s="161" t="s">
        <v>17</v>
      </c>
      <c r="X7" s="163">
        <v>8.9989675549915902E-5</v>
      </c>
      <c r="Y7" s="163">
        <v>0.40268074996699998</v>
      </c>
      <c r="Z7" s="163">
        <v>7.7947129406999993E-2</v>
      </c>
    </row>
    <row r="8" spans="1:26" ht="15.75" thickBot="1">
      <c r="A8" s="160">
        <v>11925</v>
      </c>
      <c r="B8" s="160">
        <v>11928</v>
      </c>
      <c r="C8" s="161" t="s">
        <v>1425</v>
      </c>
      <c r="D8" s="161" t="s">
        <v>1426</v>
      </c>
      <c r="E8" s="161" t="s">
        <v>1510</v>
      </c>
      <c r="F8" s="161" t="s">
        <v>223</v>
      </c>
      <c r="G8" s="161" t="s">
        <v>53</v>
      </c>
      <c r="H8" s="161" t="s">
        <v>53</v>
      </c>
      <c r="I8" s="161" t="s">
        <v>311</v>
      </c>
      <c r="J8" s="161" t="s">
        <v>1427</v>
      </c>
      <c r="K8" s="161" t="s">
        <v>102</v>
      </c>
      <c r="L8" s="161" t="s">
        <v>1208</v>
      </c>
      <c r="M8" s="181">
        <v>4.0570000000000004</v>
      </c>
      <c r="N8" s="182">
        <v>47177</v>
      </c>
      <c r="O8" s="163">
        <v>3.7499999999999999E-2</v>
      </c>
      <c r="P8" s="183">
        <v>4.5600000000000002E-2</v>
      </c>
      <c r="Q8" s="162">
        <v>0</v>
      </c>
      <c r="R8" s="162">
        <v>3738230</v>
      </c>
      <c r="S8" s="162">
        <v>1</v>
      </c>
      <c r="T8" s="162">
        <v>99.02</v>
      </c>
      <c r="U8" s="162">
        <v>3701.5953500000001</v>
      </c>
      <c r="V8" s="164"/>
      <c r="W8" s="161" t="s">
        <v>17</v>
      </c>
      <c r="X8" s="163">
        <v>1.13395666E-4</v>
      </c>
      <c r="Y8" s="163">
        <v>0.59587328992900002</v>
      </c>
      <c r="Z8" s="163">
        <v>2.8602017636999998E-2</v>
      </c>
    </row>
    <row r="9" spans="1:26" ht="15.75" thickBot="1">
      <c r="A9" s="160">
        <v>11925</v>
      </c>
      <c r="B9" s="160">
        <v>11928</v>
      </c>
      <c r="C9" s="161" t="s">
        <v>1425</v>
      </c>
      <c r="D9" s="161" t="s">
        <v>1428</v>
      </c>
      <c r="E9" s="161" t="s">
        <v>1511</v>
      </c>
      <c r="F9" s="161" t="s">
        <v>221</v>
      </c>
      <c r="G9" s="161" t="s">
        <v>53</v>
      </c>
      <c r="H9" s="161" t="s">
        <v>53</v>
      </c>
      <c r="I9" s="161" t="s">
        <v>311</v>
      </c>
      <c r="J9" s="161" t="s">
        <v>1427</v>
      </c>
      <c r="K9" s="161" t="s">
        <v>102</v>
      </c>
      <c r="L9" s="161" t="s">
        <v>1208</v>
      </c>
      <c r="M9" s="181">
        <v>3.9750000000000001</v>
      </c>
      <c r="N9" s="182">
        <v>47057</v>
      </c>
      <c r="O9" s="163">
        <v>1.0999999999999999E-2</v>
      </c>
      <c r="P9" s="183">
        <v>1.7999999999999999E-2</v>
      </c>
      <c r="Q9" s="162">
        <v>0</v>
      </c>
      <c r="R9" s="162">
        <v>2446838</v>
      </c>
      <c r="S9" s="162">
        <v>1</v>
      </c>
      <c r="T9" s="162">
        <v>102.6</v>
      </c>
      <c r="U9" s="162">
        <v>2510.45579</v>
      </c>
      <c r="V9" s="164"/>
      <c r="W9" s="161" t="s">
        <v>17</v>
      </c>
      <c r="X9" s="163">
        <v>1.19942345E-4</v>
      </c>
      <c r="Y9" s="163">
        <v>0.40412671007000001</v>
      </c>
      <c r="Z9" s="163">
        <v>1.9398149714000001E-2</v>
      </c>
    </row>
    <row r="10" spans="1:26" ht="15.75" thickBot="1">
      <c r="A10" s="160">
        <v>11939</v>
      </c>
      <c r="B10" s="160">
        <v>11942</v>
      </c>
      <c r="C10" s="161" t="s">
        <v>1425</v>
      </c>
      <c r="D10" s="161" t="s">
        <v>1426</v>
      </c>
      <c r="E10" s="161" t="s">
        <v>1510</v>
      </c>
      <c r="F10" s="161" t="s">
        <v>223</v>
      </c>
      <c r="G10" s="161" t="s">
        <v>53</v>
      </c>
      <c r="H10" s="161" t="s">
        <v>53</v>
      </c>
      <c r="I10" s="161" t="s">
        <v>311</v>
      </c>
      <c r="J10" s="161" t="s">
        <v>1427</v>
      </c>
      <c r="K10" s="161" t="s">
        <v>102</v>
      </c>
      <c r="L10" s="161" t="s">
        <v>1208</v>
      </c>
      <c r="M10" s="181">
        <v>4.0570000000000004</v>
      </c>
      <c r="N10" s="182">
        <v>47177</v>
      </c>
      <c r="O10" s="163">
        <v>3.7499999999999999E-2</v>
      </c>
      <c r="P10" s="183">
        <v>4.5600000000000002E-2</v>
      </c>
      <c r="Q10" s="162">
        <v>0</v>
      </c>
      <c r="R10" s="162">
        <v>5041152</v>
      </c>
      <c r="S10" s="162">
        <v>1</v>
      </c>
      <c r="T10" s="162">
        <v>99.02</v>
      </c>
      <c r="U10" s="162">
        <v>4991.7487099999998</v>
      </c>
      <c r="V10" s="164"/>
      <c r="W10" s="161" t="s">
        <v>17</v>
      </c>
      <c r="X10" s="163">
        <v>1.5291857100000001E-4</v>
      </c>
      <c r="Y10" s="163">
        <v>0.60024364577300005</v>
      </c>
      <c r="Z10" s="163">
        <v>1.7976467196E-2</v>
      </c>
    </row>
    <row r="11" spans="1:26" ht="15.75" thickBot="1">
      <c r="A11" s="160">
        <v>11939</v>
      </c>
      <c r="B11" s="160">
        <v>11942</v>
      </c>
      <c r="C11" s="161" t="s">
        <v>1425</v>
      </c>
      <c r="D11" s="161" t="s">
        <v>1428</v>
      </c>
      <c r="E11" s="161" t="s">
        <v>1511</v>
      </c>
      <c r="F11" s="161" t="s">
        <v>221</v>
      </c>
      <c r="G11" s="161" t="s">
        <v>53</v>
      </c>
      <c r="H11" s="161" t="s">
        <v>53</v>
      </c>
      <c r="I11" s="161" t="s">
        <v>311</v>
      </c>
      <c r="J11" s="161" t="s">
        <v>1427</v>
      </c>
      <c r="K11" s="161" t="s">
        <v>102</v>
      </c>
      <c r="L11" s="161" t="s">
        <v>1208</v>
      </c>
      <c r="M11" s="181">
        <v>3.9750000000000001</v>
      </c>
      <c r="N11" s="182">
        <v>47057</v>
      </c>
      <c r="O11" s="163">
        <v>1.0999999999999999E-2</v>
      </c>
      <c r="P11" s="183">
        <v>1.7999999999999999E-2</v>
      </c>
      <c r="Q11" s="162">
        <v>0</v>
      </c>
      <c r="R11" s="162">
        <v>3240210</v>
      </c>
      <c r="S11" s="162">
        <v>1</v>
      </c>
      <c r="T11" s="162">
        <v>102.6</v>
      </c>
      <c r="U11" s="162">
        <v>3324.4554600000001</v>
      </c>
      <c r="V11" s="164"/>
      <c r="W11" s="161" t="s">
        <v>17</v>
      </c>
      <c r="X11" s="163">
        <v>1.5883290399999999E-4</v>
      </c>
      <c r="Y11" s="163">
        <v>0.39975635422599998</v>
      </c>
      <c r="Z11" s="163">
        <v>1.1972150040999999E-2</v>
      </c>
    </row>
    <row r="12" spans="1:26" ht="15.75" thickBot="1">
      <c r="A12" s="160">
        <v>11939</v>
      </c>
      <c r="B12" s="160">
        <v>11979</v>
      </c>
      <c r="C12" s="161" t="s">
        <v>1425</v>
      </c>
      <c r="D12" s="161" t="s">
        <v>1426</v>
      </c>
      <c r="E12" s="161" t="s">
        <v>1510</v>
      </c>
      <c r="F12" s="161" t="s">
        <v>223</v>
      </c>
      <c r="G12" s="161" t="s">
        <v>53</v>
      </c>
      <c r="H12" s="161" t="s">
        <v>53</v>
      </c>
      <c r="I12" s="161" t="s">
        <v>311</v>
      </c>
      <c r="J12" s="161" t="s">
        <v>1427</v>
      </c>
      <c r="K12" s="161" t="s">
        <v>102</v>
      </c>
      <c r="L12" s="161" t="s">
        <v>1208</v>
      </c>
      <c r="M12" s="181">
        <v>4.0570000000000004</v>
      </c>
      <c r="N12" s="182">
        <v>47177</v>
      </c>
      <c r="O12" s="163">
        <v>3.7499999999999999E-2</v>
      </c>
      <c r="P12" s="183">
        <v>4.5600000000000002E-2</v>
      </c>
      <c r="Q12" s="162">
        <v>0</v>
      </c>
      <c r="R12" s="162">
        <v>2347870</v>
      </c>
      <c r="S12" s="162">
        <v>1</v>
      </c>
      <c r="T12" s="162">
        <v>99.02</v>
      </c>
      <c r="U12" s="162">
        <v>2324.86087</v>
      </c>
      <c r="V12" s="164"/>
      <c r="W12" s="161" t="s">
        <v>17</v>
      </c>
      <c r="X12" s="163">
        <v>7.1220412657781399E-5</v>
      </c>
      <c r="Y12" s="163">
        <v>0.59752086427999995</v>
      </c>
      <c r="Z12" s="163">
        <v>7.1909662671000005E-2</v>
      </c>
    </row>
    <row r="13" spans="1:26" ht="15.75" thickBot="1">
      <c r="A13" s="160">
        <v>11939</v>
      </c>
      <c r="B13" s="160">
        <v>11979</v>
      </c>
      <c r="C13" s="161" t="s">
        <v>1425</v>
      </c>
      <c r="D13" s="161" t="s">
        <v>1428</v>
      </c>
      <c r="E13" s="161" t="s">
        <v>1511</v>
      </c>
      <c r="F13" s="161" t="s">
        <v>221</v>
      </c>
      <c r="G13" s="161" t="s">
        <v>53</v>
      </c>
      <c r="H13" s="161" t="s">
        <v>53</v>
      </c>
      <c r="I13" s="161" t="s">
        <v>311</v>
      </c>
      <c r="J13" s="161" t="s">
        <v>1427</v>
      </c>
      <c r="K13" s="161" t="s">
        <v>102</v>
      </c>
      <c r="L13" s="161" t="s">
        <v>1208</v>
      </c>
      <c r="M13" s="181">
        <v>3.9750000000000001</v>
      </c>
      <c r="N13" s="182">
        <v>47057</v>
      </c>
      <c r="O13" s="163">
        <v>1.0999999999999999E-2</v>
      </c>
      <c r="P13" s="183">
        <v>1.7999999999999999E-2</v>
      </c>
      <c r="Q13" s="162">
        <v>0</v>
      </c>
      <c r="R13" s="162">
        <v>1526300</v>
      </c>
      <c r="S13" s="162">
        <v>1</v>
      </c>
      <c r="T13" s="162">
        <v>102.6</v>
      </c>
      <c r="U13" s="162">
        <v>1565.9838</v>
      </c>
      <c r="V13" s="164"/>
      <c r="W13" s="161" t="s">
        <v>17</v>
      </c>
      <c r="X13" s="163">
        <v>7.4818194679069998E-5</v>
      </c>
      <c r="Y13" s="163">
        <v>0.40247913571900001</v>
      </c>
      <c r="Z13" s="163">
        <v>4.8437034774999999E-2</v>
      </c>
    </row>
    <row r="14" spans="1:26" ht="15.75" thickBot="1">
      <c r="A14" s="160">
        <v>11939</v>
      </c>
      <c r="B14" s="160">
        <v>11980</v>
      </c>
      <c r="C14" s="161" t="s">
        <v>1425</v>
      </c>
      <c r="D14" s="161" t="s">
        <v>1426</v>
      </c>
      <c r="E14" s="161" t="s">
        <v>1510</v>
      </c>
      <c r="F14" s="161" t="s">
        <v>223</v>
      </c>
      <c r="G14" s="161" t="s">
        <v>53</v>
      </c>
      <c r="H14" s="161" t="s">
        <v>53</v>
      </c>
      <c r="I14" s="161" t="s">
        <v>311</v>
      </c>
      <c r="J14" s="161" t="s">
        <v>1427</v>
      </c>
      <c r="K14" s="161" t="s">
        <v>102</v>
      </c>
      <c r="L14" s="161" t="s">
        <v>1208</v>
      </c>
      <c r="M14" s="181">
        <v>4.0570000000000004</v>
      </c>
      <c r="N14" s="182">
        <v>47177</v>
      </c>
      <c r="O14" s="163">
        <v>3.7499999999999999E-2</v>
      </c>
      <c r="P14" s="183">
        <v>4.5600000000000002E-2</v>
      </c>
      <c r="Q14" s="162">
        <v>0</v>
      </c>
      <c r="R14" s="162">
        <v>638150</v>
      </c>
      <c r="S14" s="162">
        <v>1</v>
      </c>
      <c r="T14" s="162">
        <v>99.02</v>
      </c>
      <c r="U14" s="162">
        <v>631.89612999999997</v>
      </c>
      <c r="V14" s="164"/>
      <c r="W14" s="161" t="s">
        <v>17</v>
      </c>
      <c r="X14" s="163">
        <v>1.9357675824284699E-5</v>
      </c>
      <c r="Y14" s="163">
        <v>0.59706477981799999</v>
      </c>
      <c r="Z14" s="163">
        <v>0.12560074080200001</v>
      </c>
    </row>
    <row r="15" spans="1:26" ht="15.75" thickBot="1">
      <c r="A15" s="160">
        <v>11939</v>
      </c>
      <c r="B15" s="160">
        <v>11980</v>
      </c>
      <c r="C15" s="161" t="s">
        <v>1425</v>
      </c>
      <c r="D15" s="161" t="s">
        <v>1428</v>
      </c>
      <c r="E15" s="161" t="s">
        <v>1511</v>
      </c>
      <c r="F15" s="161" t="s">
        <v>221</v>
      </c>
      <c r="G15" s="161" t="s">
        <v>53</v>
      </c>
      <c r="H15" s="161" t="s">
        <v>53</v>
      </c>
      <c r="I15" s="161" t="s">
        <v>311</v>
      </c>
      <c r="J15" s="161" t="s">
        <v>1427</v>
      </c>
      <c r="K15" s="161" t="s">
        <v>102</v>
      </c>
      <c r="L15" s="161" t="s">
        <v>1208</v>
      </c>
      <c r="M15" s="181">
        <v>3.9750000000000001</v>
      </c>
      <c r="N15" s="182">
        <v>47057</v>
      </c>
      <c r="O15" s="163">
        <v>1.0999999999999999E-2</v>
      </c>
      <c r="P15" s="183">
        <v>1.7999999999999999E-2</v>
      </c>
      <c r="Q15" s="162">
        <v>0</v>
      </c>
      <c r="R15" s="162">
        <v>415635</v>
      </c>
      <c r="S15" s="162">
        <v>1</v>
      </c>
      <c r="T15" s="162">
        <v>102.6</v>
      </c>
      <c r="U15" s="162">
        <v>426.44150999999999</v>
      </c>
      <c r="V15" s="164"/>
      <c r="W15" s="161" t="s">
        <v>17</v>
      </c>
      <c r="X15" s="163">
        <v>2.0374146855424998E-5</v>
      </c>
      <c r="Y15" s="163">
        <v>0.40293522018099998</v>
      </c>
      <c r="Z15" s="163">
        <v>8.4762933370999993E-2</v>
      </c>
    </row>
    <row r="16" spans="1:26" ht="15.75" thickBot="1">
      <c r="A16" s="160">
        <v>11939</v>
      </c>
      <c r="B16" s="160">
        <v>11981</v>
      </c>
      <c r="C16" s="161" t="s">
        <v>1425</v>
      </c>
      <c r="D16" s="161" t="s">
        <v>1426</v>
      </c>
      <c r="E16" s="161" t="s">
        <v>1510</v>
      </c>
      <c r="F16" s="161" t="s">
        <v>223</v>
      </c>
      <c r="G16" s="161" t="s">
        <v>53</v>
      </c>
      <c r="H16" s="161" t="s">
        <v>53</v>
      </c>
      <c r="I16" s="161" t="s">
        <v>311</v>
      </c>
      <c r="J16" s="161" t="s">
        <v>1427</v>
      </c>
      <c r="K16" s="161" t="s">
        <v>102</v>
      </c>
      <c r="L16" s="161" t="s">
        <v>1208</v>
      </c>
      <c r="M16" s="181">
        <v>4.0570000000000004</v>
      </c>
      <c r="N16" s="182">
        <v>47177</v>
      </c>
      <c r="O16" s="163">
        <v>3.7499999999999999E-2</v>
      </c>
      <c r="P16" s="183">
        <v>4.5600000000000002E-2</v>
      </c>
      <c r="Q16" s="162">
        <v>0</v>
      </c>
      <c r="R16" s="162">
        <v>705275</v>
      </c>
      <c r="S16" s="162">
        <v>1</v>
      </c>
      <c r="T16" s="162">
        <v>99.02</v>
      </c>
      <c r="U16" s="162">
        <v>698.36329999999998</v>
      </c>
      <c r="V16" s="164"/>
      <c r="W16" s="161" t="s">
        <v>17</v>
      </c>
      <c r="X16" s="163">
        <v>2.1393849121636499E-5</v>
      </c>
      <c r="Y16" s="163">
        <v>0.59725041698100001</v>
      </c>
      <c r="Z16" s="163">
        <v>0.242458241932</v>
      </c>
    </row>
    <row r="17" spans="1:26" ht="15.75" thickBot="1">
      <c r="A17" s="160">
        <v>11939</v>
      </c>
      <c r="B17" s="160">
        <v>11981</v>
      </c>
      <c r="C17" s="161" t="s">
        <v>1425</v>
      </c>
      <c r="D17" s="161" t="s">
        <v>1428</v>
      </c>
      <c r="E17" s="161" t="s">
        <v>1511</v>
      </c>
      <c r="F17" s="161" t="s">
        <v>221</v>
      </c>
      <c r="G17" s="161" t="s">
        <v>53</v>
      </c>
      <c r="H17" s="161" t="s">
        <v>53</v>
      </c>
      <c r="I17" s="161" t="s">
        <v>311</v>
      </c>
      <c r="J17" s="161" t="s">
        <v>1427</v>
      </c>
      <c r="K17" s="161" t="s">
        <v>102</v>
      </c>
      <c r="L17" s="161" t="s">
        <v>1208</v>
      </c>
      <c r="M17" s="181">
        <v>3.9750000000000001</v>
      </c>
      <c r="N17" s="182">
        <v>47057</v>
      </c>
      <c r="O17" s="163">
        <v>1.0999999999999999E-2</v>
      </c>
      <c r="P17" s="183">
        <v>1.7999999999999999E-2</v>
      </c>
      <c r="Q17" s="162">
        <v>0</v>
      </c>
      <c r="R17" s="162">
        <v>459000</v>
      </c>
      <c r="S17" s="162">
        <v>1</v>
      </c>
      <c r="T17" s="162">
        <v>102.6</v>
      </c>
      <c r="U17" s="162">
        <v>470.93400000000003</v>
      </c>
      <c r="V17" s="164"/>
      <c r="W17" s="161" t="s">
        <v>17</v>
      </c>
      <c r="X17" s="163">
        <v>2.2499869853694001E-5</v>
      </c>
      <c r="Y17" s="163">
        <v>0.40274958301800001</v>
      </c>
      <c r="Z17" s="163">
        <v>0.16349918402899999</v>
      </c>
    </row>
    <row r="18" spans="1:26" ht="15.75" thickBot="1">
      <c r="A18" s="160">
        <v>11342</v>
      </c>
      <c r="B18" s="160">
        <v>11343</v>
      </c>
      <c r="C18" s="161" t="s">
        <v>1425</v>
      </c>
      <c r="D18" s="161" t="s">
        <v>1426</v>
      </c>
      <c r="E18" s="161" t="s">
        <v>1510</v>
      </c>
      <c r="F18" s="161" t="s">
        <v>223</v>
      </c>
      <c r="G18" s="161" t="s">
        <v>53</v>
      </c>
      <c r="H18" s="161" t="s">
        <v>53</v>
      </c>
      <c r="I18" s="161" t="s">
        <v>311</v>
      </c>
      <c r="J18" s="161" t="s">
        <v>1427</v>
      </c>
      <c r="K18" s="161" t="s">
        <v>102</v>
      </c>
      <c r="L18" s="161" t="s">
        <v>1208</v>
      </c>
      <c r="M18" s="181">
        <v>4.0570000000000004</v>
      </c>
      <c r="N18" s="182">
        <v>47177</v>
      </c>
      <c r="O18" s="163">
        <v>3.7499999999999999E-2</v>
      </c>
      <c r="P18" s="183">
        <v>4.5600000000000002E-2</v>
      </c>
      <c r="Q18" s="162">
        <v>0</v>
      </c>
      <c r="R18" s="162">
        <v>131932588</v>
      </c>
      <c r="S18" s="162">
        <v>1</v>
      </c>
      <c r="T18" s="162">
        <v>99.02</v>
      </c>
      <c r="U18" s="162">
        <v>130639.64864</v>
      </c>
      <c r="V18" s="164"/>
      <c r="W18" s="161" t="s">
        <v>17</v>
      </c>
      <c r="X18" s="163">
        <v>4.0020500959999997E-3</v>
      </c>
      <c r="Y18" s="163">
        <v>0.59769816872600001</v>
      </c>
      <c r="Z18" s="163">
        <v>0.28321072598000002</v>
      </c>
    </row>
    <row r="19" spans="1:26" ht="15.75" thickBot="1">
      <c r="A19" s="160">
        <v>11342</v>
      </c>
      <c r="B19" s="160">
        <v>11343</v>
      </c>
      <c r="C19" s="161" t="s">
        <v>1425</v>
      </c>
      <c r="D19" s="161" t="s">
        <v>1428</v>
      </c>
      <c r="E19" s="161" t="s">
        <v>1511</v>
      </c>
      <c r="F19" s="161" t="s">
        <v>221</v>
      </c>
      <c r="G19" s="161" t="s">
        <v>53</v>
      </c>
      <c r="H19" s="161" t="s">
        <v>53</v>
      </c>
      <c r="I19" s="161" t="s">
        <v>311</v>
      </c>
      <c r="J19" s="161" t="s">
        <v>1427</v>
      </c>
      <c r="K19" s="161" t="s">
        <v>102</v>
      </c>
      <c r="L19" s="161" t="s">
        <v>1208</v>
      </c>
      <c r="M19" s="181">
        <v>3.9750000000000001</v>
      </c>
      <c r="N19" s="182">
        <v>47057</v>
      </c>
      <c r="O19" s="163">
        <v>1.0999999999999999E-2</v>
      </c>
      <c r="P19" s="183">
        <v>1.7999999999999999E-2</v>
      </c>
      <c r="Q19" s="162">
        <v>0</v>
      </c>
      <c r="R19" s="162">
        <v>85703336</v>
      </c>
      <c r="S19" s="162">
        <v>1</v>
      </c>
      <c r="T19" s="162">
        <v>102.6</v>
      </c>
      <c r="U19" s="162">
        <v>87931.622740000006</v>
      </c>
      <c r="V19" s="164"/>
      <c r="W19" s="161" t="s">
        <v>17</v>
      </c>
      <c r="X19" s="163">
        <v>4.2011196199999998E-3</v>
      </c>
      <c r="Y19" s="163">
        <v>0.40230183127300001</v>
      </c>
      <c r="Z19" s="163">
        <v>0.19062496701500001</v>
      </c>
    </row>
    <row r="20" spans="1:26" ht="15.75" thickBot="1">
      <c r="A20" s="160">
        <v>11342</v>
      </c>
      <c r="B20" s="160">
        <v>11344</v>
      </c>
      <c r="C20" s="161" t="s">
        <v>1425</v>
      </c>
      <c r="D20" s="161" t="s">
        <v>1426</v>
      </c>
      <c r="E20" s="161" t="s">
        <v>1510</v>
      </c>
      <c r="F20" s="161" t="s">
        <v>223</v>
      </c>
      <c r="G20" s="161" t="s">
        <v>53</v>
      </c>
      <c r="H20" s="161" t="s">
        <v>53</v>
      </c>
      <c r="I20" s="161" t="s">
        <v>311</v>
      </c>
      <c r="J20" s="161" t="s">
        <v>1427</v>
      </c>
      <c r="K20" s="161" t="s">
        <v>102</v>
      </c>
      <c r="L20" s="161" t="s">
        <v>1208</v>
      </c>
      <c r="M20" s="181">
        <v>4.0570000000000004</v>
      </c>
      <c r="N20" s="182">
        <v>47177</v>
      </c>
      <c r="O20" s="163">
        <v>3.7499999999999999E-2</v>
      </c>
      <c r="P20" s="183">
        <v>4.5600000000000002E-2</v>
      </c>
      <c r="Q20" s="162">
        <v>0</v>
      </c>
      <c r="R20" s="162">
        <v>437320</v>
      </c>
      <c r="S20" s="162">
        <v>1</v>
      </c>
      <c r="T20" s="162">
        <v>99.02</v>
      </c>
      <c r="U20" s="162">
        <v>433.03426000000002</v>
      </c>
      <c r="V20" s="164"/>
      <c r="W20" s="161" t="s">
        <v>17</v>
      </c>
      <c r="X20" s="163">
        <v>1.32656879910306E-5</v>
      </c>
      <c r="Y20" s="163">
        <v>0.59766332404599998</v>
      </c>
      <c r="Z20" s="163">
        <v>0.13733699055900001</v>
      </c>
    </row>
    <row r="21" spans="1:26" ht="15.75" thickBot="1">
      <c r="A21" s="160">
        <v>11342</v>
      </c>
      <c r="B21" s="160">
        <v>11344</v>
      </c>
      <c r="C21" s="161" t="s">
        <v>1425</v>
      </c>
      <c r="D21" s="161" t="s">
        <v>1428</v>
      </c>
      <c r="E21" s="161" t="s">
        <v>1511</v>
      </c>
      <c r="F21" s="161" t="s">
        <v>221</v>
      </c>
      <c r="G21" s="161" t="s">
        <v>53</v>
      </c>
      <c r="H21" s="161" t="s">
        <v>53</v>
      </c>
      <c r="I21" s="161" t="s">
        <v>311</v>
      </c>
      <c r="J21" s="161" t="s">
        <v>1427</v>
      </c>
      <c r="K21" s="161" t="s">
        <v>102</v>
      </c>
      <c r="L21" s="161" t="s">
        <v>1208</v>
      </c>
      <c r="M21" s="181">
        <v>3.9750000000000001</v>
      </c>
      <c r="N21" s="182">
        <v>47057</v>
      </c>
      <c r="O21" s="163">
        <v>1.0999999999999999E-2</v>
      </c>
      <c r="P21" s="183">
        <v>1.7999999999999999E-2</v>
      </c>
      <c r="Q21" s="162">
        <v>0</v>
      </c>
      <c r="R21" s="162">
        <v>284124</v>
      </c>
      <c r="S21" s="162">
        <v>1</v>
      </c>
      <c r="T21" s="162">
        <v>102.6</v>
      </c>
      <c r="U21" s="162">
        <v>291.51121999999998</v>
      </c>
      <c r="V21" s="164"/>
      <c r="W21" s="161" t="s">
        <v>17</v>
      </c>
      <c r="X21" s="163">
        <v>1.3927566497409501E-5</v>
      </c>
      <c r="Y21" s="163">
        <v>0.40233667595299999</v>
      </c>
      <c r="Z21" s="163">
        <v>9.2452901229999995E-2</v>
      </c>
    </row>
    <row r="22" spans="1:26" ht="15.75" thickBot="1">
      <c r="A22" s="160">
        <v>11342</v>
      </c>
      <c r="B22" s="160">
        <v>11345</v>
      </c>
      <c r="C22" s="161" t="s">
        <v>1425</v>
      </c>
      <c r="D22" s="161" t="s">
        <v>1426</v>
      </c>
      <c r="E22" s="161" t="s">
        <v>1510</v>
      </c>
      <c r="F22" s="161" t="s">
        <v>223</v>
      </c>
      <c r="G22" s="161" t="s">
        <v>53</v>
      </c>
      <c r="H22" s="161" t="s">
        <v>53</v>
      </c>
      <c r="I22" s="161" t="s">
        <v>311</v>
      </c>
      <c r="J22" s="161" t="s">
        <v>1427</v>
      </c>
      <c r="K22" s="161" t="s">
        <v>102</v>
      </c>
      <c r="L22" s="161" t="s">
        <v>1208</v>
      </c>
      <c r="M22" s="181">
        <v>4.0570000000000004</v>
      </c>
      <c r="N22" s="182">
        <v>47177</v>
      </c>
      <c r="O22" s="163">
        <v>3.7499999999999999E-2</v>
      </c>
      <c r="P22" s="183">
        <v>4.5600000000000002E-2</v>
      </c>
      <c r="Q22" s="162">
        <v>0</v>
      </c>
      <c r="R22" s="162">
        <v>1281635</v>
      </c>
      <c r="S22" s="162">
        <v>1</v>
      </c>
      <c r="T22" s="162">
        <v>99.02</v>
      </c>
      <c r="U22" s="162">
        <v>1269.0749800000001</v>
      </c>
      <c r="V22" s="164"/>
      <c r="W22" s="161" t="s">
        <v>17</v>
      </c>
      <c r="X22" s="163">
        <v>3.88771838205078E-5</v>
      </c>
      <c r="Y22" s="163">
        <v>0.597636192299</v>
      </c>
      <c r="Z22" s="163">
        <v>6.4119158324999995E-2</v>
      </c>
    </row>
    <row r="23" spans="1:26" ht="15.75" thickBot="1">
      <c r="A23" s="160">
        <v>11342</v>
      </c>
      <c r="B23" s="160">
        <v>11345</v>
      </c>
      <c r="C23" s="161" t="s">
        <v>1425</v>
      </c>
      <c r="D23" s="161" t="s">
        <v>1428</v>
      </c>
      <c r="E23" s="161" t="s">
        <v>1511</v>
      </c>
      <c r="F23" s="161" t="s">
        <v>221</v>
      </c>
      <c r="G23" s="161" t="s">
        <v>53</v>
      </c>
      <c r="H23" s="161" t="s">
        <v>53</v>
      </c>
      <c r="I23" s="161" t="s">
        <v>311</v>
      </c>
      <c r="J23" s="161" t="s">
        <v>1427</v>
      </c>
      <c r="K23" s="161" t="s">
        <v>102</v>
      </c>
      <c r="L23" s="161" t="s">
        <v>1208</v>
      </c>
      <c r="M23" s="181">
        <v>3.9750000000000001</v>
      </c>
      <c r="N23" s="182">
        <v>47057</v>
      </c>
      <c r="O23" s="163">
        <v>1.0999999999999999E-2</v>
      </c>
      <c r="P23" s="183">
        <v>1.7999999999999999E-2</v>
      </c>
      <c r="Q23" s="162">
        <v>0</v>
      </c>
      <c r="R23" s="162">
        <v>832764</v>
      </c>
      <c r="S23" s="162">
        <v>1</v>
      </c>
      <c r="T23" s="162">
        <v>102.6</v>
      </c>
      <c r="U23" s="162">
        <v>854.41585999999995</v>
      </c>
      <c r="V23" s="164"/>
      <c r="W23" s="161" t="s">
        <v>17</v>
      </c>
      <c r="X23" s="163">
        <v>4.0821528581354299E-5</v>
      </c>
      <c r="Y23" s="163">
        <v>0.40236380770000002</v>
      </c>
      <c r="Z23" s="163">
        <v>4.3168785663000003E-2</v>
      </c>
    </row>
    <row r="24" spans="1:26" ht="15.75" thickBot="1">
      <c r="A24" s="160">
        <v>7891</v>
      </c>
      <c r="B24" s="160">
        <v>7892</v>
      </c>
      <c r="C24" s="164"/>
      <c r="D24" s="164"/>
      <c r="E24" s="164"/>
      <c r="F24" s="164"/>
      <c r="G24" s="164"/>
      <c r="H24" s="164"/>
      <c r="I24" s="164"/>
      <c r="J24" s="164"/>
      <c r="K24" s="164"/>
      <c r="L24" s="164"/>
      <c r="M24" s="164"/>
      <c r="N24" s="164"/>
      <c r="O24" s="164"/>
      <c r="P24" s="164"/>
      <c r="Q24" s="164"/>
      <c r="R24" s="164"/>
      <c r="S24" s="164"/>
      <c r="T24" s="164"/>
      <c r="U24" s="164"/>
      <c r="V24" s="164"/>
      <c r="W24" s="164"/>
      <c r="X24" s="164"/>
      <c r="Y24" s="164"/>
      <c r="Z24" s="164"/>
    </row>
    <row r="25" spans="1:26" ht="15.75" thickBot="1">
      <c r="A25" s="160">
        <v>7891</v>
      </c>
      <c r="B25" s="160">
        <v>7893</v>
      </c>
      <c r="C25" s="164"/>
      <c r="D25" s="164"/>
      <c r="E25" s="164"/>
      <c r="F25" s="164"/>
      <c r="G25" s="164"/>
      <c r="H25" s="164"/>
      <c r="I25" s="164"/>
      <c r="J25" s="164"/>
      <c r="K25" s="164"/>
      <c r="L25" s="164"/>
      <c r="M25" s="164"/>
      <c r="N25" s="164"/>
      <c r="O25" s="164"/>
      <c r="P25" s="164"/>
      <c r="Q25" s="164"/>
      <c r="R25" s="164"/>
      <c r="S25" s="164"/>
      <c r="T25" s="164"/>
      <c r="U25" s="164"/>
      <c r="V25" s="164"/>
      <c r="W25" s="164"/>
      <c r="X25" s="164"/>
      <c r="Y25" s="164"/>
      <c r="Z25" s="164"/>
    </row>
    <row r="26" spans="1:26" ht="15.75" thickBot="1">
      <c r="A26" s="160">
        <v>7891</v>
      </c>
      <c r="B26" s="160">
        <v>7894</v>
      </c>
      <c r="C26" s="164"/>
      <c r="D26" s="164"/>
      <c r="E26" s="164"/>
      <c r="F26" s="164"/>
      <c r="G26" s="164"/>
      <c r="H26" s="164"/>
      <c r="I26" s="164"/>
      <c r="J26" s="164"/>
      <c r="K26" s="164"/>
      <c r="L26" s="164"/>
      <c r="M26" s="164"/>
      <c r="N26" s="164"/>
      <c r="O26" s="164"/>
      <c r="P26" s="164"/>
      <c r="Q26" s="164"/>
      <c r="R26" s="164"/>
      <c r="S26" s="164"/>
      <c r="T26" s="164"/>
      <c r="U26" s="164"/>
      <c r="V26" s="164"/>
      <c r="W26" s="164"/>
      <c r="X26" s="164"/>
      <c r="Y26" s="164"/>
      <c r="Z26" s="164"/>
    </row>
    <row r="27" spans="1:26" ht="15.75" thickBot="1">
      <c r="A27" s="160">
        <v>7891</v>
      </c>
      <c r="B27" s="160">
        <v>7895</v>
      </c>
      <c r="C27" s="164"/>
      <c r="D27" s="164"/>
      <c r="E27" s="164"/>
      <c r="F27" s="164"/>
      <c r="G27" s="164"/>
      <c r="H27" s="164"/>
      <c r="I27" s="164"/>
      <c r="J27" s="164"/>
      <c r="K27" s="164"/>
      <c r="L27" s="164"/>
      <c r="M27" s="164"/>
      <c r="N27" s="164"/>
      <c r="O27" s="164"/>
      <c r="P27" s="164"/>
      <c r="Q27" s="164"/>
      <c r="R27" s="164"/>
      <c r="S27" s="164"/>
      <c r="T27" s="164"/>
      <c r="U27" s="164"/>
      <c r="V27" s="164"/>
      <c r="W27" s="164"/>
      <c r="X27" s="164"/>
      <c r="Y27" s="164"/>
      <c r="Z27" s="164"/>
    </row>
    <row r="28" spans="1:26" ht="15.75" thickBot="1">
      <c r="A28" s="160">
        <v>7891</v>
      </c>
      <c r="B28" s="160">
        <v>7896</v>
      </c>
      <c r="C28" s="164"/>
      <c r="D28" s="164"/>
      <c r="E28" s="164"/>
      <c r="F28" s="164"/>
      <c r="G28" s="164"/>
      <c r="H28" s="164"/>
      <c r="I28" s="164"/>
      <c r="J28" s="164"/>
      <c r="K28" s="164"/>
      <c r="L28" s="164"/>
      <c r="M28" s="164"/>
      <c r="N28" s="164"/>
      <c r="O28" s="164"/>
      <c r="P28" s="164"/>
      <c r="Q28" s="164"/>
      <c r="R28" s="164"/>
      <c r="S28" s="164"/>
      <c r="T28" s="164"/>
      <c r="U28" s="164"/>
      <c r="V28" s="164"/>
      <c r="W28" s="164"/>
      <c r="X28" s="164"/>
      <c r="Y28" s="164"/>
      <c r="Z28" s="164"/>
    </row>
    <row r="29" spans="1:26" ht="15.75" thickBot="1">
      <c r="A29" s="160">
        <v>7891</v>
      </c>
      <c r="B29" s="160">
        <v>7898</v>
      </c>
      <c r="C29" s="164"/>
      <c r="D29" s="164"/>
      <c r="E29" s="164"/>
      <c r="F29" s="164"/>
      <c r="G29" s="164"/>
      <c r="H29" s="164"/>
      <c r="I29" s="164"/>
      <c r="J29" s="164"/>
      <c r="K29" s="164"/>
      <c r="L29" s="164"/>
      <c r="M29" s="164"/>
      <c r="N29" s="164"/>
      <c r="O29" s="164"/>
      <c r="P29" s="164"/>
      <c r="Q29" s="164"/>
      <c r="R29" s="164"/>
      <c r="S29" s="164"/>
      <c r="T29" s="164"/>
      <c r="U29" s="164"/>
      <c r="V29" s="164"/>
      <c r="W29" s="164"/>
      <c r="X29" s="164"/>
      <c r="Y29" s="164"/>
      <c r="Z29" s="164"/>
    </row>
    <row r="30" spans="1:26" ht="15.75" thickBot="1">
      <c r="A30" s="160">
        <v>7891</v>
      </c>
      <c r="B30" s="160">
        <v>7899</v>
      </c>
      <c r="C30" s="164"/>
      <c r="D30" s="164"/>
      <c r="E30" s="164"/>
      <c r="F30" s="164"/>
      <c r="G30" s="164"/>
      <c r="H30" s="164"/>
      <c r="I30" s="164"/>
      <c r="J30" s="164"/>
      <c r="K30" s="164"/>
      <c r="L30" s="164"/>
      <c r="M30" s="164"/>
      <c r="N30" s="164"/>
      <c r="O30" s="164"/>
      <c r="P30" s="164"/>
      <c r="Q30" s="164"/>
      <c r="R30" s="164"/>
      <c r="S30" s="164"/>
      <c r="T30" s="164"/>
      <c r="U30" s="164"/>
      <c r="V30" s="164"/>
      <c r="W30" s="164"/>
      <c r="X30" s="164"/>
      <c r="Y30" s="164"/>
      <c r="Z30" s="164"/>
    </row>
    <row r="31" spans="1:26" ht="15.75" thickBot="1">
      <c r="A31" s="160">
        <v>7891</v>
      </c>
      <c r="B31" s="160">
        <v>7901</v>
      </c>
      <c r="C31" s="164"/>
      <c r="D31" s="164"/>
      <c r="E31" s="164"/>
      <c r="F31" s="164"/>
      <c r="G31" s="164"/>
      <c r="H31" s="164"/>
      <c r="I31" s="164"/>
      <c r="J31" s="164"/>
      <c r="K31" s="164"/>
      <c r="L31" s="164"/>
      <c r="M31" s="164"/>
      <c r="N31" s="164"/>
      <c r="O31" s="164"/>
      <c r="P31" s="164"/>
      <c r="Q31" s="164"/>
      <c r="R31" s="164"/>
      <c r="S31" s="164"/>
      <c r="T31" s="164"/>
      <c r="U31" s="164"/>
      <c r="V31" s="164"/>
      <c r="W31" s="164"/>
      <c r="X31" s="164"/>
      <c r="Y31" s="164"/>
      <c r="Z31" s="164"/>
    </row>
    <row r="32" spans="1:26" ht="15.75" thickBot="1">
      <c r="A32" s="160">
        <v>7891</v>
      </c>
      <c r="B32" s="160">
        <v>7902</v>
      </c>
      <c r="C32" s="164"/>
      <c r="D32" s="164"/>
      <c r="E32" s="164"/>
      <c r="F32" s="164"/>
      <c r="G32" s="164"/>
      <c r="H32" s="164"/>
      <c r="I32" s="164"/>
      <c r="J32" s="164"/>
      <c r="K32" s="164"/>
      <c r="L32" s="164"/>
      <c r="M32" s="164"/>
      <c r="N32" s="164"/>
      <c r="O32" s="164"/>
      <c r="P32" s="164"/>
      <c r="Q32" s="164"/>
      <c r="R32" s="164"/>
      <c r="S32" s="164"/>
      <c r="T32" s="164"/>
      <c r="U32" s="164"/>
      <c r="V32" s="164"/>
      <c r="W32" s="164"/>
      <c r="X32" s="164"/>
      <c r="Y32" s="164"/>
      <c r="Z32" s="164"/>
    </row>
    <row r="33" spans="1:26" ht="15.75" thickBot="1">
      <c r="A33" s="160">
        <v>11925</v>
      </c>
      <c r="B33" s="160">
        <v>11927</v>
      </c>
      <c r="C33" s="164"/>
      <c r="D33" s="164"/>
      <c r="E33" s="164"/>
      <c r="F33" s="164"/>
      <c r="G33" s="164"/>
      <c r="H33" s="164"/>
      <c r="I33" s="164"/>
      <c r="J33" s="164"/>
      <c r="K33" s="164"/>
      <c r="L33" s="164"/>
      <c r="M33" s="164"/>
      <c r="N33" s="164"/>
      <c r="O33" s="164"/>
      <c r="P33" s="164"/>
      <c r="Q33" s="164"/>
      <c r="R33" s="164"/>
      <c r="S33" s="164"/>
      <c r="T33" s="164"/>
      <c r="U33" s="164"/>
      <c r="V33" s="164"/>
      <c r="W33" s="164"/>
      <c r="X33" s="164"/>
      <c r="Y33" s="164"/>
      <c r="Z33" s="164"/>
    </row>
    <row r="34" spans="1:26" ht="15.75" thickBot="1">
      <c r="A34" s="160">
        <v>11925</v>
      </c>
      <c r="B34" s="160">
        <v>11929</v>
      </c>
      <c r="C34" s="164"/>
      <c r="D34" s="164"/>
      <c r="E34" s="164"/>
      <c r="F34" s="164"/>
      <c r="G34" s="164"/>
      <c r="H34" s="164"/>
      <c r="I34" s="164"/>
      <c r="J34" s="164"/>
      <c r="K34" s="164"/>
      <c r="L34" s="164"/>
      <c r="M34" s="164"/>
      <c r="N34" s="164"/>
      <c r="O34" s="164"/>
      <c r="P34" s="164"/>
      <c r="Q34" s="164"/>
      <c r="R34" s="164"/>
      <c r="S34" s="164"/>
      <c r="T34" s="164"/>
      <c r="U34" s="164"/>
      <c r="V34" s="164"/>
      <c r="W34" s="164"/>
      <c r="X34" s="164"/>
      <c r="Y34" s="164"/>
      <c r="Z34" s="164"/>
    </row>
    <row r="35" spans="1:26" ht="15.75" thickBot="1">
      <c r="A35" s="160">
        <v>11925</v>
      </c>
      <c r="B35" s="160">
        <v>11930</v>
      </c>
      <c r="C35" s="164"/>
      <c r="D35" s="164"/>
      <c r="E35" s="164"/>
      <c r="F35" s="164"/>
      <c r="G35" s="164"/>
      <c r="H35" s="164"/>
      <c r="I35" s="164"/>
      <c r="J35" s="164"/>
      <c r="K35" s="164"/>
      <c r="L35" s="164"/>
      <c r="M35" s="164"/>
      <c r="N35" s="164"/>
      <c r="O35" s="164"/>
      <c r="P35" s="164"/>
      <c r="Q35" s="164"/>
      <c r="R35" s="164"/>
      <c r="S35" s="164"/>
      <c r="T35" s="164"/>
      <c r="U35" s="164"/>
      <c r="V35" s="164"/>
      <c r="W35" s="164"/>
      <c r="X35" s="164"/>
      <c r="Y35" s="164"/>
      <c r="Z35" s="164"/>
    </row>
    <row r="36" spans="1:26" ht="15.75" thickBot="1">
      <c r="A36" s="160">
        <v>11925</v>
      </c>
      <c r="B36" s="160">
        <v>11931</v>
      </c>
      <c r="C36" s="164"/>
      <c r="D36" s="164"/>
      <c r="E36" s="164"/>
      <c r="F36" s="164"/>
      <c r="G36" s="164"/>
      <c r="H36" s="164"/>
      <c r="I36" s="164"/>
      <c r="J36" s="164"/>
      <c r="K36" s="164"/>
      <c r="L36" s="164"/>
      <c r="M36" s="164"/>
      <c r="N36" s="164"/>
      <c r="O36" s="164"/>
      <c r="P36" s="164"/>
      <c r="Q36" s="164"/>
      <c r="R36" s="164"/>
      <c r="S36" s="164"/>
      <c r="T36" s="164"/>
      <c r="U36" s="164"/>
      <c r="V36" s="164"/>
      <c r="W36" s="164"/>
      <c r="X36" s="164"/>
      <c r="Y36" s="164"/>
      <c r="Z36" s="164"/>
    </row>
    <row r="37" spans="1:26" ht="15.75" thickBot="1">
      <c r="A37" s="160">
        <v>11925</v>
      </c>
      <c r="B37" s="160">
        <v>11932</v>
      </c>
      <c r="C37" s="164"/>
      <c r="D37" s="164"/>
      <c r="E37" s="164"/>
      <c r="F37" s="164"/>
      <c r="G37" s="164"/>
      <c r="H37" s="164"/>
      <c r="I37" s="164"/>
      <c r="J37" s="164"/>
      <c r="K37" s="164"/>
      <c r="L37" s="164"/>
      <c r="M37" s="164"/>
      <c r="N37" s="164"/>
      <c r="O37" s="164"/>
      <c r="P37" s="164"/>
      <c r="Q37" s="164"/>
      <c r="R37" s="164"/>
      <c r="S37" s="164"/>
      <c r="T37" s="164"/>
      <c r="U37" s="164"/>
      <c r="V37" s="164"/>
      <c r="W37" s="164"/>
      <c r="X37" s="164"/>
      <c r="Y37" s="164"/>
      <c r="Z37" s="164"/>
    </row>
    <row r="38" spans="1:26" ht="15.75" thickBot="1">
      <c r="A38" s="160">
        <v>11925</v>
      </c>
      <c r="B38" s="160">
        <v>11933</v>
      </c>
      <c r="C38" s="164"/>
      <c r="D38" s="164"/>
      <c r="E38" s="164"/>
      <c r="F38" s="164"/>
      <c r="G38" s="164"/>
      <c r="H38" s="164"/>
      <c r="I38" s="164"/>
      <c r="J38" s="164"/>
      <c r="K38" s="164"/>
      <c r="L38" s="164"/>
      <c r="M38" s="164"/>
      <c r="N38" s="164"/>
      <c r="O38" s="164"/>
      <c r="P38" s="164"/>
      <c r="Q38" s="164"/>
      <c r="R38" s="164"/>
      <c r="S38" s="164"/>
      <c r="T38" s="164"/>
      <c r="U38" s="164"/>
      <c r="V38" s="164"/>
      <c r="W38" s="164"/>
      <c r="X38" s="164"/>
      <c r="Y38" s="164"/>
      <c r="Z38" s="164"/>
    </row>
    <row r="39" spans="1:26" ht="15.75" thickBot="1">
      <c r="A39" s="160">
        <v>11925</v>
      </c>
      <c r="B39" s="160">
        <v>11934</v>
      </c>
      <c r="C39" s="164"/>
      <c r="D39" s="164"/>
      <c r="E39" s="164"/>
      <c r="F39" s="164"/>
      <c r="G39" s="164"/>
      <c r="H39" s="164"/>
      <c r="I39" s="164"/>
      <c r="J39" s="164"/>
      <c r="K39" s="164"/>
      <c r="L39" s="164"/>
      <c r="M39" s="164"/>
      <c r="N39" s="164"/>
      <c r="O39" s="164"/>
      <c r="P39" s="164"/>
      <c r="Q39" s="164"/>
      <c r="R39" s="164"/>
      <c r="S39" s="164"/>
      <c r="T39" s="164"/>
      <c r="U39" s="164"/>
      <c r="V39" s="164"/>
      <c r="W39" s="164"/>
      <c r="X39" s="164"/>
      <c r="Y39" s="164"/>
      <c r="Z39" s="164"/>
    </row>
    <row r="40" spans="1:26" ht="15.75" thickBot="1">
      <c r="A40" s="160">
        <v>11925</v>
      </c>
      <c r="B40" s="160">
        <v>11935</v>
      </c>
      <c r="C40" s="164"/>
      <c r="D40" s="164"/>
      <c r="E40" s="164"/>
      <c r="F40" s="164"/>
      <c r="G40" s="164"/>
      <c r="H40" s="164"/>
      <c r="I40" s="164"/>
      <c r="J40" s="164"/>
      <c r="K40" s="164"/>
      <c r="L40" s="164"/>
      <c r="M40" s="164"/>
      <c r="N40" s="164"/>
      <c r="O40" s="164"/>
      <c r="P40" s="164"/>
      <c r="Q40" s="164"/>
      <c r="R40" s="164"/>
      <c r="S40" s="164"/>
      <c r="T40" s="164"/>
      <c r="U40" s="164"/>
      <c r="V40" s="164"/>
      <c r="W40" s="164"/>
      <c r="X40" s="164"/>
      <c r="Y40" s="164"/>
      <c r="Z40" s="164"/>
    </row>
    <row r="41" spans="1:26" ht="15.75" thickBot="1">
      <c r="A41" s="160">
        <v>11925</v>
      </c>
      <c r="B41" s="160">
        <v>11936</v>
      </c>
      <c r="C41" s="164"/>
      <c r="D41" s="164"/>
      <c r="E41" s="164"/>
      <c r="F41" s="164"/>
      <c r="G41" s="164"/>
      <c r="H41" s="164"/>
      <c r="I41" s="164"/>
      <c r="J41" s="164"/>
      <c r="K41" s="164"/>
      <c r="L41" s="164"/>
      <c r="M41" s="164"/>
      <c r="N41" s="164"/>
      <c r="O41" s="164"/>
      <c r="P41" s="164"/>
      <c r="Q41" s="164"/>
      <c r="R41" s="164"/>
      <c r="S41" s="164"/>
      <c r="T41" s="164"/>
      <c r="U41" s="164"/>
      <c r="V41" s="164"/>
      <c r="W41" s="164"/>
      <c r="X41" s="164"/>
      <c r="Y41" s="164"/>
      <c r="Z41" s="164"/>
    </row>
    <row r="42" spans="1:26" ht="15.75" thickBot="1">
      <c r="A42" s="160">
        <v>11925</v>
      </c>
      <c r="B42" s="160">
        <v>11937</v>
      </c>
      <c r="C42" s="164"/>
      <c r="D42" s="164"/>
      <c r="E42" s="164"/>
      <c r="F42" s="164"/>
      <c r="G42" s="164"/>
      <c r="H42" s="164"/>
      <c r="I42" s="164"/>
      <c r="J42" s="164"/>
      <c r="K42" s="164"/>
      <c r="L42" s="164"/>
      <c r="M42" s="164"/>
      <c r="N42" s="164"/>
      <c r="O42" s="164"/>
      <c r="P42" s="164"/>
      <c r="Q42" s="164"/>
      <c r="R42" s="164"/>
      <c r="S42" s="164"/>
      <c r="T42" s="164"/>
      <c r="U42" s="164"/>
      <c r="V42" s="164"/>
      <c r="W42" s="164"/>
      <c r="X42" s="164"/>
      <c r="Y42" s="164"/>
      <c r="Z42" s="164"/>
    </row>
    <row r="43" spans="1:26" ht="15.75" thickBot="1">
      <c r="A43" s="160">
        <v>11939</v>
      </c>
      <c r="B43" s="160">
        <v>11943</v>
      </c>
      <c r="C43" s="164"/>
      <c r="D43" s="164"/>
      <c r="E43" s="164"/>
      <c r="F43" s="164"/>
      <c r="G43" s="164"/>
      <c r="H43" s="164"/>
      <c r="I43" s="164"/>
      <c r="J43" s="164"/>
      <c r="K43" s="164"/>
      <c r="L43" s="164"/>
      <c r="M43" s="164"/>
      <c r="N43" s="164"/>
      <c r="O43" s="164"/>
      <c r="P43" s="164"/>
      <c r="Q43" s="164"/>
      <c r="R43" s="164"/>
      <c r="S43" s="164"/>
      <c r="T43" s="164"/>
      <c r="U43" s="164"/>
      <c r="V43" s="164"/>
      <c r="W43" s="164"/>
      <c r="X43" s="164"/>
      <c r="Y43" s="164"/>
      <c r="Z43" s="164"/>
    </row>
    <row r="44" spans="1:26" ht="15.75" thickBot="1">
      <c r="A44" s="160">
        <v>11939</v>
      </c>
      <c r="B44" s="160">
        <v>11944</v>
      </c>
      <c r="C44" s="164"/>
      <c r="D44" s="164"/>
      <c r="E44" s="164"/>
      <c r="F44" s="164"/>
      <c r="G44" s="164"/>
      <c r="H44" s="164"/>
      <c r="I44" s="164"/>
      <c r="J44" s="164"/>
      <c r="K44" s="164"/>
      <c r="L44" s="164"/>
      <c r="M44" s="164"/>
      <c r="N44" s="164"/>
      <c r="O44" s="164"/>
      <c r="P44" s="164"/>
      <c r="Q44" s="164"/>
      <c r="R44" s="164"/>
      <c r="S44" s="164"/>
      <c r="T44" s="164"/>
      <c r="U44" s="164"/>
      <c r="V44" s="164"/>
      <c r="W44" s="164"/>
      <c r="X44" s="164"/>
      <c r="Y44" s="164"/>
      <c r="Z44" s="164"/>
    </row>
    <row r="45" spans="1:26" ht="15.75" thickBot="1">
      <c r="A45" s="160">
        <v>11939</v>
      </c>
      <c r="B45" s="160">
        <v>11945</v>
      </c>
      <c r="C45" s="164"/>
      <c r="D45" s="164"/>
      <c r="E45" s="164"/>
      <c r="F45" s="164"/>
      <c r="G45" s="164"/>
      <c r="H45" s="164"/>
      <c r="I45" s="164"/>
      <c r="J45" s="164"/>
      <c r="K45" s="164"/>
      <c r="L45" s="164"/>
      <c r="M45" s="164"/>
      <c r="N45" s="164"/>
      <c r="O45" s="164"/>
      <c r="P45" s="164"/>
      <c r="Q45" s="164"/>
      <c r="R45" s="164"/>
      <c r="S45" s="164"/>
      <c r="T45" s="164"/>
      <c r="U45" s="164"/>
      <c r="V45" s="164"/>
      <c r="W45" s="164"/>
      <c r="X45" s="164"/>
      <c r="Y45" s="164"/>
      <c r="Z45" s="164"/>
    </row>
    <row r="46" spans="1:26" ht="15.75" thickBot="1">
      <c r="A46" s="160">
        <v>11939</v>
      </c>
      <c r="B46" s="160">
        <v>11946</v>
      </c>
      <c r="C46" s="164"/>
      <c r="D46" s="164"/>
      <c r="E46" s="164"/>
      <c r="F46" s="164"/>
      <c r="G46" s="164"/>
      <c r="H46" s="164"/>
      <c r="I46" s="164"/>
      <c r="J46" s="164"/>
      <c r="K46" s="164"/>
      <c r="L46" s="164"/>
      <c r="M46" s="164"/>
      <c r="N46" s="164"/>
      <c r="O46" s="164"/>
      <c r="P46" s="164"/>
      <c r="Q46" s="164"/>
      <c r="R46" s="164"/>
      <c r="S46" s="164"/>
      <c r="T46" s="164"/>
      <c r="U46" s="164"/>
      <c r="V46" s="164"/>
      <c r="W46" s="164"/>
      <c r="X46" s="164"/>
      <c r="Y46" s="164"/>
      <c r="Z46" s="164"/>
    </row>
    <row r="47" spans="1:26" ht="15.75" thickBot="1">
      <c r="A47" s="160">
        <v>11939</v>
      </c>
      <c r="B47" s="160">
        <v>11947</v>
      </c>
      <c r="C47" s="164"/>
      <c r="D47" s="164"/>
      <c r="E47" s="164"/>
      <c r="F47" s="164"/>
      <c r="G47" s="164"/>
      <c r="H47" s="164"/>
      <c r="I47" s="164"/>
      <c r="J47" s="164"/>
      <c r="K47" s="164"/>
      <c r="L47" s="164"/>
      <c r="M47" s="164"/>
      <c r="N47" s="164"/>
      <c r="O47" s="164"/>
      <c r="P47" s="164"/>
      <c r="Q47" s="164"/>
      <c r="R47" s="164"/>
      <c r="S47" s="164"/>
      <c r="T47" s="164"/>
      <c r="U47" s="164"/>
      <c r="V47" s="164"/>
      <c r="W47" s="164"/>
      <c r="X47" s="164"/>
      <c r="Y47" s="164"/>
      <c r="Z47" s="164"/>
    </row>
    <row r="48" spans="1:26" ht="15.75" thickBot="1">
      <c r="A48" s="160">
        <v>11939</v>
      </c>
      <c r="B48" s="160">
        <v>11948</v>
      </c>
      <c r="C48" s="164"/>
      <c r="D48" s="164"/>
      <c r="E48" s="164"/>
      <c r="F48" s="164"/>
      <c r="G48" s="164"/>
      <c r="H48" s="164"/>
      <c r="I48" s="164"/>
      <c r="J48" s="164"/>
      <c r="K48" s="164"/>
      <c r="L48" s="164"/>
      <c r="M48" s="164"/>
      <c r="N48" s="164"/>
      <c r="O48" s="164"/>
      <c r="P48" s="164"/>
      <c r="Q48" s="164"/>
      <c r="R48" s="164"/>
      <c r="S48" s="164"/>
      <c r="T48" s="164"/>
      <c r="U48" s="164"/>
      <c r="V48" s="164"/>
      <c r="W48" s="164"/>
      <c r="X48" s="164"/>
      <c r="Y48" s="164"/>
      <c r="Z48" s="164"/>
    </row>
    <row r="49" spans="1:26" ht="15.75" thickBot="1">
      <c r="A49" s="160">
        <v>11939</v>
      </c>
      <c r="B49" s="160">
        <v>11949</v>
      </c>
      <c r="C49" s="164"/>
      <c r="D49" s="164"/>
      <c r="E49" s="164"/>
      <c r="F49" s="164"/>
      <c r="G49" s="164"/>
      <c r="H49" s="164"/>
      <c r="I49" s="164"/>
      <c r="J49" s="164"/>
      <c r="K49" s="164"/>
      <c r="L49" s="164"/>
      <c r="M49" s="164"/>
      <c r="N49" s="164"/>
      <c r="O49" s="164"/>
      <c r="P49" s="164"/>
      <c r="Q49" s="164"/>
      <c r="R49" s="164"/>
      <c r="S49" s="164"/>
      <c r="T49" s="164"/>
      <c r="U49" s="164"/>
      <c r="V49" s="164"/>
      <c r="W49" s="164"/>
      <c r="X49" s="164"/>
      <c r="Y49" s="164"/>
      <c r="Z49" s="164"/>
    </row>
    <row r="50" spans="1:26" ht="15.75" thickBot="1">
      <c r="A50" s="160">
        <v>11939</v>
      </c>
      <c r="B50" s="160">
        <v>11950</v>
      </c>
      <c r="C50" s="164"/>
      <c r="D50" s="164"/>
      <c r="E50" s="164"/>
      <c r="F50" s="164"/>
      <c r="G50" s="164"/>
      <c r="H50" s="164"/>
      <c r="I50" s="164"/>
      <c r="J50" s="164"/>
      <c r="K50" s="164"/>
      <c r="L50" s="164"/>
      <c r="M50" s="164"/>
      <c r="N50" s="164"/>
      <c r="O50" s="164"/>
      <c r="P50" s="164"/>
      <c r="Q50" s="164"/>
      <c r="R50" s="164"/>
      <c r="S50" s="164"/>
      <c r="T50" s="164"/>
      <c r="U50" s="164"/>
      <c r="V50" s="164"/>
      <c r="W50" s="164"/>
      <c r="X50" s="164"/>
      <c r="Y50" s="164"/>
      <c r="Z50" s="164"/>
    </row>
  </sheetData>
  <sheetProtection formatColumns="0"/>
  <customSheetViews>
    <customSheetView guid="{AE318230-F718-49FC-82EB-7CAC3DCD05F1}" showGridLines="0" hiddenRows="1">
      <selection activeCell="E26" sqref="E26"/>
      <pageMargins left="0.7" right="0.7" top="0.75" bottom="0.75" header="0.3" footer="0.3"/>
    </customSheetView>
  </customSheetViews>
  <dataValidations count="3">
    <dataValidation type="list" allowBlank="1" showInputMessage="1" showErrorMessage="1" sqref="C2:C3 C10 C5:C7 C13 C15" xr:uid="{00000000-0002-0000-0300-000000000000}">
      <formula1>Stock_Exchange_Gov_Bonds</formula1>
    </dataValidation>
    <dataValidation type="list" allowBlank="1" showInputMessage="1" showErrorMessage="1" sqref="E2:E3 E10 E5:E7 E13 E15" xr:uid="{00000000-0002-0000-0300-000001000000}">
      <formula1>Rating_Agency</formula1>
    </dataValidation>
    <dataValidation type="list" allowBlank="1" showInputMessage="1" showErrorMessage="1" sqref="Q2:Q3 Q10 Q5:Q7 Q13 Q15" xr:uid="{00000000-0002-0000-0300-000002000000}">
      <formula1>In_the_books</formula1>
    </dataValidation>
  </dataValidations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/>
  <dimension ref="A1:AJ1048572"/>
  <sheetViews>
    <sheetView rightToLeft="1" workbookViewId="0">
      <selection activeCell="G34" sqref="G34"/>
    </sheetView>
  </sheetViews>
  <sheetFormatPr defaultColWidth="11.5703125" defaultRowHeight="14.25"/>
  <cols>
    <col min="1" max="3" width="11.5703125" style="4"/>
    <col min="4" max="6" width="11.5703125" style="4" customWidth="1"/>
    <col min="7" max="9" width="11.5703125" style="4"/>
    <col min="10" max="11" width="11.5703125" style="4" customWidth="1"/>
    <col min="12" max="30" width="11.5703125" style="4"/>
    <col min="31" max="31" width="11.5703125" style="4" customWidth="1"/>
    <col min="32" max="16384" width="11.5703125" style="4"/>
  </cols>
  <sheetData>
    <row r="1" spans="1:36" ht="66.75" customHeight="1">
      <c r="A1" s="21" t="s">
        <v>667</v>
      </c>
      <c r="B1" s="21" t="s">
        <v>0</v>
      </c>
      <c r="C1" s="21" t="s">
        <v>740</v>
      </c>
      <c r="D1" s="21" t="s">
        <v>2</v>
      </c>
      <c r="E1" s="21" t="s">
        <v>756</v>
      </c>
      <c r="F1" s="21" t="s">
        <v>1163</v>
      </c>
      <c r="G1" s="21" t="s">
        <v>29</v>
      </c>
      <c r="H1" s="21" t="s">
        <v>28</v>
      </c>
      <c r="I1" s="21" t="s">
        <v>1</v>
      </c>
      <c r="J1" s="21" t="s">
        <v>620</v>
      </c>
      <c r="K1" s="21" t="s">
        <v>621</v>
      </c>
      <c r="L1" s="21" t="s">
        <v>5</v>
      </c>
      <c r="M1" s="21" t="s">
        <v>9</v>
      </c>
      <c r="N1" s="21" t="s">
        <v>622</v>
      </c>
      <c r="O1" s="21" t="s">
        <v>6</v>
      </c>
      <c r="P1" s="21" t="s">
        <v>8</v>
      </c>
      <c r="Q1" s="21" t="s">
        <v>1164</v>
      </c>
      <c r="R1" s="21" t="s">
        <v>396</v>
      </c>
      <c r="S1" s="21" t="s">
        <v>13</v>
      </c>
      <c r="T1" s="21" t="s">
        <v>309</v>
      </c>
      <c r="U1" s="21" t="s">
        <v>421</v>
      </c>
      <c r="V1" s="21" t="s">
        <v>14</v>
      </c>
      <c r="W1" s="21" t="s">
        <v>637</v>
      </c>
      <c r="X1" s="21" t="s">
        <v>942</v>
      </c>
      <c r="Y1" s="21" t="s">
        <v>685</v>
      </c>
      <c r="Z1" s="21" t="s">
        <v>789</v>
      </c>
      <c r="AA1" s="21" t="s">
        <v>11</v>
      </c>
      <c r="AB1" s="21" t="s">
        <v>15</v>
      </c>
      <c r="AC1" s="21" t="s">
        <v>955</v>
      </c>
      <c r="AD1" s="21" t="s">
        <v>1171</v>
      </c>
      <c r="AE1" s="21" t="s">
        <v>1172</v>
      </c>
      <c r="AF1" s="21" t="s">
        <v>804</v>
      </c>
      <c r="AG1" s="21" t="s">
        <v>26</v>
      </c>
      <c r="AH1" s="21" t="s">
        <v>18</v>
      </c>
      <c r="AI1" s="21" t="s">
        <v>19</v>
      </c>
      <c r="AJ1" s="21" t="s">
        <v>30</v>
      </c>
    </row>
    <row r="2" spans="1:36" ht="15.75" thickBot="1">
      <c r="A2" s="160">
        <v>7891</v>
      </c>
      <c r="B2" s="160">
        <v>7892</v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/>
      <c r="P2" s="20"/>
      <c r="Q2" s="20"/>
      <c r="R2" s="20"/>
      <c r="S2" s="20"/>
      <c r="T2" s="22"/>
      <c r="U2" s="20"/>
      <c r="V2" s="20"/>
      <c r="X2" s="20"/>
      <c r="Y2" s="33"/>
      <c r="Z2" s="20"/>
      <c r="AA2" s="20"/>
      <c r="AB2" s="20"/>
      <c r="AC2" s="20"/>
      <c r="AD2" s="20"/>
      <c r="AE2" s="20"/>
      <c r="AF2"/>
      <c r="AG2" s="20"/>
    </row>
    <row r="3" spans="1:36" ht="15.75" thickBot="1">
      <c r="A3" s="160">
        <v>7891</v>
      </c>
      <c r="B3" s="160">
        <v>7893</v>
      </c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/>
      <c r="P3" s="20"/>
      <c r="Q3" s="20"/>
      <c r="R3" s="20"/>
      <c r="S3" s="20"/>
      <c r="T3" s="22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G3" s="20"/>
    </row>
    <row r="4" spans="1:36" ht="15.75" thickBot="1">
      <c r="A4" s="160">
        <v>7891</v>
      </c>
      <c r="B4" s="160">
        <v>7894</v>
      </c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/>
      <c r="P4" s="20"/>
      <c r="Q4" s="20"/>
      <c r="R4" s="20"/>
      <c r="S4" s="20"/>
      <c r="T4" s="22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G4" s="20"/>
    </row>
    <row r="5" spans="1:36" ht="15.75" thickBot="1">
      <c r="A5" s="160">
        <v>7891</v>
      </c>
      <c r="B5" s="160">
        <v>7895</v>
      </c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/>
      <c r="P5" s="20"/>
      <c r="Q5" s="20"/>
      <c r="R5" s="20"/>
      <c r="S5" s="20"/>
      <c r="T5" s="22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G5" s="20"/>
    </row>
    <row r="6" spans="1:36" ht="15.75" thickBot="1">
      <c r="A6" s="160">
        <v>7891</v>
      </c>
      <c r="B6" s="160">
        <v>7896</v>
      </c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/>
      <c r="P6" s="20"/>
      <c r="Q6" s="20"/>
      <c r="R6" s="20"/>
      <c r="S6" s="20"/>
      <c r="T6" s="22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G6" s="20"/>
    </row>
    <row r="7" spans="1:36" ht="15.75" thickBot="1">
      <c r="A7" s="160">
        <v>7891</v>
      </c>
      <c r="B7" s="160">
        <v>7897</v>
      </c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/>
      <c r="P7" s="20"/>
      <c r="Q7" s="20"/>
      <c r="R7" s="20"/>
      <c r="S7" s="20"/>
      <c r="T7" s="22"/>
      <c r="U7" s="20"/>
      <c r="V7" s="20"/>
      <c r="W7" s="20"/>
      <c r="X7" s="20"/>
      <c r="Y7" s="20"/>
      <c r="Z7" s="20"/>
      <c r="AA7" s="20"/>
      <c r="AB7" s="20"/>
      <c r="AC7" s="20"/>
      <c r="AD7" s="20"/>
      <c r="AE7" s="20"/>
      <c r="AG7"/>
    </row>
    <row r="8" spans="1:36" ht="15.75" thickBot="1">
      <c r="A8" s="160">
        <v>7891</v>
      </c>
      <c r="B8" s="160">
        <v>7898</v>
      </c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/>
      <c r="P8" s="20"/>
      <c r="Q8" s="20"/>
      <c r="R8" s="20"/>
      <c r="S8" s="20"/>
      <c r="T8" s="22"/>
      <c r="U8" s="20"/>
      <c r="V8" s="20"/>
      <c r="W8" s="20"/>
      <c r="X8" s="20"/>
      <c r="Y8" s="20"/>
      <c r="Z8" s="20"/>
      <c r="AB8"/>
      <c r="AC8"/>
      <c r="AG8"/>
    </row>
    <row r="9" spans="1:36" ht="15.75" thickBot="1">
      <c r="A9" s="160">
        <v>7891</v>
      </c>
      <c r="B9" s="160">
        <v>7899</v>
      </c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/>
      <c r="P9" s="20"/>
      <c r="Q9" s="20"/>
      <c r="R9" s="20"/>
      <c r="S9" s="20"/>
      <c r="T9" s="22"/>
      <c r="U9" s="20"/>
      <c r="V9" s="20"/>
      <c r="W9" s="20"/>
      <c r="X9" s="20"/>
      <c r="Y9" s="20"/>
      <c r="Z9" s="20"/>
      <c r="AB9" s="22"/>
      <c r="AC9" s="22"/>
      <c r="AD9" s="29"/>
      <c r="AG9" s="20"/>
    </row>
    <row r="10" spans="1:36" ht="15.75" thickBot="1">
      <c r="A10" s="160">
        <v>7891</v>
      </c>
      <c r="B10" s="160">
        <v>7900</v>
      </c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/>
      <c r="P10" s="20"/>
      <c r="Q10" s="20"/>
      <c r="R10" s="20"/>
      <c r="S10" s="20"/>
      <c r="T10" s="22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G10" s="20"/>
    </row>
    <row r="11" spans="1:36" ht="15.75" thickBot="1">
      <c r="A11" s="160">
        <v>7891</v>
      </c>
      <c r="B11" s="160">
        <v>7901</v>
      </c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/>
      <c r="P11" s="20"/>
      <c r="Q11" s="20"/>
      <c r="R11" s="20"/>
      <c r="S11" s="20"/>
      <c r="T11" s="22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G11" s="20"/>
    </row>
    <row r="12" spans="1:36" ht="15.75" thickBot="1">
      <c r="A12" s="160">
        <v>7891</v>
      </c>
      <c r="B12" s="160">
        <v>7902</v>
      </c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/>
      <c r="P12" s="20"/>
      <c r="Q12" s="20"/>
      <c r="R12" s="20"/>
      <c r="S12" s="20"/>
      <c r="T12" s="22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G12" s="20"/>
    </row>
    <row r="13" spans="1:36" ht="15.75" thickBot="1">
      <c r="A13" s="160">
        <v>11925</v>
      </c>
      <c r="B13" s="160">
        <v>11926</v>
      </c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/>
      <c r="P13" s="20"/>
      <c r="Q13" s="20"/>
      <c r="R13" s="20"/>
      <c r="S13" s="20"/>
      <c r="T13" s="22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G13" s="20"/>
    </row>
    <row r="14" spans="1:36" ht="15.75" thickBot="1">
      <c r="A14" s="160">
        <v>11925</v>
      </c>
      <c r="B14" s="160">
        <v>11927</v>
      </c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/>
      <c r="P14" s="20"/>
      <c r="Q14" s="20"/>
      <c r="R14" s="20"/>
      <c r="S14" s="20"/>
      <c r="T14" s="22"/>
      <c r="U14" s="20"/>
      <c r="V14" s="20"/>
      <c r="W14" s="20"/>
      <c r="X14" s="20"/>
      <c r="Y14" s="20"/>
      <c r="Z14" s="20"/>
      <c r="AA14" s="20"/>
      <c r="AB14" s="20"/>
      <c r="AC14" s="20"/>
      <c r="AD14" s="20"/>
      <c r="AE14" s="20"/>
      <c r="AG14" s="20"/>
    </row>
    <row r="15" spans="1:36" ht="15.75" thickBot="1">
      <c r="A15" s="160">
        <v>11925</v>
      </c>
      <c r="B15" s="160">
        <v>11928</v>
      </c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/>
      <c r="P15" s="20"/>
      <c r="Q15" s="20"/>
      <c r="R15" s="20"/>
      <c r="S15" s="20"/>
      <c r="T15" s="22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G15" s="20"/>
    </row>
    <row r="16" spans="1:36" ht="15.75" thickBot="1">
      <c r="A16" s="160">
        <v>11925</v>
      </c>
      <c r="B16" s="160">
        <v>11929</v>
      </c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/>
      <c r="P16" s="20"/>
      <c r="Q16" s="20"/>
      <c r="R16" s="20"/>
      <c r="S16" s="20"/>
      <c r="T16" s="22"/>
      <c r="U16" s="20"/>
      <c r="V16" s="20"/>
      <c r="W16" s="20"/>
      <c r="X16" s="20"/>
      <c r="Y16" s="20"/>
      <c r="Z16" s="20"/>
      <c r="AA16" s="20"/>
      <c r="AB16" s="20"/>
      <c r="AC16" s="20"/>
      <c r="AD16" s="20"/>
      <c r="AE16" s="20"/>
      <c r="AG16" s="20"/>
    </row>
    <row r="17" spans="1:33" ht="15.75" thickBot="1">
      <c r="A17" s="160">
        <v>11925</v>
      </c>
      <c r="B17" s="160">
        <v>11930</v>
      </c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/>
      <c r="P17" s="20"/>
      <c r="Q17" s="20"/>
      <c r="R17" s="20"/>
      <c r="S17" s="20"/>
      <c r="T17" s="22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0"/>
      <c r="AG17" s="20"/>
    </row>
    <row r="18" spans="1:33" ht="15.75" thickBot="1">
      <c r="A18" s="160">
        <v>11925</v>
      </c>
      <c r="B18" s="160">
        <v>11931</v>
      </c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/>
      <c r="P18" s="20"/>
      <c r="Q18" s="20"/>
      <c r="R18" s="20"/>
      <c r="S18" s="20"/>
      <c r="T18" s="22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G18" s="20"/>
    </row>
    <row r="19" spans="1:33" ht="15.75" thickBot="1">
      <c r="A19" s="160">
        <v>11925</v>
      </c>
      <c r="B19" s="160">
        <v>11932</v>
      </c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/>
      <c r="P19" s="20"/>
      <c r="Q19" s="20"/>
      <c r="R19" s="20"/>
      <c r="S19" s="20"/>
      <c r="T19" s="22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G19" s="20"/>
    </row>
    <row r="20" spans="1:33" ht="15.75" thickBot="1">
      <c r="A20" s="160">
        <v>11925</v>
      </c>
      <c r="B20" s="160">
        <v>11933</v>
      </c>
      <c r="E20" s="20"/>
      <c r="H20" s="20"/>
      <c r="I20" s="20"/>
      <c r="J20" s="20"/>
      <c r="K20" s="20"/>
      <c r="L20" s="20"/>
      <c r="M20" s="20"/>
      <c r="N20" s="20"/>
      <c r="O20"/>
      <c r="P20" s="20"/>
      <c r="Q20" s="20"/>
      <c r="T20" s="22"/>
      <c r="X20" s="20"/>
      <c r="Y20" s="20"/>
      <c r="AG20" s="20"/>
    </row>
    <row r="21" spans="1:33" s="47" customFormat="1" ht="15.75" thickBot="1">
      <c r="A21" s="160">
        <v>11925</v>
      </c>
      <c r="B21" s="160">
        <v>11934</v>
      </c>
      <c r="T21" s="44"/>
      <c r="AG21" s="4"/>
    </row>
    <row r="22" spans="1:33" ht="15.75" thickBot="1">
      <c r="A22" s="160">
        <v>11925</v>
      </c>
      <c r="B22" s="160">
        <v>11935</v>
      </c>
      <c r="T22" s="2"/>
    </row>
    <row r="23" spans="1:33" ht="15.75" thickBot="1">
      <c r="A23" s="160">
        <v>11925</v>
      </c>
      <c r="B23" s="160">
        <v>11936</v>
      </c>
      <c r="T23" s="2"/>
    </row>
    <row r="24" spans="1:33" ht="15.75" thickBot="1">
      <c r="A24" s="160">
        <v>11925</v>
      </c>
      <c r="B24" s="160">
        <v>11937</v>
      </c>
      <c r="T24" s="2"/>
    </row>
    <row r="25" spans="1:33" ht="15.75" thickBot="1">
      <c r="A25" s="160">
        <v>11939</v>
      </c>
      <c r="B25" s="160">
        <v>11942</v>
      </c>
      <c r="T25"/>
    </row>
    <row r="26" spans="1:33" ht="15" thickBot="1">
      <c r="A26" s="160">
        <v>11939</v>
      </c>
      <c r="B26" s="160">
        <v>11943</v>
      </c>
    </row>
    <row r="27" spans="1:33" ht="15" thickBot="1">
      <c r="A27" s="160">
        <v>11939</v>
      </c>
      <c r="B27" s="160">
        <v>11944</v>
      </c>
    </row>
    <row r="28" spans="1:33" ht="15" thickBot="1">
      <c r="A28" s="160">
        <v>11939</v>
      </c>
      <c r="B28" s="160">
        <v>11945</v>
      </c>
    </row>
    <row r="29" spans="1:33" ht="15" thickBot="1">
      <c r="A29" s="160">
        <v>11939</v>
      </c>
      <c r="B29" s="160">
        <v>11946</v>
      </c>
    </row>
    <row r="30" spans="1:33" ht="15" thickBot="1">
      <c r="A30" s="160">
        <v>11939</v>
      </c>
      <c r="B30" s="160">
        <v>11947</v>
      </c>
    </row>
    <row r="31" spans="1:33" ht="15" thickBot="1">
      <c r="A31" s="160">
        <v>11939</v>
      </c>
      <c r="B31" s="160">
        <v>11948</v>
      </c>
    </row>
    <row r="32" spans="1:33" ht="15" thickBot="1">
      <c r="A32" s="160">
        <v>11939</v>
      </c>
      <c r="B32" s="160">
        <v>11949</v>
      </c>
    </row>
    <row r="33" spans="1:2" ht="15" thickBot="1">
      <c r="A33" s="160">
        <v>11939</v>
      </c>
      <c r="B33" s="160">
        <v>11950</v>
      </c>
    </row>
    <row r="34" spans="1:2" ht="15" thickBot="1">
      <c r="A34" s="160">
        <v>11939</v>
      </c>
      <c r="B34" s="160">
        <v>11979</v>
      </c>
    </row>
    <row r="35" spans="1:2" ht="15" thickBot="1">
      <c r="A35" s="160">
        <v>11939</v>
      </c>
      <c r="B35" s="160">
        <v>11980</v>
      </c>
    </row>
    <row r="36" spans="1:2" ht="15" thickBot="1">
      <c r="A36" s="160">
        <v>11939</v>
      </c>
      <c r="B36" s="160">
        <v>11981</v>
      </c>
    </row>
    <row r="37" spans="1:2" ht="15" thickBot="1">
      <c r="A37" s="160">
        <v>11342</v>
      </c>
      <c r="B37" s="160">
        <v>11343</v>
      </c>
    </row>
    <row r="38" spans="1:2" ht="15" thickBot="1">
      <c r="A38" s="160">
        <v>11342</v>
      </c>
      <c r="B38" s="160">
        <v>11344</v>
      </c>
    </row>
    <row r="39" spans="1:2" ht="15" thickBot="1">
      <c r="A39" s="160">
        <v>11342</v>
      </c>
      <c r="B39" s="160">
        <v>11345</v>
      </c>
    </row>
    <row r="1048572" spans="12:14">
      <c r="L1048572" s="8"/>
      <c r="N1048572" s="7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paperSize="9" orientation="portrait" verticalDpi="0" r:id="rId1"/>
    </customSheetView>
  </customSheetViews>
  <dataValidations count="15">
    <dataValidation type="list" allowBlank="1" showInputMessage="1" showErrorMessage="1" sqref="L1048572:L1048576" xr:uid="{00000000-0002-0000-0400-000000000000}">
      <formula1>Stock_Exchange_Gov_Bonds</formula1>
    </dataValidation>
    <dataValidation type="list" allowBlank="1" showInputMessage="1" showErrorMessage="1" sqref="J2:J20" xr:uid="{00000000-0002-0000-0400-000001000000}">
      <formula1>israel_abroad</formula1>
    </dataValidation>
    <dataValidation type="list" allowBlank="1" showInputMessage="1" showErrorMessage="1" sqref="N1048572:N1048576 N2:N20" xr:uid="{00000000-0002-0000-0400-000002000000}">
      <formula1>Holding_interest</formula1>
    </dataValidation>
    <dataValidation type="list" allowBlank="1" showInputMessage="1" showErrorMessage="1" sqref="P2:P20" xr:uid="{00000000-0002-0000-0400-000003000000}">
      <formula1>Rating_Agency</formula1>
    </dataValidation>
    <dataValidation type="list" allowBlank="1" showInputMessage="1" showErrorMessage="1" sqref="Q2:Q20" xr:uid="{00000000-0002-0000-0400-000004000000}">
      <formula1>What_is_rated</formula1>
    </dataValidation>
    <dataValidation type="list" allowBlank="1" showInputMessage="1" showErrorMessage="1" sqref="AG9:AG20 AG2:AG6" xr:uid="{00000000-0002-0000-0400-000005000000}">
      <formula1>In_the_books</formula1>
    </dataValidation>
    <dataValidation type="list" allowBlank="1" showInputMessage="1" showErrorMessage="1" sqref="K2:K20" xr:uid="{00000000-0002-0000-0400-000006000000}">
      <formula1>Country_list</formula1>
    </dataValidation>
    <dataValidation type="list" allowBlank="1" showInputMessage="1" showErrorMessage="1" sqref="T2:T20" xr:uid="{00000000-0002-0000-0400-000007000000}">
      <formula1>Underlying_Interest_Rates</formula1>
    </dataValidation>
    <dataValidation type="list" allowBlank="1" showInputMessage="1" showErrorMessage="1" sqref="Y2:Y20" xr:uid="{00000000-0002-0000-0400-000008000000}">
      <formula1>Yes_No_Bad_Debt</formula1>
    </dataValidation>
    <dataValidation type="list" allowBlank="1" showInputMessage="1" showErrorMessage="1" sqref="X2:X20" xr:uid="{00000000-0002-0000-0400-000009000000}">
      <formula1>Subordination_Risk</formula1>
    </dataValidation>
    <dataValidation type="list" allowBlank="1" showInputMessage="1" showErrorMessage="1" sqref="E2:E20" xr:uid="{00000000-0002-0000-0400-00000A000000}">
      <formula1>Issuer_Number_Type_2</formula1>
    </dataValidation>
    <dataValidation type="list" allowBlank="1" showInputMessage="1" showErrorMessage="1" sqref="H3:H20" xr:uid="{00000000-0002-0000-0400-00000B000000}">
      <formula1>Type_of_Security_ID_Fund</formula1>
    </dataValidation>
    <dataValidation type="list" allowBlank="1" showInputMessage="1" showErrorMessage="1" sqref="H2" xr:uid="{00000000-0002-0000-0400-00000C000000}">
      <formula1>Security_ID_Number_Type</formula1>
    </dataValidation>
    <dataValidation type="list" allowBlank="1" showInputMessage="1" showErrorMessage="1" sqref="M2:M20" xr:uid="{00000000-0002-0000-0400-00000D000000}">
      <formula1>Industry_Sector</formula1>
    </dataValidation>
    <dataValidation type="list" allowBlank="1" showInputMessage="1" showErrorMessage="1" sqref="L2:L20" xr:uid="{00000000-0002-0000-0400-00000E000000}">
      <formula1>Stock_Exchange</formula1>
    </dataValidation>
  </dataValidations>
  <pageMargins left="0.7" right="0.7" top="0.75" bottom="0.75" header="0.3" footer="0.3"/>
  <pageSetup paperSize="9" orientation="portrait"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F000000}">
          <x14:formula1>
            <xm:f>'אפשרויות בחירה'!$C$870:$C$873</xm:f>
          </x14:formula1>
          <xm:sqref>I2:I20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7"/>
  <dimension ref="A1:AJ39"/>
  <sheetViews>
    <sheetView rightToLeft="1" workbookViewId="0">
      <selection activeCell="J17" sqref="J17"/>
    </sheetView>
  </sheetViews>
  <sheetFormatPr defaultColWidth="11.5703125" defaultRowHeight="15"/>
  <cols>
    <col min="1" max="4" width="11.5703125" style="2"/>
    <col min="5" max="5" width="11.5703125" style="4" customWidth="1"/>
    <col min="6" max="8" width="11.5703125" style="2"/>
    <col min="9" max="10" width="11.5703125" style="2" customWidth="1"/>
    <col min="11" max="11" width="26.42578125" style="2" customWidth="1"/>
    <col min="12" max="23" width="11.5703125" style="2"/>
    <col min="24" max="25" width="11.5703125" style="4"/>
    <col min="26" max="16384" width="11.5703125" style="2"/>
  </cols>
  <sheetData>
    <row r="1" spans="1:36" ht="66.75" customHeight="1">
      <c r="A1" s="21" t="s">
        <v>667</v>
      </c>
      <c r="B1" s="21" t="s">
        <v>0</v>
      </c>
      <c r="C1" s="21" t="s">
        <v>740</v>
      </c>
      <c r="D1" s="21" t="s">
        <v>2</v>
      </c>
      <c r="E1" s="21" t="s">
        <v>756</v>
      </c>
      <c r="F1" s="21" t="s">
        <v>1163</v>
      </c>
      <c r="G1" s="21" t="s">
        <v>29</v>
      </c>
      <c r="H1" s="21" t="s">
        <v>28</v>
      </c>
      <c r="I1" s="21" t="s">
        <v>1</v>
      </c>
      <c r="J1" s="21" t="s">
        <v>620</v>
      </c>
      <c r="K1" s="21" t="s">
        <v>621</v>
      </c>
      <c r="L1" s="21" t="s">
        <v>625</v>
      </c>
      <c r="M1" s="21" t="s">
        <v>5</v>
      </c>
      <c r="N1" s="21" t="s">
        <v>9</v>
      </c>
      <c r="O1" s="21" t="s">
        <v>622</v>
      </c>
      <c r="P1" s="21" t="s">
        <v>6</v>
      </c>
      <c r="Q1" s="21" t="s">
        <v>8</v>
      </c>
      <c r="R1" s="21" t="s">
        <v>1164</v>
      </c>
      <c r="S1" s="21" t="s">
        <v>396</v>
      </c>
      <c r="T1" s="21" t="s">
        <v>13</v>
      </c>
      <c r="U1" s="21" t="s">
        <v>421</v>
      </c>
      <c r="V1" s="21" t="s">
        <v>14</v>
      </c>
      <c r="W1" s="21" t="s">
        <v>637</v>
      </c>
      <c r="X1" s="21" t="s">
        <v>942</v>
      </c>
      <c r="Y1" s="21" t="s">
        <v>685</v>
      </c>
      <c r="Z1" s="21" t="s">
        <v>789</v>
      </c>
      <c r="AA1" s="21" t="s">
        <v>11</v>
      </c>
      <c r="AB1" s="21" t="s">
        <v>15</v>
      </c>
      <c r="AC1" s="21" t="s">
        <v>955</v>
      </c>
      <c r="AD1" s="21" t="s">
        <v>1171</v>
      </c>
      <c r="AE1" s="21" t="s">
        <v>1172</v>
      </c>
      <c r="AF1" s="21" t="s">
        <v>804</v>
      </c>
      <c r="AG1" s="21" t="s">
        <v>26</v>
      </c>
      <c r="AH1" s="21" t="s">
        <v>18</v>
      </c>
      <c r="AI1" s="21" t="s">
        <v>19</v>
      </c>
      <c r="AJ1" s="21" t="s">
        <v>30</v>
      </c>
    </row>
    <row r="2" spans="1:36" ht="15.75" thickBot="1">
      <c r="A2" s="160">
        <v>7891</v>
      </c>
      <c r="B2" s="160">
        <v>7892</v>
      </c>
      <c r="C2" s="22"/>
      <c r="D2" s="22"/>
      <c r="E2" s="20"/>
      <c r="F2" s="22"/>
      <c r="G2" s="22"/>
      <c r="H2" s="20"/>
      <c r="I2" s="42"/>
      <c r="J2" s="20"/>
      <c r="K2" s="20"/>
      <c r="L2" s="22"/>
      <c r="M2" s="20"/>
      <c r="N2" s="22"/>
      <c r="O2" s="22"/>
      <c r="P2" s="22"/>
      <c r="Q2" s="22"/>
      <c r="R2" s="22"/>
      <c r="S2" s="20"/>
      <c r="T2" s="22"/>
      <c r="U2" s="22"/>
      <c r="V2" s="22"/>
      <c r="W2" s="22"/>
      <c r="X2" s="20"/>
      <c r="Y2" s="33"/>
      <c r="Z2" s="22"/>
      <c r="AA2" s="22"/>
      <c r="AB2" s="22"/>
      <c r="AC2" s="22"/>
      <c r="AD2" s="22"/>
      <c r="AE2" s="22"/>
      <c r="AF2" s="42"/>
      <c r="AG2" s="20"/>
    </row>
    <row r="3" spans="1:36" ht="15.75" thickBot="1">
      <c r="A3" s="160">
        <v>7891</v>
      </c>
      <c r="B3" s="160">
        <v>7893</v>
      </c>
      <c r="C3" s="22"/>
      <c r="D3" s="22"/>
      <c r="E3" s="20"/>
      <c r="F3" s="22"/>
      <c r="G3" s="22"/>
      <c r="H3" s="20"/>
      <c r="I3" s="23"/>
      <c r="J3" s="20"/>
      <c r="K3" s="20"/>
      <c r="L3" s="22"/>
      <c r="M3" s="20"/>
      <c r="N3" s="22"/>
      <c r="O3" s="22"/>
      <c r="P3" s="22"/>
      <c r="Q3" s="22"/>
      <c r="R3" s="22"/>
      <c r="S3" s="20"/>
      <c r="T3" s="22"/>
      <c r="U3" s="22"/>
      <c r="V3" s="22"/>
      <c r="W3" s="22"/>
      <c r="X3" s="20"/>
      <c r="Y3" s="20"/>
      <c r="Z3" s="22"/>
      <c r="AA3" s="22"/>
      <c r="AB3" s="22"/>
      <c r="AC3" s="22"/>
      <c r="AD3" s="22"/>
      <c r="AE3" s="22"/>
      <c r="AG3" s="20"/>
    </row>
    <row r="4" spans="1:36" ht="15.75" thickBot="1">
      <c r="A4" s="160">
        <v>7891</v>
      </c>
      <c r="B4" s="160">
        <v>7894</v>
      </c>
      <c r="C4" s="22"/>
      <c r="D4" s="22"/>
      <c r="E4" s="20"/>
      <c r="F4" s="22"/>
      <c r="G4" s="22"/>
      <c r="H4" s="20"/>
      <c r="I4" s="23"/>
      <c r="J4" s="20"/>
      <c r="K4" s="20"/>
      <c r="L4" s="22"/>
      <c r="M4" s="20"/>
      <c r="N4" s="22"/>
      <c r="O4" s="22"/>
      <c r="P4" s="22"/>
      <c r="Q4" s="22"/>
      <c r="R4" s="22"/>
      <c r="S4" s="20"/>
      <c r="T4" s="22"/>
      <c r="U4" s="22"/>
      <c r="V4" s="22"/>
      <c r="W4" s="22"/>
      <c r="X4" s="20"/>
      <c r="Y4" s="20"/>
      <c r="Z4" s="22"/>
      <c r="AA4" s="22"/>
      <c r="AB4" s="22"/>
      <c r="AC4" s="22"/>
      <c r="AD4" s="22"/>
      <c r="AE4" s="22"/>
      <c r="AG4" s="20"/>
    </row>
    <row r="5" spans="1:36" ht="15.75" thickBot="1">
      <c r="A5" s="160">
        <v>7891</v>
      </c>
      <c r="B5" s="160">
        <v>7895</v>
      </c>
      <c r="C5" s="22"/>
      <c r="D5" s="22"/>
      <c r="E5" s="20"/>
      <c r="F5" s="22"/>
      <c r="G5" s="22"/>
      <c r="H5" s="20"/>
      <c r="I5" s="23"/>
      <c r="J5" s="20"/>
      <c r="K5" s="20"/>
      <c r="L5" s="22"/>
      <c r="M5" s="20"/>
      <c r="N5" s="22"/>
      <c r="O5" s="22"/>
      <c r="P5" s="22"/>
      <c r="Q5" s="22"/>
      <c r="R5" s="22"/>
      <c r="S5" s="20"/>
      <c r="T5" s="22"/>
      <c r="U5" s="22"/>
      <c r="V5" s="22"/>
      <c r="W5" s="22"/>
      <c r="X5" s="20"/>
      <c r="Y5" s="20"/>
      <c r="Z5" s="22"/>
      <c r="AA5" s="22"/>
      <c r="AB5" s="22"/>
      <c r="AC5" s="22"/>
      <c r="AD5" s="22"/>
      <c r="AE5" s="22"/>
      <c r="AG5" s="20"/>
    </row>
    <row r="6" spans="1:36" ht="15.75" thickBot="1">
      <c r="A6" s="160">
        <v>7891</v>
      </c>
      <c r="B6" s="160">
        <v>7896</v>
      </c>
      <c r="C6" s="22"/>
      <c r="D6" s="22"/>
      <c r="E6" s="20"/>
      <c r="F6" s="22"/>
      <c r="G6" s="22"/>
      <c r="H6" s="20"/>
      <c r="I6" s="23"/>
      <c r="J6" s="20"/>
      <c r="K6" s="20"/>
      <c r="L6" s="22"/>
      <c r="M6" s="20"/>
      <c r="N6" s="22"/>
      <c r="O6" s="22"/>
      <c r="P6" s="22"/>
      <c r="Q6" s="22"/>
      <c r="R6" s="22"/>
      <c r="S6" s="20"/>
      <c r="T6" s="22"/>
      <c r="U6" s="22"/>
      <c r="V6" s="22"/>
      <c r="W6" s="22"/>
      <c r="X6" s="20"/>
      <c r="Y6" s="20"/>
      <c r="AC6" s="22"/>
    </row>
    <row r="7" spans="1:36" ht="15.75" thickBot="1">
      <c r="A7" s="160">
        <v>7891</v>
      </c>
      <c r="B7" s="160">
        <v>7897</v>
      </c>
      <c r="C7" s="22"/>
      <c r="D7" s="22"/>
      <c r="E7" s="20"/>
      <c r="F7" s="22"/>
      <c r="G7" s="22"/>
      <c r="H7" s="20"/>
      <c r="I7" s="23"/>
      <c r="J7" s="20"/>
      <c r="K7" s="20"/>
      <c r="L7" s="22"/>
      <c r="M7" s="20"/>
      <c r="N7" s="22"/>
      <c r="O7" s="22"/>
      <c r="P7" s="22"/>
      <c r="Q7" s="22"/>
      <c r="R7" s="22"/>
      <c r="S7" s="20"/>
      <c r="T7" s="22"/>
      <c r="U7" s="22"/>
      <c r="V7" s="22"/>
      <c r="W7" s="22"/>
      <c r="X7" s="20"/>
      <c r="Y7" s="20"/>
      <c r="AC7" s="22"/>
    </row>
    <row r="8" spans="1:36" ht="15.75" thickBot="1">
      <c r="A8" s="160">
        <v>7891</v>
      </c>
      <c r="B8" s="160">
        <v>7898</v>
      </c>
      <c r="C8" s="22"/>
      <c r="D8" s="22"/>
      <c r="E8" s="20"/>
      <c r="F8" s="22"/>
      <c r="G8" s="22"/>
      <c r="H8" s="20"/>
      <c r="I8" s="23"/>
      <c r="J8" s="20"/>
      <c r="K8" s="20"/>
      <c r="L8" s="22"/>
      <c r="M8" s="20"/>
      <c r="N8" s="22"/>
      <c r="O8" s="22"/>
      <c r="P8" s="22"/>
      <c r="Q8" s="22"/>
      <c r="R8" s="22"/>
      <c r="S8" s="20"/>
      <c r="T8" s="22"/>
      <c r="U8" s="22"/>
      <c r="V8" s="22"/>
      <c r="W8" s="22"/>
      <c r="X8" s="20"/>
      <c r="Y8" s="20"/>
      <c r="Z8" s="22"/>
      <c r="AA8" s="22"/>
      <c r="AB8" s="22"/>
      <c r="AC8" s="22"/>
      <c r="AD8" s="22"/>
      <c r="AE8" s="22"/>
      <c r="AG8" s="20"/>
    </row>
    <row r="9" spans="1:36" ht="15.75" thickBot="1">
      <c r="A9" s="160">
        <v>7891</v>
      </c>
      <c r="B9" s="160">
        <v>7899</v>
      </c>
      <c r="C9" s="22"/>
      <c r="D9" s="22"/>
      <c r="E9" s="20"/>
      <c r="F9" s="22"/>
      <c r="G9" s="22"/>
      <c r="H9" s="20"/>
      <c r="I9" s="23"/>
      <c r="J9" s="20"/>
      <c r="K9" s="20"/>
      <c r="L9" s="22"/>
      <c r="M9" s="20"/>
      <c r="N9" s="22"/>
      <c r="O9" s="22"/>
      <c r="P9" s="22"/>
      <c r="Q9" s="22"/>
      <c r="R9" s="22"/>
      <c r="S9" s="20"/>
      <c r="T9" s="22"/>
      <c r="U9" s="22"/>
      <c r="V9" s="22"/>
      <c r="W9" s="22"/>
      <c r="X9" s="20"/>
      <c r="Y9" s="20"/>
      <c r="Z9" s="22"/>
      <c r="AA9" s="22"/>
      <c r="AB9" s="22"/>
      <c r="AC9" s="22"/>
      <c r="AD9" s="22"/>
      <c r="AE9" s="22"/>
      <c r="AG9" s="20"/>
    </row>
    <row r="10" spans="1:36" ht="15.75" thickBot="1">
      <c r="A10" s="160">
        <v>7891</v>
      </c>
      <c r="B10" s="160">
        <v>7900</v>
      </c>
      <c r="C10" s="22"/>
      <c r="D10" s="22"/>
      <c r="E10" s="20"/>
      <c r="F10" s="22"/>
      <c r="G10" s="22"/>
      <c r="H10" s="20"/>
      <c r="I10" s="23"/>
      <c r="J10" s="20"/>
      <c r="K10" s="20"/>
      <c r="L10" s="22"/>
      <c r="M10" s="20"/>
      <c r="N10" s="22"/>
      <c r="O10" s="22"/>
      <c r="P10" s="22"/>
      <c r="Q10" s="22"/>
      <c r="R10" s="22"/>
      <c r="S10" s="20"/>
      <c r="T10" s="22"/>
      <c r="U10" s="22"/>
      <c r="V10" s="22"/>
      <c r="W10" s="22"/>
      <c r="X10" s="20"/>
      <c r="Y10" s="20"/>
      <c r="Z10" s="22"/>
      <c r="AA10" s="22"/>
      <c r="AB10" s="22"/>
      <c r="AC10" s="22"/>
      <c r="AD10" s="22"/>
      <c r="AE10" s="22"/>
      <c r="AG10" s="20"/>
    </row>
    <row r="11" spans="1:36" ht="15.75" thickBot="1">
      <c r="A11" s="160">
        <v>7891</v>
      </c>
      <c r="B11" s="160">
        <v>7901</v>
      </c>
      <c r="C11" s="22"/>
      <c r="D11" s="22"/>
      <c r="E11" s="20"/>
      <c r="F11" s="22"/>
      <c r="G11" s="22"/>
      <c r="H11" s="20"/>
      <c r="I11" s="23"/>
      <c r="J11" s="20"/>
      <c r="K11" s="20"/>
      <c r="L11" s="22"/>
      <c r="M11" s="20"/>
      <c r="N11" s="22"/>
      <c r="O11" s="22"/>
      <c r="P11" s="22"/>
      <c r="Q11" s="22"/>
      <c r="R11" s="22"/>
      <c r="S11" s="20"/>
      <c r="T11" s="22"/>
      <c r="U11" s="22"/>
      <c r="V11" s="22"/>
      <c r="W11" s="22"/>
      <c r="X11" s="20"/>
      <c r="Y11" s="20"/>
      <c r="Z11" s="22"/>
      <c r="AA11" s="22"/>
      <c r="AB11" s="22"/>
      <c r="AC11" s="22"/>
      <c r="AD11" s="22"/>
      <c r="AE11" s="22"/>
      <c r="AG11" s="20"/>
    </row>
    <row r="12" spans="1:36" ht="15.75" thickBot="1">
      <c r="A12" s="160">
        <v>7891</v>
      </c>
      <c r="B12" s="160">
        <v>7902</v>
      </c>
      <c r="C12" s="22"/>
      <c r="D12" s="22"/>
      <c r="E12" s="20"/>
      <c r="F12" s="22"/>
      <c r="G12" s="22"/>
      <c r="H12" s="20"/>
      <c r="I12" s="23"/>
      <c r="J12" s="20"/>
      <c r="K12" s="20"/>
      <c r="L12" s="22"/>
      <c r="M12" s="20"/>
      <c r="N12" s="22"/>
      <c r="O12" s="22"/>
      <c r="P12" s="22"/>
      <c r="Q12" s="22"/>
      <c r="R12" s="22"/>
      <c r="S12" s="20"/>
      <c r="T12" s="22"/>
      <c r="U12" s="22"/>
      <c r="V12" s="22"/>
      <c r="W12" s="22"/>
      <c r="X12" s="20"/>
      <c r="Y12" s="20"/>
      <c r="Z12" s="22"/>
      <c r="AA12" s="22"/>
      <c r="AB12" s="22"/>
      <c r="AC12" s="22"/>
      <c r="AD12" s="22"/>
      <c r="AE12" s="22"/>
      <c r="AG12" s="20"/>
    </row>
    <row r="13" spans="1:36" ht="15.75" thickBot="1">
      <c r="A13" s="160">
        <v>11925</v>
      </c>
      <c r="B13" s="160">
        <v>11926</v>
      </c>
      <c r="C13" s="22"/>
      <c r="D13" s="22"/>
      <c r="E13" s="20"/>
      <c r="F13" s="22"/>
      <c r="G13" s="22"/>
      <c r="H13" s="20"/>
      <c r="I13" s="23"/>
      <c r="J13" s="20"/>
      <c r="K13" s="20"/>
      <c r="L13" s="22"/>
      <c r="M13" s="20"/>
      <c r="N13" s="22"/>
      <c r="O13" s="22"/>
      <c r="P13" s="22"/>
      <c r="Q13" s="22"/>
      <c r="R13" s="22"/>
      <c r="S13" s="20"/>
      <c r="T13" s="22"/>
      <c r="U13" s="22"/>
      <c r="V13" s="22"/>
      <c r="W13" s="22"/>
      <c r="X13" s="20"/>
      <c r="Y13" s="20"/>
      <c r="Z13" s="22"/>
      <c r="AA13" s="22"/>
      <c r="AB13" s="22"/>
      <c r="AC13" s="22"/>
      <c r="AD13" s="22"/>
      <c r="AE13" s="22"/>
      <c r="AG13" s="20"/>
    </row>
    <row r="14" spans="1:36" ht="15.75" thickBot="1">
      <c r="A14" s="160">
        <v>11925</v>
      </c>
      <c r="B14" s="160">
        <v>11927</v>
      </c>
      <c r="C14" s="22"/>
      <c r="D14" s="22"/>
      <c r="E14" s="20"/>
      <c r="F14" s="22"/>
      <c r="G14" s="22"/>
      <c r="H14" s="20"/>
      <c r="I14" s="23"/>
      <c r="J14" s="20"/>
      <c r="K14" s="20"/>
      <c r="L14" s="22"/>
      <c r="M14" s="20"/>
      <c r="N14" s="22"/>
      <c r="O14" s="22"/>
      <c r="P14" s="22"/>
      <c r="Q14" s="22"/>
      <c r="R14" s="22"/>
      <c r="S14" s="20"/>
      <c r="T14" s="22"/>
      <c r="U14" s="22"/>
      <c r="V14" s="22"/>
      <c r="W14" s="22"/>
      <c r="X14" s="20"/>
      <c r="Y14" s="20"/>
      <c r="Z14" s="22"/>
      <c r="AA14" s="22"/>
      <c r="AB14" s="22"/>
      <c r="AC14" s="22"/>
      <c r="AD14" s="22"/>
      <c r="AE14" s="22"/>
      <c r="AG14" s="20"/>
    </row>
    <row r="15" spans="1:36" ht="15.75" thickBot="1">
      <c r="A15" s="160">
        <v>11925</v>
      </c>
      <c r="B15" s="160">
        <v>11928</v>
      </c>
      <c r="C15" s="22"/>
      <c r="D15" s="22"/>
      <c r="E15" s="20"/>
      <c r="F15" s="22"/>
      <c r="G15" s="22"/>
      <c r="H15" s="20"/>
      <c r="I15" s="23"/>
      <c r="J15" s="20"/>
      <c r="K15" s="20"/>
      <c r="L15" s="22"/>
      <c r="M15" s="20"/>
      <c r="N15" s="22"/>
      <c r="O15" s="22"/>
      <c r="P15" s="22"/>
      <c r="Q15" s="22"/>
      <c r="R15" s="22"/>
      <c r="S15" s="20"/>
      <c r="T15" s="22"/>
      <c r="U15" s="22"/>
      <c r="V15" s="22"/>
      <c r="W15" s="22"/>
      <c r="X15" s="20"/>
      <c r="Y15" s="20"/>
      <c r="Z15" s="22"/>
      <c r="AA15" s="22"/>
      <c r="AB15" s="22"/>
      <c r="AC15" s="22"/>
      <c r="AD15" s="22"/>
      <c r="AE15" s="22"/>
      <c r="AG15" s="20"/>
    </row>
    <row r="16" spans="1:36" ht="15.75" thickBot="1">
      <c r="A16" s="160">
        <v>11925</v>
      </c>
      <c r="B16" s="160">
        <v>11929</v>
      </c>
      <c r="C16" s="22"/>
      <c r="D16" s="22"/>
      <c r="E16" s="20"/>
      <c r="F16" s="22"/>
      <c r="G16" s="22"/>
      <c r="H16" s="20"/>
      <c r="I16" s="23"/>
      <c r="J16" s="20"/>
      <c r="K16" s="20"/>
      <c r="L16" s="22"/>
      <c r="M16" s="20"/>
      <c r="N16" s="22"/>
      <c r="O16" s="22"/>
      <c r="P16" s="22"/>
      <c r="Q16" s="22"/>
      <c r="R16" s="22"/>
      <c r="S16" s="20"/>
      <c r="T16" s="22"/>
      <c r="U16" s="22"/>
      <c r="V16" s="22"/>
      <c r="W16" s="22"/>
      <c r="X16" s="20"/>
      <c r="Y16" s="20"/>
      <c r="Z16" s="22"/>
      <c r="AA16" s="22"/>
      <c r="AB16" s="22"/>
      <c r="AC16" s="22"/>
      <c r="AD16" s="22"/>
      <c r="AE16" s="22"/>
      <c r="AG16" s="20"/>
    </row>
    <row r="17" spans="1:33" ht="15.75" thickBot="1">
      <c r="A17" s="160">
        <v>11925</v>
      </c>
      <c r="B17" s="160">
        <v>11930</v>
      </c>
      <c r="C17" s="22"/>
      <c r="D17" s="22"/>
      <c r="E17" s="20"/>
      <c r="F17" s="22"/>
      <c r="G17" s="22"/>
      <c r="H17" s="20"/>
      <c r="I17" s="23"/>
      <c r="J17" s="20"/>
      <c r="K17" s="20"/>
      <c r="L17" s="22"/>
      <c r="M17" s="20"/>
      <c r="N17" s="22"/>
      <c r="O17" s="22"/>
      <c r="P17" s="22"/>
      <c r="Q17" s="22"/>
      <c r="R17" s="22"/>
      <c r="S17" s="20"/>
      <c r="T17" s="22"/>
      <c r="U17" s="22"/>
      <c r="V17" s="22"/>
      <c r="W17" s="22"/>
      <c r="X17" s="20"/>
      <c r="Y17" s="20"/>
      <c r="Z17" s="22"/>
      <c r="AA17" s="22"/>
      <c r="AB17" s="22"/>
      <c r="AC17" s="22"/>
      <c r="AD17" s="22"/>
      <c r="AE17" s="22"/>
      <c r="AG17" s="20"/>
    </row>
    <row r="18" spans="1:33" ht="15.75" thickBot="1">
      <c r="A18" s="160">
        <v>11925</v>
      </c>
      <c r="B18" s="160">
        <v>11931</v>
      </c>
      <c r="C18" s="22"/>
      <c r="D18" s="22"/>
      <c r="E18" s="20"/>
      <c r="F18" s="22"/>
      <c r="G18" s="22"/>
      <c r="H18" s="20"/>
      <c r="I18" s="23"/>
      <c r="J18" s="20"/>
      <c r="K18" s="20"/>
      <c r="L18" s="22"/>
      <c r="M18" s="20"/>
      <c r="N18" s="22"/>
      <c r="O18" s="22"/>
      <c r="P18" s="22"/>
      <c r="Q18" s="22"/>
      <c r="R18" s="22"/>
      <c r="S18" s="20"/>
      <c r="T18" s="22"/>
      <c r="U18" s="22"/>
      <c r="V18" s="22"/>
      <c r="W18" s="22"/>
      <c r="X18" s="20"/>
      <c r="Y18" s="20"/>
      <c r="Z18" s="22"/>
      <c r="AA18" s="22"/>
      <c r="AB18" s="22"/>
      <c r="AC18" s="22"/>
      <c r="AD18" s="22"/>
      <c r="AE18" s="22"/>
      <c r="AG18" s="20"/>
    </row>
    <row r="19" spans="1:33" ht="15.75" thickBot="1">
      <c r="A19" s="160">
        <v>11925</v>
      </c>
      <c r="B19" s="160">
        <v>11932</v>
      </c>
      <c r="C19" s="22"/>
      <c r="D19" s="22"/>
      <c r="E19" s="20"/>
      <c r="F19" s="22"/>
      <c r="G19" s="22"/>
      <c r="H19" s="20"/>
      <c r="I19" s="23"/>
      <c r="J19" s="20"/>
      <c r="K19" s="20"/>
      <c r="L19" s="22"/>
      <c r="M19" s="20"/>
      <c r="N19" s="22"/>
      <c r="O19" s="22"/>
      <c r="P19" s="22"/>
      <c r="Q19" s="22"/>
      <c r="R19" s="22"/>
      <c r="S19" s="20"/>
      <c r="T19" s="22"/>
      <c r="U19" s="22"/>
      <c r="V19" s="22"/>
      <c r="W19" s="22"/>
      <c r="X19" s="20"/>
      <c r="Y19" s="20"/>
      <c r="Z19" s="22"/>
      <c r="AA19" s="22"/>
      <c r="AB19" s="22"/>
      <c r="AC19" s="22"/>
      <c r="AD19" s="22"/>
      <c r="AE19" s="22"/>
      <c r="AG19" s="20"/>
    </row>
    <row r="20" spans="1:33" ht="15.75" thickBot="1">
      <c r="A20" s="160">
        <v>11925</v>
      </c>
      <c r="B20" s="160">
        <v>11933</v>
      </c>
      <c r="E20" s="20"/>
      <c r="H20" s="20"/>
      <c r="I20" s="23"/>
      <c r="J20" s="20"/>
      <c r="K20" s="20"/>
      <c r="L20" s="22"/>
      <c r="M20" s="20"/>
      <c r="N20" s="22"/>
      <c r="O20" s="22"/>
      <c r="Q20" s="22"/>
      <c r="R20" s="22"/>
      <c r="X20" s="20"/>
      <c r="Y20" s="20"/>
    </row>
    <row r="21" spans="1:33" s="44" customFormat="1" ht="15.75" thickBot="1">
      <c r="A21" s="160">
        <v>11925</v>
      </c>
      <c r="B21" s="160">
        <v>11934</v>
      </c>
      <c r="E21" s="47"/>
      <c r="H21" s="47"/>
      <c r="L21"/>
      <c r="M21" s="47"/>
      <c r="X21" s="47"/>
      <c r="Y21" s="47"/>
    </row>
    <row r="22" spans="1:33" ht="15.75" thickBot="1">
      <c r="A22" s="160">
        <v>11925</v>
      </c>
      <c r="B22" s="160">
        <v>11935</v>
      </c>
      <c r="H22" s="4"/>
      <c r="L22"/>
      <c r="M22" s="4"/>
    </row>
    <row r="23" spans="1:33" ht="15.75" thickBot="1">
      <c r="A23" s="160">
        <v>11925</v>
      </c>
      <c r="B23" s="160">
        <v>11936</v>
      </c>
      <c r="H23" s="4"/>
      <c r="L23"/>
    </row>
    <row r="24" spans="1:33" ht="15.75" thickBot="1">
      <c r="A24" s="160">
        <v>11925</v>
      </c>
      <c r="B24" s="160">
        <v>11937</v>
      </c>
      <c r="L24"/>
    </row>
    <row r="25" spans="1:33" ht="15.75" thickBot="1">
      <c r="A25" s="160">
        <v>11939</v>
      </c>
      <c r="B25" s="160">
        <v>11942</v>
      </c>
      <c r="L25"/>
    </row>
    <row r="26" spans="1:33" ht="15.75" thickBot="1">
      <c r="A26" s="160">
        <v>11939</v>
      </c>
      <c r="B26" s="160">
        <v>11943</v>
      </c>
    </row>
    <row r="27" spans="1:33" ht="15.75" thickBot="1">
      <c r="A27" s="160">
        <v>11939</v>
      </c>
      <c r="B27" s="160">
        <v>11944</v>
      </c>
    </row>
    <row r="28" spans="1:33" ht="15.75" thickBot="1">
      <c r="A28" s="160">
        <v>11939</v>
      </c>
      <c r="B28" s="160">
        <v>11945</v>
      </c>
    </row>
    <row r="29" spans="1:33" ht="15.75" thickBot="1">
      <c r="A29" s="160">
        <v>11939</v>
      </c>
      <c r="B29" s="160">
        <v>11946</v>
      </c>
    </row>
    <row r="30" spans="1:33" ht="15.75" thickBot="1">
      <c r="A30" s="160">
        <v>11939</v>
      </c>
      <c r="B30" s="160">
        <v>11947</v>
      </c>
    </row>
    <row r="31" spans="1:33" ht="15.75" thickBot="1">
      <c r="A31" s="160">
        <v>11939</v>
      </c>
      <c r="B31" s="160">
        <v>11948</v>
      </c>
    </row>
    <row r="32" spans="1:33" ht="15.75" thickBot="1">
      <c r="A32" s="160">
        <v>11939</v>
      </c>
      <c r="B32" s="160">
        <v>11949</v>
      </c>
    </row>
    <row r="33" spans="1:2" ht="15.75" thickBot="1">
      <c r="A33" s="160">
        <v>11939</v>
      </c>
      <c r="B33" s="160">
        <v>11950</v>
      </c>
    </row>
    <row r="34" spans="1:2" ht="15.75" thickBot="1">
      <c r="A34" s="160">
        <v>11939</v>
      </c>
      <c r="B34" s="160">
        <v>11979</v>
      </c>
    </row>
    <row r="35" spans="1:2" ht="15.75" thickBot="1">
      <c r="A35" s="160">
        <v>11939</v>
      </c>
      <c r="B35" s="160">
        <v>11980</v>
      </c>
    </row>
    <row r="36" spans="1:2" ht="15.75" thickBot="1">
      <c r="A36" s="160">
        <v>11939</v>
      </c>
      <c r="B36" s="160">
        <v>11981</v>
      </c>
    </row>
    <row r="37" spans="1:2" ht="15.75" thickBot="1">
      <c r="A37" s="160">
        <v>11342</v>
      </c>
      <c r="B37" s="160">
        <v>11343</v>
      </c>
    </row>
    <row r="38" spans="1:2" ht="15.75" thickBot="1">
      <c r="A38" s="160">
        <v>11342</v>
      </c>
      <c r="B38" s="160">
        <v>11344</v>
      </c>
    </row>
    <row r="39" spans="1:2" ht="15.75" thickBot="1">
      <c r="A39" s="160">
        <v>11342</v>
      </c>
      <c r="B39" s="160">
        <v>11345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4">
    <dataValidation type="list" allowBlank="1" showInputMessage="1" showErrorMessage="1" sqref="J2:J20" xr:uid="{00000000-0002-0000-0500-000000000000}">
      <formula1>israel_abroad</formula1>
    </dataValidation>
    <dataValidation type="list" allowBlank="1" showInputMessage="1" showErrorMessage="1" sqref="O2:O20" xr:uid="{00000000-0002-0000-0500-000001000000}">
      <formula1>Holding_interest</formula1>
    </dataValidation>
    <dataValidation type="list" allowBlank="1" showInputMessage="1" showErrorMessage="1" sqref="Q2:Q20" xr:uid="{00000000-0002-0000-0500-000002000000}">
      <formula1>Rating_Agency</formula1>
    </dataValidation>
    <dataValidation type="list" allowBlank="1" showInputMessage="1" showErrorMessage="1" sqref="R2:R20" xr:uid="{00000000-0002-0000-0500-000003000000}">
      <formula1>What_is_rated</formula1>
    </dataValidation>
    <dataValidation type="list" allowBlank="1" showInputMessage="1" showErrorMessage="1" sqref="X2:X20" xr:uid="{00000000-0002-0000-0500-000004000000}">
      <formula1>Subordination_Risk</formula1>
    </dataValidation>
    <dataValidation type="list" allowBlank="1" showInputMessage="1" showErrorMessage="1" sqref="AG2:AG5 AG8:AG19" xr:uid="{00000000-0002-0000-0500-000005000000}">
      <formula1>In_the_books</formula1>
    </dataValidation>
    <dataValidation type="list" allowBlank="1" showInputMessage="1" showErrorMessage="1" sqref="K2:K20" xr:uid="{00000000-0002-0000-0500-000006000000}">
      <formula1>Country_list</formula1>
    </dataValidation>
    <dataValidation type="list" allowBlank="1" showInputMessage="1" showErrorMessage="1" sqref="Y2:Y20" xr:uid="{00000000-0002-0000-0500-000007000000}">
      <formula1>Yes_No_Bad_Debt</formula1>
    </dataValidation>
    <dataValidation type="list" allowBlank="1" showInputMessage="1" showErrorMessage="1" sqref="H3:H20" xr:uid="{00000000-0002-0000-0500-000008000000}">
      <formula1>Type_of_Security_ID_Fund</formula1>
    </dataValidation>
    <dataValidation type="list" allowBlank="1" showInputMessage="1" showErrorMessage="1" sqref="E2:E20" xr:uid="{00000000-0002-0000-0500-000009000000}">
      <formula1>Issuer_Number_Type_2</formula1>
    </dataValidation>
    <dataValidation type="list" allowBlank="1" showInputMessage="1" showErrorMessage="1" sqref="H2" xr:uid="{00000000-0002-0000-0500-00000A000000}">
      <formula1>Security_ID_Number_Type</formula1>
    </dataValidation>
    <dataValidation type="list" allowBlank="1" showInputMessage="1" showErrorMessage="1" sqref="N2:N20" xr:uid="{00000000-0002-0000-0500-00000B000000}">
      <formula1>Industry_Sector</formula1>
    </dataValidation>
    <dataValidation type="list" allowBlank="1" showInputMessage="1" showErrorMessage="1" sqref="L2:L20" xr:uid="{00000000-0002-0000-0500-00000C000000}">
      <formula1>Tradeable_Status</formula1>
    </dataValidation>
    <dataValidation type="list" allowBlank="1" showInputMessage="1" showErrorMessage="1" sqref="M2:M20" xr:uid="{00000000-0002-0000-0500-00000D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E000000}">
          <x14:formula1>
            <xm:f>'אפשרויות בחירה'!$C$874:$C$883</xm:f>
          </x14:formula1>
          <xm:sqref>I2:I20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8"/>
  <dimension ref="A1:X85"/>
  <sheetViews>
    <sheetView rightToLeft="1" workbookViewId="0">
      <selection activeCell="A2" sqref="A2:X85"/>
    </sheetView>
  </sheetViews>
  <sheetFormatPr defaultColWidth="9" defaultRowHeight="15"/>
  <cols>
    <col min="1" max="11" width="11.5703125" style="4" customWidth="1"/>
    <col min="12" max="13" width="11.5703125" style="2"/>
    <col min="14" max="19" width="11.5703125" style="4" customWidth="1"/>
    <col min="20" max="20" width="11.5703125" style="2" customWidth="1"/>
    <col min="21" max="26" width="11.5703125" style="4" customWidth="1"/>
    <col min="27" max="16384" width="9" style="4"/>
  </cols>
  <sheetData>
    <row r="1" spans="1:24" ht="66.75" customHeight="1">
      <c r="A1" s="21" t="s">
        <v>667</v>
      </c>
      <c r="B1" s="21" t="s">
        <v>0</v>
      </c>
      <c r="C1" s="21" t="s">
        <v>740</v>
      </c>
      <c r="D1" s="21" t="s">
        <v>2</v>
      </c>
      <c r="E1" s="21" t="s">
        <v>756</v>
      </c>
      <c r="F1" s="21" t="s">
        <v>1163</v>
      </c>
      <c r="G1" s="21" t="s">
        <v>29</v>
      </c>
      <c r="H1" s="21" t="s">
        <v>28</v>
      </c>
      <c r="I1" s="21" t="s">
        <v>1</v>
      </c>
      <c r="J1" s="21" t="s">
        <v>620</v>
      </c>
      <c r="K1" s="21" t="s">
        <v>621</v>
      </c>
      <c r="L1" s="21" t="s">
        <v>625</v>
      </c>
      <c r="M1" s="21" t="s">
        <v>5</v>
      </c>
      <c r="N1" s="21" t="s">
        <v>9</v>
      </c>
      <c r="O1" s="21" t="s">
        <v>622</v>
      </c>
      <c r="P1" s="21" t="s">
        <v>396</v>
      </c>
      <c r="Q1" s="21" t="s">
        <v>789</v>
      </c>
      <c r="R1" s="21" t="s">
        <v>11</v>
      </c>
      <c r="S1" s="21" t="s">
        <v>15</v>
      </c>
      <c r="T1" s="21" t="s">
        <v>955</v>
      </c>
      <c r="U1" s="21" t="s">
        <v>1171</v>
      </c>
      <c r="V1" s="21" t="s">
        <v>18</v>
      </c>
      <c r="W1" s="21" t="s">
        <v>19</v>
      </c>
      <c r="X1" s="21" t="s">
        <v>30</v>
      </c>
    </row>
    <row r="2" spans="1:24" thickBot="1">
      <c r="A2" s="160">
        <v>11925</v>
      </c>
      <c r="B2" s="160">
        <v>11931</v>
      </c>
      <c r="C2" s="161" t="s">
        <v>1512</v>
      </c>
      <c r="D2" s="161" t="s">
        <v>1513</v>
      </c>
      <c r="E2" s="161" t="s">
        <v>1514</v>
      </c>
      <c r="F2" s="161" t="s">
        <v>1214</v>
      </c>
      <c r="G2" s="167" t="s">
        <v>1515</v>
      </c>
      <c r="H2" s="161" t="s">
        <v>76</v>
      </c>
      <c r="I2" s="161" t="s">
        <v>73</v>
      </c>
      <c r="J2" s="161" t="s">
        <v>53</v>
      </c>
      <c r="K2" s="161" t="s">
        <v>53</v>
      </c>
      <c r="L2" s="161" t="s">
        <v>821</v>
      </c>
      <c r="M2" s="161" t="s">
        <v>311</v>
      </c>
      <c r="N2" s="161" t="s">
        <v>260</v>
      </c>
      <c r="O2" s="161" t="s">
        <v>62</v>
      </c>
      <c r="P2" s="161" t="s">
        <v>1208</v>
      </c>
      <c r="Q2" s="162">
        <v>105208</v>
      </c>
      <c r="R2" s="162">
        <v>1</v>
      </c>
      <c r="S2" s="162">
        <v>428.6</v>
      </c>
      <c r="T2" s="162">
        <v>15.46964</v>
      </c>
      <c r="U2" s="162">
        <v>466.39112999999998</v>
      </c>
      <c r="V2" s="163">
        <v>3.80089372693697E-5</v>
      </c>
      <c r="W2" s="163">
        <v>2.0143819604E-2</v>
      </c>
      <c r="X2" s="163">
        <v>1.9910338853999999E-2</v>
      </c>
    </row>
    <row r="3" spans="1:24" thickBot="1">
      <c r="A3" s="160">
        <v>11925</v>
      </c>
      <c r="B3" s="160">
        <v>11931</v>
      </c>
      <c r="C3" s="161" t="s">
        <v>1215</v>
      </c>
      <c r="D3" s="161" t="s">
        <v>1516</v>
      </c>
      <c r="E3" s="161" t="s">
        <v>432</v>
      </c>
      <c r="F3" s="161" t="s">
        <v>1216</v>
      </c>
      <c r="G3" s="167" t="s">
        <v>1517</v>
      </c>
      <c r="H3" s="161" t="s">
        <v>76</v>
      </c>
      <c r="I3" s="161" t="s">
        <v>460</v>
      </c>
      <c r="J3" s="161" t="s">
        <v>53</v>
      </c>
      <c r="K3" s="161" t="s">
        <v>53</v>
      </c>
      <c r="L3" s="161" t="s">
        <v>821</v>
      </c>
      <c r="M3" s="161" t="s">
        <v>311</v>
      </c>
      <c r="N3" s="161" t="s">
        <v>267</v>
      </c>
      <c r="O3" s="161" t="s">
        <v>62</v>
      </c>
      <c r="P3" s="161" t="s">
        <v>1208</v>
      </c>
      <c r="Q3" s="162">
        <v>423045</v>
      </c>
      <c r="R3" s="162">
        <v>1</v>
      </c>
      <c r="S3" s="162">
        <v>161.9</v>
      </c>
      <c r="T3" s="162">
        <v>0</v>
      </c>
      <c r="U3" s="162">
        <v>684.90985000000001</v>
      </c>
      <c r="V3" s="163">
        <v>1.62975582E-4</v>
      </c>
      <c r="W3" s="163">
        <v>2.9581824300999999E-2</v>
      </c>
      <c r="X3" s="163">
        <v>2.9238950573000001E-2</v>
      </c>
    </row>
    <row r="4" spans="1:24" thickBot="1">
      <c r="A4" s="160">
        <v>11925</v>
      </c>
      <c r="B4" s="160">
        <v>11931</v>
      </c>
      <c r="C4" s="161" t="s">
        <v>1217</v>
      </c>
      <c r="D4" s="161" t="s">
        <v>1518</v>
      </c>
      <c r="E4" s="161" t="s">
        <v>1514</v>
      </c>
      <c r="F4" s="161" t="s">
        <v>1218</v>
      </c>
      <c r="G4" s="167" t="s">
        <v>1519</v>
      </c>
      <c r="H4" s="161" t="s">
        <v>76</v>
      </c>
      <c r="I4" s="161" t="s">
        <v>73</v>
      </c>
      <c r="J4" s="161" t="s">
        <v>53</v>
      </c>
      <c r="K4" s="161" t="s">
        <v>53</v>
      </c>
      <c r="L4" s="161" t="s">
        <v>821</v>
      </c>
      <c r="M4" s="161" t="s">
        <v>311</v>
      </c>
      <c r="N4" s="161" t="s">
        <v>252</v>
      </c>
      <c r="O4" s="161" t="s">
        <v>62</v>
      </c>
      <c r="P4" s="161" t="s">
        <v>1208</v>
      </c>
      <c r="Q4" s="162">
        <v>1962</v>
      </c>
      <c r="R4" s="162">
        <v>1</v>
      </c>
      <c r="S4" s="162">
        <v>29830</v>
      </c>
      <c r="T4" s="162">
        <v>0</v>
      </c>
      <c r="U4" s="162">
        <v>585.26459999999997</v>
      </c>
      <c r="V4" s="163">
        <v>1.2796208199999999E-4</v>
      </c>
      <c r="W4" s="163">
        <v>2.5278063335E-2</v>
      </c>
      <c r="X4" s="163">
        <v>2.4985073162E-2</v>
      </c>
    </row>
    <row r="5" spans="1:24" thickBot="1">
      <c r="A5" s="160">
        <v>11925</v>
      </c>
      <c r="B5" s="160">
        <v>11931</v>
      </c>
      <c r="C5" s="161" t="s">
        <v>1219</v>
      </c>
      <c r="D5" s="161" t="s">
        <v>1520</v>
      </c>
      <c r="E5" s="161" t="s">
        <v>1514</v>
      </c>
      <c r="F5" s="161" t="s">
        <v>1220</v>
      </c>
      <c r="G5" s="167" t="s">
        <v>1521</v>
      </c>
      <c r="H5" s="161" t="s">
        <v>76</v>
      </c>
      <c r="I5" s="161" t="s">
        <v>73</v>
      </c>
      <c r="J5" s="161" t="s">
        <v>53</v>
      </c>
      <c r="K5" s="161" t="s">
        <v>53</v>
      </c>
      <c r="L5" s="161" t="s">
        <v>821</v>
      </c>
      <c r="M5" s="161" t="s">
        <v>311</v>
      </c>
      <c r="N5" s="161" t="s">
        <v>253</v>
      </c>
      <c r="O5" s="161" t="s">
        <v>62</v>
      </c>
      <c r="P5" s="161" t="s">
        <v>1208</v>
      </c>
      <c r="Q5" s="162">
        <v>330</v>
      </c>
      <c r="R5" s="162">
        <v>1</v>
      </c>
      <c r="S5" s="162">
        <v>64880</v>
      </c>
      <c r="T5" s="162">
        <v>0</v>
      </c>
      <c r="U5" s="162">
        <v>214.10400000000001</v>
      </c>
      <c r="V5" s="163">
        <v>5.2490016637426597E-6</v>
      </c>
      <c r="W5" s="163">
        <v>9.2473292799999992E-3</v>
      </c>
      <c r="X5" s="163">
        <v>9.1401463610000008E-3</v>
      </c>
    </row>
    <row r="6" spans="1:24" thickBot="1">
      <c r="A6" s="160">
        <v>11925</v>
      </c>
      <c r="B6" s="160">
        <v>11931</v>
      </c>
      <c r="C6" s="161" t="s">
        <v>1221</v>
      </c>
      <c r="D6" s="161" t="s">
        <v>1522</v>
      </c>
      <c r="E6" s="161" t="s">
        <v>1514</v>
      </c>
      <c r="F6" s="161" t="s">
        <v>1222</v>
      </c>
      <c r="G6" s="167" t="s">
        <v>1523</v>
      </c>
      <c r="H6" s="161" t="s">
        <v>76</v>
      </c>
      <c r="I6" s="161" t="s">
        <v>73</v>
      </c>
      <c r="J6" s="161" t="s">
        <v>53</v>
      </c>
      <c r="K6" s="161" t="s">
        <v>53</v>
      </c>
      <c r="L6" s="161" t="s">
        <v>821</v>
      </c>
      <c r="M6" s="161" t="s">
        <v>311</v>
      </c>
      <c r="N6" s="161" t="s">
        <v>651</v>
      </c>
      <c r="O6" s="161" t="s">
        <v>62</v>
      </c>
      <c r="P6" s="161" t="s">
        <v>1208</v>
      </c>
      <c r="Q6" s="162">
        <v>1893</v>
      </c>
      <c r="R6" s="162">
        <v>1</v>
      </c>
      <c r="S6" s="162">
        <v>28210</v>
      </c>
      <c r="T6" s="162">
        <v>0</v>
      </c>
      <c r="U6" s="162">
        <v>534.01530000000002</v>
      </c>
      <c r="V6" s="163">
        <v>3.9832574410215899E-5</v>
      </c>
      <c r="W6" s="163">
        <v>2.3064563574999999E-2</v>
      </c>
      <c r="X6" s="163">
        <v>2.279722939E-2</v>
      </c>
    </row>
    <row r="7" spans="1:24" thickBot="1">
      <c r="A7" s="160">
        <v>11925</v>
      </c>
      <c r="B7" s="160">
        <v>11931</v>
      </c>
      <c r="C7" s="161" t="s">
        <v>1223</v>
      </c>
      <c r="D7" s="161" t="s">
        <v>1524</v>
      </c>
      <c r="E7" s="161" t="s">
        <v>432</v>
      </c>
      <c r="F7" s="161" t="s">
        <v>1224</v>
      </c>
      <c r="G7" s="167" t="s">
        <v>1525</v>
      </c>
      <c r="H7" s="161" t="s">
        <v>76</v>
      </c>
      <c r="I7" s="161" t="s">
        <v>460</v>
      </c>
      <c r="J7" s="161" t="s">
        <v>53</v>
      </c>
      <c r="K7" s="161" t="s">
        <v>53</v>
      </c>
      <c r="L7" s="161" t="s">
        <v>821</v>
      </c>
      <c r="M7" s="161" t="s">
        <v>311</v>
      </c>
      <c r="N7" s="161" t="s">
        <v>267</v>
      </c>
      <c r="O7" s="161" t="s">
        <v>62</v>
      </c>
      <c r="P7" s="161" t="s">
        <v>1208</v>
      </c>
      <c r="Q7" s="162">
        <v>116729</v>
      </c>
      <c r="R7" s="162">
        <v>1</v>
      </c>
      <c r="S7" s="162">
        <v>303</v>
      </c>
      <c r="T7" s="162">
        <v>0</v>
      </c>
      <c r="U7" s="162">
        <v>353.68887000000001</v>
      </c>
      <c r="V7" s="163">
        <v>1.0386333E-4</v>
      </c>
      <c r="W7" s="163">
        <v>1.5276115549E-2</v>
      </c>
      <c r="X7" s="163">
        <v>1.5099054844000001E-2</v>
      </c>
    </row>
    <row r="8" spans="1:24" thickBot="1">
      <c r="A8" s="160">
        <v>11925</v>
      </c>
      <c r="B8" s="160">
        <v>11931</v>
      </c>
      <c r="C8" s="161" t="s">
        <v>1225</v>
      </c>
      <c r="D8" s="161" t="s">
        <v>1526</v>
      </c>
      <c r="E8" s="161" t="s">
        <v>1514</v>
      </c>
      <c r="F8" s="161" t="s">
        <v>1226</v>
      </c>
      <c r="G8" s="167" t="s">
        <v>1527</v>
      </c>
      <c r="H8" s="161" t="s">
        <v>76</v>
      </c>
      <c r="I8" s="161" t="s">
        <v>73</v>
      </c>
      <c r="J8" s="161" t="s">
        <v>53</v>
      </c>
      <c r="K8" s="161" t="s">
        <v>53</v>
      </c>
      <c r="L8" s="161" t="s">
        <v>821</v>
      </c>
      <c r="M8" s="161" t="s">
        <v>311</v>
      </c>
      <c r="N8" s="161" t="s">
        <v>252</v>
      </c>
      <c r="O8" s="161" t="s">
        <v>62</v>
      </c>
      <c r="P8" s="161" t="s">
        <v>1208</v>
      </c>
      <c r="Q8" s="162">
        <v>7053</v>
      </c>
      <c r="R8" s="162">
        <v>1</v>
      </c>
      <c r="S8" s="162">
        <v>7125</v>
      </c>
      <c r="T8" s="162">
        <v>5.7834599999999998</v>
      </c>
      <c r="U8" s="162">
        <v>508.30971</v>
      </c>
      <c r="V8" s="163">
        <v>1.11032265E-4</v>
      </c>
      <c r="W8" s="163">
        <v>2.195431783E-2</v>
      </c>
      <c r="X8" s="163">
        <v>2.1699852158000001E-2</v>
      </c>
    </row>
    <row r="9" spans="1:24" thickBot="1">
      <c r="A9" s="160">
        <v>11925</v>
      </c>
      <c r="B9" s="160">
        <v>11931</v>
      </c>
      <c r="C9" s="161" t="s">
        <v>1227</v>
      </c>
      <c r="D9" s="161" t="s">
        <v>1528</v>
      </c>
      <c r="E9" s="161" t="s">
        <v>432</v>
      </c>
      <c r="F9" s="161" t="s">
        <v>1228</v>
      </c>
      <c r="G9" s="167" t="s">
        <v>1529</v>
      </c>
      <c r="H9" s="161" t="s">
        <v>76</v>
      </c>
      <c r="I9" s="161" t="s">
        <v>460</v>
      </c>
      <c r="J9" s="161" t="s">
        <v>53</v>
      </c>
      <c r="K9" s="161" t="s">
        <v>53</v>
      </c>
      <c r="L9" s="161" t="s">
        <v>821</v>
      </c>
      <c r="M9" s="161" t="s">
        <v>311</v>
      </c>
      <c r="N9" s="161" t="s">
        <v>267</v>
      </c>
      <c r="O9" s="161" t="s">
        <v>62</v>
      </c>
      <c r="P9" s="161" t="s">
        <v>1208</v>
      </c>
      <c r="Q9" s="162">
        <v>40344</v>
      </c>
      <c r="R9" s="162">
        <v>1</v>
      </c>
      <c r="S9" s="162">
        <v>1025</v>
      </c>
      <c r="T9" s="162">
        <v>0</v>
      </c>
      <c r="U9" s="162">
        <v>413.52600000000001</v>
      </c>
      <c r="V9" s="163">
        <v>3.4369990688760298E-5</v>
      </c>
      <c r="W9" s="163">
        <v>1.7860530807000001E-2</v>
      </c>
      <c r="X9" s="163">
        <v>1.7653514948E-2</v>
      </c>
    </row>
    <row r="10" spans="1:24" thickBot="1">
      <c r="A10" s="160">
        <v>11925</v>
      </c>
      <c r="B10" s="160">
        <v>11931</v>
      </c>
      <c r="C10" s="161" t="s">
        <v>1229</v>
      </c>
      <c r="D10" s="161" t="s">
        <v>1530</v>
      </c>
      <c r="E10" s="161" t="s">
        <v>1514</v>
      </c>
      <c r="F10" s="161" t="s">
        <v>1230</v>
      </c>
      <c r="G10" s="167" t="s">
        <v>1531</v>
      </c>
      <c r="H10" s="161" t="s">
        <v>76</v>
      </c>
      <c r="I10" s="161" t="s">
        <v>73</v>
      </c>
      <c r="J10" s="161" t="s">
        <v>53</v>
      </c>
      <c r="K10" s="161" t="s">
        <v>53</v>
      </c>
      <c r="L10" s="161" t="s">
        <v>821</v>
      </c>
      <c r="M10" s="161" t="s">
        <v>311</v>
      </c>
      <c r="N10" s="161" t="s">
        <v>269</v>
      </c>
      <c r="O10" s="161" t="s">
        <v>62</v>
      </c>
      <c r="P10" s="161" t="s">
        <v>1208</v>
      </c>
      <c r="Q10" s="162">
        <v>4741</v>
      </c>
      <c r="R10" s="162">
        <v>1</v>
      </c>
      <c r="S10" s="162">
        <v>10880</v>
      </c>
      <c r="T10" s="162">
        <v>0</v>
      </c>
      <c r="U10" s="162">
        <v>515.82079999999996</v>
      </c>
      <c r="V10" s="163">
        <v>7.64540948795479E-5</v>
      </c>
      <c r="W10" s="163">
        <v>2.2278728035000001E-2</v>
      </c>
      <c r="X10" s="163">
        <v>2.2020502224999999E-2</v>
      </c>
    </row>
    <row r="11" spans="1:24" thickBot="1">
      <c r="A11" s="160">
        <v>11925</v>
      </c>
      <c r="B11" s="160">
        <v>11931</v>
      </c>
      <c r="C11" s="161" t="s">
        <v>1231</v>
      </c>
      <c r="D11" s="161" t="s">
        <v>1532</v>
      </c>
      <c r="E11" s="161" t="s">
        <v>1514</v>
      </c>
      <c r="F11" s="161" t="s">
        <v>1232</v>
      </c>
      <c r="G11" s="167" t="s">
        <v>1533</v>
      </c>
      <c r="H11" s="161" t="s">
        <v>76</v>
      </c>
      <c r="I11" s="161" t="s">
        <v>73</v>
      </c>
      <c r="J11" s="161" t="s">
        <v>53</v>
      </c>
      <c r="K11" s="161" t="s">
        <v>53</v>
      </c>
      <c r="L11" s="161" t="s">
        <v>821</v>
      </c>
      <c r="M11" s="161" t="s">
        <v>311</v>
      </c>
      <c r="N11" s="161" t="s">
        <v>256</v>
      </c>
      <c r="O11" s="161" t="s">
        <v>62</v>
      </c>
      <c r="P11" s="161" t="s">
        <v>1208</v>
      </c>
      <c r="Q11" s="162">
        <v>3405</v>
      </c>
      <c r="R11" s="162">
        <v>1</v>
      </c>
      <c r="S11" s="162">
        <v>15410</v>
      </c>
      <c r="T11" s="162">
        <v>0</v>
      </c>
      <c r="U11" s="162">
        <v>524.71050000000002</v>
      </c>
      <c r="V11" s="163">
        <v>3.3937991054324297E-5</v>
      </c>
      <c r="W11" s="163">
        <v>2.2662681548999999E-2</v>
      </c>
      <c r="X11" s="163">
        <v>2.2400005452999999E-2</v>
      </c>
    </row>
    <row r="12" spans="1:24" thickBot="1">
      <c r="A12" s="160">
        <v>11925</v>
      </c>
      <c r="B12" s="160">
        <v>11931</v>
      </c>
      <c r="C12" s="161" t="s">
        <v>1206</v>
      </c>
      <c r="D12" s="161" t="s">
        <v>1534</v>
      </c>
      <c r="E12" s="161" t="s">
        <v>1514</v>
      </c>
      <c r="F12" s="161" t="s">
        <v>1233</v>
      </c>
      <c r="G12" s="167" t="s">
        <v>1535</v>
      </c>
      <c r="H12" s="161" t="s">
        <v>76</v>
      </c>
      <c r="I12" s="161" t="s">
        <v>73</v>
      </c>
      <c r="J12" s="161" t="s">
        <v>53</v>
      </c>
      <c r="K12" s="161" t="s">
        <v>53</v>
      </c>
      <c r="L12" s="161" t="s">
        <v>821</v>
      </c>
      <c r="M12" s="161" t="s">
        <v>311</v>
      </c>
      <c r="N12" s="161" t="s">
        <v>256</v>
      </c>
      <c r="O12" s="161" t="s">
        <v>62</v>
      </c>
      <c r="P12" s="161" t="s">
        <v>1208</v>
      </c>
      <c r="Q12" s="162">
        <v>14452</v>
      </c>
      <c r="R12" s="162">
        <v>1</v>
      </c>
      <c r="S12" s="162">
        <v>3644</v>
      </c>
      <c r="T12" s="162">
        <v>0</v>
      </c>
      <c r="U12" s="162">
        <v>526.63088000000005</v>
      </c>
      <c r="V12" s="163">
        <v>9.5772947063754701E-6</v>
      </c>
      <c r="W12" s="163">
        <v>2.2745624353E-2</v>
      </c>
      <c r="X12" s="163">
        <v>2.2481986892999999E-2</v>
      </c>
    </row>
    <row r="13" spans="1:24" thickBot="1">
      <c r="A13" s="160">
        <v>11925</v>
      </c>
      <c r="B13" s="160">
        <v>11931</v>
      </c>
      <c r="C13" s="161" t="s">
        <v>1234</v>
      </c>
      <c r="D13" s="161" t="s">
        <v>1536</v>
      </c>
      <c r="E13" s="161" t="s">
        <v>1514</v>
      </c>
      <c r="F13" s="161" t="s">
        <v>1235</v>
      </c>
      <c r="G13" s="167" t="s">
        <v>1537</v>
      </c>
      <c r="H13" s="161" t="s">
        <v>76</v>
      </c>
      <c r="I13" s="161" t="s">
        <v>73</v>
      </c>
      <c r="J13" s="161" t="s">
        <v>53</v>
      </c>
      <c r="K13" s="161" t="s">
        <v>53</v>
      </c>
      <c r="L13" s="161" t="s">
        <v>821</v>
      </c>
      <c r="M13" s="161" t="s">
        <v>311</v>
      </c>
      <c r="N13" s="161" t="s">
        <v>651</v>
      </c>
      <c r="O13" s="161" t="s">
        <v>62</v>
      </c>
      <c r="P13" s="161" t="s">
        <v>1208</v>
      </c>
      <c r="Q13" s="162">
        <v>908</v>
      </c>
      <c r="R13" s="162">
        <v>1</v>
      </c>
      <c r="S13" s="162">
        <v>73900</v>
      </c>
      <c r="T13" s="162">
        <v>0</v>
      </c>
      <c r="U13" s="162">
        <v>671.01199999999994</v>
      </c>
      <c r="V13" s="163">
        <v>1.8174274000000001E-4</v>
      </c>
      <c r="W13" s="163">
        <v>2.8981564636999999E-2</v>
      </c>
      <c r="X13" s="163">
        <v>2.8645648332E-2</v>
      </c>
    </row>
    <row r="14" spans="1:24" thickBot="1">
      <c r="A14" s="160">
        <v>11925</v>
      </c>
      <c r="B14" s="160">
        <v>11931</v>
      </c>
      <c r="C14" s="161" t="s">
        <v>1236</v>
      </c>
      <c r="D14" s="161" t="s">
        <v>1538</v>
      </c>
      <c r="E14" s="161" t="s">
        <v>1514</v>
      </c>
      <c r="F14" s="161" t="s">
        <v>1237</v>
      </c>
      <c r="G14" s="167" t="s">
        <v>1539</v>
      </c>
      <c r="H14" s="161" t="s">
        <v>76</v>
      </c>
      <c r="I14" s="161" t="s">
        <v>73</v>
      </c>
      <c r="J14" s="161" t="s">
        <v>53</v>
      </c>
      <c r="K14" s="161" t="s">
        <v>53</v>
      </c>
      <c r="L14" s="161" t="s">
        <v>821</v>
      </c>
      <c r="M14" s="161" t="s">
        <v>311</v>
      </c>
      <c r="N14" s="161" t="s">
        <v>708</v>
      </c>
      <c r="O14" s="161" t="s">
        <v>62</v>
      </c>
      <c r="P14" s="161" t="s">
        <v>1208</v>
      </c>
      <c r="Q14" s="162">
        <v>7731</v>
      </c>
      <c r="R14" s="162">
        <v>1</v>
      </c>
      <c r="S14" s="162">
        <v>5852</v>
      </c>
      <c r="T14" s="162">
        <v>0</v>
      </c>
      <c r="U14" s="162">
        <v>452.41811999999999</v>
      </c>
      <c r="V14" s="163">
        <v>1.25246718E-4</v>
      </c>
      <c r="W14" s="163">
        <v>1.9540313715999999E-2</v>
      </c>
      <c r="X14" s="163">
        <v>1.9313828016000002E-2</v>
      </c>
    </row>
    <row r="15" spans="1:24" thickBot="1">
      <c r="A15" s="160">
        <v>11925</v>
      </c>
      <c r="B15" s="160">
        <v>11931</v>
      </c>
      <c r="C15" s="161" t="s">
        <v>1238</v>
      </c>
      <c r="D15" s="161" t="s">
        <v>1540</v>
      </c>
      <c r="E15" s="161" t="s">
        <v>1514</v>
      </c>
      <c r="F15" s="161" t="s">
        <v>1239</v>
      </c>
      <c r="G15" s="167" t="s">
        <v>1541</v>
      </c>
      <c r="H15" s="161" t="s">
        <v>76</v>
      </c>
      <c r="I15" s="161" t="s">
        <v>73</v>
      </c>
      <c r="J15" s="161" t="s">
        <v>53</v>
      </c>
      <c r="K15" s="161" t="s">
        <v>53</v>
      </c>
      <c r="L15" s="161" t="s">
        <v>821</v>
      </c>
      <c r="M15" s="161" t="s">
        <v>311</v>
      </c>
      <c r="N15" s="161" t="s">
        <v>267</v>
      </c>
      <c r="O15" s="161" t="s">
        <v>62</v>
      </c>
      <c r="P15" s="161" t="s">
        <v>1208</v>
      </c>
      <c r="Q15" s="162">
        <v>16623</v>
      </c>
      <c r="R15" s="162">
        <v>1</v>
      </c>
      <c r="S15" s="162">
        <v>2230</v>
      </c>
      <c r="T15" s="162">
        <v>0</v>
      </c>
      <c r="U15" s="162">
        <v>370.69290000000001</v>
      </c>
      <c r="V15" s="163">
        <v>1.7616120400000001E-4</v>
      </c>
      <c r="W15" s="163">
        <v>1.6010533704000001E-2</v>
      </c>
      <c r="X15" s="163">
        <v>1.5824960584999999E-2</v>
      </c>
    </row>
    <row r="16" spans="1:24" thickBot="1">
      <c r="A16" s="160">
        <v>11925</v>
      </c>
      <c r="B16" s="160">
        <v>11931</v>
      </c>
      <c r="C16" s="161" t="s">
        <v>1209</v>
      </c>
      <c r="D16" s="161" t="s">
        <v>1542</v>
      </c>
      <c r="E16" s="161" t="s">
        <v>1514</v>
      </c>
      <c r="F16" s="161" t="s">
        <v>1240</v>
      </c>
      <c r="G16" s="167" t="s">
        <v>1543</v>
      </c>
      <c r="H16" s="161" t="s">
        <v>76</v>
      </c>
      <c r="I16" s="161" t="s">
        <v>73</v>
      </c>
      <c r="J16" s="161" t="s">
        <v>53</v>
      </c>
      <c r="K16" s="161" t="s">
        <v>53</v>
      </c>
      <c r="L16" s="161" t="s">
        <v>821</v>
      </c>
      <c r="M16" s="161" t="s">
        <v>311</v>
      </c>
      <c r="N16" s="161" t="s">
        <v>256</v>
      </c>
      <c r="O16" s="161" t="s">
        <v>62</v>
      </c>
      <c r="P16" s="161" t="s">
        <v>1208</v>
      </c>
      <c r="Q16" s="162">
        <v>13084</v>
      </c>
      <c r="R16" s="162">
        <v>1</v>
      </c>
      <c r="S16" s="162">
        <v>3729</v>
      </c>
      <c r="T16" s="162">
        <v>0</v>
      </c>
      <c r="U16" s="162">
        <v>487.90235999999999</v>
      </c>
      <c r="V16" s="163">
        <v>9.83242889916962E-6</v>
      </c>
      <c r="W16" s="163">
        <v>2.1072907463000001E-2</v>
      </c>
      <c r="X16" s="163">
        <v>2.0828657944999999E-2</v>
      </c>
    </row>
    <row r="17" spans="1:24" thickBot="1">
      <c r="A17" s="160">
        <v>11925</v>
      </c>
      <c r="B17" s="160">
        <v>11931</v>
      </c>
      <c r="C17" s="161" t="s">
        <v>1241</v>
      </c>
      <c r="D17" s="161" t="s">
        <v>1544</v>
      </c>
      <c r="E17" s="161" t="s">
        <v>1514</v>
      </c>
      <c r="F17" s="161" t="s">
        <v>1242</v>
      </c>
      <c r="G17" s="167" t="s">
        <v>1545</v>
      </c>
      <c r="H17" s="161" t="s">
        <v>76</v>
      </c>
      <c r="I17" s="161" t="s">
        <v>73</v>
      </c>
      <c r="J17" s="161" t="s">
        <v>53</v>
      </c>
      <c r="K17" s="161" t="s">
        <v>53</v>
      </c>
      <c r="L17" s="161" t="s">
        <v>821</v>
      </c>
      <c r="M17" s="161" t="s">
        <v>311</v>
      </c>
      <c r="N17" s="161" t="s">
        <v>256</v>
      </c>
      <c r="O17" s="161" t="s">
        <v>62</v>
      </c>
      <c r="P17" s="161" t="s">
        <v>1208</v>
      </c>
      <c r="Q17" s="162">
        <v>28670</v>
      </c>
      <c r="R17" s="162">
        <v>1</v>
      </c>
      <c r="S17" s="162">
        <v>2085</v>
      </c>
      <c r="T17" s="162">
        <v>0</v>
      </c>
      <c r="U17" s="162">
        <v>597.76949999999999</v>
      </c>
      <c r="V17" s="163">
        <v>2.3176829639501101E-5</v>
      </c>
      <c r="W17" s="163">
        <v>2.5818160334000001E-2</v>
      </c>
      <c r="X17" s="163">
        <v>2.5518910065000001E-2</v>
      </c>
    </row>
    <row r="18" spans="1:24" thickBot="1">
      <c r="A18" s="160">
        <v>11925</v>
      </c>
      <c r="B18" s="160">
        <v>11931</v>
      </c>
      <c r="C18" s="161" t="s">
        <v>1243</v>
      </c>
      <c r="D18" s="161" t="s">
        <v>1546</v>
      </c>
      <c r="E18" s="161" t="s">
        <v>1514</v>
      </c>
      <c r="F18" s="161" t="s">
        <v>1244</v>
      </c>
      <c r="G18" s="167" t="s">
        <v>1547</v>
      </c>
      <c r="H18" s="161" t="s">
        <v>76</v>
      </c>
      <c r="I18" s="161" t="s">
        <v>73</v>
      </c>
      <c r="J18" s="161" t="s">
        <v>53</v>
      </c>
      <c r="K18" s="161" t="s">
        <v>53</v>
      </c>
      <c r="L18" s="161" t="s">
        <v>821</v>
      </c>
      <c r="M18" s="161" t="s">
        <v>311</v>
      </c>
      <c r="N18" s="161" t="s">
        <v>256</v>
      </c>
      <c r="O18" s="161" t="s">
        <v>62</v>
      </c>
      <c r="P18" s="161" t="s">
        <v>1208</v>
      </c>
      <c r="Q18" s="162">
        <v>3853</v>
      </c>
      <c r="R18" s="162">
        <v>1</v>
      </c>
      <c r="S18" s="162">
        <v>14550</v>
      </c>
      <c r="T18" s="162">
        <v>0</v>
      </c>
      <c r="U18" s="162">
        <v>560.61149999999998</v>
      </c>
      <c r="V18" s="163">
        <v>1.4912252771114001E-5</v>
      </c>
      <c r="W18" s="163">
        <v>2.4213275505E-2</v>
      </c>
      <c r="X18" s="163">
        <v>2.3932626956999999E-2</v>
      </c>
    </row>
    <row r="19" spans="1:24" thickBot="1">
      <c r="A19" s="160">
        <v>11925</v>
      </c>
      <c r="B19" s="160">
        <v>11931</v>
      </c>
      <c r="C19" s="161" t="s">
        <v>1245</v>
      </c>
      <c r="D19" s="161" t="s">
        <v>1548</v>
      </c>
      <c r="E19" s="161" t="s">
        <v>1514</v>
      </c>
      <c r="F19" s="161" t="s">
        <v>1246</v>
      </c>
      <c r="G19" s="167" t="s">
        <v>1549</v>
      </c>
      <c r="H19" s="161" t="s">
        <v>76</v>
      </c>
      <c r="I19" s="161" t="s">
        <v>73</v>
      </c>
      <c r="J19" s="161" t="s">
        <v>53</v>
      </c>
      <c r="K19" s="161" t="s">
        <v>53</v>
      </c>
      <c r="L19" s="161" t="s">
        <v>821</v>
      </c>
      <c r="M19" s="161" t="s">
        <v>311</v>
      </c>
      <c r="N19" s="161" t="s">
        <v>252</v>
      </c>
      <c r="O19" s="161" t="s">
        <v>62</v>
      </c>
      <c r="P19" s="161" t="s">
        <v>1208</v>
      </c>
      <c r="Q19" s="162">
        <v>1236</v>
      </c>
      <c r="R19" s="162">
        <v>1</v>
      </c>
      <c r="S19" s="162">
        <v>9030</v>
      </c>
      <c r="T19" s="162">
        <v>0</v>
      </c>
      <c r="U19" s="162">
        <v>111.6108</v>
      </c>
      <c r="V19" s="163">
        <v>1.9308390900000001E-4</v>
      </c>
      <c r="W19" s="163">
        <v>4.820562992E-3</v>
      </c>
      <c r="X19" s="163">
        <v>4.7646893449999998E-3</v>
      </c>
    </row>
    <row r="20" spans="1:24" thickBot="1">
      <c r="A20" s="160">
        <v>11925</v>
      </c>
      <c r="B20" s="160">
        <v>11931</v>
      </c>
      <c r="C20" s="161" t="s">
        <v>1247</v>
      </c>
      <c r="D20" s="161" t="s">
        <v>1550</v>
      </c>
      <c r="E20" s="161" t="s">
        <v>1514</v>
      </c>
      <c r="F20" s="161" t="s">
        <v>1248</v>
      </c>
      <c r="G20" s="167" t="s">
        <v>1551</v>
      </c>
      <c r="H20" s="161" t="s">
        <v>76</v>
      </c>
      <c r="I20" s="161" t="s">
        <v>73</v>
      </c>
      <c r="J20" s="161" t="s">
        <v>53</v>
      </c>
      <c r="K20" s="161" t="s">
        <v>53</v>
      </c>
      <c r="L20" s="161" t="s">
        <v>821</v>
      </c>
      <c r="M20" s="161" t="s">
        <v>311</v>
      </c>
      <c r="N20" s="161" t="s">
        <v>261</v>
      </c>
      <c r="O20" s="161" t="s">
        <v>62</v>
      </c>
      <c r="P20" s="161" t="s">
        <v>1208</v>
      </c>
      <c r="Q20" s="162">
        <v>6472</v>
      </c>
      <c r="R20" s="162">
        <v>1</v>
      </c>
      <c r="S20" s="162">
        <v>5930</v>
      </c>
      <c r="T20" s="162">
        <v>0</v>
      </c>
      <c r="U20" s="162">
        <v>383.78960000000001</v>
      </c>
      <c r="V20" s="163">
        <v>5.5522686902730098E-5</v>
      </c>
      <c r="W20" s="163">
        <v>1.6576191035999999E-2</v>
      </c>
      <c r="X20" s="163">
        <v>1.6384061559000001E-2</v>
      </c>
    </row>
    <row r="21" spans="1:24" s="47" customFormat="1" thickBot="1">
      <c r="A21" s="160">
        <v>11925</v>
      </c>
      <c r="B21" s="160">
        <v>11931</v>
      </c>
      <c r="C21" s="161" t="s">
        <v>1249</v>
      </c>
      <c r="D21" s="161" t="s">
        <v>1552</v>
      </c>
      <c r="E21" s="161" t="s">
        <v>1514</v>
      </c>
      <c r="F21" s="161" t="s">
        <v>1250</v>
      </c>
      <c r="G21" s="167" t="s">
        <v>1553</v>
      </c>
      <c r="H21" s="161" t="s">
        <v>76</v>
      </c>
      <c r="I21" s="161" t="s">
        <v>73</v>
      </c>
      <c r="J21" s="161" t="s">
        <v>53</v>
      </c>
      <c r="K21" s="161" t="s">
        <v>53</v>
      </c>
      <c r="L21" s="161" t="s">
        <v>821</v>
      </c>
      <c r="M21" s="161" t="s">
        <v>311</v>
      </c>
      <c r="N21" s="161" t="s">
        <v>256</v>
      </c>
      <c r="O21" s="161" t="s">
        <v>62</v>
      </c>
      <c r="P21" s="161" t="s">
        <v>1208</v>
      </c>
      <c r="Q21" s="162">
        <v>3380</v>
      </c>
      <c r="R21" s="162">
        <v>1</v>
      </c>
      <c r="S21" s="162">
        <v>16370</v>
      </c>
      <c r="T21" s="162">
        <v>0</v>
      </c>
      <c r="U21" s="162">
        <v>553.30600000000004</v>
      </c>
      <c r="V21" s="163">
        <v>9.5338457164262E-5</v>
      </c>
      <c r="W21" s="163">
        <v>2.3897744903E-2</v>
      </c>
      <c r="X21" s="163">
        <v>2.3620753572000001E-2</v>
      </c>
    </row>
    <row r="22" spans="1:24" thickBot="1">
      <c r="A22" s="160">
        <v>11925</v>
      </c>
      <c r="B22" s="160">
        <v>11931</v>
      </c>
      <c r="C22" s="161" t="s">
        <v>1554</v>
      </c>
      <c r="D22" s="161" t="s">
        <v>1555</v>
      </c>
      <c r="E22" s="161" t="s">
        <v>1514</v>
      </c>
      <c r="F22" s="161" t="s">
        <v>1251</v>
      </c>
      <c r="G22" s="167" t="s">
        <v>1556</v>
      </c>
      <c r="H22" s="161" t="s">
        <v>76</v>
      </c>
      <c r="I22" s="161" t="s">
        <v>73</v>
      </c>
      <c r="J22" s="161" t="s">
        <v>53</v>
      </c>
      <c r="K22" s="161" t="s">
        <v>53</v>
      </c>
      <c r="L22" s="161" t="s">
        <v>821</v>
      </c>
      <c r="M22" s="161" t="s">
        <v>311</v>
      </c>
      <c r="N22" s="161" t="s">
        <v>269</v>
      </c>
      <c r="O22" s="161" t="s">
        <v>62</v>
      </c>
      <c r="P22" s="161" t="s">
        <v>1208</v>
      </c>
      <c r="Q22" s="162">
        <v>22762</v>
      </c>
      <c r="R22" s="162">
        <v>1</v>
      </c>
      <c r="S22" s="162">
        <v>4200</v>
      </c>
      <c r="T22" s="162">
        <v>0</v>
      </c>
      <c r="U22" s="162">
        <v>956.00400000000002</v>
      </c>
      <c r="V22" s="163">
        <v>9.0552240608816301E-5</v>
      </c>
      <c r="W22" s="163">
        <v>4.1290605413000003E-2</v>
      </c>
      <c r="X22" s="163">
        <v>4.0812018843000002E-2</v>
      </c>
    </row>
    <row r="23" spans="1:24" thickBot="1">
      <c r="A23" s="160">
        <v>11925</v>
      </c>
      <c r="B23" s="160">
        <v>11931</v>
      </c>
      <c r="C23" s="161" t="s">
        <v>1252</v>
      </c>
      <c r="D23" s="161" t="s">
        <v>1557</v>
      </c>
      <c r="E23" s="161" t="s">
        <v>1514</v>
      </c>
      <c r="F23" s="161" t="s">
        <v>1253</v>
      </c>
      <c r="G23" s="167" t="s">
        <v>1558</v>
      </c>
      <c r="H23" s="161" t="s">
        <v>76</v>
      </c>
      <c r="I23" s="161" t="s">
        <v>73</v>
      </c>
      <c r="J23" s="161" t="s">
        <v>53</v>
      </c>
      <c r="K23" s="161" t="s">
        <v>53</v>
      </c>
      <c r="L23" s="161" t="s">
        <v>821</v>
      </c>
      <c r="M23" s="161" t="s">
        <v>311</v>
      </c>
      <c r="N23" s="161" t="s">
        <v>654</v>
      </c>
      <c r="O23" s="161" t="s">
        <v>62</v>
      </c>
      <c r="P23" s="161" t="s">
        <v>1208</v>
      </c>
      <c r="Q23" s="162">
        <v>667</v>
      </c>
      <c r="R23" s="162">
        <v>1</v>
      </c>
      <c r="S23" s="162">
        <v>74080</v>
      </c>
      <c r="T23" s="162">
        <v>0</v>
      </c>
      <c r="U23" s="162">
        <v>494.11360000000002</v>
      </c>
      <c r="V23" s="163">
        <v>1.49960187481261E-5</v>
      </c>
      <c r="W23" s="163">
        <v>2.1341176069E-2</v>
      </c>
      <c r="X23" s="163">
        <v>2.1093817131999999E-2</v>
      </c>
    </row>
    <row r="24" spans="1:24" thickBot="1">
      <c r="A24" s="160">
        <v>11925</v>
      </c>
      <c r="B24" s="160">
        <v>11931</v>
      </c>
      <c r="C24" s="161" t="s">
        <v>1254</v>
      </c>
      <c r="D24" s="161" t="s">
        <v>1559</v>
      </c>
      <c r="E24" s="161" t="s">
        <v>1514</v>
      </c>
      <c r="F24" s="161" t="s">
        <v>1255</v>
      </c>
      <c r="G24" s="167" t="s">
        <v>1560</v>
      </c>
      <c r="H24" s="161" t="s">
        <v>76</v>
      </c>
      <c r="I24" s="161" t="s">
        <v>73</v>
      </c>
      <c r="J24" s="161" t="s">
        <v>53</v>
      </c>
      <c r="K24" s="161" t="s">
        <v>53</v>
      </c>
      <c r="L24" s="161" t="s">
        <v>821</v>
      </c>
      <c r="M24" s="161" t="s">
        <v>311</v>
      </c>
      <c r="N24" s="161" t="s">
        <v>269</v>
      </c>
      <c r="O24" s="161" t="s">
        <v>62</v>
      </c>
      <c r="P24" s="161" t="s">
        <v>1208</v>
      </c>
      <c r="Q24" s="162">
        <v>116810</v>
      </c>
      <c r="R24" s="162">
        <v>1</v>
      </c>
      <c r="S24" s="162">
        <v>508.2</v>
      </c>
      <c r="T24" s="162">
        <v>0</v>
      </c>
      <c r="U24" s="162">
        <v>593.62842000000001</v>
      </c>
      <c r="V24" s="163">
        <v>1.10835076E-4</v>
      </c>
      <c r="W24" s="163">
        <v>2.5639303655000001E-2</v>
      </c>
      <c r="X24" s="163">
        <v>2.5342126457999999E-2</v>
      </c>
    </row>
    <row r="25" spans="1:24" thickBot="1">
      <c r="A25" s="160">
        <v>11925</v>
      </c>
      <c r="B25" s="160">
        <v>11931</v>
      </c>
      <c r="C25" s="161" t="s">
        <v>1256</v>
      </c>
      <c r="D25" s="161" t="s">
        <v>1561</v>
      </c>
      <c r="E25" s="161" t="s">
        <v>1514</v>
      </c>
      <c r="F25" s="161" t="s">
        <v>1257</v>
      </c>
      <c r="G25" s="167" t="s">
        <v>1562</v>
      </c>
      <c r="H25" s="161" t="s">
        <v>76</v>
      </c>
      <c r="I25" s="161" t="s">
        <v>73</v>
      </c>
      <c r="J25" s="161" t="s">
        <v>53</v>
      </c>
      <c r="K25" s="161" t="s">
        <v>53</v>
      </c>
      <c r="L25" s="161" t="s">
        <v>821</v>
      </c>
      <c r="M25" s="161" t="s">
        <v>311</v>
      </c>
      <c r="N25" s="161" t="s">
        <v>254</v>
      </c>
      <c r="O25" s="161" t="s">
        <v>62</v>
      </c>
      <c r="P25" s="161" t="s">
        <v>1208</v>
      </c>
      <c r="Q25" s="162">
        <v>3691</v>
      </c>
      <c r="R25" s="162">
        <v>1</v>
      </c>
      <c r="S25" s="162">
        <v>16470</v>
      </c>
      <c r="T25" s="162">
        <v>0</v>
      </c>
      <c r="U25" s="162">
        <v>607.90769999999998</v>
      </c>
      <c r="V25" s="163">
        <v>3.3231187272082499E-5</v>
      </c>
      <c r="W25" s="163">
        <v>2.6256037598E-2</v>
      </c>
      <c r="X25" s="163">
        <v>2.5951712030000001E-2</v>
      </c>
    </row>
    <row r="26" spans="1:24" thickBot="1">
      <c r="A26" s="160">
        <v>11925</v>
      </c>
      <c r="B26" s="160">
        <v>11931</v>
      </c>
      <c r="C26" s="161" t="s">
        <v>1258</v>
      </c>
      <c r="D26" s="161" t="s">
        <v>1563</v>
      </c>
      <c r="E26" s="161" t="s">
        <v>1514</v>
      </c>
      <c r="F26" s="161" t="s">
        <v>1259</v>
      </c>
      <c r="G26" s="167" t="s">
        <v>1564</v>
      </c>
      <c r="H26" s="161" t="s">
        <v>76</v>
      </c>
      <c r="I26" s="161" t="s">
        <v>73</v>
      </c>
      <c r="J26" s="161" t="s">
        <v>53</v>
      </c>
      <c r="K26" s="161" t="s">
        <v>53</v>
      </c>
      <c r="L26" s="161" t="s">
        <v>821</v>
      </c>
      <c r="M26" s="161" t="s">
        <v>311</v>
      </c>
      <c r="N26" s="161" t="s">
        <v>646</v>
      </c>
      <c r="O26" s="161" t="s">
        <v>62</v>
      </c>
      <c r="P26" s="161" t="s">
        <v>1208</v>
      </c>
      <c r="Q26" s="162">
        <v>14357</v>
      </c>
      <c r="R26" s="162">
        <v>1</v>
      </c>
      <c r="S26" s="162">
        <v>1947</v>
      </c>
      <c r="T26" s="162">
        <v>0</v>
      </c>
      <c r="U26" s="162">
        <v>279.53079000000002</v>
      </c>
      <c r="V26" s="163">
        <v>2.51801952E-4</v>
      </c>
      <c r="W26" s="163">
        <v>1.2073166587E-2</v>
      </c>
      <c r="X26" s="163">
        <v>1.1933230267E-2</v>
      </c>
    </row>
    <row r="27" spans="1:24" thickBot="1">
      <c r="A27" s="160">
        <v>11925</v>
      </c>
      <c r="B27" s="160">
        <v>11931</v>
      </c>
      <c r="C27" s="161" t="s">
        <v>1260</v>
      </c>
      <c r="D27" s="161" t="s">
        <v>1565</v>
      </c>
      <c r="E27" s="161" t="s">
        <v>1514</v>
      </c>
      <c r="F27" s="161" t="s">
        <v>1261</v>
      </c>
      <c r="G27" s="167" t="s">
        <v>1566</v>
      </c>
      <c r="H27" s="161" t="s">
        <v>76</v>
      </c>
      <c r="I27" s="161" t="s">
        <v>73</v>
      </c>
      <c r="J27" s="161" t="s">
        <v>53</v>
      </c>
      <c r="K27" s="161" t="s">
        <v>53</v>
      </c>
      <c r="L27" s="161" t="s">
        <v>821</v>
      </c>
      <c r="M27" s="161" t="s">
        <v>311</v>
      </c>
      <c r="N27" s="161" t="s">
        <v>254</v>
      </c>
      <c r="O27" s="161" t="s">
        <v>62</v>
      </c>
      <c r="P27" s="161" t="s">
        <v>1208</v>
      </c>
      <c r="Q27" s="162">
        <v>867</v>
      </c>
      <c r="R27" s="162">
        <v>1</v>
      </c>
      <c r="S27" s="162">
        <v>77890</v>
      </c>
      <c r="T27" s="162">
        <v>0</v>
      </c>
      <c r="U27" s="162">
        <v>675.30629999999996</v>
      </c>
      <c r="V27" s="163">
        <v>2.9803333064519001E-5</v>
      </c>
      <c r="W27" s="163">
        <v>2.9167039014000001E-2</v>
      </c>
      <c r="X27" s="163">
        <v>2.8828972934E-2</v>
      </c>
    </row>
    <row r="28" spans="1:24" thickBot="1">
      <c r="A28" s="160">
        <v>11925</v>
      </c>
      <c r="B28" s="160">
        <v>11931</v>
      </c>
      <c r="C28" s="161" t="s">
        <v>1262</v>
      </c>
      <c r="D28" s="161" t="s">
        <v>1567</v>
      </c>
      <c r="E28" s="161" t="s">
        <v>1514</v>
      </c>
      <c r="F28" s="161" t="s">
        <v>1263</v>
      </c>
      <c r="G28" s="167" t="s">
        <v>1568</v>
      </c>
      <c r="H28" s="161" t="s">
        <v>76</v>
      </c>
      <c r="I28" s="161" t="s">
        <v>73</v>
      </c>
      <c r="J28" s="161" t="s">
        <v>53</v>
      </c>
      <c r="K28" s="161" t="s">
        <v>53</v>
      </c>
      <c r="L28" s="161" t="s">
        <v>821</v>
      </c>
      <c r="M28" s="161" t="s">
        <v>311</v>
      </c>
      <c r="N28" s="161" t="s">
        <v>252</v>
      </c>
      <c r="O28" s="161" t="s">
        <v>62</v>
      </c>
      <c r="P28" s="161" t="s">
        <v>1208</v>
      </c>
      <c r="Q28" s="162">
        <v>2791</v>
      </c>
      <c r="R28" s="162">
        <v>1</v>
      </c>
      <c r="S28" s="162">
        <v>19560</v>
      </c>
      <c r="T28" s="162">
        <v>0</v>
      </c>
      <c r="U28" s="162">
        <v>545.91959999999995</v>
      </c>
      <c r="V28" s="163">
        <v>1.21704064E-4</v>
      </c>
      <c r="W28" s="163">
        <v>2.3578720163E-2</v>
      </c>
      <c r="X28" s="163">
        <v>2.3305426548E-2</v>
      </c>
    </row>
    <row r="29" spans="1:24" thickBot="1">
      <c r="A29" s="160">
        <v>11925</v>
      </c>
      <c r="B29" s="160">
        <v>11931</v>
      </c>
      <c r="C29" s="161" t="s">
        <v>1264</v>
      </c>
      <c r="D29" s="161" t="s">
        <v>1569</v>
      </c>
      <c r="E29" s="161" t="s">
        <v>430</v>
      </c>
      <c r="F29" s="161" t="s">
        <v>1265</v>
      </c>
      <c r="G29" s="167" t="s">
        <v>1570</v>
      </c>
      <c r="H29" s="161" t="s">
        <v>76</v>
      </c>
      <c r="I29" s="161" t="s">
        <v>73</v>
      </c>
      <c r="J29" s="161" t="s">
        <v>53</v>
      </c>
      <c r="K29" s="161" t="s">
        <v>53</v>
      </c>
      <c r="L29" s="161" t="s">
        <v>821</v>
      </c>
      <c r="M29" s="161" t="s">
        <v>311</v>
      </c>
      <c r="N29" s="161" t="s">
        <v>253</v>
      </c>
      <c r="O29" s="161" t="s">
        <v>62</v>
      </c>
      <c r="P29" s="161" t="s">
        <v>1208</v>
      </c>
      <c r="Q29" s="162">
        <v>4611</v>
      </c>
      <c r="R29" s="162">
        <v>1</v>
      </c>
      <c r="S29" s="162">
        <v>13820</v>
      </c>
      <c r="T29" s="162">
        <v>0</v>
      </c>
      <c r="U29" s="162">
        <v>637.24019999999996</v>
      </c>
      <c r="V29" s="163">
        <v>8.2570627971203999E-5</v>
      </c>
      <c r="W29" s="163">
        <v>2.7522932593E-2</v>
      </c>
      <c r="X29" s="163">
        <v>2.7203922839E-2</v>
      </c>
    </row>
    <row r="30" spans="1:24" thickBot="1">
      <c r="A30" s="160">
        <v>11925</v>
      </c>
      <c r="B30" s="160">
        <v>11931</v>
      </c>
      <c r="C30" s="161" t="s">
        <v>1266</v>
      </c>
      <c r="D30" s="161" t="s">
        <v>1571</v>
      </c>
      <c r="E30" s="161" t="s">
        <v>1514</v>
      </c>
      <c r="F30" s="161" t="s">
        <v>1267</v>
      </c>
      <c r="G30" s="167" t="s">
        <v>1572</v>
      </c>
      <c r="H30" s="161" t="s">
        <v>76</v>
      </c>
      <c r="I30" s="161" t="s">
        <v>73</v>
      </c>
      <c r="J30" s="161" t="s">
        <v>53</v>
      </c>
      <c r="K30" s="161" t="s">
        <v>53</v>
      </c>
      <c r="L30" s="161" t="s">
        <v>821</v>
      </c>
      <c r="M30" s="161" t="s">
        <v>311</v>
      </c>
      <c r="N30" s="161" t="s">
        <v>645</v>
      </c>
      <c r="O30" s="161" t="s">
        <v>62</v>
      </c>
      <c r="P30" s="161" t="s">
        <v>1208</v>
      </c>
      <c r="Q30" s="162">
        <v>7348</v>
      </c>
      <c r="R30" s="162">
        <v>1</v>
      </c>
      <c r="S30" s="162">
        <v>837.8</v>
      </c>
      <c r="T30" s="162">
        <v>1.33914</v>
      </c>
      <c r="U30" s="162">
        <v>62.900680000000001</v>
      </c>
      <c r="V30" s="163">
        <v>6.6957189916451302E-5</v>
      </c>
      <c r="W30" s="163">
        <v>2.716732522E-3</v>
      </c>
      <c r="X30" s="163">
        <v>2.6852437200000001E-3</v>
      </c>
    </row>
    <row r="31" spans="1:24" thickBot="1">
      <c r="A31" s="160">
        <v>11925</v>
      </c>
      <c r="B31" s="160">
        <v>11931</v>
      </c>
      <c r="C31" s="161" t="s">
        <v>1268</v>
      </c>
      <c r="D31" s="161" t="s">
        <v>1573</v>
      </c>
      <c r="E31" s="161" t="s">
        <v>1514</v>
      </c>
      <c r="F31" s="161" t="s">
        <v>1269</v>
      </c>
      <c r="G31" s="167" t="s">
        <v>1574</v>
      </c>
      <c r="H31" s="161" t="s">
        <v>76</v>
      </c>
      <c r="I31" s="161" t="s">
        <v>73</v>
      </c>
      <c r="J31" s="161" t="s">
        <v>53</v>
      </c>
      <c r="K31" s="161" t="s">
        <v>53</v>
      </c>
      <c r="L31" s="161" t="s">
        <v>821</v>
      </c>
      <c r="M31" s="161" t="s">
        <v>311</v>
      </c>
      <c r="N31" s="161" t="s">
        <v>254</v>
      </c>
      <c r="O31" s="161" t="s">
        <v>62</v>
      </c>
      <c r="P31" s="161" t="s">
        <v>1208</v>
      </c>
      <c r="Q31" s="162">
        <v>1655</v>
      </c>
      <c r="R31" s="162">
        <v>1</v>
      </c>
      <c r="S31" s="162">
        <v>29980</v>
      </c>
      <c r="T31" s="162">
        <v>0</v>
      </c>
      <c r="U31" s="162">
        <v>496.16899999999998</v>
      </c>
      <c r="V31" s="163">
        <v>3.7389737269432697E-5</v>
      </c>
      <c r="W31" s="163">
        <v>2.1429950499000001E-2</v>
      </c>
      <c r="X31" s="163">
        <v>2.1181562606000001E-2</v>
      </c>
    </row>
    <row r="32" spans="1:24" thickBot="1">
      <c r="A32" s="160">
        <v>11925</v>
      </c>
      <c r="B32" s="160">
        <v>11931</v>
      </c>
      <c r="C32" s="161" t="s">
        <v>1270</v>
      </c>
      <c r="D32" s="161" t="s">
        <v>1575</v>
      </c>
      <c r="E32" s="161" t="s">
        <v>1514</v>
      </c>
      <c r="F32" s="161" t="s">
        <v>1271</v>
      </c>
      <c r="G32" s="167" t="s">
        <v>1576</v>
      </c>
      <c r="H32" s="161" t="s">
        <v>76</v>
      </c>
      <c r="I32" s="161" t="s">
        <v>73</v>
      </c>
      <c r="J32" s="161" t="s">
        <v>53</v>
      </c>
      <c r="K32" s="161" t="s">
        <v>53</v>
      </c>
      <c r="L32" s="161" t="s">
        <v>821</v>
      </c>
      <c r="M32" s="161" t="s">
        <v>311</v>
      </c>
      <c r="N32" s="161" t="s">
        <v>253</v>
      </c>
      <c r="O32" s="161" t="s">
        <v>62</v>
      </c>
      <c r="P32" s="161" t="s">
        <v>1208</v>
      </c>
      <c r="Q32" s="162">
        <v>3445</v>
      </c>
      <c r="R32" s="162">
        <v>1</v>
      </c>
      <c r="S32" s="162">
        <v>2958</v>
      </c>
      <c r="T32" s="162">
        <v>0</v>
      </c>
      <c r="U32" s="162">
        <v>101.90309999999999</v>
      </c>
      <c r="V32" s="163">
        <v>7.17837783413609E-5</v>
      </c>
      <c r="W32" s="163">
        <v>4.4012793800000003E-3</v>
      </c>
      <c r="X32" s="163">
        <v>4.350265519E-3</v>
      </c>
    </row>
    <row r="33" spans="1:24" thickBot="1">
      <c r="A33" s="160">
        <v>11925</v>
      </c>
      <c r="B33" s="160">
        <v>11931</v>
      </c>
      <c r="C33" s="161" t="s">
        <v>1272</v>
      </c>
      <c r="D33" s="161" t="s">
        <v>1577</v>
      </c>
      <c r="E33" s="161" t="s">
        <v>1514</v>
      </c>
      <c r="F33" s="161" t="s">
        <v>1273</v>
      </c>
      <c r="G33" s="167" t="s">
        <v>1578</v>
      </c>
      <c r="H33" s="161" t="s">
        <v>76</v>
      </c>
      <c r="I33" s="161" t="s">
        <v>73</v>
      </c>
      <c r="J33" s="161" t="s">
        <v>53</v>
      </c>
      <c r="K33" s="161" t="s">
        <v>53</v>
      </c>
      <c r="L33" s="161" t="s">
        <v>821</v>
      </c>
      <c r="M33" s="161" t="s">
        <v>311</v>
      </c>
      <c r="N33" s="161" t="s">
        <v>651</v>
      </c>
      <c r="O33" s="161" t="s">
        <v>62</v>
      </c>
      <c r="P33" s="161" t="s">
        <v>1208</v>
      </c>
      <c r="Q33" s="162">
        <v>27934</v>
      </c>
      <c r="R33" s="162">
        <v>1</v>
      </c>
      <c r="S33" s="162">
        <v>1609</v>
      </c>
      <c r="T33" s="162">
        <v>0</v>
      </c>
      <c r="U33" s="162">
        <v>449.45805999999999</v>
      </c>
      <c r="V33" s="163">
        <v>5.9244864875939303E-5</v>
      </c>
      <c r="W33" s="163">
        <v>1.9412466271E-2</v>
      </c>
      <c r="X33" s="163">
        <v>1.9187462410000002E-2</v>
      </c>
    </row>
    <row r="34" spans="1:24" thickBot="1">
      <c r="A34" s="160">
        <v>11925</v>
      </c>
      <c r="B34" s="160">
        <v>11931</v>
      </c>
      <c r="C34" s="161" t="s">
        <v>1274</v>
      </c>
      <c r="D34" s="161" t="s">
        <v>1579</v>
      </c>
      <c r="E34" s="161" t="s">
        <v>1514</v>
      </c>
      <c r="F34" s="161" t="s">
        <v>1275</v>
      </c>
      <c r="G34" s="167" t="s">
        <v>1580</v>
      </c>
      <c r="H34" s="161" t="s">
        <v>76</v>
      </c>
      <c r="I34" s="161" t="s">
        <v>73</v>
      </c>
      <c r="J34" s="161" t="s">
        <v>53</v>
      </c>
      <c r="K34" s="161" t="s">
        <v>53</v>
      </c>
      <c r="L34" s="161" t="s">
        <v>821</v>
      </c>
      <c r="M34" s="161" t="s">
        <v>311</v>
      </c>
      <c r="N34" s="161" t="s">
        <v>140</v>
      </c>
      <c r="O34" s="161" t="s">
        <v>62</v>
      </c>
      <c r="P34" s="161" t="s">
        <v>1208</v>
      </c>
      <c r="Q34" s="162">
        <v>1596</v>
      </c>
      <c r="R34" s="162">
        <v>1</v>
      </c>
      <c r="S34" s="162">
        <v>24250</v>
      </c>
      <c r="T34" s="162">
        <v>0</v>
      </c>
      <c r="U34" s="162">
        <v>387.03</v>
      </c>
      <c r="V34" s="163">
        <v>1.2623051000000001E-4</v>
      </c>
      <c r="W34" s="163">
        <v>1.6716146598000001E-2</v>
      </c>
      <c r="X34" s="163">
        <v>1.6522394940000001E-2</v>
      </c>
    </row>
    <row r="35" spans="1:24" thickBot="1">
      <c r="A35" s="160">
        <v>11925</v>
      </c>
      <c r="B35" s="160">
        <v>11931</v>
      </c>
      <c r="C35" s="161" t="s">
        <v>1276</v>
      </c>
      <c r="D35" s="161" t="s">
        <v>1581</v>
      </c>
      <c r="E35" s="161" t="s">
        <v>1514</v>
      </c>
      <c r="F35" s="161" t="s">
        <v>1277</v>
      </c>
      <c r="G35" s="167" t="s">
        <v>1582</v>
      </c>
      <c r="H35" s="161" t="s">
        <v>76</v>
      </c>
      <c r="I35" s="161" t="s">
        <v>73</v>
      </c>
      <c r="J35" s="161" t="s">
        <v>53</v>
      </c>
      <c r="K35" s="161" t="s">
        <v>53</v>
      </c>
      <c r="L35" s="161" t="s">
        <v>821</v>
      </c>
      <c r="M35" s="161" t="s">
        <v>311</v>
      </c>
      <c r="N35" s="161" t="s">
        <v>156</v>
      </c>
      <c r="O35" s="161" t="s">
        <v>62</v>
      </c>
      <c r="P35" s="161" t="s">
        <v>1208</v>
      </c>
      <c r="Q35" s="162">
        <v>1304</v>
      </c>
      <c r="R35" s="162">
        <v>1</v>
      </c>
      <c r="S35" s="162">
        <v>39190</v>
      </c>
      <c r="T35" s="162">
        <v>28.69519</v>
      </c>
      <c r="U35" s="162">
        <v>539.73279000000002</v>
      </c>
      <c r="V35" s="163">
        <v>1.22107188E-4</v>
      </c>
      <c r="W35" s="163">
        <v>2.3311506709E-2</v>
      </c>
      <c r="X35" s="163">
        <v>2.3041310283000001E-2</v>
      </c>
    </row>
    <row r="36" spans="1:24" thickBot="1">
      <c r="A36" s="160">
        <v>11925</v>
      </c>
      <c r="B36" s="160">
        <v>11931</v>
      </c>
      <c r="C36" s="161" t="s">
        <v>1278</v>
      </c>
      <c r="D36" s="161" t="s">
        <v>1583</v>
      </c>
      <c r="E36" s="161" t="s">
        <v>1514</v>
      </c>
      <c r="F36" s="161" t="s">
        <v>1279</v>
      </c>
      <c r="G36" s="167" t="s">
        <v>1584</v>
      </c>
      <c r="H36" s="161" t="s">
        <v>76</v>
      </c>
      <c r="I36" s="161" t="s">
        <v>73</v>
      </c>
      <c r="J36" s="161" t="s">
        <v>53</v>
      </c>
      <c r="K36" s="161" t="s">
        <v>53</v>
      </c>
      <c r="L36" s="161" t="s">
        <v>821</v>
      </c>
      <c r="M36" s="161" t="s">
        <v>311</v>
      </c>
      <c r="N36" s="161" t="s">
        <v>650</v>
      </c>
      <c r="O36" s="161" t="s">
        <v>62</v>
      </c>
      <c r="P36" s="161" t="s">
        <v>1208</v>
      </c>
      <c r="Q36" s="162">
        <v>2337</v>
      </c>
      <c r="R36" s="162">
        <v>1</v>
      </c>
      <c r="S36" s="162">
        <v>20800</v>
      </c>
      <c r="T36" s="162">
        <v>0</v>
      </c>
      <c r="U36" s="162">
        <v>486.096</v>
      </c>
      <c r="V36" s="163">
        <v>1.69647992E-4</v>
      </c>
      <c r="W36" s="163">
        <v>2.0994889276999999E-2</v>
      </c>
      <c r="X36" s="163">
        <v>2.0751544043E-2</v>
      </c>
    </row>
    <row r="37" spans="1:24" thickBot="1">
      <c r="A37" s="160">
        <v>11925</v>
      </c>
      <c r="B37" s="160">
        <v>11931</v>
      </c>
      <c r="C37" s="161" t="s">
        <v>1280</v>
      </c>
      <c r="D37" s="161" t="s">
        <v>1585</v>
      </c>
      <c r="E37" s="161" t="s">
        <v>1514</v>
      </c>
      <c r="F37" s="161" t="s">
        <v>1281</v>
      </c>
      <c r="G37" s="167" t="s">
        <v>1586</v>
      </c>
      <c r="H37" s="161" t="s">
        <v>76</v>
      </c>
      <c r="I37" s="161" t="s">
        <v>73</v>
      </c>
      <c r="J37" s="161" t="s">
        <v>53</v>
      </c>
      <c r="K37" s="161" t="s">
        <v>53</v>
      </c>
      <c r="L37" s="161" t="s">
        <v>821</v>
      </c>
      <c r="M37" s="161" t="s">
        <v>311</v>
      </c>
      <c r="N37" s="161" t="s">
        <v>651</v>
      </c>
      <c r="O37" s="161" t="s">
        <v>62</v>
      </c>
      <c r="P37" s="161" t="s">
        <v>1208</v>
      </c>
      <c r="Q37" s="162">
        <v>57601</v>
      </c>
      <c r="R37" s="162">
        <v>1</v>
      </c>
      <c r="S37" s="162">
        <v>730.9</v>
      </c>
      <c r="T37" s="162">
        <v>0</v>
      </c>
      <c r="U37" s="162">
        <v>421.00571000000002</v>
      </c>
      <c r="V37" s="163">
        <v>2.5907191300000002E-4</v>
      </c>
      <c r="W37" s="163">
        <v>1.8183585684000001E-2</v>
      </c>
      <c r="X37" s="163">
        <v>1.7972825394999999E-2</v>
      </c>
    </row>
    <row r="38" spans="1:24" thickBot="1">
      <c r="A38" s="160">
        <v>11925</v>
      </c>
      <c r="B38" s="160">
        <v>11931</v>
      </c>
      <c r="C38" s="161" t="s">
        <v>1282</v>
      </c>
      <c r="D38" s="161" t="s">
        <v>1587</v>
      </c>
      <c r="E38" s="161" t="s">
        <v>1514</v>
      </c>
      <c r="F38" s="161" t="s">
        <v>1283</v>
      </c>
      <c r="G38" s="167" t="s">
        <v>1588</v>
      </c>
      <c r="H38" s="161" t="s">
        <v>76</v>
      </c>
      <c r="I38" s="161" t="s">
        <v>73</v>
      </c>
      <c r="J38" s="161" t="s">
        <v>53</v>
      </c>
      <c r="K38" s="161" t="s">
        <v>53</v>
      </c>
      <c r="L38" s="161" t="s">
        <v>821</v>
      </c>
      <c r="M38" s="161" t="s">
        <v>311</v>
      </c>
      <c r="N38" s="161" t="s">
        <v>651</v>
      </c>
      <c r="O38" s="161" t="s">
        <v>62</v>
      </c>
      <c r="P38" s="161" t="s">
        <v>1208</v>
      </c>
      <c r="Q38" s="162">
        <v>2116</v>
      </c>
      <c r="R38" s="162">
        <v>1</v>
      </c>
      <c r="S38" s="162">
        <v>25940</v>
      </c>
      <c r="T38" s="162">
        <v>0</v>
      </c>
      <c r="U38" s="162">
        <v>548.8904</v>
      </c>
      <c r="V38" s="163">
        <v>1.7448271153390099E-5</v>
      </c>
      <c r="W38" s="163">
        <v>2.3707031478000001E-2</v>
      </c>
      <c r="X38" s="163">
        <v>2.3432250647E-2</v>
      </c>
    </row>
    <row r="39" spans="1:24" thickBot="1">
      <c r="A39" s="160">
        <v>11925</v>
      </c>
      <c r="B39" s="160">
        <v>11931</v>
      </c>
      <c r="C39" s="161" t="s">
        <v>1284</v>
      </c>
      <c r="D39" s="161" t="s">
        <v>1589</v>
      </c>
      <c r="E39" s="161" t="s">
        <v>1514</v>
      </c>
      <c r="F39" s="161" t="s">
        <v>1285</v>
      </c>
      <c r="G39" s="167" t="s">
        <v>1590</v>
      </c>
      <c r="H39" s="161" t="s">
        <v>76</v>
      </c>
      <c r="I39" s="161" t="s">
        <v>73</v>
      </c>
      <c r="J39" s="161" t="s">
        <v>53</v>
      </c>
      <c r="K39" s="161" t="s">
        <v>53</v>
      </c>
      <c r="L39" s="161" t="s">
        <v>821</v>
      </c>
      <c r="M39" s="161" t="s">
        <v>311</v>
      </c>
      <c r="N39" s="161" t="s">
        <v>651</v>
      </c>
      <c r="O39" s="161" t="s">
        <v>62</v>
      </c>
      <c r="P39" s="161" t="s">
        <v>1208</v>
      </c>
      <c r="Q39" s="162">
        <v>60697</v>
      </c>
      <c r="R39" s="162">
        <v>1</v>
      </c>
      <c r="S39" s="162">
        <v>768.4</v>
      </c>
      <c r="T39" s="162">
        <v>0</v>
      </c>
      <c r="U39" s="162">
        <v>466.39575000000002</v>
      </c>
      <c r="V39" s="163">
        <v>4.0317314400000002E-4</v>
      </c>
      <c r="W39" s="163">
        <v>2.0144019145000001E-2</v>
      </c>
      <c r="X39" s="163">
        <v>1.9910536082999999E-2</v>
      </c>
    </row>
    <row r="40" spans="1:24" thickBot="1">
      <c r="A40" s="160">
        <v>11925</v>
      </c>
      <c r="B40" s="160">
        <v>11931</v>
      </c>
      <c r="C40" s="161" t="s">
        <v>1286</v>
      </c>
      <c r="D40" s="161" t="s">
        <v>1591</v>
      </c>
      <c r="E40" s="161" t="s">
        <v>430</v>
      </c>
      <c r="F40" s="161" t="s">
        <v>1287</v>
      </c>
      <c r="G40" s="167" t="s">
        <v>1592</v>
      </c>
      <c r="H40" s="161" t="s">
        <v>76</v>
      </c>
      <c r="I40" s="161" t="s">
        <v>73</v>
      </c>
      <c r="J40" s="161" t="s">
        <v>53</v>
      </c>
      <c r="K40" s="161" t="s">
        <v>314</v>
      </c>
      <c r="L40" s="161" t="s">
        <v>821</v>
      </c>
      <c r="M40" s="161" t="s">
        <v>311</v>
      </c>
      <c r="N40" s="161" t="s">
        <v>647</v>
      </c>
      <c r="O40" s="161" t="s">
        <v>62</v>
      </c>
      <c r="P40" s="161" t="s">
        <v>1208</v>
      </c>
      <c r="Q40" s="162">
        <v>2604</v>
      </c>
      <c r="R40" s="162">
        <v>1</v>
      </c>
      <c r="S40" s="162">
        <v>28560</v>
      </c>
      <c r="T40" s="162">
        <v>0</v>
      </c>
      <c r="U40" s="162">
        <v>743.70240000000001</v>
      </c>
      <c r="V40" s="163">
        <v>4.6420489990020298E-5</v>
      </c>
      <c r="W40" s="163">
        <v>3.2121123283E-2</v>
      </c>
      <c r="X40" s="163">
        <v>3.1748817329999998E-2</v>
      </c>
    </row>
    <row r="41" spans="1:24" thickBot="1">
      <c r="A41" s="160">
        <v>11925</v>
      </c>
      <c r="B41" s="160">
        <v>11931</v>
      </c>
      <c r="C41" s="161" t="s">
        <v>1288</v>
      </c>
      <c r="D41" s="161" t="s">
        <v>1593</v>
      </c>
      <c r="E41" s="161" t="s">
        <v>432</v>
      </c>
      <c r="F41" s="161" t="s">
        <v>1289</v>
      </c>
      <c r="G41" s="167" t="s">
        <v>1594</v>
      </c>
      <c r="H41" s="161" t="s">
        <v>76</v>
      </c>
      <c r="I41" s="161" t="s">
        <v>460</v>
      </c>
      <c r="J41" s="161" t="s">
        <v>53</v>
      </c>
      <c r="K41" s="161" t="s">
        <v>53</v>
      </c>
      <c r="L41" s="161" t="s">
        <v>821</v>
      </c>
      <c r="M41" s="161" t="s">
        <v>311</v>
      </c>
      <c r="N41" s="161" t="s">
        <v>267</v>
      </c>
      <c r="O41" s="161" t="s">
        <v>62</v>
      </c>
      <c r="P41" s="161" t="s">
        <v>1208</v>
      </c>
      <c r="Q41" s="162">
        <v>17060</v>
      </c>
      <c r="R41" s="162">
        <v>1</v>
      </c>
      <c r="S41" s="162">
        <v>5205</v>
      </c>
      <c r="T41" s="162">
        <v>0</v>
      </c>
      <c r="U41" s="162">
        <v>887.97299999999996</v>
      </c>
      <c r="V41" s="163">
        <v>1.70191362E-4</v>
      </c>
      <c r="W41" s="163">
        <v>3.8352290115999998E-2</v>
      </c>
      <c r="X41" s="163">
        <v>3.7907760646000002E-2</v>
      </c>
    </row>
    <row r="42" spans="1:24" thickBot="1">
      <c r="A42" s="160">
        <v>11925</v>
      </c>
      <c r="B42" s="160">
        <v>11931</v>
      </c>
      <c r="C42" s="161" t="s">
        <v>1290</v>
      </c>
      <c r="D42" s="161" t="s">
        <v>1595</v>
      </c>
      <c r="E42" s="161" t="s">
        <v>1514</v>
      </c>
      <c r="F42" s="161" t="s">
        <v>1291</v>
      </c>
      <c r="G42" s="167" t="s">
        <v>1596</v>
      </c>
      <c r="H42" s="161" t="s">
        <v>76</v>
      </c>
      <c r="I42" s="161" t="s">
        <v>73</v>
      </c>
      <c r="J42" s="161" t="s">
        <v>53</v>
      </c>
      <c r="K42" s="161" t="s">
        <v>53</v>
      </c>
      <c r="L42" s="161" t="s">
        <v>821</v>
      </c>
      <c r="M42" s="161" t="s">
        <v>311</v>
      </c>
      <c r="N42" s="161" t="s">
        <v>257</v>
      </c>
      <c r="O42" s="161" t="s">
        <v>62</v>
      </c>
      <c r="P42" s="161" t="s">
        <v>1208</v>
      </c>
      <c r="Q42" s="162">
        <v>29380</v>
      </c>
      <c r="R42" s="162">
        <v>1</v>
      </c>
      <c r="S42" s="162">
        <v>1373</v>
      </c>
      <c r="T42" s="162">
        <v>0</v>
      </c>
      <c r="U42" s="162">
        <v>403.38740000000001</v>
      </c>
      <c r="V42" s="163">
        <v>1.4653643799999999E-4</v>
      </c>
      <c r="W42" s="163">
        <v>1.7422636267E-2</v>
      </c>
      <c r="X42" s="163">
        <v>1.7220695907000001E-2</v>
      </c>
    </row>
    <row r="43" spans="1:24" thickBot="1">
      <c r="A43" s="160">
        <v>11925</v>
      </c>
      <c r="B43" s="160">
        <v>11931</v>
      </c>
      <c r="C43" s="161" t="s">
        <v>1292</v>
      </c>
      <c r="D43" s="161" t="s">
        <v>1597</v>
      </c>
      <c r="E43" s="161" t="s">
        <v>1514</v>
      </c>
      <c r="F43" s="161" t="s">
        <v>1293</v>
      </c>
      <c r="G43" s="167" t="s">
        <v>1598</v>
      </c>
      <c r="H43" s="161" t="s">
        <v>76</v>
      </c>
      <c r="I43" s="161" t="s">
        <v>73</v>
      </c>
      <c r="J43" s="161" t="s">
        <v>53</v>
      </c>
      <c r="K43" s="161" t="s">
        <v>53</v>
      </c>
      <c r="L43" s="161" t="s">
        <v>821</v>
      </c>
      <c r="M43" s="161" t="s">
        <v>311</v>
      </c>
      <c r="N43" s="161" t="s">
        <v>650</v>
      </c>
      <c r="O43" s="161" t="s">
        <v>62</v>
      </c>
      <c r="P43" s="161" t="s">
        <v>1208</v>
      </c>
      <c r="Q43" s="162">
        <v>3165</v>
      </c>
      <c r="R43" s="162">
        <v>1</v>
      </c>
      <c r="S43" s="162">
        <v>22390</v>
      </c>
      <c r="T43" s="162">
        <v>0</v>
      </c>
      <c r="U43" s="162">
        <v>708.64350000000002</v>
      </c>
      <c r="V43" s="163">
        <v>2.18458764E-4</v>
      </c>
      <c r="W43" s="163">
        <v>3.0606900323000001E-2</v>
      </c>
      <c r="X43" s="163">
        <v>3.0252145258000001E-2</v>
      </c>
    </row>
    <row r="44" spans="1:24" thickBot="1">
      <c r="A44" s="160">
        <v>11925</v>
      </c>
      <c r="B44" s="160">
        <v>11931</v>
      </c>
      <c r="C44" s="161" t="s">
        <v>1294</v>
      </c>
      <c r="D44" s="161" t="s">
        <v>1599</v>
      </c>
      <c r="E44" s="161" t="s">
        <v>1514</v>
      </c>
      <c r="F44" s="161" t="s">
        <v>1295</v>
      </c>
      <c r="G44" s="167" t="s">
        <v>1600</v>
      </c>
      <c r="H44" s="161" t="s">
        <v>76</v>
      </c>
      <c r="I44" s="161" t="s">
        <v>73</v>
      </c>
      <c r="J44" s="161" t="s">
        <v>53</v>
      </c>
      <c r="K44" s="161" t="s">
        <v>53</v>
      </c>
      <c r="L44" s="161" t="s">
        <v>821</v>
      </c>
      <c r="M44" s="161" t="s">
        <v>311</v>
      </c>
      <c r="N44" s="161" t="s">
        <v>647</v>
      </c>
      <c r="O44" s="161" t="s">
        <v>62</v>
      </c>
      <c r="P44" s="161" t="s">
        <v>1208</v>
      </c>
      <c r="Q44" s="162">
        <v>150280</v>
      </c>
      <c r="R44" s="162">
        <v>1</v>
      </c>
      <c r="S44" s="162">
        <v>176</v>
      </c>
      <c r="T44" s="162">
        <v>0</v>
      </c>
      <c r="U44" s="162">
        <v>264.49279999999999</v>
      </c>
      <c r="V44" s="163">
        <v>2.11489695E-4</v>
      </c>
      <c r="W44" s="163">
        <v>1.1423663331000001E-2</v>
      </c>
      <c r="X44" s="163">
        <v>1.1291255201E-2</v>
      </c>
    </row>
    <row r="45" spans="1:24" thickBot="1">
      <c r="A45" s="160">
        <v>11925</v>
      </c>
      <c r="B45" s="160">
        <v>11931</v>
      </c>
      <c r="C45" s="161" t="s">
        <v>1296</v>
      </c>
      <c r="D45" s="161" t="s">
        <v>1601</v>
      </c>
      <c r="E45" s="161" t="s">
        <v>1514</v>
      </c>
      <c r="F45" s="161" t="s">
        <v>1297</v>
      </c>
      <c r="G45" s="167" t="s">
        <v>1602</v>
      </c>
      <c r="H45" s="161" t="s">
        <v>76</v>
      </c>
      <c r="I45" s="161" t="s">
        <v>73</v>
      </c>
      <c r="J45" s="161" t="s">
        <v>53</v>
      </c>
      <c r="K45" s="161" t="s">
        <v>53</v>
      </c>
      <c r="L45" s="161" t="s">
        <v>821</v>
      </c>
      <c r="M45" s="161" t="s">
        <v>311</v>
      </c>
      <c r="N45" s="161" t="s">
        <v>140</v>
      </c>
      <c r="O45" s="161" t="s">
        <v>62</v>
      </c>
      <c r="P45" s="161" t="s">
        <v>1208</v>
      </c>
      <c r="Q45" s="162">
        <v>3024</v>
      </c>
      <c r="R45" s="162">
        <v>1</v>
      </c>
      <c r="S45" s="162">
        <v>8590</v>
      </c>
      <c r="T45" s="162">
        <v>0</v>
      </c>
      <c r="U45" s="162">
        <v>259.76159999999999</v>
      </c>
      <c r="V45" s="163">
        <v>9.6373442500477795E-5</v>
      </c>
      <c r="W45" s="163">
        <v>1.1219318880000001E-2</v>
      </c>
      <c r="X45" s="163">
        <v>1.1089279243000001E-2</v>
      </c>
    </row>
    <row r="46" spans="1:24" thickBot="1">
      <c r="A46" s="160">
        <v>11925</v>
      </c>
      <c r="B46" s="160">
        <v>11931</v>
      </c>
      <c r="C46" s="161" t="s">
        <v>1298</v>
      </c>
      <c r="D46" s="161" t="s">
        <v>1603</v>
      </c>
      <c r="E46" s="161" t="s">
        <v>1514</v>
      </c>
      <c r="F46" s="161" t="s">
        <v>1299</v>
      </c>
      <c r="G46" s="167" t="s">
        <v>1604</v>
      </c>
      <c r="H46" s="161" t="s">
        <v>76</v>
      </c>
      <c r="I46" s="161" t="s">
        <v>73</v>
      </c>
      <c r="J46" s="161" t="s">
        <v>53</v>
      </c>
      <c r="K46" s="161" t="s">
        <v>53</v>
      </c>
      <c r="L46" s="161" t="s">
        <v>821</v>
      </c>
      <c r="M46" s="161" t="s">
        <v>311</v>
      </c>
      <c r="N46" s="161" t="s">
        <v>75</v>
      </c>
      <c r="O46" s="161" t="s">
        <v>62</v>
      </c>
      <c r="P46" s="161" t="s">
        <v>1208</v>
      </c>
      <c r="Q46" s="162">
        <v>15013</v>
      </c>
      <c r="R46" s="162">
        <v>1</v>
      </c>
      <c r="S46" s="162">
        <v>3248</v>
      </c>
      <c r="T46" s="162">
        <v>0</v>
      </c>
      <c r="U46" s="162">
        <v>487.62223999999998</v>
      </c>
      <c r="V46" s="163">
        <v>5.45811977E-4</v>
      </c>
      <c r="W46" s="163">
        <v>2.1060808848E-2</v>
      </c>
      <c r="X46" s="163">
        <v>2.0816699561000001E-2</v>
      </c>
    </row>
    <row r="47" spans="1:24" thickBot="1">
      <c r="A47" s="160">
        <v>11925</v>
      </c>
      <c r="B47" s="160">
        <v>11931</v>
      </c>
      <c r="C47" s="161" t="s">
        <v>1300</v>
      </c>
      <c r="D47" s="161" t="s">
        <v>1605</v>
      </c>
      <c r="E47" s="161" t="s">
        <v>1514</v>
      </c>
      <c r="F47" s="161" t="s">
        <v>1301</v>
      </c>
      <c r="G47" s="167" t="s">
        <v>1606</v>
      </c>
      <c r="H47" s="161" t="s">
        <v>76</v>
      </c>
      <c r="I47" s="161" t="s">
        <v>73</v>
      </c>
      <c r="J47" s="161" t="s">
        <v>53</v>
      </c>
      <c r="K47" s="161" t="s">
        <v>53</v>
      </c>
      <c r="L47" s="161" t="s">
        <v>821</v>
      </c>
      <c r="M47" s="161" t="s">
        <v>311</v>
      </c>
      <c r="N47" s="161" t="s">
        <v>651</v>
      </c>
      <c r="O47" s="161" t="s">
        <v>62</v>
      </c>
      <c r="P47" s="161" t="s">
        <v>1208</v>
      </c>
      <c r="Q47" s="162">
        <v>1236</v>
      </c>
      <c r="R47" s="162">
        <v>1</v>
      </c>
      <c r="S47" s="162">
        <v>34120</v>
      </c>
      <c r="T47" s="162">
        <v>0</v>
      </c>
      <c r="U47" s="162">
        <v>421.72320000000002</v>
      </c>
      <c r="V47" s="163">
        <v>1.9308390900000001E-4</v>
      </c>
      <c r="W47" s="163">
        <v>1.8214574672000002E-2</v>
      </c>
      <c r="X47" s="163">
        <v>1.8003455200000001E-2</v>
      </c>
    </row>
    <row r="48" spans="1:24" thickBot="1">
      <c r="A48" s="160">
        <v>11925</v>
      </c>
      <c r="B48" s="160">
        <v>11931</v>
      </c>
      <c r="C48" s="161" t="s">
        <v>1302</v>
      </c>
      <c r="D48" s="161" t="s">
        <v>1607</v>
      </c>
      <c r="E48" s="161" t="s">
        <v>1514</v>
      </c>
      <c r="F48" s="161" t="s">
        <v>1303</v>
      </c>
      <c r="G48" s="167" t="s">
        <v>1608</v>
      </c>
      <c r="H48" s="161" t="s">
        <v>76</v>
      </c>
      <c r="I48" s="161" t="s">
        <v>73</v>
      </c>
      <c r="J48" s="161" t="s">
        <v>53</v>
      </c>
      <c r="K48" s="161" t="s">
        <v>53</v>
      </c>
      <c r="L48" s="161" t="s">
        <v>821</v>
      </c>
      <c r="M48" s="161" t="s">
        <v>311</v>
      </c>
      <c r="N48" s="161" t="s">
        <v>156</v>
      </c>
      <c r="O48" s="161" t="s">
        <v>62</v>
      </c>
      <c r="P48" s="161" t="s">
        <v>1208</v>
      </c>
      <c r="Q48" s="162">
        <v>738856</v>
      </c>
      <c r="R48" s="162">
        <v>1</v>
      </c>
      <c r="S48" s="162">
        <v>96.1</v>
      </c>
      <c r="T48" s="162">
        <v>0</v>
      </c>
      <c r="U48" s="162">
        <v>710.04061999999999</v>
      </c>
      <c r="V48" s="163">
        <v>2.37523219E-4</v>
      </c>
      <c r="W48" s="163">
        <v>3.0667243093999999E-2</v>
      </c>
      <c r="X48" s="163">
        <v>3.0311788615000002E-2</v>
      </c>
    </row>
    <row r="49" spans="1:24" ht="15.75" thickBot="1">
      <c r="A49" s="160">
        <v>7891</v>
      </c>
      <c r="B49" s="160">
        <v>7892</v>
      </c>
      <c r="C49" s="164"/>
      <c r="D49" s="164"/>
      <c r="E49" s="164"/>
      <c r="F49" s="164"/>
      <c r="G49" s="164"/>
      <c r="H49" s="164"/>
      <c r="I49" s="164"/>
      <c r="J49" s="164"/>
      <c r="K49" s="164"/>
      <c r="L49" s="164"/>
      <c r="M49" s="164"/>
      <c r="N49" s="164"/>
      <c r="O49" s="164"/>
      <c r="P49" s="164"/>
      <c r="Q49" s="164"/>
      <c r="R49" s="164"/>
      <c r="S49" s="164"/>
      <c r="T49" s="164"/>
      <c r="U49" s="164"/>
      <c r="V49" s="164"/>
      <c r="W49" s="164"/>
      <c r="X49" s="164"/>
    </row>
    <row r="50" spans="1:24" ht="15.75" thickBot="1">
      <c r="A50" s="160">
        <v>7891</v>
      </c>
      <c r="B50" s="160">
        <v>7893</v>
      </c>
      <c r="C50" s="164"/>
      <c r="D50" s="164"/>
      <c r="E50" s="164"/>
      <c r="F50" s="164"/>
      <c r="G50" s="164"/>
      <c r="H50" s="164"/>
      <c r="I50" s="164"/>
      <c r="J50" s="164"/>
      <c r="K50" s="164"/>
      <c r="L50" s="164"/>
      <c r="M50" s="164"/>
      <c r="N50" s="164"/>
      <c r="O50" s="164"/>
      <c r="P50" s="164"/>
      <c r="Q50" s="164"/>
      <c r="R50" s="164"/>
      <c r="S50" s="164"/>
      <c r="T50" s="164"/>
      <c r="U50" s="164"/>
      <c r="V50" s="164"/>
      <c r="W50" s="164"/>
      <c r="X50" s="164"/>
    </row>
    <row r="51" spans="1:24" ht="15.75" thickBot="1">
      <c r="A51" s="160">
        <v>7891</v>
      </c>
      <c r="B51" s="160">
        <v>7894</v>
      </c>
      <c r="C51" s="164"/>
      <c r="D51" s="164"/>
      <c r="E51" s="164"/>
      <c r="F51" s="164"/>
      <c r="G51" s="164"/>
      <c r="H51" s="164"/>
      <c r="I51" s="164"/>
      <c r="J51" s="164"/>
      <c r="K51" s="164"/>
      <c r="L51" s="164"/>
      <c r="M51" s="164"/>
      <c r="N51" s="164"/>
      <c r="O51" s="164"/>
      <c r="P51" s="164"/>
      <c r="Q51" s="164"/>
      <c r="R51" s="164"/>
      <c r="S51" s="164"/>
      <c r="T51" s="164"/>
      <c r="U51" s="164"/>
      <c r="V51" s="164"/>
      <c r="W51" s="164"/>
      <c r="X51" s="164"/>
    </row>
    <row r="52" spans="1:24" ht="15.75" thickBot="1">
      <c r="A52" s="160">
        <v>7891</v>
      </c>
      <c r="B52" s="160">
        <v>7895</v>
      </c>
      <c r="C52" s="164"/>
      <c r="D52" s="164"/>
      <c r="E52" s="164"/>
      <c r="F52" s="164"/>
      <c r="G52" s="164"/>
      <c r="H52" s="164"/>
      <c r="I52" s="164"/>
      <c r="J52" s="164"/>
      <c r="K52" s="164"/>
      <c r="L52" s="164"/>
      <c r="M52" s="164"/>
      <c r="N52" s="164"/>
      <c r="O52" s="164"/>
      <c r="P52" s="164"/>
      <c r="Q52" s="164"/>
      <c r="R52" s="164"/>
      <c r="S52" s="164"/>
      <c r="T52" s="164"/>
      <c r="U52" s="164"/>
      <c r="V52" s="164"/>
      <c r="W52" s="164"/>
      <c r="X52" s="164"/>
    </row>
    <row r="53" spans="1:24" ht="15.75" thickBot="1">
      <c r="A53" s="160">
        <v>7891</v>
      </c>
      <c r="B53" s="160">
        <v>7896</v>
      </c>
      <c r="C53" s="164"/>
      <c r="D53" s="164"/>
      <c r="E53" s="164"/>
      <c r="F53" s="164"/>
      <c r="G53" s="164"/>
      <c r="H53" s="164"/>
      <c r="I53" s="164"/>
      <c r="J53" s="164"/>
      <c r="K53" s="164"/>
      <c r="L53" s="164"/>
      <c r="M53" s="164"/>
      <c r="N53" s="164"/>
      <c r="O53" s="164"/>
      <c r="P53" s="164"/>
      <c r="Q53" s="164"/>
      <c r="R53" s="164"/>
      <c r="S53" s="164"/>
      <c r="T53" s="164"/>
      <c r="U53" s="164"/>
      <c r="V53" s="164"/>
      <c r="W53" s="164"/>
      <c r="X53" s="164"/>
    </row>
    <row r="54" spans="1:24" ht="15.75" thickBot="1">
      <c r="A54" s="160">
        <v>7891</v>
      </c>
      <c r="B54" s="160">
        <v>7897</v>
      </c>
      <c r="C54" s="164"/>
      <c r="D54" s="164"/>
      <c r="E54" s="164"/>
      <c r="F54" s="164"/>
      <c r="G54" s="164"/>
      <c r="H54" s="164"/>
      <c r="I54" s="164"/>
      <c r="J54" s="164"/>
      <c r="K54" s="164"/>
      <c r="L54" s="164"/>
      <c r="M54" s="164"/>
      <c r="N54" s="164"/>
      <c r="O54" s="164"/>
      <c r="P54" s="164"/>
      <c r="Q54" s="164"/>
      <c r="R54" s="164"/>
      <c r="S54" s="164"/>
      <c r="T54" s="164"/>
      <c r="U54" s="164"/>
      <c r="V54" s="164"/>
      <c r="W54" s="164"/>
      <c r="X54" s="164"/>
    </row>
    <row r="55" spans="1:24" ht="15.75" thickBot="1">
      <c r="A55" s="160">
        <v>7891</v>
      </c>
      <c r="B55" s="160">
        <v>7898</v>
      </c>
      <c r="C55" s="164"/>
      <c r="D55" s="164"/>
      <c r="E55" s="164"/>
      <c r="F55" s="164"/>
      <c r="G55" s="164"/>
      <c r="H55" s="164"/>
      <c r="I55" s="164"/>
      <c r="J55" s="164"/>
      <c r="K55" s="164"/>
      <c r="L55" s="164"/>
      <c r="M55" s="164"/>
      <c r="N55" s="164"/>
      <c r="O55" s="164"/>
      <c r="P55" s="164"/>
      <c r="Q55" s="164"/>
      <c r="R55" s="164"/>
      <c r="S55" s="164"/>
      <c r="T55" s="164"/>
      <c r="U55" s="164"/>
      <c r="V55" s="164"/>
      <c r="W55" s="164"/>
      <c r="X55" s="164"/>
    </row>
    <row r="56" spans="1:24" ht="15.75" thickBot="1">
      <c r="A56" s="160">
        <v>7891</v>
      </c>
      <c r="B56" s="160">
        <v>7899</v>
      </c>
      <c r="C56" s="164"/>
      <c r="D56" s="164"/>
      <c r="E56" s="164"/>
      <c r="F56" s="164"/>
      <c r="G56" s="164"/>
      <c r="H56" s="164"/>
      <c r="I56" s="164"/>
      <c r="J56" s="164"/>
      <c r="K56" s="164"/>
      <c r="L56" s="164"/>
      <c r="M56" s="164"/>
      <c r="N56" s="164"/>
      <c r="O56" s="164"/>
      <c r="P56" s="164"/>
      <c r="Q56" s="164"/>
      <c r="R56" s="164"/>
      <c r="S56" s="164"/>
      <c r="T56" s="164"/>
      <c r="U56" s="164"/>
      <c r="V56" s="164"/>
      <c r="W56" s="164"/>
      <c r="X56" s="164"/>
    </row>
    <row r="57" spans="1:24" ht="15.75" thickBot="1">
      <c r="A57" s="160">
        <v>7891</v>
      </c>
      <c r="B57" s="160">
        <v>7900</v>
      </c>
      <c r="C57" s="164"/>
      <c r="D57" s="164"/>
      <c r="E57" s="164"/>
      <c r="F57" s="164"/>
      <c r="G57" s="164"/>
      <c r="H57" s="164"/>
      <c r="I57" s="164"/>
      <c r="J57" s="164"/>
      <c r="K57" s="164"/>
      <c r="L57" s="164"/>
      <c r="M57" s="164"/>
      <c r="N57" s="164"/>
      <c r="O57" s="164"/>
      <c r="P57" s="164"/>
      <c r="Q57" s="164"/>
      <c r="R57" s="164"/>
      <c r="S57" s="164"/>
      <c r="T57" s="164"/>
      <c r="U57" s="164"/>
      <c r="V57" s="164"/>
      <c r="W57" s="164"/>
      <c r="X57" s="164"/>
    </row>
    <row r="58" spans="1:24" ht="15.75" thickBot="1">
      <c r="A58" s="160">
        <v>7891</v>
      </c>
      <c r="B58" s="160">
        <v>7901</v>
      </c>
      <c r="C58" s="164"/>
      <c r="D58" s="164"/>
      <c r="E58" s="164"/>
      <c r="F58" s="164"/>
      <c r="G58" s="164"/>
      <c r="H58" s="164"/>
      <c r="I58" s="164"/>
      <c r="J58" s="164"/>
      <c r="K58" s="164"/>
      <c r="L58" s="164"/>
      <c r="M58" s="164"/>
      <c r="N58" s="164"/>
      <c r="O58" s="164"/>
      <c r="P58" s="164"/>
      <c r="Q58" s="164"/>
      <c r="R58" s="164"/>
      <c r="S58" s="164"/>
      <c r="T58" s="164"/>
      <c r="U58" s="164"/>
      <c r="V58" s="164"/>
      <c r="W58" s="164"/>
      <c r="X58" s="164"/>
    </row>
    <row r="59" spans="1:24" ht="15.75" thickBot="1">
      <c r="A59" s="160">
        <v>7891</v>
      </c>
      <c r="B59" s="160">
        <v>7902</v>
      </c>
      <c r="C59" s="164"/>
      <c r="D59" s="164"/>
      <c r="E59" s="164"/>
      <c r="F59" s="164"/>
      <c r="G59" s="164"/>
      <c r="H59" s="164"/>
      <c r="I59" s="164"/>
      <c r="J59" s="164"/>
      <c r="K59" s="164"/>
      <c r="L59" s="164"/>
      <c r="M59" s="164"/>
      <c r="N59" s="164"/>
      <c r="O59" s="164"/>
      <c r="P59" s="164"/>
      <c r="Q59" s="164"/>
      <c r="R59" s="164"/>
      <c r="S59" s="164"/>
      <c r="T59" s="164"/>
      <c r="U59" s="164"/>
      <c r="V59" s="164"/>
      <c r="W59" s="164"/>
      <c r="X59" s="164"/>
    </row>
    <row r="60" spans="1:24" ht="15.75" thickBot="1">
      <c r="A60" s="160">
        <v>11925</v>
      </c>
      <c r="B60" s="160">
        <v>11926</v>
      </c>
      <c r="C60" s="164"/>
      <c r="D60" s="164"/>
      <c r="E60" s="164"/>
      <c r="F60" s="164"/>
      <c r="G60" s="164"/>
      <c r="H60" s="164"/>
      <c r="I60" s="164"/>
      <c r="J60" s="164"/>
      <c r="K60" s="164"/>
      <c r="L60" s="164"/>
      <c r="M60" s="164"/>
      <c r="N60" s="164"/>
      <c r="O60" s="164"/>
      <c r="P60" s="164"/>
      <c r="Q60" s="164"/>
      <c r="R60" s="164"/>
      <c r="S60" s="164"/>
      <c r="T60" s="164"/>
      <c r="U60" s="164"/>
      <c r="V60" s="164"/>
      <c r="W60" s="164"/>
      <c r="X60" s="164"/>
    </row>
    <row r="61" spans="1:24" ht="15.75" thickBot="1">
      <c r="A61" s="160">
        <v>11925</v>
      </c>
      <c r="B61" s="160">
        <v>11927</v>
      </c>
      <c r="C61" s="164"/>
      <c r="D61" s="164"/>
      <c r="E61" s="164"/>
      <c r="F61" s="164"/>
      <c r="G61" s="164"/>
      <c r="H61" s="164"/>
      <c r="I61" s="164"/>
      <c r="J61" s="164"/>
      <c r="K61" s="164"/>
      <c r="L61" s="164"/>
      <c r="M61" s="164"/>
      <c r="N61" s="164"/>
      <c r="O61" s="164"/>
      <c r="P61" s="164"/>
      <c r="Q61" s="164"/>
      <c r="R61" s="164"/>
      <c r="S61" s="164"/>
      <c r="T61" s="164"/>
      <c r="U61" s="164"/>
      <c r="V61" s="164"/>
      <c r="W61" s="164"/>
      <c r="X61" s="164"/>
    </row>
    <row r="62" spans="1:24" ht="15.75" thickBot="1">
      <c r="A62" s="160">
        <v>11925</v>
      </c>
      <c r="B62" s="160">
        <v>11928</v>
      </c>
      <c r="C62" s="164"/>
      <c r="D62" s="164"/>
      <c r="E62" s="164"/>
      <c r="F62" s="164"/>
      <c r="G62" s="164"/>
      <c r="H62" s="164"/>
      <c r="I62" s="164"/>
      <c r="J62" s="164"/>
      <c r="K62" s="164"/>
      <c r="L62" s="164"/>
      <c r="M62" s="164"/>
      <c r="N62" s="164"/>
      <c r="O62" s="164"/>
      <c r="P62" s="164"/>
      <c r="Q62" s="164"/>
      <c r="R62" s="164"/>
      <c r="S62" s="164"/>
      <c r="T62" s="164"/>
      <c r="U62" s="164"/>
      <c r="V62" s="164"/>
      <c r="W62" s="164"/>
      <c r="X62" s="164"/>
    </row>
    <row r="63" spans="1:24" ht="15.75" thickBot="1">
      <c r="A63" s="160">
        <v>11925</v>
      </c>
      <c r="B63" s="160">
        <v>11929</v>
      </c>
      <c r="C63" s="164"/>
      <c r="D63" s="164"/>
      <c r="E63" s="164"/>
      <c r="F63" s="164"/>
      <c r="G63" s="164"/>
      <c r="H63" s="164"/>
      <c r="I63" s="164"/>
      <c r="J63" s="164"/>
      <c r="K63" s="164"/>
      <c r="L63" s="164"/>
      <c r="M63" s="164"/>
      <c r="N63" s="164"/>
      <c r="O63" s="164"/>
      <c r="P63" s="164"/>
      <c r="Q63" s="164"/>
      <c r="R63" s="164"/>
      <c r="S63" s="164"/>
      <c r="T63" s="164"/>
      <c r="U63" s="164"/>
      <c r="V63" s="164"/>
      <c r="W63" s="164"/>
      <c r="X63" s="164"/>
    </row>
    <row r="64" spans="1:24" ht="15.75" thickBot="1">
      <c r="A64" s="160">
        <v>11925</v>
      </c>
      <c r="B64" s="160">
        <v>11930</v>
      </c>
      <c r="C64" s="164"/>
      <c r="D64" s="164"/>
      <c r="E64" s="164"/>
      <c r="F64" s="164"/>
      <c r="G64" s="164"/>
      <c r="H64" s="164"/>
      <c r="I64" s="164"/>
      <c r="J64" s="164"/>
      <c r="K64" s="164"/>
      <c r="L64" s="164"/>
      <c r="M64" s="164"/>
      <c r="N64" s="164"/>
      <c r="O64" s="164"/>
      <c r="P64" s="164"/>
      <c r="Q64" s="164"/>
      <c r="R64" s="164"/>
      <c r="S64" s="164"/>
      <c r="T64" s="164"/>
      <c r="U64" s="164"/>
      <c r="V64" s="164"/>
      <c r="W64" s="164"/>
      <c r="X64" s="164"/>
    </row>
    <row r="65" spans="1:24" ht="15.75" thickBot="1">
      <c r="A65" s="160">
        <v>11925</v>
      </c>
      <c r="B65" s="160">
        <v>11932</v>
      </c>
      <c r="C65" s="164"/>
      <c r="D65" s="164"/>
      <c r="E65" s="164"/>
      <c r="F65" s="164"/>
      <c r="G65" s="164"/>
      <c r="H65" s="164"/>
      <c r="I65" s="164"/>
      <c r="J65" s="164"/>
      <c r="K65" s="164"/>
      <c r="L65" s="164"/>
      <c r="M65" s="164"/>
      <c r="N65" s="164"/>
      <c r="O65" s="164"/>
      <c r="P65" s="164"/>
      <c r="Q65" s="164"/>
      <c r="R65" s="164"/>
      <c r="S65" s="164"/>
      <c r="T65" s="164"/>
      <c r="U65" s="164"/>
      <c r="V65" s="164"/>
      <c r="W65" s="164"/>
      <c r="X65" s="164"/>
    </row>
    <row r="66" spans="1:24" ht="15.75" thickBot="1">
      <c r="A66" s="160">
        <v>11925</v>
      </c>
      <c r="B66" s="160">
        <v>11933</v>
      </c>
      <c r="C66" s="164"/>
      <c r="D66" s="164"/>
      <c r="E66" s="164"/>
      <c r="F66" s="164"/>
      <c r="G66" s="164"/>
      <c r="H66" s="164"/>
      <c r="I66" s="164"/>
      <c r="J66" s="164"/>
      <c r="K66" s="164"/>
      <c r="L66" s="164"/>
      <c r="M66" s="164"/>
      <c r="N66" s="164"/>
      <c r="O66" s="164"/>
      <c r="P66" s="164"/>
      <c r="Q66" s="164"/>
      <c r="R66" s="164"/>
      <c r="S66" s="164"/>
      <c r="T66" s="164"/>
      <c r="U66" s="164"/>
      <c r="V66" s="164"/>
      <c r="W66" s="164"/>
      <c r="X66" s="164"/>
    </row>
    <row r="67" spans="1:24" ht="15.75" thickBot="1">
      <c r="A67" s="160">
        <v>11925</v>
      </c>
      <c r="B67" s="160">
        <v>11934</v>
      </c>
      <c r="C67" s="164"/>
      <c r="D67" s="164"/>
      <c r="E67" s="164"/>
      <c r="F67" s="164"/>
      <c r="G67" s="164"/>
      <c r="H67" s="164"/>
      <c r="I67" s="164"/>
      <c r="J67" s="164"/>
      <c r="K67" s="164"/>
      <c r="L67" s="164"/>
      <c r="M67" s="164"/>
      <c r="N67" s="164"/>
      <c r="O67" s="164"/>
      <c r="P67" s="164"/>
      <c r="Q67" s="164"/>
      <c r="R67" s="164"/>
      <c r="S67" s="164"/>
      <c r="T67" s="164"/>
      <c r="U67" s="164"/>
      <c r="V67" s="164"/>
      <c r="W67" s="164"/>
      <c r="X67" s="164"/>
    </row>
    <row r="68" spans="1:24" ht="15.75" thickBot="1">
      <c r="A68" s="160">
        <v>11925</v>
      </c>
      <c r="B68" s="160">
        <v>11935</v>
      </c>
      <c r="C68" s="164"/>
      <c r="D68" s="164"/>
      <c r="E68" s="164"/>
      <c r="F68" s="164"/>
      <c r="G68" s="164"/>
      <c r="H68" s="164"/>
      <c r="I68" s="164"/>
      <c r="J68" s="164"/>
      <c r="K68" s="164"/>
      <c r="L68" s="164"/>
      <c r="M68" s="164"/>
      <c r="N68" s="164"/>
      <c r="O68" s="164"/>
      <c r="P68" s="164"/>
      <c r="Q68" s="164"/>
      <c r="R68" s="164"/>
      <c r="S68" s="164"/>
      <c r="T68" s="164"/>
      <c r="U68" s="164"/>
      <c r="V68" s="164"/>
      <c r="W68" s="164"/>
      <c r="X68" s="164"/>
    </row>
    <row r="69" spans="1:24" ht="15.75" thickBot="1">
      <c r="A69" s="160">
        <v>11925</v>
      </c>
      <c r="B69" s="160">
        <v>11936</v>
      </c>
      <c r="C69" s="164"/>
      <c r="D69" s="164"/>
      <c r="E69" s="164"/>
      <c r="F69" s="164"/>
      <c r="G69" s="164"/>
      <c r="H69" s="164"/>
      <c r="I69" s="164"/>
      <c r="J69" s="164"/>
      <c r="K69" s="164"/>
      <c r="L69" s="164"/>
      <c r="M69" s="164"/>
      <c r="N69" s="164"/>
      <c r="O69" s="164"/>
      <c r="P69" s="164"/>
      <c r="Q69" s="164"/>
      <c r="R69" s="164"/>
      <c r="S69" s="164"/>
      <c r="T69" s="164"/>
      <c r="U69" s="164"/>
      <c r="V69" s="164"/>
      <c r="W69" s="164"/>
      <c r="X69" s="164"/>
    </row>
    <row r="70" spans="1:24" ht="15.75" thickBot="1">
      <c r="A70" s="160">
        <v>11925</v>
      </c>
      <c r="B70" s="160">
        <v>11937</v>
      </c>
      <c r="C70" s="164"/>
      <c r="D70" s="164"/>
      <c r="E70" s="164"/>
      <c r="F70" s="164"/>
      <c r="G70" s="164"/>
      <c r="H70" s="164"/>
      <c r="I70" s="164"/>
      <c r="J70" s="164"/>
      <c r="K70" s="164"/>
      <c r="L70" s="164"/>
      <c r="M70" s="164"/>
      <c r="N70" s="164"/>
      <c r="O70" s="164"/>
      <c r="P70" s="164"/>
      <c r="Q70" s="164"/>
      <c r="R70" s="164"/>
      <c r="S70" s="164"/>
      <c r="T70" s="164"/>
      <c r="U70" s="164"/>
      <c r="V70" s="164"/>
      <c r="W70" s="164"/>
      <c r="X70" s="164"/>
    </row>
    <row r="71" spans="1:24" ht="15.75" thickBot="1">
      <c r="A71" s="160">
        <v>11939</v>
      </c>
      <c r="B71" s="160">
        <v>11942</v>
      </c>
      <c r="C71" s="164"/>
      <c r="D71" s="164"/>
      <c r="E71" s="164"/>
      <c r="F71" s="164"/>
      <c r="G71" s="164"/>
      <c r="H71" s="164"/>
      <c r="I71" s="164"/>
      <c r="J71" s="164"/>
      <c r="K71" s="164"/>
      <c r="L71" s="164"/>
      <c r="M71" s="164"/>
      <c r="N71" s="164"/>
      <c r="O71" s="164"/>
      <c r="P71" s="164"/>
      <c r="Q71" s="164"/>
      <c r="R71" s="164"/>
      <c r="S71" s="164"/>
      <c r="T71" s="164"/>
      <c r="U71" s="164"/>
      <c r="V71" s="164"/>
      <c r="W71" s="164"/>
      <c r="X71" s="164"/>
    </row>
    <row r="72" spans="1:24" ht="15.75" thickBot="1">
      <c r="A72" s="160">
        <v>11939</v>
      </c>
      <c r="B72" s="160">
        <v>11943</v>
      </c>
      <c r="C72" s="164"/>
      <c r="D72" s="164"/>
      <c r="E72" s="164"/>
      <c r="F72" s="164"/>
      <c r="G72" s="164"/>
      <c r="H72" s="164"/>
      <c r="I72" s="164"/>
      <c r="J72" s="164"/>
      <c r="K72" s="164"/>
      <c r="L72" s="164"/>
      <c r="M72" s="164"/>
      <c r="N72" s="164"/>
      <c r="O72" s="164"/>
      <c r="P72" s="164"/>
      <c r="Q72" s="164"/>
      <c r="R72" s="164"/>
      <c r="S72" s="164"/>
      <c r="T72" s="164"/>
      <c r="U72" s="164"/>
      <c r="V72" s="164"/>
      <c r="W72" s="164"/>
      <c r="X72" s="164"/>
    </row>
    <row r="73" spans="1:24" ht="15.75" thickBot="1">
      <c r="A73" s="160">
        <v>11939</v>
      </c>
      <c r="B73" s="160">
        <v>11944</v>
      </c>
      <c r="C73" s="164"/>
      <c r="D73" s="164"/>
      <c r="E73" s="164"/>
      <c r="F73" s="164"/>
      <c r="G73" s="164"/>
      <c r="H73" s="164"/>
      <c r="I73" s="164"/>
      <c r="J73" s="164"/>
      <c r="K73" s="164"/>
      <c r="L73" s="164"/>
      <c r="M73" s="164"/>
      <c r="N73" s="164"/>
      <c r="O73" s="164"/>
      <c r="P73" s="164"/>
      <c r="Q73" s="164"/>
      <c r="R73" s="164"/>
      <c r="S73" s="164"/>
      <c r="T73" s="164"/>
      <c r="U73" s="164"/>
      <c r="V73" s="164"/>
      <c r="W73" s="164"/>
      <c r="X73" s="164"/>
    </row>
    <row r="74" spans="1:24" ht="15.75" thickBot="1">
      <c r="A74" s="160">
        <v>11939</v>
      </c>
      <c r="B74" s="160">
        <v>11945</v>
      </c>
      <c r="C74" s="164"/>
      <c r="D74" s="164"/>
      <c r="E74" s="164"/>
      <c r="F74" s="164"/>
      <c r="G74" s="164"/>
      <c r="H74" s="164"/>
      <c r="I74" s="164"/>
      <c r="J74" s="164"/>
      <c r="K74" s="164"/>
      <c r="L74" s="164"/>
      <c r="M74" s="164"/>
      <c r="N74" s="164"/>
      <c r="O74" s="164"/>
      <c r="P74" s="164"/>
      <c r="Q74" s="164"/>
      <c r="R74" s="164"/>
      <c r="S74" s="164"/>
      <c r="T74" s="164"/>
      <c r="U74" s="164"/>
      <c r="V74" s="164"/>
      <c r="W74" s="164"/>
      <c r="X74" s="164"/>
    </row>
    <row r="75" spans="1:24" ht="15.75" thickBot="1">
      <c r="A75" s="160">
        <v>11939</v>
      </c>
      <c r="B75" s="160">
        <v>11946</v>
      </c>
      <c r="C75" s="164"/>
      <c r="D75" s="164"/>
      <c r="E75" s="164"/>
      <c r="F75" s="164"/>
      <c r="G75" s="164"/>
      <c r="H75" s="164"/>
      <c r="I75" s="164"/>
      <c r="J75" s="164"/>
      <c r="K75" s="164"/>
      <c r="L75" s="164"/>
      <c r="M75" s="164"/>
      <c r="N75" s="164"/>
      <c r="O75" s="164"/>
      <c r="P75" s="164"/>
      <c r="Q75" s="164"/>
      <c r="R75" s="164"/>
      <c r="S75" s="164"/>
      <c r="T75" s="164"/>
      <c r="U75" s="164"/>
      <c r="V75" s="164"/>
      <c r="W75" s="164"/>
      <c r="X75" s="164"/>
    </row>
    <row r="76" spans="1:24" ht="15.75" thickBot="1">
      <c r="A76" s="160">
        <v>11939</v>
      </c>
      <c r="B76" s="160">
        <v>11947</v>
      </c>
      <c r="C76" s="164"/>
      <c r="D76" s="164"/>
      <c r="E76" s="164"/>
      <c r="F76" s="164"/>
      <c r="G76" s="164"/>
      <c r="H76" s="164"/>
      <c r="I76" s="164"/>
      <c r="J76" s="164"/>
      <c r="K76" s="164"/>
      <c r="L76" s="164"/>
      <c r="M76" s="164"/>
      <c r="N76" s="164"/>
      <c r="O76" s="164"/>
      <c r="P76" s="164"/>
      <c r="Q76" s="164"/>
      <c r="R76" s="164"/>
      <c r="S76" s="164"/>
      <c r="T76" s="164"/>
      <c r="U76" s="164"/>
      <c r="V76" s="164"/>
      <c r="W76" s="164"/>
      <c r="X76" s="164"/>
    </row>
    <row r="77" spans="1:24" ht="15.75" thickBot="1">
      <c r="A77" s="160">
        <v>11939</v>
      </c>
      <c r="B77" s="160">
        <v>11948</v>
      </c>
      <c r="C77" s="164"/>
      <c r="D77" s="164"/>
      <c r="E77" s="164"/>
      <c r="F77" s="164"/>
      <c r="G77" s="164"/>
      <c r="H77" s="164"/>
      <c r="I77" s="164"/>
      <c r="J77" s="164"/>
      <c r="K77" s="164"/>
      <c r="L77" s="164"/>
      <c r="M77" s="164"/>
      <c r="N77" s="164"/>
      <c r="O77" s="164"/>
      <c r="P77" s="164"/>
      <c r="Q77" s="164"/>
      <c r="R77" s="164"/>
      <c r="S77" s="164"/>
      <c r="T77" s="164"/>
      <c r="U77" s="164"/>
      <c r="V77" s="164"/>
      <c r="W77" s="164"/>
      <c r="X77" s="164"/>
    </row>
    <row r="78" spans="1:24" ht="15.75" thickBot="1">
      <c r="A78" s="160">
        <v>11939</v>
      </c>
      <c r="B78" s="160">
        <v>11949</v>
      </c>
      <c r="C78" s="164"/>
      <c r="D78" s="164"/>
      <c r="E78" s="164"/>
      <c r="F78" s="164"/>
      <c r="G78" s="164"/>
      <c r="H78" s="164"/>
      <c r="I78" s="164"/>
      <c r="J78" s="164"/>
      <c r="K78" s="164"/>
      <c r="L78" s="164"/>
      <c r="M78" s="164"/>
      <c r="N78" s="164"/>
      <c r="O78" s="164"/>
      <c r="P78" s="164"/>
      <c r="Q78" s="164"/>
      <c r="R78" s="164"/>
      <c r="S78" s="164"/>
      <c r="T78" s="164"/>
      <c r="U78" s="164"/>
      <c r="V78" s="164"/>
      <c r="W78" s="164"/>
      <c r="X78" s="164"/>
    </row>
    <row r="79" spans="1:24" ht="15.75" thickBot="1">
      <c r="A79" s="160">
        <v>11939</v>
      </c>
      <c r="B79" s="160">
        <v>11950</v>
      </c>
      <c r="C79" s="164"/>
      <c r="D79" s="164"/>
      <c r="E79" s="164"/>
      <c r="F79" s="164"/>
      <c r="G79" s="164"/>
      <c r="H79" s="164"/>
      <c r="I79" s="164"/>
      <c r="J79" s="164"/>
      <c r="K79" s="164"/>
      <c r="L79" s="164"/>
      <c r="M79" s="164"/>
      <c r="N79" s="164"/>
      <c r="O79" s="164"/>
      <c r="P79" s="164"/>
      <c r="Q79" s="164"/>
      <c r="R79" s="164"/>
      <c r="S79" s="164"/>
      <c r="T79" s="164"/>
      <c r="U79" s="164"/>
      <c r="V79" s="164"/>
      <c r="W79" s="164"/>
      <c r="X79" s="164"/>
    </row>
    <row r="80" spans="1:24" ht="15.75" thickBot="1">
      <c r="A80" s="160">
        <v>11939</v>
      </c>
      <c r="B80" s="160">
        <v>11979</v>
      </c>
      <c r="C80" s="164"/>
      <c r="D80" s="164"/>
      <c r="E80" s="164"/>
      <c r="F80" s="164"/>
      <c r="G80" s="164"/>
      <c r="H80" s="164"/>
      <c r="I80" s="164"/>
      <c r="J80" s="164"/>
      <c r="K80" s="164"/>
      <c r="L80" s="164"/>
      <c r="M80" s="164"/>
      <c r="N80" s="164"/>
      <c r="O80" s="164"/>
      <c r="P80" s="164"/>
      <c r="Q80" s="164"/>
      <c r="R80" s="164"/>
      <c r="S80" s="164"/>
      <c r="T80" s="164"/>
      <c r="U80" s="164"/>
      <c r="V80" s="164"/>
      <c r="W80" s="164"/>
      <c r="X80" s="164"/>
    </row>
    <row r="81" spans="1:24" ht="15.75" thickBot="1">
      <c r="A81" s="160">
        <v>11939</v>
      </c>
      <c r="B81" s="160">
        <v>11980</v>
      </c>
      <c r="C81" s="164"/>
      <c r="D81" s="164"/>
      <c r="E81" s="164"/>
      <c r="F81" s="164"/>
      <c r="G81" s="164"/>
      <c r="H81" s="164"/>
      <c r="I81" s="164"/>
      <c r="J81" s="164"/>
      <c r="K81" s="164"/>
      <c r="L81" s="164"/>
      <c r="M81" s="164"/>
      <c r="N81" s="164"/>
      <c r="O81" s="164"/>
      <c r="P81" s="164"/>
      <c r="Q81" s="164"/>
      <c r="R81" s="164"/>
      <c r="S81" s="164"/>
      <c r="T81" s="164"/>
      <c r="U81" s="164"/>
      <c r="V81" s="164"/>
      <c r="W81" s="164"/>
      <c r="X81" s="164"/>
    </row>
    <row r="82" spans="1:24" ht="15.75" thickBot="1">
      <c r="A82" s="160">
        <v>11939</v>
      </c>
      <c r="B82" s="160">
        <v>11981</v>
      </c>
      <c r="C82" s="164"/>
      <c r="D82" s="164"/>
      <c r="E82" s="164"/>
      <c r="F82" s="164"/>
      <c r="G82" s="164"/>
      <c r="H82" s="164"/>
      <c r="I82" s="164"/>
      <c r="J82" s="164"/>
      <c r="K82" s="164"/>
      <c r="L82" s="164"/>
      <c r="M82" s="164"/>
      <c r="N82" s="164"/>
      <c r="O82" s="164"/>
      <c r="P82" s="164"/>
      <c r="Q82" s="164"/>
      <c r="R82" s="164"/>
      <c r="S82" s="164"/>
      <c r="T82" s="164"/>
      <c r="U82" s="164"/>
      <c r="V82" s="164"/>
      <c r="W82" s="164"/>
      <c r="X82" s="164"/>
    </row>
    <row r="83" spans="1:24" ht="15.75" thickBot="1">
      <c r="A83" s="160">
        <v>11342</v>
      </c>
      <c r="B83" s="160">
        <v>11343</v>
      </c>
      <c r="C83" s="164"/>
      <c r="D83" s="164"/>
      <c r="E83" s="164"/>
      <c r="F83" s="164"/>
      <c r="G83" s="164"/>
      <c r="H83" s="164"/>
      <c r="I83" s="164"/>
      <c r="J83" s="164"/>
      <c r="K83" s="164"/>
      <c r="L83" s="164"/>
      <c r="M83" s="164"/>
      <c r="N83" s="164"/>
      <c r="O83" s="164"/>
      <c r="P83" s="164"/>
      <c r="Q83" s="164"/>
      <c r="R83" s="164"/>
      <c r="S83" s="164"/>
      <c r="T83" s="164"/>
      <c r="U83" s="164"/>
      <c r="V83" s="164"/>
      <c r="W83" s="164"/>
      <c r="X83" s="164"/>
    </row>
    <row r="84" spans="1:24" ht="15.75" thickBot="1">
      <c r="A84" s="160">
        <v>11342</v>
      </c>
      <c r="B84" s="160">
        <v>11344</v>
      </c>
      <c r="C84" s="164"/>
      <c r="D84" s="164"/>
      <c r="E84" s="164"/>
      <c r="F84" s="164"/>
      <c r="G84" s="164"/>
      <c r="H84" s="164"/>
      <c r="I84" s="164"/>
      <c r="J84" s="164"/>
      <c r="K84" s="164"/>
      <c r="L84" s="164"/>
      <c r="M84" s="164"/>
      <c r="N84" s="164"/>
      <c r="O84" s="164"/>
      <c r="P84" s="164"/>
      <c r="Q84" s="164"/>
      <c r="R84" s="164"/>
      <c r="S84" s="164"/>
      <c r="T84" s="164"/>
      <c r="U84" s="164"/>
      <c r="V84" s="164"/>
      <c r="W84" s="164"/>
      <c r="X84" s="164"/>
    </row>
    <row r="85" spans="1:24" ht="15.75" thickBot="1">
      <c r="A85" s="160">
        <v>11342</v>
      </c>
      <c r="B85" s="160">
        <v>11345</v>
      </c>
      <c r="C85" s="164"/>
      <c r="D85" s="164"/>
      <c r="E85" s="164"/>
      <c r="F85" s="164"/>
      <c r="G85" s="164"/>
      <c r="H85" s="164"/>
      <c r="I85" s="164"/>
      <c r="J85" s="164"/>
      <c r="K85" s="164"/>
      <c r="L85" s="164"/>
      <c r="M85" s="164"/>
      <c r="N85" s="164"/>
      <c r="O85" s="164"/>
      <c r="P85" s="164"/>
      <c r="Q85" s="164"/>
      <c r="R85" s="164"/>
      <c r="S85" s="164"/>
      <c r="T85" s="164"/>
      <c r="U85" s="164"/>
      <c r="V85" s="164"/>
      <c r="W85" s="164"/>
      <c r="X85" s="164"/>
    </row>
  </sheetData>
  <sheetProtection formatColumns="0"/>
  <customSheetViews>
    <customSheetView guid="{AE318230-F718-49FC-82EB-7CAC3DCD05F1}" showGridLines="0" hiddenRows="1" topLeftCell="O1">
      <selection activeCell="X26" sqref="X26"/>
      <pageMargins left="0.7" right="0.7" top="0.75" bottom="0.75" header="0.3" footer="0.3"/>
    </customSheetView>
  </customSheetViews>
  <dataValidations count="8">
    <dataValidation type="list" allowBlank="1" showInputMessage="1" showErrorMessage="1" sqref="J2:J19" xr:uid="{00000000-0002-0000-0600-000000000000}">
      <formula1>israel_abroad</formula1>
    </dataValidation>
    <dataValidation type="list" allowBlank="1" showInputMessage="1" showErrorMessage="1" sqref="O2:O19" xr:uid="{00000000-0002-0000-0600-000001000000}">
      <formula1>Holding_interest</formula1>
    </dataValidation>
    <dataValidation type="list" allowBlank="1" showInputMessage="1" showErrorMessage="1" sqref="K2:K20" xr:uid="{00000000-0002-0000-0600-000002000000}">
      <formula1>Country_list</formula1>
    </dataValidation>
    <dataValidation type="list" allowBlank="1" showInputMessage="1" showErrorMessage="1" sqref="E2:E20" xr:uid="{00000000-0002-0000-0600-000003000000}">
      <formula1>Issuer_Number_Type_2</formula1>
    </dataValidation>
    <dataValidation type="list" allowBlank="1" showInputMessage="1" showErrorMessage="1" sqref="H2:H20" xr:uid="{00000000-0002-0000-0600-000004000000}">
      <formula1>Security_ID_Number_Type</formula1>
    </dataValidation>
    <dataValidation type="list" allowBlank="1" showInputMessage="1" showErrorMessage="1" sqref="N2:N21" xr:uid="{00000000-0002-0000-0600-000005000000}">
      <formula1>Industry_Sector</formula1>
    </dataValidation>
    <dataValidation type="list" allowBlank="1" showInputMessage="1" showErrorMessage="1" sqref="L2:L20" xr:uid="{00000000-0002-0000-0600-000006000000}">
      <formula1>Tradeable_Status</formula1>
    </dataValidation>
    <dataValidation type="list" allowBlank="1" showInputMessage="1" showErrorMessage="1" sqref="M2:M20" xr:uid="{00000000-0002-0000-0600-000007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8000000}">
          <x14:formula1>
            <xm:f>'אפשרויות בחירה'!$C$884:$C$889</xm:f>
          </x14:formula1>
          <xm:sqref>I2:I19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9"/>
  <dimension ref="A1:W220"/>
  <sheetViews>
    <sheetView rightToLeft="1" workbookViewId="0">
      <selection activeCell="C3" sqref="C3:D5"/>
    </sheetView>
  </sheetViews>
  <sheetFormatPr defaultColWidth="9" defaultRowHeight="15"/>
  <cols>
    <col min="1" max="2" width="11.5703125" style="2" customWidth="1"/>
    <col min="3" max="3" width="20.7109375" style="2" bestFit="1" customWidth="1"/>
    <col min="4" max="4" width="11.5703125" style="2" customWidth="1"/>
    <col min="5" max="5" width="11.5703125" style="4" customWidth="1"/>
    <col min="6" max="6" width="28" style="2" bestFit="1" customWidth="1"/>
    <col min="7" max="8" width="11.5703125" style="2" customWidth="1"/>
    <col min="9" max="9" width="26" style="2" bestFit="1" customWidth="1"/>
    <col min="10" max="11" width="11.5703125" style="2" customWidth="1"/>
    <col min="12" max="12" width="11.5703125" style="2"/>
    <col min="13" max="13" width="59.85546875" style="2" bestFit="1" customWidth="1"/>
    <col min="14" max="15" width="11.5703125" style="2" customWidth="1"/>
    <col min="16" max="16" width="11.5703125" style="4" customWidth="1"/>
    <col min="17" max="24" width="11.5703125" style="2" customWidth="1"/>
    <col min="25" max="16384" width="9" style="2"/>
  </cols>
  <sheetData>
    <row r="1" spans="1:23" ht="66.75" customHeight="1">
      <c r="A1" s="21" t="s">
        <v>667</v>
      </c>
      <c r="B1" s="21" t="s">
        <v>0</v>
      </c>
      <c r="C1" s="21" t="s">
        <v>740</v>
      </c>
      <c r="D1" s="21" t="s">
        <v>2</v>
      </c>
      <c r="E1" s="21" t="s">
        <v>756</v>
      </c>
      <c r="F1" s="21" t="s">
        <v>1163</v>
      </c>
      <c r="G1" s="21" t="s">
        <v>29</v>
      </c>
      <c r="H1" s="21" t="s">
        <v>28</v>
      </c>
      <c r="I1" s="21" t="s">
        <v>1</v>
      </c>
      <c r="J1" s="21" t="s">
        <v>620</v>
      </c>
      <c r="K1" s="21" t="s">
        <v>621</v>
      </c>
      <c r="L1" s="21" t="s">
        <v>5</v>
      </c>
      <c r="M1" s="21" t="s">
        <v>300</v>
      </c>
      <c r="N1" s="21" t="s">
        <v>622</v>
      </c>
      <c r="O1" s="21" t="s">
        <v>396</v>
      </c>
      <c r="P1" s="21" t="s">
        <v>789</v>
      </c>
      <c r="Q1" s="21" t="s">
        <v>11</v>
      </c>
      <c r="R1" s="21" t="s">
        <v>15</v>
      </c>
      <c r="S1" s="21" t="s">
        <v>955</v>
      </c>
      <c r="T1" s="21" t="s">
        <v>1171</v>
      </c>
      <c r="U1" s="21" t="s">
        <v>18</v>
      </c>
      <c r="V1" s="21" t="s">
        <v>19</v>
      </c>
      <c r="W1" s="21" t="s">
        <v>30</v>
      </c>
    </row>
    <row r="2" spans="1:23" ht="15.75" thickBot="1">
      <c r="A2" s="176">
        <v>7891</v>
      </c>
      <c r="B2" s="176">
        <v>7892</v>
      </c>
      <c r="C2" s="165" t="s">
        <v>1304</v>
      </c>
      <c r="D2" s="165" t="s">
        <v>1609</v>
      </c>
      <c r="E2" s="165" t="s">
        <v>429</v>
      </c>
      <c r="F2" s="165" t="s">
        <v>1305</v>
      </c>
      <c r="G2" s="165" t="s">
        <v>1610</v>
      </c>
      <c r="H2" s="165" t="s">
        <v>76</v>
      </c>
      <c r="I2" s="165" t="s">
        <v>234</v>
      </c>
      <c r="J2" s="165" t="s">
        <v>53</v>
      </c>
      <c r="K2" s="165" t="s">
        <v>53</v>
      </c>
      <c r="L2" s="165" t="s">
        <v>311</v>
      </c>
      <c r="M2" s="165" t="s">
        <v>1080</v>
      </c>
      <c r="N2" s="165" t="s">
        <v>62</v>
      </c>
      <c r="O2" s="165" t="s">
        <v>1208</v>
      </c>
      <c r="P2" s="168">
        <v>23974</v>
      </c>
      <c r="Q2" s="168">
        <v>1</v>
      </c>
      <c r="R2" s="168">
        <v>2092</v>
      </c>
      <c r="S2" s="168">
        <v>0</v>
      </c>
      <c r="T2" s="168">
        <v>501.53608000000003</v>
      </c>
      <c r="U2" s="169">
        <v>0</v>
      </c>
      <c r="V2" s="169">
        <v>0.25042628450100002</v>
      </c>
      <c r="W2" s="169">
        <v>0.230252112792</v>
      </c>
    </row>
    <row r="3" spans="1:23" ht="15.75" thickBot="1">
      <c r="A3" s="176">
        <v>7891</v>
      </c>
      <c r="B3" s="176">
        <v>7892</v>
      </c>
      <c r="C3" s="165" t="s">
        <v>1306</v>
      </c>
      <c r="D3" s="165" t="s">
        <v>1611</v>
      </c>
      <c r="E3" s="165" t="s">
        <v>429</v>
      </c>
      <c r="F3" s="165" t="s">
        <v>1307</v>
      </c>
      <c r="G3" s="165" t="s">
        <v>1612</v>
      </c>
      <c r="H3" s="165" t="s">
        <v>76</v>
      </c>
      <c r="I3" s="165" t="s">
        <v>234</v>
      </c>
      <c r="J3" s="165" t="s">
        <v>53</v>
      </c>
      <c r="K3" s="165" t="s">
        <v>53</v>
      </c>
      <c r="L3" s="165" t="s">
        <v>311</v>
      </c>
      <c r="M3" s="165" t="s">
        <v>1080</v>
      </c>
      <c r="N3" s="165" t="s">
        <v>62</v>
      </c>
      <c r="O3" s="165" t="s">
        <v>1208</v>
      </c>
      <c r="P3" s="168">
        <v>2412</v>
      </c>
      <c r="Q3" s="168">
        <v>1</v>
      </c>
      <c r="R3" s="168">
        <v>20810</v>
      </c>
      <c r="S3" s="168">
        <v>0</v>
      </c>
      <c r="T3" s="168">
        <v>501.93720000000002</v>
      </c>
      <c r="U3" s="169">
        <v>0</v>
      </c>
      <c r="V3" s="169">
        <v>0.25062657117100001</v>
      </c>
      <c r="W3" s="169">
        <v>0.230436264503</v>
      </c>
    </row>
    <row r="4" spans="1:23" ht="15.75" thickBot="1">
      <c r="A4" s="176">
        <v>7891</v>
      </c>
      <c r="B4" s="176">
        <v>7892</v>
      </c>
      <c r="C4" s="165" t="s">
        <v>1308</v>
      </c>
      <c r="D4" s="165" t="s">
        <v>1613</v>
      </c>
      <c r="E4" s="165" t="s">
        <v>429</v>
      </c>
      <c r="F4" s="165" t="s">
        <v>1309</v>
      </c>
      <c r="G4" s="165" t="s">
        <v>1614</v>
      </c>
      <c r="H4" s="165" t="s">
        <v>76</v>
      </c>
      <c r="I4" s="165" t="s">
        <v>234</v>
      </c>
      <c r="J4" s="165" t="s">
        <v>53</v>
      </c>
      <c r="K4" s="165" t="s">
        <v>53</v>
      </c>
      <c r="L4" s="165" t="s">
        <v>311</v>
      </c>
      <c r="M4" s="165" t="s">
        <v>1080</v>
      </c>
      <c r="N4" s="165" t="s">
        <v>62</v>
      </c>
      <c r="O4" s="165" t="s">
        <v>1208</v>
      </c>
      <c r="P4" s="168">
        <v>23830</v>
      </c>
      <c r="Q4" s="168">
        <v>1</v>
      </c>
      <c r="R4" s="168">
        <v>2094</v>
      </c>
      <c r="S4" s="168">
        <v>0</v>
      </c>
      <c r="T4" s="168">
        <v>499.00020000000001</v>
      </c>
      <c r="U4" s="169">
        <v>0</v>
      </c>
      <c r="V4" s="169">
        <v>0.24916007249399999</v>
      </c>
      <c r="W4" s="169">
        <v>0.22908790596600001</v>
      </c>
    </row>
    <row r="5" spans="1:23" ht="15.75" thickBot="1">
      <c r="A5" s="176">
        <v>7891</v>
      </c>
      <c r="B5" s="176">
        <v>7892</v>
      </c>
      <c r="C5" s="165" t="s">
        <v>1310</v>
      </c>
      <c r="D5" s="165" t="s">
        <v>1615</v>
      </c>
      <c r="E5" s="165" t="s">
        <v>429</v>
      </c>
      <c r="F5" s="165" t="s">
        <v>1311</v>
      </c>
      <c r="G5" s="165" t="s">
        <v>1616</v>
      </c>
      <c r="H5" s="165" t="s">
        <v>76</v>
      </c>
      <c r="I5" s="165" t="s">
        <v>234</v>
      </c>
      <c r="J5" s="165" t="s">
        <v>53</v>
      </c>
      <c r="K5" s="165" t="s">
        <v>53</v>
      </c>
      <c r="L5" s="165" t="s">
        <v>311</v>
      </c>
      <c r="M5" s="165" t="s">
        <v>1080</v>
      </c>
      <c r="N5" s="165" t="s">
        <v>62</v>
      </c>
      <c r="O5" s="165" t="s">
        <v>1208</v>
      </c>
      <c r="P5" s="168">
        <v>17559</v>
      </c>
      <c r="Q5" s="168">
        <v>1</v>
      </c>
      <c r="R5" s="168">
        <v>2849</v>
      </c>
      <c r="S5" s="168">
        <v>0</v>
      </c>
      <c r="T5" s="168">
        <v>500.25590999999997</v>
      </c>
      <c r="U5" s="169">
        <v>0</v>
      </c>
      <c r="V5" s="169">
        <v>0.249787071832</v>
      </c>
      <c r="W5" s="169">
        <v>0.229664394661</v>
      </c>
    </row>
    <row r="6" spans="1:23" ht="15.75" thickBot="1">
      <c r="A6" s="176">
        <v>7891</v>
      </c>
      <c r="B6" s="176">
        <v>7893</v>
      </c>
      <c r="C6" s="165" t="s">
        <v>1304</v>
      </c>
      <c r="D6" s="165" t="s">
        <v>1609</v>
      </c>
      <c r="E6" s="165" t="s">
        <v>429</v>
      </c>
      <c r="F6" s="165" t="s">
        <v>1312</v>
      </c>
      <c r="G6" s="165" t="s">
        <v>1617</v>
      </c>
      <c r="H6" s="165" t="s">
        <v>76</v>
      </c>
      <c r="I6" s="165" t="s">
        <v>236</v>
      </c>
      <c r="J6" s="165" t="s">
        <v>53</v>
      </c>
      <c r="K6" s="165" t="s">
        <v>53</v>
      </c>
      <c r="L6" s="165" t="s">
        <v>311</v>
      </c>
      <c r="M6" s="165" t="s">
        <v>997</v>
      </c>
      <c r="N6" s="165" t="s">
        <v>62</v>
      </c>
      <c r="O6" s="165" t="s">
        <v>1208</v>
      </c>
      <c r="P6" s="168">
        <v>72091</v>
      </c>
      <c r="Q6" s="168">
        <v>1</v>
      </c>
      <c r="R6" s="168">
        <v>365.33</v>
      </c>
      <c r="S6" s="168">
        <v>0</v>
      </c>
      <c r="T6" s="168">
        <v>263.37004999999999</v>
      </c>
      <c r="U6" s="169">
        <v>0</v>
      </c>
      <c r="V6" s="169">
        <v>0.250569542072</v>
      </c>
      <c r="W6" s="169">
        <v>0.24232713242000001</v>
      </c>
    </row>
    <row r="7" spans="1:23" ht="15.75" thickBot="1">
      <c r="A7" s="176">
        <v>7891</v>
      </c>
      <c r="B7" s="176">
        <v>7893</v>
      </c>
      <c r="C7" s="165" t="s">
        <v>1306</v>
      </c>
      <c r="D7" s="165" t="s">
        <v>1611</v>
      </c>
      <c r="E7" s="165" t="s">
        <v>429</v>
      </c>
      <c r="F7" s="165" t="s">
        <v>1313</v>
      </c>
      <c r="G7" s="165" t="s">
        <v>1618</v>
      </c>
      <c r="H7" s="165" t="s">
        <v>76</v>
      </c>
      <c r="I7" s="165" t="s">
        <v>236</v>
      </c>
      <c r="J7" s="165" t="s">
        <v>53</v>
      </c>
      <c r="K7" s="165" t="s">
        <v>53</v>
      </c>
      <c r="L7" s="165" t="s">
        <v>311</v>
      </c>
      <c r="M7" s="165" t="s">
        <v>997</v>
      </c>
      <c r="N7" s="165" t="s">
        <v>62</v>
      </c>
      <c r="O7" s="165" t="s">
        <v>1208</v>
      </c>
      <c r="P7" s="168">
        <v>7259</v>
      </c>
      <c r="Q7" s="168">
        <v>1</v>
      </c>
      <c r="R7" s="168">
        <v>3637.39</v>
      </c>
      <c r="S7" s="168">
        <v>0</v>
      </c>
      <c r="T7" s="168">
        <v>264.03814</v>
      </c>
      <c r="U7" s="169">
        <v>0</v>
      </c>
      <c r="V7" s="169">
        <v>0.251205161063</v>
      </c>
      <c r="W7" s="169">
        <v>0.24294184291599999</v>
      </c>
    </row>
    <row r="8" spans="1:23" ht="15.75" thickBot="1">
      <c r="A8" s="176">
        <v>7891</v>
      </c>
      <c r="B8" s="176">
        <v>7893</v>
      </c>
      <c r="C8" s="165" t="s">
        <v>1619</v>
      </c>
      <c r="D8" s="165" t="s">
        <v>1620</v>
      </c>
      <c r="E8" s="165" t="s">
        <v>429</v>
      </c>
      <c r="F8" s="165" t="s">
        <v>1432</v>
      </c>
      <c r="G8" s="165" t="s">
        <v>1621</v>
      </c>
      <c r="H8" s="165" t="s">
        <v>76</v>
      </c>
      <c r="I8" s="165" t="s">
        <v>236</v>
      </c>
      <c r="J8" s="165" t="s">
        <v>53</v>
      </c>
      <c r="K8" s="165" t="s">
        <v>53</v>
      </c>
      <c r="L8" s="165" t="s">
        <v>311</v>
      </c>
      <c r="M8" s="165" t="s">
        <v>997</v>
      </c>
      <c r="N8" s="165" t="s">
        <v>62</v>
      </c>
      <c r="O8" s="165" t="s">
        <v>1208</v>
      </c>
      <c r="P8" s="168">
        <v>71580</v>
      </c>
      <c r="Q8" s="168">
        <v>1</v>
      </c>
      <c r="R8" s="168">
        <v>365.93</v>
      </c>
      <c r="S8" s="168">
        <v>0</v>
      </c>
      <c r="T8" s="168">
        <v>261.93268999999998</v>
      </c>
      <c r="U8" s="169">
        <v>0</v>
      </c>
      <c r="V8" s="169">
        <v>0.249202041717</v>
      </c>
      <c r="W8" s="169">
        <v>0.24100461557700001</v>
      </c>
    </row>
    <row r="9" spans="1:23" ht="15.75" thickBot="1">
      <c r="A9" s="176">
        <v>7891</v>
      </c>
      <c r="B9" s="176">
        <v>7893</v>
      </c>
      <c r="C9" s="165" t="s">
        <v>1308</v>
      </c>
      <c r="D9" s="165" t="s">
        <v>1613</v>
      </c>
      <c r="E9" s="165" t="s">
        <v>429</v>
      </c>
      <c r="F9" s="165" t="s">
        <v>1314</v>
      </c>
      <c r="G9" s="165" t="s">
        <v>1622</v>
      </c>
      <c r="H9" s="165" t="s">
        <v>76</v>
      </c>
      <c r="I9" s="165" t="s">
        <v>236</v>
      </c>
      <c r="J9" s="165" t="s">
        <v>53</v>
      </c>
      <c r="K9" s="165" t="s">
        <v>53</v>
      </c>
      <c r="L9" s="165" t="s">
        <v>311</v>
      </c>
      <c r="M9" s="165" t="s">
        <v>997</v>
      </c>
      <c r="N9" s="165" t="s">
        <v>62</v>
      </c>
      <c r="O9" s="165" t="s">
        <v>1208</v>
      </c>
      <c r="P9" s="168">
        <v>71827</v>
      </c>
      <c r="Q9" s="168">
        <v>1</v>
      </c>
      <c r="R9" s="168">
        <v>364.41</v>
      </c>
      <c r="S9" s="168">
        <v>0</v>
      </c>
      <c r="T9" s="168">
        <v>261.74477000000002</v>
      </c>
      <c r="U9" s="169">
        <v>0</v>
      </c>
      <c r="V9" s="169">
        <v>0.24902325514500001</v>
      </c>
      <c r="W9" s="169">
        <v>0.24083171013599999</v>
      </c>
    </row>
    <row r="10" spans="1:23" ht="15.75" thickBot="1">
      <c r="A10" s="176">
        <v>7891</v>
      </c>
      <c r="B10" s="176">
        <v>7895</v>
      </c>
      <c r="C10" s="165" t="s">
        <v>1304</v>
      </c>
      <c r="D10" s="165" t="s">
        <v>1609</v>
      </c>
      <c r="E10" s="165" t="s">
        <v>429</v>
      </c>
      <c r="F10" s="165" t="s">
        <v>1717</v>
      </c>
      <c r="G10" s="165" t="s">
        <v>1718</v>
      </c>
      <c r="H10" s="165" t="s">
        <v>76</v>
      </c>
      <c r="I10" s="165" t="s">
        <v>236</v>
      </c>
      <c r="J10" s="165" t="s">
        <v>53</v>
      </c>
      <c r="K10" s="165" t="s">
        <v>53</v>
      </c>
      <c r="L10" s="165" t="s">
        <v>311</v>
      </c>
      <c r="M10" s="165" t="s">
        <v>1035</v>
      </c>
      <c r="N10" s="165" t="s">
        <v>62</v>
      </c>
      <c r="O10" s="165" t="s">
        <v>1208</v>
      </c>
      <c r="P10" s="168">
        <v>16140</v>
      </c>
      <c r="Q10" s="168">
        <v>1</v>
      </c>
      <c r="R10" s="168">
        <v>438.57</v>
      </c>
      <c r="S10" s="168">
        <v>0</v>
      </c>
      <c r="T10" s="168">
        <v>70.785200000000003</v>
      </c>
      <c r="U10" s="169">
        <v>0</v>
      </c>
      <c r="V10" s="169">
        <v>1</v>
      </c>
      <c r="W10" s="169">
        <f>+T10/'סכום נכסים'!$B$30</f>
        <v>6.0680425485648547E-5</v>
      </c>
    </row>
    <row r="11" spans="1:23" ht="15.75" thickBot="1">
      <c r="A11" s="176">
        <v>7891</v>
      </c>
      <c r="B11" s="176">
        <v>7896</v>
      </c>
      <c r="C11" s="165" t="s">
        <v>1449</v>
      </c>
      <c r="D11" s="165" t="s">
        <v>1623</v>
      </c>
      <c r="E11" s="165" t="s">
        <v>430</v>
      </c>
      <c r="F11" s="165" t="s">
        <v>1315</v>
      </c>
      <c r="G11" s="165" t="s">
        <v>1316</v>
      </c>
      <c r="H11" s="165" t="s">
        <v>76</v>
      </c>
      <c r="I11" s="165" t="s">
        <v>235</v>
      </c>
      <c r="J11" s="165" t="s">
        <v>61</v>
      </c>
      <c r="K11" s="165" t="s">
        <v>314</v>
      </c>
      <c r="L11" s="165" t="s">
        <v>479</v>
      </c>
      <c r="M11" s="165" t="s">
        <v>775</v>
      </c>
      <c r="N11" s="165" t="s">
        <v>62</v>
      </c>
      <c r="O11" s="165" t="s">
        <v>1211</v>
      </c>
      <c r="P11" s="168">
        <v>7678</v>
      </c>
      <c r="Q11" s="168">
        <v>4.1524000000000001</v>
      </c>
      <c r="R11" s="168">
        <v>10076.66</v>
      </c>
      <c r="S11" s="168">
        <v>0</v>
      </c>
      <c r="T11" s="168">
        <v>3212.6535600000002</v>
      </c>
      <c r="U11" s="169">
        <v>0</v>
      </c>
      <c r="V11" s="169">
        <v>0.20277568778999999</v>
      </c>
      <c r="W11" s="169">
        <v>0.196315491821</v>
      </c>
    </row>
    <row r="12" spans="1:23" ht="15.75" thickBot="1">
      <c r="A12" s="176">
        <v>7891</v>
      </c>
      <c r="B12" s="176">
        <v>7896</v>
      </c>
      <c r="C12" s="165" t="s">
        <v>1624</v>
      </c>
      <c r="D12" s="165" t="s">
        <v>1625</v>
      </c>
      <c r="E12" s="165" t="s">
        <v>430</v>
      </c>
      <c r="F12" s="165" t="s">
        <v>1317</v>
      </c>
      <c r="G12" s="165" t="s">
        <v>1318</v>
      </c>
      <c r="H12" s="165" t="s">
        <v>76</v>
      </c>
      <c r="I12" s="165" t="s">
        <v>235</v>
      </c>
      <c r="J12" s="165" t="s">
        <v>61</v>
      </c>
      <c r="K12" s="165" t="s">
        <v>314</v>
      </c>
      <c r="L12" s="165" t="s">
        <v>494</v>
      </c>
      <c r="M12" s="165" t="s">
        <v>775</v>
      </c>
      <c r="N12" s="165" t="s">
        <v>62</v>
      </c>
      <c r="O12" s="165" t="s">
        <v>1210</v>
      </c>
      <c r="P12" s="168">
        <v>761</v>
      </c>
      <c r="Q12" s="168">
        <v>3.71</v>
      </c>
      <c r="R12" s="168">
        <v>112716</v>
      </c>
      <c r="S12" s="168">
        <v>0</v>
      </c>
      <c r="T12" s="168">
        <v>3182.3220999999999</v>
      </c>
      <c r="U12" s="169">
        <v>0</v>
      </c>
      <c r="V12" s="169">
        <v>0.20086123216999999</v>
      </c>
      <c r="W12" s="169">
        <v>0.194462028515</v>
      </c>
    </row>
    <row r="13" spans="1:23" ht="15.75" thickBot="1">
      <c r="A13" s="176">
        <v>7891</v>
      </c>
      <c r="B13" s="176">
        <v>7896</v>
      </c>
      <c r="C13" s="165" t="s">
        <v>1431</v>
      </c>
      <c r="D13" s="165" t="s">
        <v>1626</v>
      </c>
      <c r="E13" s="165" t="s">
        <v>430</v>
      </c>
      <c r="F13" s="165" t="s">
        <v>1319</v>
      </c>
      <c r="G13" s="165" t="s">
        <v>1320</v>
      </c>
      <c r="H13" s="165" t="s">
        <v>76</v>
      </c>
      <c r="I13" s="165" t="s">
        <v>235</v>
      </c>
      <c r="J13" s="165" t="s">
        <v>61</v>
      </c>
      <c r="K13" s="165" t="s">
        <v>314</v>
      </c>
      <c r="L13" s="165" t="s">
        <v>494</v>
      </c>
      <c r="M13" s="165" t="s">
        <v>775</v>
      </c>
      <c r="N13" s="165" t="s">
        <v>62</v>
      </c>
      <c r="O13" s="165" t="s">
        <v>1210</v>
      </c>
      <c r="P13" s="168">
        <v>1415</v>
      </c>
      <c r="Q13" s="168">
        <v>3.71</v>
      </c>
      <c r="R13" s="168">
        <v>60718</v>
      </c>
      <c r="S13" s="168">
        <v>0</v>
      </c>
      <c r="T13" s="168">
        <v>3187.4824899999999</v>
      </c>
      <c r="U13" s="169">
        <v>0</v>
      </c>
      <c r="V13" s="169">
        <v>0.20118694473500001</v>
      </c>
      <c r="W13" s="169">
        <v>0.194777364259</v>
      </c>
    </row>
    <row r="14" spans="1:23" ht="15.75" thickBot="1">
      <c r="A14" s="176">
        <v>7891</v>
      </c>
      <c r="B14" s="176">
        <v>7896</v>
      </c>
      <c r="C14" s="165" t="s">
        <v>1450</v>
      </c>
      <c r="D14" s="165" t="s">
        <v>1627</v>
      </c>
      <c r="E14" s="165" t="s">
        <v>430</v>
      </c>
      <c r="F14" s="165" t="s">
        <v>1321</v>
      </c>
      <c r="G14" s="165" t="s">
        <v>1322</v>
      </c>
      <c r="H14" s="165" t="s">
        <v>76</v>
      </c>
      <c r="I14" s="165" t="s">
        <v>235</v>
      </c>
      <c r="J14" s="165" t="s">
        <v>61</v>
      </c>
      <c r="K14" s="165" t="s">
        <v>314</v>
      </c>
      <c r="L14" s="165" t="s">
        <v>494</v>
      </c>
      <c r="M14" s="165" t="s">
        <v>775</v>
      </c>
      <c r="N14" s="165" t="s">
        <v>62</v>
      </c>
      <c r="O14" s="165" t="s">
        <v>1210</v>
      </c>
      <c r="P14" s="168">
        <v>7584</v>
      </c>
      <c r="Q14" s="168">
        <v>3.71</v>
      </c>
      <c r="R14" s="168">
        <v>11363</v>
      </c>
      <c r="S14" s="168">
        <v>0</v>
      </c>
      <c r="T14" s="168">
        <v>3197.1664000000001</v>
      </c>
      <c r="U14" s="169">
        <v>0</v>
      </c>
      <c r="V14" s="169">
        <v>0.20179817201899999</v>
      </c>
      <c r="W14" s="169">
        <v>0.19536911855799999</v>
      </c>
    </row>
    <row r="15" spans="1:23" ht="15.75" thickBot="1">
      <c r="A15" s="176">
        <v>7891</v>
      </c>
      <c r="B15" s="176">
        <v>7896</v>
      </c>
      <c r="C15" s="165" t="s">
        <v>1451</v>
      </c>
      <c r="D15" s="165" t="s">
        <v>1628</v>
      </c>
      <c r="E15" s="165" t="s">
        <v>430</v>
      </c>
      <c r="F15" s="165" t="s">
        <v>1452</v>
      </c>
      <c r="G15" s="165" t="s">
        <v>1453</v>
      </c>
      <c r="H15" s="165" t="s">
        <v>76</v>
      </c>
      <c r="I15" s="165" t="s">
        <v>235</v>
      </c>
      <c r="J15" s="165" t="s">
        <v>61</v>
      </c>
      <c r="K15" s="165" t="s">
        <v>314</v>
      </c>
      <c r="L15" s="165" t="s">
        <v>494</v>
      </c>
      <c r="M15" s="165" t="s">
        <v>775</v>
      </c>
      <c r="N15" s="165" t="s">
        <v>62</v>
      </c>
      <c r="O15" s="165" t="s">
        <v>1210</v>
      </c>
      <c r="P15" s="168">
        <v>59300</v>
      </c>
      <c r="Q15" s="168">
        <v>3.71</v>
      </c>
      <c r="R15" s="168">
        <v>1392.6</v>
      </c>
      <c r="S15" s="168">
        <v>0</v>
      </c>
      <c r="T15" s="168">
        <v>3063.7617799999998</v>
      </c>
      <c r="U15" s="169">
        <v>0</v>
      </c>
      <c r="V15" s="169">
        <v>0.19337796328199999</v>
      </c>
      <c r="W15" s="169">
        <v>0.18721716781100001</v>
      </c>
    </row>
    <row r="16" spans="1:23" ht="15.75" thickBot="1">
      <c r="A16" s="176">
        <v>7891</v>
      </c>
      <c r="B16" s="176">
        <v>7897</v>
      </c>
      <c r="C16" s="165" t="s">
        <v>1306</v>
      </c>
      <c r="D16" s="165" t="s">
        <v>1611</v>
      </c>
      <c r="E16" s="165" t="s">
        <v>429</v>
      </c>
      <c r="F16" s="165" t="s">
        <v>1323</v>
      </c>
      <c r="G16" s="165" t="s">
        <v>1629</v>
      </c>
      <c r="H16" s="165" t="s">
        <v>76</v>
      </c>
      <c r="I16" s="165" t="s">
        <v>236</v>
      </c>
      <c r="J16" s="165" t="s">
        <v>53</v>
      </c>
      <c r="K16" s="165" t="s">
        <v>53</v>
      </c>
      <c r="L16" s="165" t="s">
        <v>311</v>
      </c>
      <c r="M16" s="165" t="s">
        <v>1026</v>
      </c>
      <c r="N16" s="165" t="s">
        <v>62</v>
      </c>
      <c r="O16" s="165" t="s">
        <v>1208</v>
      </c>
      <c r="P16" s="168">
        <v>168180</v>
      </c>
      <c r="Q16" s="168">
        <v>1</v>
      </c>
      <c r="R16" s="168">
        <v>2555.88</v>
      </c>
      <c r="S16" s="168">
        <v>0</v>
      </c>
      <c r="T16" s="168">
        <v>4298.4789799999999</v>
      </c>
      <c r="U16" s="169">
        <v>1.4999999999999999E-2</v>
      </c>
      <c r="V16" s="169">
        <v>0.124091731949</v>
      </c>
      <c r="W16" s="169">
        <v>4.7059786054999997E-2</v>
      </c>
    </row>
    <row r="17" spans="1:23" ht="15.75" thickBot="1">
      <c r="A17" s="176">
        <v>7891</v>
      </c>
      <c r="B17" s="176">
        <v>7897</v>
      </c>
      <c r="C17" s="165" t="s">
        <v>1619</v>
      </c>
      <c r="D17" s="165" t="s">
        <v>1620</v>
      </c>
      <c r="E17" s="165" t="s">
        <v>429</v>
      </c>
      <c r="F17" s="165" t="s">
        <v>1432</v>
      </c>
      <c r="G17" s="165" t="s">
        <v>1621</v>
      </c>
      <c r="H17" s="165" t="s">
        <v>76</v>
      </c>
      <c r="I17" s="165" t="s">
        <v>236</v>
      </c>
      <c r="J17" s="165" t="s">
        <v>53</v>
      </c>
      <c r="K17" s="165" t="s">
        <v>53</v>
      </c>
      <c r="L17" s="165" t="s">
        <v>311</v>
      </c>
      <c r="M17" s="165" t="s">
        <v>997</v>
      </c>
      <c r="N17" s="165" t="s">
        <v>62</v>
      </c>
      <c r="O17" s="165" t="s">
        <v>1208</v>
      </c>
      <c r="P17" s="168">
        <v>1866800</v>
      </c>
      <c r="Q17" s="168">
        <v>1</v>
      </c>
      <c r="R17" s="168">
        <v>365.93</v>
      </c>
      <c r="S17" s="168">
        <v>0</v>
      </c>
      <c r="T17" s="168">
        <v>6831.1812399999999</v>
      </c>
      <c r="U17" s="169">
        <v>1E-3</v>
      </c>
      <c r="V17" s="169">
        <v>0.197207690272</v>
      </c>
      <c r="W17" s="169">
        <v>7.4787832893999998E-2</v>
      </c>
    </row>
    <row r="18" spans="1:23" ht="15.75" thickBot="1">
      <c r="A18" s="176">
        <v>7891</v>
      </c>
      <c r="B18" s="176">
        <v>7897</v>
      </c>
      <c r="C18" s="165" t="s">
        <v>1310</v>
      </c>
      <c r="D18" s="165" t="s">
        <v>1615</v>
      </c>
      <c r="E18" s="165" t="s">
        <v>429</v>
      </c>
      <c r="F18" s="165" t="s">
        <v>1457</v>
      </c>
      <c r="G18" s="165" t="s">
        <v>1630</v>
      </c>
      <c r="H18" s="165" t="s">
        <v>76</v>
      </c>
      <c r="I18" s="165" t="s">
        <v>236</v>
      </c>
      <c r="J18" s="165" t="s">
        <v>53</v>
      </c>
      <c r="K18" s="165" t="s">
        <v>53</v>
      </c>
      <c r="L18" s="165" t="s">
        <v>311</v>
      </c>
      <c r="M18" s="165" t="s">
        <v>997</v>
      </c>
      <c r="N18" s="165" t="s">
        <v>62</v>
      </c>
      <c r="O18" s="165" t="s">
        <v>1208</v>
      </c>
      <c r="P18" s="168">
        <v>1948507</v>
      </c>
      <c r="Q18" s="168">
        <v>1</v>
      </c>
      <c r="R18" s="168">
        <v>465.93</v>
      </c>
      <c r="S18" s="168">
        <v>0</v>
      </c>
      <c r="T18" s="168">
        <v>9078.6786699999993</v>
      </c>
      <c r="U18" s="169">
        <v>1.2999999999999999E-2</v>
      </c>
      <c r="V18" s="169">
        <v>0.26209014053899998</v>
      </c>
      <c r="W18" s="169">
        <v>9.9393454721999994E-2</v>
      </c>
    </row>
    <row r="19" spans="1:23" ht="15.75" thickBot="1">
      <c r="A19" s="176">
        <v>7891</v>
      </c>
      <c r="B19" s="176">
        <v>7897</v>
      </c>
      <c r="C19" s="165" t="s">
        <v>1308</v>
      </c>
      <c r="D19" s="165" t="s">
        <v>1613</v>
      </c>
      <c r="E19" s="165" t="s">
        <v>429</v>
      </c>
      <c r="F19" s="165" t="s">
        <v>1314</v>
      </c>
      <c r="G19" s="165" t="s">
        <v>1622</v>
      </c>
      <c r="H19" s="165" t="s">
        <v>76</v>
      </c>
      <c r="I19" s="165" t="s">
        <v>236</v>
      </c>
      <c r="J19" s="165" t="s">
        <v>53</v>
      </c>
      <c r="K19" s="165" t="s">
        <v>53</v>
      </c>
      <c r="L19" s="165" t="s">
        <v>311</v>
      </c>
      <c r="M19" s="165" t="s">
        <v>997</v>
      </c>
      <c r="N19" s="165" t="s">
        <v>62</v>
      </c>
      <c r="O19" s="165" t="s">
        <v>1208</v>
      </c>
      <c r="P19" s="168">
        <v>2085400</v>
      </c>
      <c r="Q19" s="168">
        <v>1</v>
      </c>
      <c r="R19" s="168">
        <v>364.41</v>
      </c>
      <c r="S19" s="168">
        <v>0</v>
      </c>
      <c r="T19" s="168">
        <v>7599.4061400000001</v>
      </c>
      <c r="U19" s="169">
        <v>7.0000000000000001E-3</v>
      </c>
      <c r="V19" s="169">
        <v>0.219385385874</v>
      </c>
      <c r="W19" s="169">
        <v>8.3198365923999998E-2</v>
      </c>
    </row>
    <row r="20" spans="1:23" ht="15.75" thickBot="1">
      <c r="A20" s="176">
        <v>7891</v>
      </c>
      <c r="B20" s="176">
        <v>7897</v>
      </c>
      <c r="C20" s="165" t="s">
        <v>1339</v>
      </c>
      <c r="D20" s="165">
        <v>514884485</v>
      </c>
      <c r="E20" s="165" t="s">
        <v>429</v>
      </c>
      <c r="F20" s="165" t="s">
        <v>1443</v>
      </c>
      <c r="G20" s="165" t="s">
        <v>1631</v>
      </c>
      <c r="H20" s="165" t="s">
        <v>76</v>
      </c>
      <c r="I20" s="165" t="s">
        <v>236</v>
      </c>
      <c r="J20" s="165" t="s">
        <v>53</v>
      </c>
      <c r="K20" s="165" t="s">
        <v>53</v>
      </c>
      <c r="L20" s="165" t="s">
        <v>311</v>
      </c>
      <c r="M20" s="165" t="s">
        <v>997</v>
      </c>
      <c r="N20" s="165" t="s">
        <v>62</v>
      </c>
      <c r="O20" s="165" t="s">
        <v>1208</v>
      </c>
      <c r="P20" s="168">
        <v>128090</v>
      </c>
      <c r="Q20" s="168">
        <v>1</v>
      </c>
      <c r="R20" s="168">
        <v>5333.58</v>
      </c>
      <c r="S20" s="168">
        <v>0</v>
      </c>
      <c r="T20" s="168">
        <v>6831.78262</v>
      </c>
      <c r="U20" s="169">
        <v>2.1000000000000001E-2</v>
      </c>
      <c r="V20" s="169">
        <v>0.19722505136400001</v>
      </c>
      <c r="W20" s="169">
        <v>7.4794416808000003E-2</v>
      </c>
    </row>
    <row r="21" spans="1:23" ht="15.75" thickBot="1">
      <c r="A21" s="176">
        <v>7891</v>
      </c>
      <c r="B21" s="176">
        <v>7900</v>
      </c>
      <c r="C21" s="165" t="s">
        <v>1304</v>
      </c>
      <c r="D21" s="165" t="s">
        <v>1609</v>
      </c>
      <c r="E21" s="165" t="s">
        <v>429</v>
      </c>
      <c r="F21" s="165" t="s">
        <v>1445</v>
      </c>
      <c r="G21" s="165" t="s">
        <v>1632</v>
      </c>
      <c r="H21" s="165" t="s">
        <v>76</v>
      </c>
      <c r="I21" s="165" t="s">
        <v>234</v>
      </c>
      <c r="J21" s="165" t="s">
        <v>53</v>
      </c>
      <c r="K21" s="165" t="s">
        <v>53</v>
      </c>
      <c r="L21" s="165" t="s">
        <v>311</v>
      </c>
      <c r="M21" s="165" t="s">
        <v>1080</v>
      </c>
      <c r="N21" s="165" t="s">
        <v>62</v>
      </c>
      <c r="O21" s="165" t="s">
        <v>1208</v>
      </c>
      <c r="P21" s="168">
        <v>15920</v>
      </c>
      <c r="Q21" s="168">
        <v>1</v>
      </c>
      <c r="R21" s="168">
        <v>2081</v>
      </c>
      <c r="S21" s="168">
        <v>0</v>
      </c>
      <c r="T21" s="168">
        <v>331.29520000000002</v>
      </c>
      <c r="U21" s="169">
        <v>0</v>
      </c>
      <c r="V21" s="169">
        <v>4.1360980806000001E-2</v>
      </c>
      <c r="W21" s="169">
        <v>3.1527021965999998E-2</v>
      </c>
    </row>
    <row r="22" spans="1:23" s="44" customFormat="1" ht="15.75" thickBot="1">
      <c r="A22" s="176">
        <v>7891</v>
      </c>
      <c r="B22" s="176">
        <v>7900</v>
      </c>
      <c r="C22" s="165" t="s">
        <v>1304</v>
      </c>
      <c r="D22" s="165" t="s">
        <v>1609</v>
      </c>
      <c r="E22" s="165" t="s">
        <v>429</v>
      </c>
      <c r="F22" s="165" t="s">
        <v>1312</v>
      </c>
      <c r="G22" s="165" t="s">
        <v>1617</v>
      </c>
      <c r="H22" s="165" t="s">
        <v>76</v>
      </c>
      <c r="I22" s="165" t="s">
        <v>236</v>
      </c>
      <c r="J22" s="165" t="s">
        <v>53</v>
      </c>
      <c r="K22" s="165" t="s">
        <v>53</v>
      </c>
      <c r="L22" s="165" t="s">
        <v>311</v>
      </c>
      <c r="M22" s="165" t="s">
        <v>997</v>
      </c>
      <c r="N22" s="165" t="s">
        <v>62</v>
      </c>
      <c r="O22" s="165" t="s">
        <v>1208</v>
      </c>
      <c r="P22" s="168">
        <v>35244</v>
      </c>
      <c r="Q22" s="168">
        <v>1</v>
      </c>
      <c r="R22" s="168">
        <v>365.33</v>
      </c>
      <c r="S22" s="168">
        <v>0</v>
      </c>
      <c r="T22" s="168">
        <v>128.75691</v>
      </c>
      <c r="U22" s="169">
        <v>0</v>
      </c>
      <c r="V22" s="169">
        <v>1.6074824154000002E-2</v>
      </c>
      <c r="W22" s="169">
        <v>1.2252884828000001E-2</v>
      </c>
    </row>
    <row r="23" spans="1:23" ht="15.75" thickBot="1">
      <c r="A23" s="176">
        <v>7891</v>
      </c>
      <c r="B23" s="176">
        <v>7900</v>
      </c>
      <c r="C23" s="165" t="s">
        <v>1304</v>
      </c>
      <c r="D23" s="165" t="s">
        <v>1609</v>
      </c>
      <c r="E23" s="165" t="s">
        <v>429</v>
      </c>
      <c r="F23" s="165" t="s">
        <v>1334</v>
      </c>
      <c r="G23" s="165" t="s">
        <v>1633</v>
      </c>
      <c r="H23" s="165" t="s">
        <v>76</v>
      </c>
      <c r="I23" s="165" t="s">
        <v>236</v>
      </c>
      <c r="J23" s="165" t="s">
        <v>53</v>
      </c>
      <c r="K23" s="165" t="s">
        <v>53</v>
      </c>
      <c r="L23" s="165" t="s">
        <v>311</v>
      </c>
      <c r="M23" s="165" t="s">
        <v>1002</v>
      </c>
      <c r="N23" s="165" t="s">
        <v>62</v>
      </c>
      <c r="O23" s="165" t="s">
        <v>1208</v>
      </c>
      <c r="P23" s="168">
        <v>83680</v>
      </c>
      <c r="Q23" s="168">
        <v>1</v>
      </c>
      <c r="R23" s="168">
        <v>390.51</v>
      </c>
      <c r="S23" s="168">
        <v>0</v>
      </c>
      <c r="T23" s="168">
        <v>326.77877000000001</v>
      </c>
      <c r="U23" s="169">
        <v>0</v>
      </c>
      <c r="V23" s="169">
        <v>4.0797121220000003E-2</v>
      </c>
      <c r="W23" s="169">
        <v>3.1097225252999999E-2</v>
      </c>
    </row>
    <row r="24" spans="1:23" ht="15.75" thickBot="1">
      <c r="A24" s="176">
        <v>7891</v>
      </c>
      <c r="B24" s="176">
        <v>7900</v>
      </c>
      <c r="C24" s="165" t="s">
        <v>1306</v>
      </c>
      <c r="D24" s="165" t="s">
        <v>1611</v>
      </c>
      <c r="E24" s="165" t="s">
        <v>429</v>
      </c>
      <c r="F24" s="165" t="s">
        <v>1324</v>
      </c>
      <c r="G24" s="165" t="s">
        <v>1634</v>
      </c>
      <c r="H24" s="165" t="s">
        <v>76</v>
      </c>
      <c r="I24" s="165" t="s">
        <v>236</v>
      </c>
      <c r="J24" s="165" t="s">
        <v>53</v>
      </c>
      <c r="K24" s="165" t="s">
        <v>53</v>
      </c>
      <c r="L24" s="165" t="s">
        <v>311</v>
      </c>
      <c r="M24" s="165" t="s">
        <v>1002</v>
      </c>
      <c r="N24" s="165" t="s">
        <v>62</v>
      </c>
      <c r="O24" s="165" t="s">
        <v>1208</v>
      </c>
      <c r="P24" s="168">
        <v>11970</v>
      </c>
      <c r="Q24" s="168">
        <v>1</v>
      </c>
      <c r="R24" s="168">
        <v>3880.51</v>
      </c>
      <c r="S24" s="168">
        <v>0</v>
      </c>
      <c r="T24" s="168">
        <v>464.49705</v>
      </c>
      <c r="U24" s="169">
        <v>0</v>
      </c>
      <c r="V24" s="169">
        <v>5.7990739285000002E-2</v>
      </c>
      <c r="W24" s="169">
        <v>4.4202900309000002E-2</v>
      </c>
    </row>
    <row r="25" spans="1:23" ht="15.75" thickBot="1">
      <c r="A25" s="176">
        <v>7891</v>
      </c>
      <c r="B25" s="176">
        <v>7900</v>
      </c>
      <c r="C25" s="165" t="s">
        <v>1306</v>
      </c>
      <c r="D25" s="165" t="s">
        <v>1611</v>
      </c>
      <c r="E25" s="165" t="s">
        <v>429</v>
      </c>
      <c r="F25" s="165" t="s">
        <v>1454</v>
      </c>
      <c r="G25" s="165" t="s">
        <v>1635</v>
      </c>
      <c r="H25" s="165" t="s">
        <v>76</v>
      </c>
      <c r="I25" s="165" t="s">
        <v>235</v>
      </c>
      <c r="J25" s="165" t="s">
        <v>53</v>
      </c>
      <c r="K25" s="165" t="s">
        <v>314</v>
      </c>
      <c r="L25" s="165" t="s">
        <v>311</v>
      </c>
      <c r="M25" s="165" t="s">
        <v>1125</v>
      </c>
      <c r="N25" s="165" t="s">
        <v>62</v>
      </c>
      <c r="O25" s="165" t="s">
        <v>1208</v>
      </c>
      <c r="P25" s="168">
        <v>2240</v>
      </c>
      <c r="Q25" s="168">
        <v>1</v>
      </c>
      <c r="R25" s="168">
        <v>23280</v>
      </c>
      <c r="S25" s="168">
        <v>0</v>
      </c>
      <c r="T25" s="168">
        <v>521.47199999999998</v>
      </c>
      <c r="U25" s="169">
        <v>0</v>
      </c>
      <c r="V25" s="169">
        <v>6.5103851136999999E-2</v>
      </c>
      <c r="W25" s="169">
        <v>4.9624803494000003E-2</v>
      </c>
    </row>
    <row r="26" spans="1:23" ht="15.75" thickBot="1">
      <c r="A26" s="176">
        <v>7891</v>
      </c>
      <c r="B26" s="176">
        <v>7900</v>
      </c>
      <c r="C26" s="165" t="s">
        <v>1306</v>
      </c>
      <c r="D26" s="165" t="s">
        <v>1611</v>
      </c>
      <c r="E26" s="165" t="s">
        <v>429</v>
      </c>
      <c r="F26" s="165" t="s">
        <v>1325</v>
      </c>
      <c r="G26" s="165" t="s">
        <v>1636</v>
      </c>
      <c r="H26" s="165" t="s">
        <v>76</v>
      </c>
      <c r="I26" s="165" t="s">
        <v>235</v>
      </c>
      <c r="J26" s="165" t="s">
        <v>53</v>
      </c>
      <c r="K26" s="165" t="s">
        <v>314</v>
      </c>
      <c r="L26" s="165" t="s">
        <v>311</v>
      </c>
      <c r="M26" s="165" t="s">
        <v>1129</v>
      </c>
      <c r="N26" s="165" t="s">
        <v>62</v>
      </c>
      <c r="O26" s="165" t="s">
        <v>1208</v>
      </c>
      <c r="P26" s="168">
        <v>2965</v>
      </c>
      <c r="Q26" s="168">
        <v>1</v>
      </c>
      <c r="R26" s="168">
        <v>5505</v>
      </c>
      <c r="S26" s="168">
        <v>0</v>
      </c>
      <c r="T26" s="168">
        <v>163.22325000000001</v>
      </c>
      <c r="U26" s="169">
        <v>0</v>
      </c>
      <c r="V26" s="169">
        <v>2.0377819269000001E-2</v>
      </c>
      <c r="W26" s="169">
        <v>1.5532802732999999E-2</v>
      </c>
    </row>
    <row r="27" spans="1:23" ht="15.75" thickBot="1">
      <c r="A27" s="176">
        <v>7891</v>
      </c>
      <c r="B27" s="176">
        <v>7900</v>
      </c>
      <c r="C27" s="165" t="s">
        <v>1619</v>
      </c>
      <c r="D27" s="165" t="s">
        <v>1620</v>
      </c>
      <c r="E27" s="165" t="s">
        <v>429</v>
      </c>
      <c r="F27" s="165" t="s">
        <v>1432</v>
      </c>
      <c r="G27" s="165" t="s">
        <v>1621</v>
      </c>
      <c r="H27" s="165" t="s">
        <v>76</v>
      </c>
      <c r="I27" s="165" t="s">
        <v>236</v>
      </c>
      <c r="J27" s="165" t="s">
        <v>53</v>
      </c>
      <c r="K27" s="165" t="s">
        <v>53</v>
      </c>
      <c r="L27" s="165" t="s">
        <v>311</v>
      </c>
      <c r="M27" s="165" t="s">
        <v>997</v>
      </c>
      <c r="N27" s="165" t="s">
        <v>62</v>
      </c>
      <c r="O27" s="165" t="s">
        <v>1208</v>
      </c>
      <c r="P27" s="168">
        <v>176100</v>
      </c>
      <c r="Q27" s="168">
        <v>1</v>
      </c>
      <c r="R27" s="168">
        <v>365.93</v>
      </c>
      <c r="S27" s="168">
        <v>0</v>
      </c>
      <c r="T27" s="168">
        <v>644.40273000000002</v>
      </c>
      <c r="U27" s="169">
        <v>0</v>
      </c>
      <c r="V27" s="169">
        <v>8.0451298259999998E-2</v>
      </c>
      <c r="W27" s="169">
        <v>6.1323251962000003E-2</v>
      </c>
    </row>
    <row r="28" spans="1:23" ht="15.75" thickBot="1">
      <c r="A28" s="176">
        <v>7891</v>
      </c>
      <c r="B28" s="176">
        <v>7900</v>
      </c>
      <c r="C28" s="165" t="s">
        <v>1308</v>
      </c>
      <c r="D28" s="165" t="s">
        <v>1613</v>
      </c>
      <c r="E28" s="165" t="s">
        <v>429</v>
      </c>
      <c r="F28" s="165" t="s">
        <v>1337</v>
      </c>
      <c r="G28" s="165" t="s">
        <v>1637</v>
      </c>
      <c r="H28" s="165" t="s">
        <v>76</v>
      </c>
      <c r="I28" s="165" t="s">
        <v>235</v>
      </c>
      <c r="J28" s="165" t="s">
        <v>53</v>
      </c>
      <c r="K28" s="165" t="s">
        <v>314</v>
      </c>
      <c r="L28" s="165" t="s">
        <v>311</v>
      </c>
      <c r="M28" s="165" t="s">
        <v>1129</v>
      </c>
      <c r="N28" s="165" t="s">
        <v>62</v>
      </c>
      <c r="O28" s="165" t="s">
        <v>1208</v>
      </c>
      <c r="P28" s="168">
        <v>7840</v>
      </c>
      <c r="Q28" s="168">
        <v>1</v>
      </c>
      <c r="R28" s="168">
        <v>5590</v>
      </c>
      <c r="S28" s="168">
        <v>0</v>
      </c>
      <c r="T28" s="168">
        <v>438.25599999999997</v>
      </c>
      <c r="U28" s="169">
        <v>0</v>
      </c>
      <c r="V28" s="169">
        <v>5.4714641214999998E-2</v>
      </c>
      <c r="W28" s="169">
        <v>4.1705725100999999E-2</v>
      </c>
    </row>
    <row r="29" spans="1:23" ht="15.75" thickBot="1">
      <c r="A29" s="176">
        <v>7891</v>
      </c>
      <c r="B29" s="176">
        <v>7900</v>
      </c>
      <c r="C29" s="165" t="s">
        <v>1310</v>
      </c>
      <c r="D29" s="165" t="s">
        <v>1615</v>
      </c>
      <c r="E29" s="165" t="s">
        <v>429</v>
      </c>
      <c r="F29" s="165" t="s">
        <v>1440</v>
      </c>
      <c r="G29" s="165" t="s">
        <v>1638</v>
      </c>
      <c r="H29" s="165" t="s">
        <v>76</v>
      </c>
      <c r="I29" s="165" t="s">
        <v>234</v>
      </c>
      <c r="J29" s="165" t="s">
        <v>53</v>
      </c>
      <c r="K29" s="165" t="s">
        <v>53</v>
      </c>
      <c r="L29" s="165" t="s">
        <v>311</v>
      </c>
      <c r="M29" s="165" t="s">
        <v>1080</v>
      </c>
      <c r="N29" s="165" t="s">
        <v>62</v>
      </c>
      <c r="O29" s="165" t="s">
        <v>1208</v>
      </c>
      <c r="P29" s="168">
        <v>15810</v>
      </c>
      <c r="Q29" s="168">
        <v>1</v>
      </c>
      <c r="R29" s="168">
        <v>3265</v>
      </c>
      <c r="S29" s="168">
        <v>0</v>
      </c>
      <c r="T29" s="168">
        <v>516.19650000000001</v>
      </c>
      <c r="U29" s="169">
        <v>0</v>
      </c>
      <c r="V29" s="169">
        <v>6.4445224467000004E-2</v>
      </c>
      <c r="W29" s="169">
        <v>4.9122771455999997E-2</v>
      </c>
    </row>
    <row r="30" spans="1:23" ht="15.75" thickBot="1">
      <c r="A30" s="176">
        <v>7891</v>
      </c>
      <c r="B30" s="176">
        <v>7900</v>
      </c>
      <c r="C30" s="165" t="s">
        <v>1310</v>
      </c>
      <c r="D30" s="165" t="s">
        <v>1615</v>
      </c>
      <c r="E30" s="165" t="s">
        <v>429</v>
      </c>
      <c r="F30" s="165" t="s">
        <v>1326</v>
      </c>
      <c r="G30" s="165" t="s">
        <v>1639</v>
      </c>
      <c r="H30" s="165" t="s">
        <v>76</v>
      </c>
      <c r="I30" s="165" t="s">
        <v>235</v>
      </c>
      <c r="J30" s="165" t="s">
        <v>53</v>
      </c>
      <c r="K30" s="165" t="s">
        <v>314</v>
      </c>
      <c r="L30" s="165" t="s">
        <v>311</v>
      </c>
      <c r="M30" s="165" t="s">
        <v>1129</v>
      </c>
      <c r="N30" s="165" t="s">
        <v>62</v>
      </c>
      <c r="O30" s="165" t="s">
        <v>1208</v>
      </c>
      <c r="P30" s="168">
        <v>3130</v>
      </c>
      <c r="Q30" s="168">
        <v>1</v>
      </c>
      <c r="R30" s="168">
        <v>7341</v>
      </c>
      <c r="S30" s="168">
        <v>0</v>
      </c>
      <c r="T30" s="168">
        <v>229.77330000000001</v>
      </c>
      <c r="U30" s="169">
        <v>0</v>
      </c>
      <c r="V30" s="169">
        <v>2.8686346953E-2</v>
      </c>
      <c r="W30" s="169">
        <v>2.186590049E-2</v>
      </c>
    </row>
    <row r="31" spans="1:23" ht="15.75" thickBot="1">
      <c r="A31" s="176">
        <v>7891</v>
      </c>
      <c r="B31" s="176">
        <v>7900</v>
      </c>
      <c r="C31" s="165" t="s">
        <v>1310</v>
      </c>
      <c r="D31" s="165" t="s">
        <v>1615</v>
      </c>
      <c r="E31" s="165" t="s">
        <v>429</v>
      </c>
      <c r="F31" s="165" t="s">
        <v>1327</v>
      </c>
      <c r="G31" s="165" t="s">
        <v>1640</v>
      </c>
      <c r="H31" s="165" t="s">
        <v>76</v>
      </c>
      <c r="I31" s="165" t="s">
        <v>235</v>
      </c>
      <c r="J31" s="165" t="s">
        <v>53</v>
      </c>
      <c r="K31" s="165" t="s">
        <v>314</v>
      </c>
      <c r="L31" s="165" t="s">
        <v>311</v>
      </c>
      <c r="M31" s="165" t="s">
        <v>1127</v>
      </c>
      <c r="N31" s="165" t="s">
        <v>62</v>
      </c>
      <c r="O31" s="165" t="s">
        <v>1208</v>
      </c>
      <c r="P31" s="168">
        <v>6020</v>
      </c>
      <c r="Q31" s="168">
        <v>1</v>
      </c>
      <c r="R31" s="168">
        <v>7671</v>
      </c>
      <c r="S31" s="168">
        <v>0</v>
      </c>
      <c r="T31" s="168">
        <v>461.79419999999999</v>
      </c>
      <c r="U31" s="169">
        <v>1E-3</v>
      </c>
      <c r="V31" s="169">
        <v>5.7653298456E-2</v>
      </c>
      <c r="W31" s="169">
        <v>4.3945689183E-2</v>
      </c>
    </row>
    <row r="32" spans="1:23" ht="15.75" thickBot="1">
      <c r="A32" s="176">
        <v>7891</v>
      </c>
      <c r="B32" s="176">
        <v>7900</v>
      </c>
      <c r="C32" s="165" t="s">
        <v>1339</v>
      </c>
      <c r="D32" s="165">
        <v>514884485</v>
      </c>
      <c r="E32" s="165" t="s">
        <v>429</v>
      </c>
      <c r="F32" s="165" t="s">
        <v>1340</v>
      </c>
      <c r="G32" s="165" t="s">
        <v>1641</v>
      </c>
      <c r="H32" s="165" t="s">
        <v>76</v>
      </c>
      <c r="I32" s="165" t="s">
        <v>235</v>
      </c>
      <c r="J32" s="165" t="s">
        <v>53</v>
      </c>
      <c r="K32" s="165" t="s">
        <v>314</v>
      </c>
      <c r="L32" s="165" t="s">
        <v>311</v>
      </c>
      <c r="M32" s="165" t="s">
        <v>1129</v>
      </c>
      <c r="N32" s="165" t="s">
        <v>62</v>
      </c>
      <c r="O32" s="165" t="s">
        <v>1208</v>
      </c>
      <c r="P32" s="168">
        <v>3980</v>
      </c>
      <c r="Q32" s="168">
        <v>1</v>
      </c>
      <c r="R32" s="168">
        <v>9006</v>
      </c>
      <c r="S32" s="168">
        <v>0</v>
      </c>
      <c r="T32" s="168">
        <v>358.43880000000001</v>
      </c>
      <c r="U32" s="169">
        <v>0</v>
      </c>
      <c r="V32" s="169">
        <v>4.4749758906999997E-2</v>
      </c>
      <c r="W32" s="169">
        <v>3.4110086475000002E-2</v>
      </c>
    </row>
    <row r="33" spans="1:23" ht="15.75" thickBot="1">
      <c r="A33" s="176">
        <v>7891</v>
      </c>
      <c r="B33" s="176">
        <v>7900</v>
      </c>
      <c r="C33" s="165" t="s">
        <v>1339</v>
      </c>
      <c r="D33" s="165">
        <v>514884485</v>
      </c>
      <c r="E33" s="165" t="s">
        <v>429</v>
      </c>
      <c r="F33" s="165" t="s">
        <v>1434</v>
      </c>
      <c r="G33" s="165" t="s">
        <v>1642</v>
      </c>
      <c r="H33" s="165" t="s">
        <v>76</v>
      </c>
      <c r="I33" s="165" t="s">
        <v>234</v>
      </c>
      <c r="J33" s="165" t="s">
        <v>53</v>
      </c>
      <c r="K33" s="165" t="s">
        <v>53</v>
      </c>
      <c r="L33" s="165" t="s">
        <v>311</v>
      </c>
      <c r="M33" s="165" t="s">
        <v>1080</v>
      </c>
      <c r="N33" s="165" t="s">
        <v>62</v>
      </c>
      <c r="O33" s="165" t="s">
        <v>1208</v>
      </c>
      <c r="P33" s="168">
        <v>13280</v>
      </c>
      <c r="Q33" s="168">
        <v>1</v>
      </c>
      <c r="R33" s="168">
        <v>5753</v>
      </c>
      <c r="S33" s="168">
        <v>0</v>
      </c>
      <c r="T33" s="168">
        <v>763.99839999999995</v>
      </c>
      <c r="U33" s="169">
        <v>2E-3</v>
      </c>
      <c r="V33" s="169">
        <v>9.5382375472E-2</v>
      </c>
      <c r="W33" s="169">
        <v>7.2704326348999995E-2</v>
      </c>
    </row>
    <row r="34" spans="1:23" ht="15.75" thickBot="1">
      <c r="A34" s="176">
        <v>7891</v>
      </c>
      <c r="B34" s="176">
        <v>7900</v>
      </c>
      <c r="C34" s="165" t="s">
        <v>1441</v>
      </c>
      <c r="D34" s="165" t="s">
        <v>1643</v>
      </c>
      <c r="E34" s="165" t="s">
        <v>430</v>
      </c>
      <c r="F34" s="165" t="s">
        <v>1328</v>
      </c>
      <c r="G34" s="165" t="s">
        <v>1329</v>
      </c>
      <c r="H34" s="165" t="s">
        <v>76</v>
      </c>
      <c r="I34" s="165" t="s">
        <v>235</v>
      </c>
      <c r="J34" s="165" t="s">
        <v>61</v>
      </c>
      <c r="K34" s="165" t="s">
        <v>314</v>
      </c>
      <c r="L34" s="165" t="s">
        <v>479</v>
      </c>
      <c r="M34" s="165" t="s">
        <v>775</v>
      </c>
      <c r="N34" s="165" t="s">
        <v>62</v>
      </c>
      <c r="O34" s="165" t="s">
        <v>1210</v>
      </c>
      <c r="P34" s="168">
        <v>238</v>
      </c>
      <c r="Q34" s="168">
        <v>3.71</v>
      </c>
      <c r="R34" s="168">
        <v>48807</v>
      </c>
      <c r="S34" s="168">
        <v>0.12081940700799999</v>
      </c>
      <c r="T34" s="168">
        <v>431.40429</v>
      </c>
      <c r="U34" s="169">
        <v>0</v>
      </c>
      <c r="V34" s="169">
        <v>5.3859230554999998E-2</v>
      </c>
      <c r="W34" s="169">
        <v>4.1053696301000003E-2</v>
      </c>
    </row>
    <row r="35" spans="1:23" ht="15.75" thickBot="1">
      <c r="A35" s="176">
        <v>7891</v>
      </c>
      <c r="B35" s="176">
        <v>7900</v>
      </c>
      <c r="C35" s="165" t="s">
        <v>1436</v>
      </c>
      <c r="D35" s="165" t="s">
        <v>1644</v>
      </c>
      <c r="E35" s="165" t="s">
        <v>430</v>
      </c>
      <c r="F35" s="165" t="s">
        <v>1330</v>
      </c>
      <c r="G35" s="165" t="s">
        <v>1331</v>
      </c>
      <c r="H35" s="165" t="s">
        <v>76</v>
      </c>
      <c r="I35" s="165" t="s">
        <v>237</v>
      </c>
      <c r="J35" s="165" t="s">
        <v>61</v>
      </c>
      <c r="K35" s="165" t="s">
        <v>314</v>
      </c>
      <c r="L35" s="165" t="s">
        <v>476</v>
      </c>
      <c r="M35" s="165" t="s">
        <v>776</v>
      </c>
      <c r="N35" s="165" t="s">
        <v>62</v>
      </c>
      <c r="O35" s="165" t="s">
        <v>1210</v>
      </c>
      <c r="P35" s="168">
        <v>3380</v>
      </c>
      <c r="Q35" s="168">
        <v>3.71</v>
      </c>
      <c r="R35" s="168">
        <v>4342</v>
      </c>
      <c r="S35" s="168">
        <v>0</v>
      </c>
      <c r="T35" s="168">
        <v>544.47811999999999</v>
      </c>
      <c r="U35" s="169">
        <v>0</v>
      </c>
      <c r="V35" s="169">
        <v>6.7976080157000005E-2</v>
      </c>
      <c r="W35" s="169">
        <v>5.1814133284000002E-2</v>
      </c>
    </row>
    <row r="36" spans="1:23" ht="15.75" thickBot="1">
      <c r="A36" s="176">
        <v>7891</v>
      </c>
      <c r="B36" s="176">
        <v>7900</v>
      </c>
      <c r="C36" s="165" t="s">
        <v>1437</v>
      </c>
      <c r="D36" s="165" t="s">
        <v>1645</v>
      </c>
      <c r="E36" s="165" t="s">
        <v>430</v>
      </c>
      <c r="F36" s="165" t="s">
        <v>1332</v>
      </c>
      <c r="G36" s="165" t="s">
        <v>1333</v>
      </c>
      <c r="H36" s="165" t="s">
        <v>76</v>
      </c>
      <c r="I36" s="165" t="s">
        <v>235</v>
      </c>
      <c r="J36" s="165" t="s">
        <v>61</v>
      </c>
      <c r="K36" s="165" t="s">
        <v>314</v>
      </c>
      <c r="L36" s="165" t="s">
        <v>476</v>
      </c>
      <c r="M36" s="165" t="s">
        <v>775</v>
      </c>
      <c r="N36" s="165" t="s">
        <v>62</v>
      </c>
      <c r="O36" s="165" t="s">
        <v>1210</v>
      </c>
      <c r="P36" s="168">
        <v>564</v>
      </c>
      <c r="Q36" s="168">
        <v>3.71</v>
      </c>
      <c r="R36" s="168">
        <v>7102</v>
      </c>
      <c r="S36" s="168">
        <v>0.13522911051200001</v>
      </c>
      <c r="T36" s="168">
        <v>149.10678999999999</v>
      </c>
      <c r="U36" s="169">
        <v>0</v>
      </c>
      <c r="V36" s="169">
        <v>1.8615431431000001E-2</v>
      </c>
      <c r="W36" s="169">
        <v>1.4189439036E-2</v>
      </c>
    </row>
    <row r="37" spans="1:23" ht="15.75" thickBot="1">
      <c r="A37" s="176">
        <v>7891</v>
      </c>
      <c r="B37" s="176">
        <v>7900</v>
      </c>
      <c r="C37" s="165" t="s">
        <v>1624</v>
      </c>
      <c r="D37" s="165" t="s">
        <v>1625</v>
      </c>
      <c r="E37" s="165" t="s">
        <v>430</v>
      </c>
      <c r="F37" s="165" t="s">
        <v>1317</v>
      </c>
      <c r="G37" s="165" t="s">
        <v>1318</v>
      </c>
      <c r="H37" s="165" t="s">
        <v>76</v>
      </c>
      <c r="I37" s="165" t="s">
        <v>235</v>
      </c>
      <c r="J37" s="165" t="s">
        <v>61</v>
      </c>
      <c r="K37" s="165" t="s">
        <v>314</v>
      </c>
      <c r="L37" s="165" t="s">
        <v>494</v>
      </c>
      <c r="M37" s="165" t="s">
        <v>775</v>
      </c>
      <c r="N37" s="165" t="s">
        <v>62</v>
      </c>
      <c r="O37" s="165" t="s">
        <v>1210</v>
      </c>
      <c r="P37" s="168">
        <v>189</v>
      </c>
      <c r="Q37" s="168">
        <v>3.71</v>
      </c>
      <c r="R37" s="168">
        <v>112716</v>
      </c>
      <c r="S37" s="168">
        <v>0</v>
      </c>
      <c r="T37" s="168">
        <v>790.35332000000005</v>
      </c>
      <c r="U37" s="169">
        <v>0</v>
      </c>
      <c r="V37" s="169">
        <v>9.8672689790999996E-2</v>
      </c>
      <c r="W37" s="169">
        <v>7.5212337759000006E-2</v>
      </c>
    </row>
    <row r="38" spans="1:23" ht="15.75" thickBot="1">
      <c r="A38" s="176">
        <v>7891</v>
      </c>
      <c r="B38" s="176">
        <v>7900</v>
      </c>
      <c r="C38" s="165" t="s">
        <v>1431</v>
      </c>
      <c r="D38" s="165" t="s">
        <v>1626</v>
      </c>
      <c r="E38" s="165" t="s">
        <v>430</v>
      </c>
      <c r="F38" s="165" t="s">
        <v>1319</v>
      </c>
      <c r="G38" s="165" t="s">
        <v>1320</v>
      </c>
      <c r="H38" s="165" t="s">
        <v>76</v>
      </c>
      <c r="I38" s="165" t="s">
        <v>235</v>
      </c>
      <c r="J38" s="165" t="s">
        <v>61</v>
      </c>
      <c r="K38" s="165" t="s">
        <v>314</v>
      </c>
      <c r="L38" s="165" t="s">
        <v>494</v>
      </c>
      <c r="M38" s="165" t="s">
        <v>775</v>
      </c>
      <c r="N38" s="165" t="s">
        <v>62</v>
      </c>
      <c r="O38" s="165" t="s">
        <v>1210</v>
      </c>
      <c r="P38" s="168">
        <v>331</v>
      </c>
      <c r="Q38" s="168">
        <v>3.71</v>
      </c>
      <c r="R38" s="168">
        <v>60718</v>
      </c>
      <c r="S38" s="168">
        <v>0</v>
      </c>
      <c r="T38" s="168">
        <v>745.62311</v>
      </c>
      <c r="U38" s="169">
        <v>0</v>
      </c>
      <c r="V38" s="169">
        <v>9.3088288456000007E-2</v>
      </c>
      <c r="W38" s="169">
        <v>7.0955679911000005E-2</v>
      </c>
    </row>
    <row r="39" spans="1:23" ht="15.75" thickBot="1">
      <c r="A39" s="176">
        <v>11925</v>
      </c>
      <c r="B39" s="176">
        <v>11926</v>
      </c>
      <c r="C39" s="165" t="s">
        <v>1304</v>
      </c>
      <c r="D39" s="165" t="s">
        <v>1609</v>
      </c>
      <c r="E39" s="165" t="s">
        <v>429</v>
      </c>
      <c r="F39" s="165" t="s">
        <v>1312</v>
      </c>
      <c r="G39" s="165" t="s">
        <v>1617</v>
      </c>
      <c r="H39" s="165" t="s">
        <v>76</v>
      </c>
      <c r="I39" s="165" t="s">
        <v>236</v>
      </c>
      <c r="J39" s="165" t="s">
        <v>53</v>
      </c>
      <c r="K39" s="165" t="s">
        <v>53</v>
      </c>
      <c r="L39" s="165" t="s">
        <v>311</v>
      </c>
      <c r="M39" s="165" t="s">
        <v>997</v>
      </c>
      <c r="N39" s="165" t="s">
        <v>62</v>
      </c>
      <c r="O39" s="165" t="s">
        <v>1208</v>
      </c>
      <c r="P39" s="168">
        <v>82255</v>
      </c>
      <c r="Q39" s="168">
        <v>1</v>
      </c>
      <c r="R39" s="168">
        <v>365.33</v>
      </c>
      <c r="S39" s="168">
        <v>0</v>
      </c>
      <c r="T39" s="168">
        <v>300.50218999999998</v>
      </c>
      <c r="U39" s="169">
        <v>0</v>
      </c>
      <c r="V39" s="169">
        <v>1.6970892375000001E-2</v>
      </c>
      <c r="W39" s="169">
        <v>1.2435837571999999E-2</v>
      </c>
    </row>
    <row r="40" spans="1:23" ht="15.75" thickBot="1">
      <c r="A40" s="176">
        <v>11925</v>
      </c>
      <c r="B40" s="176">
        <v>11926</v>
      </c>
      <c r="C40" s="165" t="s">
        <v>1304</v>
      </c>
      <c r="D40" s="165" t="s">
        <v>1609</v>
      </c>
      <c r="E40" s="165" t="s">
        <v>429</v>
      </c>
      <c r="F40" s="165" t="s">
        <v>1334</v>
      </c>
      <c r="G40" s="165" t="s">
        <v>1633</v>
      </c>
      <c r="H40" s="165" t="s">
        <v>76</v>
      </c>
      <c r="I40" s="165" t="s">
        <v>236</v>
      </c>
      <c r="J40" s="165" t="s">
        <v>53</v>
      </c>
      <c r="K40" s="165" t="s">
        <v>53</v>
      </c>
      <c r="L40" s="165" t="s">
        <v>311</v>
      </c>
      <c r="M40" s="165" t="s">
        <v>1002</v>
      </c>
      <c r="N40" s="165" t="s">
        <v>62</v>
      </c>
      <c r="O40" s="165" t="s">
        <v>1208</v>
      </c>
      <c r="P40" s="168">
        <v>321670</v>
      </c>
      <c r="Q40" s="168">
        <v>1</v>
      </c>
      <c r="R40" s="168">
        <v>390.51</v>
      </c>
      <c r="S40" s="168">
        <v>0</v>
      </c>
      <c r="T40" s="168">
        <v>1256.1535200000001</v>
      </c>
      <c r="U40" s="169">
        <v>0</v>
      </c>
      <c r="V40" s="169">
        <v>7.0941400441999994E-2</v>
      </c>
      <c r="W40" s="169">
        <v>5.1984050900000002E-2</v>
      </c>
    </row>
    <row r="41" spans="1:23" ht="15.75" thickBot="1">
      <c r="A41" s="176">
        <v>11925</v>
      </c>
      <c r="B41" s="176">
        <v>11926</v>
      </c>
      <c r="C41" s="165" t="s">
        <v>1306</v>
      </c>
      <c r="D41" s="165" t="s">
        <v>1611</v>
      </c>
      <c r="E41" s="165" t="s">
        <v>429</v>
      </c>
      <c r="F41" s="165" t="s">
        <v>1324</v>
      </c>
      <c r="G41" s="165" t="s">
        <v>1634</v>
      </c>
      <c r="H41" s="165" t="s">
        <v>76</v>
      </c>
      <c r="I41" s="165" t="s">
        <v>236</v>
      </c>
      <c r="J41" s="165" t="s">
        <v>53</v>
      </c>
      <c r="K41" s="165" t="s">
        <v>53</v>
      </c>
      <c r="L41" s="165" t="s">
        <v>311</v>
      </c>
      <c r="M41" s="165" t="s">
        <v>1002</v>
      </c>
      <c r="N41" s="165" t="s">
        <v>62</v>
      </c>
      <c r="O41" s="165" t="s">
        <v>1208</v>
      </c>
      <c r="P41" s="168">
        <v>30450</v>
      </c>
      <c r="Q41" s="168">
        <v>1</v>
      </c>
      <c r="R41" s="168">
        <v>3880.51</v>
      </c>
      <c r="S41" s="168">
        <v>0</v>
      </c>
      <c r="T41" s="168">
        <v>1181.61529</v>
      </c>
      <c r="U41" s="169">
        <v>1E-3</v>
      </c>
      <c r="V41" s="169">
        <v>6.6731846164999997E-2</v>
      </c>
      <c r="W41" s="169">
        <v>4.8899396769999999E-2</v>
      </c>
    </row>
    <row r="42" spans="1:23" ht="15.75" thickBot="1">
      <c r="A42" s="176">
        <v>11925</v>
      </c>
      <c r="B42" s="176">
        <v>11926</v>
      </c>
      <c r="C42" s="165" t="s">
        <v>1306</v>
      </c>
      <c r="D42" s="165" t="s">
        <v>1611</v>
      </c>
      <c r="E42" s="165" t="s">
        <v>429</v>
      </c>
      <c r="F42" s="165" t="s">
        <v>1454</v>
      </c>
      <c r="G42" s="165" t="s">
        <v>1635</v>
      </c>
      <c r="H42" s="165" t="s">
        <v>76</v>
      </c>
      <c r="I42" s="165" t="s">
        <v>235</v>
      </c>
      <c r="J42" s="165" t="s">
        <v>53</v>
      </c>
      <c r="K42" s="165" t="s">
        <v>314</v>
      </c>
      <c r="L42" s="165" t="s">
        <v>311</v>
      </c>
      <c r="M42" s="165" t="s">
        <v>1125</v>
      </c>
      <c r="N42" s="165" t="s">
        <v>62</v>
      </c>
      <c r="O42" s="165" t="s">
        <v>1208</v>
      </c>
      <c r="P42" s="168">
        <v>2651</v>
      </c>
      <c r="Q42" s="168">
        <v>1</v>
      </c>
      <c r="R42" s="168">
        <v>23280</v>
      </c>
      <c r="S42" s="168">
        <v>0</v>
      </c>
      <c r="T42" s="168">
        <v>617.15279999999996</v>
      </c>
      <c r="U42" s="169">
        <v>0</v>
      </c>
      <c r="V42" s="169">
        <v>3.4853768446000001E-2</v>
      </c>
      <c r="W42" s="169">
        <v>2.5539953561999999E-2</v>
      </c>
    </row>
    <row r="43" spans="1:23" ht="15.75" thickBot="1">
      <c r="A43" s="176">
        <v>11925</v>
      </c>
      <c r="B43" s="176">
        <v>11926</v>
      </c>
      <c r="C43" s="165" t="s">
        <v>1306</v>
      </c>
      <c r="D43" s="165" t="s">
        <v>1611</v>
      </c>
      <c r="E43" s="165" t="s">
        <v>429</v>
      </c>
      <c r="F43" s="165" t="s">
        <v>1325</v>
      </c>
      <c r="G43" s="165" t="s">
        <v>1636</v>
      </c>
      <c r="H43" s="165" t="s">
        <v>76</v>
      </c>
      <c r="I43" s="165" t="s">
        <v>235</v>
      </c>
      <c r="J43" s="165" t="s">
        <v>53</v>
      </c>
      <c r="K43" s="165" t="s">
        <v>314</v>
      </c>
      <c r="L43" s="165" t="s">
        <v>311</v>
      </c>
      <c r="M43" s="165" t="s">
        <v>1129</v>
      </c>
      <c r="N43" s="165" t="s">
        <v>62</v>
      </c>
      <c r="O43" s="165" t="s">
        <v>1208</v>
      </c>
      <c r="P43" s="168">
        <v>7817</v>
      </c>
      <c r="Q43" s="168">
        <v>1</v>
      </c>
      <c r="R43" s="168">
        <v>5505</v>
      </c>
      <c r="S43" s="168">
        <v>0</v>
      </c>
      <c r="T43" s="168">
        <v>430.32585</v>
      </c>
      <c r="U43" s="169">
        <v>0</v>
      </c>
      <c r="V43" s="169">
        <v>2.4302697049999999E-2</v>
      </c>
      <c r="W43" s="169">
        <v>1.7808397249000001E-2</v>
      </c>
    </row>
    <row r="44" spans="1:23" ht="15.75" thickBot="1">
      <c r="A44" s="176">
        <v>11925</v>
      </c>
      <c r="B44" s="176">
        <v>11926</v>
      </c>
      <c r="C44" s="165" t="s">
        <v>1619</v>
      </c>
      <c r="D44" s="165" t="s">
        <v>1620</v>
      </c>
      <c r="E44" s="165" t="s">
        <v>429</v>
      </c>
      <c r="F44" s="165" t="s">
        <v>1461</v>
      </c>
      <c r="G44" s="165" t="s">
        <v>1646</v>
      </c>
      <c r="H44" s="165" t="s">
        <v>76</v>
      </c>
      <c r="I44" s="165" t="s">
        <v>234</v>
      </c>
      <c r="J44" s="165" t="s">
        <v>53</v>
      </c>
      <c r="K44" s="165" t="s">
        <v>53</v>
      </c>
      <c r="L44" s="165" t="s">
        <v>311</v>
      </c>
      <c r="M44" s="165" t="s">
        <v>1080</v>
      </c>
      <c r="N44" s="165" t="s">
        <v>62</v>
      </c>
      <c r="O44" s="165" t="s">
        <v>1208</v>
      </c>
      <c r="P44" s="168">
        <v>17800</v>
      </c>
      <c r="Q44" s="168">
        <v>1</v>
      </c>
      <c r="R44" s="168">
        <v>2073</v>
      </c>
      <c r="S44" s="168">
        <v>0</v>
      </c>
      <c r="T44" s="168">
        <v>368.99400000000003</v>
      </c>
      <c r="U44" s="169">
        <v>0</v>
      </c>
      <c r="V44" s="169">
        <v>2.0838974454E-2</v>
      </c>
      <c r="W44" s="169">
        <v>1.5270269574E-2</v>
      </c>
    </row>
    <row r="45" spans="1:23" ht="15.75" thickBot="1">
      <c r="A45" s="176">
        <v>11925</v>
      </c>
      <c r="B45" s="176">
        <v>11926</v>
      </c>
      <c r="C45" s="165" t="s">
        <v>1308</v>
      </c>
      <c r="D45" s="165" t="s">
        <v>1613</v>
      </c>
      <c r="E45" s="165" t="s">
        <v>429</v>
      </c>
      <c r="F45" s="165" t="s">
        <v>1337</v>
      </c>
      <c r="G45" s="165" t="s">
        <v>1637</v>
      </c>
      <c r="H45" s="165" t="s">
        <v>76</v>
      </c>
      <c r="I45" s="165" t="s">
        <v>235</v>
      </c>
      <c r="J45" s="165" t="s">
        <v>53</v>
      </c>
      <c r="K45" s="165" t="s">
        <v>314</v>
      </c>
      <c r="L45" s="165" t="s">
        <v>311</v>
      </c>
      <c r="M45" s="165" t="s">
        <v>1129</v>
      </c>
      <c r="N45" s="165" t="s">
        <v>62</v>
      </c>
      <c r="O45" s="165" t="s">
        <v>1208</v>
      </c>
      <c r="P45" s="168">
        <v>26840</v>
      </c>
      <c r="Q45" s="168">
        <v>1</v>
      </c>
      <c r="R45" s="168">
        <v>5590</v>
      </c>
      <c r="S45" s="168">
        <v>0</v>
      </c>
      <c r="T45" s="168">
        <v>1500.356</v>
      </c>
      <c r="U45" s="169">
        <v>0</v>
      </c>
      <c r="V45" s="169">
        <v>8.4732760850000005E-2</v>
      </c>
      <c r="W45" s="169">
        <v>6.2090008449999998E-2</v>
      </c>
    </row>
    <row r="46" spans="1:23" ht="15.75" thickBot="1">
      <c r="A46" s="176">
        <v>11925</v>
      </c>
      <c r="B46" s="176">
        <v>11926</v>
      </c>
      <c r="C46" s="165" t="s">
        <v>1310</v>
      </c>
      <c r="D46" s="165" t="s">
        <v>1615</v>
      </c>
      <c r="E46" s="165" t="s">
        <v>429</v>
      </c>
      <c r="F46" s="165" t="s">
        <v>1440</v>
      </c>
      <c r="G46" s="165" t="s">
        <v>1638</v>
      </c>
      <c r="H46" s="165" t="s">
        <v>76</v>
      </c>
      <c r="I46" s="165" t="s">
        <v>234</v>
      </c>
      <c r="J46" s="165" t="s">
        <v>53</v>
      </c>
      <c r="K46" s="165" t="s">
        <v>53</v>
      </c>
      <c r="L46" s="165" t="s">
        <v>311</v>
      </c>
      <c r="M46" s="165" t="s">
        <v>1080</v>
      </c>
      <c r="N46" s="165" t="s">
        <v>62</v>
      </c>
      <c r="O46" s="165" t="s">
        <v>1208</v>
      </c>
      <c r="P46" s="168">
        <v>44822</v>
      </c>
      <c r="Q46" s="168">
        <v>1</v>
      </c>
      <c r="R46" s="168">
        <v>3265</v>
      </c>
      <c r="S46" s="168">
        <v>0</v>
      </c>
      <c r="T46" s="168">
        <v>1463.4383</v>
      </c>
      <c r="U46" s="169">
        <v>1E-3</v>
      </c>
      <c r="V46" s="169">
        <v>8.2647829909999998E-2</v>
      </c>
      <c r="W46" s="169">
        <v>6.0562224174E-2</v>
      </c>
    </row>
    <row r="47" spans="1:23" ht="15.75" thickBot="1">
      <c r="A47" s="176">
        <v>11925</v>
      </c>
      <c r="B47" s="176">
        <v>11926</v>
      </c>
      <c r="C47" s="165" t="s">
        <v>1308</v>
      </c>
      <c r="D47" s="165" t="s">
        <v>1613</v>
      </c>
      <c r="E47" s="165" t="s">
        <v>429</v>
      </c>
      <c r="F47" s="165" t="s">
        <v>1314</v>
      </c>
      <c r="G47" s="165" t="s">
        <v>1622</v>
      </c>
      <c r="H47" s="165" t="s">
        <v>76</v>
      </c>
      <c r="I47" s="165" t="s">
        <v>236</v>
      </c>
      <c r="J47" s="165" t="s">
        <v>53</v>
      </c>
      <c r="K47" s="165" t="s">
        <v>53</v>
      </c>
      <c r="L47" s="165" t="s">
        <v>311</v>
      </c>
      <c r="M47" s="165" t="s">
        <v>997</v>
      </c>
      <c r="N47" s="165" t="s">
        <v>62</v>
      </c>
      <c r="O47" s="165" t="s">
        <v>1208</v>
      </c>
      <c r="P47" s="168">
        <v>192670</v>
      </c>
      <c r="Q47" s="168">
        <v>1</v>
      </c>
      <c r="R47" s="168">
        <v>364.41</v>
      </c>
      <c r="S47" s="168">
        <v>0</v>
      </c>
      <c r="T47" s="168">
        <v>702.10874999999999</v>
      </c>
      <c r="U47" s="169">
        <v>1E-3</v>
      </c>
      <c r="V47" s="169">
        <v>3.9651664540999998E-2</v>
      </c>
      <c r="W47" s="169">
        <v>2.9055729587E-2</v>
      </c>
    </row>
    <row r="48" spans="1:23" ht="15.75" thickBot="1">
      <c r="A48" s="176">
        <v>11925</v>
      </c>
      <c r="B48" s="176">
        <v>11926</v>
      </c>
      <c r="C48" s="165" t="s">
        <v>1310</v>
      </c>
      <c r="D48" s="165" t="s">
        <v>1615</v>
      </c>
      <c r="E48" s="165" t="s">
        <v>429</v>
      </c>
      <c r="F48" s="165" t="s">
        <v>1326</v>
      </c>
      <c r="G48" s="165" t="s">
        <v>1639</v>
      </c>
      <c r="H48" s="165" t="s">
        <v>76</v>
      </c>
      <c r="I48" s="165" t="s">
        <v>235</v>
      </c>
      <c r="J48" s="165" t="s">
        <v>53</v>
      </c>
      <c r="K48" s="165" t="s">
        <v>314</v>
      </c>
      <c r="L48" s="165" t="s">
        <v>311</v>
      </c>
      <c r="M48" s="165" t="s">
        <v>1129</v>
      </c>
      <c r="N48" s="165" t="s">
        <v>62</v>
      </c>
      <c r="O48" s="165" t="s">
        <v>1208</v>
      </c>
      <c r="P48" s="168">
        <v>12713</v>
      </c>
      <c r="Q48" s="168">
        <v>1</v>
      </c>
      <c r="R48" s="168">
        <v>7341</v>
      </c>
      <c r="S48" s="168">
        <v>0</v>
      </c>
      <c r="T48" s="168">
        <v>933.26133000000004</v>
      </c>
      <c r="U48" s="169">
        <v>0</v>
      </c>
      <c r="V48" s="169">
        <v>5.2706030491999997E-2</v>
      </c>
      <c r="W48" s="169">
        <v>3.8621636374999997E-2</v>
      </c>
    </row>
    <row r="49" spans="1:23" ht="15.75" thickBot="1">
      <c r="A49" s="176">
        <v>11925</v>
      </c>
      <c r="B49" s="176">
        <v>11926</v>
      </c>
      <c r="C49" s="165" t="s">
        <v>1310</v>
      </c>
      <c r="D49" s="165" t="s">
        <v>1615</v>
      </c>
      <c r="E49" s="165" t="s">
        <v>429</v>
      </c>
      <c r="F49" s="165" t="s">
        <v>1327</v>
      </c>
      <c r="G49" s="165" t="s">
        <v>1640</v>
      </c>
      <c r="H49" s="165" t="s">
        <v>76</v>
      </c>
      <c r="I49" s="165" t="s">
        <v>235</v>
      </c>
      <c r="J49" s="165" t="s">
        <v>53</v>
      </c>
      <c r="K49" s="165" t="s">
        <v>314</v>
      </c>
      <c r="L49" s="165" t="s">
        <v>311</v>
      </c>
      <c r="M49" s="165" t="s">
        <v>1127</v>
      </c>
      <c r="N49" s="165" t="s">
        <v>62</v>
      </c>
      <c r="O49" s="165" t="s">
        <v>1208</v>
      </c>
      <c r="P49" s="168">
        <v>5763</v>
      </c>
      <c r="Q49" s="168">
        <v>1</v>
      </c>
      <c r="R49" s="168">
        <v>7671</v>
      </c>
      <c r="S49" s="168">
        <v>0</v>
      </c>
      <c r="T49" s="168">
        <v>442.07972999999998</v>
      </c>
      <c r="U49" s="169">
        <v>1E-3</v>
      </c>
      <c r="V49" s="169">
        <v>2.4966498643000001E-2</v>
      </c>
      <c r="W49" s="169">
        <v>1.8294814145000001E-2</v>
      </c>
    </row>
    <row r="50" spans="1:23" ht="15.75" thickBot="1">
      <c r="A50" s="176">
        <v>11925</v>
      </c>
      <c r="B50" s="176">
        <v>11926</v>
      </c>
      <c r="C50" s="165" t="s">
        <v>1339</v>
      </c>
      <c r="D50" s="165">
        <v>514884485</v>
      </c>
      <c r="E50" s="165" t="s">
        <v>429</v>
      </c>
      <c r="F50" s="165" t="s">
        <v>1434</v>
      </c>
      <c r="G50" s="165" t="s">
        <v>1642</v>
      </c>
      <c r="H50" s="165" t="s">
        <v>76</v>
      </c>
      <c r="I50" s="165" t="s">
        <v>234</v>
      </c>
      <c r="J50" s="165" t="s">
        <v>53</v>
      </c>
      <c r="K50" s="165" t="s">
        <v>53</v>
      </c>
      <c r="L50" s="165" t="s">
        <v>311</v>
      </c>
      <c r="M50" s="165" t="s">
        <v>1080</v>
      </c>
      <c r="N50" s="165" t="s">
        <v>62</v>
      </c>
      <c r="O50" s="165" t="s">
        <v>1208</v>
      </c>
      <c r="P50" s="168">
        <v>32128</v>
      </c>
      <c r="Q50" s="168">
        <v>1</v>
      </c>
      <c r="R50" s="168">
        <v>5753</v>
      </c>
      <c r="S50" s="168">
        <v>0</v>
      </c>
      <c r="T50" s="168">
        <v>1848.32384</v>
      </c>
      <c r="U50" s="169">
        <v>5.0000000000000001E-3</v>
      </c>
      <c r="V50" s="169">
        <v>0.104384280737</v>
      </c>
      <c r="W50" s="169">
        <v>7.6490141568999998E-2</v>
      </c>
    </row>
    <row r="51" spans="1:23" ht="15.75" thickBot="1">
      <c r="A51" s="176">
        <v>11925</v>
      </c>
      <c r="B51" s="176">
        <v>11926</v>
      </c>
      <c r="C51" s="165" t="s">
        <v>1441</v>
      </c>
      <c r="D51" s="165" t="s">
        <v>1643</v>
      </c>
      <c r="E51" s="165" t="s">
        <v>430</v>
      </c>
      <c r="F51" s="165" t="s">
        <v>1328</v>
      </c>
      <c r="G51" s="165" t="s">
        <v>1329</v>
      </c>
      <c r="H51" s="165" t="s">
        <v>76</v>
      </c>
      <c r="I51" s="165" t="s">
        <v>235</v>
      </c>
      <c r="J51" s="165" t="s">
        <v>61</v>
      </c>
      <c r="K51" s="165" t="s">
        <v>314</v>
      </c>
      <c r="L51" s="165" t="s">
        <v>479</v>
      </c>
      <c r="M51" s="165" t="s">
        <v>775</v>
      </c>
      <c r="N51" s="165" t="s">
        <v>62</v>
      </c>
      <c r="O51" s="165" t="s">
        <v>1210</v>
      </c>
      <c r="P51" s="168">
        <v>204</v>
      </c>
      <c r="Q51" s="168">
        <v>3.71</v>
      </c>
      <c r="R51" s="168">
        <v>48807</v>
      </c>
      <c r="S51" s="168">
        <v>0.1035606469</v>
      </c>
      <c r="T51" s="168">
        <v>369.77510999999998</v>
      </c>
      <c r="U51" s="169">
        <v>0</v>
      </c>
      <c r="V51" s="169">
        <v>2.0883087723000002E-2</v>
      </c>
      <c r="W51" s="169">
        <v>1.5302594653999999E-2</v>
      </c>
    </row>
    <row r="52" spans="1:23" ht="15.75" thickBot="1">
      <c r="A52" s="176">
        <v>11925</v>
      </c>
      <c r="B52" s="176">
        <v>11926</v>
      </c>
      <c r="C52" s="165" t="s">
        <v>1436</v>
      </c>
      <c r="D52" s="165" t="s">
        <v>1644</v>
      </c>
      <c r="E52" s="165" t="s">
        <v>430</v>
      </c>
      <c r="F52" s="165" t="s">
        <v>1330</v>
      </c>
      <c r="G52" s="165" t="s">
        <v>1331</v>
      </c>
      <c r="H52" s="165" t="s">
        <v>76</v>
      </c>
      <c r="I52" s="165" t="s">
        <v>237</v>
      </c>
      <c r="J52" s="165" t="s">
        <v>61</v>
      </c>
      <c r="K52" s="165" t="s">
        <v>314</v>
      </c>
      <c r="L52" s="165" t="s">
        <v>476</v>
      </c>
      <c r="M52" s="165" t="s">
        <v>776</v>
      </c>
      <c r="N52" s="165" t="s">
        <v>62</v>
      </c>
      <c r="O52" s="165" t="s">
        <v>1210</v>
      </c>
      <c r="P52" s="168">
        <v>7256</v>
      </c>
      <c r="Q52" s="168">
        <v>3.71</v>
      </c>
      <c r="R52" s="168">
        <v>4342</v>
      </c>
      <c r="S52" s="168">
        <v>0</v>
      </c>
      <c r="T52" s="168">
        <v>1168.85598</v>
      </c>
      <c r="U52" s="169">
        <v>0</v>
      </c>
      <c r="V52" s="169">
        <v>6.6011262808000001E-2</v>
      </c>
      <c r="W52" s="169">
        <v>4.8371371645000001E-2</v>
      </c>
    </row>
    <row r="53" spans="1:23" ht="15.75" thickBot="1">
      <c r="A53" s="176">
        <v>11925</v>
      </c>
      <c r="B53" s="176">
        <v>11926</v>
      </c>
      <c r="C53" s="165" t="s">
        <v>1437</v>
      </c>
      <c r="D53" s="165" t="s">
        <v>1645</v>
      </c>
      <c r="E53" s="165" t="s">
        <v>430</v>
      </c>
      <c r="F53" s="165" t="s">
        <v>1332</v>
      </c>
      <c r="G53" s="165" t="s">
        <v>1333</v>
      </c>
      <c r="H53" s="165" t="s">
        <v>76</v>
      </c>
      <c r="I53" s="165" t="s">
        <v>235</v>
      </c>
      <c r="J53" s="165" t="s">
        <v>61</v>
      </c>
      <c r="K53" s="165" t="s">
        <v>314</v>
      </c>
      <c r="L53" s="165" t="s">
        <v>476</v>
      </c>
      <c r="M53" s="165" t="s">
        <v>775</v>
      </c>
      <c r="N53" s="165" t="s">
        <v>62</v>
      </c>
      <c r="O53" s="165" t="s">
        <v>1210</v>
      </c>
      <c r="P53" s="168">
        <v>1723</v>
      </c>
      <c r="Q53" s="168">
        <v>3.71</v>
      </c>
      <c r="R53" s="168">
        <v>7102</v>
      </c>
      <c r="S53" s="168">
        <v>0.41311051212900002</v>
      </c>
      <c r="T53" s="168">
        <v>455.51591999999999</v>
      </c>
      <c r="U53" s="169">
        <v>0</v>
      </c>
      <c r="V53" s="169">
        <v>2.5725308868000001E-2</v>
      </c>
      <c r="W53" s="169">
        <v>1.8850850945999999E-2</v>
      </c>
    </row>
    <row r="54" spans="1:23" ht="15.75" thickBot="1">
      <c r="A54" s="176">
        <v>11925</v>
      </c>
      <c r="B54" s="176">
        <v>11926</v>
      </c>
      <c r="C54" s="165" t="s">
        <v>1624</v>
      </c>
      <c r="D54" s="165" t="s">
        <v>1625</v>
      </c>
      <c r="E54" s="165" t="s">
        <v>430</v>
      </c>
      <c r="F54" s="165" t="s">
        <v>1317</v>
      </c>
      <c r="G54" s="165" t="s">
        <v>1318</v>
      </c>
      <c r="H54" s="165" t="s">
        <v>76</v>
      </c>
      <c r="I54" s="165" t="s">
        <v>235</v>
      </c>
      <c r="J54" s="165" t="s">
        <v>61</v>
      </c>
      <c r="K54" s="165" t="s">
        <v>314</v>
      </c>
      <c r="L54" s="165" t="s">
        <v>494</v>
      </c>
      <c r="M54" s="165" t="s">
        <v>775</v>
      </c>
      <c r="N54" s="165" t="s">
        <v>62</v>
      </c>
      <c r="O54" s="165" t="s">
        <v>1210</v>
      </c>
      <c r="P54" s="168">
        <v>493</v>
      </c>
      <c r="Q54" s="168">
        <v>3.71</v>
      </c>
      <c r="R54" s="168">
        <v>112716</v>
      </c>
      <c r="S54" s="168">
        <v>0</v>
      </c>
      <c r="T54" s="168">
        <v>2061.6094499999999</v>
      </c>
      <c r="U54" s="169">
        <v>0</v>
      </c>
      <c r="V54" s="169">
        <v>0.116429607702</v>
      </c>
      <c r="W54" s="169">
        <v>8.5316650295999996E-2</v>
      </c>
    </row>
    <row r="55" spans="1:23" ht="15.75" thickBot="1">
      <c r="A55" s="176">
        <v>11925</v>
      </c>
      <c r="B55" s="176">
        <v>11926</v>
      </c>
      <c r="C55" s="165" t="s">
        <v>1431</v>
      </c>
      <c r="D55" s="165" t="s">
        <v>1626</v>
      </c>
      <c r="E55" s="165" t="s">
        <v>430</v>
      </c>
      <c r="F55" s="165" t="s">
        <v>1319</v>
      </c>
      <c r="G55" s="165" t="s">
        <v>1320</v>
      </c>
      <c r="H55" s="165" t="s">
        <v>76</v>
      </c>
      <c r="I55" s="165" t="s">
        <v>235</v>
      </c>
      <c r="J55" s="165" t="s">
        <v>61</v>
      </c>
      <c r="K55" s="165" t="s">
        <v>314</v>
      </c>
      <c r="L55" s="165" t="s">
        <v>494</v>
      </c>
      <c r="M55" s="165" t="s">
        <v>775</v>
      </c>
      <c r="N55" s="165" t="s">
        <v>62</v>
      </c>
      <c r="O55" s="165" t="s">
        <v>1210</v>
      </c>
      <c r="P55" s="168">
        <v>219</v>
      </c>
      <c r="Q55" s="168">
        <v>3.71</v>
      </c>
      <c r="R55" s="168">
        <v>60718</v>
      </c>
      <c r="S55" s="168">
        <v>0</v>
      </c>
      <c r="T55" s="168">
        <v>493.32767999999999</v>
      </c>
      <c r="U55" s="169">
        <v>0</v>
      </c>
      <c r="V55" s="169">
        <v>2.7860731938999999E-2</v>
      </c>
      <c r="W55" s="169">
        <v>2.0415634568999998E-2</v>
      </c>
    </row>
    <row r="56" spans="1:23" ht="15.75" thickBot="1">
      <c r="A56" s="176">
        <v>11925</v>
      </c>
      <c r="B56" s="176">
        <v>11926</v>
      </c>
      <c r="C56" s="165" t="s">
        <v>1458</v>
      </c>
      <c r="D56" s="165" t="s">
        <v>1647</v>
      </c>
      <c r="E56" s="165" t="s">
        <v>430</v>
      </c>
      <c r="F56" s="165" t="s">
        <v>1459</v>
      </c>
      <c r="G56" s="165" t="s">
        <v>1460</v>
      </c>
      <c r="H56" s="165" t="s">
        <v>76</v>
      </c>
      <c r="I56" s="165" t="s">
        <v>235</v>
      </c>
      <c r="J56" s="165" t="s">
        <v>61</v>
      </c>
      <c r="K56" s="165" t="s">
        <v>314</v>
      </c>
      <c r="L56" s="165" t="s">
        <v>479</v>
      </c>
      <c r="M56" s="165" t="s">
        <v>775</v>
      </c>
      <c r="N56" s="165" t="s">
        <v>62</v>
      </c>
      <c r="O56" s="165" t="s">
        <v>1210</v>
      </c>
      <c r="P56" s="168">
        <v>24852</v>
      </c>
      <c r="Q56" s="168">
        <v>3.71</v>
      </c>
      <c r="R56" s="168">
        <v>2292.3000000000002</v>
      </c>
      <c r="S56" s="168">
        <v>0</v>
      </c>
      <c r="T56" s="168">
        <v>2113.52169</v>
      </c>
      <c r="U56" s="169">
        <v>0</v>
      </c>
      <c r="V56" s="169">
        <v>0.119361356845</v>
      </c>
      <c r="W56" s="169">
        <v>8.7464961376999995E-2</v>
      </c>
    </row>
    <row r="57" spans="1:23" ht="15.75" thickBot="1">
      <c r="A57" s="176">
        <v>11925</v>
      </c>
      <c r="B57" s="176">
        <v>11928</v>
      </c>
      <c r="C57" s="165" t="s">
        <v>1306</v>
      </c>
      <c r="D57" s="165" t="s">
        <v>1611</v>
      </c>
      <c r="E57" s="165" t="s">
        <v>429</v>
      </c>
      <c r="F57" s="165" t="s">
        <v>1323</v>
      </c>
      <c r="G57" s="165" t="s">
        <v>1629</v>
      </c>
      <c r="H57" s="165" t="s">
        <v>76</v>
      </c>
      <c r="I57" s="165" t="s">
        <v>236</v>
      </c>
      <c r="J57" s="165" t="s">
        <v>53</v>
      </c>
      <c r="K57" s="165" t="s">
        <v>53</v>
      </c>
      <c r="L57" s="165" t="s">
        <v>311</v>
      </c>
      <c r="M57" s="165" t="s">
        <v>1026</v>
      </c>
      <c r="N57" s="165" t="s">
        <v>62</v>
      </c>
      <c r="O57" s="165" t="s">
        <v>1208</v>
      </c>
      <c r="P57" s="168">
        <v>235300</v>
      </c>
      <c r="Q57" s="168">
        <v>1</v>
      </c>
      <c r="R57" s="168">
        <v>2555.88</v>
      </c>
      <c r="S57" s="168">
        <v>0</v>
      </c>
      <c r="T57" s="168">
        <v>6013.9856399999999</v>
      </c>
      <c r="U57" s="169">
        <v>2.1000000000000001E-2</v>
      </c>
      <c r="V57" s="169">
        <v>0.12264174085100001</v>
      </c>
      <c r="W57" s="169">
        <v>4.6469726449999998E-2</v>
      </c>
    </row>
    <row r="58" spans="1:23" ht="15.75" thickBot="1">
      <c r="A58" s="176">
        <v>11925</v>
      </c>
      <c r="B58" s="176">
        <v>11928</v>
      </c>
      <c r="C58" s="165" t="s">
        <v>1619</v>
      </c>
      <c r="D58" s="165" t="s">
        <v>1620</v>
      </c>
      <c r="E58" s="165" t="s">
        <v>429</v>
      </c>
      <c r="F58" s="165" t="s">
        <v>1432</v>
      </c>
      <c r="G58" s="165" t="s">
        <v>1621</v>
      </c>
      <c r="H58" s="165" t="s">
        <v>76</v>
      </c>
      <c r="I58" s="165" t="s">
        <v>236</v>
      </c>
      <c r="J58" s="165" t="s">
        <v>53</v>
      </c>
      <c r="K58" s="165" t="s">
        <v>53</v>
      </c>
      <c r="L58" s="165" t="s">
        <v>311</v>
      </c>
      <c r="M58" s="165" t="s">
        <v>997</v>
      </c>
      <c r="N58" s="165" t="s">
        <v>62</v>
      </c>
      <c r="O58" s="165" t="s">
        <v>1208</v>
      </c>
      <c r="P58" s="168">
        <v>2639550</v>
      </c>
      <c r="Q58" s="168">
        <v>1</v>
      </c>
      <c r="R58" s="168">
        <v>365.93</v>
      </c>
      <c r="S58" s="168">
        <v>0</v>
      </c>
      <c r="T58" s="168">
        <v>9658.9053100000001</v>
      </c>
      <c r="U58" s="169">
        <v>2E-3</v>
      </c>
      <c r="V58" s="169">
        <v>0.19697169778000001</v>
      </c>
      <c r="W58" s="169">
        <v>7.4633814317999994E-2</v>
      </c>
    </row>
    <row r="59" spans="1:23" ht="15.75" thickBot="1">
      <c r="A59" s="176">
        <v>11925</v>
      </c>
      <c r="B59" s="176">
        <v>11928</v>
      </c>
      <c r="C59" s="165" t="s">
        <v>1310</v>
      </c>
      <c r="D59" s="165" t="s">
        <v>1615</v>
      </c>
      <c r="E59" s="165" t="s">
        <v>429</v>
      </c>
      <c r="F59" s="165" t="s">
        <v>1457</v>
      </c>
      <c r="G59" s="165" t="s">
        <v>1630</v>
      </c>
      <c r="H59" s="165" t="s">
        <v>76</v>
      </c>
      <c r="I59" s="165" t="s">
        <v>236</v>
      </c>
      <c r="J59" s="165" t="s">
        <v>53</v>
      </c>
      <c r="K59" s="165" t="s">
        <v>53</v>
      </c>
      <c r="L59" s="165" t="s">
        <v>311</v>
      </c>
      <c r="M59" s="165" t="s">
        <v>997</v>
      </c>
      <c r="N59" s="165" t="s">
        <v>62</v>
      </c>
      <c r="O59" s="165" t="s">
        <v>1208</v>
      </c>
      <c r="P59" s="168">
        <v>2066400</v>
      </c>
      <c r="Q59" s="168">
        <v>1</v>
      </c>
      <c r="R59" s="168">
        <v>465.93</v>
      </c>
      <c r="S59" s="168">
        <v>0</v>
      </c>
      <c r="T59" s="168">
        <v>9627.9775200000004</v>
      </c>
      <c r="U59" s="169">
        <v>1.4E-2</v>
      </c>
      <c r="V59" s="169">
        <v>0.19634099490900001</v>
      </c>
      <c r="W59" s="169">
        <v>7.4394837036E-2</v>
      </c>
    </row>
    <row r="60" spans="1:23" ht="15.75" thickBot="1">
      <c r="A60" s="176">
        <v>11925</v>
      </c>
      <c r="B60" s="176">
        <v>11928</v>
      </c>
      <c r="C60" s="165" t="s">
        <v>1308</v>
      </c>
      <c r="D60" s="165" t="s">
        <v>1613</v>
      </c>
      <c r="E60" s="165" t="s">
        <v>429</v>
      </c>
      <c r="F60" s="165" t="s">
        <v>1314</v>
      </c>
      <c r="G60" s="165" t="s">
        <v>1622</v>
      </c>
      <c r="H60" s="165" t="s">
        <v>76</v>
      </c>
      <c r="I60" s="165" t="s">
        <v>236</v>
      </c>
      <c r="J60" s="165" t="s">
        <v>53</v>
      </c>
      <c r="K60" s="165" t="s">
        <v>53</v>
      </c>
      <c r="L60" s="165" t="s">
        <v>311</v>
      </c>
      <c r="M60" s="165" t="s">
        <v>997</v>
      </c>
      <c r="N60" s="165" t="s">
        <v>62</v>
      </c>
      <c r="O60" s="165" t="s">
        <v>1208</v>
      </c>
      <c r="P60" s="168">
        <v>3869700</v>
      </c>
      <c r="Q60" s="168">
        <v>1</v>
      </c>
      <c r="R60" s="168">
        <v>364.41</v>
      </c>
      <c r="S60" s="168">
        <v>0</v>
      </c>
      <c r="T60" s="168">
        <v>14101.573770000001</v>
      </c>
      <c r="U60" s="169">
        <v>1.2999999999999999E-2</v>
      </c>
      <c r="V60" s="169">
        <v>0.28756995101400001</v>
      </c>
      <c r="W60" s="169">
        <v>0.108962061907</v>
      </c>
    </row>
    <row r="61" spans="1:23" ht="15.75" thickBot="1">
      <c r="A61" s="176">
        <v>11925</v>
      </c>
      <c r="B61" s="176">
        <v>11928</v>
      </c>
      <c r="C61" s="165" t="s">
        <v>1339</v>
      </c>
      <c r="D61" s="165">
        <v>514884485</v>
      </c>
      <c r="E61" s="165" t="s">
        <v>429</v>
      </c>
      <c r="F61" s="165" t="s">
        <v>1443</v>
      </c>
      <c r="G61" s="165" t="s">
        <v>1631</v>
      </c>
      <c r="H61" s="165" t="s">
        <v>76</v>
      </c>
      <c r="I61" s="165" t="s">
        <v>236</v>
      </c>
      <c r="J61" s="165" t="s">
        <v>53</v>
      </c>
      <c r="K61" s="165" t="s">
        <v>53</v>
      </c>
      <c r="L61" s="165" t="s">
        <v>311</v>
      </c>
      <c r="M61" s="165" t="s">
        <v>997</v>
      </c>
      <c r="N61" s="165" t="s">
        <v>62</v>
      </c>
      <c r="O61" s="165" t="s">
        <v>1208</v>
      </c>
      <c r="P61" s="168">
        <v>180640</v>
      </c>
      <c r="Q61" s="168">
        <v>1</v>
      </c>
      <c r="R61" s="168">
        <v>5333.58</v>
      </c>
      <c r="S61" s="168">
        <v>0</v>
      </c>
      <c r="T61" s="168">
        <v>9634.5789100000002</v>
      </c>
      <c r="U61" s="169">
        <v>0.03</v>
      </c>
      <c r="V61" s="169">
        <v>0.196475615444</v>
      </c>
      <c r="W61" s="169">
        <v>7.4445845602000002E-2</v>
      </c>
    </row>
    <row r="62" spans="1:23" ht="15.75" thickBot="1">
      <c r="A62" s="176">
        <v>11925</v>
      </c>
      <c r="B62" s="176">
        <v>11934</v>
      </c>
      <c r="C62" s="165" t="s">
        <v>1449</v>
      </c>
      <c r="D62" s="165" t="s">
        <v>1623</v>
      </c>
      <c r="E62" s="165" t="s">
        <v>430</v>
      </c>
      <c r="F62" s="165" t="s">
        <v>1315</v>
      </c>
      <c r="G62" s="165" t="s">
        <v>1316</v>
      </c>
      <c r="H62" s="165" t="s">
        <v>76</v>
      </c>
      <c r="I62" s="165" t="s">
        <v>235</v>
      </c>
      <c r="J62" s="165" t="s">
        <v>61</v>
      </c>
      <c r="K62" s="165" t="s">
        <v>314</v>
      </c>
      <c r="L62" s="165" t="s">
        <v>479</v>
      </c>
      <c r="M62" s="165" t="s">
        <v>775</v>
      </c>
      <c r="N62" s="165" t="s">
        <v>62</v>
      </c>
      <c r="O62" s="165" t="s">
        <v>1211</v>
      </c>
      <c r="P62" s="168">
        <v>14477</v>
      </c>
      <c r="Q62" s="168">
        <v>4.1524000000000001</v>
      </c>
      <c r="R62" s="168">
        <v>10076.66</v>
      </c>
      <c r="S62" s="168">
        <v>0</v>
      </c>
      <c r="T62" s="168">
        <v>6057.5131000000001</v>
      </c>
      <c r="U62" s="169">
        <v>0</v>
      </c>
      <c r="V62" s="169">
        <v>0.20234258351699999</v>
      </c>
      <c r="W62" s="169">
        <v>0.198272349963</v>
      </c>
    </row>
    <row r="63" spans="1:23" ht="15.75" thickBot="1">
      <c r="A63" s="176">
        <v>11925</v>
      </c>
      <c r="B63" s="176">
        <v>11934</v>
      </c>
      <c r="C63" s="165" t="s">
        <v>1624</v>
      </c>
      <c r="D63" s="165" t="s">
        <v>1625</v>
      </c>
      <c r="E63" s="165" t="s">
        <v>430</v>
      </c>
      <c r="F63" s="165" t="s">
        <v>1317</v>
      </c>
      <c r="G63" s="165" t="s">
        <v>1318</v>
      </c>
      <c r="H63" s="165" t="s">
        <v>76</v>
      </c>
      <c r="I63" s="165" t="s">
        <v>235</v>
      </c>
      <c r="J63" s="165" t="s">
        <v>61</v>
      </c>
      <c r="K63" s="165" t="s">
        <v>314</v>
      </c>
      <c r="L63" s="165" t="s">
        <v>494</v>
      </c>
      <c r="M63" s="165" t="s">
        <v>775</v>
      </c>
      <c r="N63" s="165" t="s">
        <v>62</v>
      </c>
      <c r="O63" s="165" t="s">
        <v>1210</v>
      </c>
      <c r="P63" s="168">
        <v>1444</v>
      </c>
      <c r="Q63" s="168">
        <v>3.71</v>
      </c>
      <c r="R63" s="168">
        <v>112716</v>
      </c>
      <c r="S63" s="168">
        <v>0</v>
      </c>
      <c r="T63" s="168">
        <v>6038.4666399999996</v>
      </c>
      <c r="U63" s="169">
        <v>0</v>
      </c>
      <c r="V63" s="169">
        <v>0.20170636369200001</v>
      </c>
      <c r="W63" s="169">
        <v>0.197648928054</v>
      </c>
    </row>
    <row r="64" spans="1:23" ht="15.75" thickBot="1">
      <c r="A64" s="176">
        <v>11925</v>
      </c>
      <c r="B64" s="176">
        <v>11934</v>
      </c>
      <c r="C64" s="165" t="s">
        <v>1431</v>
      </c>
      <c r="D64" s="165" t="s">
        <v>1626</v>
      </c>
      <c r="E64" s="165" t="s">
        <v>430</v>
      </c>
      <c r="F64" s="165" t="s">
        <v>1319</v>
      </c>
      <c r="G64" s="165" t="s">
        <v>1320</v>
      </c>
      <c r="H64" s="165" t="s">
        <v>76</v>
      </c>
      <c r="I64" s="165" t="s">
        <v>235</v>
      </c>
      <c r="J64" s="165" t="s">
        <v>61</v>
      </c>
      <c r="K64" s="165" t="s">
        <v>314</v>
      </c>
      <c r="L64" s="165" t="s">
        <v>494</v>
      </c>
      <c r="M64" s="165" t="s">
        <v>775</v>
      </c>
      <c r="N64" s="165" t="s">
        <v>62</v>
      </c>
      <c r="O64" s="165" t="s">
        <v>1210</v>
      </c>
      <c r="P64" s="168">
        <v>2667</v>
      </c>
      <c r="Q64" s="168">
        <v>3.71</v>
      </c>
      <c r="R64" s="168">
        <v>60718</v>
      </c>
      <c r="S64" s="168">
        <v>0</v>
      </c>
      <c r="T64" s="168">
        <v>6007.7850099999996</v>
      </c>
      <c r="U64" s="169">
        <v>0</v>
      </c>
      <c r="V64" s="169">
        <v>0.200681487612</v>
      </c>
      <c r="W64" s="169">
        <v>0.19664466792599999</v>
      </c>
    </row>
    <row r="65" spans="1:23" ht="15.75" thickBot="1">
      <c r="A65" s="176">
        <v>11925</v>
      </c>
      <c r="B65" s="176">
        <v>11934</v>
      </c>
      <c r="C65" s="165" t="s">
        <v>1450</v>
      </c>
      <c r="D65" s="165" t="s">
        <v>1627</v>
      </c>
      <c r="E65" s="165" t="s">
        <v>430</v>
      </c>
      <c r="F65" s="165" t="s">
        <v>1321</v>
      </c>
      <c r="G65" s="165" t="s">
        <v>1322</v>
      </c>
      <c r="H65" s="165" t="s">
        <v>76</v>
      </c>
      <c r="I65" s="165" t="s">
        <v>235</v>
      </c>
      <c r="J65" s="165" t="s">
        <v>61</v>
      </c>
      <c r="K65" s="165" t="s">
        <v>314</v>
      </c>
      <c r="L65" s="165" t="s">
        <v>494</v>
      </c>
      <c r="M65" s="165" t="s">
        <v>775</v>
      </c>
      <c r="N65" s="165" t="s">
        <v>62</v>
      </c>
      <c r="O65" s="165" t="s">
        <v>1210</v>
      </c>
      <c r="P65" s="168">
        <v>14334</v>
      </c>
      <c r="Q65" s="168">
        <v>3.71</v>
      </c>
      <c r="R65" s="168">
        <v>11363</v>
      </c>
      <c r="S65" s="168">
        <v>0</v>
      </c>
      <c r="T65" s="168">
        <v>6042.74568</v>
      </c>
      <c r="U65" s="169">
        <v>0</v>
      </c>
      <c r="V65" s="169">
        <v>0.201849298919</v>
      </c>
      <c r="W65" s="169">
        <v>0.197788988059</v>
      </c>
    </row>
    <row r="66" spans="1:23" ht="15.75" thickBot="1">
      <c r="A66" s="176">
        <v>11925</v>
      </c>
      <c r="B66" s="176">
        <v>11934</v>
      </c>
      <c r="C66" s="165" t="s">
        <v>1451</v>
      </c>
      <c r="D66" s="165" t="s">
        <v>1628</v>
      </c>
      <c r="E66" s="165" t="s">
        <v>430</v>
      </c>
      <c r="F66" s="165" t="s">
        <v>1452</v>
      </c>
      <c r="G66" s="165" t="s">
        <v>1453</v>
      </c>
      <c r="H66" s="165" t="s">
        <v>76</v>
      </c>
      <c r="I66" s="165" t="s">
        <v>235</v>
      </c>
      <c r="J66" s="165" t="s">
        <v>61</v>
      </c>
      <c r="K66" s="165" t="s">
        <v>314</v>
      </c>
      <c r="L66" s="165" t="s">
        <v>494</v>
      </c>
      <c r="M66" s="165" t="s">
        <v>775</v>
      </c>
      <c r="N66" s="165" t="s">
        <v>62</v>
      </c>
      <c r="O66" s="165" t="s">
        <v>1210</v>
      </c>
      <c r="P66" s="168">
        <v>112075</v>
      </c>
      <c r="Q66" s="168">
        <v>3.71</v>
      </c>
      <c r="R66" s="168">
        <v>1392.6</v>
      </c>
      <c r="S66" s="168">
        <v>0</v>
      </c>
      <c r="T66" s="168">
        <v>5790.40643</v>
      </c>
      <c r="U66" s="169">
        <v>0</v>
      </c>
      <c r="V66" s="169">
        <v>0.19342026625700001</v>
      </c>
      <c r="W66" s="169">
        <v>0.18952951007499999</v>
      </c>
    </row>
    <row r="67" spans="1:23" ht="15.75" thickBot="1">
      <c r="A67" s="176">
        <v>11939</v>
      </c>
      <c r="B67" s="176">
        <v>11942</v>
      </c>
      <c r="C67" s="165" t="s">
        <v>1304</v>
      </c>
      <c r="D67" s="165" t="s">
        <v>1609</v>
      </c>
      <c r="E67" s="165" t="s">
        <v>429</v>
      </c>
      <c r="F67" s="165" t="s">
        <v>1312</v>
      </c>
      <c r="G67" s="165" t="s">
        <v>1617</v>
      </c>
      <c r="H67" s="165" t="s">
        <v>76</v>
      </c>
      <c r="I67" s="165" t="s">
        <v>236</v>
      </c>
      <c r="J67" s="165" t="s">
        <v>53</v>
      </c>
      <c r="K67" s="165" t="s">
        <v>53</v>
      </c>
      <c r="L67" s="165" t="s">
        <v>311</v>
      </c>
      <c r="M67" s="165" t="s">
        <v>997</v>
      </c>
      <c r="N67" s="165" t="s">
        <v>62</v>
      </c>
      <c r="O67" s="165" t="s">
        <v>1208</v>
      </c>
      <c r="P67" s="168">
        <v>5815535</v>
      </c>
      <c r="Q67" s="168">
        <v>1</v>
      </c>
      <c r="R67" s="168">
        <v>365.33</v>
      </c>
      <c r="S67" s="168">
        <v>0</v>
      </c>
      <c r="T67" s="168">
        <v>21245.89402</v>
      </c>
      <c r="U67" s="169">
        <v>4.0000000000000001E-3</v>
      </c>
      <c r="V67" s="169">
        <v>0.23460056493100001</v>
      </c>
      <c r="W67" s="169">
        <v>7.6511487076000001E-2</v>
      </c>
    </row>
    <row r="68" spans="1:23" ht="15.75" thickBot="1">
      <c r="A68" s="176">
        <v>11939</v>
      </c>
      <c r="B68" s="176">
        <v>11942</v>
      </c>
      <c r="C68" s="165" t="s">
        <v>1306</v>
      </c>
      <c r="D68" s="165" t="s">
        <v>1611</v>
      </c>
      <c r="E68" s="165" t="s">
        <v>429</v>
      </c>
      <c r="F68" s="165" t="s">
        <v>1323</v>
      </c>
      <c r="G68" s="165" t="s">
        <v>1629</v>
      </c>
      <c r="H68" s="165" t="s">
        <v>76</v>
      </c>
      <c r="I68" s="165" t="s">
        <v>236</v>
      </c>
      <c r="J68" s="165" t="s">
        <v>53</v>
      </c>
      <c r="K68" s="165" t="s">
        <v>53</v>
      </c>
      <c r="L68" s="165" t="s">
        <v>311</v>
      </c>
      <c r="M68" s="165" t="s">
        <v>1026</v>
      </c>
      <c r="N68" s="165" t="s">
        <v>62</v>
      </c>
      <c r="O68" s="165" t="s">
        <v>1208</v>
      </c>
      <c r="P68" s="168">
        <v>409743</v>
      </c>
      <c r="Q68" s="168">
        <v>1</v>
      </c>
      <c r="R68" s="168">
        <v>2555.88</v>
      </c>
      <c r="S68" s="168">
        <v>0</v>
      </c>
      <c r="T68" s="168">
        <v>10472.53939</v>
      </c>
      <c r="U68" s="169">
        <v>3.5999999999999997E-2</v>
      </c>
      <c r="V68" s="169">
        <v>0.115639457433</v>
      </c>
      <c r="W68" s="169">
        <v>3.7714090140000003E-2</v>
      </c>
    </row>
    <row r="69" spans="1:23" ht="15.75" thickBot="1">
      <c r="A69" s="176">
        <v>11939</v>
      </c>
      <c r="B69" s="176">
        <v>11942</v>
      </c>
      <c r="C69" s="165" t="s">
        <v>1619</v>
      </c>
      <c r="D69" s="165" t="s">
        <v>1620</v>
      </c>
      <c r="E69" s="165" t="s">
        <v>429</v>
      </c>
      <c r="F69" s="165" t="s">
        <v>1432</v>
      </c>
      <c r="G69" s="165" t="s">
        <v>1621</v>
      </c>
      <c r="H69" s="165" t="s">
        <v>76</v>
      </c>
      <c r="I69" s="165" t="s">
        <v>236</v>
      </c>
      <c r="J69" s="165" t="s">
        <v>53</v>
      </c>
      <c r="K69" s="165" t="s">
        <v>53</v>
      </c>
      <c r="L69" s="165" t="s">
        <v>311</v>
      </c>
      <c r="M69" s="165" t="s">
        <v>997</v>
      </c>
      <c r="N69" s="165" t="s">
        <v>62</v>
      </c>
      <c r="O69" s="165" t="s">
        <v>1208</v>
      </c>
      <c r="P69" s="168">
        <v>5812850</v>
      </c>
      <c r="Q69" s="168">
        <v>1</v>
      </c>
      <c r="R69" s="168">
        <v>365.93</v>
      </c>
      <c r="S69" s="168">
        <v>0</v>
      </c>
      <c r="T69" s="168">
        <v>21270.962</v>
      </c>
      <c r="U69" s="169">
        <v>4.0000000000000001E-3</v>
      </c>
      <c r="V69" s="169">
        <v>0.234877369581</v>
      </c>
      <c r="W69" s="169">
        <v>7.6601762798000003E-2</v>
      </c>
    </row>
    <row r="70" spans="1:23" ht="15.75" thickBot="1">
      <c r="A70" s="176">
        <v>11939</v>
      </c>
      <c r="B70" s="176">
        <v>11942</v>
      </c>
      <c r="C70" s="165" t="s">
        <v>1310</v>
      </c>
      <c r="D70" s="165" t="s">
        <v>1615</v>
      </c>
      <c r="E70" s="165" t="s">
        <v>429</v>
      </c>
      <c r="F70" s="165" t="s">
        <v>1457</v>
      </c>
      <c r="G70" s="165" t="s">
        <v>1630</v>
      </c>
      <c r="H70" s="165" t="s">
        <v>76</v>
      </c>
      <c r="I70" s="165" t="s">
        <v>236</v>
      </c>
      <c r="J70" s="165" t="s">
        <v>53</v>
      </c>
      <c r="K70" s="165" t="s">
        <v>53</v>
      </c>
      <c r="L70" s="165" t="s">
        <v>311</v>
      </c>
      <c r="M70" s="165" t="s">
        <v>997</v>
      </c>
      <c r="N70" s="165" t="s">
        <v>62</v>
      </c>
      <c r="O70" s="165" t="s">
        <v>1208</v>
      </c>
      <c r="P70" s="168">
        <v>4567250</v>
      </c>
      <c r="Q70" s="168">
        <v>1</v>
      </c>
      <c r="R70" s="168">
        <v>465.93</v>
      </c>
      <c r="S70" s="168">
        <v>0</v>
      </c>
      <c r="T70" s="168">
        <v>21280.18792</v>
      </c>
      <c r="U70" s="169">
        <v>3.2000000000000001E-2</v>
      </c>
      <c r="V70" s="169">
        <v>0.23497924366799999</v>
      </c>
      <c r="W70" s="169">
        <v>7.6634987517E-2</v>
      </c>
    </row>
    <row r="71" spans="1:23" ht="15.75" thickBot="1">
      <c r="A71" s="176">
        <v>11939</v>
      </c>
      <c r="B71" s="176">
        <v>11942</v>
      </c>
      <c r="C71" s="165" t="s">
        <v>1308</v>
      </c>
      <c r="D71" s="165" t="s">
        <v>1613</v>
      </c>
      <c r="E71" s="165" t="s">
        <v>429</v>
      </c>
      <c r="F71" s="165" t="s">
        <v>1314</v>
      </c>
      <c r="G71" s="165" t="s">
        <v>1622</v>
      </c>
      <c r="H71" s="165" t="s">
        <v>76</v>
      </c>
      <c r="I71" s="165" t="s">
        <v>236</v>
      </c>
      <c r="J71" s="165" t="s">
        <v>53</v>
      </c>
      <c r="K71" s="165" t="s">
        <v>53</v>
      </c>
      <c r="L71" s="165" t="s">
        <v>311</v>
      </c>
      <c r="M71" s="165" t="s">
        <v>997</v>
      </c>
      <c r="N71" s="165" t="s">
        <v>62</v>
      </c>
      <c r="O71" s="165" t="s">
        <v>1208</v>
      </c>
      <c r="P71" s="168">
        <v>4470900</v>
      </c>
      <c r="Q71" s="168">
        <v>1</v>
      </c>
      <c r="R71" s="168">
        <v>364.41</v>
      </c>
      <c r="S71" s="168">
        <v>0</v>
      </c>
      <c r="T71" s="168">
        <v>16292.40669</v>
      </c>
      <c r="U71" s="169">
        <v>1.4E-2</v>
      </c>
      <c r="V71" s="169">
        <v>0.17990336438499999</v>
      </c>
      <c r="W71" s="169">
        <v>5.8672808154E-2</v>
      </c>
    </row>
    <row r="72" spans="1:23" ht="15.75" thickBot="1">
      <c r="A72" s="176">
        <v>11939</v>
      </c>
      <c r="B72" s="176">
        <v>11943</v>
      </c>
      <c r="C72" s="165" t="s">
        <v>1304</v>
      </c>
      <c r="D72" s="165" t="s">
        <v>1609</v>
      </c>
      <c r="E72" s="165" t="s">
        <v>429</v>
      </c>
      <c r="F72" s="165" t="s">
        <v>1445</v>
      </c>
      <c r="G72" s="165" t="s">
        <v>1632</v>
      </c>
      <c r="H72" s="165" t="s">
        <v>76</v>
      </c>
      <c r="I72" s="165" t="s">
        <v>234</v>
      </c>
      <c r="J72" s="165" t="s">
        <v>53</v>
      </c>
      <c r="K72" s="165" t="s">
        <v>53</v>
      </c>
      <c r="L72" s="165" t="s">
        <v>311</v>
      </c>
      <c r="M72" s="165" t="s">
        <v>1080</v>
      </c>
      <c r="N72" s="165" t="s">
        <v>62</v>
      </c>
      <c r="O72" s="165" t="s">
        <v>1208</v>
      </c>
      <c r="P72" s="168">
        <v>17840</v>
      </c>
      <c r="Q72" s="168">
        <v>1</v>
      </c>
      <c r="R72" s="168">
        <v>2081</v>
      </c>
      <c r="S72" s="168">
        <v>0</v>
      </c>
      <c r="T72" s="168">
        <v>371.25040000000001</v>
      </c>
      <c r="U72" s="169">
        <v>0</v>
      </c>
      <c r="V72" s="169">
        <v>7.1165853395999998E-2</v>
      </c>
      <c r="W72" s="169">
        <v>6.4310251065999996E-2</v>
      </c>
    </row>
    <row r="73" spans="1:23" ht="15.75" thickBot="1">
      <c r="A73" s="176">
        <v>11939</v>
      </c>
      <c r="B73" s="176">
        <v>11943</v>
      </c>
      <c r="C73" s="165" t="s">
        <v>1304</v>
      </c>
      <c r="D73" s="165" t="s">
        <v>1609</v>
      </c>
      <c r="E73" s="165" t="s">
        <v>429</v>
      </c>
      <c r="F73" s="165" t="s">
        <v>1335</v>
      </c>
      <c r="G73" s="165" t="s">
        <v>1648</v>
      </c>
      <c r="H73" s="165" t="s">
        <v>76</v>
      </c>
      <c r="I73" s="165" t="s">
        <v>235</v>
      </c>
      <c r="J73" s="165" t="s">
        <v>53</v>
      </c>
      <c r="K73" s="165" t="s">
        <v>314</v>
      </c>
      <c r="L73" s="165" t="s">
        <v>311</v>
      </c>
      <c r="M73" s="165" t="s">
        <v>1129</v>
      </c>
      <c r="N73" s="165" t="s">
        <v>62</v>
      </c>
      <c r="O73" s="165" t="s">
        <v>1208</v>
      </c>
      <c r="P73" s="168">
        <v>1965</v>
      </c>
      <c r="Q73" s="168">
        <v>1</v>
      </c>
      <c r="R73" s="168">
        <v>16380</v>
      </c>
      <c r="S73" s="168">
        <v>0</v>
      </c>
      <c r="T73" s="168">
        <v>321.86700000000002</v>
      </c>
      <c r="U73" s="169">
        <v>0</v>
      </c>
      <c r="V73" s="169">
        <v>6.1699434492000001E-2</v>
      </c>
      <c r="W73" s="169">
        <v>5.5755758324000003E-2</v>
      </c>
    </row>
    <row r="74" spans="1:23" ht="15.75" thickBot="1">
      <c r="A74" s="176">
        <v>11939</v>
      </c>
      <c r="B74" s="176">
        <v>11943</v>
      </c>
      <c r="C74" s="165" t="s">
        <v>1306</v>
      </c>
      <c r="D74" s="165" t="s">
        <v>1611</v>
      </c>
      <c r="E74" s="165" t="s">
        <v>429</v>
      </c>
      <c r="F74" s="165" t="s">
        <v>1325</v>
      </c>
      <c r="G74" s="165" t="s">
        <v>1636</v>
      </c>
      <c r="H74" s="165" t="s">
        <v>76</v>
      </c>
      <c r="I74" s="165" t="s">
        <v>235</v>
      </c>
      <c r="J74" s="165" t="s">
        <v>53</v>
      </c>
      <c r="K74" s="165" t="s">
        <v>314</v>
      </c>
      <c r="L74" s="165" t="s">
        <v>311</v>
      </c>
      <c r="M74" s="165" t="s">
        <v>1129</v>
      </c>
      <c r="N74" s="165" t="s">
        <v>62</v>
      </c>
      <c r="O74" s="165" t="s">
        <v>1208</v>
      </c>
      <c r="P74" s="168">
        <v>6830</v>
      </c>
      <c r="Q74" s="168">
        <v>1</v>
      </c>
      <c r="R74" s="168">
        <v>5505</v>
      </c>
      <c r="S74" s="168">
        <v>0</v>
      </c>
      <c r="T74" s="168">
        <v>375.99149999999997</v>
      </c>
      <c r="U74" s="169">
        <v>0</v>
      </c>
      <c r="V74" s="169">
        <v>7.2074685890999995E-2</v>
      </c>
      <c r="W74" s="169">
        <v>6.5131533229000005E-2</v>
      </c>
    </row>
    <row r="75" spans="1:23" ht="15.75" thickBot="1">
      <c r="A75" s="176">
        <v>11939</v>
      </c>
      <c r="B75" s="176">
        <v>11943</v>
      </c>
      <c r="C75" s="165" t="s">
        <v>1619</v>
      </c>
      <c r="D75" s="165" t="s">
        <v>1620</v>
      </c>
      <c r="E75" s="165" t="s">
        <v>429</v>
      </c>
      <c r="F75" s="165" t="s">
        <v>1461</v>
      </c>
      <c r="G75" s="165" t="s">
        <v>1646</v>
      </c>
      <c r="H75" s="165" t="s">
        <v>76</v>
      </c>
      <c r="I75" s="165" t="s">
        <v>234</v>
      </c>
      <c r="J75" s="165" t="s">
        <v>53</v>
      </c>
      <c r="K75" s="165" t="s">
        <v>53</v>
      </c>
      <c r="L75" s="165" t="s">
        <v>311</v>
      </c>
      <c r="M75" s="165" t="s">
        <v>1080</v>
      </c>
      <c r="N75" s="165" t="s">
        <v>62</v>
      </c>
      <c r="O75" s="165" t="s">
        <v>1208</v>
      </c>
      <c r="P75" s="168">
        <v>18980</v>
      </c>
      <c r="Q75" s="168">
        <v>1</v>
      </c>
      <c r="R75" s="168">
        <v>2073</v>
      </c>
      <c r="S75" s="168">
        <v>0</v>
      </c>
      <c r="T75" s="168">
        <v>393.4554</v>
      </c>
      <c r="U75" s="169">
        <v>0</v>
      </c>
      <c r="V75" s="169">
        <v>7.5422381536000005E-2</v>
      </c>
      <c r="W75" s="169">
        <v>6.8156736147000005E-2</v>
      </c>
    </row>
    <row r="76" spans="1:23" ht="15.75" thickBot="1">
      <c r="A76" s="176">
        <v>11939</v>
      </c>
      <c r="B76" s="176">
        <v>11943</v>
      </c>
      <c r="C76" s="165" t="s">
        <v>1308</v>
      </c>
      <c r="D76" s="165" t="s">
        <v>1613</v>
      </c>
      <c r="E76" s="165" t="s">
        <v>429</v>
      </c>
      <c r="F76" s="165" t="s">
        <v>1336</v>
      </c>
      <c r="G76" s="165" t="s">
        <v>1649</v>
      </c>
      <c r="H76" s="165" t="s">
        <v>76</v>
      </c>
      <c r="I76" s="165" t="s">
        <v>235</v>
      </c>
      <c r="J76" s="165" t="s">
        <v>53</v>
      </c>
      <c r="K76" s="165" t="s">
        <v>314</v>
      </c>
      <c r="L76" s="165" t="s">
        <v>311</v>
      </c>
      <c r="M76" s="165" t="s">
        <v>1125</v>
      </c>
      <c r="N76" s="165" t="s">
        <v>62</v>
      </c>
      <c r="O76" s="165" t="s">
        <v>1208</v>
      </c>
      <c r="P76" s="168">
        <v>16635</v>
      </c>
      <c r="Q76" s="168">
        <v>1</v>
      </c>
      <c r="R76" s="168">
        <v>2470</v>
      </c>
      <c r="S76" s="168">
        <v>0</v>
      </c>
      <c r="T76" s="168">
        <v>410.8845</v>
      </c>
      <c r="U76" s="169">
        <v>0</v>
      </c>
      <c r="V76" s="169">
        <v>7.8763406288000007E-2</v>
      </c>
      <c r="W76" s="169">
        <v>7.1175910797999994E-2</v>
      </c>
    </row>
    <row r="77" spans="1:23" ht="15.75" thickBot="1">
      <c r="A77" s="176">
        <v>11939</v>
      </c>
      <c r="B77" s="176">
        <v>11943</v>
      </c>
      <c r="C77" s="165" t="s">
        <v>1308</v>
      </c>
      <c r="D77" s="165" t="s">
        <v>1613</v>
      </c>
      <c r="E77" s="165" t="s">
        <v>429</v>
      </c>
      <c r="F77" s="165" t="s">
        <v>1337</v>
      </c>
      <c r="G77" s="165" t="s">
        <v>1637</v>
      </c>
      <c r="H77" s="165" t="s">
        <v>76</v>
      </c>
      <c r="I77" s="165" t="s">
        <v>235</v>
      </c>
      <c r="J77" s="165" t="s">
        <v>53</v>
      </c>
      <c r="K77" s="165" t="s">
        <v>314</v>
      </c>
      <c r="L77" s="165" t="s">
        <v>311</v>
      </c>
      <c r="M77" s="165" t="s">
        <v>1129</v>
      </c>
      <c r="N77" s="165" t="s">
        <v>62</v>
      </c>
      <c r="O77" s="165" t="s">
        <v>1208</v>
      </c>
      <c r="P77" s="168">
        <v>5660</v>
      </c>
      <c r="Q77" s="168">
        <v>1</v>
      </c>
      <c r="R77" s="168">
        <v>5590</v>
      </c>
      <c r="S77" s="168">
        <v>0</v>
      </c>
      <c r="T77" s="168">
        <v>316.39400000000001</v>
      </c>
      <c r="U77" s="169">
        <v>0</v>
      </c>
      <c r="V77" s="169">
        <v>6.0650302381999997E-2</v>
      </c>
      <c r="W77" s="169">
        <v>5.4807691993999999E-2</v>
      </c>
    </row>
    <row r="78" spans="1:23" ht="15.75" thickBot="1">
      <c r="A78" s="176">
        <v>11939</v>
      </c>
      <c r="B78" s="176">
        <v>11943</v>
      </c>
      <c r="C78" s="165" t="s">
        <v>1308</v>
      </c>
      <c r="D78" s="165" t="s">
        <v>1613</v>
      </c>
      <c r="E78" s="165" t="s">
        <v>429</v>
      </c>
      <c r="F78" s="165" t="s">
        <v>1338</v>
      </c>
      <c r="G78" s="165" t="s">
        <v>1650</v>
      </c>
      <c r="H78" s="165" t="s">
        <v>76</v>
      </c>
      <c r="I78" s="165" t="s">
        <v>235</v>
      </c>
      <c r="J78" s="165" t="s">
        <v>53</v>
      </c>
      <c r="K78" s="165" t="s">
        <v>314</v>
      </c>
      <c r="L78" s="165" t="s">
        <v>311</v>
      </c>
      <c r="M78" s="165" t="s">
        <v>1139</v>
      </c>
      <c r="N78" s="165" t="s">
        <v>62</v>
      </c>
      <c r="O78" s="165" t="s">
        <v>1208</v>
      </c>
      <c r="P78" s="168">
        <v>10600</v>
      </c>
      <c r="Q78" s="168">
        <v>1</v>
      </c>
      <c r="R78" s="168">
        <v>524.70000000000005</v>
      </c>
      <c r="S78" s="168">
        <v>0</v>
      </c>
      <c r="T78" s="168">
        <v>55.618200000000002</v>
      </c>
      <c r="U78" s="169">
        <v>0</v>
      </c>
      <c r="V78" s="169">
        <v>1.0661582229000001E-2</v>
      </c>
      <c r="W78" s="169">
        <v>9.6345226989999998E-3</v>
      </c>
    </row>
    <row r="79" spans="1:23" ht="15.75" thickBot="1">
      <c r="A79" s="176">
        <v>11939</v>
      </c>
      <c r="B79" s="176">
        <v>11943</v>
      </c>
      <c r="C79" s="165" t="s">
        <v>1310</v>
      </c>
      <c r="D79" s="165" t="s">
        <v>1615</v>
      </c>
      <c r="E79" s="165" t="s">
        <v>429</v>
      </c>
      <c r="F79" s="165" t="s">
        <v>1440</v>
      </c>
      <c r="G79" s="165" t="s">
        <v>1638</v>
      </c>
      <c r="H79" s="165" t="s">
        <v>76</v>
      </c>
      <c r="I79" s="165" t="s">
        <v>234</v>
      </c>
      <c r="J79" s="165" t="s">
        <v>53</v>
      </c>
      <c r="K79" s="165" t="s">
        <v>53</v>
      </c>
      <c r="L79" s="165" t="s">
        <v>311</v>
      </c>
      <c r="M79" s="165" t="s">
        <v>1080</v>
      </c>
      <c r="N79" s="165" t="s">
        <v>62</v>
      </c>
      <c r="O79" s="165" t="s">
        <v>1208</v>
      </c>
      <c r="P79" s="168">
        <v>9990</v>
      </c>
      <c r="Q79" s="168">
        <v>1</v>
      </c>
      <c r="R79" s="168">
        <v>3265</v>
      </c>
      <c r="S79" s="168">
        <v>0</v>
      </c>
      <c r="T79" s="168">
        <v>326.17349999999999</v>
      </c>
      <c r="U79" s="169">
        <v>0</v>
      </c>
      <c r="V79" s="169">
        <v>6.2524957502000003E-2</v>
      </c>
      <c r="W79" s="169">
        <v>5.6501756431999998E-2</v>
      </c>
    </row>
    <row r="80" spans="1:23" ht="15.75" thickBot="1">
      <c r="A80" s="176">
        <v>11939</v>
      </c>
      <c r="B80" s="176">
        <v>11943</v>
      </c>
      <c r="C80" s="165" t="s">
        <v>1310</v>
      </c>
      <c r="D80" s="165" t="s">
        <v>1615</v>
      </c>
      <c r="E80" s="165" t="s">
        <v>429</v>
      </c>
      <c r="F80" s="165" t="s">
        <v>1326</v>
      </c>
      <c r="G80" s="165" t="s">
        <v>1639</v>
      </c>
      <c r="H80" s="165" t="s">
        <v>76</v>
      </c>
      <c r="I80" s="165" t="s">
        <v>235</v>
      </c>
      <c r="J80" s="165" t="s">
        <v>53</v>
      </c>
      <c r="K80" s="165" t="s">
        <v>314</v>
      </c>
      <c r="L80" s="165" t="s">
        <v>311</v>
      </c>
      <c r="M80" s="165" t="s">
        <v>1129</v>
      </c>
      <c r="N80" s="165" t="s">
        <v>62</v>
      </c>
      <c r="O80" s="165" t="s">
        <v>1208</v>
      </c>
      <c r="P80" s="168">
        <v>5790</v>
      </c>
      <c r="Q80" s="168">
        <v>1</v>
      </c>
      <c r="R80" s="168">
        <v>7341</v>
      </c>
      <c r="S80" s="168">
        <v>0</v>
      </c>
      <c r="T80" s="168">
        <v>425.04390000000001</v>
      </c>
      <c r="U80" s="169">
        <v>0</v>
      </c>
      <c r="V80" s="169">
        <v>8.1477654634999994E-2</v>
      </c>
      <c r="W80" s="169">
        <v>7.3628688139000004E-2</v>
      </c>
    </row>
    <row r="81" spans="1:23" ht="15.75" thickBot="1">
      <c r="A81" s="176">
        <v>11939</v>
      </c>
      <c r="B81" s="176">
        <v>11943</v>
      </c>
      <c r="C81" s="165" t="s">
        <v>1339</v>
      </c>
      <c r="D81" s="165">
        <v>514884485</v>
      </c>
      <c r="E81" s="165" t="s">
        <v>429</v>
      </c>
      <c r="F81" s="165" t="s">
        <v>1340</v>
      </c>
      <c r="G81" s="165" t="s">
        <v>1641</v>
      </c>
      <c r="H81" s="165" t="s">
        <v>76</v>
      </c>
      <c r="I81" s="165" t="s">
        <v>235</v>
      </c>
      <c r="J81" s="165" t="s">
        <v>53</v>
      </c>
      <c r="K81" s="165" t="s">
        <v>314</v>
      </c>
      <c r="L81" s="165" t="s">
        <v>311</v>
      </c>
      <c r="M81" s="165" t="s">
        <v>1129</v>
      </c>
      <c r="N81" s="165" t="s">
        <v>62</v>
      </c>
      <c r="O81" s="165" t="s">
        <v>1208</v>
      </c>
      <c r="P81" s="168">
        <v>1225</v>
      </c>
      <c r="Q81" s="168">
        <v>1</v>
      </c>
      <c r="R81" s="168">
        <v>9006</v>
      </c>
      <c r="S81" s="168">
        <v>0</v>
      </c>
      <c r="T81" s="168">
        <v>110.3235</v>
      </c>
      <c r="U81" s="169">
        <v>0</v>
      </c>
      <c r="V81" s="169">
        <v>2.1148168533E-2</v>
      </c>
      <c r="W81" s="169">
        <v>1.9110907311E-2</v>
      </c>
    </row>
    <row r="82" spans="1:23" ht="15.75" thickBot="1">
      <c r="A82" s="176">
        <v>11939</v>
      </c>
      <c r="B82" s="176">
        <v>11943</v>
      </c>
      <c r="C82" s="165" t="s">
        <v>1339</v>
      </c>
      <c r="D82" s="165">
        <v>514884485</v>
      </c>
      <c r="E82" s="165" t="s">
        <v>429</v>
      </c>
      <c r="F82" s="165" t="s">
        <v>1434</v>
      </c>
      <c r="G82" s="165" t="s">
        <v>1642</v>
      </c>
      <c r="H82" s="165" t="s">
        <v>76</v>
      </c>
      <c r="I82" s="165" t="s">
        <v>234</v>
      </c>
      <c r="J82" s="165" t="s">
        <v>53</v>
      </c>
      <c r="K82" s="165" t="s">
        <v>53</v>
      </c>
      <c r="L82" s="165" t="s">
        <v>311</v>
      </c>
      <c r="M82" s="165" t="s">
        <v>1080</v>
      </c>
      <c r="N82" s="165" t="s">
        <v>62</v>
      </c>
      <c r="O82" s="165" t="s">
        <v>1208</v>
      </c>
      <c r="P82" s="168">
        <v>8816</v>
      </c>
      <c r="Q82" s="168">
        <v>1</v>
      </c>
      <c r="R82" s="168">
        <v>5753</v>
      </c>
      <c r="S82" s="168">
        <v>0</v>
      </c>
      <c r="T82" s="168">
        <v>507.18448000000001</v>
      </c>
      <c r="U82" s="169">
        <v>1E-3</v>
      </c>
      <c r="V82" s="169">
        <v>9.7223373626999995E-2</v>
      </c>
      <c r="W82" s="169">
        <v>8.7857578727999999E-2</v>
      </c>
    </row>
    <row r="83" spans="1:23" ht="15.75" thickBot="1">
      <c r="A83" s="176">
        <v>11939</v>
      </c>
      <c r="B83" s="176">
        <v>11943</v>
      </c>
      <c r="C83" s="165" t="s">
        <v>1441</v>
      </c>
      <c r="D83" s="165" t="s">
        <v>1643</v>
      </c>
      <c r="E83" s="165" t="s">
        <v>430</v>
      </c>
      <c r="F83" s="165" t="s">
        <v>1328</v>
      </c>
      <c r="G83" s="165" t="s">
        <v>1329</v>
      </c>
      <c r="H83" s="165" t="s">
        <v>76</v>
      </c>
      <c r="I83" s="165" t="s">
        <v>235</v>
      </c>
      <c r="J83" s="165" t="s">
        <v>61</v>
      </c>
      <c r="K83" s="165" t="s">
        <v>314</v>
      </c>
      <c r="L83" s="165" t="s">
        <v>479</v>
      </c>
      <c r="M83" s="165" t="s">
        <v>775</v>
      </c>
      <c r="N83" s="165" t="s">
        <v>62</v>
      </c>
      <c r="O83" s="165" t="s">
        <v>1210</v>
      </c>
      <c r="P83" s="168">
        <v>50</v>
      </c>
      <c r="Q83" s="168">
        <v>3.71</v>
      </c>
      <c r="R83" s="168">
        <v>48807</v>
      </c>
      <c r="S83" s="168">
        <v>2.9439353099000001E-2</v>
      </c>
      <c r="T83" s="168">
        <v>90.646199999999993</v>
      </c>
      <c r="U83" s="169">
        <v>0</v>
      </c>
      <c r="V83" s="169">
        <v>1.7376181088999999E-2</v>
      </c>
      <c r="W83" s="169">
        <v>1.5702285789000001E-2</v>
      </c>
    </row>
    <row r="84" spans="1:23" ht="15.75" thickBot="1">
      <c r="A84" s="176">
        <v>11939</v>
      </c>
      <c r="B84" s="176">
        <v>11943</v>
      </c>
      <c r="C84" s="165" t="s">
        <v>1462</v>
      </c>
      <c r="D84" s="165" t="s">
        <v>1651</v>
      </c>
      <c r="E84" s="165" t="s">
        <v>430</v>
      </c>
      <c r="F84" s="165" t="s">
        <v>1341</v>
      </c>
      <c r="G84" s="165" t="s">
        <v>1342</v>
      </c>
      <c r="H84" s="165" t="s">
        <v>76</v>
      </c>
      <c r="I84" s="165" t="s">
        <v>235</v>
      </c>
      <c r="J84" s="165" t="s">
        <v>61</v>
      </c>
      <c r="K84" s="165" t="s">
        <v>314</v>
      </c>
      <c r="L84" s="165" t="s">
        <v>476</v>
      </c>
      <c r="M84" s="165" t="s">
        <v>775</v>
      </c>
      <c r="N84" s="165" t="s">
        <v>62</v>
      </c>
      <c r="O84" s="165" t="s">
        <v>1210</v>
      </c>
      <c r="P84" s="168">
        <v>40</v>
      </c>
      <c r="Q84" s="168">
        <v>3.71</v>
      </c>
      <c r="R84" s="168">
        <v>57682</v>
      </c>
      <c r="S84" s="168">
        <v>0</v>
      </c>
      <c r="T84" s="168">
        <v>85.600089999999994</v>
      </c>
      <c r="U84" s="169">
        <v>0</v>
      </c>
      <c r="V84" s="169">
        <v>1.6408880516999999E-2</v>
      </c>
      <c r="W84" s="169">
        <v>1.4828167939999999E-2</v>
      </c>
    </row>
    <row r="85" spans="1:23" ht="15.75" thickBot="1">
      <c r="A85" s="176">
        <v>11939</v>
      </c>
      <c r="B85" s="176">
        <v>11943</v>
      </c>
      <c r="C85" s="165" t="s">
        <v>1624</v>
      </c>
      <c r="D85" s="165" t="s">
        <v>1625</v>
      </c>
      <c r="E85" s="165" t="s">
        <v>430</v>
      </c>
      <c r="F85" s="165" t="s">
        <v>1317</v>
      </c>
      <c r="G85" s="165" t="s">
        <v>1318</v>
      </c>
      <c r="H85" s="165" t="s">
        <v>76</v>
      </c>
      <c r="I85" s="165" t="s">
        <v>235</v>
      </c>
      <c r="J85" s="165" t="s">
        <v>61</v>
      </c>
      <c r="K85" s="165" t="s">
        <v>314</v>
      </c>
      <c r="L85" s="165" t="s">
        <v>494</v>
      </c>
      <c r="M85" s="165" t="s">
        <v>775</v>
      </c>
      <c r="N85" s="165" t="s">
        <v>62</v>
      </c>
      <c r="O85" s="165" t="s">
        <v>1210</v>
      </c>
      <c r="P85" s="168">
        <v>121</v>
      </c>
      <c r="Q85" s="168">
        <v>3.71</v>
      </c>
      <c r="R85" s="168">
        <v>112716</v>
      </c>
      <c r="S85" s="168">
        <v>0</v>
      </c>
      <c r="T85" s="168">
        <v>505.99340000000001</v>
      </c>
      <c r="U85" s="169">
        <v>0</v>
      </c>
      <c r="V85" s="169">
        <v>9.6995052728999998E-2</v>
      </c>
      <c r="W85" s="169">
        <v>8.7651252609999994E-2</v>
      </c>
    </row>
    <row r="86" spans="1:23" ht="15.75" thickBot="1">
      <c r="A86" s="176">
        <v>11939</v>
      </c>
      <c r="B86" s="176">
        <v>11943</v>
      </c>
      <c r="C86" s="165" t="s">
        <v>1431</v>
      </c>
      <c r="D86" s="165" t="s">
        <v>1626</v>
      </c>
      <c r="E86" s="165" t="s">
        <v>430</v>
      </c>
      <c r="F86" s="165" t="s">
        <v>1319</v>
      </c>
      <c r="G86" s="165" t="s">
        <v>1320</v>
      </c>
      <c r="H86" s="165" t="s">
        <v>76</v>
      </c>
      <c r="I86" s="165" t="s">
        <v>235</v>
      </c>
      <c r="J86" s="165" t="s">
        <v>61</v>
      </c>
      <c r="K86" s="165" t="s">
        <v>314</v>
      </c>
      <c r="L86" s="165" t="s">
        <v>494</v>
      </c>
      <c r="M86" s="165" t="s">
        <v>775</v>
      </c>
      <c r="N86" s="165" t="s">
        <v>62</v>
      </c>
      <c r="O86" s="165" t="s">
        <v>1210</v>
      </c>
      <c r="P86" s="168">
        <v>203</v>
      </c>
      <c r="Q86" s="168">
        <v>3.71</v>
      </c>
      <c r="R86" s="168">
        <v>60718</v>
      </c>
      <c r="S86" s="168">
        <v>0</v>
      </c>
      <c r="T86" s="168">
        <v>457.28546999999998</v>
      </c>
      <c r="U86" s="169">
        <v>0</v>
      </c>
      <c r="V86" s="169">
        <v>8.7658116241999998E-2</v>
      </c>
      <c r="W86" s="169">
        <v>7.9213768887000005E-2</v>
      </c>
    </row>
    <row r="87" spans="1:23" ht="15.75" thickBot="1">
      <c r="A87" s="176">
        <v>11939</v>
      </c>
      <c r="B87" s="176">
        <v>11943</v>
      </c>
      <c r="C87" s="165" t="s">
        <v>1458</v>
      </c>
      <c r="D87" s="165" t="s">
        <v>1647</v>
      </c>
      <c r="E87" s="165" t="s">
        <v>430</v>
      </c>
      <c r="F87" s="165" t="s">
        <v>1459</v>
      </c>
      <c r="G87" s="165" t="s">
        <v>1460</v>
      </c>
      <c r="H87" s="165" t="s">
        <v>76</v>
      </c>
      <c r="I87" s="165" t="s">
        <v>235</v>
      </c>
      <c r="J87" s="165" t="s">
        <v>61</v>
      </c>
      <c r="K87" s="165" t="s">
        <v>314</v>
      </c>
      <c r="L87" s="165" t="s">
        <v>479</v>
      </c>
      <c r="M87" s="165" t="s">
        <v>775</v>
      </c>
      <c r="N87" s="165" t="s">
        <v>62</v>
      </c>
      <c r="O87" s="165" t="s">
        <v>1210</v>
      </c>
      <c r="P87" s="168">
        <v>5444</v>
      </c>
      <c r="Q87" s="168">
        <v>3.71</v>
      </c>
      <c r="R87" s="168">
        <v>2292.3000000000002</v>
      </c>
      <c r="S87" s="168">
        <v>0</v>
      </c>
      <c r="T87" s="168">
        <v>462.98133000000001</v>
      </c>
      <c r="U87" s="169">
        <v>0</v>
      </c>
      <c r="V87" s="169">
        <v>8.8749968905000004E-2</v>
      </c>
      <c r="W87" s="169">
        <v>8.0200440380000002E-2</v>
      </c>
    </row>
    <row r="88" spans="1:23" ht="15.75" thickBot="1">
      <c r="A88" s="176">
        <v>11939</v>
      </c>
      <c r="B88" s="176">
        <v>11944</v>
      </c>
      <c r="C88" s="165" t="s">
        <v>1463</v>
      </c>
      <c r="D88" s="165" t="s">
        <v>1652</v>
      </c>
      <c r="E88" s="165" t="s">
        <v>430</v>
      </c>
      <c r="F88" s="165" t="s">
        <v>1464</v>
      </c>
      <c r="G88" s="165" t="s">
        <v>1465</v>
      </c>
      <c r="H88" s="165" t="s">
        <v>76</v>
      </c>
      <c r="I88" s="165" t="s">
        <v>235</v>
      </c>
      <c r="J88" s="165" t="s">
        <v>61</v>
      </c>
      <c r="K88" s="165" t="s">
        <v>314</v>
      </c>
      <c r="L88" s="165" t="s">
        <v>479</v>
      </c>
      <c r="M88" s="165" t="s">
        <v>775</v>
      </c>
      <c r="N88" s="165" t="s">
        <v>62</v>
      </c>
      <c r="O88" s="165" t="s">
        <v>1210</v>
      </c>
      <c r="P88" s="168">
        <v>9726</v>
      </c>
      <c r="Q88" s="168">
        <v>3.71</v>
      </c>
      <c r="R88" s="168">
        <v>4072</v>
      </c>
      <c r="S88" s="168">
        <v>0</v>
      </c>
      <c r="T88" s="168">
        <v>1469.3184900000001</v>
      </c>
      <c r="U88" s="169">
        <v>1E-3</v>
      </c>
      <c r="V88" s="169">
        <v>7.4913220424999996E-2</v>
      </c>
      <c r="W88" s="169">
        <v>6.3317439244000004E-2</v>
      </c>
    </row>
    <row r="89" spans="1:23" ht="15.75" thickBot="1">
      <c r="A89" s="176">
        <v>11939</v>
      </c>
      <c r="B89" s="176">
        <v>11944</v>
      </c>
      <c r="C89" s="165" t="s">
        <v>1466</v>
      </c>
      <c r="D89" s="165" t="s">
        <v>1653</v>
      </c>
      <c r="E89" s="165" t="s">
        <v>430</v>
      </c>
      <c r="F89" s="165" t="s">
        <v>1343</v>
      </c>
      <c r="G89" s="165" t="s">
        <v>1344</v>
      </c>
      <c r="H89" s="165" t="s">
        <v>76</v>
      </c>
      <c r="I89" s="165" t="s">
        <v>235</v>
      </c>
      <c r="J89" s="165" t="s">
        <v>61</v>
      </c>
      <c r="K89" s="165" t="s">
        <v>314</v>
      </c>
      <c r="L89" s="165" t="s">
        <v>476</v>
      </c>
      <c r="M89" s="165" t="s">
        <v>775</v>
      </c>
      <c r="N89" s="165" t="s">
        <v>62</v>
      </c>
      <c r="O89" s="165" t="s">
        <v>1210</v>
      </c>
      <c r="P89" s="168">
        <v>4721</v>
      </c>
      <c r="Q89" s="168">
        <v>3.71</v>
      </c>
      <c r="R89" s="168">
        <v>7173</v>
      </c>
      <c r="S89" s="168">
        <v>0</v>
      </c>
      <c r="T89" s="168">
        <v>1256.34449</v>
      </c>
      <c r="U89" s="169">
        <v>0</v>
      </c>
      <c r="V89" s="169">
        <v>6.4054738540000003E-2</v>
      </c>
      <c r="W89" s="169">
        <v>5.4139736522E-2</v>
      </c>
    </row>
    <row r="90" spans="1:23" ht="15.75" thickBot="1">
      <c r="A90" s="176">
        <v>11939</v>
      </c>
      <c r="B90" s="176">
        <v>11944</v>
      </c>
      <c r="C90" s="165" t="s">
        <v>1467</v>
      </c>
      <c r="D90" s="165" t="s">
        <v>1654</v>
      </c>
      <c r="E90" s="165" t="s">
        <v>430</v>
      </c>
      <c r="F90" s="165" t="s">
        <v>1468</v>
      </c>
      <c r="G90" s="165" t="s">
        <v>1469</v>
      </c>
      <c r="H90" s="165" t="s">
        <v>76</v>
      </c>
      <c r="I90" s="165" t="s">
        <v>237</v>
      </c>
      <c r="J90" s="165" t="s">
        <v>61</v>
      </c>
      <c r="K90" s="165" t="s">
        <v>314</v>
      </c>
      <c r="L90" s="165" t="s">
        <v>476</v>
      </c>
      <c r="M90" s="165" t="s">
        <v>776</v>
      </c>
      <c r="N90" s="165" t="s">
        <v>62</v>
      </c>
      <c r="O90" s="165" t="s">
        <v>1210</v>
      </c>
      <c r="P90" s="168">
        <v>12248</v>
      </c>
      <c r="Q90" s="168">
        <v>3.71</v>
      </c>
      <c r="R90" s="168">
        <v>2575</v>
      </c>
      <c r="S90" s="168">
        <v>0</v>
      </c>
      <c r="T90" s="168">
        <v>1170.08206</v>
      </c>
      <c r="U90" s="169">
        <v>0</v>
      </c>
      <c r="V90" s="169">
        <v>5.9656647536000001E-2</v>
      </c>
      <c r="W90" s="169">
        <v>5.0422423898000002E-2</v>
      </c>
    </row>
    <row r="91" spans="1:23" ht="15.75" thickBot="1">
      <c r="A91" s="176">
        <v>11939</v>
      </c>
      <c r="B91" s="176">
        <v>11944</v>
      </c>
      <c r="C91" s="165" t="s">
        <v>1470</v>
      </c>
      <c r="D91" s="165" t="s">
        <v>1655</v>
      </c>
      <c r="E91" s="165" t="s">
        <v>430</v>
      </c>
      <c r="F91" s="165" t="s">
        <v>1471</v>
      </c>
      <c r="G91" s="165" t="s">
        <v>1472</v>
      </c>
      <c r="H91" s="165" t="s">
        <v>76</v>
      </c>
      <c r="I91" s="165" t="s">
        <v>235</v>
      </c>
      <c r="J91" s="165" t="s">
        <v>61</v>
      </c>
      <c r="K91" s="165" t="s">
        <v>316</v>
      </c>
      <c r="L91" s="165" t="s">
        <v>494</v>
      </c>
      <c r="M91" s="165" t="s">
        <v>775</v>
      </c>
      <c r="N91" s="165" t="s">
        <v>62</v>
      </c>
      <c r="O91" s="165" t="s">
        <v>1210</v>
      </c>
      <c r="P91" s="168">
        <v>1076</v>
      </c>
      <c r="Q91" s="168">
        <v>3.71</v>
      </c>
      <c r="R91" s="168">
        <v>8062</v>
      </c>
      <c r="S91" s="168">
        <v>0</v>
      </c>
      <c r="T91" s="168">
        <v>321.83181999999999</v>
      </c>
      <c r="U91" s="169">
        <v>0</v>
      </c>
      <c r="V91" s="169">
        <v>1.6408599111999999E-2</v>
      </c>
      <c r="W91" s="169">
        <v>1.3868719987000001E-2</v>
      </c>
    </row>
    <row r="92" spans="1:23" ht="15.75" thickBot="1">
      <c r="A92" s="176">
        <v>11939</v>
      </c>
      <c r="B92" s="176">
        <v>11944</v>
      </c>
      <c r="C92" s="165" t="s">
        <v>1455</v>
      </c>
      <c r="D92" s="165" t="s">
        <v>1656</v>
      </c>
      <c r="E92" s="165" t="s">
        <v>430</v>
      </c>
      <c r="F92" s="165" t="s">
        <v>1345</v>
      </c>
      <c r="G92" s="165" t="s">
        <v>1346</v>
      </c>
      <c r="H92" s="165" t="s">
        <v>76</v>
      </c>
      <c r="I92" s="165" t="s">
        <v>237</v>
      </c>
      <c r="J92" s="165" t="s">
        <v>61</v>
      </c>
      <c r="K92" s="165" t="s">
        <v>314</v>
      </c>
      <c r="L92" s="165" t="s">
        <v>476</v>
      </c>
      <c r="M92" s="165" t="s">
        <v>776</v>
      </c>
      <c r="N92" s="165" t="s">
        <v>62</v>
      </c>
      <c r="O92" s="165" t="s">
        <v>1210</v>
      </c>
      <c r="P92" s="168">
        <v>13476</v>
      </c>
      <c r="Q92" s="168">
        <v>3.71</v>
      </c>
      <c r="R92" s="168">
        <v>2405</v>
      </c>
      <c r="S92" s="168">
        <v>0</v>
      </c>
      <c r="T92" s="168">
        <v>1202.40284</v>
      </c>
      <c r="U92" s="169">
        <v>0</v>
      </c>
      <c r="V92" s="169">
        <v>6.1304522883E-2</v>
      </c>
      <c r="W92" s="169">
        <v>5.1815225417000003E-2</v>
      </c>
    </row>
    <row r="93" spans="1:23" ht="15.75" thickBot="1">
      <c r="A93" s="176">
        <v>11939</v>
      </c>
      <c r="B93" s="176">
        <v>11944</v>
      </c>
      <c r="C93" s="165" t="s">
        <v>1473</v>
      </c>
      <c r="D93" s="165" t="s">
        <v>1657</v>
      </c>
      <c r="E93" s="165" t="s">
        <v>430</v>
      </c>
      <c r="F93" s="165" t="s">
        <v>1347</v>
      </c>
      <c r="G93" s="165" t="s">
        <v>1348</v>
      </c>
      <c r="H93" s="165" t="s">
        <v>76</v>
      </c>
      <c r="I93" s="165" t="s">
        <v>237</v>
      </c>
      <c r="J93" s="165" t="s">
        <v>61</v>
      </c>
      <c r="K93" s="165" t="s">
        <v>314</v>
      </c>
      <c r="L93" s="165" t="s">
        <v>494</v>
      </c>
      <c r="M93" s="165" t="s">
        <v>776</v>
      </c>
      <c r="N93" s="165" t="s">
        <v>62</v>
      </c>
      <c r="O93" s="165" t="s">
        <v>1210</v>
      </c>
      <c r="P93" s="168">
        <v>4116</v>
      </c>
      <c r="Q93" s="168">
        <v>3.71</v>
      </c>
      <c r="R93" s="168">
        <v>9208</v>
      </c>
      <c r="S93" s="168">
        <v>0</v>
      </c>
      <c r="T93" s="168">
        <v>1406.09475</v>
      </c>
      <c r="U93" s="169">
        <v>0</v>
      </c>
      <c r="V93" s="169">
        <v>7.1689757300000004E-2</v>
      </c>
      <c r="W93" s="169">
        <v>6.0592934417999997E-2</v>
      </c>
    </row>
    <row r="94" spans="1:23" ht="15.75" thickBot="1">
      <c r="A94" s="176">
        <v>11939</v>
      </c>
      <c r="B94" s="176">
        <v>11944</v>
      </c>
      <c r="C94" s="165" t="s">
        <v>1474</v>
      </c>
      <c r="D94" s="165" t="s">
        <v>1658</v>
      </c>
      <c r="E94" s="165" t="s">
        <v>430</v>
      </c>
      <c r="F94" s="165" t="s">
        <v>1475</v>
      </c>
      <c r="G94" s="165" t="s">
        <v>1476</v>
      </c>
      <c r="H94" s="165" t="s">
        <v>76</v>
      </c>
      <c r="I94" s="165" t="s">
        <v>237</v>
      </c>
      <c r="J94" s="165" t="s">
        <v>61</v>
      </c>
      <c r="K94" s="165" t="s">
        <v>314</v>
      </c>
      <c r="L94" s="165" t="s">
        <v>479</v>
      </c>
      <c r="M94" s="165" t="s">
        <v>776</v>
      </c>
      <c r="N94" s="165" t="s">
        <v>62</v>
      </c>
      <c r="O94" s="165" t="s">
        <v>1210</v>
      </c>
      <c r="P94" s="168">
        <v>282</v>
      </c>
      <c r="Q94" s="168">
        <v>3.71</v>
      </c>
      <c r="R94" s="168">
        <v>12636.22</v>
      </c>
      <c r="S94" s="168">
        <v>0</v>
      </c>
      <c r="T94" s="168">
        <v>132.20266000000001</v>
      </c>
      <c r="U94" s="169">
        <v>0</v>
      </c>
      <c r="V94" s="169">
        <v>6.7403541679999998E-3</v>
      </c>
      <c r="W94" s="169">
        <v>5.6970180039999999E-3</v>
      </c>
    </row>
    <row r="95" spans="1:23" ht="15.75" thickBot="1">
      <c r="A95" s="176">
        <v>11939</v>
      </c>
      <c r="B95" s="176">
        <v>11944</v>
      </c>
      <c r="C95" s="165" t="s">
        <v>1477</v>
      </c>
      <c r="D95" s="165" t="s">
        <v>1659</v>
      </c>
      <c r="E95" s="165" t="s">
        <v>430</v>
      </c>
      <c r="F95" s="165" t="s">
        <v>1478</v>
      </c>
      <c r="G95" s="165" t="s">
        <v>1479</v>
      </c>
      <c r="H95" s="165" t="s">
        <v>76</v>
      </c>
      <c r="I95" s="165" t="s">
        <v>235</v>
      </c>
      <c r="J95" s="165" t="s">
        <v>61</v>
      </c>
      <c r="K95" s="165" t="s">
        <v>314</v>
      </c>
      <c r="L95" s="165" t="s">
        <v>494</v>
      </c>
      <c r="M95" s="165" t="s">
        <v>775</v>
      </c>
      <c r="N95" s="165" t="s">
        <v>62</v>
      </c>
      <c r="O95" s="165" t="s">
        <v>1210</v>
      </c>
      <c r="P95" s="168">
        <v>1545</v>
      </c>
      <c r="Q95" s="168">
        <v>3.71</v>
      </c>
      <c r="R95" s="168">
        <v>16616</v>
      </c>
      <c r="S95" s="168">
        <v>0</v>
      </c>
      <c r="T95" s="168">
        <v>952.42080999999996</v>
      </c>
      <c r="U95" s="169">
        <v>0</v>
      </c>
      <c r="V95" s="169">
        <v>4.8559186155000003E-2</v>
      </c>
      <c r="W95" s="169">
        <v>4.1042733200000001E-2</v>
      </c>
    </row>
    <row r="96" spans="1:23" ht="15.75" thickBot="1">
      <c r="A96" s="176">
        <v>11939</v>
      </c>
      <c r="B96" s="176">
        <v>11944</v>
      </c>
      <c r="C96" s="165" t="s">
        <v>1480</v>
      </c>
      <c r="D96" s="165" t="s">
        <v>1660</v>
      </c>
      <c r="E96" s="165" t="s">
        <v>430</v>
      </c>
      <c r="F96" s="165" t="s">
        <v>1349</v>
      </c>
      <c r="G96" s="165" t="s">
        <v>1350</v>
      </c>
      <c r="H96" s="165" t="s">
        <v>76</v>
      </c>
      <c r="I96" s="165" t="s">
        <v>237</v>
      </c>
      <c r="J96" s="165" t="s">
        <v>61</v>
      </c>
      <c r="K96" s="165" t="s">
        <v>314</v>
      </c>
      <c r="L96" s="165" t="s">
        <v>476</v>
      </c>
      <c r="M96" s="165" t="s">
        <v>776</v>
      </c>
      <c r="N96" s="165" t="s">
        <v>62</v>
      </c>
      <c r="O96" s="165" t="s">
        <v>1210</v>
      </c>
      <c r="P96" s="168">
        <v>8480</v>
      </c>
      <c r="Q96" s="168">
        <v>3.71</v>
      </c>
      <c r="R96" s="168">
        <v>4600</v>
      </c>
      <c r="S96" s="168">
        <v>0</v>
      </c>
      <c r="T96" s="168">
        <v>1447.1967999999999</v>
      </c>
      <c r="U96" s="169">
        <v>1E-3</v>
      </c>
      <c r="V96" s="169">
        <v>7.3785345801000005E-2</v>
      </c>
      <c r="W96" s="169">
        <v>6.2364147788E-2</v>
      </c>
    </row>
    <row r="97" spans="1:23" ht="15.75" thickBot="1">
      <c r="A97" s="176">
        <v>11939</v>
      </c>
      <c r="B97" s="176">
        <v>11944</v>
      </c>
      <c r="C97" s="165" t="s">
        <v>1458</v>
      </c>
      <c r="D97" s="165" t="s">
        <v>1647</v>
      </c>
      <c r="E97" s="165" t="s">
        <v>430</v>
      </c>
      <c r="F97" s="165" t="s">
        <v>1459</v>
      </c>
      <c r="G97" s="165" t="s">
        <v>1460</v>
      </c>
      <c r="H97" s="165" t="s">
        <v>76</v>
      </c>
      <c r="I97" s="165" t="s">
        <v>235</v>
      </c>
      <c r="J97" s="165" t="s">
        <v>61</v>
      </c>
      <c r="K97" s="165" t="s">
        <v>314</v>
      </c>
      <c r="L97" s="165" t="s">
        <v>479</v>
      </c>
      <c r="M97" s="165" t="s">
        <v>775</v>
      </c>
      <c r="N97" s="165" t="s">
        <v>62</v>
      </c>
      <c r="O97" s="165" t="s">
        <v>1210</v>
      </c>
      <c r="P97" s="168">
        <v>12960</v>
      </c>
      <c r="Q97" s="168">
        <v>3.71</v>
      </c>
      <c r="R97" s="168">
        <v>2292.3000000000002</v>
      </c>
      <c r="S97" s="168">
        <v>0</v>
      </c>
      <c r="T97" s="168">
        <v>1102.17452</v>
      </c>
      <c r="U97" s="169">
        <v>0</v>
      </c>
      <c r="V97" s="169">
        <v>5.6194380813000003E-2</v>
      </c>
      <c r="W97" s="169">
        <v>4.7496079768E-2</v>
      </c>
    </row>
    <row r="98" spans="1:23" ht="15.75" thickBot="1">
      <c r="A98" s="176">
        <v>11939</v>
      </c>
      <c r="B98" s="176">
        <v>11944</v>
      </c>
      <c r="C98" s="165" t="s">
        <v>1481</v>
      </c>
      <c r="D98" s="165" t="s">
        <v>1661</v>
      </c>
      <c r="E98" s="165" t="s">
        <v>430</v>
      </c>
      <c r="F98" s="165" t="s">
        <v>1482</v>
      </c>
      <c r="G98" s="165" t="s">
        <v>1483</v>
      </c>
      <c r="H98" s="165" t="s">
        <v>76</v>
      </c>
      <c r="I98" s="165" t="s">
        <v>237</v>
      </c>
      <c r="J98" s="165" t="s">
        <v>61</v>
      </c>
      <c r="K98" s="165" t="s">
        <v>317</v>
      </c>
      <c r="L98" s="165" t="s">
        <v>494</v>
      </c>
      <c r="M98" s="165" t="s">
        <v>776</v>
      </c>
      <c r="N98" s="165" t="s">
        <v>62</v>
      </c>
      <c r="O98" s="165" t="s">
        <v>1210</v>
      </c>
      <c r="P98" s="168">
        <v>1267</v>
      </c>
      <c r="Q98" s="168">
        <v>3.71</v>
      </c>
      <c r="R98" s="168">
        <v>5718</v>
      </c>
      <c r="S98" s="168">
        <v>0</v>
      </c>
      <c r="T98" s="168">
        <v>268.77859000000001</v>
      </c>
      <c r="U98" s="169">
        <v>0</v>
      </c>
      <c r="V98" s="169">
        <v>1.3703679559000001E-2</v>
      </c>
      <c r="W98" s="169">
        <v>1.1582493624E-2</v>
      </c>
    </row>
    <row r="99" spans="1:23" ht="15.75" thickBot="1">
      <c r="A99" s="176">
        <v>11939</v>
      </c>
      <c r="B99" s="176">
        <v>11944</v>
      </c>
      <c r="C99" s="165" t="s">
        <v>1484</v>
      </c>
      <c r="D99" s="165" t="s">
        <v>1662</v>
      </c>
      <c r="E99" s="165" t="s">
        <v>430</v>
      </c>
      <c r="F99" s="165" t="s">
        <v>1380</v>
      </c>
      <c r="G99" s="165" t="s">
        <v>1485</v>
      </c>
      <c r="H99" s="165" t="s">
        <v>76</v>
      </c>
      <c r="I99" s="165" t="s">
        <v>237</v>
      </c>
      <c r="J99" s="165" t="s">
        <v>61</v>
      </c>
      <c r="K99" s="165" t="s">
        <v>314</v>
      </c>
      <c r="L99" s="165" t="s">
        <v>479</v>
      </c>
      <c r="M99" s="165" t="s">
        <v>776</v>
      </c>
      <c r="N99" s="165" t="s">
        <v>62</v>
      </c>
      <c r="O99" s="165" t="s">
        <v>1210</v>
      </c>
      <c r="P99" s="168">
        <v>4780</v>
      </c>
      <c r="Q99" s="168">
        <v>3.71</v>
      </c>
      <c r="R99" s="168">
        <v>4721</v>
      </c>
      <c r="S99" s="168">
        <v>0</v>
      </c>
      <c r="T99" s="168">
        <v>837.21270000000004</v>
      </c>
      <c r="U99" s="169">
        <v>0</v>
      </c>
      <c r="V99" s="169">
        <v>4.2685299316999999E-2</v>
      </c>
      <c r="W99" s="169">
        <v>3.6078062467000002E-2</v>
      </c>
    </row>
    <row r="100" spans="1:23" ht="15.75" thickBot="1">
      <c r="A100" s="176">
        <v>11939</v>
      </c>
      <c r="B100" s="176">
        <v>11944</v>
      </c>
      <c r="C100" s="165" t="s">
        <v>1448</v>
      </c>
      <c r="D100" s="165" t="s">
        <v>1663</v>
      </c>
      <c r="E100" s="165" t="s">
        <v>430</v>
      </c>
      <c r="F100" s="165" t="s">
        <v>1380</v>
      </c>
      <c r="G100" s="165" t="s">
        <v>1381</v>
      </c>
      <c r="H100" s="165" t="s">
        <v>76</v>
      </c>
      <c r="I100" s="165" t="s">
        <v>235</v>
      </c>
      <c r="J100" s="165" t="s">
        <v>61</v>
      </c>
      <c r="K100" s="165" t="s">
        <v>314</v>
      </c>
      <c r="L100" s="165" t="s">
        <v>476</v>
      </c>
      <c r="M100" s="165" t="s">
        <v>775</v>
      </c>
      <c r="N100" s="165" t="s">
        <v>62</v>
      </c>
      <c r="O100" s="165" t="s">
        <v>1210</v>
      </c>
      <c r="P100" s="168">
        <v>608</v>
      </c>
      <c r="Q100" s="168">
        <v>3.71</v>
      </c>
      <c r="R100" s="168">
        <v>52767</v>
      </c>
      <c r="S100" s="168">
        <v>0.74719946091599998</v>
      </c>
      <c r="T100" s="168">
        <v>1193.0267799999999</v>
      </c>
      <c r="U100" s="169">
        <v>0</v>
      </c>
      <c r="V100" s="169">
        <v>6.0826484354000003E-2</v>
      </c>
      <c r="W100" s="169">
        <v>5.1411182240999997E-2</v>
      </c>
    </row>
    <row r="101" spans="1:23" ht="15.75" thickBot="1">
      <c r="A101" s="176">
        <v>11939</v>
      </c>
      <c r="B101" s="176">
        <v>11944</v>
      </c>
      <c r="C101" s="165" t="s">
        <v>1486</v>
      </c>
      <c r="D101" s="165" t="s">
        <v>1664</v>
      </c>
      <c r="E101" s="165" t="s">
        <v>430</v>
      </c>
      <c r="F101" s="165" t="s">
        <v>1351</v>
      </c>
      <c r="G101" s="165" t="s">
        <v>1352</v>
      </c>
      <c r="H101" s="165" t="s">
        <v>76</v>
      </c>
      <c r="I101" s="165" t="s">
        <v>235</v>
      </c>
      <c r="J101" s="165" t="s">
        <v>61</v>
      </c>
      <c r="K101" s="165" t="s">
        <v>166</v>
      </c>
      <c r="L101" s="165" t="s">
        <v>494</v>
      </c>
      <c r="M101" s="165" t="s">
        <v>775</v>
      </c>
      <c r="N101" s="165" t="s">
        <v>62</v>
      </c>
      <c r="O101" s="165" t="s">
        <v>1210</v>
      </c>
      <c r="P101" s="168">
        <v>11988</v>
      </c>
      <c r="Q101" s="168">
        <v>3.71</v>
      </c>
      <c r="R101" s="168">
        <v>2416.5</v>
      </c>
      <c r="S101" s="168">
        <v>0</v>
      </c>
      <c r="T101" s="168">
        <v>1074.7499700000001</v>
      </c>
      <c r="U101" s="169">
        <v>0</v>
      </c>
      <c r="V101" s="169">
        <v>5.4796139809999998E-2</v>
      </c>
      <c r="W101" s="169">
        <v>4.6314271814000003E-2</v>
      </c>
    </row>
    <row r="102" spans="1:23" ht="15.75" thickBot="1">
      <c r="A102" s="176">
        <v>11939</v>
      </c>
      <c r="B102" s="176">
        <v>11944</v>
      </c>
      <c r="C102" s="165" t="s">
        <v>1487</v>
      </c>
      <c r="D102" s="165" t="s">
        <v>1665</v>
      </c>
      <c r="E102" s="165" t="s">
        <v>430</v>
      </c>
      <c r="F102" s="165" t="s">
        <v>1488</v>
      </c>
      <c r="G102" s="165" t="s">
        <v>1489</v>
      </c>
      <c r="H102" s="165" t="s">
        <v>76</v>
      </c>
      <c r="I102" s="165" t="s">
        <v>235</v>
      </c>
      <c r="J102" s="165" t="s">
        <v>61</v>
      </c>
      <c r="K102" s="165" t="s">
        <v>313</v>
      </c>
      <c r="L102" s="165" t="s">
        <v>476</v>
      </c>
      <c r="M102" s="165" t="s">
        <v>775</v>
      </c>
      <c r="N102" s="165" t="s">
        <v>62</v>
      </c>
      <c r="O102" s="165" t="s">
        <v>1210</v>
      </c>
      <c r="P102" s="168">
        <v>23438</v>
      </c>
      <c r="Q102" s="168">
        <v>3.71</v>
      </c>
      <c r="R102" s="168">
        <v>1849.6</v>
      </c>
      <c r="S102" s="168">
        <v>0</v>
      </c>
      <c r="T102" s="168">
        <v>1608.3193100000001</v>
      </c>
      <c r="U102" s="169">
        <v>0</v>
      </c>
      <c r="V102" s="169">
        <v>8.2000178861E-2</v>
      </c>
      <c r="W102" s="169">
        <v>6.9307410809000006E-2</v>
      </c>
    </row>
    <row r="103" spans="1:23" ht="15.75" thickBot="1">
      <c r="A103" s="176">
        <v>11939</v>
      </c>
      <c r="B103" s="176">
        <v>11944</v>
      </c>
      <c r="C103" s="165" t="s">
        <v>1490</v>
      </c>
      <c r="D103" s="165" t="s">
        <v>1666</v>
      </c>
      <c r="E103" s="165" t="s">
        <v>430</v>
      </c>
      <c r="F103" s="165" t="s">
        <v>1491</v>
      </c>
      <c r="G103" s="165" t="s">
        <v>1492</v>
      </c>
      <c r="H103" s="165" t="s">
        <v>76</v>
      </c>
      <c r="I103" s="165" t="s">
        <v>235</v>
      </c>
      <c r="J103" s="165" t="s">
        <v>61</v>
      </c>
      <c r="K103" s="165" t="s">
        <v>313</v>
      </c>
      <c r="L103" s="165" t="s">
        <v>494</v>
      </c>
      <c r="M103" s="165" t="s">
        <v>775</v>
      </c>
      <c r="N103" s="165" t="s">
        <v>62</v>
      </c>
      <c r="O103" s="165" t="s">
        <v>1210</v>
      </c>
      <c r="P103" s="168">
        <v>7703</v>
      </c>
      <c r="Q103" s="168">
        <v>3.71</v>
      </c>
      <c r="R103" s="168">
        <v>5240</v>
      </c>
      <c r="S103" s="168">
        <v>0</v>
      </c>
      <c r="T103" s="168">
        <v>1497.4940099999999</v>
      </c>
      <c r="U103" s="169">
        <v>0</v>
      </c>
      <c r="V103" s="169">
        <v>7.6349749642000003E-2</v>
      </c>
      <c r="W103" s="169">
        <v>6.4531608798000004E-2</v>
      </c>
    </row>
    <row r="104" spans="1:23" ht="15.75" thickBot="1">
      <c r="A104" s="176">
        <v>11939</v>
      </c>
      <c r="B104" s="176">
        <v>11944</v>
      </c>
      <c r="C104" s="165" t="s">
        <v>1493</v>
      </c>
      <c r="D104" s="165" t="s">
        <v>1667</v>
      </c>
      <c r="E104" s="165" t="s">
        <v>430</v>
      </c>
      <c r="F104" s="165" t="s">
        <v>1494</v>
      </c>
      <c r="G104" s="165" t="s">
        <v>1495</v>
      </c>
      <c r="H104" s="165" t="s">
        <v>76</v>
      </c>
      <c r="I104" s="165" t="s">
        <v>235</v>
      </c>
      <c r="J104" s="165" t="s">
        <v>61</v>
      </c>
      <c r="K104" s="165" t="s">
        <v>166</v>
      </c>
      <c r="L104" s="165" t="s">
        <v>476</v>
      </c>
      <c r="M104" s="165" t="s">
        <v>775</v>
      </c>
      <c r="N104" s="165" t="s">
        <v>62</v>
      </c>
      <c r="O104" s="165" t="s">
        <v>1210</v>
      </c>
      <c r="P104" s="168">
        <v>9820</v>
      </c>
      <c r="Q104" s="168">
        <v>3.71</v>
      </c>
      <c r="R104" s="168">
        <v>2987</v>
      </c>
      <c r="S104" s="168">
        <v>0</v>
      </c>
      <c r="T104" s="168">
        <v>1088.22981</v>
      </c>
      <c r="U104" s="169">
        <v>0</v>
      </c>
      <c r="V104" s="169">
        <v>5.5483409610999998E-2</v>
      </c>
      <c r="W104" s="169">
        <v>4.6895159454000003E-2</v>
      </c>
    </row>
    <row r="105" spans="1:23" ht="15.75" thickBot="1">
      <c r="A105" s="176">
        <v>11939</v>
      </c>
      <c r="B105" s="176">
        <v>11944</v>
      </c>
      <c r="C105" s="165" t="s">
        <v>1496</v>
      </c>
      <c r="D105" s="165" t="s">
        <v>1668</v>
      </c>
      <c r="E105" s="165" t="s">
        <v>430</v>
      </c>
      <c r="F105" s="165" t="s">
        <v>1494</v>
      </c>
      <c r="G105" s="165" t="s">
        <v>1497</v>
      </c>
      <c r="H105" s="165" t="s">
        <v>76</v>
      </c>
      <c r="I105" s="165" t="s">
        <v>237</v>
      </c>
      <c r="J105" s="165" t="s">
        <v>61</v>
      </c>
      <c r="K105" s="165" t="s">
        <v>314</v>
      </c>
      <c r="L105" s="165" t="s">
        <v>476</v>
      </c>
      <c r="M105" s="165" t="s">
        <v>776</v>
      </c>
      <c r="N105" s="165" t="s">
        <v>62</v>
      </c>
      <c r="O105" s="165" t="s">
        <v>1210</v>
      </c>
      <c r="P105" s="168">
        <v>3423</v>
      </c>
      <c r="Q105" s="168">
        <v>3.71</v>
      </c>
      <c r="R105" s="168">
        <v>3675.75</v>
      </c>
      <c r="S105" s="168">
        <v>0</v>
      </c>
      <c r="T105" s="168">
        <v>466.79561999999999</v>
      </c>
      <c r="U105" s="169">
        <v>0</v>
      </c>
      <c r="V105" s="169">
        <v>2.3799580154000001E-2</v>
      </c>
      <c r="W105" s="169">
        <v>2.0115654645000001E-2</v>
      </c>
    </row>
    <row r="106" spans="1:23" ht="15.75" thickBot="1">
      <c r="A106" s="176">
        <v>11939</v>
      </c>
      <c r="B106" s="176">
        <v>11944</v>
      </c>
      <c r="C106" s="165" t="s">
        <v>1498</v>
      </c>
      <c r="D106" s="165" t="s">
        <v>1669</v>
      </c>
      <c r="E106" s="165" t="s">
        <v>430</v>
      </c>
      <c r="F106" s="165" t="s">
        <v>1499</v>
      </c>
      <c r="G106" s="165" t="s">
        <v>1500</v>
      </c>
      <c r="H106" s="165" t="s">
        <v>76</v>
      </c>
      <c r="I106" s="165" t="s">
        <v>237</v>
      </c>
      <c r="J106" s="165" t="s">
        <v>61</v>
      </c>
      <c r="K106" s="165" t="s">
        <v>314</v>
      </c>
      <c r="L106" s="165" t="s">
        <v>494</v>
      </c>
      <c r="M106" s="165" t="s">
        <v>776</v>
      </c>
      <c r="N106" s="165" t="s">
        <v>62</v>
      </c>
      <c r="O106" s="165" t="s">
        <v>1210</v>
      </c>
      <c r="P106" s="168">
        <v>1073</v>
      </c>
      <c r="Q106" s="168">
        <v>3.71</v>
      </c>
      <c r="R106" s="168">
        <v>3856.25</v>
      </c>
      <c r="S106" s="168">
        <v>0</v>
      </c>
      <c r="T106" s="168">
        <v>153.51076</v>
      </c>
      <c r="U106" s="169">
        <v>0</v>
      </c>
      <c r="V106" s="169">
        <v>7.8267478960000001E-3</v>
      </c>
      <c r="W106" s="169">
        <v>6.6152493720000004E-3</v>
      </c>
    </row>
    <row r="107" spans="1:23" ht="15.75" thickBot="1">
      <c r="A107" s="176">
        <v>11939</v>
      </c>
      <c r="B107" s="176">
        <v>11944</v>
      </c>
      <c r="C107" s="165" t="s">
        <v>1501</v>
      </c>
      <c r="D107" s="165" t="s">
        <v>1670</v>
      </c>
      <c r="E107" s="165" t="s">
        <v>430</v>
      </c>
      <c r="F107" s="165" t="s">
        <v>1502</v>
      </c>
      <c r="G107" s="165" t="s">
        <v>1503</v>
      </c>
      <c r="H107" s="165" t="s">
        <v>76</v>
      </c>
      <c r="I107" s="165" t="s">
        <v>237</v>
      </c>
      <c r="J107" s="165" t="s">
        <v>61</v>
      </c>
      <c r="K107" s="165" t="s">
        <v>314</v>
      </c>
      <c r="L107" s="165" t="s">
        <v>494</v>
      </c>
      <c r="M107" s="165" t="s">
        <v>776</v>
      </c>
      <c r="N107" s="165" t="s">
        <v>62</v>
      </c>
      <c r="O107" s="165" t="s">
        <v>1210</v>
      </c>
      <c r="P107" s="168">
        <v>22858</v>
      </c>
      <c r="Q107" s="168">
        <v>3.71</v>
      </c>
      <c r="R107" s="168">
        <v>462.15</v>
      </c>
      <c r="S107" s="168">
        <v>0</v>
      </c>
      <c r="T107" s="168">
        <v>391.91789999999997</v>
      </c>
      <c r="U107" s="169">
        <v>0</v>
      </c>
      <c r="V107" s="169">
        <v>1.9981938721999999E-2</v>
      </c>
      <c r="W107" s="169">
        <v>1.6888944085E-2</v>
      </c>
    </row>
    <row r="108" spans="1:23" ht="15.75" thickBot="1">
      <c r="A108" s="176">
        <v>11939</v>
      </c>
      <c r="B108" s="176">
        <v>11944</v>
      </c>
      <c r="C108" s="165" t="s">
        <v>1504</v>
      </c>
      <c r="D108" s="165" t="s">
        <v>1671</v>
      </c>
      <c r="E108" s="165" t="s">
        <v>430</v>
      </c>
      <c r="F108" s="165" t="s">
        <v>1505</v>
      </c>
      <c r="G108" s="165" t="s">
        <v>1506</v>
      </c>
      <c r="H108" s="165" t="s">
        <v>76</v>
      </c>
      <c r="I108" s="165" t="s">
        <v>235</v>
      </c>
      <c r="J108" s="165" t="s">
        <v>61</v>
      </c>
      <c r="K108" s="165" t="s">
        <v>315</v>
      </c>
      <c r="L108" s="165" t="s">
        <v>494</v>
      </c>
      <c r="M108" s="165" t="s">
        <v>775</v>
      </c>
      <c r="N108" s="165" t="s">
        <v>62</v>
      </c>
      <c r="O108" s="165" t="s">
        <v>1210</v>
      </c>
      <c r="P108" s="168">
        <v>760</v>
      </c>
      <c r="Q108" s="168">
        <v>3.71</v>
      </c>
      <c r="R108" s="168">
        <v>18062</v>
      </c>
      <c r="S108" s="168">
        <v>0</v>
      </c>
      <c r="T108" s="168">
        <v>509.27614999999997</v>
      </c>
      <c r="U108" s="169">
        <v>0</v>
      </c>
      <c r="V108" s="169">
        <v>2.5965450473000001E-2</v>
      </c>
      <c r="W108" s="169">
        <v>2.1946270944999999E-2</v>
      </c>
    </row>
    <row r="109" spans="1:23" ht="15.75" thickBot="1">
      <c r="A109" s="176">
        <v>11939</v>
      </c>
      <c r="B109" s="176">
        <v>11944</v>
      </c>
      <c r="C109" s="165" t="s">
        <v>1507</v>
      </c>
      <c r="D109" s="165" t="s">
        <v>1672</v>
      </c>
      <c r="E109" s="165" t="s">
        <v>430</v>
      </c>
      <c r="F109" s="165" t="s">
        <v>1508</v>
      </c>
      <c r="G109" s="165" t="s">
        <v>1509</v>
      </c>
      <c r="H109" s="165" t="s">
        <v>76</v>
      </c>
      <c r="I109" s="165" t="s">
        <v>237</v>
      </c>
      <c r="J109" s="165" t="s">
        <v>61</v>
      </c>
      <c r="K109" s="165" t="s">
        <v>314</v>
      </c>
      <c r="L109" s="165" t="s">
        <v>494</v>
      </c>
      <c r="M109" s="165" t="s">
        <v>776</v>
      </c>
      <c r="N109" s="165" t="s">
        <v>62</v>
      </c>
      <c r="O109" s="165" t="s">
        <v>1210</v>
      </c>
      <c r="P109" s="168">
        <v>415</v>
      </c>
      <c r="Q109" s="168">
        <v>3.71</v>
      </c>
      <c r="R109" s="168">
        <v>4171.5</v>
      </c>
      <c r="S109" s="168">
        <v>0</v>
      </c>
      <c r="T109" s="168">
        <v>64.226500000000001</v>
      </c>
      <c r="U109" s="169">
        <v>0</v>
      </c>
      <c r="V109" s="169">
        <v>3.2745888540000002E-3</v>
      </c>
      <c r="W109" s="169">
        <v>2.7677168280000001E-3</v>
      </c>
    </row>
    <row r="110" spans="1:23" ht="15.75" thickBot="1">
      <c r="A110" s="176">
        <v>11939</v>
      </c>
      <c r="B110" s="176">
        <v>11949</v>
      </c>
      <c r="C110" s="165" t="s">
        <v>1449</v>
      </c>
      <c r="D110" s="165" t="s">
        <v>1623</v>
      </c>
      <c r="E110" s="165" t="s">
        <v>430</v>
      </c>
      <c r="F110" s="165" t="s">
        <v>1315</v>
      </c>
      <c r="G110" s="165" t="s">
        <v>1316</v>
      </c>
      <c r="H110" s="165" t="s">
        <v>76</v>
      </c>
      <c r="I110" s="165" t="s">
        <v>235</v>
      </c>
      <c r="J110" s="165" t="s">
        <v>61</v>
      </c>
      <c r="K110" s="165" t="s">
        <v>314</v>
      </c>
      <c r="L110" s="165" t="s">
        <v>479</v>
      </c>
      <c r="M110" s="165" t="s">
        <v>775</v>
      </c>
      <c r="N110" s="165" t="s">
        <v>62</v>
      </c>
      <c r="O110" s="165" t="s">
        <v>1211</v>
      </c>
      <c r="P110" s="168">
        <v>2626</v>
      </c>
      <c r="Q110" s="168">
        <v>4.1524000000000001</v>
      </c>
      <c r="R110" s="168">
        <v>10076.66</v>
      </c>
      <c r="S110" s="168">
        <v>0</v>
      </c>
      <c r="T110" s="168">
        <v>1098.7793999999999</v>
      </c>
      <c r="U110" s="169">
        <v>0</v>
      </c>
      <c r="V110" s="169">
        <v>0.19886459795799999</v>
      </c>
      <c r="W110" s="169">
        <v>0.18164321447000001</v>
      </c>
    </row>
    <row r="111" spans="1:23" ht="15.75" thickBot="1">
      <c r="A111" s="176">
        <v>11939</v>
      </c>
      <c r="B111" s="176">
        <v>11949</v>
      </c>
      <c r="C111" s="165" t="s">
        <v>1624</v>
      </c>
      <c r="D111" s="165" t="s">
        <v>1625</v>
      </c>
      <c r="E111" s="165" t="s">
        <v>430</v>
      </c>
      <c r="F111" s="165" t="s">
        <v>1317</v>
      </c>
      <c r="G111" s="165" t="s">
        <v>1318</v>
      </c>
      <c r="H111" s="165" t="s">
        <v>76</v>
      </c>
      <c r="I111" s="165" t="s">
        <v>235</v>
      </c>
      <c r="J111" s="165" t="s">
        <v>61</v>
      </c>
      <c r="K111" s="165" t="s">
        <v>314</v>
      </c>
      <c r="L111" s="165" t="s">
        <v>494</v>
      </c>
      <c r="M111" s="165" t="s">
        <v>775</v>
      </c>
      <c r="N111" s="165" t="s">
        <v>62</v>
      </c>
      <c r="O111" s="165" t="s">
        <v>1210</v>
      </c>
      <c r="P111" s="168">
        <v>268</v>
      </c>
      <c r="Q111" s="168">
        <v>3.71</v>
      </c>
      <c r="R111" s="168">
        <v>112716</v>
      </c>
      <c r="S111" s="168">
        <v>0</v>
      </c>
      <c r="T111" s="168">
        <v>1120.71264</v>
      </c>
      <c r="U111" s="169">
        <v>0</v>
      </c>
      <c r="V111" s="169">
        <v>0.202834225487</v>
      </c>
      <c r="W111" s="169">
        <v>0.18526907805699999</v>
      </c>
    </row>
    <row r="112" spans="1:23" ht="15.75" thickBot="1">
      <c r="A112" s="176">
        <v>11939</v>
      </c>
      <c r="B112" s="176">
        <v>11949</v>
      </c>
      <c r="C112" s="165" t="s">
        <v>1431</v>
      </c>
      <c r="D112" s="165" t="s">
        <v>1626</v>
      </c>
      <c r="E112" s="165" t="s">
        <v>430</v>
      </c>
      <c r="F112" s="165" t="s">
        <v>1319</v>
      </c>
      <c r="G112" s="165" t="s">
        <v>1320</v>
      </c>
      <c r="H112" s="165" t="s">
        <v>76</v>
      </c>
      <c r="I112" s="165" t="s">
        <v>235</v>
      </c>
      <c r="J112" s="165" t="s">
        <v>61</v>
      </c>
      <c r="K112" s="165" t="s">
        <v>314</v>
      </c>
      <c r="L112" s="165" t="s">
        <v>494</v>
      </c>
      <c r="M112" s="165" t="s">
        <v>775</v>
      </c>
      <c r="N112" s="165" t="s">
        <v>62</v>
      </c>
      <c r="O112" s="165" t="s">
        <v>1210</v>
      </c>
      <c r="P112" s="168">
        <v>496</v>
      </c>
      <c r="Q112" s="168">
        <v>3.71</v>
      </c>
      <c r="R112" s="168">
        <v>60718</v>
      </c>
      <c r="S112" s="168">
        <v>0</v>
      </c>
      <c r="T112" s="168">
        <v>1117.30835</v>
      </c>
      <c r="U112" s="169">
        <v>0</v>
      </c>
      <c r="V112" s="169">
        <v>0.20221809384</v>
      </c>
      <c r="W112" s="169">
        <v>0.18470630251</v>
      </c>
    </row>
    <row r="113" spans="1:23" ht="15.75" thickBot="1">
      <c r="A113" s="176">
        <v>11939</v>
      </c>
      <c r="B113" s="176">
        <v>11949</v>
      </c>
      <c r="C113" s="165" t="s">
        <v>1450</v>
      </c>
      <c r="D113" s="165" t="s">
        <v>1627</v>
      </c>
      <c r="E113" s="165" t="s">
        <v>430</v>
      </c>
      <c r="F113" s="165" t="s">
        <v>1321</v>
      </c>
      <c r="G113" s="165" t="s">
        <v>1322</v>
      </c>
      <c r="H113" s="165" t="s">
        <v>76</v>
      </c>
      <c r="I113" s="165" t="s">
        <v>235</v>
      </c>
      <c r="J113" s="165" t="s">
        <v>61</v>
      </c>
      <c r="K113" s="165" t="s">
        <v>314</v>
      </c>
      <c r="L113" s="165" t="s">
        <v>494</v>
      </c>
      <c r="M113" s="165" t="s">
        <v>775</v>
      </c>
      <c r="N113" s="165" t="s">
        <v>62</v>
      </c>
      <c r="O113" s="165" t="s">
        <v>1210</v>
      </c>
      <c r="P113" s="168">
        <v>2647</v>
      </c>
      <c r="Q113" s="168">
        <v>3.71</v>
      </c>
      <c r="R113" s="168">
        <v>11363</v>
      </c>
      <c r="S113" s="168">
        <v>0</v>
      </c>
      <c r="T113" s="168">
        <v>1115.8886399999999</v>
      </c>
      <c r="U113" s="169">
        <v>0</v>
      </c>
      <c r="V113" s="169">
        <v>0.20196114503099999</v>
      </c>
      <c r="W113" s="169">
        <v>0.184471605092</v>
      </c>
    </row>
    <row r="114" spans="1:23" ht="15.75" thickBot="1">
      <c r="A114" s="176">
        <v>11939</v>
      </c>
      <c r="B114" s="176">
        <v>11949</v>
      </c>
      <c r="C114" s="165" t="s">
        <v>1451</v>
      </c>
      <c r="D114" s="165" t="s">
        <v>1628</v>
      </c>
      <c r="E114" s="165" t="s">
        <v>430</v>
      </c>
      <c r="F114" s="165" t="s">
        <v>1452</v>
      </c>
      <c r="G114" s="165" t="s">
        <v>1453</v>
      </c>
      <c r="H114" s="165" t="s">
        <v>76</v>
      </c>
      <c r="I114" s="165" t="s">
        <v>235</v>
      </c>
      <c r="J114" s="165" t="s">
        <v>61</v>
      </c>
      <c r="K114" s="165" t="s">
        <v>314</v>
      </c>
      <c r="L114" s="165" t="s">
        <v>494</v>
      </c>
      <c r="M114" s="165" t="s">
        <v>775</v>
      </c>
      <c r="N114" s="165" t="s">
        <v>62</v>
      </c>
      <c r="O114" s="165" t="s">
        <v>1210</v>
      </c>
      <c r="P114" s="168">
        <v>20760</v>
      </c>
      <c r="Q114" s="168">
        <v>3.71</v>
      </c>
      <c r="R114" s="168">
        <v>1392.6</v>
      </c>
      <c r="S114" s="168">
        <v>0</v>
      </c>
      <c r="T114" s="168">
        <v>1072.5749499999999</v>
      </c>
      <c r="U114" s="169">
        <v>0</v>
      </c>
      <c r="V114" s="169">
        <v>0.194121937681</v>
      </c>
      <c r="W114" s="169">
        <v>0.17731126164</v>
      </c>
    </row>
    <row r="115" spans="1:23" ht="15.75" thickBot="1">
      <c r="A115" s="176">
        <v>11939</v>
      </c>
      <c r="B115" s="176">
        <v>11979</v>
      </c>
      <c r="C115" s="165" t="s">
        <v>1304</v>
      </c>
      <c r="D115" s="165" t="s">
        <v>1609</v>
      </c>
      <c r="E115" s="165" t="s">
        <v>429</v>
      </c>
      <c r="F115" s="165" t="s">
        <v>1334</v>
      </c>
      <c r="G115" s="165" t="s">
        <v>1633</v>
      </c>
      <c r="H115" s="165" t="s">
        <v>76</v>
      </c>
      <c r="I115" s="165" t="s">
        <v>236</v>
      </c>
      <c r="J115" s="165" t="s">
        <v>53</v>
      </c>
      <c r="K115" s="165" t="s">
        <v>53</v>
      </c>
      <c r="L115" s="165" t="s">
        <v>311</v>
      </c>
      <c r="M115" s="165" t="s">
        <v>1002</v>
      </c>
      <c r="N115" s="165" t="s">
        <v>62</v>
      </c>
      <c r="O115" s="165" t="s">
        <v>1208</v>
      </c>
      <c r="P115" s="168">
        <v>342765</v>
      </c>
      <c r="Q115" s="168">
        <v>1</v>
      </c>
      <c r="R115" s="168">
        <v>390.51</v>
      </c>
      <c r="S115" s="168">
        <v>0</v>
      </c>
      <c r="T115" s="168">
        <v>1338.5316</v>
      </c>
      <c r="U115" s="169">
        <v>0</v>
      </c>
      <c r="V115" s="169">
        <v>5.8478199566999997E-2</v>
      </c>
      <c r="W115" s="169">
        <v>4.1401770348000001E-2</v>
      </c>
    </row>
    <row r="116" spans="1:23" ht="15.75" thickBot="1">
      <c r="A116" s="176">
        <v>11939</v>
      </c>
      <c r="B116" s="176">
        <v>11979</v>
      </c>
      <c r="C116" s="165" t="s">
        <v>1306</v>
      </c>
      <c r="D116" s="165" t="s">
        <v>1611</v>
      </c>
      <c r="E116" s="165" t="s">
        <v>429</v>
      </c>
      <c r="F116" s="165" t="s">
        <v>1324</v>
      </c>
      <c r="G116" s="165" t="s">
        <v>1634</v>
      </c>
      <c r="H116" s="165" t="s">
        <v>76</v>
      </c>
      <c r="I116" s="165" t="s">
        <v>236</v>
      </c>
      <c r="J116" s="165" t="s">
        <v>53</v>
      </c>
      <c r="K116" s="165" t="s">
        <v>53</v>
      </c>
      <c r="L116" s="165" t="s">
        <v>311</v>
      </c>
      <c r="M116" s="165" t="s">
        <v>1002</v>
      </c>
      <c r="N116" s="165" t="s">
        <v>62</v>
      </c>
      <c r="O116" s="165" t="s">
        <v>1208</v>
      </c>
      <c r="P116" s="168">
        <v>39435</v>
      </c>
      <c r="Q116" s="168">
        <v>1</v>
      </c>
      <c r="R116" s="168">
        <v>3880.51</v>
      </c>
      <c r="S116" s="168">
        <v>0</v>
      </c>
      <c r="T116" s="168">
        <v>1530.2791199999999</v>
      </c>
      <c r="U116" s="169">
        <v>1E-3</v>
      </c>
      <c r="V116" s="169">
        <v>6.6855326967000001E-2</v>
      </c>
      <c r="W116" s="169">
        <v>4.7332662668999999E-2</v>
      </c>
    </row>
    <row r="117" spans="1:23" ht="15.75" thickBot="1">
      <c r="A117" s="176">
        <v>11939</v>
      </c>
      <c r="B117" s="176">
        <v>11979</v>
      </c>
      <c r="C117" s="165" t="s">
        <v>1306</v>
      </c>
      <c r="D117" s="165" t="s">
        <v>1611</v>
      </c>
      <c r="E117" s="165" t="s">
        <v>429</v>
      </c>
      <c r="F117" s="165" t="s">
        <v>1325</v>
      </c>
      <c r="G117" s="165" t="s">
        <v>1636</v>
      </c>
      <c r="H117" s="165" t="s">
        <v>76</v>
      </c>
      <c r="I117" s="165" t="s">
        <v>235</v>
      </c>
      <c r="J117" s="165" t="s">
        <v>53</v>
      </c>
      <c r="K117" s="165" t="s">
        <v>314</v>
      </c>
      <c r="L117" s="165" t="s">
        <v>311</v>
      </c>
      <c r="M117" s="165" t="s">
        <v>1129</v>
      </c>
      <c r="N117" s="165" t="s">
        <v>62</v>
      </c>
      <c r="O117" s="165" t="s">
        <v>1208</v>
      </c>
      <c r="P117" s="168">
        <v>31250</v>
      </c>
      <c r="Q117" s="168">
        <v>1</v>
      </c>
      <c r="R117" s="168">
        <v>5505</v>
      </c>
      <c r="S117" s="168">
        <v>0</v>
      </c>
      <c r="T117" s="168">
        <v>1720.3125</v>
      </c>
      <c r="U117" s="169">
        <v>0</v>
      </c>
      <c r="V117" s="169">
        <v>7.5157566465999998E-2</v>
      </c>
      <c r="W117" s="169">
        <v>5.3210535374000001E-2</v>
      </c>
    </row>
    <row r="118" spans="1:23" ht="15.75" thickBot="1">
      <c r="A118" s="176">
        <v>11939</v>
      </c>
      <c r="B118" s="176">
        <v>11979</v>
      </c>
      <c r="C118" s="165" t="s">
        <v>1619</v>
      </c>
      <c r="D118" s="165" t="s">
        <v>1620</v>
      </c>
      <c r="E118" s="165" t="s">
        <v>429</v>
      </c>
      <c r="F118" s="165" t="s">
        <v>1673</v>
      </c>
      <c r="G118" s="165" t="s">
        <v>1674</v>
      </c>
      <c r="H118" s="165" t="s">
        <v>76</v>
      </c>
      <c r="I118" s="165" t="s">
        <v>235</v>
      </c>
      <c r="J118" s="165" t="s">
        <v>53</v>
      </c>
      <c r="K118" s="165" t="s">
        <v>314</v>
      </c>
      <c r="L118" s="165" t="s">
        <v>311</v>
      </c>
      <c r="M118" s="165" t="s">
        <v>1125</v>
      </c>
      <c r="N118" s="165" t="s">
        <v>62</v>
      </c>
      <c r="O118" s="165" t="s">
        <v>1208</v>
      </c>
      <c r="P118" s="168">
        <v>3605</v>
      </c>
      <c r="Q118" s="168">
        <v>1</v>
      </c>
      <c r="R118" s="168">
        <v>21020</v>
      </c>
      <c r="S118" s="168">
        <v>0</v>
      </c>
      <c r="T118" s="168">
        <v>757.77099999999996</v>
      </c>
      <c r="U118" s="169">
        <v>0</v>
      </c>
      <c r="V118" s="169">
        <v>3.3105743461000002E-2</v>
      </c>
      <c r="W118" s="169">
        <v>2.3438416335E-2</v>
      </c>
    </row>
    <row r="119" spans="1:23" ht="15.75" thickBot="1">
      <c r="A119" s="176">
        <v>11939</v>
      </c>
      <c r="B119" s="176">
        <v>11979</v>
      </c>
      <c r="C119" s="165" t="s">
        <v>1308</v>
      </c>
      <c r="D119" s="165" t="s">
        <v>1613</v>
      </c>
      <c r="E119" s="165" t="s">
        <v>429</v>
      </c>
      <c r="F119" s="165" t="s">
        <v>1433</v>
      </c>
      <c r="G119" s="165" t="s">
        <v>1675</v>
      </c>
      <c r="H119" s="165" t="s">
        <v>76</v>
      </c>
      <c r="I119" s="165" t="s">
        <v>234</v>
      </c>
      <c r="J119" s="165" t="s">
        <v>53</v>
      </c>
      <c r="K119" s="165" t="s">
        <v>53</v>
      </c>
      <c r="L119" s="165" t="s">
        <v>311</v>
      </c>
      <c r="M119" s="165" t="s">
        <v>1080</v>
      </c>
      <c r="N119" s="165" t="s">
        <v>62</v>
      </c>
      <c r="O119" s="165" t="s">
        <v>1208</v>
      </c>
      <c r="P119" s="168">
        <v>94385</v>
      </c>
      <c r="Q119" s="168">
        <v>1</v>
      </c>
      <c r="R119" s="168">
        <v>2076</v>
      </c>
      <c r="S119" s="168">
        <v>0</v>
      </c>
      <c r="T119" s="168">
        <v>1959.4326000000001</v>
      </c>
      <c r="U119" s="169">
        <v>0</v>
      </c>
      <c r="V119" s="169">
        <v>8.5604322395000002E-2</v>
      </c>
      <c r="W119" s="169">
        <v>6.0606696559999999E-2</v>
      </c>
    </row>
    <row r="120" spans="1:23" ht="15.75" thickBot="1">
      <c r="A120" s="176">
        <v>11939</v>
      </c>
      <c r="B120" s="176">
        <v>11979</v>
      </c>
      <c r="C120" s="165" t="s">
        <v>1308</v>
      </c>
      <c r="D120" s="165" t="s">
        <v>1613</v>
      </c>
      <c r="E120" s="165" t="s">
        <v>429</v>
      </c>
      <c r="F120" s="165" t="s">
        <v>1337</v>
      </c>
      <c r="G120" s="165" t="s">
        <v>1637</v>
      </c>
      <c r="H120" s="165" t="s">
        <v>76</v>
      </c>
      <c r="I120" s="165" t="s">
        <v>235</v>
      </c>
      <c r="J120" s="165" t="s">
        <v>53</v>
      </c>
      <c r="K120" s="165" t="s">
        <v>314</v>
      </c>
      <c r="L120" s="165" t="s">
        <v>311</v>
      </c>
      <c r="M120" s="165" t="s">
        <v>1129</v>
      </c>
      <c r="N120" s="165" t="s">
        <v>62</v>
      </c>
      <c r="O120" s="165" t="s">
        <v>1208</v>
      </c>
      <c r="P120" s="168">
        <v>24140</v>
      </c>
      <c r="Q120" s="168">
        <v>1</v>
      </c>
      <c r="R120" s="168">
        <v>5590</v>
      </c>
      <c r="S120" s="168">
        <v>0</v>
      </c>
      <c r="T120" s="168">
        <v>1349.4259999999999</v>
      </c>
      <c r="U120" s="169">
        <v>0</v>
      </c>
      <c r="V120" s="169">
        <v>5.8954157622999999E-2</v>
      </c>
      <c r="W120" s="169">
        <v>4.1738742181000002E-2</v>
      </c>
    </row>
    <row r="121" spans="1:23" ht="15.75" thickBot="1">
      <c r="A121" s="176">
        <v>11939</v>
      </c>
      <c r="B121" s="176">
        <v>11979</v>
      </c>
      <c r="C121" s="165" t="s">
        <v>1310</v>
      </c>
      <c r="D121" s="165" t="s">
        <v>1615</v>
      </c>
      <c r="E121" s="165" t="s">
        <v>429</v>
      </c>
      <c r="F121" s="165" t="s">
        <v>1353</v>
      </c>
      <c r="G121" s="165" t="s">
        <v>1676</v>
      </c>
      <c r="H121" s="165" t="s">
        <v>76</v>
      </c>
      <c r="I121" s="165" t="s">
        <v>236</v>
      </c>
      <c r="J121" s="165" t="s">
        <v>53</v>
      </c>
      <c r="K121" s="165" t="s">
        <v>53</v>
      </c>
      <c r="L121" s="165" t="s">
        <v>311</v>
      </c>
      <c r="M121" s="165" t="s">
        <v>1002</v>
      </c>
      <c r="N121" s="165" t="s">
        <v>62</v>
      </c>
      <c r="O121" s="165" t="s">
        <v>1208</v>
      </c>
      <c r="P121" s="168">
        <v>153625</v>
      </c>
      <c r="Q121" s="168">
        <v>1</v>
      </c>
      <c r="R121" s="168">
        <v>452.06</v>
      </c>
      <c r="S121" s="168">
        <v>0</v>
      </c>
      <c r="T121" s="168">
        <v>694.47717</v>
      </c>
      <c r="U121" s="169">
        <v>1E-3</v>
      </c>
      <c r="V121" s="169">
        <v>3.0340542234000002E-2</v>
      </c>
      <c r="W121" s="169">
        <v>2.1480691456000001E-2</v>
      </c>
    </row>
    <row r="122" spans="1:23" ht="15.75" thickBot="1">
      <c r="A122" s="176">
        <v>11939</v>
      </c>
      <c r="B122" s="176">
        <v>11979</v>
      </c>
      <c r="C122" s="165" t="s">
        <v>1310</v>
      </c>
      <c r="D122" s="165" t="s">
        <v>1615</v>
      </c>
      <c r="E122" s="165" t="s">
        <v>429</v>
      </c>
      <c r="F122" s="165" t="s">
        <v>1440</v>
      </c>
      <c r="G122" s="165" t="s">
        <v>1638</v>
      </c>
      <c r="H122" s="165" t="s">
        <v>76</v>
      </c>
      <c r="I122" s="165" t="s">
        <v>234</v>
      </c>
      <c r="J122" s="165" t="s">
        <v>53</v>
      </c>
      <c r="K122" s="165" t="s">
        <v>53</v>
      </c>
      <c r="L122" s="165" t="s">
        <v>311</v>
      </c>
      <c r="M122" s="165" t="s">
        <v>1080</v>
      </c>
      <c r="N122" s="165" t="s">
        <v>62</v>
      </c>
      <c r="O122" s="165" t="s">
        <v>1208</v>
      </c>
      <c r="P122" s="168">
        <v>56420</v>
      </c>
      <c r="Q122" s="168">
        <v>1</v>
      </c>
      <c r="R122" s="168">
        <v>3265</v>
      </c>
      <c r="S122" s="168">
        <v>0</v>
      </c>
      <c r="T122" s="168">
        <v>1842.1130000000001</v>
      </c>
      <c r="U122" s="169">
        <v>1E-3</v>
      </c>
      <c r="V122" s="169">
        <v>8.0478825931000003E-2</v>
      </c>
      <c r="W122" s="169">
        <v>5.6977914740000003E-2</v>
      </c>
    </row>
    <row r="123" spans="1:23" ht="15.75" thickBot="1">
      <c r="A123" s="176">
        <v>11939</v>
      </c>
      <c r="B123" s="176">
        <v>11979</v>
      </c>
      <c r="C123" s="165" t="s">
        <v>1310</v>
      </c>
      <c r="D123" s="165" t="s">
        <v>1615</v>
      </c>
      <c r="E123" s="165" t="s">
        <v>429</v>
      </c>
      <c r="F123" s="165" t="s">
        <v>1326</v>
      </c>
      <c r="G123" s="165" t="s">
        <v>1639</v>
      </c>
      <c r="H123" s="165" t="s">
        <v>76</v>
      </c>
      <c r="I123" s="165" t="s">
        <v>235</v>
      </c>
      <c r="J123" s="165" t="s">
        <v>53</v>
      </c>
      <c r="K123" s="165" t="s">
        <v>314</v>
      </c>
      <c r="L123" s="165" t="s">
        <v>311</v>
      </c>
      <c r="M123" s="165" t="s">
        <v>1129</v>
      </c>
      <c r="N123" s="165" t="s">
        <v>62</v>
      </c>
      <c r="O123" s="165" t="s">
        <v>1208</v>
      </c>
      <c r="P123" s="168">
        <v>9885</v>
      </c>
      <c r="Q123" s="168">
        <v>1</v>
      </c>
      <c r="R123" s="168">
        <v>7341</v>
      </c>
      <c r="S123" s="168">
        <v>0</v>
      </c>
      <c r="T123" s="168">
        <v>725.65785000000005</v>
      </c>
      <c r="U123" s="169">
        <v>0</v>
      </c>
      <c r="V123" s="169">
        <v>3.1702773822999998E-2</v>
      </c>
      <c r="W123" s="169">
        <v>2.2445132903000001E-2</v>
      </c>
    </row>
    <row r="124" spans="1:23" ht="15.75" thickBot="1">
      <c r="A124" s="176">
        <v>11939</v>
      </c>
      <c r="B124" s="176">
        <v>11979</v>
      </c>
      <c r="C124" s="165" t="s">
        <v>1339</v>
      </c>
      <c r="D124" s="165">
        <v>514884485</v>
      </c>
      <c r="E124" s="165" t="s">
        <v>429</v>
      </c>
      <c r="F124" s="165" t="s">
        <v>1340</v>
      </c>
      <c r="G124" s="165" t="s">
        <v>1641</v>
      </c>
      <c r="H124" s="165" t="s">
        <v>76</v>
      </c>
      <c r="I124" s="165" t="s">
        <v>235</v>
      </c>
      <c r="J124" s="165" t="s">
        <v>53</v>
      </c>
      <c r="K124" s="165" t="s">
        <v>314</v>
      </c>
      <c r="L124" s="165" t="s">
        <v>311</v>
      </c>
      <c r="M124" s="165" t="s">
        <v>1129</v>
      </c>
      <c r="N124" s="165" t="s">
        <v>62</v>
      </c>
      <c r="O124" s="165" t="s">
        <v>1208</v>
      </c>
      <c r="P124" s="168">
        <v>19200</v>
      </c>
      <c r="Q124" s="168">
        <v>1</v>
      </c>
      <c r="R124" s="168">
        <v>9006</v>
      </c>
      <c r="S124" s="168">
        <v>0</v>
      </c>
      <c r="T124" s="168">
        <v>1729.152</v>
      </c>
      <c r="U124" s="169">
        <v>1E-3</v>
      </c>
      <c r="V124" s="169">
        <v>7.5543749388E-2</v>
      </c>
      <c r="W124" s="169">
        <v>5.3483947634000002E-2</v>
      </c>
    </row>
    <row r="125" spans="1:23" ht="15.75" thickBot="1">
      <c r="A125" s="176">
        <v>11939</v>
      </c>
      <c r="B125" s="176">
        <v>11979</v>
      </c>
      <c r="C125" s="165" t="s">
        <v>1339</v>
      </c>
      <c r="D125" s="165">
        <v>514884485</v>
      </c>
      <c r="E125" s="165" t="s">
        <v>429</v>
      </c>
      <c r="F125" s="165" t="s">
        <v>1354</v>
      </c>
      <c r="G125" s="165" t="s">
        <v>1677</v>
      </c>
      <c r="H125" s="165" t="s">
        <v>76</v>
      </c>
      <c r="I125" s="165" t="s">
        <v>235</v>
      </c>
      <c r="J125" s="165" t="s">
        <v>53</v>
      </c>
      <c r="K125" s="165" t="s">
        <v>314</v>
      </c>
      <c r="L125" s="165" t="s">
        <v>311</v>
      </c>
      <c r="M125" s="165" t="s">
        <v>1129</v>
      </c>
      <c r="N125" s="165" t="s">
        <v>62</v>
      </c>
      <c r="O125" s="165" t="s">
        <v>1208</v>
      </c>
      <c r="P125" s="168">
        <v>3000</v>
      </c>
      <c r="Q125" s="168">
        <v>1</v>
      </c>
      <c r="R125" s="168">
        <v>9469</v>
      </c>
      <c r="S125" s="168">
        <v>0</v>
      </c>
      <c r="T125" s="168">
        <v>284.07</v>
      </c>
      <c r="U125" s="169">
        <v>0</v>
      </c>
      <c r="V125" s="169">
        <v>1.2410541634000001E-2</v>
      </c>
      <c r="W125" s="169">
        <v>8.7864947689999997E-3</v>
      </c>
    </row>
    <row r="126" spans="1:23" ht="15.75" thickBot="1">
      <c r="A126" s="176">
        <v>11939</v>
      </c>
      <c r="B126" s="176">
        <v>11979</v>
      </c>
      <c r="C126" s="165" t="s">
        <v>1339</v>
      </c>
      <c r="D126" s="165">
        <v>514884485</v>
      </c>
      <c r="E126" s="165" t="s">
        <v>429</v>
      </c>
      <c r="F126" s="165" t="s">
        <v>1434</v>
      </c>
      <c r="G126" s="165" t="s">
        <v>1642</v>
      </c>
      <c r="H126" s="165" t="s">
        <v>76</v>
      </c>
      <c r="I126" s="165" t="s">
        <v>234</v>
      </c>
      <c r="J126" s="165" t="s">
        <v>53</v>
      </c>
      <c r="K126" s="165" t="s">
        <v>53</v>
      </c>
      <c r="L126" s="165" t="s">
        <v>311</v>
      </c>
      <c r="M126" s="165" t="s">
        <v>1080</v>
      </c>
      <c r="N126" s="165" t="s">
        <v>62</v>
      </c>
      <c r="O126" s="165" t="s">
        <v>1208</v>
      </c>
      <c r="P126" s="168">
        <v>22380</v>
      </c>
      <c r="Q126" s="168">
        <v>1</v>
      </c>
      <c r="R126" s="168">
        <v>5753</v>
      </c>
      <c r="S126" s="168">
        <v>0</v>
      </c>
      <c r="T126" s="168">
        <v>1287.5214000000001</v>
      </c>
      <c r="U126" s="169">
        <v>4.0000000000000001E-3</v>
      </c>
      <c r="V126" s="169">
        <v>5.6249649524000002E-2</v>
      </c>
      <c r="W126" s="169">
        <v>3.9823987211999999E-2</v>
      </c>
    </row>
    <row r="127" spans="1:23" ht="15.75" thickBot="1">
      <c r="A127" s="176">
        <v>11939</v>
      </c>
      <c r="B127" s="176">
        <v>11979</v>
      </c>
      <c r="C127" s="165" t="s">
        <v>1441</v>
      </c>
      <c r="D127" s="165" t="s">
        <v>1643</v>
      </c>
      <c r="E127" s="165" t="s">
        <v>430</v>
      </c>
      <c r="F127" s="165" t="s">
        <v>1328</v>
      </c>
      <c r="G127" s="165" t="s">
        <v>1329</v>
      </c>
      <c r="H127" s="165" t="s">
        <v>76</v>
      </c>
      <c r="I127" s="165" t="s">
        <v>235</v>
      </c>
      <c r="J127" s="165" t="s">
        <v>61</v>
      </c>
      <c r="K127" s="165" t="s">
        <v>314</v>
      </c>
      <c r="L127" s="165" t="s">
        <v>479</v>
      </c>
      <c r="M127" s="165" t="s">
        <v>775</v>
      </c>
      <c r="N127" s="165" t="s">
        <v>62</v>
      </c>
      <c r="O127" s="165" t="s">
        <v>1210</v>
      </c>
      <c r="P127" s="168">
        <v>124</v>
      </c>
      <c r="Q127" s="168">
        <v>3.71</v>
      </c>
      <c r="R127" s="168">
        <v>48807</v>
      </c>
      <c r="S127" s="168">
        <v>0.10407008086199999</v>
      </c>
      <c r="T127" s="168">
        <v>224.91782000000001</v>
      </c>
      <c r="U127" s="169">
        <v>0</v>
      </c>
      <c r="V127" s="169">
        <v>9.8262821469999994E-3</v>
      </c>
      <c r="W127" s="169">
        <v>6.9568741820000002E-3</v>
      </c>
    </row>
    <row r="128" spans="1:23" ht="15.75" thickBot="1">
      <c r="A128" s="176">
        <v>11939</v>
      </c>
      <c r="B128" s="176">
        <v>11979</v>
      </c>
      <c r="C128" s="165" t="s">
        <v>1436</v>
      </c>
      <c r="D128" s="165" t="s">
        <v>1644</v>
      </c>
      <c r="E128" s="165" t="s">
        <v>430</v>
      </c>
      <c r="F128" s="165" t="s">
        <v>1330</v>
      </c>
      <c r="G128" s="165" t="s">
        <v>1331</v>
      </c>
      <c r="H128" s="165" t="s">
        <v>76</v>
      </c>
      <c r="I128" s="165" t="s">
        <v>237</v>
      </c>
      <c r="J128" s="165" t="s">
        <v>61</v>
      </c>
      <c r="K128" s="165" t="s">
        <v>314</v>
      </c>
      <c r="L128" s="165" t="s">
        <v>476</v>
      </c>
      <c r="M128" s="165" t="s">
        <v>776</v>
      </c>
      <c r="N128" s="165" t="s">
        <v>62</v>
      </c>
      <c r="O128" s="165" t="s">
        <v>1210</v>
      </c>
      <c r="P128" s="168">
        <v>4802</v>
      </c>
      <c r="Q128" s="168">
        <v>3.71</v>
      </c>
      <c r="R128" s="168">
        <v>4342</v>
      </c>
      <c r="S128" s="168">
        <v>0</v>
      </c>
      <c r="T128" s="168">
        <v>773.54553999999996</v>
      </c>
      <c r="U128" s="169">
        <v>0</v>
      </c>
      <c r="V128" s="169">
        <v>3.3794906643999999E-2</v>
      </c>
      <c r="W128" s="169">
        <v>2.39263345E-2</v>
      </c>
    </row>
    <row r="129" spans="1:23" ht="15.75" thickBot="1">
      <c r="A129" s="176">
        <v>11939</v>
      </c>
      <c r="B129" s="176">
        <v>11979</v>
      </c>
      <c r="C129" s="165" t="s">
        <v>1624</v>
      </c>
      <c r="D129" s="165" t="s">
        <v>1625</v>
      </c>
      <c r="E129" s="165" t="s">
        <v>430</v>
      </c>
      <c r="F129" s="165" t="s">
        <v>1317</v>
      </c>
      <c r="G129" s="165" t="s">
        <v>1318</v>
      </c>
      <c r="H129" s="165" t="s">
        <v>76</v>
      </c>
      <c r="I129" s="165" t="s">
        <v>235</v>
      </c>
      <c r="J129" s="165" t="s">
        <v>61</v>
      </c>
      <c r="K129" s="165" t="s">
        <v>314</v>
      </c>
      <c r="L129" s="165" t="s">
        <v>494</v>
      </c>
      <c r="M129" s="165" t="s">
        <v>775</v>
      </c>
      <c r="N129" s="165" t="s">
        <v>62</v>
      </c>
      <c r="O129" s="165" t="s">
        <v>1210</v>
      </c>
      <c r="P129" s="168">
        <v>559</v>
      </c>
      <c r="Q129" s="168">
        <v>3.71</v>
      </c>
      <c r="R129" s="168">
        <v>112716</v>
      </c>
      <c r="S129" s="168">
        <v>0</v>
      </c>
      <c r="T129" s="168">
        <v>2337.6058499999999</v>
      </c>
      <c r="U129" s="169">
        <v>0</v>
      </c>
      <c r="V129" s="169">
        <v>0.10212607711799999</v>
      </c>
      <c r="W129" s="169">
        <v>7.2303874310000002E-2</v>
      </c>
    </row>
    <row r="130" spans="1:23" ht="15.75" thickBot="1">
      <c r="A130" s="176">
        <v>11939</v>
      </c>
      <c r="B130" s="176">
        <v>11979</v>
      </c>
      <c r="C130" s="165" t="s">
        <v>1455</v>
      </c>
      <c r="D130" s="165" t="s">
        <v>1656</v>
      </c>
      <c r="E130" s="165" t="s">
        <v>430</v>
      </c>
      <c r="F130" s="165" t="s">
        <v>1345</v>
      </c>
      <c r="G130" s="165" t="s">
        <v>1346</v>
      </c>
      <c r="H130" s="165" t="s">
        <v>76</v>
      </c>
      <c r="I130" s="165" t="s">
        <v>237</v>
      </c>
      <c r="J130" s="165" t="s">
        <v>61</v>
      </c>
      <c r="K130" s="165" t="s">
        <v>314</v>
      </c>
      <c r="L130" s="165" t="s">
        <v>476</v>
      </c>
      <c r="M130" s="165" t="s">
        <v>776</v>
      </c>
      <c r="N130" s="165" t="s">
        <v>62</v>
      </c>
      <c r="O130" s="165" t="s">
        <v>1210</v>
      </c>
      <c r="P130" s="168">
        <v>15663</v>
      </c>
      <c r="Q130" s="168">
        <v>3.71</v>
      </c>
      <c r="R130" s="168">
        <v>2405</v>
      </c>
      <c r="S130" s="168">
        <v>0</v>
      </c>
      <c r="T130" s="168">
        <v>1397.53901</v>
      </c>
      <c r="U130" s="169">
        <v>0</v>
      </c>
      <c r="V130" s="169">
        <v>6.1056134296999999E-2</v>
      </c>
      <c r="W130" s="169">
        <v>4.3226913091999997E-2</v>
      </c>
    </row>
    <row r="131" spans="1:23" ht="15.75" thickBot="1">
      <c r="A131" s="176">
        <v>11939</v>
      </c>
      <c r="B131" s="176">
        <v>11979</v>
      </c>
      <c r="C131" s="165" t="s">
        <v>1456</v>
      </c>
      <c r="D131" s="165">
        <v>0</v>
      </c>
      <c r="E131" s="165" t="s">
        <v>430</v>
      </c>
      <c r="F131" s="165" t="s">
        <v>1355</v>
      </c>
      <c r="G131" s="165" t="s">
        <v>1356</v>
      </c>
      <c r="H131" s="165" t="s">
        <v>76</v>
      </c>
      <c r="I131" s="165" t="s">
        <v>235</v>
      </c>
      <c r="J131" s="165" t="s">
        <v>61</v>
      </c>
      <c r="K131" s="165" t="s">
        <v>314</v>
      </c>
      <c r="L131" s="165" t="s">
        <v>476</v>
      </c>
      <c r="M131" s="165" t="s">
        <v>775</v>
      </c>
      <c r="N131" s="165" t="s">
        <v>62</v>
      </c>
      <c r="O131" s="165" t="s">
        <v>1210</v>
      </c>
      <c r="P131" s="168">
        <v>4256</v>
      </c>
      <c r="Q131" s="168">
        <v>3.71</v>
      </c>
      <c r="R131" s="168">
        <v>3821</v>
      </c>
      <c r="S131" s="168">
        <v>0</v>
      </c>
      <c r="T131" s="168">
        <v>603.32673</v>
      </c>
      <c r="U131" s="169">
        <v>1E-3</v>
      </c>
      <c r="V131" s="169">
        <v>2.6358332460000002E-2</v>
      </c>
      <c r="W131" s="169">
        <v>1.8661341069000002E-2</v>
      </c>
    </row>
    <row r="132" spans="1:23" ht="15.75" thickBot="1">
      <c r="A132" s="176">
        <v>11939</v>
      </c>
      <c r="B132" s="176">
        <v>11979</v>
      </c>
      <c r="C132" s="165" t="s">
        <v>1431</v>
      </c>
      <c r="D132" s="165" t="s">
        <v>1626</v>
      </c>
      <c r="E132" s="165" t="s">
        <v>430</v>
      </c>
      <c r="F132" s="165" t="s">
        <v>1319</v>
      </c>
      <c r="G132" s="165" t="s">
        <v>1320</v>
      </c>
      <c r="H132" s="165" t="s">
        <v>76</v>
      </c>
      <c r="I132" s="165" t="s">
        <v>235</v>
      </c>
      <c r="J132" s="165" t="s">
        <v>61</v>
      </c>
      <c r="K132" s="165" t="s">
        <v>314</v>
      </c>
      <c r="L132" s="165" t="s">
        <v>494</v>
      </c>
      <c r="M132" s="165" t="s">
        <v>775</v>
      </c>
      <c r="N132" s="165" t="s">
        <v>62</v>
      </c>
      <c r="O132" s="165" t="s">
        <v>1210</v>
      </c>
      <c r="P132" s="168">
        <v>1036</v>
      </c>
      <c r="Q132" s="168">
        <v>3.71</v>
      </c>
      <c r="R132" s="168">
        <v>60718</v>
      </c>
      <c r="S132" s="168">
        <v>0</v>
      </c>
      <c r="T132" s="168">
        <v>2333.7327599999999</v>
      </c>
      <c r="U132" s="169">
        <v>0</v>
      </c>
      <c r="V132" s="169">
        <v>0.101956868315</v>
      </c>
      <c r="W132" s="169">
        <v>7.2184076777000006E-2</v>
      </c>
    </row>
    <row r="133" spans="1:23" ht="15.75" thickBot="1">
      <c r="A133" s="176">
        <v>11939</v>
      </c>
      <c r="B133" s="176">
        <v>11980</v>
      </c>
      <c r="C133" s="165" t="s">
        <v>1304</v>
      </c>
      <c r="D133" s="165" t="s">
        <v>1609</v>
      </c>
      <c r="E133" s="165" t="s">
        <v>429</v>
      </c>
      <c r="F133" s="165" t="s">
        <v>1312</v>
      </c>
      <c r="G133" s="165" t="s">
        <v>1617</v>
      </c>
      <c r="H133" s="165" t="s">
        <v>76</v>
      </c>
      <c r="I133" s="165" t="s">
        <v>236</v>
      </c>
      <c r="J133" s="165" t="s">
        <v>53</v>
      </c>
      <c r="K133" s="165" t="s">
        <v>53</v>
      </c>
      <c r="L133" s="165" t="s">
        <v>311</v>
      </c>
      <c r="M133" s="165" t="s">
        <v>997</v>
      </c>
      <c r="N133" s="165" t="s">
        <v>62</v>
      </c>
      <c r="O133" s="165" t="s">
        <v>1208</v>
      </c>
      <c r="P133" s="168">
        <v>69810</v>
      </c>
      <c r="Q133" s="168">
        <v>1</v>
      </c>
      <c r="R133" s="168">
        <v>365.33</v>
      </c>
      <c r="S133" s="168">
        <v>0</v>
      </c>
      <c r="T133" s="168">
        <v>255.03686999999999</v>
      </c>
      <c r="U133" s="169">
        <v>0</v>
      </c>
      <c r="V133" s="169">
        <v>7.6224663823E-2</v>
      </c>
      <c r="W133" s="169">
        <v>5.0693172948E-2</v>
      </c>
    </row>
    <row r="134" spans="1:23" ht="15.75" thickBot="1">
      <c r="A134" s="176">
        <v>11939</v>
      </c>
      <c r="B134" s="176">
        <v>11980</v>
      </c>
      <c r="C134" s="165" t="s">
        <v>1306</v>
      </c>
      <c r="D134" s="165" t="s">
        <v>1611</v>
      </c>
      <c r="E134" s="165" t="s">
        <v>429</v>
      </c>
      <c r="F134" s="165" t="s">
        <v>1313</v>
      </c>
      <c r="G134" s="165" t="s">
        <v>1618</v>
      </c>
      <c r="H134" s="165" t="s">
        <v>76</v>
      </c>
      <c r="I134" s="165" t="s">
        <v>236</v>
      </c>
      <c r="J134" s="165" t="s">
        <v>53</v>
      </c>
      <c r="K134" s="165" t="s">
        <v>53</v>
      </c>
      <c r="L134" s="165" t="s">
        <v>311</v>
      </c>
      <c r="M134" s="165" t="s">
        <v>997</v>
      </c>
      <c r="N134" s="165" t="s">
        <v>62</v>
      </c>
      <c r="O134" s="165" t="s">
        <v>1208</v>
      </c>
      <c r="P134" s="168">
        <v>5708</v>
      </c>
      <c r="Q134" s="168">
        <v>1</v>
      </c>
      <c r="R134" s="168">
        <v>3637.39</v>
      </c>
      <c r="S134" s="168">
        <v>0</v>
      </c>
      <c r="T134" s="168">
        <v>207.62222</v>
      </c>
      <c r="U134" s="169">
        <v>0</v>
      </c>
      <c r="V134" s="169">
        <v>6.2053513758999999E-2</v>
      </c>
      <c r="W134" s="169">
        <v>4.1268656984E-2</v>
      </c>
    </row>
    <row r="135" spans="1:23" ht="15.75" thickBot="1">
      <c r="A135" s="176">
        <v>11939</v>
      </c>
      <c r="B135" s="176">
        <v>11980</v>
      </c>
      <c r="C135" s="165" t="s">
        <v>1619</v>
      </c>
      <c r="D135" s="165" t="s">
        <v>1620</v>
      </c>
      <c r="E135" s="165" t="s">
        <v>429</v>
      </c>
      <c r="F135" s="165" t="s">
        <v>1432</v>
      </c>
      <c r="G135" s="165" t="s">
        <v>1621</v>
      </c>
      <c r="H135" s="165" t="s">
        <v>76</v>
      </c>
      <c r="I135" s="165" t="s">
        <v>236</v>
      </c>
      <c r="J135" s="165" t="s">
        <v>53</v>
      </c>
      <c r="K135" s="165" t="s">
        <v>53</v>
      </c>
      <c r="L135" s="165" t="s">
        <v>311</v>
      </c>
      <c r="M135" s="165" t="s">
        <v>997</v>
      </c>
      <c r="N135" s="165" t="s">
        <v>62</v>
      </c>
      <c r="O135" s="165" t="s">
        <v>1208</v>
      </c>
      <c r="P135" s="168">
        <v>82400</v>
      </c>
      <c r="Q135" s="168">
        <v>1</v>
      </c>
      <c r="R135" s="168">
        <v>365.93</v>
      </c>
      <c r="S135" s="168">
        <v>0</v>
      </c>
      <c r="T135" s="168">
        <v>301.52632</v>
      </c>
      <c r="U135" s="169">
        <v>0</v>
      </c>
      <c r="V135" s="169">
        <v>9.0119292852999994E-2</v>
      </c>
      <c r="W135" s="169">
        <v>5.9933788742999997E-2</v>
      </c>
    </row>
    <row r="136" spans="1:23" ht="15.75" thickBot="1">
      <c r="A136" s="176">
        <v>11939</v>
      </c>
      <c r="B136" s="176">
        <v>11980</v>
      </c>
      <c r="C136" s="165" t="s">
        <v>1308</v>
      </c>
      <c r="D136" s="165" t="s">
        <v>1613</v>
      </c>
      <c r="E136" s="165" t="s">
        <v>429</v>
      </c>
      <c r="F136" s="165" t="s">
        <v>1433</v>
      </c>
      <c r="G136" s="165" t="s">
        <v>1675</v>
      </c>
      <c r="H136" s="165" t="s">
        <v>76</v>
      </c>
      <c r="I136" s="165" t="s">
        <v>234</v>
      </c>
      <c r="J136" s="165" t="s">
        <v>53</v>
      </c>
      <c r="K136" s="165" t="s">
        <v>53</v>
      </c>
      <c r="L136" s="165" t="s">
        <v>311</v>
      </c>
      <c r="M136" s="165" t="s">
        <v>1080</v>
      </c>
      <c r="N136" s="165" t="s">
        <v>62</v>
      </c>
      <c r="O136" s="165" t="s">
        <v>1208</v>
      </c>
      <c r="P136" s="168">
        <v>15760</v>
      </c>
      <c r="Q136" s="168">
        <v>1</v>
      </c>
      <c r="R136" s="168">
        <v>2076</v>
      </c>
      <c r="S136" s="168">
        <v>0</v>
      </c>
      <c r="T136" s="168">
        <v>327.17759999999998</v>
      </c>
      <c r="U136" s="169">
        <v>0</v>
      </c>
      <c r="V136" s="169">
        <v>9.7785871393999996E-2</v>
      </c>
      <c r="W136" s="169">
        <v>6.5032442805999999E-2</v>
      </c>
    </row>
    <row r="137" spans="1:23" ht="15.75" thickBot="1">
      <c r="A137" s="176">
        <v>11939</v>
      </c>
      <c r="B137" s="176">
        <v>11980</v>
      </c>
      <c r="C137" s="165" t="s">
        <v>1310</v>
      </c>
      <c r="D137" s="165" t="s">
        <v>1615</v>
      </c>
      <c r="E137" s="165" t="s">
        <v>429</v>
      </c>
      <c r="F137" s="165" t="s">
        <v>1327</v>
      </c>
      <c r="G137" s="165" t="s">
        <v>1640</v>
      </c>
      <c r="H137" s="165" t="s">
        <v>76</v>
      </c>
      <c r="I137" s="165" t="s">
        <v>235</v>
      </c>
      <c r="J137" s="165" t="s">
        <v>53</v>
      </c>
      <c r="K137" s="165" t="s">
        <v>314</v>
      </c>
      <c r="L137" s="165" t="s">
        <v>311</v>
      </c>
      <c r="M137" s="165" t="s">
        <v>1127</v>
      </c>
      <c r="N137" s="165" t="s">
        <v>62</v>
      </c>
      <c r="O137" s="165" t="s">
        <v>1208</v>
      </c>
      <c r="P137" s="168">
        <v>2645</v>
      </c>
      <c r="Q137" s="168">
        <v>1</v>
      </c>
      <c r="R137" s="168">
        <v>7671</v>
      </c>
      <c r="S137" s="168">
        <v>0</v>
      </c>
      <c r="T137" s="168">
        <v>202.89795000000001</v>
      </c>
      <c r="U137" s="169">
        <v>1E-3</v>
      </c>
      <c r="V137" s="169">
        <v>6.0641537943999999E-2</v>
      </c>
      <c r="W137" s="169">
        <v>4.0329623203999999E-2</v>
      </c>
    </row>
    <row r="138" spans="1:23" ht="15.75" thickBot="1">
      <c r="A138" s="176">
        <v>11939</v>
      </c>
      <c r="B138" s="176">
        <v>11980</v>
      </c>
      <c r="C138" s="165" t="s">
        <v>1339</v>
      </c>
      <c r="D138" s="165">
        <v>514884485</v>
      </c>
      <c r="E138" s="165" t="s">
        <v>429</v>
      </c>
      <c r="F138" s="165" t="s">
        <v>1357</v>
      </c>
      <c r="G138" s="165" t="s">
        <v>1678</v>
      </c>
      <c r="H138" s="165" t="s">
        <v>76</v>
      </c>
      <c r="I138" s="165" t="s">
        <v>235</v>
      </c>
      <c r="J138" s="165" t="s">
        <v>53</v>
      </c>
      <c r="K138" s="165" t="s">
        <v>314</v>
      </c>
      <c r="L138" s="165" t="s">
        <v>311</v>
      </c>
      <c r="M138" s="165" t="s">
        <v>1125</v>
      </c>
      <c r="N138" s="165" t="s">
        <v>62</v>
      </c>
      <c r="O138" s="165" t="s">
        <v>1208</v>
      </c>
      <c r="P138" s="168">
        <v>1924</v>
      </c>
      <c r="Q138" s="168">
        <v>1</v>
      </c>
      <c r="R138" s="168">
        <v>10530</v>
      </c>
      <c r="S138" s="168">
        <v>0</v>
      </c>
      <c r="T138" s="168">
        <v>202.59719999999999</v>
      </c>
      <c r="U138" s="169">
        <v>0</v>
      </c>
      <c r="V138" s="169">
        <v>6.0551650674999999E-2</v>
      </c>
      <c r="W138" s="169">
        <v>4.0269843723E-2</v>
      </c>
    </row>
    <row r="139" spans="1:23" ht="15.75" thickBot="1">
      <c r="A139" s="176">
        <v>11939</v>
      </c>
      <c r="B139" s="176">
        <v>11980</v>
      </c>
      <c r="C139" s="165" t="s">
        <v>1310</v>
      </c>
      <c r="D139" s="165" t="s">
        <v>1615</v>
      </c>
      <c r="E139" s="165" t="s">
        <v>429</v>
      </c>
      <c r="F139" s="165" t="s">
        <v>1358</v>
      </c>
      <c r="G139" s="165" t="s">
        <v>1679</v>
      </c>
      <c r="H139" s="165" t="s">
        <v>76</v>
      </c>
      <c r="I139" s="165" t="s">
        <v>236</v>
      </c>
      <c r="J139" s="165" t="s">
        <v>53</v>
      </c>
      <c r="K139" s="165" t="s">
        <v>53</v>
      </c>
      <c r="L139" s="165" t="s">
        <v>311</v>
      </c>
      <c r="M139" s="165" t="s">
        <v>997</v>
      </c>
      <c r="N139" s="165" t="s">
        <v>62</v>
      </c>
      <c r="O139" s="165" t="s">
        <v>1208</v>
      </c>
      <c r="P139" s="168">
        <v>88550</v>
      </c>
      <c r="Q139" s="168">
        <v>1</v>
      </c>
      <c r="R139" s="168">
        <v>384.6</v>
      </c>
      <c r="S139" s="168">
        <v>0</v>
      </c>
      <c r="T139" s="168">
        <v>340.56330000000003</v>
      </c>
      <c r="U139" s="169">
        <v>2E-3</v>
      </c>
      <c r="V139" s="169">
        <v>0.10178654973700001</v>
      </c>
      <c r="W139" s="169">
        <v>6.7693091853000001E-2</v>
      </c>
    </row>
    <row r="140" spans="1:23" ht="15.75" thickBot="1">
      <c r="A140" s="176">
        <v>11939</v>
      </c>
      <c r="B140" s="176">
        <v>11980</v>
      </c>
      <c r="C140" s="165" t="s">
        <v>1306</v>
      </c>
      <c r="D140" s="165" t="s">
        <v>1611</v>
      </c>
      <c r="E140" s="165" t="s">
        <v>429</v>
      </c>
      <c r="F140" s="165" t="s">
        <v>1359</v>
      </c>
      <c r="G140" s="165" t="s">
        <v>1680</v>
      </c>
      <c r="H140" s="165" t="s">
        <v>76</v>
      </c>
      <c r="I140" s="165" t="s">
        <v>236</v>
      </c>
      <c r="J140" s="165" t="s">
        <v>53</v>
      </c>
      <c r="K140" s="165" t="s">
        <v>53</v>
      </c>
      <c r="L140" s="165" t="s">
        <v>311</v>
      </c>
      <c r="M140" s="165" t="s">
        <v>997</v>
      </c>
      <c r="N140" s="165" t="s">
        <v>62</v>
      </c>
      <c r="O140" s="165" t="s">
        <v>1208</v>
      </c>
      <c r="P140" s="168">
        <v>9420</v>
      </c>
      <c r="Q140" s="168">
        <v>1</v>
      </c>
      <c r="R140" s="168">
        <v>3828.05</v>
      </c>
      <c r="S140" s="168">
        <v>0</v>
      </c>
      <c r="T140" s="168">
        <v>360.60230999999999</v>
      </c>
      <c r="U140" s="169">
        <v>1E-3</v>
      </c>
      <c r="V140" s="169">
        <v>0.107775749654</v>
      </c>
      <c r="W140" s="169">
        <v>7.1676206135999995E-2</v>
      </c>
    </row>
    <row r="141" spans="1:23" ht="15.75" thickBot="1">
      <c r="A141" s="176">
        <v>11939</v>
      </c>
      <c r="B141" s="176">
        <v>11980</v>
      </c>
      <c r="C141" s="165" t="s">
        <v>1339</v>
      </c>
      <c r="D141" s="165">
        <v>514884485</v>
      </c>
      <c r="E141" s="165" t="s">
        <v>429</v>
      </c>
      <c r="F141" s="165" t="s">
        <v>1434</v>
      </c>
      <c r="G141" s="165" t="s">
        <v>1642</v>
      </c>
      <c r="H141" s="165" t="s">
        <v>76</v>
      </c>
      <c r="I141" s="165" t="s">
        <v>234</v>
      </c>
      <c r="J141" s="165" t="s">
        <v>53</v>
      </c>
      <c r="K141" s="165" t="s">
        <v>53</v>
      </c>
      <c r="L141" s="165" t="s">
        <v>311</v>
      </c>
      <c r="M141" s="165" t="s">
        <v>1080</v>
      </c>
      <c r="N141" s="165" t="s">
        <v>62</v>
      </c>
      <c r="O141" s="165" t="s">
        <v>1208</v>
      </c>
      <c r="P141" s="168">
        <v>4634</v>
      </c>
      <c r="Q141" s="168">
        <v>1</v>
      </c>
      <c r="R141" s="168">
        <v>5753</v>
      </c>
      <c r="S141" s="168">
        <v>0</v>
      </c>
      <c r="T141" s="168">
        <v>266.59402</v>
      </c>
      <c r="U141" s="169">
        <v>1E-3</v>
      </c>
      <c r="V141" s="169">
        <v>7.9678830561999994E-2</v>
      </c>
      <c r="W141" s="169">
        <v>5.2990364738E-2</v>
      </c>
    </row>
    <row r="142" spans="1:23" ht="15.75" thickBot="1">
      <c r="A142" s="176">
        <v>11939</v>
      </c>
      <c r="B142" s="176">
        <v>11980</v>
      </c>
      <c r="C142" s="165" t="s">
        <v>1435</v>
      </c>
      <c r="D142" s="165" t="s">
        <v>1681</v>
      </c>
      <c r="E142" s="165" t="s">
        <v>430</v>
      </c>
      <c r="F142" s="165" t="s">
        <v>1360</v>
      </c>
      <c r="G142" s="165" t="s">
        <v>1361</v>
      </c>
      <c r="H142" s="165" t="s">
        <v>76</v>
      </c>
      <c r="I142" s="165" t="s">
        <v>235</v>
      </c>
      <c r="J142" s="165" t="s">
        <v>61</v>
      </c>
      <c r="K142" s="165" t="s">
        <v>314</v>
      </c>
      <c r="L142" s="165" t="s">
        <v>476</v>
      </c>
      <c r="M142" s="165" t="s">
        <v>775</v>
      </c>
      <c r="N142" s="165" t="s">
        <v>62</v>
      </c>
      <c r="O142" s="165" t="s">
        <v>1210</v>
      </c>
      <c r="P142" s="168">
        <v>67</v>
      </c>
      <c r="Q142" s="168">
        <v>3.71</v>
      </c>
      <c r="R142" s="168">
        <v>42312</v>
      </c>
      <c r="S142" s="168">
        <v>6.2700808625000007E-2</v>
      </c>
      <c r="T142" s="168">
        <v>105.40756</v>
      </c>
      <c r="U142" s="169">
        <v>0</v>
      </c>
      <c r="V142" s="169">
        <v>3.1503899124E-2</v>
      </c>
      <c r="W142" s="169">
        <v>2.0951651692999999E-2</v>
      </c>
    </row>
    <row r="143" spans="1:23" ht="15.75" thickBot="1">
      <c r="A143" s="176">
        <v>11939</v>
      </c>
      <c r="B143" s="176">
        <v>11980</v>
      </c>
      <c r="C143" s="165" t="s">
        <v>1436</v>
      </c>
      <c r="D143" s="165" t="s">
        <v>1644</v>
      </c>
      <c r="E143" s="165" t="s">
        <v>430</v>
      </c>
      <c r="F143" s="165" t="s">
        <v>1330</v>
      </c>
      <c r="G143" s="165" t="s">
        <v>1331</v>
      </c>
      <c r="H143" s="165" t="s">
        <v>76</v>
      </c>
      <c r="I143" s="165" t="s">
        <v>237</v>
      </c>
      <c r="J143" s="165" t="s">
        <v>61</v>
      </c>
      <c r="K143" s="165" t="s">
        <v>314</v>
      </c>
      <c r="L143" s="165" t="s">
        <v>476</v>
      </c>
      <c r="M143" s="165" t="s">
        <v>776</v>
      </c>
      <c r="N143" s="165" t="s">
        <v>62</v>
      </c>
      <c r="O143" s="165" t="s">
        <v>1210</v>
      </c>
      <c r="P143" s="168">
        <v>646</v>
      </c>
      <c r="Q143" s="168">
        <v>3.71</v>
      </c>
      <c r="R143" s="168">
        <v>4342</v>
      </c>
      <c r="S143" s="168">
        <v>0</v>
      </c>
      <c r="T143" s="168">
        <v>104.06298</v>
      </c>
      <c r="U143" s="169">
        <v>0</v>
      </c>
      <c r="V143" s="169">
        <v>3.1102035039000001E-2</v>
      </c>
      <c r="W143" s="169">
        <v>2.0684392191999999E-2</v>
      </c>
    </row>
    <row r="144" spans="1:23" ht="15.75" thickBot="1">
      <c r="A144" s="176">
        <v>11939</v>
      </c>
      <c r="B144" s="176">
        <v>11980</v>
      </c>
      <c r="C144" s="165" t="s">
        <v>1437</v>
      </c>
      <c r="D144" s="165" t="s">
        <v>1645</v>
      </c>
      <c r="E144" s="165" t="s">
        <v>430</v>
      </c>
      <c r="F144" s="165" t="s">
        <v>1332</v>
      </c>
      <c r="G144" s="165" t="s">
        <v>1333</v>
      </c>
      <c r="H144" s="165" t="s">
        <v>76</v>
      </c>
      <c r="I144" s="165" t="s">
        <v>235</v>
      </c>
      <c r="J144" s="165" t="s">
        <v>61</v>
      </c>
      <c r="K144" s="165" t="s">
        <v>314</v>
      </c>
      <c r="L144" s="165" t="s">
        <v>476</v>
      </c>
      <c r="M144" s="165" t="s">
        <v>775</v>
      </c>
      <c r="N144" s="165" t="s">
        <v>62</v>
      </c>
      <c r="O144" s="165" t="s">
        <v>1210</v>
      </c>
      <c r="P144" s="168">
        <v>567</v>
      </c>
      <c r="Q144" s="168">
        <v>3.71</v>
      </c>
      <c r="R144" s="168">
        <v>7102</v>
      </c>
      <c r="S144" s="168">
        <v>0.135940700808</v>
      </c>
      <c r="T144" s="168">
        <v>149.89988</v>
      </c>
      <c r="U144" s="169">
        <v>0</v>
      </c>
      <c r="V144" s="169">
        <v>4.4801631858999998E-2</v>
      </c>
      <c r="W144" s="169">
        <v>2.9795301917E-2</v>
      </c>
    </row>
    <row r="145" spans="1:23" ht="15.75" thickBot="1">
      <c r="A145" s="176">
        <v>11939</v>
      </c>
      <c r="B145" s="176">
        <v>11980</v>
      </c>
      <c r="C145" s="165" t="s">
        <v>1624</v>
      </c>
      <c r="D145" s="165" t="s">
        <v>1625</v>
      </c>
      <c r="E145" s="165" t="s">
        <v>430</v>
      </c>
      <c r="F145" s="165" t="s">
        <v>1317</v>
      </c>
      <c r="G145" s="165" t="s">
        <v>1318</v>
      </c>
      <c r="H145" s="165" t="s">
        <v>76</v>
      </c>
      <c r="I145" s="165" t="s">
        <v>235</v>
      </c>
      <c r="J145" s="165" t="s">
        <v>61</v>
      </c>
      <c r="K145" s="165" t="s">
        <v>314</v>
      </c>
      <c r="L145" s="165" t="s">
        <v>494</v>
      </c>
      <c r="M145" s="165" t="s">
        <v>775</v>
      </c>
      <c r="N145" s="165" t="s">
        <v>62</v>
      </c>
      <c r="O145" s="165" t="s">
        <v>1210</v>
      </c>
      <c r="P145" s="168">
        <v>58</v>
      </c>
      <c r="Q145" s="168">
        <v>3.71</v>
      </c>
      <c r="R145" s="168">
        <v>112716</v>
      </c>
      <c r="S145" s="168">
        <v>0</v>
      </c>
      <c r="T145" s="168">
        <v>242.54229000000001</v>
      </c>
      <c r="U145" s="169">
        <v>0</v>
      </c>
      <c r="V145" s="169">
        <v>7.2490320784000001E-2</v>
      </c>
      <c r="W145" s="169">
        <v>4.8209650057000002E-2</v>
      </c>
    </row>
    <row r="146" spans="1:23" ht="15.75" thickBot="1">
      <c r="A146" s="176">
        <v>11939</v>
      </c>
      <c r="B146" s="176">
        <v>11980</v>
      </c>
      <c r="C146" s="165" t="s">
        <v>1431</v>
      </c>
      <c r="D146" s="165" t="s">
        <v>1626</v>
      </c>
      <c r="E146" s="165" t="s">
        <v>430</v>
      </c>
      <c r="F146" s="165" t="s">
        <v>1319</v>
      </c>
      <c r="G146" s="165" t="s">
        <v>1320</v>
      </c>
      <c r="H146" s="165" t="s">
        <v>76</v>
      </c>
      <c r="I146" s="165" t="s">
        <v>235</v>
      </c>
      <c r="J146" s="165" t="s">
        <v>61</v>
      </c>
      <c r="K146" s="165" t="s">
        <v>314</v>
      </c>
      <c r="L146" s="165" t="s">
        <v>494</v>
      </c>
      <c r="M146" s="165" t="s">
        <v>775</v>
      </c>
      <c r="N146" s="165" t="s">
        <v>62</v>
      </c>
      <c r="O146" s="165" t="s">
        <v>1210</v>
      </c>
      <c r="P146" s="168">
        <v>124</v>
      </c>
      <c r="Q146" s="168">
        <v>3.71</v>
      </c>
      <c r="R146" s="168">
        <v>60718</v>
      </c>
      <c r="S146" s="168">
        <v>0</v>
      </c>
      <c r="T146" s="168">
        <v>279.32709</v>
      </c>
      <c r="U146" s="169">
        <v>0</v>
      </c>
      <c r="V146" s="169">
        <v>8.3484452784999996E-2</v>
      </c>
      <c r="W146" s="169">
        <v>5.5521291814E-2</v>
      </c>
    </row>
    <row r="147" spans="1:23" ht="15.75" thickBot="1">
      <c r="A147" s="176">
        <v>11939</v>
      </c>
      <c r="B147" s="176">
        <v>11981</v>
      </c>
      <c r="C147" s="165" t="s">
        <v>1304</v>
      </c>
      <c r="D147" s="165" t="s">
        <v>1609</v>
      </c>
      <c r="E147" s="165" t="s">
        <v>429</v>
      </c>
      <c r="F147" s="165" t="s">
        <v>1438</v>
      </c>
      <c r="G147" s="165" t="s">
        <v>1682</v>
      </c>
      <c r="H147" s="165" t="s">
        <v>76</v>
      </c>
      <c r="I147" s="165" t="s">
        <v>235</v>
      </c>
      <c r="J147" s="165" t="s">
        <v>53</v>
      </c>
      <c r="K147" s="165" t="s">
        <v>314</v>
      </c>
      <c r="L147" s="165" t="s">
        <v>311</v>
      </c>
      <c r="M147" s="165" t="s">
        <v>1129</v>
      </c>
      <c r="N147" s="165" t="s">
        <v>62</v>
      </c>
      <c r="O147" s="165" t="s">
        <v>1208</v>
      </c>
      <c r="P147" s="168">
        <v>830</v>
      </c>
      <c r="Q147" s="168">
        <v>1</v>
      </c>
      <c r="R147" s="168">
        <v>5069</v>
      </c>
      <c r="S147" s="168">
        <v>0</v>
      </c>
      <c r="T147" s="168">
        <v>42.072699999999998</v>
      </c>
      <c r="U147" s="169">
        <v>0</v>
      </c>
      <c r="V147" s="169">
        <v>3.2386169611E-2</v>
      </c>
      <c r="W147" s="169">
        <v>1.4606828387E-2</v>
      </c>
    </row>
    <row r="148" spans="1:23" ht="15.75" thickBot="1">
      <c r="A148" s="176">
        <v>11939</v>
      </c>
      <c r="B148" s="176">
        <v>11981</v>
      </c>
      <c r="C148" s="165" t="s">
        <v>1304</v>
      </c>
      <c r="D148" s="165" t="s">
        <v>1609</v>
      </c>
      <c r="E148" s="165" t="s">
        <v>429</v>
      </c>
      <c r="F148" s="165" t="s">
        <v>1362</v>
      </c>
      <c r="G148" s="165" t="s">
        <v>1683</v>
      </c>
      <c r="H148" s="165" t="s">
        <v>76</v>
      </c>
      <c r="I148" s="165" t="s">
        <v>236</v>
      </c>
      <c r="J148" s="165" t="s">
        <v>53</v>
      </c>
      <c r="K148" s="165" t="s">
        <v>53</v>
      </c>
      <c r="L148" s="165" t="s">
        <v>311</v>
      </c>
      <c r="M148" s="165" t="s">
        <v>983</v>
      </c>
      <c r="N148" s="165" t="s">
        <v>62</v>
      </c>
      <c r="O148" s="165" t="s">
        <v>1208</v>
      </c>
      <c r="P148" s="168">
        <v>3850</v>
      </c>
      <c r="Q148" s="168">
        <v>1</v>
      </c>
      <c r="R148" s="168">
        <v>3874.62</v>
      </c>
      <c r="S148" s="168">
        <v>0</v>
      </c>
      <c r="T148" s="168">
        <v>149.17286999999999</v>
      </c>
      <c r="U148" s="169">
        <v>0</v>
      </c>
      <c r="V148" s="169">
        <v>0.114828329753</v>
      </c>
      <c r="W148" s="169">
        <v>5.1789937707000001E-2</v>
      </c>
    </row>
    <row r="149" spans="1:23" ht="15.75" thickBot="1">
      <c r="A149" s="176">
        <v>11939</v>
      </c>
      <c r="B149" s="176">
        <v>11981</v>
      </c>
      <c r="C149" s="165" t="s">
        <v>1304</v>
      </c>
      <c r="D149" s="165" t="s">
        <v>1609</v>
      </c>
      <c r="E149" s="165" t="s">
        <v>429</v>
      </c>
      <c r="F149" s="165" t="s">
        <v>1363</v>
      </c>
      <c r="G149" s="165" t="s">
        <v>1684</v>
      </c>
      <c r="H149" s="165" t="s">
        <v>76</v>
      </c>
      <c r="I149" s="165" t="s">
        <v>235</v>
      </c>
      <c r="J149" s="165" t="s">
        <v>53</v>
      </c>
      <c r="K149" s="165" t="s">
        <v>314</v>
      </c>
      <c r="L149" s="165" t="s">
        <v>311</v>
      </c>
      <c r="M149" s="165" t="s">
        <v>1125</v>
      </c>
      <c r="N149" s="165" t="s">
        <v>62</v>
      </c>
      <c r="O149" s="165" t="s">
        <v>1208</v>
      </c>
      <c r="P149" s="168">
        <v>548</v>
      </c>
      <c r="Q149" s="168">
        <v>1</v>
      </c>
      <c r="R149" s="168">
        <v>24940</v>
      </c>
      <c r="S149" s="168">
        <v>0</v>
      </c>
      <c r="T149" s="168">
        <v>136.6712</v>
      </c>
      <c r="U149" s="169">
        <v>0</v>
      </c>
      <c r="V149" s="169">
        <v>0.10520495865899999</v>
      </c>
      <c r="W149" s="169">
        <v>4.7449599476999997E-2</v>
      </c>
    </row>
    <row r="150" spans="1:23" ht="15.75" thickBot="1">
      <c r="A150" s="176">
        <v>11939</v>
      </c>
      <c r="B150" s="176">
        <v>11981</v>
      </c>
      <c r="C150" s="165" t="s">
        <v>1306</v>
      </c>
      <c r="D150" s="165" t="s">
        <v>1611</v>
      </c>
      <c r="E150" s="165" t="s">
        <v>429</v>
      </c>
      <c r="F150" s="165" t="s">
        <v>1364</v>
      </c>
      <c r="G150" s="165" t="s">
        <v>1685</v>
      </c>
      <c r="H150" s="165" t="s">
        <v>76</v>
      </c>
      <c r="I150" s="165" t="s">
        <v>236</v>
      </c>
      <c r="J150" s="165" t="s">
        <v>53</v>
      </c>
      <c r="K150" s="165" t="s">
        <v>53</v>
      </c>
      <c r="L150" s="165" t="s">
        <v>311</v>
      </c>
      <c r="M150" s="165" t="s">
        <v>983</v>
      </c>
      <c r="N150" s="165" t="s">
        <v>62</v>
      </c>
      <c r="O150" s="165" t="s">
        <v>1208</v>
      </c>
      <c r="P150" s="168">
        <v>2490</v>
      </c>
      <c r="Q150" s="168">
        <v>1</v>
      </c>
      <c r="R150" s="168">
        <v>3853.89</v>
      </c>
      <c r="S150" s="168">
        <v>0</v>
      </c>
      <c r="T150" s="168">
        <v>95.961860000000001</v>
      </c>
      <c r="U150" s="169">
        <v>0</v>
      </c>
      <c r="V150" s="169">
        <v>7.3868258376000001E-2</v>
      </c>
      <c r="W150" s="169">
        <v>3.3316103335E-2</v>
      </c>
    </row>
    <row r="151" spans="1:23" ht="15.75" thickBot="1">
      <c r="A151" s="176">
        <v>11939</v>
      </c>
      <c r="B151" s="176">
        <v>11981</v>
      </c>
      <c r="C151" s="165" t="s">
        <v>1339</v>
      </c>
      <c r="D151" s="165">
        <v>514884485</v>
      </c>
      <c r="E151" s="165" t="s">
        <v>429</v>
      </c>
      <c r="F151" s="165" t="s">
        <v>1354</v>
      </c>
      <c r="G151" s="165" t="s">
        <v>1677</v>
      </c>
      <c r="H151" s="165" t="s">
        <v>76</v>
      </c>
      <c r="I151" s="165" t="s">
        <v>235</v>
      </c>
      <c r="J151" s="165" t="s">
        <v>53</v>
      </c>
      <c r="K151" s="165" t="s">
        <v>314</v>
      </c>
      <c r="L151" s="165" t="s">
        <v>311</v>
      </c>
      <c r="M151" s="165" t="s">
        <v>1129</v>
      </c>
      <c r="N151" s="165" t="s">
        <v>62</v>
      </c>
      <c r="O151" s="165" t="s">
        <v>1208</v>
      </c>
      <c r="P151" s="168">
        <v>1895</v>
      </c>
      <c r="Q151" s="168">
        <v>1</v>
      </c>
      <c r="R151" s="168">
        <v>9469</v>
      </c>
      <c r="S151" s="168">
        <v>0</v>
      </c>
      <c r="T151" s="168">
        <v>179.43754999999999</v>
      </c>
      <c r="U151" s="169">
        <v>0</v>
      </c>
      <c r="V151" s="169">
        <v>0.13812507704400001</v>
      </c>
      <c r="W151" s="169">
        <v>6.2297249739999998E-2</v>
      </c>
    </row>
    <row r="152" spans="1:23" ht="15.75" thickBot="1">
      <c r="A152" s="176">
        <v>11939</v>
      </c>
      <c r="B152" s="176">
        <v>11981</v>
      </c>
      <c r="C152" s="165" t="s">
        <v>1308</v>
      </c>
      <c r="D152" s="165" t="s">
        <v>1613</v>
      </c>
      <c r="E152" s="165" t="s">
        <v>429</v>
      </c>
      <c r="F152" s="165" t="s">
        <v>1365</v>
      </c>
      <c r="G152" s="165" t="s">
        <v>1686</v>
      </c>
      <c r="H152" s="165" t="s">
        <v>76</v>
      </c>
      <c r="I152" s="165" t="s">
        <v>236</v>
      </c>
      <c r="J152" s="165" t="s">
        <v>53</v>
      </c>
      <c r="K152" s="165" t="s">
        <v>53</v>
      </c>
      <c r="L152" s="165" t="s">
        <v>311</v>
      </c>
      <c r="M152" s="165" t="s">
        <v>983</v>
      </c>
      <c r="N152" s="165" t="s">
        <v>62</v>
      </c>
      <c r="O152" s="165" t="s">
        <v>1208</v>
      </c>
      <c r="P152" s="168">
        <v>41325</v>
      </c>
      <c r="Q152" s="168">
        <v>1</v>
      </c>
      <c r="R152" s="168">
        <v>391.9</v>
      </c>
      <c r="S152" s="168">
        <v>0</v>
      </c>
      <c r="T152" s="168">
        <v>161.95267000000001</v>
      </c>
      <c r="U152" s="169">
        <v>1E-3</v>
      </c>
      <c r="V152" s="169">
        <v>0.124665796101</v>
      </c>
      <c r="W152" s="169">
        <v>5.6226837298000001E-2</v>
      </c>
    </row>
    <row r="153" spans="1:23" ht="15.75" thickBot="1">
      <c r="A153" s="176">
        <v>11939</v>
      </c>
      <c r="B153" s="176">
        <v>11981</v>
      </c>
      <c r="C153" s="165" t="s">
        <v>1310</v>
      </c>
      <c r="D153" s="165" t="s">
        <v>1615</v>
      </c>
      <c r="E153" s="165" t="s">
        <v>429</v>
      </c>
      <c r="F153" s="165" t="s">
        <v>1366</v>
      </c>
      <c r="G153" s="165" t="s">
        <v>1687</v>
      </c>
      <c r="H153" s="165" t="s">
        <v>76</v>
      </c>
      <c r="I153" s="165" t="s">
        <v>236</v>
      </c>
      <c r="J153" s="165" t="s">
        <v>53</v>
      </c>
      <c r="K153" s="165" t="s">
        <v>53</v>
      </c>
      <c r="L153" s="165" t="s">
        <v>311</v>
      </c>
      <c r="M153" s="165" t="s">
        <v>983</v>
      </c>
      <c r="N153" s="165" t="s">
        <v>62</v>
      </c>
      <c r="O153" s="165" t="s">
        <v>1208</v>
      </c>
      <c r="P153" s="168">
        <v>47515</v>
      </c>
      <c r="Q153" s="168">
        <v>1</v>
      </c>
      <c r="R153" s="168">
        <v>394.46</v>
      </c>
      <c r="S153" s="168">
        <v>0</v>
      </c>
      <c r="T153" s="168">
        <v>187.42767000000001</v>
      </c>
      <c r="U153" s="169">
        <v>0</v>
      </c>
      <c r="V153" s="169">
        <v>0.14427560652099999</v>
      </c>
      <c r="W153" s="169">
        <v>6.5071264995999994E-2</v>
      </c>
    </row>
    <row r="154" spans="1:23" ht="15.75" thickBot="1">
      <c r="A154" s="176">
        <v>11939</v>
      </c>
      <c r="B154" s="176">
        <v>11981</v>
      </c>
      <c r="C154" s="165" t="s">
        <v>1306</v>
      </c>
      <c r="D154" s="165" t="s">
        <v>1611</v>
      </c>
      <c r="E154" s="165" t="s">
        <v>429</v>
      </c>
      <c r="F154" s="165" t="s">
        <v>1359</v>
      </c>
      <c r="G154" s="165" t="s">
        <v>1680</v>
      </c>
      <c r="H154" s="165" t="s">
        <v>76</v>
      </c>
      <c r="I154" s="165" t="s">
        <v>236</v>
      </c>
      <c r="J154" s="165" t="s">
        <v>53</v>
      </c>
      <c r="K154" s="165" t="s">
        <v>53</v>
      </c>
      <c r="L154" s="165" t="s">
        <v>311</v>
      </c>
      <c r="M154" s="165" t="s">
        <v>997</v>
      </c>
      <c r="N154" s="165" t="s">
        <v>62</v>
      </c>
      <c r="O154" s="165" t="s">
        <v>1208</v>
      </c>
      <c r="P154" s="168">
        <v>2840</v>
      </c>
      <c r="Q154" s="168">
        <v>1</v>
      </c>
      <c r="R154" s="168">
        <v>3828.05</v>
      </c>
      <c r="S154" s="168">
        <v>0</v>
      </c>
      <c r="T154" s="168">
        <v>108.71662000000001</v>
      </c>
      <c r="U154" s="169">
        <v>0</v>
      </c>
      <c r="V154" s="169">
        <v>8.3686449760999995E-2</v>
      </c>
      <c r="W154" s="169">
        <v>3.7744309522000002E-2</v>
      </c>
    </row>
    <row r="155" spans="1:23" ht="15.75" thickBot="1">
      <c r="A155" s="176">
        <v>11939</v>
      </c>
      <c r="B155" s="176">
        <v>11981</v>
      </c>
      <c r="C155" s="165" t="s">
        <v>1436</v>
      </c>
      <c r="D155" s="165" t="s">
        <v>1644</v>
      </c>
      <c r="E155" s="165" t="s">
        <v>430</v>
      </c>
      <c r="F155" s="165" t="s">
        <v>1330</v>
      </c>
      <c r="G155" s="165" t="s">
        <v>1331</v>
      </c>
      <c r="H155" s="165" t="s">
        <v>76</v>
      </c>
      <c r="I155" s="165" t="s">
        <v>237</v>
      </c>
      <c r="J155" s="165" t="s">
        <v>61</v>
      </c>
      <c r="K155" s="165" t="s">
        <v>314</v>
      </c>
      <c r="L155" s="165" t="s">
        <v>476</v>
      </c>
      <c r="M155" s="165" t="s">
        <v>776</v>
      </c>
      <c r="N155" s="165" t="s">
        <v>62</v>
      </c>
      <c r="O155" s="165" t="s">
        <v>1210</v>
      </c>
      <c r="P155" s="168">
        <v>511</v>
      </c>
      <c r="Q155" s="168">
        <v>3.71</v>
      </c>
      <c r="R155" s="168">
        <v>4342</v>
      </c>
      <c r="S155" s="168">
        <v>0</v>
      </c>
      <c r="T155" s="168">
        <v>82.316069999999996</v>
      </c>
      <c r="U155" s="169">
        <v>0</v>
      </c>
      <c r="V155" s="169">
        <v>6.3364181637E-2</v>
      </c>
      <c r="W155" s="169">
        <v>2.8578548751000001E-2</v>
      </c>
    </row>
    <row r="156" spans="1:23" ht="15.75" thickBot="1">
      <c r="A156" s="176">
        <v>11939</v>
      </c>
      <c r="B156" s="176">
        <v>11981</v>
      </c>
      <c r="C156" s="165" t="s">
        <v>1624</v>
      </c>
      <c r="D156" s="165" t="s">
        <v>1625</v>
      </c>
      <c r="E156" s="165" t="s">
        <v>430</v>
      </c>
      <c r="F156" s="165" t="s">
        <v>1317</v>
      </c>
      <c r="G156" s="165" t="s">
        <v>1318</v>
      </c>
      <c r="H156" s="165" t="s">
        <v>76</v>
      </c>
      <c r="I156" s="165" t="s">
        <v>235</v>
      </c>
      <c r="J156" s="165" t="s">
        <v>61</v>
      </c>
      <c r="K156" s="165" t="s">
        <v>314</v>
      </c>
      <c r="L156" s="165" t="s">
        <v>494</v>
      </c>
      <c r="M156" s="165" t="s">
        <v>775</v>
      </c>
      <c r="N156" s="165" t="s">
        <v>62</v>
      </c>
      <c r="O156" s="165" t="s">
        <v>1210</v>
      </c>
      <c r="P156" s="168">
        <v>28</v>
      </c>
      <c r="Q156" s="168">
        <v>3.71</v>
      </c>
      <c r="R156" s="168">
        <v>112716</v>
      </c>
      <c r="S156" s="168">
        <v>0</v>
      </c>
      <c r="T156" s="168">
        <v>117.08938000000001</v>
      </c>
      <c r="U156" s="169">
        <v>0</v>
      </c>
      <c r="V156" s="169">
        <v>9.0131522825000004E-2</v>
      </c>
      <c r="W156" s="169">
        <v>4.0651169990999998E-2</v>
      </c>
    </row>
    <row r="157" spans="1:23" ht="15.75" thickBot="1">
      <c r="A157" s="176">
        <v>11939</v>
      </c>
      <c r="B157" s="176">
        <v>11981</v>
      </c>
      <c r="C157" s="165" t="s">
        <v>1439</v>
      </c>
      <c r="D157" s="165" t="s">
        <v>1688</v>
      </c>
      <c r="E157" s="165" t="s">
        <v>430</v>
      </c>
      <c r="F157" s="165" t="s">
        <v>1367</v>
      </c>
      <c r="G157" s="165" t="s">
        <v>1368</v>
      </c>
      <c r="H157" s="165" t="s">
        <v>76</v>
      </c>
      <c r="I157" s="165" t="s">
        <v>235</v>
      </c>
      <c r="J157" s="165" t="s">
        <v>61</v>
      </c>
      <c r="K157" s="165" t="s">
        <v>313</v>
      </c>
      <c r="L157" s="165" t="s">
        <v>494</v>
      </c>
      <c r="M157" s="165" t="s">
        <v>775</v>
      </c>
      <c r="N157" s="165" t="s">
        <v>62</v>
      </c>
      <c r="O157" s="165" t="s">
        <v>1210</v>
      </c>
      <c r="P157" s="168">
        <v>38</v>
      </c>
      <c r="Q157" s="168">
        <v>3.71</v>
      </c>
      <c r="R157" s="168">
        <v>27150</v>
      </c>
      <c r="S157" s="168">
        <v>0</v>
      </c>
      <c r="T157" s="168">
        <v>38.276069999999997</v>
      </c>
      <c r="U157" s="169">
        <v>0</v>
      </c>
      <c r="V157" s="169">
        <v>2.9463649708E-2</v>
      </c>
      <c r="W157" s="169">
        <v>1.3288711821000001E-2</v>
      </c>
    </row>
    <row r="158" spans="1:23" ht="15.75" thickBot="1">
      <c r="A158" s="176">
        <v>11342</v>
      </c>
      <c r="B158" s="176">
        <v>11343</v>
      </c>
      <c r="C158" s="165" t="s">
        <v>1304</v>
      </c>
      <c r="D158" s="165" t="s">
        <v>1609</v>
      </c>
      <c r="E158" s="165" t="s">
        <v>429</v>
      </c>
      <c r="F158" s="165" t="s">
        <v>1445</v>
      </c>
      <c r="G158" s="165" t="s">
        <v>1632</v>
      </c>
      <c r="H158" s="165" t="s">
        <v>76</v>
      </c>
      <c r="I158" s="165" t="s">
        <v>234</v>
      </c>
      <c r="J158" s="165" t="s">
        <v>53</v>
      </c>
      <c r="K158" s="165" t="s">
        <v>53</v>
      </c>
      <c r="L158" s="165" t="s">
        <v>311</v>
      </c>
      <c r="M158" s="165" t="s">
        <v>1080</v>
      </c>
      <c r="N158" s="165" t="s">
        <v>62</v>
      </c>
      <c r="O158" s="165" t="s">
        <v>1208</v>
      </c>
      <c r="P158" s="168">
        <v>204571</v>
      </c>
      <c r="Q158" s="168">
        <v>1</v>
      </c>
      <c r="R158" s="168">
        <v>2081</v>
      </c>
      <c r="S158" s="168">
        <v>0</v>
      </c>
      <c r="T158" s="168">
        <v>4257.1225100000001</v>
      </c>
      <c r="U158" s="169">
        <v>0</v>
      </c>
      <c r="V158" s="169">
        <v>2.5135829698E-2</v>
      </c>
      <c r="W158" s="169">
        <v>9.2289191610000001E-3</v>
      </c>
    </row>
    <row r="159" spans="1:23" ht="15.75" thickBot="1">
      <c r="A159" s="176">
        <v>11342</v>
      </c>
      <c r="B159" s="176">
        <v>11343</v>
      </c>
      <c r="C159" s="165" t="s">
        <v>1304</v>
      </c>
      <c r="D159" s="165" t="s">
        <v>1609</v>
      </c>
      <c r="E159" s="165" t="s">
        <v>429</v>
      </c>
      <c r="F159" s="165" t="s">
        <v>1438</v>
      </c>
      <c r="G159" s="165" t="s">
        <v>1682</v>
      </c>
      <c r="H159" s="165" t="s">
        <v>76</v>
      </c>
      <c r="I159" s="165" t="s">
        <v>235</v>
      </c>
      <c r="J159" s="165" t="s">
        <v>53</v>
      </c>
      <c r="K159" s="165" t="s">
        <v>314</v>
      </c>
      <c r="L159" s="165" t="s">
        <v>311</v>
      </c>
      <c r="M159" s="165" t="s">
        <v>1129</v>
      </c>
      <c r="N159" s="165" t="s">
        <v>62</v>
      </c>
      <c r="O159" s="165" t="s">
        <v>1208</v>
      </c>
      <c r="P159" s="168">
        <v>64867</v>
      </c>
      <c r="Q159" s="168">
        <v>1</v>
      </c>
      <c r="R159" s="168">
        <v>5069</v>
      </c>
      <c r="S159" s="168">
        <v>0</v>
      </c>
      <c r="T159" s="168">
        <v>3288.1082299999998</v>
      </c>
      <c r="U159" s="169">
        <v>1E-3</v>
      </c>
      <c r="V159" s="169">
        <v>1.9414364585999998E-2</v>
      </c>
      <c r="W159" s="169">
        <v>7.1282151210000002E-3</v>
      </c>
    </row>
    <row r="160" spans="1:23" ht="15.75" thickBot="1">
      <c r="A160" s="176">
        <v>11342</v>
      </c>
      <c r="B160" s="176">
        <v>11343</v>
      </c>
      <c r="C160" s="165" t="s">
        <v>1304</v>
      </c>
      <c r="D160" s="165" t="s">
        <v>1609</v>
      </c>
      <c r="E160" s="165" t="s">
        <v>429</v>
      </c>
      <c r="F160" s="165" t="s">
        <v>1312</v>
      </c>
      <c r="G160" s="165" t="s">
        <v>1617</v>
      </c>
      <c r="H160" s="165" t="s">
        <v>76</v>
      </c>
      <c r="I160" s="165" t="s">
        <v>236</v>
      </c>
      <c r="J160" s="165" t="s">
        <v>53</v>
      </c>
      <c r="K160" s="165" t="s">
        <v>53</v>
      </c>
      <c r="L160" s="165" t="s">
        <v>311</v>
      </c>
      <c r="M160" s="165" t="s">
        <v>997</v>
      </c>
      <c r="N160" s="165" t="s">
        <v>62</v>
      </c>
      <c r="O160" s="165" t="s">
        <v>1208</v>
      </c>
      <c r="P160" s="168">
        <v>5570720</v>
      </c>
      <c r="Q160" s="168">
        <v>1</v>
      </c>
      <c r="R160" s="168">
        <v>365.33</v>
      </c>
      <c r="S160" s="168">
        <v>0</v>
      </c>
      <c r="T160" s="168">
        <v>20351.51138</v>
      </c>
      <c r="U160" s="169">
        <v>4.0000000000000001E-3</v>
      </c>
      <c r="V160" s="169">
        <v>0.120163824966</v>
      </c>
      <c r="W160" s="169">
        <v>4.4119579106999998E-2</v>
      </c>
    </row>
    <row r="161" spans="1:23" ht="15.75" thickBot="1">
      <c r="A161" s="176">
        <v>11342</v>
      </c>
      <c r="B161" s="176">
        <v>11343</v>
      </c>
      <c r="C161" s="165" t="s">
        <v>1304</v>
      </c>
      <c r="D161" s="165" t="s">
        <v>1609</v>
      </c>
      <c r="E161" s="165" t="s">
        <v>429</v>
      </c>
      <c r="F161" s="165" t="s">
        <v>1334</v>
      </c>
      <c r="G161" s="165" t="s">
        <v>1633</v>
      </c>
      <c r="H161" s="165" t="s">
        <v>76</v>
      </c>
      <c r="I161" s="165" t="s">
        <v>236</v>
      </c>
      <c r="J161" s="165" t="s">
        <v>53</v>
      </c>
      <c r="K161" s="165" t="s">
        <v>53</v>
      </c>
      <c r="L161" s="165" t="s">
        <v>311</v>
      </c>
      <c r="M161" s="165" t="s">
        <v>1002</v>
      </c>
      <c r="N161" s="165" t="s">
        <v>62</v>
      </c>
      <c r="O161" s="165" t="s">
        <v>1208</v>
      </c>
      <c r="P161" s="168">
        <v>1352500</v>
      </c>
      <c r="Q161" s="168">
        <v>1</v>
      </c>
      <c r="R161" s="168">
        <v>390.51</v>
      </c>
      <c r="S161" s="168">
        <v>0</v>
      </c>
      <c r="T161" s="168">
        <v>5281.6477500000001</v>
      </c>
      <c r="U161" s="169">
        <v>2E-3</v>
      </c>
      <c r="V161" s="169">
        <v>3.1185054707E-2</v>
      </c>
      <c r="W161" s="169">
        <v>1.1449964151000001E-2</v>
      </c>
    </row>
    <row r="162" spans="1:23" ht="15.75" thickBot="1">
      <c r="A162" s="176">
        <v>11342</v>
      </c>
      <c r="B162" s="176">
        <v>11343</v>
      </c>
      <c r="C162" s="165" t="s">
        <v>1306</v>
      </c>
      <c r="D162" s="165" t="s">
        <v>1611</v>
      </c>
      <c r="E162" s="165" t="s">
        <v>429</v>
      </c>
      <c r="F162" s="165" t="s">
        <v>1324</v>
      </c>
      <c r="G162" s="165" t="s">
        <v>1634</v>
      </c>
      <c r="H162" s="165" t="s">
        <v>76</v>
      </c>
      <c r="I162" s="165" t="s">
        <v>236</v>
      </c>
      <c r="J162" s="165" t="s">
        <v>53</v>
      </c>
      <c r="K162" s="165" t="s">
        <v>53</v>
      </c>
      <c r="L162" s="165" t="s">
        <v>311</v>
      </c>
      <c r="M162" s="165" t="s">
        <v>1002</v>
      </c>
      <c r="N162" s="165" t="s">
        <v>62</v>
      </c>
      <c r="O162" s="165" t="s">
        <v>1208</v>
      </c>
      <c r="P162" s="168">
        <v>746094</v>
      </c>
      <c r="Q162" s="168">
        <v>1</v>
      </c>
      <c r="R162" s="168">
        <v>3880.51</v>
      </c>
      <c r="S162" s="168">
        <v>0</v>
      </c>
      <c r="T162" s="168">
        <v>28952.252280000001</v>
      </c>
      <c r="U162" s="169">
        <v>1.4E-2</v>
      </c>
      <c r="V162" s="169">
        <v>0.17094619217199999</v>
      </c>
      <c r="W162" s="169">
        <v>6.2764929883999995E-2</v>
      </c>
    </row>
    <row r="163" spans="1:23" ht="15.75" thickBot="1">
      <c r="A163" s="176">
        <v>11342</v>
      </c>
      <c r="B163" s="176">
        <v>11343</v>
      </c>
      <c r="C163" s="165" t="s">
        <v>1310</v>
      </c>
      <c r="D163" s="165" t="s">
        <v>1615</v>
      </c>
      <c r="E163" s="165" t="s">
        <v>429</v>
      </c>
      <c r="F163" s="165" t="s">
        <v>1369</v>
      </c>
      <c r="G163" s="165" t="s">
        <v>1689</v>
      </c>
      <c r="H163" s="165" t="s">
        <v>76</v>
      </c>
      <c r="I163" s="165" t="s">
        <v>235</v>
      </c>
      <c r="J163" s="165" t="s">
        <v>53</v>
      </c>
      <c r="K163" s="165" t="s">
        <v>313</v>
      </c>
      <c r="L163" s="165" t="s">
        <v>311</v>
      </c>
      <c r="M163" s="165" t="s">
        <v>1123</v>
      </c>
      <c r="N163" s="165" t="s">
        <v>62</v>
      </c>
      <c r="O163" s="165" t="s">
        <v>1208</v>
      </c>
      <c r="P163" s="168">
        <v>26268</v>
      </c>
      <c r="Q163" s="168">
        <v>1</v>
      </c>
      <c r="R163" s="168">
        <v>5257</v>
      </c>
      <c r="S163" s="168">
        <v>0</v>
      </c>
      <c r="T163" s="168">
        <v>1380.90876</v>
      </c>
      <c r="U163" s="169">
        <v>4.0000000000000001E-3</v>
      </c>
      <c r="V163" s="169">
        <v>8.1534621889999999E-3</v>
      </c>
      <c r="W163" s="169">
        <v>2.9936407239999998E-3</v>
      </c>
    </row>
    <row r="164" spans="1:23" ht="15.75" thickBot="1">
      <c r="A164" s="176">
        <v>11342</v>
      </c>
      <c r="B164" s="176">
        <v>11343</v>
      </c>
      <c r="C164" s="165" t="s">
        <v>1310</v>
      </c>
      <c r="D164" s="165" t="s">
        <v>1615</v>
      </c>
      <c r="E164" s="165" t="s">
        <v>429</v>
      </c>
      <c r="F164" s="165" t="s">
        <v>1440</v>
      </c>
      <c r="G164" s="165" t="s">
        <v>1638</v>
      </c>
      <c r="H164" s="165" t="s">
        <v>76</v>
      </c>
      <c r="I164" s="165" t="s">
        <v>234</v>
      </c>
      <c r="J164" s="165" t="s">
        <v>53</v>
      </c>
      <c r="K164" s="165" t="s">
        <v>53</v>
      </c>
      <c r="L164" s="165" t="s">
        <v>311</v>
      </c>
      <c r="M164" s="165" t="s">
        <v>1080</v>
      </c>
      <c r="N164" s="165" t="s">
        <v>62</v>
      </c>
      <c r="O164" s="165" t="s">
        <v>1208</v>
      </c>
      <c r="P164" s="168">
        <v>640862</v>
      </c>
      <c r="Q164" s="168">
        <v>1</v>
      </c>
      <c r="R164" s="168">
        <v>3265</v>
      </c>
      <c r="S164" s="168">
        <v>0</v>
      </c>
      <c r="T164" s="168">
        <v>20924.1443</v>
      </c>
      <c r="U164" s="169">
        <v>8.9999999999999993E-3</v>
      </c>
      <c r="V164" s="169">
        <v>0.123544888942</v>
      </c>
      <c r="W164" s="169">
        <v>4.5360977003E-2</v>
      </c>
    </row>
    <row r="165" spans="1:23" ht="15.75" thickBot="1">
      <c r="A165" s="176">
        <v>11342</v>
      </c>
      <c r="B165" s="176">
        <v>11343</v>
      </c>
      <c r="C165" s="165" t="s">
        <v>1308</v>
      </c>
      <c r="D165" s="165" t="s">
        <v>1613</v>
      </c>
      <c r="E165" s="165" t="s">
        <v>429</v>
      </c>
      <c r="F165" s="165" t="s">
        <v>1370</v>
      </c>
      <c r="G165" s="165" t="s">
        <v>1690</v>
      </c>
      <c r="H165" s="165" t="s">
        <v>76</v>
      </c>
      <c r="I165" s="165" t="s">
        <v>236</v>
      </c>
      <c r="J165" s="165" t="s">
        <v>53</v>
      </c>
      <c r="K165" s="165" t="s">
        <v>53</v>
      </c>
      <c r="L165" s="165" t="s">
        <v>311</v>
      </c>
      <c r="M165" s="165" t="s">
        <v>1002</v>
      </c>
      <c r="N165" s="165" t="s">
        <v>62</v>
      </c>
      <c r="O165" s="165" t="s">
        <v>1208</v>
      </c>
      <c r="P165" s="168">
        <v>3038696</v>
      </c>
      <c r="Q165" s="168">
        <v>1</v>
      </c>
      <c r="R165" s="168">
        <v>389.18</v>
      </c>
      <c r="S165" s="168">
        <v>0</v>
      </c>
      <c r="T165" s="168">
        <v>11825.997090000001</v>
      </c>
      <c r="U165" s="169">
        <v>1.0999999999999999E-2</v>
      </c>
      <c r="V165" s="169">
        <v>6.9825627092000006E-2</v>
      </c>
      <c r="W165" s="169">
        <v>2.5637310388999999E-2</v>
      </c>
    </row>
    <row r="166" spans="1:23" ht="15.75" thickBot="1">
      <c r="A166" s="176">
        <v>11342</v>
      </c>
      <c r="B166" s="176">
        <v>11343</v>
      </c>
      <c r="C166" s="165" t="s">
        <v>1310</v>
      </c>
      <c r="D166" s="165" t="s">
        <v>1615</v>
      </c>
      <c r="E166" s="165" t="s">
        <v>429</v>
      </c>
      <c r="F166" s="165" t="s">
        <v>1326</v>
      </c>
      <c r="G166" s="165" t="s">
        <v>1639</v>
      </c>
      <c r="H166" s="165" t="s">
        <v>76</v>
      </c>
      <c r="I166" s="165" t="s">
        <v>235</v>
      </c>
      <c r="J166" s="165" t="s">
        <v>53</v>
      </c>
      <c r="K166" s="165" t="s">
        <v>314</v>
      </c>
      <c r="L166" s="165" t="s">
        <v>311</v>
      </c>
      <c r="M166" s="165" t="s">
        <v>1129</v>
      </c>
      <c r="N166" s="165" t="s">
        <v>62</v>
      </c>
      <c r="O166" s="165" t="s">
        <v>1208</v>
      </c>
      <c r="P166" s="168">
        <v>217545</v>
      </c>
      <c r="Q166" s="168">
        <v>1</v>
      </c>
      <c r="R166" s="168">
        <v>7341</v>
      </c>
      <c r="S166" s="168">
        <v>0</v>
      </c>
      <c r="T166" s="168">
        <v>15969.978450000001</v>
      </c>
      <c r="U166" s="169">
        <v>7.0000000000000001E-3</v>
      </c>
      <c r="V166" s="169">
        <v>9.4293424176000007E-2</v>
      </c>
      <c r="W166" s="169">
        <v>3.4620953422E-2</v>
      </c>
    </row>
    <row r="167" spans="1:23" ht="15.75" thickBot="1">
      <c r="A167" s="176">
        <v>11342</v>
      </c>
      <c r="B167" s="176">
        <v>11343</v>
      </c>
      <c r="C167" s="165" t="s">
        <v>1308</v>
      </c>
      <c r="D167" s="165" t="s">
        <v>1613</v>
      </c>
      <c r="E167" s="165" t="s">
        <v>429</v>
      </c>
      <c r="F167" s="165" t="s">
        <v>1371</v>
      </c>
      <c r="G167" s="165" t="s">
        <v>1691</v>
      </c>
      <c r="H167" s="165" t="s">
        <v>76</v>
      </c>
      <c r="I167" s="165" t="s">
        <v>236</v>
      </c>
      <c r="J167" s="165" t="s">
        <v>53</v>
      </c>
      <c r="K167" s="165" t="s">
        <v>53</v>
      </c>
      <c r="L167" s="165" t="s">
        <v>311</v>
      </c>
      <c r="M167" s="165" t="s">
        <v>997</v>
      </c>
      <c r="N167" s="165" t="s">
        <v>62</v>
      </c>
      <c r="O167" s="165" t="s">
        <v>1208</v>
      </c>
      <c r="P167" s="168">
        <v>1651775</v>
      </c>
      <c r="Q167" s="168">
        <v>1</v>
      </c>
      <c r="R167" s="168">
        <v>380.63</v>
      </c>
      <c r="S167" s="168">
        <v>0</v>
      </c>
      <c r="T167" s="168">
        <v>6287.1511799999998</v>
      </c>
      <c r="U167" s="169">
        <v>0.01</v>
      </c>
      <c r="V167" s="169">
        <v>3.7121967004E-2</v>
      </c>
      <c r="W167" s="169">
        <v>1.362977219E-2</v>
      </c>
    </row>
    <row r="168" spans="1:23" ht="15.75" thickBot="1">
      <c r="A168" s="176">
        <v>11342</v>
      </c>
      <c r="B168" s="176">
        <v>11343</v>
      </c>
      <c r="C168" s="165" t="s">
        <v>1441</v>
      </c>
      <c r="D168" s="165" t="s">
        <v>1643</v>
      </c>
      <c r="E168" s="165" t="s">
        <v>430</v>
      </c>
      <c r="F168" s="165" t="s">
        <v>1328</v>
      </c>
      <c r="G168" s="165" t="s">
        <v>1329</v>
      </c>
      <c r="H168" s="165" t="s">
        <v>76</v>
      </c>
      <c r="I168" s="165" t="s">
        <v>235</v>
      </c>
      <c r="J168" s="165" t="s">
        <v>61</v>
      </c>
      <c r="K168" s="165" t="s">
        <v>314</v>
      </c>
      <c r="L168" s="165" t="s">
        <v>479</v>
      </c>
      <c r="M168" s="165" t="s">
        <v>775</v>
      </c>
      <c r="N168" s="165" t="s">
        <v>62</v>
      </c>
      <c r="O168" s="165" t="s">
        <v>1210</v>
      </c>
      <c r="P168" s="168">
        <v>5026</v>
      </c>
      <c r="Q168" s="168">
        <v>3.71</v>
      </c>
      <c r="R168" s="168">
        <v>48807</v>
      </c>
      <c r="S168" s="168">
        <v>2.551420485175</v>
      </c>
      <c r="T168" s="168">
        <v>9110.2435000000005</v>
      </c>
      <c r="U168" s="169">
        <v>0</v>
      </c>
      <c r="V168" s="169">
        <v>5.3790683398999999E-2</v>
      </c>
      <c r="W168" s="169">
        <v>1.9749889885999999E-2</v>
      </c>
    </row>
    <row r="169" spans="1:23" ht="15.75" thickBot="1">
      <c r="A169" s="176">
        <v>11342</v>
      </c>
      <c r="B169" s="176">
        <v>11343</v>
      </c>
      <c r="C169" s="165" t="s">
        <v>1436</v>
      </c>
      <c r="D169" s="165" t="s">
        <v>1644</v>
      </c>
      <c r="E169" s="165" t="s">
        <v>430</v>
      </c>
      <c r="F169" s="165" t="s">
        <v>1330</v>
      </c>
      <c r="G169" s="165" t="s">
        <v>1331</v>
      </c>
      <c r="H169" s="165" t="s">
        <v>76</v>
      </c>
      <c r="I169" s="165" t="s">
        <v>237</v>
      </c>
      <c r="J169" s="165" t="s">
        <v>61</v>
      </c>
      <c r="K169" s="165" t="s">
        <v>314</v>
      </c>
      <c r="L169" s="165" t="s">
        <v>476</v>
      </c>
      <c r="M169" s="165" t="s">
        <v>776</v>
      </c>
      <c r="N169" s="165" t="s">
        <v>62</v>
      </c>
      <c r="O169" s="165" t="s">
        <v>1210</v>
      </c>
      <c r="P169" s="168">
        <v>113230</v>
      </c>
      <c r="Q169" s="168">
        <v>3.71</v>
      </c>
      <c r="R169" s="168">
        <v>4342</v>
      </c>
      <c r="S169" s="168">
        <v>0</v>
      </c>
      <c r="T169" s="168">
        <v>18240.016889999999</v>
      </c>
      <c r="U169" s="169">
        <v>1E-3</v>
      </c>
      <c r="V169" s="169">
        <v>0.10769667942699999</v>
      </c>
      <c r="W169" s="169">
        <v>3.9542118177999998E-2</v>
      </c>
    </row>
    <row r="170" spans="1:23" ht="15.75" thickBot="1">
      <c r="A170" s="176">
        <v>11342</v>
      </c>
      <c r="B170" s="176">
        <v>11343</v>
      </c>
      <c r="C170" s="165" t="s">
        <v>1442</v>
      </c>
      <c r="D170" s="165" t="s">
        <v>1692</v>
      </c>
      <c r="E170" s="165" t="s">
        <v>430</v>
      </c>
      <c r="F170" s="165" t="s">
        <v>1372</v>
      </c>
      <c r="G170" s="165" t="s">
        <v>1373</v>
      </c>
      <c r="H170" s="165" t="s">
        <v>76</v>
      </c>
      <c r="I170" s="165" t="s">
        <v>235</v>
      </c>
      <c r="J170" s="165" t="s">
        <v>61</v>
      </c>
      <c r="K170" s="165" t="s">
        <v>314</v>
      </c>
      <c r="L170" s="165" t="s">
        <v>479</v>
      </c>
      <c r="M170" s="165" t="s">
        <v>775</v>
      </c>
      <c r="N170" s="165" t="s">
        <v>62</v>
      </c>
      <c r="O170" s="165" t="s">
        <v>1210</v>
      </c>
      <c r="P170" s="168">
        <v>15201</v>
      </c>
      <c r="Q170" s="168">
        <v>3.71</v>
      </c>
      <c r="R170" s="168">
        <v>12618</v>
      </c>
      <c r="S170" s="168">
        <v>6.6683692722370003</v>
      </c>
      <c r="T170" s="168">
        <v>7140.7503399999996</v>
      </c>
      <c r="U170" s="169">
        <v>0</v>
      </c>
      <c r="V170" s="169">
        <v>4.2161973032999997E-2</v>
      </c>
      <c r="W170" s="169">
        <v>1.5480270414E-2</v>
      </c>
    </row>
    <row r="171" spans="1:23" ht="15.75" thickBot="1">
      <c r="A171" s="176">
        <v>11342</v>
      </c>
      <c r="B171" s="176">
        <v>11343</v>
      </c>
      <c r="C171" s="165" t="s">
        <v>1624</v>
      </c>
      <c r="D171" s="165" t="s">
        <v>1625</v>
      </c>
      <c r="E171" s="165" t="s">
        <v>430</v>
      </c>
      <c r="F171" s="165" t="s">
        <v>1317</v>
      </c>
      <c r="G171" s="165" t="s">
        <v>1318</v>
      </c>
      <c r="H171" s="165" t="s">
        <v>76</v>
      </c>
      <c r="I171" s="165" t="s">
        <v>235</v>
      </c>
      <c r="J171" s="165" t="s">
        <v>61</v>
      </c>
      <c r="K171" s="165" t="s">
        <v>314</v>
      </c>
      <c r="L171" s="165" t="s">
        <v>494</v>
      </c>
      <c r="M171" s="165" t="s">
        <v>775</v>
      </c>
      <c r="N171" s="165" t="s">
        <v>62</v>
      </c>
      <c r="O171" s="165" t="s">
        <v>1210</v>
      </c>
      <c r="P171" s="168">
        <v>3911</v>
      </c>
      <c r="Q171" s="168">
        <v>3.71</v>
      </c>
      <c r="R171" s="168">
        <v>112716</v>
      </c>
      <c r="S171" s="168">
        <v>0</v>
      </c>
      <c r="T171" s="168">
        <v>16354.87744</v>
      </c>
      <c r="U171" s="169">
        <v>0</v>
      </c>
      <c r="V171" s="169">
        <v>9.6566028602999995E-2</v>
      </c>
      <c r="W171" s="169">
        <v>3.5455367197000001E-2</v>
      </c>
    </row>
    <row r="172" spans="1:23" ht="15.75" thickBot="1">
      <c r="A172" s="176">
        <v>11342</v>
      </c>
      <c r="B172" s="176">
        <v>11344</v>
      </c>
      <c r="C172" s="165" t="s">
        <v>1304</v>
      </c>
      <c r="D172" s="165" t="s">
        <v>1609</v>
      </c>
      <c r="E172" s="165" t="s">
        <v>429</v>
      </c>
      <c r="F172" s="165" t="s">
        <v>1312</v>
      </c>
      <c r="G172" s="165" t="s">
        <v>1617</v>
      </c>
      <c r="H172" s="165" t="s">
        <v>76</v>
      </c>
      <c r="I172" s="165" t="s">
        <v>236</v>
      </c>
      <c r="J172" s="165" t="s">
        <v>53</v>
      </c>
      <c r="K172" s="165" t="s">
        <v>53</v>
      </c>
      <c r="L172" s="165" t="s">
        <v>311</v>
      </c>
      <c r="M172" s="165" t="s">
        <v>997</v>
      </c>
      <c r="N172" s="165" t="s">
        <v>62</v>
      </c>
      <c r="O172" s="165" t="s">
        <v>1208</v>
      </c>
      <c r="P172" s="168">
        <v>64491</v>
      </c>
      <c r="Q172" s="168">
        <v>1</v>
      </c>
      <c r="R172" s="168">
        <v>365.33</v>
      </c>
      <c r="S172" s="168">
        <v>0</v>
      </c>
      <c r="T172" s="168">
        <v>235.60497000000001</v>
      </c>
      <c r="U172" s="169">
        <v>0</v>
      </c>
      <c r="V172" s="169">
        <v>0.107334012044</v>
      </c>
      <c r="W172" s="169">
        <v>7.4722211449000001E-2</v>
      </c>
    </row>
    <row r="173" spans="1:23" ht="15.75" thickBot="1">
      <c r="A173" s="176">
        <v>11342</v>
      </c>
      <c r="B173" s="176">
        <v>11344</v>
      </c>
      <c r="C173" s="165" t="s">
        <v>1306</v>
      </c>
      <c r="D173" s="165" t="s">
        <v>1611</v>
      </c>
      <c r="E173" s="165" t="s">
        <v>429</v>
      </c>
      <c r="F173" s="165" t="s">
        <v>1313</v>
      </c>
      <c r="G173" s="165" t="s">
        <v>1618</v>
      </c>
      <c r="H173" s="165" t="s">
        <v>76</v>
      </c>
      <c r="I173" s="165" t="s">
        <v>236</v>
      </c>
      <c r="J173" s="165" t="s">
        <v>53</v>
      </c>
      <c r="K173" s="165" t="s">
        <v>53</v>
      </c>
      <c r="L173" s="165" t="s">
        <v>311</v>
      </c>
      <c r="M173" s="165" t="s">
        <v>997</v>
      </c>
      <c r="N173" s="165" t="s">
        <v>62</v>
      </c>
      <c r="O173" s="165" t="s">
        <v>1208</v>
      </c>
      <c r="P173" s="168">
        <v>2657</v>
      </c>
      <c r="Q173" s="168">
        <v>1</v>
      </c>
      <c r="R173" s="168">
        <v>3637.39</v>
      </c>
      <c r="S173" s="168">
        <v>0</v>
      </c>
      <c r="T173" s="168">
        <v>96.645449999999997</v>
      </c>
      <c r="U173" s="169">
        <v>0</v>
      </c>
      <c r="V173" s="169">
        <v>4.4028544449999998E-2</v>
      </c>
      <c r="W173" s="169">
        <v>3.0651143523999998E-2</v>
      </c>
    </row>
    <row r="174" spans="1:23" ht="15.75" thickBot="1">
      <c r="A174" s="176">
        <v>11342</v>
      </c>
      <c r="B174" s="176">
        <v>11344</v>
      </c>
      <c r="C174" s="165" t="s">
        <v>1306</v>
      </c>
      <c r="D174" s="165" t="s">
        <v>1611</v>
      </c>
      <c r="E174" s="165" t="s">
        <v>429</v>
      </c>
      <c r="F174" s="165" t="s">
        <v>1325</v>
      </c>
      <c r="G174" s="165" t="s">
        <v>1636</v>
      </c>
      <c r="H174" s="165" t="s">
        <v>76</v>
      </c>
      <c r="I174" s="165" t="s">
        <v>235</v>
      </c>
      <c r="J174" s="165" t="s">
        <v>53</v>
      </c>
      <c r="K174" s="165" t="s">
        <v>314</v>
      </c>
      <c r="L174" s="165" t="s">
        <v>311</v>
      </c>
      <c r="M174" s="165" t="s">
        <v>1129</v>
      </c>
      <c r="N174" s="165" t="s">
        <v>62</v>
      </c>
      <c r="O174" s="165" t="s">
        <v>1208</v>
      </c>
      <c r="P174" s="168">
        <v>4439</v>
      </c>
      <c r="Q174" s="168">
        <v>1</v>
      </c>
      <c r="R174" s="168">
        <v>5505</v>
      </c>
      <c r="S174" s="168">
        <v>0</v>
      </c>
      <c r="T174" s="168">
        <v>244.36695</v>
      </c>
      <c r="U174" s="169">
        <v>0</v>
      </c>
      <c r="V174" s="169">
        <v>0.111325687036</v>
      </c>
      <c r="W174" s="169">
        <v>7.7501076946999994E-2</v>
      </c>
    </row>
    <row r="175" spans="1:23" ht="15.75" thickBot="1">
      <c r="A175" s="176">
        <v>11342</v>
      </c>
      <c r="B175" s="176">
        <v>11344</v>
      </c>
      <c r="C175" s="165" t="s">
        <v>1619</v>
      </c>
      <c r="D175" s="165" t="s">
        <v>1620</v>
      </c>
      <c r="E175" s="165" t="s">
        <v>429</v>
      </c>
      <c r="F175" s="165" t="s">
        <v>1693</v>
      </c>
      <c r="G175" s="165" t="s">
        <v>1694</v>
      </c>
      <c r="H175" s="165" t="s">
        <v>76</v>
      </c>
      <c r="I175" s="165" t="s">
        <v>236</v>
      </c>
      <c r="J175" s="165" t="s">
        <v>53</v>
      </c>
      <c r="K175" s="165" t="s">
        <v>53</v>
      </c>
      <c r="L175" s="165" t="s">
        <v>311</v>
      </c>
      <c r="M175" s="165" t="s">
        <v>997</v>
      </c>
      <c r="N175" s="165" t="s">
        <v>62</v>
      </c>
      <c r="O175" s="165" t="s">
        <v>1208</v>
      </c>
      <c r="P175" s="168">
        <v>5458</v>
      </c>
      <c r="Q175" s="168">
        <v>1</v>
      </c>
      <c r="R175" s="168">
        <v>3794.01</v>
      </c>
      <c r="S175" s="168">
        <v>0</v>
      </c>
      <c r="T175" s="168">
        <v>207.07706999999999</v>
      </c>
      <c r="U175" s="169">
        <v>0</v>
      </c>
      <c r="V175" s="169">
        <v>9.4337622526999995E-2</v>
      </c>
      <c r="W175" s="169">
        <v>6.5674576435000007E-2</v>
      </c>
    </row>
    <row r="176" spans="1:23" ht="15.75" thickBot="1">
      <c r="A176" s="176">
        <v>11342</v>
      </c>
      <c r="B176" s="176">
        <v>11344</v>
      </c>
      <c r="C176" s="165" t="s">
        <v>1308</v>
      </c>
      <c r="D176" s="165" t="s">
        <v>1613</v>
      </c>
      <c r="E176" s="165" t="s">
        <v>429</v>
      </c>
      <c r="F176" s="165" t="s">
        <v>1433</v>
      </c>
      <c r="G176" s="165" t="s">
        <v>1675</v>
      </c>
      <c r="H176" s="165" t="s">
        <v>76</v>
      </c>
      <c r="I176" s="165" t="s">
        <v>234</v>
      </c>
      <c r="J176" s="165" t="s">
        <v>53</v>
      </c>
      <c r="K176" s="165" t="s">
        <v>53</v>
      </c>
      <c r="L176" s="165" t="s">
        <v>311</v>
      </c>
      <c r="M176" s="165" t="s">
        <v>1080</v>
      </c>
      <c r="N176" s="165" t="s">
        <v>62</v>
      </c>
      <c r="O176" s="165" t="s">
        <v>1208</v>
      </c>
      <c r="P176" s="168">
        <v>12812</v>
      </c>
      <c r="Q176" s="168">
        <v>1</v>
      </c>
      <c r="R176" s="168">
        <v>2076</v>
      </c>
      <c r="S176" s="168">
        <v>0</v>
      </c>
      <c r="T176" s="168">
        <v>265.97712000000001</v>
      </c>
      <c r="U176" s="169">
        <v>0</v>
      </c>
      <c r="V176" s="169">
        <v>0.121170582274</v>
      </c>
      <c r="W176" s="169">
        <v>8.4354751096000005E-2</v>
      </c>
    </row>
    <row r="177" spans="1:23" ht="15.75" thickBot="1">
      <c r="A177" s="176">
        <v>11342</v>
      </c>
      <c r="B177" s="176">
        <v>11344</v>
      </c>
      <c r="C177" s="165" t="s">
        <v>1310</v>
      </c>
      <c r="D177" s="165" t="s">
        <v>1615</v>
      </c>
      <c r="E177" s="165" t="s">
        <v>429</v>
      </c>
      <c r="F177" s="165" t="s">
        <v>1353</v>
      </c>
      <c r="G177" s="165" t="s">
        <v>1676</v>
      </c>
      <c r="H177" s="165" t="s">
        <v>76</v>
      </c>
      <c r="I177" s="165" t="s">
        <v>236</v>
      </c>
      <c r="J177" s="165" t="s">
        <v>53</v>
      </c>
      <c r="K177" s="165" t="s">
        <v>53</v>
      </c>
      <c r="L177" s="165" t="s">
        <v>311</v>
      </c>
      <c r="M177" s="165" t="s">
        <v>1002</v>
      </c>
      <c r="N177" s="165" t="s">
        <v>62</v>
      </c>
      <c r="O177" s="165" t="s">
        <v>1208</v>
      </c>
      <c r="P177" s="168">
        <v>47348</v>
      </c>
      <c r="Q177" s="168">
        <v>1</v>
      </c>
      <c r="R177" s="168">
        <v>452.06</v>
      </c>
      <c r="S177" s="168">
        <v>0</v>
      </c>
      <c r="T177" s="168">
        <v>214.04137</v>
      </c>
      <c r="U177" s="169">
        <v>0</v>
      </c>
      <c r="V177" s="169">
        <v>9.7510332593999993E-2</v>
      </c>
      <c r="W177" s="169">
        <v>6.7883306995000003E-2</v>
      </c>
    </row>
    <row r="178" spans="1:23" ht="15.75" thickBot="1">
      <c r="A178" s="176">
        <v>11342</v>
      </c>
      <c r="B178" s="176">
        <v>11344</v>
      </c>
      <c r="C178" s="165" t="s">
        <v>1310</v>
      </c>
      <c r="D178" s="165" t="s">
        <v>1615</v>
      </c>
      <c r="E178" s="165" t="s">
        <v>429</v>
      </c>
      <c r="F178" s="165" t="s">
        <v>1369</v>
      </c>
      <c r="G178" s="165" t="s">
        <v>1689</v>
      </c>
      <c r="H178" s="165" t="s">
        <v>76</v>
      </c>
      <c r="I178" s="165" t="s">
        <v>235</v>
      </c>
      <c r="J178" s="165" t="s">
        <v>53</v>
      </c>
      <c r="K178" s="165" t="s">
        <v>313</v>
      </c>
      <c r="L178" s="165" t="s">
        <v>311</v>
      </c>
      <c r="M178" s="165" t="s">
        <v>1123</v>
      </c>
      <c r="N178" s="165" t="s">
        <v>62</v>
      </c>
      <c r="O178" s="165" t="s">
        <v>1208</v>
      </c>
      <c r="P178" s="168">
        <v>1308</v>
      </c>
      <c r="Q178" s="168">
        <v>1</v>
      </c>
      <c r="R178" s="168">
        <v>5257</v>
      </c>
      <c r="S178" s="168">
        <v>0</v>
      </c>
      <c r="T178" s="168">
        <v>68.761560000000003</v>
      </c>
      <c r="U178" s="169">
        <v>0</v>
      </c>
      <c r="V178" s="169">
        <v>3.1325545081000002E-2</v>
      </c>
      <c r="W178" s="169">
        <v>2.1807756542000001E-2</v>
      </c>
    </row>
    <row r="179" spans="1:23" ht="15.75" thickBot="1">
      <c r="A179" s="176">
        <v>11342</v>
      </c>
      <c r="B179" s="176">
        <v>11344</v>
      </c>
      <c r="C179" s="165" t="s">
        <v>1339</v>
      </c>
      <c r="D179" s="165">
        <v>514884485</v>
      </c>
      <c r="E179" s="165" t="s">
        <v>429</v>
      </c>
      <c r="F179" s="165" t="s">
        <v>1354</v>
      </c>
      <c r="G179" s="165" t="s">
        <v>1677</v>
      </c>
      <c r="H179" s="165" t="s">
        <v>76</v>
      </c>
      <c r="I179" s="165" t="s">
        <v>235</v>
      </c>
      <c r="J179" s="165" t="s">
        <v>53</v>
      </c>
      <c r="K179" s="165" t="s">
        <v>314</v>
      </c>
      <c r="L179" s="165" t="s">
        <v>311</v>
      </c>
      <c r="M179" s="165" t="s">
        <v>1129</v>
      </c>
      <c r="N179" s="165" t="s">
        <v>62</v>
      </c>
      <c r="O179" s="165" t="s">
        <v>1208</v>
      </c>
      <c r="P179" s="168">
        <v>186</v>
      </c>
      <c r="Q179" s="168">
        <v>1</v>
      </c>
      <c r="R179" s="168">
        <v>9469</v>
      </c>
      <c r="S179" s="168">
        <v>0</v>
      </c>
      <c r="T179" s="168">
        <v>17.61234</v>
      </c>
      <c r="U179" s="169">
        <v>0</v>
      </c>
      <c r="V179" s="169">
        <v>8.0236130570000008E-3</v>
      </c>
      <c r="W179" s="169">
        <v>5.585760748E-3</v>
      </c>
    </row>
    <row r="180" spans="1:23" ht="15.75" thickBot="1">
      <c r="A180" s="176">
        <v>11342</v>
      </c>
      <c r="B180" s="176">
        <v>11344</v>
      </c>
      <c r="C180" s="165" t="s">
        <v>1339</v>
      </c>
      <c r="D180" s="165">
        <v>514884485</v>
      </c>
      <c r="E180" s="165" t="s">
        <v>429</v>
      </c>
      <c r="F180" s="165" t="s">
        <v>1443</v>
      </c>
      <c r="G180" s="165" t="s">
        <v>1631</v>
      </c>
      <c r="H180" s="165" t="s">
        <v>76</v>
      </c>
      <c r="I180" s="165" t="s">
        <v>236</v>
      </c>
      <c r="J180" s="165" t="s">
        <v>53</v>
      </c>
      <c r="K180" s="165" t="s">
        <v>53</v>
      </c>
      <c r="L180" s="165" t="s">
        <v>311</v>
      </c>
      <c r="M180" s="165" t="s">
        <v>997</v>
      </c>
      <c r="N180" s="165" t="s">
        <v>62</v>
      </c>
      <c r="O180" s="165" t="s">
        <v>1208</v>
      </c>
      <c r="P180" s="168">
        <v>3525</v>
      </c>
      <c r="Q180" s="168">
        <v>1</v>
      </c>
      <c r="R180" s="168">
        <v>5333.58</v>
      </c>
      <c r="S180" s="168">
        <v>0</v>
      </c>
      <c r="T180" s="168">
        <v>188.00869</v>
      </c>
      <c r="U180" s="169">
        <v>1E-3</v>
      </c>
      <c r="V180" s="169">
        <v>8.5650684689000001E-2</v>
      </c>
      <c r="W180" s="169">
        <v>5.9627032012000002E-2</v>
      </c>
    </row>
    <row r="181" spans="1:23" ht="15.75" thickBot="1">
      <c r="A181" s="176">
        <v>11342</v>
      </c>
      <c r="B181" s="176">
        <v>11344</v>
      </c>
      <c r="C181" s="165" t="s">
        <v>1339</v>
      </c>
      <c r="D181" s="165">
        <v>514884485</v>
      </c>
      <c r="E181" s="165" t="s">
        <v>429</v>
      </c>
      <c r="F181" s="165" t="s">
        <v>1434</v>
      </c>
      <c r="G181" s="165" t="s">
        <v>1642</v>
      </c>
      <c r="H181" s="165" t="s">
        <v>76</v>
      </c>
      <c r="I181" s="165" t="s">
        <v>234</v>
      </c>
      <c r="J181" s="165" t="s">
        <v>53</v>
      </c>
      <c r="K181" s="165" t="s">
        <v>53</v>
      </c>
      <c r="L181" s="165" t="s">
        <v>311</v>
      </c>
      <c r="M181" s="165" t="s">
        <v>1080</v>
      </c>
      <c r="N181" s="165" t="s">
        <v>62</v>
      </c>
      <c r="O181" s="165" t="s">
        <v>1208</v>
      </c>
      <c r="P181" s="168">
        <v>1305</v>
      </c>
      <c r="Q181" s="168">
        <v>1</v>
      </c>
      <c r="R181" s="168">
        <v>5753</v>
      </c>
      <c r="S181" s="168">
        <v>0</v>
      </c>
      <c r="T181" s="168">
        <v>75.076650000000001</v>
      </c>
      <c r="U181" s="169">
        <v>0</v>
      </c>
      <c r="V181" s="169">
        <v>3.4202496047999999E-2</v>
      </c>
      <c r="W181" s="169">
        <v>2.3810589887000001E-2</v>
      </c>
    </row>
    <row r="182" spans="1:23" ht="15.75" thickBot="1">
      <c r="A182" s="176">
        <v>11342</v>
      </c>
      <c r="B182" s="176">
        <v>11344</v>
      </c>
      <c r="C182" s="165" t="s">
        <v>1435</v>
      </c>
      <c r="D182" s="165" t="s">
        <v>1681</v>
      </c>
      <c r="E182" s="165" t="s">
        <v>430</v>
      </c>
      <c r="F182" s="165" t="s">
        <v>1360</v>
      </c>
      <c r="G182" s="165" t="s">
        <v>1361</v>
      </c>
      <c r="H182" s="165" t="s">
        <v>76</v>
      </c>
      <c r="I182" s="165" t="s">
        <v>235</v>
      </c>
      <c r="J182" s="165" t="s">
        <v>61</v>
      </c>
      <c r="K182" s="165" t="s">
        <v>314</v>
      </c>
      <c r="L182" s="165" t="s">
        <v>476</v>
      </c>
      <c r="M182" s="165" t="s">
        <v>775</v>
      </c>
      <c r="N182" s="165" t="s">
        <v>62</v>
      </c>
      <c r="O182" s="165" t="s">
        <v>1210</v>
      </c>
      <c r="P182" s="168">
        <v>134</v>
      </c>
      <c r="Q182" s="168">
        <v>3.71</v>
      </c>
      <c r="R182" s="168">
        <v>42312</v>
      </c>
      <c r="S182" s="168">
        <v>0.12539892183199999</v>
      </c>
      <c r="T182" s="168">
        <v>210.81511</v>
      </c>
      <c r="U182" s="169">
        <v>0</v>
      </c>
      <c r="V182" s="169">
        <v>9.6040552776999993E-2</v>
      </c>
      <c r="W182" s="169">
        <v>6.6860097332000004E-2</v>
      </c>
    </row>
    <row r="183" spans="1:23" ht="15.75" thickBot="1">
      <c r="A183" s="176">
        <v>11342</v>
      </c>
      <c r="B183" s="176">
        <v>11344</v>
      </c>
      <c r="C183" s="165" t="s">
        <v>1441</v>
      </c>
      <c r="D183" s="165" t="s">
        <v>1643</v>
      </c>
      <c r="E183" s="165" t="s">
        <v>430</v>
      </c>
      <c r="F183" s="165" t="s">
        <v>1328</v>
      </c>
      <c r="G183" s="165" t="s">
        <v>1329</v>
      </c>
      <c r="H183" s="165" t="s">
        <v>76</v>
      </c>
      <c r="I183" s="165" t="s">
        <v>235</v>
      </c>
      <c r="J183" s="165" t="s">
        <v>61</v>
      </c>
      <c r="K183" s="165" t="s">
        <v>314</v>
      </c>
      <c r="L183" s="165" t="s">
        <v>479</v>
      </c>
      <c r="M183" s="165" t="s">
        <v>775</v>
      </c>
      <c r="N183" s="165" t="s">
        <v>62</v>
      </c>
      <c r="O183" s="165" t="s">
        <v>1210</v>
      </c>
      <c r="P183" s="168">
        <v>51</v>
      </c>
      <c r="Q183" s="168">
        <v>3.71</v>
      </c>
      <c r="R183" s="168">
        <v>48807</v>
      </c>
      <c r="S183" s="168">
        <v>2.5889487869999998E-2</v>
      </c>
      <c r="T183" s="168">
        <v>92.443770000000001</v>
      </c>
      <c r="U183" s="169">
        <v>0</v>
      </c>
      <c r="V183" s="169">
        <v>4.2114394796000001E-2</v>
      </c>
      <c r="W183" s="169">
        <v>2.9318579014E-2</v>
      </c>
    </row>
    <row r="184" spans="1:23" ht="15.75" thickBot="1">
      <c r="A184" s="176">
        <v>11342</v>
      </c>
      <c r="B184" s="176">
        <v>11344</v>
      </c>
      <c r="C184" s="165" t="s">
        <v>1436</v>
      </c>
      <c r="D184" s="165" t="s">
        <v>1644</v>
      </c>
      <c r="E184" s="165" t="s">
        <v>430</v>
      </c>
      <c r="F184" s="165" t="s">
        <v>1330</v>
      </c>
      <c r="G184" s="165" t="s">
        <v>1331</v>
      </c>
      <c r="H184" s="165" t="s">
        <v>76</v>
      </c>
      <c r="I184" s="165" t="s">
        <v>237</v>
      </c>
      <c r="J184" s="165" t="s">
        <v>61</v>
      </c>
      <c r="K184" s="165" t="s">
        <v>314</v>
      </c>
      <c r="L184" s="165" t="s">
        <v>476</v>
      </c>
      <c r="M184" s="165" t="s">
        <v>776</v>
      </c>
      <c r="N184" s="165" t="s">
        <v>62</v>
      </c>
      <c r="O184" s="165" t="s">
        <v>1210</v>
      </c>
      <c r="P184" s="168">
        <v>830</v>
      </c>
      <c r="Q184" s="168">
        <v>3.71</v>
      </c>
      <c r="R184" s="168">
        <v>4342</v>
      </c>
      <c r="S184" s="168">
        <v>0</v>
      </c>
      <c r="T184" s="168">
        <v>133.70321000000001</v>
      </c>
      <c r="U184" s="169">
        <v>0</v>
      </c>
      <c r="V184" s="169">
        <v>6.0910862586000002E-2</v>
      </c>
      <c r="W184" s="169">
        <v>4.2404027083999998E-2</v>
      </c>
    </row>
    <row r="185" spans="1:23" ht="15.75" thickBot="1">
      <c r="A185" s="176">
        <v>11342</v>
      </c>
      <c r="B185" s="176">
        <v>11344</v>
      </c>
      <c r="C185" s="165" t="s">
        <v>1444</v>
      </c>
      <c r="D185" s="165" t="e">
        <v>#N/A</v>
      </c>
      <c r="E185" s="165" t="s">
        <v>430</v>
      </c>
      <c r="F185" s="165" t="s">
        <v>1374</v>
      </c>
      <c r="G185" s="165" t="s">
        <v>1375</v>
      </c>
      <c r="H185" s="165" t="s">
        <v>76</v>
      </c>
      <c r="I185" s="165" t="s">
        <v>235</v>
      </c>
      <c r="J185" s="165" t="s">
        <v>61</v>
      </c>
      <c r="K185" s="165" t="s">
        <v>314</v>
      </c>
      <c r="L185" s="165" t="s">
        <v>494</v>
      </c>
      <c r="M185" s="165" t="s">
        <v>775</v>
      </c>
      <c r="N185" s="165" t="s">
        <v>62</v>
      </c>
      <c r="O185" s="165" t="s">
        <v>1210</v>
      </c>
      <c r="P185" s="168">
        <v>68</v>
      </c>
      <c r="Q185" s="168">
        <v>3.71</v>
      </c>
      <c r="R185" s="168">
        <v>57296</v>
      </c>
      <c r="S185" s="168">
        <v>0.103199460916</v>
      </c>
      <c r="T185" s="168">
        <v>144.92921999999999</v>
      </c>
      <c r="U185" s="169">
        <v>0</v>
      </c>
      <c r="V185" s="169">
        <v>6.6025070034999994E-2</v>
      </c>
      <c r="W185" s="169">
        <v>4.5964360692000002E-2</v>
      </c>
    </row>
    <row r="186" spans="1:23" ht="15.75" thickBot="1">
      <c r="A186" s="176">
        <v>11342</v>
      </c>
      <c r="B186" s="176">
        <v>11345</v>
      </c>
      <c r="C186" s="165" t="s">
        <v>1304</v>
      </c>
      <c r="D186" s="165" t="s">
        <v>1609</v>
      </c>
      <c r="E186" s="165" t="s">
        <v>429</v>
      </c>
      <c r="F186" s="165" t="s">
        <v>1445</v>
      </c>
      <c r="G186" s="165" t="s">
        <v>1632</v>
      </c>
      <c r="H186" s="165" t="s">
        <v>76</v>
      </c>
      <c r="I186" s="165" t="s">
        <v>234</v>
      </c>
      <c r="J186" s="165" t="s">
        <v>53</v>
      </c>
      <c r="K186" s="165" t="s">
        <v>53</v>
      </c>
      <c r="L186" s="165" t="s">
        <v>311</v>
      </c>
      <c r="M186" s="165" t="s">
        <v>1080</v>
      </c>
      <c r="N186" s="165" t="s">
        <v>62</v>
      </c>
      <c r="O186" s="165" t="s">
        <v>1208</v>
      </c>
      <c r="P186" s="168">
        <v>70246</v>
      </c>
      <c r="Q186" s="168">
        <v>1</v>
      </c>
      <c r="R186" s="168">
        <v>2081</v>
      </c>
      <c r="S186" s="168">
        <v>0</v>
      </c>
      <c r="T186" s="168">
        <v>1461.81926</v>
      </c>
      <c r="U186" s="169">
        <v>0</v>
      </c>
      <c r="V186" s="169">
        <v>9.4056964012000005E-2</v>
      </c>
      <c r="W186" s="169">
        <v>7.3857433210000004E-2</v>
      </c>
    </row>
    <row r="187" spans="1:23" ht="15.75" thickBot="1">
      <c r="A187" s="176">
        <v>11342</v>
      </c>
      <c r="B187" s="176">
        <v>11345</v>
      </c>
      <c r="C187" s="165" t="s">
        <v>1304</v>
      </c>
      <c r="D187" s="165" t="s">
        <v>1609</v>
      </c>
      <c r="E187" s="165" t="s">
        <v>429</v>
      </c>
      <c r="F187" s="165" t="s">
        <v>1376</v>
      </c>
      <c r="G187" s="165" t="s">
        <v>1695</v>
      </c>
      <c r="H187" s="165" t="s">
        <v>76</v>
      </c>
      <c r="I187" s="165" t="s">
        <v>235</v>
      </c>
      <c r="J187" s="165" t="s">
        <v>53</v>
      </c>
      <c r="K187" s="165" t="s">
        <v>313</v>
      </c>
      <c r="L187" s="165" t="s">
        <v>311</v>
      </c>
      <c r="M187" s="165" t="s">
        <v>1127</v>
      </c>
      <c r="N187" s="165" t="s">
        <v>62</v>
      </c>
      <c r="O187" s="165" t="s">
        <v>1208</v>
      </c>
      <c r="P187" s="168">
        <v>176118</v>
      </c>
      <c r="Q187" s="168">
        <v>1</v>
      </c>
      <c r="R187" s="168">
        <v>642.79999999999995</v>
      </c>
      <c r="S187" s="168">
        <v>0</v>
      </c>
      <c r="T187" s="168">
        <v>1132.0864999999999</v>
      </c>
      <c r="U187" s="169">
        <v>0</v>
      </c>
      <c r="V187" s="169">
        <v>7.2841165870000002E-2</v>
      </c>
      <c r="W187" s="169">
        <v>5.7197907669E-2</v>
      </c>
    </row>
    <row r="188" spans="1:23" ht="15.75" thickBot="1">
      <c r="A188" s="176">
        <v>11342</v>
      </c>
      <c r="B188" s="176">
        <v>11345</v>
      </c>
      <c r="C188" s="165" t="s">
        <v>1306</v>
      </c>
      <c r="D188" s="165" t="s">
        <v>1611</v>
      </c>
      <c r="E188" s="165" t="s">
        <v>429</v>
      </c>
      <c r="F188" s="165" t="s">
        <v>1446</v>
      </c>
      <c r="G188" s="165" t="s">
        <v>1696</v>
      </c>
      <c r="H188" s="165" t="s">
        <v>76</v>
      </c>
      <c r="I188" s="165" t="s">
        <v>234</v>
      </c>
      <c r="J188" s="165" t="s">
        <v>53</v>
      </c>
      <c r="K188" s="165" t="s">
        <v>53</v>
      </c>
      <c r="L188" s="165" t="s">
        <v>311</v>
      </c>
      <c r="M188" s="165" t="s">
        <v>1080</v>
      </c>
      <c r="N188" s="165" t="s">
        <v>62</v>
      </c>
      <c r="O188" s="165" t="s">
        <v>1208</v>
      </c>
      <c r="P188" s="168">
        <v>4481</v>
      </c>
      <c r="Q188" s="168">
        <v>1</v>
      </c>
      <c r="R188" s="168">
        <v>20710</v>
      </c>
      <c r="S188" s="168">
        <v>0</v>
      </c>
      <c r="T188" s="168">
        <v>928.01509999999996</v>
      </c>
      <c r="U188" s="169">
        <v>0</v>
      </c>
      <c r="V188" s="169">
        <v>5.9710721600000002E-2</v>
      </c>
      <c r="W188" s="169">
        <v>4.6887337676999999E-2</v>
      </c>
    </row>
    <row r="189" spans="1:23" ht="15.75" thickBot="1">
      <c r="A189" s="176">
        <v>11342</v>
      </c>
      <c r="B189" s="176">
        <v>11345</v>
      </c>
      <c r="C189" s="165" t="s">
        <v>1308</v>
      </c>
      <c r="D189" s="165" t="s">
        <v>1613</v>
      </c>
      <c r="E189" s="165" t="s">
        <v>429</v>
      </c>
      <c r="F189" s="165" t="s">
        <v>1433</v>
      </c>
      <c r="G189" s="165" t="s">
        <v>1675</v>
      </c>
      <c r="H189" s="165" t="s">
        <v>76</v>
      </c>
      <c r="I189" s="165" t="s">
        <v>234</v>
      </c>
      <c r="J189" s="165" t="s">
        <v>53</v>
      </c>
      <c r="K189" s="165" t="s">
        <v>53</v>
      </c>
      <c r="L189" s="165" t="s">
        <v>311</v>
      </c>
      <c r="M189" s="165" t="s">
        <v>1080</v>
      </c>
      <c r="N189" s="165" t="s">
        <v>62</v>
      </c>
      <c r="O189" s="165" t="s">
        <v>1208</v>
      </c>
      <c r="P189" s="168">
        <v>70289</v>
      </c>
      <c r="Q189" s="168">
        <v>1</v>
      </c>
      <c r="R189" s="168">
        <v>2076</v>
      </c>
      <c r="S189" s="168">
        <v>0</v>
      </c>
      <c r="T189" s="168">
        <v>1459.19964</v>
      </c>
      <c r="U189" s="169">
        <v>0</v>
      </c>
      <c r="V189" s="169">
        <v>9.3888411365999999E-2</v>
      </c>
      <c r="W189" s="169">
        <v>7.3725078675E-2</v>
      </c>
    </row>
    <row r="190" spans="1:23" ht="15.75" thickBot="1">
      <c r="A190" s="176">
        <v>11342</v>
      </c>
      <c r="B190" s="176">
        <v>11345</v>
      </c>
      <c r="C190" s="165" t="s">
        <v>1308</v>
      </c>
      <c r="D190" s="165" t="s">
        <v>1613</v>
      </c>
      <c r="E190" s="165" t="s">
        <v>429</v>
      </c>
      <c r="F190" s="165" t="s">
        <v>1336</v>
      </c>
      <c r="G190" s="165" t="s">
        <v>1649</v>
      </c>
      <c r="H190" s="165" t="s">
        <v>76</v>
      </c>
      <c r="I190" s="165" t="s">
        <v>235</v>
      </c>
      <c r="J190" s="165" t="s">
        <v>53</v>
      </c>
      <c r="K190" s="165" t="s">
        <v>314</v>
      </c>
      <c r="L190" s="165" t="s">
        <v>311</v>
      </c>
      <c r="M190" s="165" t="s">
        <v>1125</v>
      </c>
      <c r="N190" s="165" t="s">
        <v>62</v>
      </c>
      <c r="O190" s="165" t="s">
        <v>1208</v>
      </c>
      <c r="P190" s="168">
        <v>40289</v>
      </c>
      <c r="Q190" s="168">
        <v>1</v>
      </c>
      <c r="R190" s="168">
        <v>2470</v>
      </c>
      <c r="S190" s="168">
        <v>0</v>
      </c>
      <c r="T190" s="168">
        <v>995.13829999999996</v>
      </c>
      <c r="U190" s="169">
        <v>0</v>
      </c>
      <c r="V190" s="169">
        <v>6.4029589587999994E-2</v>
      </c>
      <c r="W190" s="169">
        <v>5.0278692133E-2</v>
      </c>
    </row>
    <row r="191" spans="1:23" ht="15.75" thickBot="1">
      <c r="A191" s="176">
        <v>11342</v>
      </c>
      <c r="B191" s="176">
        <v>11345</v>
      </c>
      <c r="C191" s="165" t="s">
        <v>1310</v>
      </c>
      <c r="D191" s="165" t="s">
        <v>1615</v>
      </c>
      <c r="E191" s="165" t="s">
        <v>429</v>
      </c>
      <c r="F191" s="165" t="s">
        <v>1457</v>
      </c>
      <c r="G191" s="165" t="s">
        <v>1630</v>
      </c>
      <c r="H191" s="165" t="s">
        <v>76</v>
      </c>
      <c r="I191" s="165" t="s">
        <v>236</v>
      </c>
      <c r="J191" s="165" t="s">
        <v>53</v>
      </c>
      <c r="K191" s="165" t="s">
        <v>53</v>
      </c>
      <c r="L191" s="165" t="s">
        <v>311</v>
      </c>
      <c r="M191" s="165" t="s">
        <v>997</v>
      </c>
      <c r="N191" s="165" t="s">
        <v>62</v>
      </c>
      <c r="O191" s="165" t="s">
        <v>1208</v>
      </c>
      <c r="P191" s="168">
        <v>32779</v>
      </c>
      <c r="Q191" s="168">
        <v>1</v>
      </c>
      <c r="R191" s="168">
        <v>465.93</v>
      </c>
      <c r="S191" s="168">
        <v>0</v>
      </c>
      <c r="T191" s="168">
        <v>152.72719000000001</v>
      </c>
      <c r="U191" s="169">
        <v>0</v>
      </c>
      <c r="V191" s="169">
        <v>9.8268344149999992E-3</v>
      </c>
      <c r="W191" s="169">
        <v>7.7164383740000002E-3</v>
      </c>
    </row>
    <row r="192" spans="1:23" ht="15.75" thickBot="1">
      <c r="A192" s="176">
        <v>11342</v>
      </c>
      <c r="B192" s="176">
        <v>11345</v>
      </c>
      <c r="C192" s="165" t="s">
        <v>1310</v>
      </c>
      <c r="D192" s="165" t="s">
        <v>1615</v>
      </c>
      <c r="E192" s="165" t="s">
        <v>429</v>
      </c>
      <c r="F192" s="165" t="s">
        <v>1326</v>
      </c>
      <c r="G192" s="165" t="s">
        <v>1639</v>
      </c>
      <c r="H192" s="165" t="s">
        <v>76</v>
      </c>
      <c r="I192" s="165" t="s">
        <v>235</v>
      </c>
      <c r="J192" s="165" t="s">
        <v>53</v>
      </c>
      <c r="K192" s="165" t="s">
        <v>314</v>
      </c>
      <c r="L192" s="165" t="s">
        <v>311</v>
      </c>
      <c r="M192" s="165" t="s">
        <v>1129</v>
      </c>
      <c r="N192" s="165" t="s">
        <v>62</v>
      </c>
      <c r="O192" s="165" t="s">
        <v>1208</v>
      </c>
      <c r="P192" s="168">
        <v>5509</v>
      </c>
      <c r="Q192" s="168">
        <v>1</v>
      </c>
      <c r="R192" s="168">
        <v>7341</v>
      </c>
      <c r="S192" s="168">
        <v>0</v>
      </c>
      <c r="T192" s="168">
        <v>404.41568999999998</v>
      </c>
      <c r="U192" s="169">
        <v>0</v>
      </c>
      <c r="V192" s="169">
        <v>2.6021077324999999E-2</v>
      </c>
      <c r="W192" s="169">
        <v>2.0432830262000001E-2</v>
      </c>
    </row>
    <row r="193" spans="1:23" ht="15.75" thickBot="1">
      <c r="A193" s="176">
        <v>11342</v>
      </c>
      <c r="B193" s="176">
        <v>11345</v>
      </c>
      <c r="C193" s="165" t="s">
        <v>1339</v>
      </c>
      <c r="D193" s="165">
        <v>514884485</v>
      </c>
      <c r="E193" s="165" t="s">
        <v>429</v>
      </c>
      <c r="F193" s="165" t="s">
        <v>1354</v>
      </c>
      <c r="G193" s="165" t="s">
        <v>1677</v>
      </c>
      <c r="H193" s="165" t="s">
        <v>76</v>
      </c>
      <c r="I193" s="165" t="s">
        <v>235</v>
      </c>
      <c r="J193" s="165" t="s">
        <v>53</v>
      </c>
      <c r="K193" s="165" t="s">
        <v>314</v>
      </c>
      <c r="L193" s="165" t="s">
        <v>311</v>
      </c>
      <c r="M193" s="165" t="s">
        <v>1129</v>
      </c>
      <c r="N193" s="165" t="s">
        <v>62</v>
      </c>
      <c r="O193" s="165" t="s">
        <v>1208</v>
      </c>
      <c r="P193" s="168">
        <v>15388</v>
      </c>
      <c r="Q193" s="168">
        <v>1</v>
      </c>
      <c r="R193" s="168">
        <v>9469</v>
      </c>
      <c r="S193" s="168">
        <v>0</v>
      </c>
      <c r="T193" s="168">
        <v>1457.0897199999999</v>
      </c>
      <c r="U193" s="169">
        <v>1E-3</v>
      </c>
      <c r="V193" s="169">
        <v>9.3752654042999997E-2</v>
      </c>
      <c r="W193" s="169">
        <v>7.3618476387999995E-2</v>
      </c>
    </row>
    <row r="194" spans="1:23" ht="15.75" thickBot="1">
      <c r="A194" s="176">
        <v>11342</v>
      </c>
      <c r="B194" s="176">
        <v>11345</v>
      </c>
      <c r="C194" s="165" t="s">
        <v>1310</v>
      </c>
      <c r="D194" s="165" t="s">
        <v>1615</v>
      </c>
      <c r="E194" s="165" t="s">
        <v>429</v>
      </c>
      <c r="F194" s="165" t="s">
        <v>1377</v>
      </c>
      <c r="G194" s="165" t="s">
        <v>1697</v>
      </c>
      <c r="H194" s="165" t="s">
        <v>76</v>
      </c>
      <c r="I194" s="165" t="s">
        <v>235</v>
      </c>
      <c r="J194" s="165" t="s">
        <v>53</v>
      </c>
      <c r="K194" s="165" t="s">
        <v>314</v>
      </c>
      <c r="L194" s="165" t="s">
        <v>311</v>
      </c>
      <c r="M194" s="165" t="s">
        <v>1129</v>
      </c>
      <c r="N194" s="165" t="s">
        <v>62</v>
      </c>
      <c r="O194" s="165" t="s">
        <v>1208</v>
      </c>
      <c r="P194" s="168">
        <v>17794</v>
      </c>
      <c r="Q194" s="168">
        <v>1</v>
      </c>
      <c r="R194" s="168">
        <v>7969</v>
      </c>
      <c r="S194" s="168">
        <v>0</v>
      </c>
      <c r="T194" s="168">
        <v>1418.00386</v>
      </c>
      <c r="U194" s="169">
        <v>1E-3</v>
      </c>
      <c r="V194" s="169">
        <v>9.1237775886000003E-2</v>
      </c>
      <c r="W194" s="169">
        <v>7.1643689646E-2</v>
      </c>
    </row>
    <row r="195" spans="1:23" ht="15.75" thickBot="1">
      <c r="A195" s="176">
        <v>11342</v>
      </c>
      <c r="B195" s="176">
        <v>11345</v>
      </c>
      <c r="C195" s="165" t="s">
        <v>1339</v>
      </c>
      <c r="D195" s="165">
        <v>514884485</v>
      </c>
      <c r="E195" s="165" t="s">
        <v>429</v>
      </c>
      <c r="F195" s="165" t="s">
        <v>1434</v>
      </c>
      <c r="G195" s="165" t="s">
        <v>1642</v>
      </c>
      <c r="H195" s="165" t="s">
        <v>76</v>
      </c>
      <c r="I195" s="165" t="s">
        <v>234</v>
      </c>
      <c r="J195" s="165" t="s">
        <v>53</v>
      </c>
      <c r="K195" s="165" t="s">
        <v>53</v>
      </c>
      <c r="L195" s="165" t="s">
        <v>311</v>
      </c>
      <c r="M195" s="165" t="s">
        <v>1080</v>
      </c>
      <c r="N195" s="165" t="s">
        <v>62</v>
      </c>
      <c r="O195" s="165" t="s">
        <v>1208</v>
      </c>
      <c r="P195" s="168">
        <v>21652</v>
      </c>
      <c r="Q195" s="168">
        <v>1</v>
      </c>
      <c r="R195" s="168">
        <v>5753</v>
      </c>
      <c r="S195" s="168">
        <v>0</v>
      </c>
      <c r="T195" s="168">
        <v>1245.6395600000001</v>
      </c>
      <c r="U195" s="169">
        <v>3.0000000000000001E-3</v>
      </c>
      <c r="V195" s="169">
        <v>8.0147442624000004E-2</v>
      </c>
      <c r="W195" s="169">
        <v>6.2935099519000004E-2</v>
      </c>
    </row>
    <row r="196" spans="1:23" ht="15.75" thickBot="1">
      <c r="A196" s="176">
        <v>11342</v>
      </c>
      <c r="B196" s="176">
        <v>11345</v>
      </c>
      <c r="C196" s="165" t="s">
        <v>1435</v>
      </c>
      <c r="D196" s="165" t="s">
        <v>1681</v>
      </c>
      <c r="E196" s="165" t="s">
        <v>430</v>
      </c>
      <c r="F196" s="165" t="s">
        <v>1360</v>
      </c>
      <c r="G196" s="165" t="s">
        <v>1361</v>
      </c>
      <c r="H196" s="165" t="s">
        <v>76</v>
      </c>
      <c r="I196" s="165" t="s">
        <v>235</v>
      </c>
      <c r="J196" s="165" t="s">
        <v>61</v>
      </c>
      <c r="K196" s="165" t="s">
        <v>314</v>
      </c>
      <c r="L196" s="165" t="s">
        <v>476</v>
      </c>
      <c r="M196" s="165" t="s">
        <v>775</v>
      </c>
      <c r="N196" s="165" t="s">
        <v>62</v>
      </c>
      <c r="O196" s="165" t="s">
        <v>1210</v>
      </c>
      <c r="P196" s="168">
        <v>943</v>
      </c>
      <c r="Q196" s="168">
        <v>3.71</v>
      </c>
      <c r="R196" s="168">
        <v>42312</v>
      </c>
      <c r="S196" s="168">
        <v>0.88247978436600005</v>
      </c>
      <c r="T196" s="168">
        <v>1483.5720100000001</v>
      </c>
      <c r="U196" s="169">
        <v>0</v>
      </c>
      <c r="V196" s="169">
        <v>9.5456588219999999E-2</v>
      </c>
      <c r="W196" s="169">
        <v>7.4956476248000004E-2</v>
      </c>
    </row>
    <row r="197" spans="1:23" ht="15.75" thickBot="1">
      <c r="A197" s="176">
        <v>11342</v>
      </c>
      <c r="B197" s="176">
        <v>11345</v>
      </c>
      <c r="C197" s="165" t="s">
        <v>1437</v>
      </c>
      <c r="D197" s="165" t="s">
        <v>1645</v>
      </c>
      <c r="E197" s="165" t="s">
        <v>430</v>
      </c>
      <c r="F197" s="165" t="s">
        <v>1332</v>
      </c>
      <c r="G197" s="165" t="s">
        <v>1333</v>
      </c>
      <c r="H197" s="165" t="s">
        <v>76</v>
      </c>
      <c r="I197" s="165" t="s">
        <v>235</v>
      </c>
      <c r="J197" s="165" t="s">
        <v>61</v>
      </c>
      <c r="K197" s="165" t="s">
        <v>314</v>
      </c>
      <c r="L197" s="165" t="s">
        <v>476</v>
      </c>
      <c r="M197" s="165" t="s">
        <v>775</v>
      </c>
      <c r="N197" s="165" t="s">
        <v>62</v>
      </c>
      <c r="O197" s="165" t="s">
        <v>1210</v>
      </c>
      <c r="P197" s="168">
        <v>2020</v>
      </c>
      <c r="Q197" s="168">
        <v>3.71</v>
      </c>
      <c r="R197" s="168">
        <v>7102</v>
      </c>
      <c r="S197" s="168">
        <v>0.484320754716</v>
      </c>
      <c r="T197" s="168">
        <v>534.03490999999997</v>
      </c>
      <c r="U197" s="169">
        <v>0</v>
      </c>
      <c r="V197" s="169">
        <v>3.4361089421000003E-2</v>
      </c>
      <c r="W197" s="169">
        <v>2.6981754021000001E-2</v>
      </c>
    </row>
    <row r="198" spans="1:23" ht="15.75" thickBot="1">
      <c r="A198" s="176">
        <v>11342</v>
      </c>
      <c r="B198" s="176">
        <v>11345</v>
      </c>
      <c r="C198" s="165" t="s">
        <v>1624</v>
      </c>
      <c r="D198" s="165" t="s">
        <v>1625</v>
      </c>
      <c r="E198" s="165" t="s">
        <v>430</v>
      </c>
      <c r="F198" s="165" t="s">
        <v>1317</v>
      </c>
      <c r="G198" s="165" t="s">
        <v>1318</v>
      </c>
      <c r="H198" s="165" t="s">
        <v>76</v>
      </c>
      <c r="I198" s="165" t="s">
        <v>235</v>
      </c>
      <c r="J198" s="165" t="s">
        <v>61</v>
      </c>
      <c r="K198" s="165" t="s">
        <v>314</v>
      </c>
      <c r="L198" s="165" t="s">
        <v>494</v>
      </c>
      <c r="M198" s="165" t="s">
        <v>775</v>
      </c>
      <c r="N198" s="165" t="s">
        <v>62</v>
      </c>
      <c r="O198" s="165" t="s">
        <v>1210</v>
      </c>
      <c r="P198" s="168">
        <v>86</v>
      </c>
      <c r="Q198" s="168">
        <v>3.71</v>
      </c>
      <c r="R198" s="168">
        <v>112716</v>
      </c>
      <c r="S198" s="168">
        <v>0</v>
      </c>
      <c r="T198" s="168">
        <v>359.63166999999999</v>
      </c>
      <c r="U198" s="169">
        <v>0</v>
      </c>
      <c r="V198" s="169">
        <v>2.3139565859999999E-2</v>
      </c>
      <c r="W198" s="169">
        <v>1.8170147824000001E-2</v>
      </c>
    </row>
    <row r="199" spans="1:23" ht="15.75" thickBot="1">
      <c r="A199" s="176">
        <v>11342</v>
      </c>
      <c r="B199" s="176">
        <v>11345</v>
      </c>
      <c r="C199" s="165" t="s">
        <v>1431</v>
      </c>
      <c r="D199" s="165" t="s">
        <v>1626</v>
      </c>
      <c r="E199" s="165" t="s">
        <v>430</v>
      </c>
      <c r="F199" s="165" t="s">
        <v>1319</v>
      </c>
      <c r="G199" s="165" t="s">
        <v>1320</v>
      </c>
      <c r="H199" s="165" t="s">
        <v>76</v>
      </c>
      <c r="I199" s="165" t="s">
        <v>235</v>
      </c>
      <c r="J199" s="165" t="s">
        <v>61</v>
      </c>
      <c r="K199" s="165" t="s">
        <v>314</v>
      </c>
      <c r="L199" s="165" t="s">
        <v>494</v>
      </c>
      <c r="M199" s="165" t="s">
        <v>775</v>
      </c>
      <c r="N199" s="165" t="s">
        <v>62</v>
      </c>
      <c r="O199" s="165" t="s">
        <v>1210</v>
      </c>
      <c r="P199" s="168">
        <v>434</v>
      </c>
      <c r="Q199" s="168">
        <v>3.71</v>
      </c>
      <c r="R199" s="168">
        <v>60718</v>
      </c>
      <c r="S199" s="168">
        <v>0</v>
      </c>
      <c r="T199" s="168">
        <v>977.64481000000001</v>
      </c>
      <c r="U199" s="169">
        <v>0</v>
      </c>
      <c r="V199" s="169">
        <v>6.2904016403999993E-2</v>
      </c>
      <c r="W199" s="169">
        <v>4.9394845336999997E-2</v>
      </c>
    </row>
    <row r="200" spans="1:23" ht="15.75" thickBot="1">
      <c r="A200" s="176">
        <v>11342</v>
      </c>
      <c r="B200" s="176">
        <v>11345</v>
      </c>
      <c r="C200" s="165" t="s">
        <v>1447</v>
      </c>
      <c r="D200" s="165" t="s">
        <v>1698</v>
      </c>
      <c r="E200" s="165" t="s">
        <v>430</v>
      </c>
      <c r="F200" s="165" t="s">
        <v>1378</v>
      </c>
      <c r="G200" s="165" t="s">
        <v>1379</v>
      </c>
      <c r="H200" s="165" t="s">
        <v>76</v>
      </c>
      <c r="I200" s="165" t="s">
        <v>235</v>
      </c>
      <c r="J200" s="165" t="s">
        <v>61</v>
      </c>
      <c r="K200" s="165" t="s">
        <v>314</v>
      </c>
      <c r="L200" s="165" t="s">
        <v>494</v>
      </c>
      <c r="M200" s="165" t="s">
        <v>775</v>
      </c>
      <c r="N200" s="165" t="s">
        <v>62</v>
      </c>
      <c r="O200" s="165" t="s">
        <v>1210</v>
      </c>
      <c r="P200" s="168">
        <v>568</v>
      </c>
      <c r="Q200" s="168">
        <v>3.71</v>
      </c>
      <c r="R200" s="168">
        <v>50392</v>
      </c>
      <c r="S200" s="168">
        <v>0</v>
      </c>
      <c r="T200" s="168">
        <v>1061.9005400000001</v>
      </c>
      <c r="U200" s="169">
        <v>0</v>
      </c>
      <c r="V200" s="169">
        <v>6.8325232543000006E-2</v>
      </c>
      <c r="W200" s="169">
        <v>5.3651809327999997E-2</v>
      </c>
    </row>
    <row r="201" spans="1:23" ht="15.75" thickBot="1">
      <c r="A201" s="176">
        <v>11342</v>
      </c>
      <c r="B201" s="176">
        <v>11345</v>
      </c>
      <c r="C201" s="165" t="s">
        <v>1448</v>
      </c>
      <c r="D201" s="165" t="s">
        <v>1663</v>
      </c>
      <c r="E201" s="165" t="s">
        <v>430</v>
      </c>
      <c r="F201" s="165" t="s">
        <v>1380</v>
      </c>
      <c r="G201" s="165" t="s">
        <v>1381</v>
      </c>
      <c r="H201" s="165" t="s">
        <v>76</v>
      </c>
      <c r="I201" s="165" t="s">
        <v>235</v>
      </c>
      <c r="J201" s="165" t="s">
        <v>61</v>
      </c>
      <c r="K201" s="165" t="s">
        <v>314</v>
      </c>
      <c r="L201" s="165" t="s">
        <v>476</v>
      </c>
      <c r="M201" s="165" t="s">
        <v>775</v>
      </c>
      <c r="N201" s="165" t="s">
        <v>62</v>
      </c>
      <c r="O201" s="165" t="s">
        <v>1210</v>
      </c>
      <c r="P201" s="168">
        <v>240</v>
      </c>
      <c r="Q201" s="168">
        <v>3.71</v>
      </c>
      <c r="R201" s="168">
        <v>52767</v>
      </c>
      <c r="S201" s="168">
        <v>0.294940700808</v>
      </c>
      <c r="T201" s="168">
        <v>470.9316</v>
      </c>
      <c r="U201" s="169">
        <v>0</v>
      </c>
      <c r="V201" s="169">
        <v>3.0300870816000001E-2</v>
      </c>
      <c r="W201" s="169">
        <v>2.3793501799E-2</v>
      </c>
    </row>
    <row r="202" spans="1:23">
      <c r="A202" s="185">
        <v>7891</v>
      </c>
      <c r="B202" s="185">
        <v>7894</v>
      </c>
      <c r="C202" s="185"/>
      <c r="D202" s="185"/>
      <c r="E202" s="185"/>
      <c r="F202" s="185"/>
      <c r="G202" s="185"/>
      <c r="H202" s="185"/>
      <c r="I202" s="185"/>
      <c r="J202" s="185"/>
      <c r="K202" s="185"/>
      <c r="L202" s="185"/>
      <c r="M202" s="185"/>
      <c r="N202" s="185"/>
      <c r="O202" s="185"/>
      <c r="P202" s="185"/>
      <c r="Q202" s="185"/>
      <c r="R202" s="185"/>
      <c r="S202" s="185"/>
      <c r="T202" s="185"/>
      <c r="U202" s="185"/>
      <c r="V202" s="185"/>
      <c r="W202" s="185"/>
    </row>
    <row r="203" spans="1:23">
      <c r="A203" s="185">
        <v>7891</v>
      </c>
      <c r="B203" s="185">
        <v>7898</v>
      </c>
      <c r="C203" s="185"/>
      <c r="D203" s="185"/>
      <c r="E203" s="185"/>
      <c r="F203" s="185"/>
      <c r="G203" s="185"/>
      <c r="H203" s="185"/>
      <c r="I203" s="185"/>
      <c r="J203" s="185"/>
      <c r="K203" s="185"/>
      <c r="L203" s="185"/>
      <c r="M203" s="185"/>
      <c r="N203" s="185"/>
      <c r="O203" s="185"/>
      <c r="P203" s="185"/>
      <c r="Q203" s="185"/>
      <c r="R203" s="185"/>
      <c r="S203" s="185"/>
      <c r="T203" s="185"/>
      <c r="U203" s="185"/>
      <c r="V203" s="185"/>
      <c r="W203" s="185"/>
    </row>
    <row r="204" spans="1:23">
      <c r="A204" s="185">
        <v>7891</v>
      </c>
      <c r="B204" s="185">
        <v>7899</v>
      </c>
      <c r="C204" s="185"/>
      <c r="D204" s="185"/>
      <c r="E204" s="185"/>
      <c r="F204" s="185"/>
      <c r="G204" s="185"/>
      <c r="H204" s="185"/>
      <c r="I204" s="185"/>
      <c r="J204" s="185"/>
      <c r="K204" s="185"/>
      <c r="L204" s="185"/>
      <c r="M204" s="185"/>
      <c r="N204" s="185"/>
      <c r="O204" s="185"/>
      <c r="P204" s="185"/>
      <c r="Q204" s="185"/>
      <c r="R204" s="185"/>
      <c r="S204" s="185"/>
      <c r="T204" s="185"/>
      <c r="U204" s="185"/>
      <c r="V204" s="185"/>
      <c r="W204" s="185"/>
    </row>
    <row r="205" spans="1:23">
      <c r="A205" s="185">
        <v>7891</v>
      </c>
      <c r="B205" s="185">
        <v>7901</v>
      </c>
      <c r="C205" s="185"/>
      <c r="D205" s="185"/>
      <c r="E205" s="185"/>
      <c r="F205" s="185"/>
      <c r="G205" s="185"/>
      <c r="H205" s="185"/>
      <c r="I205" s="185"/>
      <c r="J205" s="185"/>
      <c r="K205" s="185"/>
      <c r="L205" s="185"/>
      <c r="M205" s="185"/>
      <c r="N205" s="185"/>
      <c r="O205" s="185"/>
      <c r="P205" s="185"/>
      <c r="Q205" s="185"/>
      <c r="R205" s="185"/>
      <c r="S205" s="185"/>
      <c r="T205" s="185"/>
      <c r="U205" s="185"/>
      <c r="V205" s="185"/>
      <c r="W205" s="185"/>
    </row>
    <row r="206" spans="1:23">
      <c r="A206" s="185">
        <v>7891</v>
      </c>
      <c r="B206" s="185">
        <v>7902</v>
      </c>
      <c r="C206" s="185"/>
      <c r="D206" s="185"/>
      <c r="E206" s="185"/>
      <c r="F206" s="185"/>
      <c r="G206" s="185"/>
      <c r="H206" s="185"/>
      <c r="I206" s="185"/>
      <c r="J206" s="185"/>
      <c r="K206" s="185"/>
      <c r="L206" s="185"/>
      <c r="M206" s="185"/>
      <c r="N206" s="185"/>
      <c r="O206" s="185"/>
      <c r="P206" s="185"/>
      <c r="Q206" s="185"/>
      <c r="R206" s="185"/>
      <c r="S206" s="185"/>
      <c r="T206" s="185"/>
      <c r="U206" s="185"/>
      <c r="V206" s="185"/>
      <c r="W206" s="185"/>
    </row>
    <row r="207" spans="1:23">
      <c r="A207" s="185">
        <v>11925</v>
      </c>
      <c r="B207" s="185">
        <v>11927</v>
      </c>
      <c r="C207" s="185"/>
      <c r="D207" s="185"/>
      <c r="E207" s="185"/>
      <c r="F207" s="185"/>
      <c r="G207" s="185"/>
      <c r="H207" s="185"/>
      <c r="I207" s="185"/>
      <c r="J207" s="185"/>
      <c r="K207" s="185"/>
      <c r="L207" s="185"/>
      <c r="M207" s="185"/>
      <c r="N207" s="185"/>
      <c r="O207" s="185"/>
      <c r="P207" s="185"/>
      <c r="Q207" s="185"/>
      <c r="R207" s="185"/>
      <c r="S207" s="185"/>
      <c r="T207" s="185"/>
      <c r="U207" s="185"/>
      <c r="V207" s="185"/>
      <c r="W207" s="185"/>
    </row>
    <row r="208" spans="1:23">
      <c r="A208" s="185">
        <v>11925</v>
      </c>
      <c r="B208" s="185">
        <v>11929</v>
      </c>
      <c r="C208" s="185"/>
      <c r="D208" s="185"/>
      <c r="E208" s="185"/>
      <c r="F208" s="185"/>
      <c r="G208" s="185"/>
      <c r="H208" s="185"/>
      <c r="I208" s="185"/>
      <c r="J208" s="185"/>
      <c r="K208" s="185"/>
      <c r="L208" s="185"/>
      <c r="M208" s="185"/>
      <c r="N208" s="185"/>
      <c r="O208" s="185"/>
      <c r="P208" s="185"/>
      <c r="Q208" s="185"/>
      <c r="R208" s="185"/>
      <c r="S208" s="185"/>
      <c r="T208" s="185"/>
      <c r="U208" s="185"/>
      <c r="V208" s="185"/>
      <c r="W208" s="185"/>
    </row>
    <row r="209" spans="1:23">
      <c r="A209" s="185">
        <v>11925</v>
      </c>
      <c r="B209" s="185">
        <v>11930</v>
      </c>
      <c r="C209" s="185"/>
      <c r="D209" s="185"/>
      <c r="E209" s="185"/>
      <c r="F209" s="185"/>
      <c r="G209" s="185"/>
      <c r="H209" s="185"/>
      <c r="I209" s="185"/>
      <c r="J209" s="185"/>
      <c r="K209" s="185"/>
      <c r="L209" s="185"/>
      <c r="M209" s="185"/>
      <c r="N209" s="185"/>
      <c r="O209" s="185"/>
      <c r="P209" s="185"/>
      <c r="Q209" s="185"/>
      <c r="R209" s="185"/>
      <c r="S209" s="185"/>
      <c r="T209" s="185"/>
      <c r="U209" s="185"/>
      <c r="V209" s="185"/>
      <c r="W209" s="185"/>
    </row>
    <row r="210" spans="1:23">
      <c r="A210" s="185">
        <v>11925</v>
      </c>
      <c r="B210" s="185">
        <v>11931</v>
      </c>
      <c r="C210" s="185"/>
      <c r="D210" s="185"/>
      <c r="E210" s="185"/>
      <c r="F210" s="185"/>
      <c r="G210" s="185"/>
      <c r="H210" s="185"/>
      <c r="I210" s="185"/>
      <c r="J210" s="185"/>
      <c r="K210" s="185"/>
      <c r="L210" s="185"/>
      <c r="M210" s="185"/>
      <c r="N210" s="185"/>
      <c r="O210" s="185"/>
      <c r="P210" s="185"/>
      <c r="Q210" s="185"/>
      <c r="R210" s="185"/>
      <c r="S210" s="185"/>
      <c r="T210" s="185"/>
      <c r="U210" s="185"/>
      <c r="V210" s="185"/>
      <c r="W210" s="185"/>
    </row>
    <row r="211" spans="1:23">
      <c r="A211" s="185">
        <v>11925</v>
      </c>
      <c r="B211" s="185">
        <v>11932</v>
      </c>
      <c r="C211" s="185"/>
      <c r="D211" s="185"/>
      <c r="E211" s="185"/>
      <c r="F211" s="185"/>
      <c r="G211" s="185"/>
      <c r="H211" s="185"/>
      <c r="I211" s="185"/>
      <c r="J211" s="185"/>
      <c r="K211" s="185"/>
      <c r="L211" s="185"/>
      <c r="M211" s="185"/>
      <c r="N211" s="185"/>
      <c r="O211" s="185"/>
      <c r="P211" s="185"/>
      <c r="Q211" s="185"/>
      <c r="R211" s="185"/>
      <c r="S211" s="185"/>
      <c r="T211" s="185"/>
      <c r="U211" s="185"/>
      <c r="V211" s="185"/>
      <c r="W211" s="185"/>
    </row>
    <row r="212" spans="1:23">
      <c r="A212" s="185">
        <v>11925</v>
      </c>
      <c r="B212" s="185">
        <v>11933</v>
      </c>
      <c r="C212" s="185"/>
      <c r="D212" s="185"/>
      <c r="E212" s="185"/>
      <c r="F212" s="185"/>
      <c r="G212" s="185"/>
      <c r="H212" s="185"/>
      <c r="I212" s="185"/>
      <c r="J212" s="185"/>
      <c r="K212" s="185"/>
      <c r="L212" s="185"/>
      <c r="M212" s="185"/>
      <c r="N212" s="185"/>
      <c r="O212" s="185"/>
      <c r="P212" s="185"/>
      <c r="Q212" s="185"/>
      <c r="R212" s="185"/>
      <c r="S212" s="185"/>
      <c r="T212" s="185"/>
      <c r="U212" s="185"/>
      <c r="V212" s="185"/>
      <c r="W212" s="185"/>
    </row>
    <row r="213" spans="1:23">
      <c r="A213" s="185">
        <v>11925</v>
      </c>
      <c r="B213" s="185">
        <v>11935</v>
      </c>
      <c r="C213" s="185"/>
      <c r="D213" s="185"/>
      <c r="E213" s="185"/>
      <c r="F213" s="185"/>
      <c r="G213" s="185"/>
      <c r="H213" s="185"/>
      <c r="I213" s="185"/>
      <c r="J213" s="185"/>
      <c r="K213" s="185"/>
      <c r="L213" s="185"/>
      <c r="M213" s="185"/>
      <c r="N213" s="185"/>
      <c r="O213" s="185"/>
      <c r="P213" s="185"/>
      <c r="Q213" s="185"/>
      <c r="R213" s="185"/>
      <c r="S213" s="185"/>
      <c r="T213" s="185"/>
      <c r="U213" s="185"/>
      <c r="V213" s="185"/>
      <c r="W213" s="185"/>
    </row>
    <row r="214" spans="1:23">
      <c r="A214" s="185">
        <v>11925</v>
      </c>
      <c r="B214" s="185">
        <v>11936</v>
      </c>
      <c r="C214" s="185"/>
      <c r="D214" s="185"/>
      <c r="E214" s="185"/>
      <c r="F214" s="185"/>
      <c r="G214" s="185"/>
      <c r="H214" s="185"/>
      <c r="I214" s="185"/>
      <c r="J214" s="185"/>
      <c r="K214" s="185"/>
      <c r="L214" s="185"/>
      <c r="M214" s="185"/>
      <c r="N214" s="185"/>
      <c r="O214" s="185"/>
      <c r="P214" s="185"/>
      <c r="Q214" s="185"/>
      <c r="R214" s="185"/>
      <c r="S214" s="185"/>
      <c r="T214" s="185"/>
      <c r="U214" s="185"/>
      <c r="V214" s="185"/>
      <c r="W214" s="185"/>
    </row>
    <row r="215" spans="1:23">
      <c r="A215" s="185">
        <v>11925</v>
      </c>
      <c r="B215" s="185">
        <v>11937</v>
      </c>
      <c r="C215" s="185"/>
      <c r="D215" s="185"/>
      <c r="E215" s="185"/>
      <c r="F215" s="185"/>
      <c r="G215" s="185"/>
      <c r="H215" s="185"/>
      <c r="I215" s="185"/>
      <c r="J215" s="185"/>
      <c r="K215" s="185"/>
      <c r="L215" s="185"/>
      <c r="M215" s="185"/>
      <c r="N215" s="185"/>
      <c r="O215" s="185"/>
      <c r="P215" s="185"/>
      <c r="Q215" s="185"/>
      <c r="R215" s="185"/>
      <c r="S215" s="185"/>
      <c r="T215" s="185"/>
      <c r="U215" s="185"/>
      <c r="V215" s="185"/>
      <c r="W215" s="185"/>
    </row>
    <row r="216" spans="1:23">
      <c r="A216" s="185">
        <v>11939</v>
      </c>
      <c r="B216" s="185">
        <v>11945</v>
      </c>
      <c r="C216" s="185"/>
      <c r="D216" s="185"/>
      <c r="E216" s="185"/>
      <c r="F216" s="185"/>
      <c r="G216" s="185"/>
      <c r="H216" s="185"/>
      <c r="I216" s="185"/>
      <c r="J216" s="185"/>
      <c r="K216" s="185"/>
      <c r="L216" s="185"/>
      <c r="M216" s="185"/>
      <c r="N216" s="185"/>
      <c r="O216" s="185"/>
      <c r="P216" s="185"/>
      <c r="Q216" s="185"/>
      <c r="R216" s="185"/>
      <c r="S216" s="185"/>
      <c r="T216" s="185"/>
      <c r="U216" s="185"/>
      <c r="V216" s="185"/>
      <c r="W216" s="185"/>
    </row>
    <row r="217" spans="1:23">
      <c r="A217" s="185">
        <v>11939</v>
      </c>
      <c r="B217" s="185">
        <v>11946</v>
      </c>
      <c r="C217" s="185"/>
      <c r="D217" s="185"/>
      <c r="E217" s="185"/>
      <c r="F217" s="185"/>
      <c r="G217" s="185"/>
      <c r="H217" s="185"/>
      <c r="I217" s="185"/>
      <c r="J217" s="185"/>
      <c r="K217" s="185"/>
      <c r="L217" s="185"/>
      <c r="M217" s="185"/>
      <c r="N217" s="185"/>
      <c r="O217" s="185"/>
      <c r="P217" s="185"/>
      <c r="Q217" s="185"/>
      <c r="R217" s="185"/>
      <c r="S217" s="185"/>
      <c r="T217" s="185"/>
      <c r="U217" s="185"/>
      <c r="V217" s="185"/>
      <c r="W217" s="185"/>
    </row>
    <row r="218" spans="1:23">
      <c r="A218" s="185">
        <v>11939</v>
      </c>
      <c r="B218" s="185">
        <v>11947</v>
      </c>
      <c r="C218" s="185"/>
      <c r="D218" s="185"/>
      <c r="E218" s="185"/>
      <c r="F218" s="185"/>
      <c r="G218" s="185"/>
      <c r="H218" s="185"/>
      <c r="I218" s="185"/>
      <c r="J218" s="185"/>
      <c r="K218" s="185"/>
      <c r="L218" s="185"/>
      <c r="M218" s="185"/>
      <c r="N218" s="185"/>
      <c r="O218" s="185"/>
      <c r="P218" s="185"/>
      <c r="Q218" s="185"/>
      <c r="R218" s="185"/>
      <c r="S218" s="185"/>
      <c r="T218" s="185"/>
      <c r="U218" s="185"/>
      <c r="V218" s="185"/>
      <c r="W218" s="185"/>
    </row>
    <row r="219" spans="1:23">
      <c r="A219" s="185">
        <v>11939</v>
      </c>
      <c r="B219" s="185">
        <v>11948</v>
      </c>
      <c r="C219" s="185"/>
      <c r="D219" s="185"/>
      <c r="E219" s="185"/>
      <c r="F219" s="185"/>
      <c r="G219" s="185"/>
      <c r="H219" s="185"/>
      <c r="I219" s="185"/>
      <c r="J219" s="185"/>
      <c r="K219" s="185"/>
      <c r="L219" s="185"/>
      <c r="M219" s="185"/>
      <c r="N219" s="185"/>
      <c r="O219" s="185"/>
      <c r="P219" s="185"/>
      <c r="Q219" s="185"/>
      <c r="R219" s="185"/>
      <c r="S219" s="185"/>
      <c r="T219" s="185"/>
      <c r="U219" s="185"/>
      <c r="V219" s="185"/>
      <c r="W219" s="185"/>
    </row>
    <row r="220" spans="1:23">
      <c r="A220" s="185">
        <v>11939</v>
      </c>
      <c r="B220" s="185">
        <v>11950</v>
      </c>
      <c r="C220" s="185"/>
      <c r="D220" s="185"/>
      <c r="E220" s="185"/>
      <c r="F220" s="185"/>
      <c r="G220" s="185"/>
      <c r="H220" s="185"/>
      <c r="I220" s="185"/>
      <c r="J220" s="185"/>
      <c r="K220" s="185"/>
      <c r="L220" s="185"/>
      <c r="M220" s="185"/>
      <c r="N220" s="185"/>
      <c r="O220" s="185"/>
      <c r="P220" s="185"/>
      <c r="Q220" s="185"/>
      <c r="R220" s="185"/>
      <c r="S220" s="185"/>
      <c r="T220" s="185"/>
      <c r="U220" s="185"/>
      <c r="V220" s="185"/>
      <c r="W220" s="185"/>
    </row>
  </sheetData>
  <sheetProtection formatColumns="0"/>
  <autoFilter ref="A1:W220" xr:uid="{00000000-0009-0000-0000-000007000000}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9 J11:J21" xr:uid="{00000000-0002-0000-0700-000000000000}">
      <formula1>israel_abroad</formula1>
    </dataValidation>
    <dataValidation type="list" allowBlank="1" showInputMessage="1" showErrorMessage="1" sqref="N2:N9 N11:N21" xr:uid="{00000000-0002-0000-0700-000001000000}">
      <formula1>Holding_interest</formula1>
    </dataValidation>
    <dataValidation type="list" allowBlank="1" showInputMessage="1" showErrorMessage="1" sqref="K3:K9 K11:K21" xr:uid="{00000000-0002-0000-0700-000002000000}">
      <formula1>Country_list</formula1>
    </dataValidation>
    <dataValidation type="list" allowBlank="1" showInputMessage="1" showErrorMessage="1" sqref="M10 M2:M9 M11:M21" xr:uid="{00000000-0002-0000-0700-000003000000}">
      <formula1>Fund_type</formula1>
    </dataValidation>
    <dataValidation type="list" allowBlank="1" showInputMessage="1" showErrorMessage="1" sqref="E2:E9 E11:E21" xr:uid="{00000000-0002-0000-0700-000004000000}">
      <formula1>Issuer_Type_TFunds</formula1>
    </dataValidation>
    <dataValidation type="list" allowBlank="1" showInputMessage="1" showErrorMessage="1" sqref="H2:H9 H11:H21" xr:uid="{00000000-0002-0000-0700-000005000000}">
      <formula1>Security_ID_Number_Type</formula1>
    </dataValidation>
    <dataValidation type="list" allowBlank="1" showInputMessage="1" showErrorMessage="1" sqref="K2" xr:uid="{00000000-0002-0000-0700-000006000000}">
      <formula1>Country_list_funds</formula1>
    </dataValidation>
    <dataValidation type="list" allowBlank="1" showInputMessage="1" showErrorMessage="1" sqref="L2:L9 L11:L21" xr:uid="{00000000-0002-0000-0700-000007000000}">
      <formula1>Stock_Exchange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8000000}">
          <x14:formula1>
            <xm:f>'אפשרויות בחירה'!$C$891:$C$896</xm:f>
          </x14:formula1>
          <xm:sqref>I2:I9 I11:I21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0"/>
  <dimension ref="A1:W1048532"/>
  <sheetViews>
    <sheetView rightToLeft="1" workbookViewId="0">
      <pane ySplit="1" topLeftCell="A2" activePane="bottomLeft" state="frozen"/>
      <selection pane="bottomLeft" activeCell="A2" sqref="A2:XFD4"/>
    </sheetView>
  </sheetViews>
  <sheetFormatPr defaultColWidth="9" defaultRowHeight="15"/>
  <cols>
    <col min="1" max="5" width="11.5703125" style="4" customWidth="1"/>
    <col min="6" max="6" width="26.42578125" style="4" bestFit="1" customWidth="1"/>
    <col min="7" max="7" width="11.28515625" style="4" bestFit="1" customWidth="1"/>
    <col min="8" max="12" width="11.5703125" style="4" customWidth="1"/>
    <col min="13" max="13" width="11.5703125" style="2"/>
    <col min="14" max="14" width="50.85546875" style="4" bestFit="1" customWidth="1"/>
    <col min="15" max="24" width="11.5703125" style="4" customWidth="1"/>
    <col min="25" max="16384" width="9" style="4"/>
  </cols>
  <sheetData>
    <row r="1" spans="1:23" ht="66.75" customHeight="1">
      <c r="A1" s="21" t="s">
        <v>667</v>
      </c>
      <c r="B1" s="21" t="s">
        <v>0</v>
      </c>
      <c r="C1" s="21" t="s">
        <v>740</v>
      </c>
      <c r="D1" s="21" t="s">
        <v>2</v>
      </c>
      <c r="E1" s="21" t="s">
        <v>756</v>
      </c>
      <c r="F1" s="21" t="s">
        <v>3</v>
      </c>
      <c r="G1" s="21" t="s">
        <v>29</v>
      </c>
      <c r="H1" s="21" t="s">
        <v>28</v>
      </c>
      <c r="I1" s="21" t="s">
        <v>1</v>
      </c>
      <c r="J1" s="21" t="s">
        <v>620</v>
      </c>
      <c r="K1" s="21" t="s">
        <v>621</v>
      </c>
      <c r="L1" s="21" t="s">
        <v>625</v>
      </c>
      <c r="M1" s="21" t="s">
        <v>5</v>
      </c>
      <c r="N1" s="21" t="s">
        <v>300</v>
      </c>
      <c r="O1" s="21" t="s">
        <v>622</v>
      </c>
      <c r="P1" s="21" t="s">
        <v>396</v>
      </c>
      <c r="Q1" s="21" t="s">
        <v>789</v>
      </c>
      <c r="R1" s="21" t="s">
        <v>11</v>
      </c>
      <c r="S1" s="21" t="s">
        <v>15</v>
      </c>
      <c r="T1" s="21" t="s">
        <v>1171</v>
      </c>
      <c r="U1" s="21" t="s">
        <v>18</v>
      </c>
      <c r="V1" s="21" t="s">
        <v>19</v>
      </c>
      <c r="W1" s="21" t="s">
        <v>30</v>
      </c>
    </row>
    <row r="2" spans="1:23" thickBot="1">
      <c r="A2" s="160">
        <v>7891</v>
      </c>
      <c r="B2" s="160">
        <v>7895</v>
      </c>
      <c r="C2" s="161" t="s">
        <v>1306</v>
      </c>
      <c r="D2" s="161" t="s">
        <v>1611</v>
      </c>
      <c r="E2" s="161" t="s">
        <v>429</v>
      </c>
      <c r="F2" s="161" t="s">
        <v>1429</v>
      </c>
      <c r="G2" s="167" t="s">
        <v>1720</v>
      </c>
      <c r="H2" s="161" t="s">
        <v>76</v>
      </c>
      <c r="I2" s="161" t="s">
        <v>212</v>
      </c>
      <c r="J2" s="161" t="s">
        <v>53</v>
      </c>
      <c r="K2" s="161" t="s">
        <v>53</v>
      </c>
      <c r="L2" s="161" t="s">
        <v>821</v>
      </c>
      <c r="M2" s="161" t="s">
        <v>311</v>
      </c>
      <c r="N2" s="161" t="s">
        <v>1029</v>
      </c>
      <c r="O2" s="161" t="s">
        <v>62</v>
      </c>
      <c r="P2" s="161" t="s">
        <v>1208</v>
      </c>
      <c r="Q2" s="170">
        <v>60260</v>
      </c>
      <c r="R2" s="162">
        <v>1</v>
      </c>
      <c r="S2" s="162">
        <v>119.67</v>
      </c>
      <c r="T2" s="162">
        <v>72.113140000000001</v>
      </c>
      <c r="U2" s="163">
        <v>6.6095174373310115E-4</v>
      </c>
      <c r="V2" s="163">
        <f>+T2/SUM(T2:T4)</f>
        <v>0.33360005680807547</v>
      </c>
      <c r="W2" s="163">
        <f>+T2/'סכום נכסים'!$B$30</f>
        <v>6.1818798538481795E-5</v>
      </c>
    </row>
    <row r="3" spans="1:23" thickBot="1">
      <c r="A3" s="160">
        <v>7891</v>
      </c>
      <c r="B3" s="160">
        <v>7895</v>
      </c>
      <c r="C3" s="161" t="s">
        <v>1310</v>
      </c>
      <c r="D3" s="161" t="s">
        <v>1615</v>
      </c>
      <c r="E3" s="161" t="s">
        <v>429</v>
      </c>
      <c r="F3" s="161" t="s">
        <v>1719</v>
      </c>
      <c r="G3" s="167" t="s">
        <v>1721</v>
      </c>
      <c r="H3" s="161" t="s">
        <v>76</v>
      </c>
      <c r="I3" s="161" t="s">
        <v>212</v>
      </c>
      <c r="J3" s="161" t="s">
        <v>53</v>
      </c>
      <c r="K3" s="161" t="s">
        <v>53</v>
      </c>
      <c r="L3" s="161" t="s">
        <v>821</v>
      </c>
      <c r="M3" s="161" t="s">
        <v>311</v>
      </c>
      <c r="N3" s="161" t="s">
        <v>1029</v>
      </c>
      <c r="O3" s="161" t="s">
        <v>62</v>
      </c>
      <c r="P3" s="161" t="s">
        <v>1208</v>
      </c>
      <c r="Q3" s="170">
        <v>70740</v>
      </c>
      <c r="R3" s="162">
        <v>1</v>
      </c>
      <c r="S3" s="162">
        <v>100.91</v>
      </c>
      <c r="T3" s="162">
        <v>71.38373</v>
      </c>
      <c r="U3" s="163">
        <v>1.4657850102669406E-3</v>
      </c>
      <c r="V3" s="163">
        <f>+T3/SUM(T2:T4)</f>
        <v>0.33022575890014383</v>
      </c>
      <c r="W3" s="163">
        <f>+T3/'סכום נכסים'!$B$30</f>
        <v>6.1193513745142411E-5</v>
      </c>
    </row>
    <row r="4" spans="1:23" thickBot="1">
      <c r="A4" s="160">
        <v>7891</v>
      </c>
      <c r="B4" s="160">
        <v>7895</v>
      </c>
      <c r="C4" s="161" t="s">
        <v>1310</v>
      </c>
      <c r="D4" s="161" t="s">
        <v>1615</v>
      </c>
      <c r="E4" s="161" t="s">
        <v>429</v>
      </c>
      <c r="F4" s="161" t="s">
        <v>1416</v>
      </c>
      <c r="G4" s="167" t="s">
        <v>1722</v>
      </c>
      <c r="H4" s="161" t="s">
        <v>76</v>
      </c>
      <c r="I4" s="161" t="s">
        <v>212</v>
      </c>
      <c r="J4" s="161" t="s">
        <v>53</v>
      </c>
      <c r="K4" s="161" t="s">
        <v>53</v>
      </c>
      <c r="L4" s="161" t="s">
        <v>821</v>
      </c>
      <c r="M4" s="161" t="s">
        <v>311</v>
      </c>
      <c r="N4" s="161" t="s">
        <v>1029</v>
      </c>
      <c r="O4" s="161" t="s">
        <v>62</v>
      </c>
      <c r="P4" s="161" t="s">
        <v>1208</v>
      </c>
      <c r="Q4" s="170">
        <v>16050</v>
      </c>
      <c r="R4" s="162">
        <v>1</v>
      </c>
      <c r="S4" s="162">
        <v>452.77</v>
      </c>
      <c r="T4" s="162">
        <v>72.669579999999996</v>
      </c>
      <c r="U4" s="163">
        <v>4.4582564417177915E-3</v>
      </c>
      <c r="V4" s="163">
        <f>+T4/SUM(T2:T4)</f>
        <v>0.3361741842917807</v>
      </c>
      <c r="W4" s="163">
        <f>+T4/'סכום נכסים'!$B$30</f>
        <v>6.2295805256796274E-5</v>
      </c>
    </row>
    <row r="5" spans="1:23" thickBot="1">
      <c r="A5" s="160">
        <v>7891</v>
      </c>
      <c r="B5" s="160">
        <v>7897</v>
      </c>
      <c r="C5" s="161" t="s">
        <v>1382</v>
      </c>
      <c r="D5" s="161">
        <v>511944670</v>
      </c>
      <c r="E5" s="161" t="s">
        <v>429</v>
      </c>
      <c r="F5" s="161" t="s">
        <v>1383</v>
      </c>
      <c r="G5" s="161" t="s">
        <v>1699</v>
      </c>
      <c r="H5" s="161" t="s">
        <v>76</v>
      </c>
      <c r="I5" s="161" t="s">
        <v>211</v>
      </c>
      <c r="J5" s="161" t="s">
        <v>53</v>
      </c>
      <c r="K5" s="161" t="s">
        <v>53</v>
      </c>
      <c r="L5" s="161" t="s">
        <v>821</v>
      </c>
      <c r="M5" s="161" t="s">
        <v>311</v>
      </c>
      <c r="N5" s="161" t="s">
        <v>1059</v>
      </c>
      <c r="O5" s="161" t="s">
        <v>62</v>
      </c>
      <c r="P5" s="161" t="s">
        <v>1208</v>
      </c>
      <c r="Q5" s="170">
        <v>2843030</v>
      </c>
      <c r="R5" s="162">
        <v>1</v>
      </c>
      <c r="S5" s="162">
        <v>134.08000000000001</v>
      </c>
      <c r="T5" s="162">
        <v>3811.93462</v>
      </c>
      <c r="U5" s="163">
        <v>1.454217769E-3</v>
      </c>
      <c r="V5" s="163">
        <v>0.30154947129300003</v>
      </c>
      <c r="W5" s="163">
        <v>4.1733094079999998E-2</v>
      </c>
    </row>
    <row r="6" spans="1:23" thickBot="1">
      <c r="A6" s="160">
        <v>7891</v>
      </c>
      <c r="B6" s="160">
        <v>7897</v>
      </c>
      <c r="C6" s="161" t="s">
        <v>1339</v>
      </c>
      <c r="D6" s="161">
        <v>514884485</v>
      </c>
      <c r="E6" s="161" t="s">
        <v>429</v>
      </c>
      <c r="F6" s="161" t="s">
        <v>1384</v>
      </c>
      <c r="G6" s="161" t="s">
        <v>1700</v>
      </c>
      <c r="H6" s="161" t="s">
        <v>76</v>
      </c>
      <c r="I6" s="161" t="s">
        <v>211</v>
      </c>
      <c r="J6" s="161" t="s">
        <v>53</v>
      </c>
      <c r="K6" s="161" t="s">
        <v>53</v>
      </c>
      <c r="L6" s="161" t="s">
        <v>821</v>
      </c>
      <c r="M6" s="161" t="s">
        <v>311</v>
      </c>
      <c r="N6" s="161" t="s">
        <v>1059</v>
      </c>
      <c r="O6" s="161" t="s">
        <v>62</v>
      </c>
      <c r="P6" s="161" t="s">
        <v>1208</v>
      </c>
      <c r="Q6" s="170">
        <v>4028370</v>
      </c>
      <c r="R6" s="162">
        <v>1</v>
      </c>
      <c r="S6" s="162">
        <v>110.23</v>
      </c>
      <c r="T6" s="162">
        <v>4440.4722499999998</v>
      </c>
      <c r="U6" s="163">
        <v>8.7828585399999997E-4</v>
      </c>
      <c r="V6" s="163">
        <v>0.35127099301600001</v>
      </c>
      <c r="W6" s="163">
        <v>4.8614329636E-2</v>
      </c>
    </row>
    <row r="7" spans="1:23" thickBot="1">
      <c r="A7" s="160">
        <v>7891</v>
      </c>
      <c r="B7" s="160">
        <v>7897</v>
      </c>
      <c r="C7" s="161" t="s">
        <v>1306</v>
      </c>
      <c r="D7" s="161">
        <v>510938608</v>
      </c>
      <c r="E7" s="161" t="s">
        <v>429</v>
      </c>
      <c r="F7" s="161" t="s">
        <v>1417</v>
      </c>
      <c r="G7" s="161" t="s">
        <v>1701</v>
      </c>
      <c r="H7" s="161" t="s">
        <v>76</v>
      </c>
      <c r="I7" s="161" t="s">
        <v>211</v>
      </c>
      <c r="J7" s="161" t="s">
        <v>53</v>
      </c>
      <c r="K7" s="161" t="s">
        <v>53</v>
      </c>
      <c r="L7" s="161" t="s">
        <v>821</v>
      </c>
      <c r="M7" s="161" t="s">
        <v>311</v>
      </c>
      <c r="N7" s="161" t="s">
        <v>1059</v>
      </c>
      <c r="O7" s="161" t="s">
        <v>62</v>
      </c>
      <c r="P7" s="161" t="s">
        <v>1208</v>
      </c>
      <c r="Q7" s="170">
        <v>4014224.36</v>
      </c>
      <c r="R7" s="162">
        <v>1</v>
      </c>
      <c r="S7" s="162">
        <v>109.33</v>
      </c>
      <c r="T7" s="162">
        <v>4388.7514899999996</v>
      </c>
      <c r="U7" s="163">
        <v>4.4526165100000002E-4</v>
      </c>
      <c r="V7" s="163">
        <v>0.34717953568900001</v>
      </c>
      <c r="W7" s="163">
        <v>4.8048090295999997E-2</v>
      </c>
    </row>
    <row r="8" spans="1:23" thickBot="1">
      <c r="A8" s="160">
        <v>11925</v>
      </c>
      <c r="B8" s="160">
        <v>11928</v>
      </c>
      <c r="C8" s="161" t="s">
        <v>1382</v>
      </c>
      <c r="D8" s="161">
        <v>511944670</v>
      </c>
      <c r="E8" s="161" t="s">
        <v>429</v>
      </c>
      <c r="F8" s="161" t="s">
        <v>1383</v>
      </c>
      <c r="G8" s="161" t="s">
        <v>1699</v>
      </c>
      <c r="H8" s="161" t="s">
        <v>76</v>
      </c>
      <c r="I8" s="161" t="s">
        <v>211</v>
      </c>
      <c r="J8" s="161" t="s">
        <v>53</v>
      </c>
      <c r="K8" s="161" t="s">
        <v>53</v>
      </c>
      <c r="L8" s="161" t="s">
        <v>821</v>
      </c>
      <c r="M8" s="161" t="s">
        <v>311</v>
      </c>
      <c r="N8" s="161" t="s">
        <v>1058</v>
      </c>
      <c r="O8" s="161" t="s">
        <v>62</v>
      </c>
      <c r="P8" s="161" t="s">
        <v>1208</v>
      </c>
      <c r="Q8" s="170">
        <v>4042470</v>
      </c>
      <c r="R8" s="162">
        <v>1</v>
      </c>
      <c r="S8" s="162">
        <v>134.08000000000001</v>
      </c>
      <c r="T8" s="162">
        <v>5420.1437800000003</v>
      </c>
      <c r="U8" s="163">
        <v>2.0677346719999998E-3</v>
      </c>
      <c r="V8" s="163">
        <v>0.27918357009599998</v>
      </c>
      <c r="W8" s="163">
        <v>4.1881144028999999E-2</v>
      </c>
    </row>
    <row r="9" spans="1:23" thickBot="1">
      <c r="A9" s="160">
        <v>11925</v>
      </c>
      <c r="B9" s="160">
        <v>11928</v>
      </c>
      <c r="C9" s="161" t="s">
        <v>1339</v>
      </c>
      <c r="D9" s="161">
        <v>514884485</v>
      </c>
      <c r="E9" s="161" t="s">
        <v>429</v>
      </c>
      <c r="F9" s="161" t="s">
        <v>1384</v>
      </c>
      <c r="G9" s="167" t="s">
        <v>1700</v>
      </c>
      <c r="H9" s="161" t="s">
        <v>76</v>
      </c>
      <c r="I9" s="161" t="s">
        <v>211</v>
      </c>
      <c r="J9" s="161" t="s">
        <v>53</v>
      </c>
      <c r="K9" s="161" t="s">
        <v>53</v>
      </c>
      <c r="L9" s="161" t="s">
        <v>821</v>
      </c>
      <c r="M9" s="161" t="s">
        <v>311</v>
      </c>
      <c r="N9" s="161" t="s">
        <v>1059</v>
      </c>
      <c r="O9" s="161" t="s">
        <v>62</v>
      </c>
      <c r="P9" s="161" t="s">
        <v>1208</v>
      </c>
      <c r="Q9" s="170">
        <v>5300320</v>
      </c>
      <c r="R9" s="162">
        <v>1</v>
      </c>
      <c r="S9" s="162">
        <v>110.23</v>
      </c>
      <c r="T9" s="162">
        <v>5842.5427399999999</v>
      </c>
      <c r="U9" s="163">
        <v>1.155602906E-3</v>
      </c>
      <c r="V9" s="163">
        <v>0.30094071426899999</v>
      </c>
      <c r="W9" s="163">
        <v>4.5144996871000001E-2</v>
      </c>
    </row>
    <row r="10" spans="1:23" thickBot="1">
      <c r="A10" s="160">
        <v>11925</v>
      </c>
      <c r="B10" s="160">
        <v>11928</v>
      </c>
      <c r="C10" s="161" t="s">
        <v>1306</v>
      </c>
      <c r="D10" s="161">
        <v>510938608</v>
      </c>
      <c r="E10" s="161" t="s">
        <v>429</v>
      </c>
      <c r="F10" s="161" t="s">
        <v>1417</v>
      </c>
      <c r="G10" s="167" t="s">
        <v>1701</v>
      </c>
      <c r="H10" s="161" t="s">
        <v>76</v>
      </c>
      <c r="I10" s="161" t="s">
        <v>211</v>
      </c>
      <c r="J10" s="161" t="s">
        <v>53</v>
      </c>
      <c r="K10" s="161" t="s">
        <v>53</v>
      </c>
      <c r="L10" s="161" t="s">
        <v>821</v>
      </c>
      <c r="M10" s="161" t="s">
        <v>311</v>
      </c>
      <c r="N10" s="161" t="s">
        <v>1059</v>
      </c>
      <c r="O10" s="161" t="s">
        <v>62</v>
      </c>
      <c r="P10" s="161" t="s">
        <v>1208</v>
      </c>
      <c r="Q10" s="170">
        <v>7455939.2300000004</v>
      </c>
      <c r="R10" s="162">
        <v>1</v>
      </c>
      <c r="S10" s="162">
        <v>109.33</v>
      </c>
      <c r="T10" s="162">
        <v>8151.5783600000004</v>
      </c>
      <c r="U10" s="163">
        <v>8.2701999600000005E-4</v>
      </c>
      <c r="V10" s="163">
        <v>0.419875715634</v>
      </c>
      <c r="W10" s="163">
        <v>6.2986784338999999E-2</v>
      </c>
    </row>
    <row r="11" spans="1:23" thickBot="1">
      <c r="A11" s="160">
        <v>11939</v>
      </c>
      <c r="B11" s="160">
        <v>11942</v>
      </c>
      <c r="C11" s="161" t="s">
        <v>1382</v>
      </c>
      <c r="D11" s="161">
        <v>511944670</v>
      </c>
      <c r="E11" s="161" t="s">
        <v>429</v>
      </c>
      <c r="F11" s="161" t="s">
        <v>1383</v>
      </c>
      <c r="G11" s="167" t="s">
        <v>1699</v>
      </c>
      <c r="H11" s="161" t="s">
        <v>76</v>
      </c>
      <c r="I11" s="161" t="s">
        <v>211</v>
      </c>
      <c r="J11" s="161" t="s">
        <v>53</v>
      </c>
      <c r="K11" s="161" t="s">
        <v>53</v>
      </c>
      <c r="L11" s="161" t="s">
        <v>821</v>
      </c>
      <c r="M11" s="161" t="s">
        <v>311</v>
      </c>
      <c r="N11" s="161" t="s">
        <v>1058</v>
      </c>
      <c r="O11" s="161" t="s">
        <v>62</v>
      </c>
      <c r="P11" s="161" t="s">
        <v>1208</v>
      </c>
      <c r="Q11" s="170">
        <v>6960638</v>
      </c>
      <c r="R11" s="162">
        <v>1</v>
      </c>
      <c r="S11" s="162">
        <v>134.08000000000001</v>
      </c>
      <c r="T11" s="162">
        <v>9332.8234300000004</v>
      </c>
      <c r="U11" s="163">
        <v>3.5603857370000002E-3</v>
      </c>
      <c r="V11" s="163">
        <v>0.27623646606500002</v>
      </c>
      <c r="W11" s="163">
        <v>3.360970353E-2</v>
      </c>
    </row>
    <row r="12" spans="1:23" thickBot="1">
      <c r="A12" s="160">
        <v>11939</v>
      </c>
      <c r="B12" s="160">
        <v>11942</v>
      </c>
      <c r="C12" s="161" t="s">
        <v>1339</v>
      </c>
      <c r="D12" s="161">
        <v>514884485</v>
      </c>
      <c r="E12" s="161" t="s">
        <v>429</v>
      </c>
      <c r="F12" s="161" t="s">
        <v>1384</v>
      </c>
      <c r="G12" s="167" t="s">
        <v>1700</v>
      </c>
      <c r="H12" s="161" t="s">
        <v>76</v>
      </c>
      <c r="I12" s="161" t="s">
        <v>211</v>
      </c>
      <c r="J12" s="161" t="s">
        <v>53</v>
      </c>
      <c r="K12" s="161" t="s">
        <v>53</v>
      </c>
      <c r="L12" s="161" t="s">
        <v>821</v>
      </c>
      <c r="M12" s="161" t="s">
        <v>311</v>
      </c>
      <c r="N12" s="161" t="s">
        <v>1059</v>
      </c>
      <c r="O12" s="161" t="s">
        <v>62</v>
      </c>
      <c r="P12" s="161" t="s">
        <v>1208</v>
      </c>
      <c r="Q12" s="170">
        <v>7587682</v>
      </c>
      <c r="R12" s="162">
        <v>1</v>
      </c>
      <c r="S12" s="162">
        <v>110.23</v>
      </c>
      <c r="T12" s="162">
        <v>8363.9018699999997</v>
      </c>
      <c r="U12" s="163">
        <v>1.654305281E-3</v>
      </c>
      <c r="V12" s="163">
        <v>0.247557956326</v>
      </c>
      <c r="W12" s="163">
        <v>3.0120387931000001E-2</v>
      </c>
    </row>
    <row r="13" spans="1:23" thickBot="1">
      <c r="A13" s="160">
        <v>11939</v>
      </c>
      <c r="B13" s="160">
        <v>11942</v>
      </c>
      <c r="C13" s="161" t="s">
        <v>1308</v>
      </c>
      <c r="D13" s="161">
        <v>511776783</v>
      </c>
      <c r="E13" s="161" t="s">
        <v>429</v>
      </c>
      <c r="F13" s="161" t="s">
        <v>1385</v>
      </c>
      <c r="G13" s="167" t="s">
        <v>1702</v>
      </c>
      <c r="H13" s="161" t="s">
        <v>76</v>
      </c>
      <c r="I13" s="161" t="s">
        <v>211</v>
      </c>
      <c r="J13" s="161" t="s">
        <v>53</v>
      </c>
      <c r="K13" s="161" t="s">
        <v>53</v>
      </c>
      <c r="L13" s="161" t="s">
        <v>821</v>
      </c>
      <c r="M13" s="161" t="s">
        <v>311</v>
      </c>
      <c r="N13" s="161" t="s">
        <v>1059</v>
      </c>
      <c r="O13" s="161" t="s">
        <v>62</v>
      </c>
      <c r="P13" s="161" t="s">
        <v>1208</v>
      </c>
      <c r="Q13" s="170">
        <v>835445</v>
      </c>
      <c r="R13" s="162">
        <v>1</v>
      </c>
      <c r="S13" s="162">
        <v>1095.57</v>
      </c>
      <c r="T13" s="162">
        <v>9152.8847900000001</v>
      </c>
      <c r="U13" s="163">
        <v>5.37210628568683E-5</v>
      </c>
      <c r="V13" s="163">
        <v>0.27091057359499998</v>
      </c>
      <c r="W13" s="163">
        <v>3.2961701948000001E-2</v>
      </c>
    </row>
    <row r="14" spans="1:23" thickBot="1">
      <c r="A14" s="160">
        <v>11939</v>
      </c>
      <c r="B14" s="160">
        <v>11942</v>
      </c>
      <c r="C14" s="161" t="s">
        <v>1306</v>
      </c>
      <c r="D14" s="161">
        <v>510938608</v>
      </c>
      <c r="E14" s="161" t="s">
        <v>429</v>
      </c>
      <c r="F14" s="161" t="s">
        <v>1417</v>
      </c>
      <c r="G14" s="167" t="s">
        <v>1701</v>
      </c>
      <c r="H14" s="161" t="s">
        <v>76</v>
      </c>
      <c r="I14" s="161" t="s">
        <v>211</v>
      </c>
      <c r="J14" s="161" t="s">
        <v>53</v>
      </c>
      <c r="K14" s="161" t="s">
        <v>53</v>
      </c>
      <c r="L14" s="161" t="s">
        <v>821</v>
      </c>
      <c r="M14" s="161" t="s">
        <v>311</v>
      </c>
      <c r="N14" s="161" t="s">
        <v>1059</v>
      </c>
      <c r="O14" s="161" t="s">
        <v>62</v>
      </c>
      <c r="P14" s="161" t="s">
        <v>1208</v>
      </c>
      <c r="Q14" s="170">
        <v>6344115.3799999999</v>
      </c>
      <c r="R14" s="162">
        <v>1</v>
      </c>
      <c r="S14" s="162">
        <v>109.33</v>
      </c>
      <c r="T14" s="162">
        <v>6936.0213400000002</v>
      </c>
      <c r="U14" s="163">
        <v>7.0369541800000001E-4</v>
      </c>
      <c r="V14" s="163">
        <v>0.20529500401199999</v>
      </c>
      <c r="W14" s="163">
        <v>2.4978252579E-2</v>
      </c>
    </row>
    <row r="15" spans="1:23" thickBot="1">
      <c r="A15" s="160">
        <v>11939</v>
      </c>
      <c r="B15" s="160">
        <v>11943</v>
      </c>
      <c r="C15" s="161" t="s">
        <v>1306</v>
      </c>
      <c r="D15" s="161">
        <v>510938608</v>
      </c>
      <c r="E15" s="161" t="s">
        <v>429</v>
      </c>
      <c r="F15" s="161" t="s">
        <v>1386</v>
      </c>
      <c r="G15" s="167" t="s">
        <v>1703</v>
      </c>
      <c r="H15" s="161" t="s">
        <v>76</v>
      </c>
      <c r="I15" s="161" t="s">
        <v>73</v>
      </c>
      <c r="J15" s="161" t="s">
        <v>53</v>
      </c>
      <c r="K15" s="161" t="s">
        <v>313</v>
      </c>
      <c r="L15" s="161" t="s">
        <v>821</v>
      </c>
      <c r="M15" s="161" t="s">
        <v>311</v>
      </c>
      <c r="N15" s="161" t="s">
        <v>1123</v>
      </c>
      <c r="O15" s="161" t="s">
        <v>62</v>
      </c>
      <c r="P15" s="161" t="s">
        <v>1208</v>
      </c>
      <c r="Q15" s="170">
        <v>52760</v>
      </c>
      <c r="R15" s="162">
        <v>1</v>
      </c>
      <c r="S15" s="162">
        <v>164.9</v>
      </c>
      <c r="T15" s="162">
        <v>87.001239999999996</v>
      </c>
      <c r="U15" s="163">
        <v>6.0396676500000003E-4</v>
      </c>
      <c r="V15" s="163">
        <v>1</v>
      </c>
      <c r="W15" s="163">
        <v>1.5070883661E-2</v>
      </c>
    </row>
    <row r="16" spans="1:23" thickBot="1">
      <c r="A16" s="160">
        <v>11939</v>
      </c>
      <c r="B16" s="160">
        <v>11944</v>
      </c>
      <c r="C16" s="161" t="s">
        <v>1418</v>
      </c>
      <c r="D16" s="161" t="s">
        <v>1704</v>
      </c>
      <c r="E16" s="161" t="s">
        <v>430</v>
      </c>
      <c r="F16" s="161" t="s">
        <v>1387</v>
      </c>
      <c r="G16" s="167" t="s">
        <v>1388</v>
      </c>
      <c r="H16" s="161" t="s">
        <v>76</v>
      </c>
      <c r="I16" s="161" t="s">
        <v>73</v>
      </c>
      <c r="J16" s="161" t="s">
        <v>61</v>
      </c>
      <c r="K16" s="161" t="s">
        <v>315</v>
      </c>
      <c r="L16" s="161" t="s">
        <v>821</v>
      </c>
      <c r="M16" s="161" t="s">
        <v>476</v>
      </c>
      <c r="N16" s="161" t="s">
        <v>775</v>
      </c>
      <c r="O16" s="161" t="s">
        <v>62</v>
      </c>
      <c r="P16" s="161" t="s">
        <v>1210</v>
      </c>
      <c r="Q16" s="170">
        <v>776.17</v>
      </c>
      <c r="R16" s="162">
        <v>3.71</v>
      </c>
      <c r="S16" s="162">
        <v>20302.099999999999</v>
      </c>
      <c r="T16" s="162">
        <v>584.61738000000003</v>
      </c>
      <c r="U16" s="163">
        <v>0</v>
      </c>
      <c r="V16" s="163">
        <v>0.21526148861200001</v>
      </c>
      <c r="W16" s="163">
        <v>2.5192955571E-2</v>
      </c>
    </row>
    <row r="17" spans="1:23" thickBot="1">
      <c r="A17" s="160">
        <v>11939</v>
      </c>
      <c r="B17" s="160">
        <v>11944</v>
      </c>
      <c r="C17" s="161" t="s">
        <v>1419</v>
      </c>
      <c r="D17" s="161" t="s">
        <v>1705</v>
      </c>
      <c r="E17" s="161" t="s">
        <v>430</v>
      </c>
      <c r="F17" s="161" t="s">
        <v>1389</v>
      </c>
      <c r="G17" s="167" t="s">
        <v>1390</v>
      </c>
      <c r="H17" s="161" t="s">
        <v>76</v>
      </c>
      <c r="I17" s="161" t="s">
        <v>211</v>
      </c>
      <c r="J17" s="161" t="s">
        <v>61</v>
      </c>
      <c r="K17" s="161" t="s">
        <v>314</v>
      </c>
      <c r="L17" s="161" t="s">
        <v>821</v>
      </c>
      <c r="M17" s="161" t="s">
        <v>476</v>
      </c>
      <c r="N17" s="161" t="s">
        <v>776</v>
      </c>
      <c r="O17" s="161" t="s">
        <v>62</v>
      </c>
      <c r="P17" s="161" t="s">
        <v>1210</v>
      </c>
      <c r="Q17" s="170">
        <v>9665.44</v>
      </c>
      <c r="R17" s="162">
        <v>3.71</v>
      </c>
      <c r="S17" s="162">
        <v>1743</v>
      </c>
      <c r="T17" s="162">
        <v>625.01858000000004</v>
      </c>
      <c r="U17" s="163">
        <v>0</v>
      </c>
      <c r="V17" s="163">
        <v>0.23013758150800001</v>
      </c>
      <c r="W17" s="163">
        <v>2.6933967164999999E-2</v>
      </c>
    </row>
    <row r="18" spans="1:23" thickBot="1">
      <c r="A18" s="160">
        <v>11939</v>
      </c>
      <c r="B18" s="160">
        <v>11944</v>
      </c>
      <c r="C18" s="161" t="s">
        <v>1420</v>
      </c>
      <c r="D18" s="161" t="s">
        <v>1706</v>
      </c>
      <c r="E18" s="161" t="s">
        <v>430</v>
      </c>
      <c r="F18" s="161" t="s">
        <v>1391</v>
      </c>
      <c r="G18" s="167" t="s">
        <v>1392</v>
      </c>
      <c r="H18" s="161" t="s">
        <v>76</v>
      </c>
      <c r="I18" s="161" t="s">
        <v>73</v>
      </c>
      <c r="J18" s="161" t="s">
        <v>61</v>
      </c>
      <c r="K18" s="161" t="s">
        <v>314</v>
      </c>
      <c r="L18" s="161" t="s">
        <v>821</v>
      </c>
      <c r="M18" s="161" t="s">
        <v>476</v>
      </c>
      <c r="N18" s="161" t="s">
        <v>775</v>
      </c>
      <c r="O18" s="161" t="s">
        <v>62</v>
      </c>
      <c r="P18" s="161" t="s">
        <v>1210</v>
      </c>
      <c r="Q18" s="170">
        <v>1357.09</v>
      </c>
      <c r="R18" s="162">
        <v>3.71</v>
      </c>
      <c r="S18" s="162">
        <v>22248.6</v>
      </c>
      <c r="T18" s="162">
        <v>1120.17338</v>
      </c>
      <c r="U18" s="163">
        <v>0</v>
      </c>
      <c r="V18" s="163">
        <v>0.41245812651500002</v>
      </c>
      <c r="W18" s="163">
        <v>4.8271705837000002E-2</v>
      </c>
    </row>
    <row r="19" spans="1:23" thickBot="1">
      <c r="A19" s="160">
        <v>11939</v>
      </c>
      <c r="B19" s="160">
        <v>11944</v>
      </c>
      <c r="C19" s="161" t="s">
        <v>1421</v>
      </c>
      <c r="D19" s="161" t="s">
        <v>1707</v>
      </c>
      <c r="E19" s="161" t="s">
        <v>430</v>
      </c>
      <c r="F19" s="161" t="s">
        <v>1393</v>
      </c>
      <c r="G19" s="167" t="s">
        <v>1394</v>
      </c>
      <c r="H19" s="161" t="s">
        <v>76</v>
      </c>
      <c r="I19" s="161" t="s">
        <v>73</v>
      </c>
      <c r="J19" s="161" t="s">
        <v>61</v>
      </c>
      <c r="K19" s="161" t="s">
        <v>314</v>
      </c>
      <c r="L19" s="161" t="s">
        <v>821</v>
      </c>
      <c r="M19" s="161" t="s">
        <v>476</v>
      </c>
      <c r="N19" s="161" t="s">
        <v>775</v>
      </c>
      <c r="O19" s="161" t="s">
        <v>62</v>
      </c>
      <c r="P19" s="161" t="s">
        <v>1210</v>
      </c>
      <c r="Q19" s="170">
        <v>824.95</v>
      </c>
      <c r="R19" s="162">
        <v>3.71</v>
      </c>
      <c r="S19" s="162">
        <v>12613.3</v>
      </c>
      <c r="T19" s="162">
        <v>386.03818000000001</v>
      </c>
      <c r="U19" s="163">
        <v>0</v>
      </c>
      <c r="V19" s="163">
        <v>0.142142803363</v>
      </c>
      <c r="W19" s="163">
        <v>1.6635568920999998E-2</v>
      </c>
    </row>
    <row r="20" spans="1:23" thickBot="1">
      <c r="A20" s="160">
        <v>11939</v>
      </c>
      <c r="B20" s="160">
        <v>11980</v>
      </c>
      <c r="C20" s="161" t="s">
        <v>1619</v>
      </c>
      <c r="D20" s="161">
        <v>513765339</v>
      </c>
      <c r="E20" s="161" t="s">
        <v>429</v>
      </c>
      <c r="F20" s="161" t="s">
        <v>1422</v>
      </c>
      <c r="G20" s="167" t="s">
        <v>1708</v>
      </c>
      <c r="H20" s="161" t="s">
        <v>76</v>
      </c>
      <c r="I20" s="161" t="s">
        <v>73</v>
      </c>
      <c r="J20" s="161" t="s">
        <v>53</v>
      </c>
      <c r="K20" s="161" t="s">
        <v>314</v>
      </c>
      <c r="L20" s="161" t="s">
        <v>821</v>
      </c>
      <c r="M20" s="161" t="s">
        <v>311</v>
      </c>
      <c r="N20" s="161" t="s">
        <v>1129</v>
      </c>
      <c r="O20" s="161" t="s">
        <v>62</v>
      </c>
      <c r="P20" s="161" t="s">
        <v>1208</v>
      </c>
      <c r="Q20" s="170">
        <v>184320</v>
      </c>
      <c r="R20" s="162">
        <v>1</v>
      </c>
      <c r="S20" s="162">
        <v>122.16</v>
      </c>
      <c r="T20" s="162">
        <v>225.16531000000001</v>
      </c>
      <c r="U20" s="163">
        <v>1.9456984099999999E-4</v>
      </c>
      <c r="V20" s="163">
        <v>1</v>
      </c>
      <c r="W20" s="163">
        <v>4.4755662198E-2</v>
      </c>
    </row>
    <row r="21" spans="1:23" thickBot="1">
      <c r="A21" s="160">
        <v>11939</v>
      </c>
      <c r="B21" s="160">
        <v>11981</v>
      </c>
      <c r="C21" s="161" t="s">
        <v>1619</v>
      </c>
      <c r="D21" s="161">
        <v>513765339</v>
      </c>
      <c r="E21" s="161" t="s">
        <v>429</v>
      </c>
      <c r="F21" s="161" t="s">
        <v>1422</v>
      </c>
      <c r="G21" s="167" t="s">
        <v>1708</v>
      </c>
      <c r="H21" s="161" t="s">
        <v>76</v>
      </c>
      <c r="I21" s="161" t="s">
        <v>73</v>
      </c>
      <c r="J21" s="161" t="s">
        <v>53</v>
      </c>
      <c r="K21" s="161" t="s">
        <v>314</v>
      </c>
      <c r="L21" s="161" t="s">
        <v>821</v>
      </c>
      <c r="M21" s="161" t="s">
        <v>311</v>
      </c>
      <c r="N21" s="161" t="s">
        <v>1129</v>
      </c>
      <c r="O21" s="161" t="s">
        <v>62</v>
      </c>
      <c r="P21" s="161" t="s">
        <v>1208</v>
      </c>
      <c r="Q21" s="170">
        <v>71630</v>
      </c>
      <c r="R21" s="162">
        <v>1</v>
      </c>
      <c r="S21" s="162">
        <v>122.16</v>
      </c>
      <c r="T21" s="162">
        <v>87.503209999999996</v>
      </c>
      <c r="U21" s="163">
        <v>7.5613269215645595E-5</v>
      </c>
      <c r="V21" s="163">
        <v>1</v>
      </c>
      <c r="W21" s="163">
        <v>3.0379423517000001E-2</v>
      </c>
    </row>
    <row r="22" spans="1:23" thickBot="1">
      <c r="A22" s="160">
        <v>11342</v>
      </c>
      <c r="B22" s="160">
        <v>11343</v>
      </c>
      <c r="C22" s="161" t="s">
        <v>1619</v>
      </c>
      <c r="D22" s="161">
        <v>513765339</v>
      </c>
      <c r="E22" s="161" t="s">
        <v>429</v>
      </c>
      <c r="F22" s="161" t="s">
        <v>1423</v>
      </c>
      <c r="G22" s="167" t="s">
        <v>1709</v>
      </c>
      <c r="H22" s="161" t="s">
        <v>76</v>
      </c>
      <c r="I22" s="161" t="s">
        <v>73</v>
      </c>
      <c r="J22" s="161" t="s">
        <v>53</v>
      </c>
      <c r="K22" s="161" t="s">
        <v>314</v>
      </c>
      <c r="L22" s="161" t="s">
        <v>821</v>
      </c>
      <c r="M22" s="161" t="s">
        <v>311</v>
      </c>
      <c r="N22" s="161" t="s">
        <v>1125</v>
      </c>
      <c r="O22" s="161" t="s">
        <v>62</v>
      </c>
      <c r="P22" s="161" t="s">
        <v>1208</v>
      </c>
      <c r="Q22" s="170">
        <v>4952705</v>
      </c>
      <c r="R22" s="162">
        <v>1</v>
      </c>
      <c r="S22" s="162">
        <v>228.09</v>
      </c>
      <c r="T22" s="162">
        <v>11296.624830000001</v>
      </c>
      <c r="U22" s="163">
        <v>4.4766479999999997E-3</v>
      </c>
      <c r="V22" s="163">
        <v>1</v>
      </c>
      <c r="W22" s="163">
        <v>2.4489696294E-2</v>
      </c>
    </row>
    <row r="23" spans="1:23" thickBot="1">
      <c r="A23" s="160">
        <v>11342</v>
      </c>
      <c r="B23" s="160">
        <v>11344</v>
      </c>
      <c r="C23" s="161" t="s">
        <v>1619</v>
      </c>
      <c r="D23" s="161">
        <v>513765339</v>
      </c>
      <c r="E23" s="161" t="s">
        <v>429</v>
      </c>
      <c r="F23" s="161" t="s">
        <v>1424</v>
      </c>
      <c r="G23" s="167" t="s">
        <v>1710</v>
      </c>
      <c r="H23" s="161" t="s">
        <v>76</v>
      </c>
      <c r="I23" s="161" t="s">
        <v>73</v>
      </c>
      <c r="J23" s="161" t="s">
        <v>53</v>
      </c>
      <c r="K23" s="161" t="s">
        <v>314</v>
      </c>
      <c r="L23" s="161" t="s">
        <v>821</v>
      </c>
      <c r="M23" s="161" t="s">
        <v>311</v>
      </c>
      <c r="N23" s="161" t="s">
        <v>1125</v>
      </c>
      <c r="O23" s="161" t="s">
        <v>62</v>
      </c>
      <c r="P23" s="161" t="s">
        <v>1210</v>
      </c>
      <c r="Q23" s="170">
        <v>15273</v>
      </c>
      <c r="R23" s="162">
        <v>3.71</v>
      </c>
      <c r="S23" s="162">
        <v>127.9</v>
      </c>
      <c r="T23" s="162">
        <v>72.471760000000003</v>
      </c>
      <c r="U23" s="163">
        <v>8.7881559341664695E-5</v>
      </c>
      <c r="V23" s="163">
        <v>1</v>
      </c>
      <c r="W23" s="163">
        <v>2.2984447971000001E-2</v>
      </c>
    </row>
    <row r="24" spans="1:23" s="47" customFormat="1" thickBot="1">
      <c r="A24" s="160">
        <v>11342</v>
      </c>
      <c r="B24" s="160">
        <v>11345</v>
      </c>
      <c r="C24" s="161" t="s">
        <v>1306</v>
      </c>
      <c r="D24" s="161">
        <v>510938608</v>
      </c>
      <c r="E24" s="161" t="s">
        <v>429</v>
      </c>
      <c r="F24" s="161" t="s">
        <v>1395</v>
      </c>
      <c r="G24" s="167" t="s">
        <v>1711</v>
      </c>
      <c r="H24" s="161" t="s">
        <v>76</v>
      </c>
      <c r="I24" s="161" t="s">
        <v>73</v>
      </c>
      <c r="J24" s="161" t="s">
        <v>53</v>
      </c>
      <c r="K24" s="161" t="s">
        <v>314</v>
      </c>
      <c r="L24" s="161" t="s">
        <v>821</v>
      </c>
      <c r="M24" s="161" t="s">
        <v>311</v>
      </c>
      <c r="N24" s="161" t="s">
        <v>1139</v>
      </c>
      <c r="O24" s="161" t="s">
        <v>62</v>
      </c>
      <c r="P24" s="161" t="s">
        <v>1208</v>
      </c>
      <c r="Q24" s="170">
        <v>3686</v>
      </c>
      <c r="R24" s="162">
        <v>1</v>
      </c>
      <c r="S24" s="162">
        <v>14266.15</v>
      </c>
      <c r="T24" s="162">
        <v>525.85028999999997</v>
      </c>
      <c r="U24" s="163">
        <v>6.5697822810512193E-5</v>
      </c>
      <c r="V24" s="163">
        <v>0.30804444938600001</v>
      </c>
      <c r="W24" s="163">
        <v>2.656823161E-2</v>
      </c>
    </row>
    <row r="25" spans="1:23" thickBot="1">
      <c r="A25" s="160">
        <v>11342</v>
      </c>
      <c r="B25" s="160">
        <v>11345</v>
      </c>
      <c r="C25" s="161" t="s">
        <v>1619</v>
      </c>
      <c r="D25" s="161">
        <v>513765339</v>
      </c>
      <c r="E25" s="161" t="s">
        <v>429</v>
      </c>
      <c r="F25" s="161" t="s">
        <v>1424</v>
      </c>
      <c r="G25" s="167" t="s">
        <v>1710</v>
      </c>
      <c r="H25" s="161" t="s">
        <v>76</v>
      </c>
      <c r="I25" s="161" t="s">
        <v>73</v>
      </c>
      <c r="J25" s="161" t="s">
        <v>53</v>
      </c>
      <c r="K25" s="161" t="s">
        <v>314</v>
      </c>
      <c r="L25" s="161" t="s">
        <v>821</v>
      </c>
      <c r="M25" s="161" t="s">
        <v>311</v>
      </c>
      <c r="N25" s="161" t="s">
        <v>1125</v>
      </c>
      <c r="O25" s="161" t="s">
        <v>62</v>
      </c>
      <c r="P25" s="161" t="s">
        <v>1210</v>
      </c>
      <c r="Q25" s="170">
        <v>248933</v>
      </c>
      <c r="R25" s="162">
        <v>3.71</v>
      </c>
      <c r="S25" s="162">
        <v>127.9</v>
      </c>
      <c r="T25" s="162">
        <v>1181.20949</v>
      </c>
      <c r="U25" s="163">
        <v>1.4323721730000001E-3</v>
      </c>
      <c r="V25" s="163">
        <v>0.69195555061299996</v>
      </c>
      <c r="W25" s="163">
        <v>5.9679813642E-2</v>
      </c>
    </row>
    <row r="26" spans="1:23" thickBot="1">
      <c r="A26" s="160">
        <v>7891</v>
      </c>
      <c r="B26" s="160">
        <v>7892</v>
      </c>
      <c r="C26" s="161"/>
      <c r="D26" s="161"/>
      <c r="E26" s="161"/>
      <c r="F26" s="161"/>
      <c r="G26" s="167"/>
      <c r="H26" s="161"/>
      <c r="I26" s="161"/>
      <c r="J26" s="161"/>
      <c r="K26" s="161"/>
      <c r="L26" s="161"/>
      <c r="M26" s="161"/>
      <c r="N26" s="161"/>
      <c r="O26" s="161"/>
      <c r="P26" s="161"/>
      <c r="Q26" s="170"/>
      <c r="R26" s="162"/>
      <c r="S26" s="162"/>
      <c r="T26" s="162"/>
      <c r="U26" s="163"/>
      <c r="V26" s="163"/>
      <c r="W26" s="163"/>
    </row>
    <row r="27" spans="1:23" thickBot="1">
      <c r="A27" s="160">
        <v>7891</v>
      </c>
      <c r="B27" s="160">
        <v>7893</v>
      </c>
      <c r="C27" s="161"/>
      <c r="D27" s="161"/>
      <c r="E27" s="161"/>
      <c r="F27" s="161"/>
      <c r="G27" s="167"/>
      <c r="H27" s="161"/>
      <c r="I27" s="161"/>
      <c r="J27" s="161"/>
      <c r="K27" s="161"/>
      <c r="L27" s="161"/>
      <c r="M27" s="161"/>
      <c r="N27" s="161"/>
      <c r="O27" s="161"/>
      <c r="P27" s="161"/>
      <c r="Q27" s="170"/>
      <c r="R27" s="162"/>
      <c r="S27" s="162"/>
      <c r="T27" s="162"/>
      <c r="U27" s="163"/>
      <c r="V27" s="163"/>
      <c r="W27" s="163"/>
    </row>
    <row r="28" spans="1:23" thickBot="1">
      <c r="A28" s="160">
        <v>7891</v>
      </c>
      <c r="B28" s="160">
        <v>7894</v>
      </c>
      <c r="C28" s="161"/>
      <c r="D28" s="161"/>
      <c r="E28" s="161"/>
      <c r="F28" s="161"/>
      <c r="G28" s="167"/>
      <c r="H28" s="161"/>
      <c r="I28" s="161"/>
      <c r="J28" s="161"/>
      <c r="K28" s="161"/>
      <c r="M28" s="161"/>
      <c r="N28" s="161"/>
      <c r="O28" s="161"/>
      <c r="P28" s="161"/>
      <c r="Q28" s="170"/>
      <c r="R28" s="162"/>
      <c r="S28" s="162"/>
      <c r="T28" s="162"/>
      <c r="U28" s="163"/>
      <c r="V28" s="163"/>
      <c r="W28" s="163"/>
    </row>
    <row r="29" spans="1:23" thickBot="1">
      <c r="A29" s="160">
        <v>7891</v>
      </c>
      <c r="B29" s="160">
        <v>7896</v>
      </c>
      <c r="C29" s="161"/>
      <c r="D29" s="161"/>
      <c r="E29" s="161"/>
      <c r="F29" s="161"/>
      <c r="G29" s="167"/>
      <c r="H29" s="161"/>
      <c r="I29" s="161"/>
      <c r="J29" s="161"/>
      <c r="K29" s="161"/>
      <c r="L29" s="161"/>
      <c r="M29" s="161"/>
      <c r="N29" s="161"/>
      <c r="O29" s="161"/>
      <c r="P29" s="161"/>
      <c r="Q29" s="170"/>
      <c r="R29" s="162"/>
      <c r="S29" s="162"/>
      <c r="T29" s="162"/>
      <c r="U29" s="163"/>
      <c r="V29" s="163"/>
      <c r="W29" s="163"/>
    </row>
    <row r="30" spans="1:23" thickBot="1">
      <c r="A30" s="160">
        <v>7891</v>
      </c>
      <c r="B30" s="160">
        <v>7898</v>
      </c>
      <c r="C30" s="161"/>
      <c r="D30" s="161"/>
      <c r="E30" s="161"/>
      <c r="F30" s="161"/>
      <c r="G30" s="167"/>
      <c r="H30" s="161"/>
      <c r="I30" s="161"/>
      <c r="J30" s="161"/>
      <c r="K30" s="161"/>
      <c r="L30" s="161"/>
      <c r="M30" s="161"/>
      <c r="N30" s="161"/>
      <c r="O30" s="161"/>
      <c r="P30" s="161"/>
      <c r="Q30" s="170"/>
      <c r="R30" s="162"/>
      <c r="S30" s="162"/>
      <c r="T30" s="162"/>
      <c r="U30" s="163"/>
      <c r="V30" s="163"/>
      <c r="W30" s="163"/>
    </row>
    <row r="31" spans="1:23" thickBot="1">
      <c r="A31" s="160">
        <v>7891</v>
      </c>
      <c r="B31" s="160">
        <v>7899</v>
      </c>
      <c r="C31" s="161"/>
      <c r="D31" s="161"/>
      <c r="E31" s="161"/>
      <c r="F31" s="161"/>
      <c r="G31" s="167"/>
      <c r="H31" s="161"/>
      <c r="I31" s="161"/>
      <c r="J31" s="161"/>
      <c r="K31" s="161"/>
      <c r="L31" s="161"/>
      <c r="M31" s="161"/>
      <c r="N31" s="161"/>
      <c r="O31" s="161"/>
      <c r="P31" s="161"/>
      <c r="Q31" s="170"/>
      <c r="R31" s="162"/>
      <c r="S31" s="162"/>
      <c r="T31" s="162"/>
      <c r="U31" s="163"/>
      <c r="V31" s="163"/>
      <c r="W31" s="163"/>
    </row>
    <row r="32" spans="1:23" thickBot="1">
      <c r="A32" s="160">
        <v>7891</v>
      </c>
      <c r="B32" s="160">
        <v>7900</v>
      </c>
      <c r="C32" s="161"/>
      <c r="D32" s="161"/>
      <c r="E32" s="161"/>
      <c r="F32" s="161"/>
      <c r="G32" s="167"/>
      <c r="H32" s="161"/>
      <c r="I32" s="161"/>
      <c r="J32" s="161"/>
      <c r="K32" s="161"/>
      <c r="L32" s="161"/>
      <c r="M32" s="161"/>
      <c r="N32" s="161"/>
      <c r="O32" s="161"/>
      <c r="P32" s="161"/>
      <c r="Q32" s="170"/>
      <c r="R32" s="162"/>
      <c r="S32" s="162"/>
      <c r="T32" s="162"/>
      <c r="U32" s="163"/>
      <c r="V32" s="163"/>
      <c r="W32" s="163"/>
    </row>
    <row r="33" spans="1:23" thickBot="1">
      <c r="A33" s="160">
        <v>7891</v>
      </c>
      <c r="B33" s="160">
        <v>7901</v>
      </c>
      <c r="C33" s="161"/>
      <c r="D33" s="161"/>
      <c r="E33" s="161"/>
      <c r="F33" s="161"/>
      <c r="G33" s="167"/>
      <c r="H33" s="161"/>
      <c r="I33" s="161"/>
      <c r="J33" s="161"/>
      <c r="K33" s="161"/>
      <c r="L33" s="161"/>
      <c r="M33" s="161"/>
      <c r="N33" s="161"/>
      <c r="O33" s="161"/>
      <c r="P33" s="161"/>
      <c r="Q33" s="170"/>
      <c r="R33" s="162"/>
      <c r="S33" s="162"/>
      <c r="T33" s="162"/>
      <c r="U33" s="163"/>
      <c r="V33" s="163"/>
      <c r="W33" s="163"/>
    </row>
    <row r="34" spans="1:23" thickBot="1">
      <c r="A34" s="160">
        <v>7891</v>
      </c>
      <c r="B34" s="160">
        <v>7902</v>
      </c>
      <c r="C34" s="161"/>
      <c r="D34" s="161"/>
      <c r="E34" s="161"/>
      <c r="F34" s="161"/>
      <c r="G34" s="161"/>
      <c r="H34" s="161"/>
      <c r="I34" s="161"/>
      <c r="J34" s="161"/>
      <c r="K34" s="161"/>
      <c r="L34" s="161"/>
      <c r="M34" s="161"/>
      <c r="N34" s="161"/>
      <c r="O34" s="161"/>
      <c r="P34" s="161"/>
      <c r="Q34" s="171"/>
      <c r="R34" s="162"/>
      <c r="S34" s="162"/>
      <c r="T34" s="162"/>
      <c r="U34" s="163"/>
      <c r="V34" s="163"/>
      <c r="W34" s="163"/>
    </row>
    <row r="35" spans="1:23" thickBot="1">
      <c r="A35" s="160">
        <v>11925</v>
      </c>
      <c r="B35" s="160">
        <v>11926</v>
      </c>
      <c r="C35" s="165"/>
      <c r="D35" s="161"/>
      <c r="E35" s="161"/>
      <c r="F35" s="161"/>
      <c r="G35" s="161"/>
      <c r="H35" s="161"/>
      <c r="I35" s="161"/>
      <c r="J35" s="161"/>
      <c r="K35" s="161"/>
      <c r="L35" s="161"/>
      <c r="M35" s="161"/>
      <c r="N35" s="161"/>
      <c r="O35" s="161"/>
      <c r="P35" s="161"/>
      <c r="Q35" s="171"/>
      <c r="R35" s="162"/>
      <c r="S35" s="162"/>
      <c r="T35" s="162"/>
      <c r="U35" s="163"/>
      <c r="V35" s="163"/>
      <c r="W35" s="163"/>
    </row>
    <row r="36" spans="1:23" thickBot="1">
      <c r="A36" s="160">
        <v>11925</v>
      </c>
      <c r="B36" s="160">
        <v>11927</v>
      </c>
      <c r="C36" s="161"/>
      <c r="D36" s="161"/>
      <c r="E36" s="161"/>
      <c r="F36" s="161"/>
      <c r="G36" s="161"/>
      <c r="H36" s="161"/>
      <c r="I36" s="161"/>
      <c r="J36" s="161"/>
      <c r="K36" s="161"/>
      <c r="L36" s="161"/>
      <c r="M36" s="161"/>
      <c r="N36" s="161"/>
      <c r="O36" s="161"/>
      <c r="P36" s="161"/>
      <c r="Q36" s="171"/>
      <c r="R36" s="162"/>
      <c r="S36" s="162"/>
      <c r="T36" s="162"/>
      <c r="U36" s="163"/>
      <c r="V36" s="163"/>
      <c r="W36" s="163"/>
    </row>
    <row r="37" spans="1:23" thickBot="1">
      <c r="A37" s="160">
        <v>11925</v>
      </c>
      <c r="B37" s="160">
        <v>11929</v>
      </c>
      <c r="C37" s="161"/>
      <c r="D37" s="161"/>
      <c r="E37" s="161"/>
      <c r="F37" s="161"/>
      <c r="G37" s="161"/>
      <c r="H37" s="161"/>
      <c r="I37" s="161"/>
      <c r="J37" s="161"/>
      <c r="K37" s="161"/>
      <c r="L37" s="161"/>
      <c r="M37" s="161"/>
      <c r="N37" s="161"/>
      <c r="O37" s="161"/>
      <c r="P37" s="161"/>
      <c r="Q37" s="171"/>
      <c r="R37" s="162"/>
      <c r="S37" s="162"/>
      <c r="T37" s="162"/>
      <c r="U37" s="163"/>
      <c r="V37" s="163"/>
      <c r="W37" s="163"/>
    </row>
    <row r="38" spans="1:23" thickBot="1">
      <c r="A38" s="160">
        <v>11925</v>
      </c>
      <c r="B38" s="160">
        <v>11930</v>
      </c>
      <c r="C38" s="161"/>
      <c r="D38" s="161"/>
      <c r="E38" s="161"/>
      <c r="F38" s="161"/>
      <c r="G38" s="167"/>
      <c r="H38" s="161"/>
      <c r="I38" s="161"/>
      <c r="J38" s="161"/>
      <c r="K38" s="161"/>
      <c r="L38" s="161"/>
      <c r="M38" s="161"/>
      <c r="N38" s="161"/>
      <c r="O38" s="161"/>
      <c r="P38" s="161"/>
      <c r="Q38" s="170"/>
      <c r="R38" s="162"/>
      <c r="S38" s="162"/>
      <c r="T38" s="162"/>
      <c r="U38" s="163"/>
      <c r="V38" s="163"/>
      <c r="W38" s="163"/>
    </row>
    <row r="39" spans="1:23" thickBot="1">
      <c r="A39" s="160">
        <v>11925</v>
      </c>
      <c r="B39" s="160">
        <v>11931</v>
      </c>
      <c r="C39" s="161"/>
      <c r="D39" s="161"/>
      <c r="E39" s="161"/>
      <c r="F39" s="161"/>
      <c r="G39" s="167"/>
      <c r="H39" s="161"/>
      <c r="I39" s="161"/>
      <c r="J39" s="161"/>
      <c r="K39" s="161"/>
      <c r="L39" s="161"/>
      <c r="M39" s="161"/>
      <c r="N39" s="161"/>
      <c r="O39" s="161"/>
      <c r="P39" s="161"/>
      <c r="Q39" s="170"/>
      <c r="R39" s="162"/>
      <c r="S39" s="162"/>
      <c r="T39" s="162"/>
      <c r="U39" s="163"/>
      <c r="V39" s="163"/>
      <c r="W39" s="163"/>
    </row>
    <row r="40" spans="1:23" thickBot="1">
      <c r="A40" s="160">
        <v>11925</v>
      </c>
      <c r="B40" s="160">
        <v>11932</v>
      </c>
      <c r="C40" s="161"/>
      <c r="D40" s="161"/>
      <c r="E40" s="161"/>
      <c r="F40" s="161"/>
      <c r="G40" s="167"/>
      <c r="H40" s="161"/>
      <c r="I40" s="161"/>
      <c r="J40" s="161"/>
      <c r="K40" s="161"/>
      <c r="L40" s="161"/>
      <c r="M40" s="161"/>
      <c r="N40" s="161"/>
      <c r="O40" s="161"/>
      <c r="P40" s="161"/>
      <c r="Q40" s="170"/>
      <c r="R40" s="162"/>
      <c r="S40" s="162"/>
      <c r="T40" s="162"/>
      <c r="U40" s="163"/>
      <c r="V40" s="163"/>
      <c r="W40" s="163"/>
    </row>
    <row r="41" spans="1:23" thickBot="1">
      <c r="A41" s="160">
        <v>11925</v>
      </c>
      <c r="B41" s="160">
        <v>11933</v>
      </c>
      <c r="C41" s="161"/>
      <c r="D41" s="161"/>
      <c r="E41" s="161"/>
      <c r="F41" s="161"/>
      <c r="G41" s="167"/>
      <c r="H41" s="161"/>
      <c r="I41" s="161"/>
      <c r="J41" s="161"/>
      <c r="K41" s="161"/>
      <c r="L41" s="161"/>
      <c r="M41" s="161"/>
      <c r="N41" s="161"/>
      <c r="O41" s="161"/>
      <c r="P41" s="161"/>
      <c r="Q41" s="170"/>
      <c r="R41" s="162"/>
      <c r="S41" s="162"/>
      <c r="T41" s="162"/>
      <c r="U41" s="163"/>
      <c r="V41" s="163"/>
      <c r="W41" s="163"/>
    </row>
    <row r="42" spans="1:23" thickBot="1">
      <c r="A42" s="160">
        <v>11925</v>
      </c>
      <c r="B42" s="160">
        <v>11934</v>
      </c>
      <c r="C42" s="161"/>
      <c r="D42" s="161"/>
      <c r="E42" s="161"/>
      <c r="F42" s="161"/>
      <c r="G42" s="167"/>
      <c r="H42" s="161"/>
      <c r="I42" s="161"/>
      <c r="J42" s="161"/>
      <c r="K42" s="161"/>
      <c r="L42" s="161"/>
      <c r="M42" s="161"/>
      <c r="N42" s="161"/>
      <c r="O42" s="161"/>
      <c r="P42" s="161"/>
      <c r="Q42" s="170"/>
      <c r="R42" s="162"/>
      <c r="S42" s="162"/>
      <c r="T42" s="162"/>
      <c r="U42" s="163"/>
      <c r="V42" s="163"/>
      <c r="W42" s="163"/>
    </row>
    <row r="43" spans="1:23" thickBot="1">
      <c r="A43" s="160">
        <v>11925</v>
      </c>
      <c r="B43" s="160">
        <v>11935</v>
      </c>
      <c r="C43" s="161"/>
      <c r="D43" s="161"/>
      <c r="E43" s="161"/>
      <c r="F43" s="161"/>
      <c r="G43" s="167"/>
      <c r="H43" s="161"/>
      <c r="I43" s="161"/>
      <c r="J43" s="161"/>
      <c r="K43" s="161"/>
      <c r="L43" s="161"/>
      <c r="M43" s="161"/>
      <c r="N43" s="161"/>
      <c r="O43" s="161"/>
      <c r="P43" s="161"/>
      <c r="Q43" s="170"/>
      <c r="R43" s="162"/>
      <c r="S43" s="162"/>
      <c r="T43" s="162"/>
      <c r="U43" s="163"/>
      <c r="V43" s="163"/>
      <c r="W43" s="163"/>
    </row>
    <row r="44" spans="1:23" thickBot="1">
      <c r="A44" s="160">
        <v>11925</v>
      </c>
      <c r="B44" s="160">
        <v>11936</v>
      </c>
      <c r="C44" s="161"/>
      <c r="D44" s="161"/>
      <c r="E44" s="161"/>
      <c r="F44" s="161"/>
      <c r="G44" s="167"/>
      <c r="H44" s="161"/>
      <c r="I44" s="161"/>
      <c r="J44" s="161"/>
      <c r="K44" s="161"/>
      <c r="L44" s="161"/>
      <c r="M44" s="161"/>
      <c r="N44" s="161"/>
      <c r="O44" s="161"/>
      <c r="P44" s="161"/>
      <c r="Q44" s="170"/>
      <c r="R44" s="162"/>
      <c r="S44" s="162"/>
      <c r="T44" s="162"/>
      <c r="U44" s="163"/>
      <c r="V44" s="163"/>
      <c r="W44" s="163"/>
    </row>
    <row r="45" spans="1:23" thickBot="1">
      <c r="A45" s="160">
        <v>11925</v>
      </c>
      <c r="B45" s="160">
        <v>11937</v>
      </c>
      <c r="C45" s="161"/>
      <c r="D45" s="161"/>
      <c r="E45" s="161"/>
      <c r="F45" s="161"/>
      <c r="G45" s="167"/>
      <c r="H45" s="161"/>
      <c r="I45" s="161"/>
      <c r="J45" s="161"/>
      <c r="K45" s="161"/>
      <c r="L45" s="161"/>
      <c r="M45" s="161"/>
      <c r="N45" s="161"/>
      <c r="O45" s="161"/>
      <c r="P45" s="161"/>
      <c r="Q45" s="170"/>
      <c r="R45" s="162"/>
      <c r="S45" s="162"/>
      <c r="T45" s="162"/>
      <c r="U45" s="163"/>
      <c r="V45" s="163"/>
      <c r="W45" s="163"/>
    </row>
    <row r="46" spans="1:23" thickBot="1">
      <c r="A46" s="160">
        <v>11939</v>
      </c>
      <c r="B46" s="160">
        <v>11945</v>
      </c>
      <c r="C46" s="161"/>
      <c r="D46" s="161"/>
      <c r="E46" s="161"/>
      <c r="F46" s="161"/>
      <c r="G46" s="167"/>
      <c r="H46" s="161"/>
      <c r="I46" s="161"/>
      <c r="J46" s="161"/>
      <c r="K46" s="161"/>
      <c r="L46" s="161"/>
      <c r="M46" s="161"/>
      <c r="N46" s="161"/>
      <c r="O46" s="161"/>
      <c r="P46" s="161"/>
      <c r="Q46" s="170"/>
      <c r="R46" s="162"/>
      <c r="S46" s="162"/>
      <c r="T46" s="162"/>
      <c r="U46" s="163"/>
      <c r="V46" s="163"/>
      <c r="W46" s="163"/>
    </row>
    <row r="47" spans="1:23" thickBot="1">
      <c r="A47" s="160">
        <v>11939</v>
      </c>
      <c r="B47" s="160">
        <v>11946</v>
      </c>
      <c r="C47" s="161"/>
      <c r="D47" s="161"/>
      <c r="E47" s="161"/>
      <c r="F47" s="161"/>
      <c r="G47" s="167"/>
      <c r="H47" s="161"/>
      <c r="I47" s="161"/>
      <c r="J47" s="161"/>
      <c r="K47" s="161"/>
      <c r="L47" s="161"/>
      <c r="M47" s="161"/>
      <c r="N47" s="161"/>
      <c r="O47" s="161"/>
      <c r="P47" s="161"/>
      <c r="Q47" s="170"/>
      <c r="R47" s="162"/>
      <c r="S47" s="162"/>
      <c r="T47" s="162"/>
      <c r="U47" s="163"/>
      <c r="V47" s="163"/>
      <c r="W47" s="163"/>
    </row>
    <row r="48" spans="1:23" thickBot="1">
      <c r="A48" s="160">
        <v>11939</v>
      </c>
      <c r="B48" s="160">
        <v>11947</v>
      </c>
      <c r="C48" s="161"/>
      <c r="D48" s="161"/>
      <c r="E48" s="161"/>
      <c r="F48" s="161"/>
      <c r="G48" s="167"/>
      <c r="H48" s="161"/>
      <c r="I48" s="161"/>
      <c r="J48" s="161"/>
      <c r="K48" s="161"/>
      <c r="L48" s="161"/>
      <c r="M48" s="161"/>
      <c r="N48" s="161"/>
      <c r="O48" s="161"/>
      <c r="P48" s="161"/>
      <c r="Q48" s="170"/>
      <c r="R48" s="162"/>
      <c r="S48" s="162"/>
      <c r="T48" s="162"/>
      <c r="U48" s="163"/>
      <c r="V48" s="163"/>
      <c r="W48" s="163"/>
    </row>
    <row r="49" spans="1:23" thickBot="1">
      <c r="A49" s="160">
        <v>11939</v>
      </c>
      <c r="B49" s="160">
        <v>11948</v>
      </c>
      <c r="C49" s="161"/>
      <c r="D49" s="161"/>
      <c r="E49" s="161"/>
      <c r="F49" s="161"/>
      <c r="G49" s="167"/>
      <c r="H49" s="161"/>
      <c r="I49" s="161"/>
      <c r="J49" s="161"/>
      <c r="K49" s="161"/>
      <c r="L49" s="161"/>
      <c r="M49" s="161"/>
      <c r="N49" s="161"/>
      <c r="O49" s="161"/>
      <c r="P49" s="161"/>
      <c r="Q49" s="170"/>
      <c r="R49" s="162"/>
      <c r="S49" s="162"/>
      <c r="T49" s="162"/>
      <c r="U49" s="163"/>
      <c r="V49" s="163"/>
      <c r="W49" s="163"/>
    </row>
    <row r="50" spans="1:23" thickBot="1">
      <c r="A50" s="160">
        <v>11939</v>
      </c>
      <c r="B50" s="160">
        <v>11949</v>
      </c>
      <c r="C50" s="161"/>
      <c r="D50" s="161"/>
      <c r="E50" s="161"/>
      <c r="F50" s="161"/>
      <c r="G50" s="167"/>
      <c r="H50" s="161"/>
      <c r="I50" s="161"/>
      <c r="J50" s="161"/>
      <c r="K50" s="161"/>
      <c r="L50" s="161"/>
      <c r="M50" s="161"/>
      <c r="N50" s="161"/>
      <c r="O50" s="161"/>
      <c r="P50" s="161"/>
      <c r="Q50" s="170"/>
      <c r="R50" s="162"/>
      <c r="S50" s="162"/>
      <c r="T50" s="162"/>
      <c r="U50" s="163"/>
      <c r="V50" s="163"/>
      <c r="W50" s="163"/>
    </row>
    <row r="51" spans="1:23" thickBot="1">
      <c r="A51" s="160">
        <v>11939</v>
      </c>
      <c r="B51" s="160">
        <v>11950</v>
      </c>
      <c r="C51" s="161"/>
      <c r="D51" s="161"/>
      <c r="E51" s="161"/>
      <c r="F51" s="161"/>
      <c r="G51" s="167"/>
      <c r="H51" s="161"/>
      <c r="I51" s="161"/>
      <c r="J51" s="161"/>
      <c r="K51" s="161"/>
      <c r="L51" s="161"/>
      <c r="M51" s="161"/>
      <c r="N51" s="161"/>
      <c r="O51" s="161"/>
      <c r="P51" s="161"/>
      <c r="Q51" s="170"/>
      <c r="R51" s="162"/>
      <c r="S51" s="162"/>
      <c r="T51" s="162"/>
      <c r="U51" s="163"/>
      <c r="V51" s="163"/>
      <c r="W51" s="163"/>
    </row>
    <row r="52" spans="1:23" thickBot="1">
      <c r="A52" s="160">
        <v>11939</v>
      </c>
      <c r="B52" s="160">
        <v>11979</v>
      </c>
      <c r="C52" s="161"/>
      <c r="D52" s="161"/>
      <c r="E52" s="161"/>
      <c r="F52" s="161"/>
      <c r="G52" s="167"/>
      <c r="H52" s="161"/>
      <c r="I52" s="161"/>
      <c r="J52" s="161"/>
      <c r="K52" s="161"/>
      <c r="L52" s="161"/>
      <c r="M52" s="161"/>
      <c r="N52" s="161"/>
      <c r="O52" s="161"/>
      <c r="P52" s="161"/>
      <c r="Q52" s="170"/>
      <c r="R52" s="162"/>
      <c r="S52" s="162"/>
      <c r="T52" s="162"/>
      <c r="U52" s="163"/>
      <c r="V52" s="163"/>
      <c r="W52" s="163"/>
    </row>
    <row r="1048532" spans="14:14">
      <c r="N1048532" s="6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5:J23" xr:uid="{00000000-0002-0000-0800-000000000000}">
      <formula1>israel_abroad</formula1>
    </dataValidation>
    <dataValidation type="list" allowBlank="1" showInputMessage="1" showErrorMessage="1" sqref="O5:O23" xr:uid="{00000000-0002-0000-0800-000001000000}">
      <formula1>Holding_interest</formula1>
    </dataValidation>
    <dataValidation type="list" allowBlank="1" showInputMessage="1" showErrorMessage="1" sqref="N2:N4 N5:N23" xr:uid="{00000000-0002-0000-0800-000002000000}">
      <formula1>Fund_type</formula1>
    </dataValidation>
    <dataValidation type="list" allowBlank="1" showInputMessage="1" showErrorMessage="1" sqref="E5:E23" xr:uid="{00000000-0002-0000-0800-000003000000}">
      <formula1>Issuer_Type_TFunds</formula1>
    </dataValidation>
    <dataValidation type="list" allowBlank="1" showInputMessage="1" showErrorMessage="1" sqref="H5:H23" xr:uid="{00000000-0002-0000-0800-000004000000}">
      <formula1>Security_ID_Number_Type</formula1>
    </dataValidation>
    <dataValidation type="list" allowBlank="1" showInputMessage="1" showErrorMessage="1" sqref="L5:L23" xr:uid="{00000000-0002-0000-0800-000005000000}">
      <formula1>tradeable_status_funds</formula1>
    </dataValidation>
    <dataValidation type="list" allowBlank="1" showInputMessage="1" showErrorMessage="1" sqref="K5:K23" xr:uid="{00000000-0002-0000-0800-000006000000}">
      <formula1>Country_list_funds</formula1>
    </dataValidation>
    <dataValidation type="list" allowBlank="1" showInputMessage="1" showErrorMessage="1" sqref="M5:M23" xr:uid="{00000000-0002-0000-0800-000007000000}">
      <formula1>Stock_Exchange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8000000}">
          <x14:formula1>
            <xm:f>'אפשרויות בחירה'!$C$897:$C$900</xm:f>
          </x14:formula1>
          <xm:sqref>I5:I23 I2:I4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1"/>
  <dimension ref="A1:Y39"/>
  <sheetViews>
    <sheetView rightToLeft="1" workbookViewId="0">
      <selection activeCell="K21" sqref="K21"/>
    </sheetView>
  </sheetViews>
  <sheetFormatPr defaultColWidth="9" defaultRowHeight="15"/>
  <cols>
    <col min="1" max="4" width="11.5703125" style="2" customWidth="1"/>
    <col min="5" max="5" width="11.5703125" style="4" customWidth="1"/>
    <col min="6" max="11" width="11.5703125" style="2" customWidth="1"/>
    <col min="12" max="12" width="11.5703125" style="2"/>
    <col min="13" max="27" width="11.5703125" style="2" customWidth="1"/>
    <col min="28" max="16384" width="9" style="2"/>
  </cols>
  <sheetData>
    <row r="1" spans="1:25" ht="66.75" customHeight="1">
      <c r="A1" s="21" t="s">
        <v>667</v>
      </c>
      <c r="B1" s="21" t="s">
        <v>0</v>
      </c>
      <c r="C1" s="21" t="s">
        <v>740</v>
      </c>
      <c r="D1" s="21" t="s">
        <v>2</v>
      </c>
      <c r="E1" s="21" t="s">
        <v>756</v>
      </c>
      <c r="F1" s="21" t="s">
        <v>1163</v>
      </c>
      <c r="G1" s="21" t="s">
        <v>29</v>
      </c>
      <c r="H1" s="21" t="s">
        <v>28</v>
      </c>
      <c r="I1" s="21" t="s">
        <v>620</v>
      </c>
      <c r="J1" s="21" t="s">
        <v>621</v>
      </c>
      <c r="K1" s="21" t="s">
        <v>625</v>
      </c>
      <c r="L1" s="21" t="s">
        <v>5</v>
      </c>
      <c r="M1" s="21" t="s">
        <v>754</v>
      </c>
      <c r="N1" s="21" t="s">
        <v>9</v>
      </c>
      <c r="O1" s="21" t="s">
        <v>682</v>
      </c>
      <c r="P1" s="21" t="s">
        <v>622</v>
      </c>
      <c r="Q1" s="21" t="s">
        <v>396</v>
      </c>
      <c r="R1" s="21" t="s">
        <v>23</v>
      </c>
      <c r="S1" s="21" t="s">
        <v>629</v>
      </c>
      <c r="T1" s="21" t="s">
        <v>789</v>
      </c>
      <c r="U1" s="21" t="s">
        <v>11</v>
      </c>
      <c r="V1" s="21" t="s">
        <v>15</v>
      </c>
      <c r="W1" s="21" t="s">
        <v>1171</v>
      </c>
      <c r="X1" s="21" t="s">
        <v>19</v>
      </c>
      <c r="Y1" s="21" t="s">
        <v>30</v>
      </c>
    </row>
    <row r="2" spans="1:25" ht="15.75" thickBot="1">
      <c r="A2" s="160">
        <v>7891</v>
      </c>
      <c r="B2" s="160">
        <v>7892</v>
      </c>
      <c r="C2" s="22"/>
      <c r="D2" s="22"/>
      <c r="E2" s="20"/>
      <c r="F2" s="22"/>
      <c r="G2" s="22"/>
      <c r="H2" s="20"/>
      <c r="I2" s="20"/>
      <c r="J2" s="20"/>
      <c r="K2" s="22"/>
      <c r="L2" s="20"/>
      <c r="M2" s="23"/>
      <c r="N2" s="22"/>
      <c r="O2" s="22"/>
      <c r="P2" s="22"/>
      <c r="Q2" s="20"/>
      <c r="R2" s="20"/>
      <c r="S2" s="20"/>
      <c r="T2" s="22"/>
      <c r="U2" s="22"/>
      <c r="V2" s="22"/>
      <c r="W2" s="22"/>
      <c r="X2" s="22"/>
      <c r="Y2" s="22"/>
    </row>
    <row r="3" spans="1:25" ht="15.75" thickBot="1">
      <c r="A3" s="160">
        <v>7891</v>
      </c>
      <c r="B3" s="160">
        <v>7893</v>
      </c>
      <c r="C3" s="22"/>
      <c r="D3" s="22"/>
      <c r="E3" s="20"/>
      <c r="F3" s="22"/>
      <c r="G3" s="22"/>
      <c r="H3" s="20"/>
      <c r="I3" s="20"/>
      <c r="J3" s="20"/>
      <c r="K3" s="22"/>
      <c r="L3" s="20"/>
      <c r="M3" s="22"/>
      <c r="N3" s="22"/>
      <c r="O3" s="22"/>
      <c r="P3" s="22"/>
      <c r="Q3" s="20"/>
      <c r="R3" s="20"/>
      <c r="S3" s="20"/>
      <c r="T3" s="22"/>
      <c r="U3" s="22"/>
      <c r="V3" s="22"/>
      <c r="W3" s="22"/>
      <c r="X3" s="22"/>
      <c r="Y3" s="22"/>
    </row>
    <row r="4" spans="1:25" ht="15.75" thickBot="1">
      <c r="A4" s="160">
        <v>7891</v>
      </c>
      <c r="B4" s="160">
        <v>7894</v>
      </c>
      <c r="C4" s="22"/>
      <c r="D4" s="22"/>
      <c r="E4" s="20"/>
      <c r="F4" s="22"/>
      <c r="G4" s="22"/>
      <c r="H4" s="20"/>
      <c r="I4" s="20"/>
      <c r="J4" s="20"/>
      <c r="K4" s="22"/>
      <c r="L4" s="20"/>
      <c r="M4" s="22"/>
      <c r="N4" s="22"/>
      <c r="O4" s="22"/>
      <c r="P4" s="22"/>
      <c r="Q4" s="20"/>
      <c r="R4" s="20"/>
      <c r="S4" s="20"/>
      <c r="T4" s="22"/>
      <c r="U4" s="22"/>
      <c r="V4" s="22"/>
      <c r="W4" s="22"/>
      <c r="X4" s="22"/>
      <c r="Y4" s="22"/>
    </row>
    <row r="5" spans="1:25" ht="15.75" thickBot="1">
      <c r="A5" s="160">
        <v>7891</v>
      </c>
      <c r="B5" s="160">
        <v>7895</v>
      </c>
      <c r="C5" s="22"/>
      <c r="D5" s="22"/>
      <c r="E5" s="20"/>
      <c r="F5" s="22"/>
      <c r="G5" s="22"/>
      <c r="H5" s="20"/>
      <c r="I5" s="20"/>
      <c r="J5" s="20"/>
      <c r="K5" s="22"/>
      <c r="L5" s="20"/>
      <c r="M5" s="22"/>
      <c r="N5" s="22"/>
      <c r="O5" s="22"/>
      <c r="P5" s="22"/>
      <c r="Q5" s="20"/>
      <c r="R5" s="20"/>
      <c r="S5" s="20"/>
      <c r="T5" s="22"/>
      <c r="U5" s="22"/>
      <c r="V5" s="22"/>
      <c r="W5" s="22"/>
      <c r="X5" s="22"/>
      <c r="Y5" s="22"/>
    </row>
    <row r="6" spans="1:25" ht="15.75" thickBot="1">
      <c r="A6" s="160">
        <v>7891</v>
      </c>
      <c r="B6" s="160">
        <v>7896</v>
      </c>
      <c r="C6" s="22"/>
      <c r="D6" s="22"/>
      <c r="E6" s="20"/>
      <c r="F6" s="22"/>
      <c r="G6" s="22"/>
      <c r="H6" s="20"/>
      <c r="I6" s="20"/>
      <c r="J6" s="20"/>
      <c r="K6" s="22"/>
      <c r="L6" s="20"/>
      <c r="M6" s="22"/>
      <c r="N6" s="22"/>
      <c r="O6" s="22"/>
      <c r="P6" s="22"/>
      <c r="Q6" s="20"/>
      <c r="R6" s="20"/>
      <c r="S6" s="20"/>
      <c r="T6" s="22"/>
      <c r="U6" s="22"/>
      <c r="V6" s="22"/>
      <c r="W6" s="22"/>
      <c r="X6" s="22"/>
      <c r="Y6" s="22"/>
    </row>
    <row r="7" spans="1:25" ht="15.75" thickBot="1">
      <c r="A7" s="160">
        <v>7891</v>
      </c>
      <c r="B7" s="160">
        <v>7897</v>
      </c>
      <c r="C7" s="22"/>
      <c r="D7" s="22"/>
      <c r="E7" s="20"/>
      <c r="F7" s="22"/>
      <c r="G7" s="22"/>
      <c r="H7" s="20"/>
      <c r="I7" s="20"/>
      <c r="J7" s="20"/>
      <c r="K7" s="22"/>
      <c r="L7" s="20"/>
      <c r="M7" s="22"/>
      <c r="N7" s="22"/>
      <c r="O7" s="22"/>
      <c r="P7" s="22"/>
      <c r="Q7" s="20"/>
      <c r="R7" s="20"/>
      <c r="S7" s="20"/>
      <c r="T7" s="22"/>
      <c r="U7" s="22"/>
      <c r="V7" s="22"/>
      <c r="W7" s="22"/>
      <c r="X7" s="22"/>
      <c r="Y7" s="22"/>
    </row>
    <row r="8" spans="1:25" ht="15.75" thickBot="1">
      <c r="A8" s="160">
        <v>7891</v>
      </c>
      <c r="B8" s="160">
        <v>7898</v>
      </c>
      <c r="C8" s="22"/>
      <c r="D8" s="22"/>
      <c r="E8" s="20"/>
      <c r="F8" s="22"/>
      <c r="G8" s="22"/>
      <c r="H8" s="20"/>
      <c r="I8" s="20"/>
      <c r="J8" s="20"/>
      <c r="K8" s="22"/>
      <c r="L8" s="20"/>
      <c r="M8" s="22"/>
      <c r="N8" s="22"/>
      <c r="O8" s="22"/>
      <c r="P8" s="22"/>
      <c r="Q8" s="20"/>
      <c r="R8" s="20"/>
      <c r="S8" s="20"/>
      <c r="T8" s="22"/>
      <c r="U8" s="22"/>
      <c r="V8" s="22"/>
      <c r="W8" s="22"/>
      <c r="X8" s="22"/>
      <c r="Y8" s="22"/>
    </row>
    <row r="9" spans="1:25" ht="15.75" thickBot="1">
      <c r="A9" s="160">
        <v>7891</v>
      </c>
      <c r="B9" s="160">
        <v>7899</v>
      </c>
      <c r="C9" s="22"/>
      <c r="D9" s="22"/>
      <c r="E9" s="20"/>
      <c r="F9" s="22"/>
      <c r="G9" s="22"/>
      <c r="H9" s="20"/>
      <c r="I9" s="20"/>
      <c r="J9" s="20"/>
      <c r="K9" s="22"/>
      <c r="L9" s="20"/>
      <c r="M9" s="22"/>
      <c r="N9" s="22"/>
      <c r="O9" s="22"/>
      <c r="P9" s="22"/>
      <c r="Q9" s="20"/>
      <c r="R9" s="20"/>
      <c r="S9" s="20"/>
      <c r="T9" s="22"/>
      <c r="U9" s="22"/>
      <c r="V9" s="22"/>
      <c r="W9" s="22"/>
      <c r="X9" s="22"/>
      <c r="Y9" s="22"/>
    </row>
    <row r="10" spans="1:25" ht="15.75" thickBot="1">
      <c r="A10" s="160">
        <v>7891</v>
      </c>
      <c r="B10" s="160">
        <v>7900</v>
      </c>
      <c r="C10" s="22"/>
      <c r="D10" s="22"/>
      <c r="E10" s="20"/>
      <c r="F10" s="22"/>
      <c r="G10" s="22"/>
      <c r="H10" s="20"/>
      <c r="I10" s="20"/>
      <c r="J10" s="20"/>
      <c r="K10" s="22"/>
      <c r="L10" s="20"/>
      <c r="M10" s="22"/>
      <c r="N10" s="22"/>
      <c r="O10" s="22"/>
      <c r="P10" s="22"/>
      <c r="Q10" s="20"/>
      <c r="R10" s="20"/>
      <c r="S10" s="20"/>
      <c r="T10" s="22"/>
      <c r="U10" s="22"/>
      <c r="V10" s="22"/>
      <c r="W10" s="22"/>
      <c r="X10" s="22"/>
      <c r="Y10" s="22"/>
    </row>
    <row r="11" spans="1:25" ht="15.75" thickBot="1">
      <c r="A11" s="160">
        <v>7891</v>
      </c>
      <c r="B11" s="160">
        <v>7901</v>
      </c>
      <c r="C11" s="22"/>
      <c r="D11" s="22"/>
      <c r="E11" s="20"/>
      <c r="F11" s="22"/>
      <c r="G11" s="22"/>
      <c r="H11" s="20"/>
      <c r="I11" s="20"/>
      <c r="J11" s="20"/>
      <c r="K11" s="22"/>
      <c r="L11" s="20"/>
      <c r="M11" s="22"/>
      <c r="N11" s="22"/>
      <c r="O11" s="22"/>
      <c r="P11" s="22"/>
      <c r="Q11" s="20"/>
      <c r="R11" s="20"/>
      <c r="S11" s="20"/>
      <c r="T11" s="22"/>
      <c r="U11" s="22"/>
      <c r="V11" s="22"/>
      <c r="W11" s="22"/>
      <c r="X11" s="22"/>
      <c r="Y11" s="22"/>
    </row>
    <row r="12" spans="1:25" ht="15.75" thickBot="1">
      <c r="A12" s="160">
        <v>7891</v>
      </c>
      <c r="B12" s="160">
        <v>7902</v>
      </c>
      <c r="C12" s="22"/>
      <c r="D12" s="22"/>
      <c r="E12" s="20"/>
      <c r="F12" s="22"/>
      <c r="G12" s="22"/>
      <c r="H12" s="20"/>
      <c r="I12" s="20"/>
      <c r="J12" s="20"/>
      <c r="K12" s="22"/>
      <c r="L12" s="20"/>
      <c r="M12" s="22"/>
      <c r="N12" s="22"/>
      <c r="O12" s="22"/>
      <c r="P12" s="22"/>
      <c r="Q12" s="20"/>
      <c r="R12" s="20"/>
      <c r="S12" s="20"/>
      <c r="T12" s="22"/>
      <c r="U12" s="22"/>
      <c r="V12" s="22"/>
      <c r="W12" s="22"/>
      <c r="X12" s="22"/>
      <c r="Y12" s="22"/>
    </row>
    <row r="13" spans="1:25" ht="15.75" thickBot="1">
      <c r="A13" s="160">
        <v>11925</v>
      </c>
      <c r="B13" s="160">
        <v>11926</v>
      </c>
      <c r="C13" s="22"/>
      <c r="D13" s="22"/>
      <c r="E13" s="20"/>
      <c r="F13" s="22"/>
      <c r="G13" s="22"/>
      <c r="H13" s="20"/>
      <c r="I13" s="20"/>
      <c r="J13" s="20"/>
      <c r="K13" s="22"/>
      <c r="L13" s="20"/>
      <c r="M13" s="22"/>
      <c r="N13" s="22"/>
      <c r="O13" s="22"/>
      <c r="P13" s="22"/>
      <c r="Q13" s="20"/>
      <c r="R13" s="20"/>
      <c r="S13" s="20"/>
      <c r="T13" s="22"/>
      <c r="U13" s="22"/>
      <c r="V13" s="22"/>
      <c r="W13" s="22"/>
      <c r="X13" s="22"/>
      <c r="Y13" s="22"/>
    </row>
    <row r="14" spans="1:25" ht="15.75" thickBot="1">
      <c r="A14" s="160">
        <v>11925</v>
      </c>
      <c r="B14" s="160">
        <v>11927</v>
      </c>
      <c r="C14" s="22"/>
      <c r="D14" s="22"/>
      <c r="E14" s="20"/>
      <c r="F14" s="22"/>
      <c r="G14" s="22"/>
      <c r="H14" s="20"/>
      <c r="I14" s="20"/>
      <c r="J14" s="20"/>
      <c r="K14" s="22"/>
      <c r="L14" s="20"/>
      <c r="M14" s="22"/>
      <c r="N14" s="22"/>
      <c r="O14" s="22"/>
      <c r="P14" s="22"/>
      <c r="Q14" s="20"/>
      <c r="R14" s="20"/>
      <c r="S14" s="20"/>
      <c r="T14" s="22"/>
      <c r="U14" s="22"/>
      <c r="V14" s="22"/>
      <c r="W14" s="22"/>
      <c r="X14" s="22"/>
      <c r="Y14" s="22"/>
    </row>
    <row r="15" spans="1:25" ht="15.75" thickBot="1">
      <c r="A15" s="160">
        <v>11925</v>
      </c>
      <c r="B15" s="160">
        <v>11928</v>
      </c>
      <c r="C15" s="22"/>
      <c r="D15" s="22"/>
      <c r="E15" s="20"/>
      <c r="F15" s="22"/>
      <c r="G15" s="22"/>
      <c r="H15" s="20"/>
      <c r="I15" s="20"/>
      <c r="J15" s="20"/>
      <c r="K15" s="22"/>
      <c r="L15" s="20"/>
      <c r="M15" s="22"/>
      <c r="N15" s="22"/>
      <c r="O15" s="22"/>
      <c r="P15" s="22"/>
      <c r="Q15" s="20"/>
      <c r="R15" s="20"/>
      <c r="S15" s="20"/>
      <c r="T15" s="22"/>
      <c r="U15" s="22"/>
      <c r="V15" s="22"/>
      <c r="W15" s="22"/>
      <c r="X15" s="22"/>
      <c r="Y15" s="22"/>
    </row>
    <row r="16" spans="1:25" ht="15.75" thickBot="1">
      <c r="A16" s="160">
        <v>11925</v>
      </c>
      <c r="B16" s="160">
        <v>11929</v>
      </c>
      <c r="C16" s="22"/>
      <c r="D16" s="22"/>
      <c r="E16" s="20"/>
      <c r="F16" s="22"/>
      <c r="G16" s="22"/>
      <c r="H16" s="20"/>
      <c r="I16" s="20"/>
      <c r="J16" s="20"/>
      <c r="K16" s="22"/>
      <c r="L16" s="20"/>
      <c r="M16" s="22"/>
      <c r="N16" s="22"/>
      <c r="O16" s="22"/>
      <c r="P16" s="22"/>
      <c r="Q16" s="20"/>
      <c r="R16" s="20"/>
      <c r="S16" s="20"/>
      <c r="T16" s="22"/>
      <c r="U16" s="22"/>
      <c r="V16" s="22"/>
      <c r="W16" s="22"/>
      <c r="X16" s="22"/>
      <c r="Y16" s="22"/>
    </row>
    <row r="17" spans="1:25" ht="15.75" thickBot="1">
      <c r="A17" s="160">
        <v>11925</v>
      </c>
      <c r="B17" s="160">
        <v>11930</v>
      </c>
      <c r="C17" s="22"/>
      <c r="D17" s="22"/>
      <c r="E17" s="20"/>
      <c r="F17" s="22"/>
      <c r="G17" s="22"/>
      <c r="H17" s="20"/>
      <c r="I17" s="20"/>
      <c r="J17" s="20"/>
      <c r="K17" s="22"/>
      <c r="L17" s="20"/>
      <c r="M17" s="22"/>
      <c r="N17" s="22"/>
      <c r="O17" s="22"/>
      <c r="P17" s="22"/>
      <c r="Q17" s="20"/>
      <c r="R17" s="20"/>
      <c r="S17" s="20"/>
      <c r="T17" s="22"/>
      <c r="U17" s="22"/>
      <c r="V17" s="22"/>
      <c r="W17" s="22"/>
      <c r="X17" s="22"/>
      <c r="Y17" s="22"/>
    </row>
    <row r="18" spans="1:25" ht="15.75" thickBot="1">
      <c r="A18" s="160">
        <v>11925</v>
      </c>
      <c r="B18" s="160">
        <v>11931</v>
      </c>
      <c r="C18" s="22"/>
      <c r="D18" s="22"/>
      <c r="E18" s="20"/>
      <c r="F18" s="22"/>
      <c r="G18" s="22"/>
      <c r="H18" s="20"/>
      <c r="I18" s="20"/>
      <c r="J18" s="20"/>
      <c r="K18" s="22"/>
      <c r="L18" s="20"/>
      <c r="M18" s="22"/>
      <c r="N18" s="22"/>
      <c r="O18" s="22"/>
      <c r="P18" s="22"/>
      <c r="Q18" s="20"/>
      <c r="R18" s="20"/>
      <c r="S18" s="20"/>
      <c r="T18" s="22"/>
      <c r="U18" s="22"/>
      <c r="V18" s="22"/>
      <c r="W18" s="22"/>
      <c r="X18" s="22"/>
      <c r="Y18" s="22"/>
    </row>
    <row r="19" spans="1:25" ht="15.75" thickBot="1">
      <c r="A19" s="160">
        <v>11925</v>
      </c>
      <c r="B19" s="160">
        <v>11932</v>
      </c>
      <c r="C19" s="22"/>
      <c r="D19" s="22"/>
      <c r="E19" s="20"/>
      <c r="F19" s="22"/>
      <c r="G19" s="22"/>
      <c r="H19" s="20"/>
      <c r="I19" s="20"/>
      <c r="J19" s="20"/>
      <c r="K19" s="22"/>
      <c r="L19" s="20"/>
      <c r="M19" s="22"/>
      <c r="N19" s="22"/>
      <c r="O19" s="22"/>
      <c r="P19" s="22"/>
      <c r="Q19" s="20"/>
      <c r="R19" s="20"/>
      <c r="S19" s="20"/>
      <c r="T19" s="22"/>
      <c r="U19" s="22"/>
      <c r="V19" s="22"/>
      <c r="W19" s="22"/>
      <c r="X19" s="22"/>
      <c r="Y19" s="22"/>
    </row>
    <row r="20" spans="1:25" ht="15.75" thickBot="1">
      <c r="A20" s="160">
        <v>11925</v>
      </c>
      <c r="B20" s="160">
        <v>11933</v>
      </c>
      <c r="E20" s="20"/>
      <c r="H20" s="20"/>
      <c r="I20" s="20"/>
      <c r="J20" s="20"/>
      <c r="K20" s="22"/>
      <c r="L20" s="20"/>
      <c r="N20" s="22"/>
      <c r="P20" s="22"/>
    </row>
    <row r="21" spans="1:25" customFormat="1" ht="15.75" thickBot="1">
      <c r="A21" s="160">
        <v>11925</v>
      </c>
      <c r="B21" s="160">
        <v>11934</v>
      </c>
      <c r="H21" s="47"/>
      <c r="L21" s="47"/>
    </row>
    <row r="22" spans="1:25" ht="15.75" thickBot="1">
      <c r="A22" s="160">
        <v>11925</v>
      </c>
      <c r="B22" s="160">
        <v>11935</v>
      </c>
      <c r="L22" s="4"/>
    </row>
    <row r="23" spans="1:25" ht="15.75" thickBot="1">
      <c r="A23" s="160">
        <v>11925</v>
      </c>
      <c r="B23" s="160">
        <v>11936</v>
      </c>
      <c r="H23" s="44"/>
    </row>
    <row r="24" spans="1:25" ht="15.75" thickBot="1">
      <c r="A24" s="160">
        <v>11925</v>
      </c>
      <c r="B24" s="160">
        <v>11937</v>
      </c>
      <c r="H24" s="44"/>
    </row>
    <row r="25" spans="1:25" ht="15.75" thickBot="1">
      <c r="A25" s="160">
        <v>11939</v>
      </c>
      <c r="B25" s="160">
        <v>11942</v>
      </c>
      <c r="H25" s="44"/>
    </row>
    <row r="26" spans="1:25" ht="15.75" thickBot="1">
      <c r="A26" s="160">
        <v>11939</v>
      </c>
      <c r="B26" s="160">
        <v>11943</v>
      </c>
      <c r="H26" s="44"/>
    </row>
    <row r="27" spans="1:25" ht="15.75" thickBot="1">
      <c r="A27" s="160">
        <v>11939</v>
      </c>
      <c r="B27" s="160">
        <v>11944</v>
      </c>
      <c r="H27" s="44"/>
    </row>
    <row r="28" spans="1:25" ht="15.75" thickBot="1">
      <c r="A28" s="160">
        <v>11939</v>
      </c>
      <c r="B28" s="160">
        <v>11945</v>
      </c>
      <c r="H28" s="44"/>
    </row>
    <row r="29" spans="1:25" ht="15.75" thickBot="1">
      <c r="A29" s="160">
        <v>11939</v>
      </c>
      <c r="B29" s="160">
        <v>11946</v>
      </c>
    </row>
    <row r="30" spans="1:25" ht="15.75" thickBot="1">
      <c r="A30" s="160">
        <v>11939</v>
      </c>
      <c r="B30" s="160">
        <v>11947</v>
      </c>
    </row>
    <row r="31" spans="1:25" ht="15.75" thickBot="1">
      <c r="A31" s="160">
        <v>11939</v>
      </c>
      <c r="B31" s="160">
        <v>11948</v>
      </c>
    </row>
    <row r="32" spans="1:25" ht="15.75" thickBot="1">
      <c r="A32" s="160">
        <v>11939</v>
      </c>
      <c r="B32" s="160">
        <v>11949</v>
      </c>
    </row>
    <row r="33" spans="1:2" ht="15.75" thickBot="1">
      <c r="A33" s="160">
        <v>11939</v>
      </c>
      <c r="B33" s="160">
        <v>11950</v>
      </c>
    </row>
    <row r="34" spans="1:2" ht="15.75" thickBot="1">
      <c r="A34" s="160">
        <v>11939</v>
      </c>
      <c r="B34" s="160">
        <v>11979</v>
      </c>
    </row>
    <row r="35" spans="1:2" ht="15.75" thickBot="1">
      <c r="A35" s="160">
        <v>11939</v>
      </c>
      <c r="B35" s="160">
        <v>11980</v>
      </c>
    </row>
    <row r="36" spans="1:2" ht="15.75" thickBot="1">
      <c r="A36" s="160">
        <v>11939</v>
      </c>
      <c r="B36" s="160">
        <v>11981</v>
      </c>
    </row>
    <row r="37" spans="1:2" ht="15.75" thickBot="1">
      <c r="A37" s="160">
        <v>11342</v>
      </c>
      <c r="B37" s="160">
        <v>11343</v>
      </c>
    </row>
    <row r="38" spans="1:2" ht="15.75" thickBot="1">
      <c r="A38" s="160">
        <v>11342</v>
      </c>
      <c r="B38" s="160">
        <v>11344</v>
      </c>
    </row>
    <row r="39" spans="1:2" ht="15.75" thickBot="1">
      <c r="A39" s="160">
        <v>11342</v>
      </c>
      <c r="B39" s="160">
        <v>11345</v>
      </c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I2:I20" xr:uid="{00000000-0002-0000-0900-000000000000}">
      <formula1>israel_abroad</formula1>
    </dataValidation>
    <dataValidation type="list" allowBlank="1" showInputMessage="1" showErrorMessage="1" sqref="N2:N20" xr:uid="{00000000-0002-0000-0900-000001000000}">
      <formula1>Industry_sectors</formula1>
    </dataValidation>
    <dataValidation type="list" allowBlank="1" showInputMessage="1" showErrorMessage="1" sqref="P2:P20" xr:uid="{00000000-0002-0000-0900-000002000000}">
      <formula1>Holding_interest</formula1>
    </dataValidation>
    <dataValidation type="list" allowBlank="1" showInputMessage="1" showErrorMessage="1" sqref="J2:J20" xr:uid="{00000000-0002-0000-0900-000003000000}">
      <formula1>Country_list</formula1>
    </dataValidation>
    <dataValidation type="list" allowBlank="1" showInputMessage="1" showErrorMessage="1" sqref="E2:E20" xr:uid="{00000000-0002-0000-0900-000004000000}">
      <formula1>Issuer_Type_TFunds</formula1>
    </dataValidation>
    <dataValidation type="list" allowBlank="1" showInputMessage="1" showErrorMessage="1" sqref="H2:H20" xr:uid="{00000000-0002-0000-0900-000005000000}">
      <formula1>Security_ID_Number_Type</formula1>
    </dataValidation>
    <dataValidation type="list" allowBlank="1" showInputMessage="1" showErrorMessage="1" sqref="K2:K20" xr:uid="{00000000-0002-0000-0900-000006000000}">
      <formula1>tradeable_status_warrants</formula1>
    </dataValidation>
    <dataValidation type="list" allowBlank="1" showInputMessage="1" showErrorMessage="1" sqref="L2:L20" xr:uid="{00000000-0002-0000-0900-000007000000}">
      <formula1>Stock_Exchange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2"/>
  <dimension ref="A1:X39"/>
  <sheetViews>
    <sheetView rightToLeft="1" workbookViewId="0">
      <selection activeCell="A2" sqref="A2:B39"/>
    </sheetView>
  </sheetViews>
  <sheetFormatPr defaultColWidth="9" defaultRowHeight="15"/>
  <cols>
    <col min="1" max="4" width="11.5703125" style="2" customWidth="1"/>
    <col min="5" max="5" width="11.5703125" style="4" customWidth="1"/>
    <col min="6" max="11" width="11.5703125" style="2" customWidth="1"/>
    <col min="12" max="12" width="11.5703125" style="2"/>
    <col min="13" max="25" width="11.5703125" style="2" customWidth="1"/>
    <col min="26" max="16384" width="9" style="2"/>
  </cols>
  <sheetData>
    <row r="1" spans="1:24" ht="66.75" customHeight="1">
      <c r="A1" s="21" t="s">
        <v>667</v>
      </c>
      <c r="B1" s="21" t="s">
        <v>0</v>
      </c>
      <c r="C1" s="21" t="s">
        <v>740</v>
      </c>
      <c r="D1" s="21" t="s">
        <v>2</v>
      </c>
      <c r="E1" s="21" t="s">
        <v>756</v>
      </c>
      <c r="F1" s="21" t="s">
        <v>1163</v>
      </c>
      <c r="G1" s="21" t="s">
        <v>29</v>
      </c>
      <c r="H1" s="21" t="s">
        <v>28</v>
      </c>
      <c r="I1" s="21" t="s">
        <v>1</v>
      </c>
      <c r="J1" s="21" t="s">
        <v>620</v>
      </c>
      <c r="K1" s="21" t="s">
        <v>621</v>
      </c>
      <c r="L1" s="21" t="s">
        <v>5</v>
      </c>
      <c r="M1" s="21" t="s">
        <v>9</v>
      </c>
      <c r="N1" s="21" t="s">
        <v>10</v>
      </c>
      <c r="O1" s="21" t="s">
        <v>682</v>
      </c>
      <c r="P1" s="21" t="s">
        <v>622</v>
      </c>
      <c r="Q1" s="21" t="s">
        <v>396</v>
      </c>
      <c r="R1" s="21" t="s">
        <v>23</v>
      </c>
      <c r="S1" s="21" t="s">
        <v>789</v>
      </c>
      <c r="T1" s="21" t="s">
        <v>11</v>
      </c>
      <c r="U1" s="21" t="s">
        <v>15</v>
      </c>
      <c r="V1" s="21" t="s">
        <v>1171</v>
      </c>
      <c r="W1" s="21" t="s">
        <v>19</v>
      </c>
      <c r="X1" s="21" t="s">
        <v>30</v>
      </c>
    </row>
    <row r="2" spans="1:24" ht="15.75" thickBot="1">
      <c r="A2" s="160">
        <v>7891</v>
      </c>
      <c r="B2" s="160">
        <v>7892</v>
      </c>
      <c r="C2" s="22"/>
      <c r="D2" s="22"/>
      <c r="E2" s="20"/>
      <c r="F2" s="22"/>
      <c r="G2" s="22"/>
      <c r="H2" s="20"/>
      <c r="I2" s="22"/>
      <c r="J2" s="20"/>
      <c r="K2" s="20"/>
      <c r="L2" s="20"/>
      <c r="M2" s="22"/>
      <c r="N2" s="22"/>
      <c r="O2" s="22"/>
      <c r="P2" s="22"/>
      <c r="Q2" s="20"/>
      <c r="R2" s="20"/>
      <c r="S2" s="22"/>
      <c r="T2" s="22"/>
      <c r="U2" s="22"/>
      <c r="V2" s="22"/>
      <c r="W2" s="22"/>
      <c r="X2" s="22"/>
    </row>
    <row r="3" spans="1:24" ht="15.75" thickBot="1">
      <c r="A3" s="160">
        <v>7891</v>
      </c>
      <c r="B3" s="160">
        <v>7893</v>
      </c>
      <c r="C3" s="22"/>
      <c r="D3" s="22"/>
      <c r="E3" s="20"/>
      <c r="F3" s="22"/>
      <c r="G3" s="22"/>
      <c r="H3" s="20"/>
      <c r="I3" s="22"/>
      <c r="J3" s="20"/>
      <c r="K3" s="20"/>
      <c r="L3" s="20"/>
      <c r="M3" s="22"/>
      <c r="N3" s="22"/>
      <c r="O3" s="22"/>
      <c r="P3" s="22"/>
      <c r="Q3" s="20"/>
      <c r="R3" s="20"/>
      <c r="S3" s="22"/>
      <c r="T3" s="22"/>
      <c r="U3" s="22"/>
      <c r="V3" s="22"/>
      <c r="W3" s="22"/>
      <c r="X3" s="22"/>
    </row>
    <row r="4" spans="1:24" ht="15.75" thickBot="1">
      <c r="A4" s="160">
        <v>7891</v>
      </c>
      <c r="B4" s="160">
        <v>7894</v>
      </c>
      <c r="C4" s="22"/>
      <c r="D4" s="22"/>
      <c r="E4" s="20"/>
      <c r="F4" s="22"/>
      <c r="G4" s="22"/>
      <c r="H4" s="20"/>
      <c r="I4" s="22"/>
      <c r="J4" s="20"/>
      <c r="K4" s="20"/>
      <c r="L4" s="20"/>
      <c r="M4" s="22"/>
      <c r="N4" s="22"/>
      <c r="O4" s="22"/>
      <c r="P4" s="22"/>
      <c r="Q4" s="20"/>
      <c r="R4" s="20"/>
      <c r="S4" s="22"/>
      <c r="T4" s="22"/>
      <c r="U4" s="22"/>
      <c r="V4" s="22"/>
      <c r="W4" s="22"/>
      <c r="X4" s="22"/>
    </row>
    <row r="5" spans="1:24" ht="15.75" thickBot="1">
      <c r="A5" s="160">
        <v>7891</v>
      </c>
      <c r="B5" s="160">
        <v>7895</v>
      </c>
      <c r="C5" s="22"/>
      <c r="D5" s="22"/>
      <c r="E5" s="20"/>
      <c r="F5" s="22"/>
      <c r="G5" s="22"/>
      <c r="H5" s="20"/>
      <c r="I5" s="22"/>
      <c r="J5" s="20"/>
      <c r="K5" s="20"/>
      <c r="L5" s="20"/>
      <c r="M5" s="22"/>
      <c r="N5" s="22"/>
      <c r="O5" s="22"/>
      <c r="P5" s="22"/>
      <c r="Q5" s="20"/>
      <c r="R5" s="20"/>
      <c r="S5" s="22"/>
      <c r="T5" s="22"/>
      <c r="U5" s="22"/>
      <c r="V5" s="22"/>
      <c r="W5" s="22"/>
      <c r="X5" s="22"/>
    </row>
    <row r="6" spans="1:24" ht="15.75" thickBot="1">
      <c r="A6" s="160">
        <v>7891</v>
      </c>
      <c r="B6" s="160">
        <v>7896</v>
      </c>
      <c r="C6" s="22"/>
      <c r="D6" s="22"/>
      <c r="E6" s="20"/>
      <c r="F6" s="22"/>
      <c r="G6" s="22"/>
      <c r="H6" s="20"/>
      <c r="I6" s="22"/>
      <c r="J6" s="20"/>
      <c r="K6" s="20"/>
      <c r="L6" s="20"/>
      <c r="M6" s="22"/>
      <c r="N6" s="22"/>
      <c r="O6" s="22"/>
      <c r="P6" s="22"/>
      <c r="Q6" s="20"/>
      <c r="R6" s="20"/>
      <c r="S6" s="22"/>
      <c r="T6" s="22"/>
      <c r="U6" s="22"/>
      <c r="V6" s="22"/>
      <c r="W6" s="22"/>
      <c r="X6" s="22"/>
    </row>
    <row r="7" spans="1:24" ht="15.75" thickBot="1">
      <c r="A7" s="160">
        <v>7891</v>
      </c>
      <c r="B7" s="160">
        <v>7897</v>
      </c>
      <c r="C7" s="22"/>
      <c r="D7" s="22"/>
      <c r="E7" s="20"/>
      <c r="F7" s="22"/>
      <c r="G7" s="22"/>
      <c r="H7" s="20"/>
      <c r="I7" s="22"/>
      <c r="J7" s="20"/>
      <c r="K7" s="20"/>
      <c r="L7" s="20"/>
      <c r="M7" s="22"/>
      <c r="N7" s="22"/>
      <c r="O7" s="22"/>
      <c r="P7" s="22"/>
      <c r="Q7" s="20"/>
      <c r="R7" s="20"/>
      <c r="S7" s="22"/>
      <c r="T7" s="22"/>
      <c r="U7" s="22"/>
      <c r="V7" s="22"/>
      <c r="W7" s="22"/>
      <c r="X7" s="22"/>
    </row>
    <row r="8" spans="1:24" ht="15.75" thickBot="1">
      <c r="A8" s="160">
        <v>7891</v>
      </c>
      <c r="B8" s="160">
        <v>7898</v>
      </c>
      <c r="C8" s="22"/>
      <c r="D8" s="22"/>
      <c r="E8" s="20"/>
      <c r="F8" s="22"/>
      <c r="G8" s="22"/>
      <c r="H8" s="20"/>
      <c r="I8" s="22"/>
      <c r="J8" s="20"/>
      <c r="K8" s="20"/>
      <c r="L8" s="20"/>
      <c r="M8" s="22"/>
      <c r="N8" s="22"/>
      <c r="O8" s="22"/>
      <c r="P8" s="22"/>
      <c r="Q8" s="20"/>
      <c r="R8" s="20"/>
      <c r="S8" s="22"/>
      <c r="T8" s="22"/>
      <c r="U8" s="22"/>
      <c r="V8" s="22"/>
      <c r="W8" s="22"/>
      <c r="X8" s="22"/>
    </row>
    <row r="9" spans="1:24" ht="15.75" thickBot="1">
      <c r="A9" s="160">
        <v>7891</v>
      </c>
      <c r="B9" s="160">
        <v>7899</v>
      </c>
      <c r="C9" s="22"/>
      <c r="D9" s="22"/>
      <c r="E9" s="20"/>
      <c r="F9" s="22"/>
      <c r="G9" s="22"/>
      <c r="H9" s="20"/>
      <c r="I9" s="22"/>
      <c r="J9" s="20"/>
      <c r="K9" s="20"/>
      <c r="L9" s="20"/>
      <c r="M9" s="22"/>
      <c r="N9" s="22"/>
      <c r="O9" s="22"/>
      <c r="P9" s="22"/>
      <c r="Q9" s="20"/>
      <c r="R9" s="20"/>
      <c r="S9" s="22"/>
      <c r="T9" s="22"/>
      <c r="U9" s="22"/>
      <c r="V9" s="22"/>
      <c r="W9" s="22"/>
      <c r="X9" s="22"/>
    </row>
    <row r="10" spans="1:24" ht="15.75" thickBot="1">
      <c r="A10" s="160">
        <v>7891</v>
      </c>
      <c r="B10" s="160">
        <v>7900</v>
      </c>
      <c r="C10" s="22"/>
      <c r="D10" s="22"/>
      <c r="E10" s="20"/>
      <c r="F10" s="22"/>
      <c r="G10" s="22"/>
      <c r="H10" s="20"/>
      <c r="I10" s="22"/>
      <c r="J10" s="20"/>
      <c r="K10" s="20"/>
      <c r="L10" s="20"/>
      <c r="M10" s="22"/>
      <c r="N10" s="22"/>
      <c r="O10" s="22"/>
      <c r="P10" s="22"/>
      <c r="Q10" s="20"/>
      <c r="R10" s="20"/>
      <c r="S10" s="22"/>
      <c r="T10" s="22"/>
      <c r="U10" s="22"/>
      <c r="V10" s="22"/>
      <c r="W10" s="22"/>
      <c r="X10" s="22"/>
    </row>
    <row r="11" spans="1:24" ht="15.75" thickBot="1">
      <c r="A11" s="160">
        <v>7891</v>
      </c>
      <c r="B11" s="160">
        <v>7901</v>
      </c>
      <c r="C11" s="22"/>
      <c r="D11" s="22"/>
      <c r="E11" s="20"/>
      <c r="F11" s="22"/>
      <c r="G11" s="22"/>
      <c r="H11" s="20"/>
      <c r="I11" s="22"/>
      <c r="J11" s="20"/>
      <c r="K11" s="20"/>
      <c r="L11" s="20"/>
      <c r="M11" s="22"/>
      <c r="N11" s="22"/>
      <c r="O11" s="22"/>
      <c r="P11" s="22"/>
      <c r="Q11" s="20"/>
      <c r="R11" s="20"/>
      <c r="S11" s="22"/>
      <c r="T11" s="22"/>
      <c r="U11" s="22"/>
      <c r="V11" s="22"/>
      <c r="W11" s="22"/>
      <c r="X11" s="22"/>
    </row>
    <row r="12" spans="1:24" ht="15.75" thickBot="1">
      <c r="A12" s="160">
        <v>7891</v>
      </c>
      <c r="B12" s="160">
        <v>7902</v>
      </c>
      <c r="C12" s="22"/>
      <c r="D12" s="22"/>
      <c r="E12" s="20"/>
      <c r="F12" s="22"/>
      <c r="G12" s="22"/>
      <c r="H12" s="20"/>
      <c r="I12" s="22"/>
      <c r="J12" s="20"/>
      <c r="K12" s="20"/>
      <c r="L12" s="20"/>
      <c r="M12" s="22"/>
      <c r="N12" s="22"/>
      <c r="O12" s="22"/>
      <c r="P12" s="22"/>
      <c r="Q12" s="20"/>
      <c r="R12" s="20"/>
      <c r="S12" s="22"/>
      <c r="T12" s="22"/>
      <c r="U12" s="22"/>
      <c r="V12" s="22"/>
      <c r="W12" s="22"/>
      <c r="X12" s="22"/>
    </row>
    <row r="13" spans="1:24" ht="15.75" thickBot="1">
      <c r="A13" s="160">
        <v>11925</v>
      </c>
      <c r="B13" s="160">
        <v>11926</v>
      </c>
      <c r="C13" s="22"/>
      <c r="D13" s="22"/>
      <c r="E13" s="20"/>
      <c r="F13" s="22"/>
      <c r="G13" s="22"/>
      <c r="H13" s="20"/>
      <c r="I13" s="22"/>
      <c r="J13" s="20"/>
      <c r="K13" s="20"/>
      <c r="L13" s="20"/>
      <c r="M13" s="22"/>
      <c r="N13" s="22"/>
      <c r="O13" s="22"/>
      <c r="P13" s="22"/>
      <c r="Q13" s="20"/>
      <c r="R13" s="20"/>
      <c r="S13" s="22"/>
      <c r="T13" s="22"/>
      <c r="U13" s="22"/>
      <c r="V13" s="22"/>
      <c r="W13" s="22"/>
      <c r="X13" s="22"/>
    </row>
    <row r="14" spans="1:24" ht="15.75" thickBot="1">
      <c r="A14" s="160">
        <v>11925</v>
      </c>
      <c r="B14" s="160">
        <v>11927</v>
      </c>
      <c r="C14" s="22"/>
      <c r="D14" s="22"/>
      <c r="E14" s="20"/>
      <c r="F14" s="22"/>
      <c r="G14" s="22"/>
      <c r="H14" s="20"/>
      <c r="I14" s="22"/>
      <c r="J14" s="20"/>
      <c r="K14" s="20"/>
      <c r="L14" s="20"/>
      <c r="M14" s="22"/>
      <c r="N14" s="22"/>
      <c r="O14" s="22"/>
      <c r="P14" s="22"/>
      <c r="Q14" s="20"/>
      <c r="R14" s="20"/>
      <c r="S14" s="22"/>
      <c r="T14" s="22"/>
      <c r="U14" s="22"/>
      <c r="V14" s="22"/>
      <c r="W14" s="22"/>
      <c r="X14" s="22"/>
    </row>
    <row r="15" spans="1:24" ht="15.75" thickBot="1">
      <c r="A15" s="160">
        <v>11925</v>
      </c>
      <c r="B15" s="160">
        <v>11928</v>
      </c>
      <c r="C15" s="22"/>
      <c r="D15" s="22"/>
      <c r="E15" s="20"/>
      <c r="F15" s="22"/>
      <c r="G15" s="22"/>
      <c r="H15" s="20"/>
      <c r="I15" s="22"/>
      <c r="J15" s="20"/>
      <c r="K15" s="20"/>
      <c r="L15" s="20"/>
      <c r="M15" s="22"/>
      <c r="N15" s="22"/>
      <c r="O15" s="22"/>
      <c r="P15" s="22"/>
      <c r="Q15" s="20"/>
      <c r="R15" s="20"/>
      <c r="S15" s="22"/>
      <c r="T15" s="22"/>
      <c r="U15" s="22"/>
      <c r="V15" s="22"/>
      <c r="W15" s="22"/>
      <c r="X15" s="22"/>
    </row>
    <row r="16" spans="1:24" ht="15.75" thickBot="1">
      <c r="A16" s="160">
        <v>11925</v>
      </c>
      <c r="B16" s="160">
        <v>11929</v>
      </c>
      <c r="C16" s="22"/>
      <c r="D16" s="22"/>
      <c r="E16" s="20"/>
      <c r="F16" s="22"/>
      <c r="G16" s="22"/>
      <c r="H16" s="20"/>
      <c r="I16" s="22"/>
      <c r="J16" s="20"/>
      <c r="K16" s="20"/>
      <c r="L16" s="20"/>
      <c r="M16" s="22"/>
      <c r="N16" s="22"/>
      <c r="O16" s="22"/>
      <c r="P16" s="22"/>
      <c r="Q16" s="20"/>
      <c r="R16" s="20"/>
      <c r="S16" s="22"/>
      <c r="T16" s="22"/>
      <c r="U16" s="22"/>
      <c r="V16" s="22"/>
      <c r="W16" s="22"/>
      <c r="X16" s="22"/>
    </row>
    <row r="17" spans="1:24" ht="15.75" thickBot="1">
      <c r="A17" s="160">
        <v>11925</v>
      </c>
      <c r="B17" s="160">
        <v>11930</v>
      </c>
      <c r="C17" s="22"/>
      <c r="D17" s="22"/>
      <c r="E17" s="20"/>
      <c r="F17" s="22"/>
      <c r="G17" s="22"/>
      <c r="H17" s="20"/>
      <c r="I17" s="22"/>
      <c r="J17" s="20"/>
      <c r="K17" s="20"/>
      <c r="L17" s="20"/>
      <c r="M17" s="22"/>
      <c r="N17" s="22"/>
      <c r="O17" s="22"/>
      <c r="P17" s="22"/>
      <c r="Q17" s="20"/>
      <c r="R17" s="20"/>
      <c r="S17" s="22"/>
      <c r="T17" s="22"/>
      <c r="U17" s="22"/>
      <c r="V17" s="22"/>
      <c r="W17" s="22"/>
      <c r="X17" s="22"/>
    </row>
    <row r="18" spans="1:24" ht="15.75" thickBot="1">
      <c r="A18" s="160">
        <v>11925</v>
      </c>
      <c r="B18" s="160">
        <v>11931</v>
      </c>
      <c r="C18" s="22"/>
      <c r="D18" s="22"/>
      <c r="E18" s="20"/>
      <c r="F18" s="22"/>
      <c r="G18" s="22"/>
      <c r="H18" s="20"/>
      <c r="I18" s="22"/>
      <c r="J18" s="20"/>
      <c r="K18" s="20"/>
      <c r="L18" s="20"/>
      <c r="M18" s="22"/>
      <c r="N18" s="22"/>
      <c r="O18" s="22"/>
      <c r="P18" s="22"/>
      <c r="Q18" s="20"/>
      <c r="R18" s="20"/>
      <c r="S18" s="22"/>
      <c r="T18" s="22"/>
      <c r="U18" s="22"/>
      <c r="V18" s="22"/>
      <c r="W18" s="22"/>
      <c r="X18" s="22"/>
    </row>
    <row r="19" spans="1:24" ht="15.75" thickBot="1">
      <c r="A19" s="160">
        <v>11925</v>
      </c>
      <c r="B19" s="160">
        <v>11932</v>
      </c>
      <c r="C19" s="22"/>
      <c r="D19" s="22"/>
      <c r="E19" s="20"/>
      <c r="F19" s="22"/>
      <c r="G19" s="22"/>
      <c r="H19" s="20"/>
      <c r="I19" s="22"/>
      <c r="J19" s="20"/>
      <c r="K19" s="20"/>
      <c r="L19" s="20"/>
      <c r="M19" s="22"/>
      <c r="N19" s="22"/>
      <c r="O19" s="22"/>
      <c r="P19" s="22"/>
      <c r="Q19" s="20"/>
      <c r="R19" s="20"/>
      <c r="S19" s="22"/>
      <c r="T19" s="22"/>
      <c r="U19" s="22"/>
      <c r="V19" s="22"/>
      <c r="W19" s="22"/>
      <c r="X19" s="22"/>
    </row>
    <row r="20" spans="1:24" ht="15.75" thickBot="1">
      <c r="A20" s="160">
        <v>11925</v>
      </c>
      <c r="B20" s="160">
        <v>11933</v>
      </c>
      <c r="E20" s="20"/>
      <c r="H20" s="20"/>
      <c r="I20" s="22"/>
      <c r="J20" s="20"/>
      <c r="K20" s="20"/>
      <c r="L20" s="20"/>
      <c r="M20" s="22"/>
      <c r="P20" s="22"/>
    </row>
    <row r="21" spans="1:24" s="44" customFormat="1" ht="15.75" thickBot="1">
      <c r="A21" s="160">
        <v>11925</v>
      </c>
      <c r="B21" s="160">
        <v>11934</v>
      </c>
      <c r="E21" s="43"/>
      <c r="H21" s="47"/>
      <c r="L21" s="47"/>
    </row>
    <row r="22" spans="1:24" ht="15.75" thickBot="1">
      <c r="A22" s="160">
        <v>11925</v>
      </c>
      <c r="B22" s="160">
        <v>11935</v>
      </c>
      <c r="L22" s="4"/>
    </row>
    <row r="23" spans="1:24" ht="15.75" thickBot="1">
      <c r="A23" s="160">
        <v>11925</v>
      </c>
      <c r="B23" s="160">
        <v>11936</v>
      </c>
      <c r="H23" s="44"/>
    </row>
    <row r="24" spans="1:24" ht="15.75" thickBot="1">
      <c r="A24" s="160">
        <v>11925</v>
      </c>
      <c r="B24" s="160">
        <v>11937</v>
      </c>
      <c r="H24" s="44"/>
    </row>
    <row r="25" spans="1:24" ht="15.75" thickBot="1">
      <c r="A25" s="160">
        <v>11939</v>
      </c>
      <c r="B25" s="160">
        <v>11942</v>
      </c>
      <c r="H25" s="44"/>
    </row>
    <row r="26" spans="1:24" ht="15.75" thickBot="1">
      <c r="A26" s="160">
        <v>11939</v>
      </c>
      <c r="B26" s="160">
        <v>11943</v>
      </c>
      <c r="H26" s="44"/>
    </row>
    <row r="27" spans="1:24" ht="15.75" thickBot="1">
      <c r="A27" s="160">
        <v>11939</v>
      </c>
      <c r="B27" s="160">
        <v>11944</v>
      </c>
      <c r="H27" s="44"/>
    </row>
    <row r="28" spans="1:24" ht="15.75" thickBot="1">
      <c r="A28" s="160">
        <v>11939</v>
      </c>
      <c r="B28" s="160">
        <v>11945</v>
      </c>
    </row>
    <row r="29" spans="1:24" ht="15.75" thickBot="1">
      <c r="A29" s="160">
        <v>11939</v>
      </c>
      <c r="B29" s="160">
        <v>11946</v>
      </c>
    </row>
    <row r="30" spans="1:24" ht="15.75" thickBot="1">
      <c r="A30" s="160">
        <v>11939</v>
      </c>
      <c r="B30" s="160">
        <v>11947</v>
      </c>
      <c r="H30" s="12"/>
    </row>
    <row r="31" spans="1:24" ht="15.75" thickBot="1">
      <c r="A31" s="160">
        <v>11939</v>
      </c>
      <c r="B31" s="160">
        <v>11948</v>
      </c>
    </row>
    <row r="32" spans="1:24" ht="15.75" thickBot="1">
      <c r="A32" s="160">
        <v>11939</v>
      </c>
      <c r="B32" s="160">
        <v>11949</v>
      </c>
    </row>
    <row r="33" spans="1:2" ht="15.75" thickBot="1">
      <c r="A33" s="160">
        <v>11939</v>
      </c>
      <c r="B33" s="160">
        <v>11950</v>
      </c>
    </row>
    <row r="34" spans="1:2" ht="15.75" thickBot="1">
      <c r="A34" s="160">
        <v>11939</v>
      </c>
      <c r="B34" s="160">
        <v>11979</v>
      </c>
    </row>
    <row r="35" spans="1:2" ht="15.75" thickBot="1">
      <c r="A35" s="160">
        <v>11939</v>
      </c>
      <c r="B35" s="160">
        <v>11980</v>
      </c>
    </row>
    <row r="36" spans="1:2" ht="15.75" thickBot="1">
      <c r="A36" s="160">
        <v>11939</v>
      </c>
      <c r="B36" s="160">
        <v>11981</v>
      </c>
    </row>
    <row r="37" spans="1:2" ht="15.75" thickBot="1">
      <c r="A37" s="160">
        <v>11342</v>
      </c>
      <c r="B37" s="160">
        <v>11343</v>
      </c>
    </row>
    <row r="38" spans="1:2" ht="15.75" thickBot="1">
      <c r="A38" s="160">
        <v>11342</v>
      </c>
      <c r="B38" s="160">
        <v>11344</v>
      </c>
    </row>
    <row r="39" spans="1:2" ht="15.75" thickBot="1">
      <c r="A39" s="160">
        <v>11342</v>
      </c>
      <c r="B39" s="160">
        <v>11345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0" xr:uid="{00000000-0002-0000-0A00-000000000000}">
      <formula1>israel_abroad</formula1>
    </dataValidation>
    <dataValidation type="list" allowBlank="1" showInputMessage="1" showErrorMessage="1" sqref="P2:P20" xr:uid="{00000000-0002-0000-0A00-000001000000}">
      <formula1>Holding_interest</formula1>
    </dataValidation>
    <dataValidation type="list" allowBlank="1" showInputMessage="1" showErrorMessage="1" sqref="N2:N19" xr:uid="{00000000-0002-0000-0A00-000002000000}">
      <formula1>Underlying_Asset</formula1>
    </dataValidation>
    <dataValidation type="list" allowBlank="1" showInputMessage="1" showErrorMessage="1" sqref="K2:K20" xr:uid="{00000000-0002-0000-0A00-000003000000}">
      <formula1>Country_list</formula1>
    </dataValidation>
    <dataValidation type="list" allowBlank="1" showInputMessage="1" showErrorMessage="1" sqref="E2:E20" xr:uid="{00000000-0002-0000-0A00-000004000000}">
      <formula1>Issuer_Type_TFunds</formula1>
    </dataValidation>
    <dataValidation type="list" allowBlank="1" showInputMessage="1" showErrorMessage="1" sqref="H2:H20" xr:uid="{00000000-0002-0000-0A00-000005000000}">
      <formula1>Security_ID_Number_Type</formula1>
    </dataValidation>
    <dataValidation type="list" allowBlank="1" showInputMessage="1" showErrorMessage="1" sqref="M2:M20" xr:uid="{00000000-0002-0000-0A00-000006000000}">
      <formula1>Industry_Sector</formula1>
    </dataValidation>
    <dataValidation type="list" allowBlank="1" showInputMessage="1" showErrorMessage="1" sqref="L2:L20" xr:uid="{00000000-0002-0000-0A00-000007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8000000}">
          <x14:formula1>
            <xm:f>'אפשרויות בחירה'!$C$901:$C$905</xm:f>
          </x14:formula1>
          <xm:sqref>I2:I20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3"/>
  <dimension ref="A1:T39"/>
  <sheetViews>
    <sheetView rightToLeft="1" workbookViewId="0">
      <selection activeCell="A2" sqref="A2:B39"/>
    </sheetView>
  </sheetViews>
  <sheetFormatPr defaultColWidth="9" defaultRowHeight="15"/>
  <cols>
    <col min="1" max="4" width="11.5703125" style="2" customWidth="1"/>
    <col min="5" max="5" width="11.5703125" style="4" customWidth="1"/>
    <col min="6" max="10" width="11.5703125" style="2" customWidth="1"/>
    <col min="11" max="11" width="11.5703125" style="2"/>
    <col min="12" max="20" width="11.5703125" style="2" customWidth="1"/>
    <col min="21" max="16384" width="9" style="2"/>
  </cols>
  <sheetData>
    <row r="1" spans="1:20" ht="66.75" customHeight="1">
      <c r="A1" s="21" t="s">
        <v>667</v>
      </c>
      <c r="B1" s="21" t="s">
        <v>0</v>
      </c>
      <c r="C1" s="21" t="s">
        <v>740</v>
      </c>
      <c r="D1" s="21" t="s">
        <v>2</v>
      </c>
      <c r="E1" s="21" t="s">
        <v>756</v>
      </c>
      <c r="F1" s="21" t="s">
        <v>1163</v>
      </c>
      <c r="G1" s="21" t="s">
        <v>29</v>
      </c>
      <c r="H1" s="21" t="s">
        <v>28</v>
      </c>
      <c r="I1" s="21" t="s">
        <v>620</v>
      </c>
      <c r="J1" s="21" t="s">
        <v>621</v>
      </c>
      <c r="K1" s="21" t="s">
        <v>5</v>
      </c>
      <c r="L1" s="21" t="s">
        <v>10</v>
      </c>
      <c r="M1" s="21" t="s">
        <v>622</v>
      </c>
      <c r="N1" s="21" t="s">
        <v>396</v>
      </c>
      <c r="O1" s="21" t="s">
        <v>789</v>
      </c>
      <c r="P1" s="21" t="s">
        <v>11</v>
      </c>
      <c r="Q1" s="21" t="s">
        <v>15</v>
      </c>
      <c r="R1" s="21" t="s">
        <v>1171</v>
      </c>
      <c r="S1" s="21" t="s">
        <v>19</v>
      </c>
      <c r="T1" s="21" t="s">
        <v>30</v>
      </c>
    </row>
    <row r="2" spans="1:20" ht="15.75" thickBot="1">
      <c r="A2" s="160">
        <v>7891</v>
      </c>
      <c r="B2" s="160">
        <v>7892</v>
      </c>
      <c r="E2" s="20"/>
      <c r="F2" s="22"/>
      <c r="G2" s="22"/>
      <c r="H2" s="20"/>
      <c r="I2" s="20"/>
      <c r="J2" s="20"/>
      <c r="K2" s="20"/>
      <c r="L2" s="23"/>
      <c r="M2" s="22"/>
      <c r="N2" s="20"/>
      <c r="O2" s="22"/>
      <c r="P2" s="22"/>
      <c r="Q2" s="22"/>
      <c r="R2" s="22"/>
      <c r="S2" s="22"/>
      <c r="T2" s="22"/>
    </row>
    <row r="3" spans="1:20" ht="15.75" thickBot="1">
      <c r="A3" s="160">
        <v>7891</v>
      </c>
      <c r="B3" s="160">
        <v>7893</v>
      </c>
      <c r="E3" s="20"/>
      <c r="F3" s="22"/>
      <c r="G3" s="22"/>
      <c r="H3" s="20"/>
      <c r="I3" s="20"/>
      <c r="J3" s="20"/>
      <c r="K3" s="20"/>
      <c r="L3" s="23"/>
      <c r="M3" s="22"/>
      <c r="N3" s="20"/>
      <c r="O3" s="22"/>
      <c r="P3" s="22"/>
      <c r="Q3" s="22"/>
      <c r="R3" s="22"/>
      <c r="S3" s="22"/>
      <c r="T3" s="22"/>
    </row>
    <row r="4" spans="1:20" ht="15.75" thickBot="1">
      <c r="A4" s="160">
        <v>7891</v>
      </c>
      <c r="B4" s="160">
        <v>7894</v>
      </c>
      <c r="E4" s="20"/>
      <c r="F4" s="22"/>
      <c r="G4" s="22"/>
      <c r="H4" s="20"/>
      <c r="I4" s="20"/>
      <c r="J4" s="20"/>
      <c r="K4" s="20"/>
      <c r="L4" s="23"/>
      <c r="M4" s="22"/>
      <c r="N4" s="20"/>
      <c r="O4" s="22"/>
      <c r="P4" s="22"/>
      <c r="Q4" s="22"/>
      <c r="R4" s="22"/>
      <c r="S4" s="22"/>
      <c r="T4" s="22"/>
    </row>
    <row r="5" spans="1:20" ht="15.75" thickBot="1">
      <c r="A5" s="160">
        <v>7891</v>
      </c>
      <c r="B5" s="160">
        <v>7895</v>
      </c>
      <c r="E5" s="20"/>
      <c r="F5" s="22"/>
      <c r="G5" s="22"/>
      <c r="H5" s="20"/>
      <c r="I5" s="20"/>
      <c r="J5" s="20"/>
      <c r="K5" s="20"/>
      <c r="L5" s="23"/>
      <c r="M5" s="22"/>
      <c r="N5" s="20"/>
      <c r="O5" s="22"/>
      <c r="P5" s="22"/>
      <c r="Q5" s="22"/>
      <c r="R5" s="22"/>
      <c r="S5" s="22"/>
      <c r="T5" s="22"/>
    </row>
    <row r="6" spans="1:20" ht="15.75" thickBot="1">
      <c r="A6" s="160">
        <v>7891</v>
      </c>
      <c r="B6" s="160">
        <v>7896</v>
      </c>
      <c r="E6" s="20"/>
      <c r="F6" s="22"/>
      <c r="G6" s="22"/>
      <c r="H6" s="20"/>
      <c r="I6" s="20"/>
      <c r="J6" s="20"/>
      <c r="K6" s="20"/>
      <c r="L6" s="23"/>
      <c r="M6" s="22"/>
      <c r="N6" s="20"/>
      <c r="O6" s="22"/>
      <c r="P6" s="22"/>
      <c r="Q6" s="22"/>
      <c r="R6" s="22"/>
      <c r="S6" s="22"/>
      <c r="T6" s="22"/>
    </row>
    <row r="7" spans="1:20" ht="15.75" thickBot="1">
      <c r="A7" s="160">
        <v>7891</v>
      </c>
      <c r="B7" s="160">
        <v>7897</v>
      </c>
      <c r="E7" s="20"/>
      <c r="F7" s="22"/>
      <c r="G7" s="22"/>
      <c r="H7" s="20"/>
      <c r="I7" s="20"/>
      <c r="J7" s="20"/>
      <c r="K7" s="20"/>
      <c r="L7" s="23"/>
      <c r="M7" s="22"/>
      <c r="N7" s="20"/>
      <c r="O7" s="22"/>
      <c r="P7" s="22"/>
      <c r="Q7" s="22"/>
      <c r="R7" s="22"/>
      <c r="S7" s="22"/>
      <c r="T7" s="22"/>
    </row>
    <row r="8" spans="1:20" ht="15.75" thickBot="1">
      <c r="A8" s="160">
        <v>7891</v>
      </c>
      <c r="B8" s="160">
        <v>7898</v>
      </c>
      <c r="E8" s="20"/>
      <c r="F8" s="22"/>
      <c r="G8" s="22"/>
      <c r="H8" s="20"/>
      <c r="I8" s="20"/>
      <c r="J8" s="20"/>
      <c r="K8" s="20"/>
      <c r="L8" s="23"/>
      <c r="M8" s="22"/>
      <c r="N8" s="20"/>
      <c r="O8" s="22"/>
      <c r="P8" s="22"/>
      <c r="Q8" s="22"/>
      <c r="R8" s="22"/>
      <c r="S8" s="22"/>
      <c r="T8" s="22"/>
    </row>
    <row r="9" spans="1:20" ht="15.75" thickBot="1">
      <c r="A9" s="160">
        <v>7891</v>
      </c>
      <c r="B9" s="160">
        <v>7899</v>
      </c>
      <c r="E9" s="20"/>
      <c r="F9" s="22"/>
      <c r="G9" s="22"/>
      <c r="H9" s="20"/>
      <c r="I9" s="20"/>
      <c r="J9" s="20"/>
      <c r="K9" s="20"/>
      <c r="L9" s="23"/>
      <c r="M9" s="22"/>
      <c r="N9" s="20"/>
      <c r="O9" s="22"/>
      <c r="P9" s="22"/>
      <c r="Q9" s="22"/>
      <c r="R9" s="22"/>
      <c r="S9" s="22"/>
      <c r="T9" s="22"/>
    </row>
    <row r="10" spans="1:20" ht="15.75" thickBot="1">
      <c r="A10" s="160">
        <v>7891</v>
      </c>
      <c r="B10" s="160">
        <v>7900</v>
      </c>
      <c r="E10" s="20"/>
      <c r="F10" s="22"/>
      <c r="G10" s="22"/>
      <c r="H10" s="20"/>
      <c r="I10" s="20"/>
      <c r="J10" s="20"/>
      <c r="K10" s="20"/>
      <c r="L10" s="23"/>
      <c r="M10" s="22"/>
      <c r="N10" s="20"/>
      <c r="O10" s="22"/>
      <c r="P10" s="22"/>
      <c r="Q10" s="22"/>
      <c r="R10" s="22"/>
      <c r="S10" s="22"/>
      <c r="T10" s="22"/>
    </row>
    <row r="11" spans="1:20" ht="15.75" thickBot="1">
      <c r="A11" s="160">
        <v>7891</v>
      </c>
      <c r="B11" s="160">
        <v>7901</v>
      </c>
      <c r="E11" s="20"/>
      <c r="F11" s="22"/>
      <c r="G11" s="22"/>
      <c r="H11" s="20"/>
      <c r="I11" s="20"/>
      <c r="J11" s="20"/>
      <c r="K11" s="20"/>
      <c r="L11" s="23"/>
      <c r="M11" s="22"/>
      <c r="N11" s="20"/>
      <c r="O11" s="22"/>
      <c r="P11" s="22"/>
      <c r="Q11" s="22"/>
      <c r="R11" s="22"/>
      <c r="S11" s="22"/>
      <c r="T11" s="22"/>
    </row>
    <row r="12" spans="1:20" ht="15.75" thickBot="1">
      <c r="A12" s="160">
        <v>7891</v>
      </c>
      <c r="B12" s="160">
        <v>7902</v>
      </c>
      <c r="E12" s="20"/>
      <c r="F12" s="22"/>
      <c r="G12" s="22"/>
      <c r="H12" s="20"/>
      <c r="I12" s="20"/>
      <c r="J12" s="20"/>
      <c r="K12" s="20"/>
      <c r="L12" s="23"/>
      <c r="M12" s="22"/>
      <c r="N12" s="20"/>
      <c r="O12" s="22"/>
      <c r="P12" s="22"/>
      <c r="Q12" s="22"/>
      <c r="R12" s="22"/>
      <c r="S12" s="22"/>
      <c r="T12" s="22"/>
    </row>
    <row r="13" spans="1:20" ht="15.75" thickBot="1">
      <c r="A13" s="160">
        <v>11925</v>
      </c>
      <c r="B13" s="160">
        <v>11926</v>
      </c>
      <c r="E13" s="20"/>
      <c r="F13" s="22"/>
      <c r="G13" s="22"/>
      <c r="H13" s="20"/>
      <c r="I13" s="20"/>
      <c r="J13" s="20"/>
      <c r="K13" s="20"/>
      <c r="L13" s="23"/>
      <c r="M13" s="22"/>
      <c r="N13" s="20"/>
      <c r="O13" s="22"/>
      <c r="P13" s="22"/>
      <c r="Q13" s="22"/>
      <c r="R13" s="22"/>
      <c r="S13" s="22"/>
      <c r="T13" s="22"/>
    </row>
    <row r="14" spans="1:20" ht="15.75" thickBot="1">
      <c r="A14" s="160">
        <v>11925</v>
      </c>
      <c r="B14" s="160">
        <v>11927</v>
      </c>
      <c r="E14" s="20"/>
      <c r="F14" s="22"/>
      <c r="G14" s="22"/>
      <c r="H14" s="20"/>
      <c r="I14" s="20"/>
      <c r="J14" s="20"/>
      <c r="K14" s="20"/>
      <c r="L14" s="23"/>
      <c r="M14" s="22"/>
      <c r="N14" s="20"/>
      <c r="O14" s="22"/>
      <c r="P14" s="22"/>
      <c r="Q14" s="22"/>
      <c r="R14" s="22"/>
      <c r="S14" s="22"/>
      <c r="T14" s="22"/>
    </row>
    <row r="15" spans="1:20" ht="15.75" thickBot="1">
      <c r="A15" s="160">
        <v>11925</v>
      </c>
      <c r="B15" s="160">
        <v>11928</v>
      </c>
      <c r="E15" s="20"/>
      <c r="F15" s="22"/>
      <c r="G15" s="22"/>
      <c r="H15" s="20"/>
      <c r="I15" s="20"/>
      <c r="J15" s="20"/>
      <c r="K15" s="20"/>
      <c r="L15" s="23"/>
      <c r="M15" s="22"/>
      <c r="N15" s="20"/>
      <c r="O15" s="22"/>
      <c r="P15" s="22"/>
      <c r="Q15" s="22"/>
      <c r="R15" s="22"/>
      <c r="S15" s="22"/>
      <c r="T15" s="22"/>
    </row>
    <row r="16" spans="1:20" ht="15.75" thickBot="1">
      <c r="A16" s="160">
        <v>11925</v>
      </c>
      <c r="B16" s="160">
        <v>11929</v>
      </c>
      <c r="E16" s="20"/>
      <c r="F16" s="22"/>
      <c r="G16" s="22"/>
      <c r="H16" s="20"/>
      <c r="I16" s="20"/>
      <c r="J16" s="20"/>
      <c r="K16" s="20"/>
      <c r="L16" s="23"/>
      <c r="M16" s="22"/>
      <c r="N16" s="20"/>
      <c r="O16" s="22"/>
      <c r="P16" s="22"/>
      <c r="Q16" s="22"/>
      <c r="R16" s="22"/>
      <c r="S16" s="22"/>
      <c r="T16" s="22"/>
    </row>
    <row r="17" spans="1:20" ht="15.75" thickBot="1">
      <c r="A17" s="160">
        <v>11925</v>
      </c>
      <c r="B17" s="160">
        <v>11930</v>
      </c>
      <c r="E17" s="20"/>
      <c r="F17" s="22"/>
      <c r="G17" s="22"/>
      <c r="H17" s="20"/>
      <c r="I17" s="20"/>
      <c r="J17" s="20"/>
      <c r="K17" s="20"/>
      <c r="L17" s="23"/>
      <c r="M17" s="22"/>
      <c r="N17" s="20"/>
      <c r="O17" s="22"/>
      <c r="P17" s="22"/>
      <c r="Q17" s="22"/>
      <c r="R17" s="22"/>
      <c r="S17" s="22"/>
      <c r="T17" s="22"/>
    </row>
    <row r="18" spans="1:20" ht="15.75" thickBot="1">
      <c r="A18" s="160">
        <v>11925</v>
      </c>
      <c r="B18" s="160">
        <v>11931</v>
      </c>
      <c r="E18" s="20"/>
      <c r="F18" s="22"/>
      <c r="G18" s="22"/>
      <c r="H18" s="20"/>
      <c r="I18" s="20"/>
      <c r="J18" s="20"/>
      <c r="K18" s="20"/>
      <c r="L18" s="23"/>
      <c r="M18" s="22"/>
      <c r="N18" s="20"/>
      <c r="O18" s="22"/>
      <c r="P18" s="22"/>
      <c r="Q18" s="22"/>
      <c r="R18" s="22"/>
      <c r="S18" s="22"/>
      <c r="T18" s="22"/>
    </row>
    <row r="19" spans="1:20" ht="15.75" thickBot="1">
      <c r="A19" s="160">
        <v>11925</v>
      </c>
      <c r="B19" s="160">
        <v>11932</v>
      </c>
      <c r="E19" s="20"/>
      <c r="F19" s="22"/>
      <c r="G19" s="22"/>
      <c r="H19" s="20"/>
      <c r="I19" s="20"/>
      <c r="J19" s="20"/>
      <c r="K19" s="20"/>
      <c r="L19" s="23"/>
      <c r="M19" s="22"/>
      <c r="N19" s="20"/>
      <c r="O19" s="22"/>
      <c r="P19" s="22"/>
      <c r="Q19" s="22"/>
      <c r="R19" s="22"/>
      <c r="S19" s="22"/>
      <c r="T19" s="22"/>
    </row>
    <row r="20" spans="1:20" ht="15.75" thickBot="1">
      <c r="A20" s="160">
        <v>11925</v>
      </c>
      <c r="B20" s="160">
        <v>11933</v>
      </c>
      <c r="E20" s="20"/>
      <c r="H20" s="20"/>
      <c r="J20" s="20"/>
      <c r="K20" s="20"/>
      <c r="L20" s="23"/>
      <c r="M20" s="22"/>
    </row>
    <row r="21" spans="1:20" s="44" customFormat="1" ht="15.75" thickBot="1">
      <c r="A21" s="160">
        <v>11925</v>
      </c>
      <c r="B21" s="160">
        <v>11934</v>
      </c>
      <c r="E21" s="43"/>
      <c r="H21" s="47"/>
      <c r="K21" s="47"/>
    </row>
    <row r="22" spans="1:20" ht="15.75" thickBot="1">
      <c r="A22" s="160">
        <v>11925</v>
      </c>
      <c r="B22" s="160">
        <v>11935</v>
      </c>
      <c r="K22" s="4"/>
    </row>
    <row r="23" spans="1:20" ht="15.75" thickBot="1">
      <c r="A23" s="160">
        <v>11925</v>
      </c>
      <c r="B23" s="160">
        <v>11936</v>
      </c>
      <c r="H23" s="44"/>
    </row>
    <row r="24" spans="1:20" ht="15.75" thickBot="1">
      <c r="A24" s="160">
        <v>11925</v>
      </c>
      <c r="B24" s="160">
        <v>11937</v>
      </c>
      <c r="H24" s="44"/>
    </row>
    <row r="25" spans="1:20" ht="15.75" thickBot="1">
      <c r="A25" s="160">
        <v>11939</v>
      </c>
      <c r="B25" s="160">
        <v>11942</v>
      </c>
      <c r="H25" s="44"/>
    </row>
    <row r="26" spans="1:20" ht="15.75" thickBot="1">
      <c r="A26" s="160">
        <v>11939</v>
      </c>
      <c r="B26" s="160">
        <v>11943</v>
      </c>
      <c r="H26" s="44"/>
    </row>
    <row r="27" spans="1:20" ht="15.75" thickBot="1">
      <c r="A27" s="160">
        <v>11939</v>
      </c>
      <c r="B27" s="160">
        <v>11944</v>
      </c>
    </row>
    <row r="28" spans="1:20" ht="15.75" thickBot="1">
      <c r="A28" s="160">
        <v>11939</v>
      </c>
      <c r="B28" s="160">
        <v>11945</v>
      </c>
    </row>
    <row r="29" spans="1:20" ht="15.75" thickBot="1">
      <c r="A29" s="160">
        <v>11939</v>
      </c>
      <c r="B29" s="160">
        <v>11946</v>
      </c>
    </row>
    <row r="30" spans="1:20" ht="15.75" thickBot="1">
      <c r="A30" s="160">
        <v>11939</v>
      </c>
      <c r="B30" s="160">
        <v>11947</v>
      </c>
    </row>
    <row r="31" spans="1:20" ht="15.75" thickBot="1">
      <c r="A31" s="160">
        <v>11939</v>
      </c>
      <c r="B31" s="160">
        <v>11948</v>
      </c>
    </row>
    <row r="32" spans="1:20" ht="15.75" thickBot="1">
      <c r="A32" s="160">
        <v>11939</v>
      </c>
      <c r="B32" s="160">
        <v>11949</v>
      </c>
    </row>
    <row r="33" spans="1:2" ht="15.75" thickBot="1">
      <c r="A33" s="160">
        <v>11939</v>
      </c>
      <c r="B33" s="160">
        <v>11950</v>
      </c>
    </row>
    <row r="34" spans="1:2" ht="15.75" thickBot="1">
      <c r="A34" s="160">
        <v>11939</v>
      </c>
      <c r="B34" s="160">
        <v>11979</v>
      </c>
    </row>
    <row r="35" spans="1:2" ht="15.75" thickBot="1">
      <c r="A35" s="160">
        <v>11939</v>
      </c>
      <c r="B35" s="160">
        <v>11980</v>
      </c>
    </row>
    <row r="36" spans="1:2" ht="15.75" thickBot="1">
      <c r="A36" s="160">
        <v>11939</v>
      </c>
      <c r="B36" s="160">
        <v>11981</v>
      </c>
    </row>
    <row r="37" spans="1:2" ht="15.75" thickBot="1">
      <c r="A37" s="160">
        <v>11342</v>
      </c>
      <c r="B37" s="160">
        <v>11343</v>
      </c>
    </row>
    <row r="38" spans="1:2" ht="15.75" thickBot="1">
      <c r="A38" s="160">
        <v>11342</v>
      </c>
      <c r="B38" s="160">
        <v>11344</v>
      </c>
    </row>
    <row r="39" spans="1:2" ht="15.75" thickBot="1">
      <c r="A39" s="160">
        <v>11342</v>
      </c>
      <c r="B39" s="160">
        <v>11345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7">
    <dataValidation type="list" allowBlank="1" showInputMessage="1" showErrorMessage="1" sqref="I2:I19" xr:uid="{00000000-0002-0000-0B00-000000000000}">
      <formula1>israel_abroad</formula1>
    </dataValidation>
    <dataValidation type="list" allowBlank="1" showInputMessage="1" showErrorMessage="1" sqref="M2:M20" xr:uid="{00000000-0002-0000-0B00-000001000000}">
      <formula1>Holding_interest</formula1>
    </dataValidation>
    <dataValidation type="list" allowBlank="1" showInputMessage="1" showErrorMessage="1" sqref="L2:L20" xr:uid="{00000000-0002-0000-0B00-000002000000}">
      <formula1>Underlying_Asset</formula1>
    </dataValidation>
    <dataValidation type="list" allowBlank="1" showInputMessage="1" showErrorMessage="1" sqref="J2:J20" xr:uid="{00000000-0002-0000-0B00-000003000000}">
      <formula1>Country_list</formula1>
    </dataValidation>
    <dataValidation type="list" allowBlank="1" showInputMessage="1" showErrorMessage="1" sqref="E2:E20" xr:uid="{00000000-0002-0000-0B00-000004000000}">
      <formula1>Issuer_Type_TFunds</formula1>
    </dataValidation>
    <dataValidation type="list" allowBlank="1" showInputMessage="1" showErrorMessage="1" sqref="H2:H20" xr:uid="{00000000-0002-0000-0B00-000005000000}">
      <formula1>Security_ID_Number_Type</formula1>
    </dataValidation>
    <dataValidation type="list" allowBlank="1" showInputMessage="1" showErrorMessage="1" sqref="K2:K20" xr:uid="{00000000-0002-0000-0B00-000006000000}">
      <formula1>Stock_Exchange</formula1>
    </dataValidation>
  </dataValidation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4"/>
  <dimension ref="A1:AB39"/>
  <sheetViews>
    <sheetView rightToLeft="1" workbookViewId="0">
      <selection activeCell="A2" sqref="A2:B39"/>
    </sheetView>
  </sheetViews>
  <sheetFormatPr defaultColWidth="9" defaultRowHeight="15"/>
  <cols>
    <col min="1" max="4" width="11.5703125" style="2" customWidth="1"/>
    <col min="5" max="5" width="11.5703125" style="4" customWidth="1"/>
    <col min="6" max="12" width="11.5703125" style="2" customWidth="1"/>
    <col min="13" max="13" width="11.5703125" style="2"/>
    <col min="14" max="28" width="11.5703125" style="2" customWidth="1"/>
    <col min="29" max="16384" width="9" style="2"/>
  </cols>
  <sheetData>
    <row r="1" spans="1:28" ht="66.75" customHeight="1">
      <c r="A1" s="21" t="s">
        <v>667</v>
      </c>
      <c r="B1" s="21" t="s">
        <v>0</v>
      </c>
      <c r="C1" s="21" t="s">
        <v>740</v>
      </c>
      <c r="D1" s="21" t="s">
        <v>2</v>
      </c>
      <c r="E1" s="21" t="s">
        <v>756</v>
      </c>
      <c r="F1" s="21" t="s">
        <v>1163</v>
      </c>
      <c r="G1" s="21" t="s">
        <v>29</v>
      </c>
      <c r="H1" s="21" t="s">
        <v>28</v>
      </c>
      <c r="I1" s="21" t="s">
        <v>1</v>
      </c>
      <c r="J1" s="21" t="s">
        <v>620</v>
      </c>
      <c r="K1" s="21" t="s">
        <v>621</v>
      </c>
      <c r="L1" s="21" t="s">
        <v>625</v>
      </c>
      <c r="M1" s="21" t="s">
        <v>5</v>
      </c>
      <c r="N1" s="21" t="s">
        <v>10</v>
      </c>
      <c r="O1" s="21" t="s">
        <v>622</v>
      </c>
      <c r="P1" s="21" t="s">
        <v>13</v>
      </c>
      <c r="Q1" s="21" t="s">
        <v>14</v>
      </c>
      <c r="R1" s="21" t="s">
        <v>637</v>
      </c>
      <c r="S1" s="21" t="s">
        <v>6</v>
      </c>
      <c r="T1" s="21" t="s">
        <v>8</v>
      </c>
      <c r="U1" s="21" t="s">
        <v>1164</v>
      </c>
      <c r="V1" s="21" t="s">
        <v>396</v>
      </c>
      <c r="W1" s="21" t="s">
        <v>789</v>
      </c>
      <c r="X1" s="21" t="s">
        <v>11</v>
      </c>
      <c r="Y1" s="21" t="s">
        <v>15</v>
      </c>
      <c r="Z1" s="21" t="s">
        <v>1171</v>
      </c>
      <c r="AA1" s="21" t="s">
        <v>19</v>
      </c>
      <c r="AB1" s="21" t="s">
        <v>30</v>
      </c>
    </row>
    <row r="2" spans="1:28" ht="15.75" thickBot="1">
      <c r="A2" s="160">
        <v>7891</v>
      </c>
      <c r="B2" s="160">
        <v>7892</v>
      </c>
      <c r="C2" s="22"/>
      <c r="D2" s="22"/>
      <c r="E2" s="20"/>
      <c r="F2" s="22"/>
      <c r="G2" s="22"/>
      <c r="H2" s="20"/>
      <c r="I2" s="22"/>
      <c r="J2" s="20"/>
      <c r="K2" s="20"/>
      <c r="L2" s="22"/>
      <c r="M2" s="20"/>
      <c r="N2" s="23"/>
      <c r="O2" s="22"/>
      <c r="P2" s="22"/>
      <c r="Q2" s="22"/>
      <c r="R2" s="22"/>
      <c r="S2" s="22"/>
      <c r="T2" s="22"/>
      <c r="U2" s="22"/>
      <c r="V2" s="20"/>
      <c r="W2" s="22"/>
      <c r="X2" s="22"/>
      <c r="Y2" s="22"/>
      <c r="Z2" s="22"/>
      <c r="AA2" s="22"/>
      <c r="AB2" s="22"/>
    </row>
    <row r="3" spans="1:28" ht="15.75" thickBot="1">
      <c r="A3" s="160">
        <v>7891</v>
      </c>
      <c r="B3" s="160">
        <v>7893</v>
      </c>
      <c r="C3" s="22"/>
      <c r="D3" s="22"/>
      <c r="E3" s="20"/>
      <c r="F3" s="22"/>
      <c r="G3" s="22"/>
      <c r="H3" s="20"/>
      <c r="I3" s="22"/>
      <c r="J3" s="20"/>
      <c r="K3" s="20"/>
      <c r="L3" s="22"/>
      <c r="M3" s="20"/>
      <c r="N3" s="23"/>
      <c r="O3" s="22"/>
      <c r="P3" s="22"/>
      <c r="Q3" s="22"/>
      <c r="R3" s="22"/>
      <c r="S3" s="22"/>
      <c r="T3" s="22"/>
      <c r="U3" s="22"/>
      <c r="V3" s="20"/>
      <c r="W3" s="22"/>
      <c r="X3" s="22"/>
      <c r="Y3" s="22"/>
      <c r="Z3" s="22"/>
      <c r="AA3" s="22"/>
      <c r="AB3" s="22"/>
    </row>
    <row r="4" spans="1:28" ht="15.75" thickBot="1">
      <c r="A4" s="160">
        <v>7891</v>
      </c>
      <c r="B4" s="160">
        <v>7894</v>
      </c>
      <c r="C4" s="22"/>
      <c r="D4" s="22"/>
      <c r="E4" s="20"/>
      <c r="F4" s="22"/>
      <c r="G4" s="22"/>
      <c r="H4" s="20"/>
      <c r="I4" s="22"/>
      <c r="J4" s="20"/>
      <c r="K4" s="20"/>
      <c r="L4" s="22"/>
      <c r="M4" s="20"/>
      <c r="N4" s="23"/>
      <c r="O4" s="22"/>
      <c r="P4" s="22"/>
      <c r="Q4" s="22"/>
      <c r="R4" s="22"/>
      <c r="S4" s="22"/>
      <c r="T4" s="22"/>
      <c r="U4" s="22"/>
      <c r="V4" s="20"/>
      <c r="W4" s="22"/>
      <c r="X4" s="22"/>
      <c r="Y4" s="22"/>
      <c r="Z4" s="22"/>
      <c r="AA4" s="22"/>
      <c r="AB4" s="22"/>
    </row>
    <row r="5" spans="1:28" ht="15.75" thickBot="1">
      <c r="A5" s="160">
        <v>7891</v>
      </c>
      <c r="B5" s="160">
        <v>7895</v>
      </c>
      <c r="C5" s="22"/>
      <c r="D5" s="22"/>
      <c r="E5" s="20"/>
      <c r="F5" s="22"/>
      <c r="G5" s="22"/>
      <c r="H5" s="20"/>
      <c r="I5" s="22"/>
      <c r="J5" s="20"/>
      <c r="K5" s="20"/>
      <c r="L5" s="22"/>
      <c r="M5" s="20"/>
      <c r="N5" s="23"/>
      <c r="O5" s="22"/>
      <c r="P5" s="22"/>
      <c r="Q5" s="22"/>
      <c r="R5" s="22"/>
      <c r="S5" s="22"/>
      <c r="T5" s="22"/>
      <c r="U5" s="22"/>
      <c r="V5" s="20"/>
      <c r="W5" s="22"/>
      <c r="X5" s="22"/>
      <c r="Y5" s="22"/>
      <c r="Z5" s="22"/>
      <c r="AA5" s="22"/>
      <c r="AB5" s="22"/>
    </row>
    <row r="6" spans="1:28" ht="15.75" thickBot="1">
      <c r="A6" s="160">
        <v>7891</v>
      </c>
      <c r="B6" s="160">
        <v>7896</v>
      </c>
      <c r="C6" s="22"/>
      <c r="D6" s="22"/>
      <c r="E6" s="20"/>
      <c r="F6" s="22"/>
      <c r="G6" s="22"/>
      <c r="H6" s="20"/>
      <c r="I6" s="22"/>
      <c r="J6" s="20"/>
      <c r="K6" s="20"/>
      <c r="L6" s="22"/>
      <c r="M6" s="20"/>
      <c r="N6" s="23"/>
      <c r="O6" s="22"/>
      <c r="P6" s="22"/>
      <c r="Q6" s="22"/>
      <c r="R6" s="22"/>
      <c r="S6" s="22"/>
      <c r="T6" s="22"/>
      <c r="U6" s="22"/>
      <c r="V6" s="20"/>
      <c r="W6" s="22"/>
      <c r="X6" s="22"/>
      <c r="Y6" s="22"/>
      <c r="Z6" s="22"/>
      <c r="AA6" s="22"/>
      <c r="AB6" s="22"/>
    </row>
    <row r="7" spans="1:28" ht="15.75" thickBot="1">
      <c r="A7" s="160">
        <v>7891</v>
      </c>
      <c r="B7" s="160">
        <v>7897</v>
      </c>
      <c r="C7" s="22"/>
      <c r="D7" s="22"/>
      <c r="E7" s="20"/>
      <c r="F7" s="22"/>
      <c r="G7" s="22"/>
      <c r="H7" s="20"/>
      <c r="I7" s="22"/>
      <c r="J7" s="20"/>
      <c r="K7" s="20"/>
      <c r="L7" s="22"/>
      <c r="M7" s="20"/>
      <c r="N7" s="23"/>
      <c r="O7" s="22"/>
      <c r="P7" s="22"/>
      <c r="Q7" s="22"/>
      <c r="R7" s="22"/>
      <c r="S7" s="22"/>
      <c r="T7" s="22"/>
      <c r="U7" s="22"/>
      <c r="V7" s="20"/>
      <c r="W7" s="22"/>
      <c r="X7" s="22"/>
      <c r="Y7" s="22"/>
      <c r="Z7" s="22"/>
      <c r="AA7" s="22"/>
      <c r="AB7" s="22"/>
    </row>
    <row r="8" spans="1:28" ht="15.75" thickBot="1">
      <c r="A8" s="160">
        <v>7891</v>
      </c>
      <c r="B8" s="160">
        <v>7898</v>
      </c>
      <c r="C8" s="22"/>
      <c r="D8" s="22"/>
      <c r="E8" s="20"/>
      <c r="F8" s="22"/>
      <c r="G8" s="22"/>
      <c r="H8" s="20"/>
      <c r="I8" s="22"/>
      <c r="J8" s="20"/>
      <c r="K8" s="20"/>
      <c r="L8" s="22"/>
      <c r="M8" s="20"/>
      <c r="N8" s="23"/>
      <c r="O8" s="22"/>
      <c r="P8" s="22"/>
      <c r="Q8" s="22"/>
      <c r="R8" s="22"/>
      <c r="S8" s="22"/>
      <c r="T8" s="22"/>
      <c r="U8" s="22"/>
      <c r="V8" s="20"/>
      <c r="W8" s="22"/>
      <c r="X8" s="22"/>
      <c r="Y8" s="22"/>
      <c r="Z8" s="22"/>
      <c r="AA8" s="22"/>
      <c r="AB8" s="22"/>
    </row>
    <row r="9" spans="1:28" ht="15.75" thickBot="1">
      <c r="A9" s="160">
        <v>7891</v>
      </c>
      <c r="B9" s="160">
        <v>7899</v>
      </c>
      <c r="C9" s="22"/>
      <c r="D9" s="22"/>
      <c r="E9" s="20"/>
      <c r="F9" s="22"/>
      <c r="G9" s="22"/>
      <c r="H9" s="20"/>
      <c r="I9" s="22"/>
      <c r="J9" s="20"/>
      <c r="K9" s="20"/>
      <c r="L9" s="22"/>
      <c r="M9" s="20"/>
      <c r="N9" s="23"/>
      <c r="O9" s="22"/>
      <c r="P9" s="22"/>
      <c r="Q9" s="22"/>
      <c r="R9" s="22"/>
      <c r="S9" s="22"/>
      <c r="T9" s="22"/>
      <c r="U9" s="22"/>
      <c r="V9" s="20"/>
      <c r="W9" s="22"/>
      <c r="X9" s="22"/>
      <c r="Y9" s="22"/>
      <c r="Z9" s="22"/>
      <c r="AA9" s="22"/>
      <c r="AB9" s="22"/>
    </row>
    <row r="10" spans="1:28" ht="15.75" thickBot="1">
      <c r="A10" s="160">
        <v>7891</v>
      </c>
      <c r="B10" s="160">
        <v>7900</v>
      </c>
      <c r="C10" s="22"/>
      <c r="D10" s="22"/>
      <c r="E10" s="20"/>
      <c r="F10" s="22"/>
      <c r="G10" s="22"/>
      <c r="H10" s="20"/>
      <c r="I10" s="22"/>
      <c r="J10" s="20"/>
      <c r="K10" s="20"/>
      <c r="L10" s="22"/>
      <c r="M10" s="20"/>
      <c r="N10" s="23"/>
      <c r="O10" s="22"/>
      <c r="P10" s="22"/>
      <c r="Q10" s="22"/>
      <c r="R10" s="22"/>
      <c r="S10" s="22"/>
      <c r="T10" s="22"/>
      <c r="U10" s="22"/>
      <c r="V10" s="20"/>
      <c r="W10" s="22"/>
      <c r="X10" s="22"/>
      <c r="Y10" s="22"/>
      <c r="Z10" s="22"/>
      <c r="AA10" s="22"/>
      <c r="AB10" s="22"/>
    </row>
    <row r="11" spans="1:28" ht="15.75" thickBot="1">
      <c r="A11" s="160">
        <v>7891</v>
      </c>
      <c r="B11" s="160">
        <v>7901</v>
      </c>
      <c r="C11" s="22"/>
      <c r="D11" s="22"/>
      <c r="E11" s="20"/>
      <c r="F11" s="22"/>
      <c r="G11" s="22"/>
      <c r="H11" s="20"/>
      <c r="I11" s="22"/>
      <c r="J11" s="20"/>
      <c r="K11" s="20"/>
      <c r="L11" s="22"/>
      <c r="M11" s="20"/>
      <c r="N11" s="23"/>
      <c r="O11" s="22"/>
      <c r="P11" s="22"/>
      <c r="Q11" s="22"/>
      <c r="R11" s="22"/>
      <c r="S11" s="22"/>
      <c r="T11" s="22"/>
      <c r="U11" s="22"/>
      <c r="V11" s="20"/>
      <c r="W11" s="22"/>
      <c r="X11" s="22"/>
      <c r="Y11" s="22"/>
      <c r="Z11" s="22"/>
      <c r="AA11" s="22"/>
      <c r="AB11" s="22"/>
    </row>
    <row r="12" spans="1:28" ht="15.75" thickBot="1">
      <c r="A12" s="160">
        <v>7891</v>
      </c>
      <c r="B12" s="160">
        <v>7902</v>
      </c>
      <c r="C12" s="22"/>
      <c r="D12" s="22"/>
      <c r="E12" s="20"/>
      <c r="F12" s="22"/>
      <c r="G12" s="22"/>
      <c r="H12" s="20"/>
      <c r="I12" s="22"/>
      <c r="J12" s="20"/>
      <c r="K12" s="20"/>
      <c r="L12" s="22"/>
      <c r="M12" s="20"/>
      <c r="N12" s="23"/>
      <c r="O12" s="22"/>
      <c r="P12" s="22"/>
      <c r="Q12" s="22"/>
      <c r="R12" s="22"/>
      <c r="S12" s="22"/>
      <c r="T12" s="22"/>
      <c r="U12" s="22"/>
      <c r="V12" s="20"/>
      <c r="W12" s="22"/>
      <c r="X12" s="22"/>
      <c r="Y12" s="22"/>
      <c r="Z12" s="22"/>
      <c r="AA12" s="22"/>
      <c r="AB12" s="22"/>
    </row>
    <row r="13" spans="1:28" ht="15.75" thickBot="1">
      <c r="A13" s="160">
        <v>11925</v>
      </c>
      <c r="B13" s="160">
        <v>11926</v>
      </c>
      <c r="C13" s="22"/>
      <c r="D13" s="22"/>
      <c r="E13" s="20"/>
      <c r="F13" s="22"/>
      <c r="G13" s="22"/>
      <c r="H13" s="20"/>
      <c r="I13" s="22"/>
      <c r="J13" s="20"/>
      <c r="K13" s="20"/>
      <c r="L13" s="22"/>
      <c r="M13" s="20"/>
      <c r="N13" s="23"/>
      <c r="O13" s="22"/>
      <c r="P13" s="22"/>
      <c r="Q13" s="22"/>
      <c r="R13" s="22"/>
      <c r="S13" s="22"/>
      <c r="T13" s="22"/>
      <c r="U13" s="22"/>
      <c r="V13" s="20"/>
      <c r="W13" s="22"/>
      <c r="X13" s="22"/>
      <c r="Y13" s="22"/>
      <c r="Z13" s="22"/>
      <c r="AA13" s="22"/>
      <c r="AB13" s="22"/>
    </row>
    <row r="14" spans="1:28" ht="15.75" thickBot="1">
      <c r="A14" s="160">
        <v>11925</v>
      </c>
      <c r="B14" s="160">
        <v>11927</v>
      </c>
      <c r="C14" s="22"/>
      <c r="D14" s="22"/>
      <c r="E14" s="20"/>
      <c r="F14" s="22"/>
      <c r="G14" s="22"/>
      <c r="H14" s="20"/>
      <c r="I14" s="22"/>
      <c r="J14" s="20"/>
      <c r="K14" s="20"/>
      <c r="L14" s="22"/>
      <c r="M14" s="20"/>
      <c r="N14" s="23"/>
      <c r="O14" s="22"/>
      <c r="P14" s="22"/>
      <c r="Q14" s="22"/>
      <c r="R14" s="22"/>
      <c r="S14" s="22"/>
      <c r="T14" s="22"/>
      <c r="U14" s="22"/>
      <c r="V14" s="20"/>
      <c r="W14" s="22"/>
      <c r="X14" s="22"/>
      <c r="Y14" s="22"/>
      <c r="Z14" s="22"/>
      <c r="AA14" s="22"/>
      <c r="AB14" s="22"/>
    </row>
    <row r="15" spans="1:28" ht="15.75" thickBot="1">
      <c r="A15" s="160">
        <v>11925</v>
      </c>
      <c r="B15" s="160">
        <v>11928</v>
      </c>
      <c r="C15" s="22"/>
      <c r="D15" s="22"/>
      <c r="E15" s="20"/>
      <c r="F15" s="22"/>
      <c r="G15" s="22"/>
      <c r="H15" s="20"/>
      <c r="I15" s="22"/>
      <c r="J15" s="20"/>
      <c r="K15" s="20"/>
      <c r="L15" s="22"/>
      <c r="M15" s="20"/>
      <c r="N15" s="23"/>
      <c r="O15" s="22"/>
      <c r="P15" s="22"/>
      <c r="Q15" s="22"/>
      <c r="R15" s="22"/>
      <c r="S15" s="22"/>
      <c r="T15" s="22"/>
      <c r="U15" s="22"/>
      <c r="V15" s="20"/>
      <c r="W15" s="22"/>
      <c r="X15" s="22"/>
      <c r="Y15" s="22"/>
      <c r="Z15" s="22"/>
      <c r="AA15" s="22"/>
      <c r="AB15" s="22"/>
    </row>
    <row r="16" spans="1:28" ht="15.75" thickBot="1">
      <c r="A16" s="160">
        <v>11925</v>
      </c>
      <c r="B16" s="160">
        <v>11929</v>
      </c>
      <c r="C16" s="22"/>
      <c r="D16" s="22"/>
      <c r="E16" s="20"/>
      <c r="F16" s="22"/>
      <c r="G16" s="22"/>
      <c r="H16" s="20"/>
      <c r="I16" s="22"/>
      <c r="J16" s="20"/>
      <c r="K16" s="20"/>
      <c r="L16" s="22"/>
      <c r="M16" s="20"/>
      <c r="N16" s="23"/>
      <c r="O16" s="22"/>
      <c r="P16" s="22"/>
      <c r="Q16" s="22"/>
      <c r="R16" s="22"/>
      <c r="S16" s="22"/>
      <c r="T16" s="22"/>
      <c r="U16" s="22"/>
      <c r="V16" s="20"/>
      <c r="W16" s="22"/>
      <c r="X16" s="22"/>
      <c r="Y16" s="22"/>
      <c r="Z16" s="22"/>
      <c r="AA16" s="22"/>
      <c r="AB16" s="22"/>
    </row>
    <row r="17" spans="1:28" ht="15.75" thickBot="1">
      <c r="A17" s="160">
        <v>11925</v>
      </c>
      <c r="B17" s="160">
        <v>11930</v>
      </c>
      <c r="C17" s="22"/>
      <c r="D17" s="22"/>
      <c r="E17" s="20"/>
      <c r="F17" s="22"/>
      <c r="G17" s="22"/>
      <c r="H17" s="20"/>
      <c r="I17" s="22"/>
      <c r="J17" s="20"/>
      <c r="K17" s="20"/>
      <c r="L17" s="22"/>
      <c r="M17" s="20"/>
      <c r="N17" s="23"/>
      <c r="O17" s="22"/>
      <c r="P17" s="22"/>
      <c r="Q17" s="22"/>
      <c r="R17" s="22"/>
      <c r="S17" s="22"/>
      <c r="T17" s="22"/>
      <c r="U17" s="22"/>
      <c r="V17" s="20"/>
      <c r="W17" s="22"/>
      <c r="X17" s="22"/>
      <c r="Y17" s="22"/>
      <c r="Z17" s="22"/>
      <c r="AA17" s="22"/>
      <c r="AB17" s="22"/>
    </row>
    <row r="18" spans="1:28" ht="15.75" thickBot="1">
      <c r="A18" s="160">
        <v>11925</v>
      </c>
      <c r="B18" s="160">
        <v>11931</v>
      </c>
      <c r="C18" s="22"/>
      <c r="D18" s="22"/>
      <c r="E18" s="20"/>
      <c r="F18" s="22"/>
      <c r="G18" s="22"/>
      <c r="H18" s="20"/>
      <c r="I18" s="22"/>
      <c r="J18" s="20"/>
      <c r="K18" s="20"/>
      <c r="L18" s="22"/>
      <c r="M18" s="20"/>
      <c r="N18" s="23"/>
      <c r="O18" s="22"/>
      <c r="P18" s="22"/>
      <c r="Q18" s="22"/>
      <c r="R18" s="22"/>
      <c r="S18" s="22"/>
      <c r="T18" s="22"/>
      <c r="U18" s="22"/>
      <c r="V18" s="20"/>
      <c r="W18" s="22"/>
      <c r="X18" s="22"/>
      <c r="Y18" s="22"/>
      <c r="Z18" s="22"/>
      <c r="AA18" s="22"/>
      <c r="AB18" s="22"/>
    </row>
    <row r="19" spans="1:28" ht="15.75" thickBot="1">
      <c r="A19" s="160">
        <v>11925</v>
      </c>
      <c r="B19" s="160">
        <v>11932</v>
      </c>
      <c r="C19" s="22"/>
      <c r="D19" s="22"/>
      <c r="E19" s="20"/>
      <c r="F19" s="22"/>
      <c r="G19" s="22"/>
      <c r="H19" s="20"/>
      <c r="I19" s="22"/>
      <c r="J19" s="20"/>
      <c r="K19" s="20"/>
      <c r="L19" s="22"/>
      <c r="M19" s="20"/>
      <c r="N19" s="23"/>
      <c r="O19" s="22"/>
      <c r="P19" s="22"/>
      <c r="Q19" s="22"/>
      <c r="R19" s="22"/>
      <c r="S19" s="22"/>
      <c r="T19" s="22"/>
      <c r="U19" s="22"/>
      <c r="V19" s="20"/>
      <c r="W19" s="22"/>
      <c r="X19" s="22"/>
      <c r="Y19" s="22"/>
      <c r="Z19" s="22"/>
      <c r="AA19" s="22"/>
      <c r="AB19" s="22"/>
    </row>
    <row r="20" spans="1:28" ht="15.75" thickBot="1">
      <c r="A20" s="160">
        <v>11925</v>
      </c>
      <c r="B20" s="160">
        <v>11933</v>
      </c>
      <c r="E20" s="20"/>
      <c r="H20" s="20"/>
      <c r="I20" s="22"/>
      <c r="J20" s="20"/>
      <c r="K20" s="20"/>
      <c r="L20" s="22"/>
      <c r="M20" s="20"/>
      <c r="N20" s="23"/>
      <c r="O20" s="22"/>
      <c r="T20" s="22"/>
      <c r="U20" s="22"/>
    </row>
    <row r="21" spans="1:28" s="44" customFormat="1" ht="15.75" thickBot="1">
      <c r="A21" s="160">
        <v>11925</v>
      </c>
      <c r="B21" s="160">
        <v>11934</v>
      </c>
      <c r="E21" s="43"/>
      <c r="H21" s="47"/>
      <c r="M21" s="47"/>
      <c r="N21" s="23"/>
    </row>
    <row r="22" spans="1:28" ht="15.75" thickBot="1">
      <c r="A22" s="160">
        <v>11925</v>
      </c>
      <c r="B22" s="160">
        <v>11935</v>
      </c>
      <c r="M22" s="4"/>
    </row>
    <row r="23" spans="1:28" ht="15.75" thickBot="1">
      <c r="A23" s="160">
        <v>11925</v>
      </c>
      <c r="B23" s="160">
        <v>11936</v>
      </c>
      <c r="H23" s="44"/>
    </row>
    <row r="24" spans="1:28" ht="15.75" thickBot="1">
      <c r="A24" s="160">
        <v>11925</v>
      </c>
      <c r="B24" s="160">
        <v>11937</v>
      </c>
      <c r="H24" s="44"/>
    </row>
    <row r="25" spans="1:28" ht="15.75" thickBot="1">
      <c r="A25" s="160">
        <v>11939</v>
      </c>
      <c r="B25" s="160">
        <v>11942</v>
      </c>
      <c r="H25" s="44"/>
    </row>
    <row r="26" spans="1:28" ht="15.75" thickBot="1">
      <c r="A26" s="160">
        <v>11939</v>
      </c>
      <c r="B26" s="160">
        <v>11943</v>
      </c>
      <c r="H26" s="44"/>
    </row>
    <row r="27" spans="1:28" ht="15.75" thickBot="1">
      <c r="A27" s="160">
        <v>11939</v>
      </c>
      <c r="B27" s="160">
        <v>11944</v>
      </c>
    </row>
    <row r="28" spans="1:28" ht="15.75" thickBot="1">
      <c r="A28" s="160">
        <v>11939</v>
      </c>
      <c r="B28" s="160">
        <v>11945</v>
      </c>
    </row>
    <row r="29" spans="1:28" ht="15.75" thickBot="1">
      <c r="A29" s="160">
        <v>11939</v>
      </c>
      <c r="B29" s="160">
        <v>11946</v>
      </c>
    </row>
    <row r="30" spans="1:28" ht="15.75" thickBot="1">
      <c r="A30" s="160">
        <v>11939</v>
      </c>
      <c r="B30" s="160">
        <v>11947</v>
      </c>
    </row>
    <row r="31" spans="1:28" ht="15.75" thickBot="1">
      <c r="A31" s="160">
        <v>11939</v>
      </c>
      <c r="B31" s="160">
        <v>11948</v>
      </c>
    </row>
    <row r="32" spans="1:28" ht="15.75" thickBot="1">
      <c r="A32" s="160">
        <v>11939</v>
      </c>
      <c r="B32" s="160">
        <v>11949</v>
      </c>
    </row>
    <row r="33" spans="1:2" ht="15.75" thickBot="1">
      <c r="A33" s="160">
        <v>11939</v>
      </c>
      <c r="B33" s="160">
        <v>11950</v>
      </c>
    </row>
    <row r="34" spans="1:2" ht="15.75" thickBot="1">
      <c r="A34" s="160">
        <v>11939</v>
      </c>
      <c r="B34" s="160">
        <v>11979</v>
      </c>
    </row>
    <row r="35" spans="1:2" ht="15.75" thickBot="1">
      <c r="A35" s="160">
        <v>11939</v>
      </c>
      <c r="B35" s="160">
        <v>11980</v>
      </c>
    </row>
    <row r="36" spans="1:2" ht="15.75" thickBot="1">
      <c r="A36" s="160">
        <v>11939</v>
      </c>
      <c r="B36" s="160">
        <v>11981</v>
      </c>
    </row>
    <row r="37" spans="1:2" ht="15.75" thickBot="1">
      <c r="A37" s="160">
        <v>11342</v>
      </c>
      <c r="B37" s="160">
        <v>11343</v>
      </c>
    </row>
    <row r="38" spans="1:2" ht="15.75" thickBot="1">
      <c r="A38" s="160">
        <v>11342</v>
      </c>
      <c r="B38" s="160">
        <v>11344</v>
      </c>
    </row>
    <row r="39" spans="1:2" ht="15.75" thickBot="1">
      <c r="A39" s="160">
        <v>11342</v>
      </c>
      <c r="B39" s="160">
        <v>11345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0C00-000000000000}">
      <formula1>israel_abroad</formula1>
    </dataValidation>
    <dataValidation type="list" allowBlank="1" showInputMessage="1" showErrorMessage="1" sqref="O2:O20" xr:uid="{00000000-0002-0000-0C00-000001000000}">
      <formula1>Holding_interest</formula1>
    </dataValidation>
    <dataValidation type="list" allowBlank="1" showInputMessage="1" showErrorMessage="1" sqref="U2:U20" xr:uid="{00000000-0002-0000-0C00-000002000000}">
      <formula1>What_is_rated</formula1>
    </dataValidation>
    <dataValidation type="list" allowBlank="1" showInputMessage="1" showErrorMessage="1" sqref="T2:T20" xr:uid="{00000000-0002-0000-0C00-000003000000}">
      <formula1>Rating_Agency</formula1>
    </dataValidation>
    <dataValidation type="list" allowBlank="1" showInputMessage="1" showErrorMessage="1" sqref="K2:K20" xr:uid="{00000000-0002-0000-0C00-000004000000}">
      <formula1>Country_list</formula1>
    </dataValidation>
    <dataValidation type="list" allowBlank="1" showInputMessage="1" showErrorMessage="1" sqref="E2:E20" xr:uid="{00000000-0002-0000-0C00-000005000000}">
      <formula1>Issuer_Type_TFunds</formula1>
    </dataValidation>
    <dataValidation type="list" allowBlank="1" showInputMessage="1" showErrorMessage="1" sqref="N2:N21" xr:uid="{00000000-0002-0000-0C00-000006000000}">
      <formula1>Underlying_Asset_Structured</formula1>
    </dataValidation>
    <dataValidation type="list" allowBlank="1" showInputMessage="1" showErrorMessage="1" sqref="H2:H20" xr:uid="{00000000-0002-0000-0C00-000007000000}">
      <formula1>Security_ID_Number_Type</formula1>
    </dataValidation>
    <dataValidation type="list" allowBlank="1" showInputMessage="1" showErrorMessage="1" sqref="L2:L20" xr:uid="{00000000-0002-0000-0C00-000008000000}">
      <formula1>Tradeable_Status</formula1>
    </dataValidation>
    <dataValidation type="list" allowBlank="1" showInputMessage="1" showErrorMessage="1" sqref="M2:M20" xr:uid="{00000000-0002-0000-0C00-000009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A000000}">
          <x14:formula1>
            <xm:f>'אפשרויות בחירה'!$C$906:$C$911</xm:f>
          </x14:formula1>
          <xm:sqref>I2:I20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5"/>
  <dimension ref="A1:AA39"/>
  <sheetViews>
    <sheetView rightToLeft="1" workbookViewId="0">
      <selection activeCell="A2" sqref="A2:B39"/>
    </sheetView>
  </sheetViews>
  <sheetFormatPr defaultRowHeight="15"/>
  <cols>
    <col min="1" max="8" width="11.5703125" customWidth="1"/>
    <col min="9" max="9" width="11.5703125" style="2" customWidth="1"/>
    <col min="10" max="23" width="11.5703125" customWidth="1"/>
    <col min="24" max="24" width="11.5703125" style="2" customWidth="1"/>
    <col min="25" max="25" width="11.5703125" customWidth="1"/>
  </cols>
  <sheetData>
    <row r="1" spans="1:27" ht="66.75" customHeight="1">
      <c r="A1" s="21" t="s">
        <v>667</v>
      </c>
      <c r="B1" s="21" t="s">
        <v>0</v>
      </c>
      <c r="C1" s="21" t="s">
        <v>740</v>
      </c>
      <c r="D1" s="21" t="s">
        <v>1163</v>
      </c>
      <c r="E1" s="21" t="s">
        <v>29</v>
      </c>
      <c r="F1" s="21" t="s">
        <v>28</v>
      </c>
      <c r="G1" s="21" t="s">
        <v>1</v>
      </c>
      <c r="H1" s="21" t="s">
        <v>620</v>
      </c>
      <c r="I1" s="21" t="s">
        <v>621</v>
      </c>
      <c r="J1" s="21" t="s">
        <v>12</v>
      </c>
      <c r="K1" s="21" t="s">
        <v>6</v>
      </c>
      <c r="L1" s="21" t="s">
        <v>8</v>
      </c>
      <c r="M1" s="21" t="s">
        <v>396</v>
      </c>
      <c r="N1" s="21" t="s">
        <v>13</v>
      </c>
      <c r="O1" s="21" t="s">
        <v>421</v>
      </c>
      <c r="P1" s="21" t="s">
        <v>14</v>
      </c>
      <c r="Q1" s="21" t="s">
        <v>637</v>
      </c>
      <c r="R1" s="21" t="s">
        <v>789</v>
      </c>
      <c r="S1" s="21" t="s">
        <v>11</v>
      </c>
      <c r="T1" s="21" t="s">
        <v>15</v>
      </c>
      <c r="U1" s="21" t="s">
        <v>1171</v>
      </c>
      <c r="V1" s="21" t="s">
        <v>1172</v>
      </c>
      <c r="W1" s="21" t="s">
        <v>26</v>
      </c>
      <c r="X1" s="21" t="s">
        <v>19</v>
      </c>
      <c r="Y1" s="21" t="s">
        <v>30</v>
      </c>
    </row>
    <row r="2" spans="1:27" ht="15.75" thickBot="1">
      <c r="A2" s="160">
        <v>7891</v>
      </c>
      <c r="B2" s="160">
        <v>7892</v>
      </c>
      <c r="C2" s="22"/>
      <c r="D2" s="22"/>
      <c r="E2" s="22"/>
      <c r="F2" s="22"/>
      <c r="G2" s="22"/>
      <c r="H2" s="33"/>
      <c r="I2" s="20"/>
      <c r="J2" s="22"/>
      <c r="K2" s="42"/>
      <c r="L2" s="23"/>
      <c r="M2" s="33"/>
      <c r="N2" s="22"/>
      <c r="O2" s="22"/>
      <c r="P2" s="22"/>
      <c r="Q2" s="22"/>
      <c r="R2" s="22"/>
      <c r="S2" s="23"/>
      <c r="T2" s="22"/>
      <c r="U2" s="22"/>
      <c r="V2" s="22"/>
      <c r="W2" s="20"/>
      <c r="X2" s="22"/>
      <c r="Y2" s="22"/>
    </row>
    <row r="3" spans="1:27" ht="15.75" thickBot="1">
      <c r="A3" s="160">
        <v>7891</v>
      </c>
      <c r="B3" s="160">
        <v>7893</v>
      </c>
      <c r="C3" s="22"/>
      <c r="D3" s="22"/>
      <c r="E3" s="22"/>
      <c r="F3" s="22"/>
      <c r="G3" s="22"/>
      <c r="H3" s="33"/>
      <c r="I3" s="20"/>
      <c r="J3" s="22"/>
      <c r="K3" s="22"/>
      <c r="L3" s="23"/>
      <c r="M3" s="20"/>
      <c r="N3" s="22"/>
      <c r="O3" s="22"/>
      <c r="P3" s="22"/>
      <c r="Q3" s="22"/>
      <c r="R3" s="22"/>
      <c r="S3" s="22"/>
      <c r="T3" s="22"/>
      <c r="U3" s="22"/>
      <c r="V3" s="22"/>
      <c r="W3" s="20"/>
      <c r="X3" s="22"/>
      <c r="Y3" s="22"/>
    </row>
    <row r="4" spans="1:27" ht="15.75" thickBot="1">
      <c r="A4" s="160">
        <v>7891</v>
      </c>
      <c r="B4" s="160">
        <v>7894</v>
      </c>
      <c r="C4" s="22"/>
      <c r="D4" s="22"/>
      <c r="E4" s="22"/>
      <c r="F4" s="22"/>
      <c r="G4" s="22"/>
      <c r="H4" s="33"/>
      <c r="I4" s="20"/>
      <c r="J4" s="22"/>
      <c r="K4" s="22"/>
      <c r="L4" s="23"/>
      <c r="M4" s="20"/>
      <c r="N4" s="22"/>
      <c r="O4" s="22"/>
      <c r="P4" s="22"/>
      <c r="Q4" s="22"/>
      <c r="R4" s="22"/>
      <c r="S4" s="22"/>
      <c r="T4" s="22"/>
      <c r="U4" s="22"/>
      <c r="V4" s="22"/>
      <c r="W4" s="20"/>
      <c r="X4" s="22"/>
      <c r="Y4" s="22"/>
    </row>
    <row r="5" spans="1:27" ht="15.75" thickBot="1">
      <c r="A5" s="160">
        <v>7891</v>
      </c>
      <c r="B5" s="160">
        <v>7895</v>
      </c>
      <c r="C5" s="22"/>
      <c r="D5" s="22"/>
      <c r="E5" s="22"/>
      <c r="F5" s="22"/>
      <c r="G5" s="22"/>
      <c r="H5" s="33"/>
      <c r="I5" s="20"/>
      <c r="J5" s="22"/>
      <c r="K5" s="20"/>
      <c r="L5" s="23"/>
      <c r="N5" s="22"/>
      <c r="O5" s="22"/>
      <c r="P5" s="20"/>
      <c r="Q5" s="20"/>
      <c r="R5" s="22"/>
      <c r="T5" s="22"/>
      <c r="U5" s="22"/>
      <c r="V5" s="22"/>
      <c r="W5" s="22"/>
      <c r="X5" s="22"/>
      <c r="Y5" s="22"/>
      <c r="Z5" s="22"/>
      <c r="AA5" s="22"/>
    </row>
    <row r="6" spans="1:27" ht="15.75" thickBot="1">
      <c r="A6" s="160">
        <v>7891</v>
      </c>
      <c r="B6" s="160">
        <v>7896</v>
      </c>
      <c r="C6" s="22"/>
      <c r="D6" s="22"/>
      <c r="E6" s="22"/>
      <c r="F6" s="22"/>
      <c r="G6" s="22"/>
      <c r="H6" s="33"/>
      <c r="I6" s="20"/>
      <c r="J6" s="22"/>
      <c r="K6" s="22"/>
      <c r="L6" s="23"/>
      <c r="M6" s="20"/>
      <c r="N6" s="22"/>
      <c r="O6" s="22"/>
      <c r="P6" s="22"/>
      <c r="Q6" s="22"/>
      <c r="R6" s="22"/>
      <c r="S6" s="22"/>
      <c r="T6" s="22"/>
      <c r="U6" s="22"/>
      <c r="V6" s="22"/>
      <c r="W6" s="20"/>
      <c r="X6" s="22"/>
      <c r="Y6" s="22"/>
    </row>
    <row r="7" spans="1:27" ht="15.75" thickBot="1">
      <c r="A7" s="160">
        <v>7891</v>
      </c>
      <c r="B7" s="160">
        <v>7897</v>
      </c>
      <c r="C7" s="22"/>
      <c r="D7" s="22"/>
      <c r="E7" s="22"/>
      <c r="F7" s="22"/>
      <c r="G7" s="22"/>
      <c r="H7" s="33"/>
      <c r="I7" s="20"/>
      <c r="J7" s="22"/>
      <c r="K7" s="22"/>
      <c r="L7" s="23"/>
      <c r="M7" s="20"/>
      <c r="N7" s="22"/>
      <c r="O7" s="22"/>
      <c r="P7" s="22"/>
      <c r="Q7" s="22"/>
      <c r="R7" s="22"/>
      <c r="S7" s="22"/>
      <c r="T7" s="22"/>
      <c r="U7" s="22"/>
      <c r="V7" s="22"/>
      <c r="W7" s="20"/>
      <c r="X7" s="22"/>
      <c r="Y7" s="22"/>
    </row>
    <row r="8" spans="1:27" ht="15.75" thickBot="1">
      <c r="A8" s="160">
        <v>7891</v>
      </c>
      <c r="B8" s="160">
        <v>7898</v>
      </c>
      <c r="C8" s="22"/>
      <c r="D8" s="22"/>
      <c r="E8" s="22"/>
      <c r="F8" s="22"/>
      <c r="G8" s="22"/>
      <c r="H8" s="33"/>
      <c r="I8" s="20"/>
      <c r="J8" s="22"/>
      <c r="K8" s="22"/>
      <c r="L8" s="23"/>
      <c r="M8" s="20"/>
      <c r="N8" s="22"/>
      <c r="O8" s="22"/>
      <c r="P8" s="22"/>
      <c r="Q8" s="22"/>
      <c r="R8" s="22"/>
      <c r="S8" s="22"/>
      <c r="T8" s="22"/>
      <c r="U8" s="22"/>
      <c r="V8" s="22"/>
      <c r="W8" s="20"/>
      <c r="X8" s="22"/>
      <c r="Y8" s="22"/>
    </row>
    <row r="9" spans="1:27" ht="15.75" thickBot="1">
      <c r="A9" s="160">
        <v>7891</v>
      </c>
      <c r="B9" s="160">
        <v>7899</v>
      </c>
      <c r="C9" s="22"/>
      <c r="D9" s="22"/>
      <c r="E9" s="22"/>
      <c r="F9" s="22"/>
      <c r="G9" s="22"/>
      <c r="H9" s="33"/>
      <c r="I9" s="20"/>
      <c r="J9" s="22"/>
      <c r="K9" s="22"/>
      <c r="L9" s="23"/>
      <c r="M9" s="20"/>
      <c r="N9" s="22"/>
      <c r="O9" s="22"/>
      <c r="P9" s="22"/>
      <c r="Q9" s="22"/>
      <c r="R9" s="22"/>
      <c r="S9" s="22"/>
      <c r="T9" s="22"/>
      <c r="U9" s="22"/>
      <c r="V9" s="22"/>
      <c r="W9" s="20"/>
      <c r="X9" s="22"/>
      <c r="Y9" s="22"/>
    </row>
    <row r="10" spans="1:27" ht="15.75" thickBot="1">
      <c r="A10" s="160">
        <v>7891</v>
      </c>
      <c r="B10" s="160">
        <v>7900</v>
      </c>
      <c r="C10" s="22"/>
      <c r="D10" s="22"/>
      <c r="E10" s="22"/>
      <c r="F10" s="22"/>
      <c r="G10" s="22"/>
      <c r="H10" s="33"/>
      <c r="I10" s="20"/>
      <c r="J10" s="22"/>
      <c r="K10" s="22"/>
      <c r="L10" s="23"/>
      <c r="M10" s="20"/>
      <c r="N10" s="22"/>
      <c r="O10" s="22"/>
      <c r="P10" s="22"/>
      <c r="Q10" s="22"/>
      <c r="R10" s="22"/>
      <c r="S10" s="22"/>
      <c r="T10" s="22"/>
      <c r="U10" s="22"/>
      <c r="V10" s="22"/>
      <c r="W10" s="20"/>
      <c r="X10" s="22"/>
      <c r="Y10" s="22"/>
    </row>
    <row r="11" spans="1:27" ht="15.75" thickBot="1">
      <c r="A11" s="160">
        <v>7891</v>
      </c>
      <c r="B11" s="160">
        <v>7901</v>
      </c>
      <c r="C11" s="22"/>
      <c r="D11" s="22"/>
      <c r="E11" s="22"/>
      <c r="F11" s="22"/>
      <c r="G11" s="22"/>
      <c r="H11" s="33"/>
      <c r="I11" s="20"/>
      <c r="J11" s="22"/>
      <c r="K11" s="22"/>
      <c r="L11" s="23"/>
      <c r="M11" s="20"/>
      <c r="N11" s="22"/>
      <c r="O11" s="22"/>
      <c r="P11" s="22"/>
      <c r="Q11" s="22"/>
      <c r="R11" s="22"/>
      <c r="S11" s="22"/>
      <c r="T11" s="22"/>
      <c r="U11" s="22"/>
      <c r="V11" s="22"/>
      <c r="W11" s="20"/>
      <c r="X11" s="22"/>
      <c r="Y11" s="22"/>
    </row>
    <row r="12" spans="1:27" ht="15.75" thickBot="1">
      <c r="A12" s="160">
        <v>7891</v>
      </c>
      <c r="B12" s="160">
        <v>7902</v>
      </c>
      <c r="C12" s="22"/>
      <c r="D12" s="22"/>
      <c r="E12" s="22"/>
      <c r="F12" s="22"/>
      <c r="G12" s="22"/>
      <c r="H12" s="33"/>
      <c r="I12" s="20"/>
      <c r="J12" s="22"/>
      <c r="K12" s="22"/>
      <c r="L12" s="23"/>
      <c r="M12" s="20"/>
      <c r="N12" s="22"/>
      <c r="O12" s="22"/>
      <c r="P12" s="22"/>
      <c r="Q12" s="22"/>
      <c r="R12" s="22"/>
      <c r="S12" s="22"/>
      <c r="T12" s="22"/>
      <c r="U12" s="22"/>
      <c r="V12" s="22"/>
      <c r="W12" s="20"/>
      <c r="X12" s="22"/>
      <c r="Y12" s="22"/>
    </row>
    <row r="13" spans="1:27" ht="15.75" thickBot="1">
      <c r="A13" s="160">
        <v>11925</v>
      </c>
      <c r="B13" s="160">
        <v>11926</v>
      </c>
      <c r="C13" s="22"/>
      <c r="D13" s="22"/>
      <c r="E13" s="22"/>
      <c r="F13" s="22"/>
      <c r="G13" s="22"/>
      <c r="H13" s="33"/>
      <c r="I13" s="20"/>
      <c r="J13" s="22"/>
      <c r="K13" s="22"/>
      <c r="L13" s="23"/>
      <c r="M13" s="20"/>
      <c r="N13" s="22"/>
      <c r="O13" s="22"/>
      <c r="P13" s="22"/>
      <c r="Q13" s="22"/>
      <c r="R13" s="22"/>
      <c r="S13" s="22"/>
      <c r="T13" s="22"/>
      <c r="U13" s="22"/>
      <c r="V13" s="22"/>
      <c r="W13" s="20"/>
      <c r="X13" s="22"/>
      <c r="Y13" s="22"/>
    </row>
    <row r="14" spans="1:27" ht="15.75" thickBot="1">
      <c r="A14" s="160">
        <v>11925</v>
      </c>
      <c r="B14" s="160">
        <v>11927</v>
      </c>
      <c r="C14" s="22"/>
      <c r="D14" s="22"/>
      <c r="E14" s="22"/>
      <c r="F14" s="22"/>
      <c r="G14" s="22"/>
      <c r="H14" s="33"/>
      <c r="I14" s="20"/>
      <c r="J14" s="22"/>
      <c r="K14" s="22"/>
      <c r="L14" s="23"/>
      <c r="M14" s="20"/>
      <c r="N14" s="22"/>
      <c r="O14" s="22"/>
      <c r="P14" s="22"/>
      <c r="Q14" s="22"/>
      <c r="R14" s="22"/>
      <c r="S14" s="22"/>
      <c r="T14" s="22"/>
      <c r="U14" s="22"/>
      <c r="V14" s="22"/>
      <c r="W14" s="20"/>
      <c r="X14" s="22"/>
      <c r="Y14" s="22"/>
    </row>
    <row r="15" spans="1:27" ht="15.75" thickBot="1">
      <c r="A15" s="160">
        <v>11925</v>
      </c>
      <c r="B15" s="160">
        <v>11928</v>
      </c>
      <c r="C15" s="22"/>
      <c r="D15" s="22"/>
      <c r="E15" s="22"/>
      <c r="F15" s="22"/>
      <c r="G15" s="22"/>
      <c r="H15" s="33"/>
      <c r="I15" s="20"/>
      <c r="J15" s="22"/>
      <c r="K15" s="22"/>
      <c r="L15" s="23"/>
      <c r="M15" s="20"/>
      <c r="N15" s="22"/>
      <c r="O15" s="22"/>
      <c r="P15" s="22"/>
      <c r="Q15" s="22"/>
      <c r="R15" s="22"/>
      <c r="S15" s="22"/>
      <c r="T15" s="22"/>
      <c r="U15" s="22"/>
      <c r="V15" s="22"/>
      <c r="W15" s="20"/>
      <c r="X15" s="22"/>
      <c r="Y15" s="22"/>
    </row>
    <row r="16" spans="1:27" ht="15.75" thickBot="1">
      <c r="A16" s="160">
        <v>11925</v>
      </c>
      <c r="B16" s="160">
        <v>11929</v>
      </c>
      <c r="C16" s="22"/>
      <c r="D16" s="22"/>
      <c r="E16" s="22"/>
      <c r="F16" s="22"/>
      <c r="G16" s="22"/>
      <c r="H16" s="33"/>
      <c r="I16" s="20"/>
      <c r="J16" s="22"/>
      <c r="K16" s="22"/>
      <c r="L16" s="23"/>
      <c r="M16" s="20"/>
      <c r="N16" s="22"/>
      <c r="O16" s="22"/>
      <c r="P16" s="22"/>
      <c r="Q16" s="22"/>
      <c r="R16" s="22"/>
      <c r="S16" s="22"/>
      <c r="T16" s="22"/>
      <c r="U16" s="22"/>
      <c r="V16" s="22"/>
      <c r="W16" s="20"/>
      <c r="X16" s="22"/>
      <c r="Y16" s="22"/>
    </row>
    <row r="17" spans="1:25" ht="15.75" thickBot="1">
      <c r="A17" s="160">
        <v>11925</v>
      </c>
      <c r="B17" s="160">
        <v>11930</v>
      </c>
      <c r="C17" s="22"/>
      <c r="D17" s="22"/>
      <c r="E17" s="22"/>
      <c r="F17" s="22"/>
      <c r="G17" s="22"/>
      <c r="H17" s="33"/>
      <c r="I17" s="20"/>
      <c r="J17" s="22"/>
      <c r="K17" s="22"/>
      <c r="L17" s="23"/>
      <c r="M17" s="20"/>
      <c r="N17" s="22"/>
      <c r="O17" s="22"/>
      <c r="P17" s="22"/>
      <c r="Q17" s="22"/>
      <c r="R17" s="22"/>
      <c r="S17" s="22"/>
      <c r="T17" s="22"/>
      <c r="U17" s="22"/>
      <c r="V17" s="22"/>
      <c r="W17" s="20"/>
      <c r="X17" s="22"/>
      <c r="Y17" s="22"/>
    </row>
    <row r="18" spans="1:25" ht="15.75" thickBot="1">
      <c r="A18" s="160">
        <v>11925</v>
      </c>
      <c r="B18" s="160">
        <v>11931</v>
      </c>
      <c r="C18" s="22"/>
      <c r="D18" s="22"/>
      <c r="E18" s="22"/>
      <c r="F18" s="22"/>
      <c r="G18" s="22"/>
      <c r="H18" s="33"/>
      <c r="I18" s="20"/>
      <c r="J18" s="22"/>
      <c r="K18" s="22"/>
      <c r="L18" s="23"/>
      <c r="M18" s="20"/>
      <c r="N18" s="22"/>
      <c r="O18" s="22"/>
      <c r="P18" s="22"/>
      <c r="Q18" s="22"/>
      <c r="R18" s="22"/>
      <c r="S18" s="22"/>
      <c r="T18" s="22"/>
      <c r="U18" s="22"/>
      <c r="V18" s="22"/>
      <c r="W18" s="20"/>
      <c r="X18" s="22"/>
      <c r="Y18" s="22"/>
    </row>
    <row r="19" spans="1:25" ht="15.75" thickBot="1">
      <c r="A19" s="160">
        <v>11925</v>
      </c>
      <c r="B19" s="160">
        <v>11932</v>
      </c>
      <c r="C19" s="22"/>
      <c r="D19" s="22"/>
      <c r="E19" s="22"/>
      <c r="F19" s="22"/>
      <c r="G19" s="22"/>
      <c r="H19" s="33"/>
      <c r="I19" s="20"/>
      <c r="J19" s="22"/>
      <c r="K19" s="22"/>
      <c r="L19" s="23"/>
      <c r="M19" s="20"/>
      <c r="N19" s="22"/>
      <c r="O19" s="22"/>
      <c r="P19" s="22"/>
      <c r="Q19" s="22"/>
      <c r="R19" s="22"/>
      <c r="S19" s="22"/>
      <c r="T19" s="22"/>
      <c r="U19" s="22"/>
      <c r="V19" s="22"/>
      <c r="W19" s="20"/>
      <c r="X19" s="22"/>
      <c r="Y19" s="22"/>
    </row>
    <row r="20" spans="1:25" ht="15.75" thickBot="1">
      <c r="A20" s="160">
        <v>11925</v>
      </c>
      <c r="B20" s="160">
        <v>11933</v>
      </c>
      <c r="F20" s="22"/>
      <c r="G20" s="22"/>
      <c r="H20" s="33"/>
      <c r="I20" s="20"/>
      <c r="L20" s="23"/>
      <c r="W20" s="20"/>
    </row>
    <row r="21" spans="1:25" ht="15.75" thickBot="1">
      <c r="A21" s="160">
        <v>11925</v>
      </c>
      <c r="B21" s="160">
        <v>11934</v>
      </c>
      <c r="I21"/>
      <c r="X21"/>
    </row>
    <row r="22" spans="1:25" ht="15.75" thickBot="1">
      <c r="A22" s="160">
        <v>11925</v>
      </c>
      <c r="B22" s="160">
        <v>11935</v>
      </c>
    </row>
    <row r="23" spans="1:25" ht="15.75" thickBot="1">
      <c r="A23" s="160">
        <v>11925</v>
      </c>
      <c r="B23" s="160">
        <v>11936</v>
      </c>
    </row>
    <row r="24" spans="1:25" ht="15.75" thickBot="1">
      <c r="A24" s="160">
        <v>11925</v>
      </c>
      <c r="B24" s="160">
        <v>11937</v>
      </c>
    </row>
    <row r="25" spans="1:25" ht="15.75" thickBot="1">
      <c r="A25" s="160">
        <v>11939</v>
      </c>
      <c r="B25" s="160">
        <v>11942</v>
      </c>
    </row>
    <row r="26" spans="1:25" ht="15.75" thickBot="1">
      <c r="A26" s="160">
        <v>11939</v>
      </c>
      <c r="B26" s="160">
        <v>11943</v>
      </c>
    </row>
    <row r="27" spans="1:25" ht="15.75" thickBot="1">
      <c r="A27" s="160">
        <v>11939</v>
      </c>
      <c r="B27" s="160">
        <v>11944</v>
      </c>
    </row>
    <row r="28" spans="1:25" ht="15.75" thickBot="1">
      <c r="A28" s="160">
        <v>11939</v>
      </c>
      <c r="B28" s="160">
        <v>11945</v>
      </c>
    </row>
    <row r="29" spans="1:25" ht="15.75" thickBot="1">
      <c r="A29" s="160">
        <v>11939</v>
      </c>
      <c r="B29" s="160">
        <v>11946</v>
      </c>
    </row>
    <row r="30" spans="1:25" ht="15.75" thickBot="1">
      <c r="A30" s="160">
        <v>11939</v>
      </c>
      <c r="B30" s="160">
        <v>11947</v>
      </c>
    </row>
    <row r="31" spans="1:25" ht="15.75" thickBot="1">
      <c r="A31" s="160">
        <v>11939</v>
      </c>
      <c r="B31" s="160">
        <v>11948</v>
      </c>
    </row>
    <row r="32" spans="1:25" ht="15.75" thickBot="1">
      <c r="A32" s="160">
        <v>11939</v>
      </c>
      <c r="B32" s="160">
        <v>11949</v>
      </c>
    </row>
    <row r="33" spans="1:2" ht="15.75" thickBot="1">
      <c r="A33" s="160">
        <v>11939</v>
      </c>
      <c r="B33" s="160">
        <v>11950</v>
      </c>
    </row>
    <row r="34" spans="1:2" ht="15.75" thickBot="1">
      <c r="A34" s="160">
        <v>11939</v>
      </c>
      <c r="B34" s="160">
        <v>11979</v>
      </c>
    </row>
    <row r="35" spans="1:2" ht="15.75" thickBot="1">
      <c r="A35" s="160">
        <v>11939</v>
      </c>
      <c r="B35" s="160">
        <v>11980</v>
      </c>
    </row>
    <row r="36" spans="1:2" ht="15.75" thickBot="1">
      <c r="A36" s="160">
        <v>11939</v>
      </c>
      <c r="B36" s="160">
        <v>11981</v>
      </c>
    </row>
    <row r="37" spans="1:2" ht="15.75" thickBot="1">
      <c r="A37" s="160">
        <v>11342</v>
      </c>
      <c r="B37" s="160">
        <v>11343</v>
      </c>
    </row>
    <row r="38" spans="1:2" ht="15.75" thickBot="1">
      <c r="A38" s="160">
        <v>11342</v>
      </c>
      <c r="B38" s="160">
        <v>11344</v>
      </c>
    </row>
    <row r="39" spans="1:2" ht="15.75" thickBot="1">
      <c r="A39" s="160">
        <v>11342</v>
      </c>
      <c r="B39" s="160">
        <v>11345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9">
    <dataValidation type="list" allowBlank="1" showInputMessage="1" showErrorMessage="1" sqref="W6:W20 W2:W4" xr:uid="{00000000-0002-0000-0D00-000000000000}">
      <formula1>In_the_books</formula1>
    </dataValidation>
    <dataValidation type="list" allowBlank="1" showInputMessage="1" showErrorMessage="1" sqref="Y5" xr:uid="{00000000-0002-0000-0D00-000001000000}">
      <formula1>Info_Provider</formula1>
    </dataValidation>
    <dataValidation type="list" allowBlank="1" showInputMessage="1" showErrorMessage="1" sqref="H2:H20 K5" xr:uid="{00000000-0002-0000-0D00-000002000000}">
      <formula1>israel_abroad</formula1>
    </dataValidation>
    <dataValidation type="list" allowBlank="1" showInputMessage="1" showErrorMessage="1" sqref="O5 L2:L20" xr:uid="{00000000-0002-0000-0D00-000003000000}">
      <formula1>Rating_Agency</formula1>
    </dataValidation>
    <dataValidation type="list" allowBlank="1" showInputMessage="1" showErrorMessage="1" sqref="P5" xr:uid="{00000000-0002-0000-0D00-000004000000}">
      <formula1>Currency</formula1>
    </dataValidation>
    <dataValidation type="list" allowBlank="1" showInputMessage="1" showErrorMessage="1" sqref="Q5" xr:uid="{00000000-0002-0000-0D00-000005000000}">
      <formula1>Currency_Abbreviation</formula1>
    </dataValidation>
    <dataValidation type="list" allowBlank="1" showInputMessage="1" showErrorMessage="1" sqref="J5" xr:uid="{00000000-0002-0000-0D00-000006000000}">
      <formula1>$C$742:$C$748</formula1>
    </dataValidation>
    <dataValidation type="list" allowBlank="1" showInputMessage="1" showErrorMessage="1" sqref="I2:I20" xr:uid="{00000000-0002-0000-0D00-000007000000}">
      <formula1>Country_list</formula1>
    </dataValidation>
    <dataValidation type="list" allowBlank="1" showInputMessage="1" showErrorMessage="1" sqref="F2:F20" xr:uid="{00000000-0002-0000-0D00-000008000000}">
      <formula1>Type_of_Security_ID_Fund</formula1>
    </dataValidation>
  </dataValidations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9000000}">
          <x14:formula1>
            <xm:f>'אפשרויות בחירה'!$C$912:$C$919</xm:f>
          </x14:formula1>
          <xm:sqref>G2:G20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6"/>
  <dimension ref="A1:T39"/>
  <sheetViews>
    <sheetView rightToLeft="1" workbookViewId="0">
      <selection activeCell="A2" sqref="A2:B39"/>
    </sheetView>
  </sheetViews>
  <sheetFormatPr defaultColWidth="9" defaultRowHeight="15"/>
  <cols>
    <col min="1" max="7" width="11.5703125" style="2" customWidth="1"/>
    <col min="8" max="8" width="11.5703125" customWidth="1"/>
    <col min="9" max="15" width="11.5703125" style="2" customWidth="1"/>
    <col min="16" max="16" width="11.5703125" customWidth="1"/>
    <col min="17" max="19" width="11.5703125" style="2" customWidth="1"/>
    <col min="20" max="16384" width="9" style="2"/>
  </cols>
  <sheetData>
    <row r="1" spans="1:20" ht="66.75" customHeight="1">
      <c r="A1" s="21" t="s">
        <v>667</v>
      </c>
      <c r="B1" s="21" t="s">
        <v>0</v>
      </c>
      <c r="C1" s="21" t="s">
        <v>1</v>
      </c>
      <c r="D1" s="21" t="s">
        <v>1163</v>
      </c>
      <c r="E1" s="21" t="s">
        <v>29</v>
      </c>
      <c r="F1" s="21" t="s">
        <v>12</v>
      </c>
      <c r="G1" s="21" t="s">
        <v>13</v>
      </c>
      <c r="H1" s="21" t="s">
        <v>282</v>
      </c>
      <c r="I1" s="21" t="s">
        <v>421</v>
      </c>
      <c r="J1" s="21" t="s">
        <v>14</v>
      </c>
      <c r="K1" s="21" t="s">
        <v>637</v>
      </c>
      <c r="L1" s="21" t="s">
        <v>789</v>
      </c>
      <c r="M1" s="21" t="s">
        <v>15</v>
      </c>
      <c r="N1" s="21" t="s">
        <v>1171</v>
      </c>
      <c r="O1" s="21" t="s">
        <v>1172</v>
      </c>
      <c r="P1" s="21" t="s">
        <v>26</v>
      </c>
      <c r="Q1" s="21" t="s">
        <v>19</v>
      </c>
      <c r="R1" s="21" t="s">
        <v>30</v>
      </c>
      <c r="S1" s="12"/>
    </row>
    <row r="2" spans="1:20" ht="15.75" thickBot="1">
      <c r="A2" s="160">
        <v>7891</v>
      </c>
      <c r="B2" s="160">
        <v>7892</v>
      </c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0"/>
      <c r="Q2" s="22"/>
      <c r="R2" s="22"/>
      <c r="S2" s="5"/>
      <c r="T2" s="5"/>
    </row>
    <row r="3" spans="1:20" ht="15.75" thickBot="1">
      <c r="A3" s="160">
        <v>7891</v>
      </c>
      <c r="B3" s="160">
        <v>7893</v>
      </c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0"/>
      <c r="Q3" s="22"/>
      <c r="R3" s="22"/>
      <c r="S3" s="5"/>
      <c r="T3" s="5"/>
    </row>
    <row r="4" spans="1:20" ht="15.75" thickBot="1">
      <c r="A4" s="160">
        <v>7891</v>
      </c>
      <c r="B4" s="160">
        <v>7894</v>
      </c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0"/>
      <c r="Q4" s="22"/>
      <c r="R4" s="22"/>
      <c r="S4" s="5"/>
      <c r="T4" s="5"/>
    </row>
    <row r="5" spans="1:20" ht="15.75" thickBot="1">
      <c r="A5" s="160">
        <v>7891</v>
      </c>
      <c r="B5" s="160">
        <v>7895</v>
      </c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5"/>
      <c r="T5" s="5"/>
    </row>
    <row r="6" spans="1:20" ht="15.75" thickBot="1">
      <c r="A6" s="160">
        <v>7891</v>
      </c>
      <c r="B6" s="160">
        <v>7896</v>
      </c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0"/>
      <c r="Q6" s="22"/>
      <c r="R6" s="22"/>
      <c r="S6" s="5"/>
      <c r="T6" s="5"/>
    </row>
    <row r="7" spans="1:20" ht="15.75" thickBot="1">
      <c r="A7" s="160">
        <v>7891</v>
      </c>
      <c r="B7" s="160">
        <v>7897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0"/>
      <c r="Q7" s="22"/>
      <c r="R7" s="22"/>
      <c r="S7" s="5"/>
      <c r="T7" s="5"/>
    </row>
    <row r="8" spans="1:20" ht="15.75" thickBot="1">
      <c r="A8" s="160">
        <v>7891</v>
      </c>
      <c r="B8" s="160">
        <v>7898</v>
      </c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0"/>
      <c r="Q8" s="22"/>
      <c r="R8" s="22"/>
      <c r="S8" s="5"/>
      <c r="T8" s="5"/>
    </row>
    <row r="9" spans="1:20" ht="15.75" thickBot="1">
      <c r="A9" s="160">
        <v>7891</v>
      </c>
      <c r="B9" s="160">
        <v>7899</v>
      </c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0"/>
      <c r="Q9" s="22"/>
      <c r="R9" s="22"/>
      <c r="S9" s="5"/>
      <c r="T9" s="5"/>
    </row>
    <row r="10" spans="1:20" ht="15.75" thickBot="1">
      <c r="A10" s="160">
        <v>7891</v>
      </c>
      <c r="B10" s="160">
        <v>7900</v>
      </c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0"/>
      <c r="Q10" s="22"/>
      <c r="R10" s="22"/>
      <c r="S10" s="5"/>
      <c r="T10" s="5"/>
    </row>
    <row r="11" spans="1:20" ht="15.75" thickBot="1">
      <c r="A11" s="160">
        <v>7891</v>
      </c>
      <c r="B11" s="160">
        <v>7901</v>
      </c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0"/>
      <c r="Q11" s="22"/>
      <c r="R11" s="22"/>
      <c r="S11" s="5"/>
      <c r="T11" s="5"/>
    </row>
    <row r="12" spans="1:20" ht="15.75" thickBot="1">
      <c r="A12" s="160">
        <v>7891</v>
      </c>
      <c r="B12" s="160">
        <v>7902</v>
      </c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0"/>
      <c r="Q12" s="22"/>
      <c r="R12" s="22"/>
    </row>
    <row r="13" spans="1:20" ht="15.75" thickBot="1">
      <c r="A13" s="160">
        <v>11925</v>
      </c>
      <c r="B13" s="160">
        <v>11926</v>
      </c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0"/>
      <c r="Q13" s="22"/>
      <c r="R13" s="22"/>
    </row>
    <row r="14" spans="1:20" ht="15.75" thickBot="1">
      <c r="A14" s="160">
        <v>11925</v>
      </c>
      <c r="B14" s="160">
        <v>11927</v>
      </c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0"/>
      <c r="Q14" s="22"/>
      <c r="R14" s="22"/>
    </row>
    <row r="15" spans="1:20" ht="15.75" thickBot="1">
      <c r="A15" s="160">
        <v>11925</v>
      </c>
      <c r="B15" s="160">
        <v>11928</v>
      </c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0"/>
      <c r="Q15" s="22"/>
      <c r="R15" s="22"/>
    </row>
    <row r="16" spans="1:20" ht="15.75" thickBot="1">
      <c r="A16" s="160">
        <v>11925</v>
      </c>
      <c r="B16" s="160">
        <v>11929</v>
      </c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0"/>
      <c r="Q16" s="22"/>
      <c r="R16" s="22"/>
    </row>
    <row r="17" spans="1:18" ht="15.75" thickBot="1">
      <c r="A17" s="160">
        <v>11925</v>
      </c>
      <c r="B17" s="160">
        <v>11930</v>
      </c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0"/>
      <c r="Q17" s="22"/>
      <c r="R17" s="22"/>
    </row>
    <row r="18" spans="1:18" ht="15.75" thickBot="1">
      <c r="A18" s="160">
        <v>11925</v>
      </c>
      <c r="B18" s="160">
        <v>11931</v>
      </c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0"/>
      <c r="Q18" s="22"/>
      <c r="R18" s="22"/>
    </row>
    <row r="19" spans="1:18" ht="15.75" thickBot="1">
      <c r="A19" s="160">
        <v>11925</v>
      </c>
      <c r="B19" s="160">
        <v>11932</v>
      </c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0"/>
      <c r="Q19" s="22"/>
      <c r="R19" s="22"/>
    </row>
    <row r="20" spans="1:18" ht="15.75" thickBot="1">
      <c r="A20" s="160">
        <v>11925</v>
      </c>
      <c r="B20" s="160">
        <v>11933</v>
      </c>
      <c r="C20" s="22"/>
      <c r="H20" s="22"/>
      <c r="P20" s="20"/>
    </row>
    <row r="21" spans="1:18" s="44" customFormat="1" ht="15.75" thickBot="1">
      <c r="A21" s="160">
        <v>11925</v>
      </c>
      <c r="B21" s="160">
        <v>11934</v>
      </c>
      <c r="C21" s="43"/>
      <c r="P21"/>
    </row>
    <row r="22" spans="1:18" ht="15.75" thickBot="1">
      <c r="A22" s="160">
        <v>11925</v>
      </c>
      <c r="B22" s="160">
        <v>11935</v>
      </c>
      <c r="C22"/>
      <c r="H22" s="2"/>
    </row>
    <row r="23" spans="1:18" ht="15.75" thickBot="1">
      <c r="A23" s="160">
        <v>11925</v>
      </c>
      <c r="B23" s="160">
        <v>11936</v>
      </c>
      <c r="C23"/>
      <c r="H23" s="2"/>
    </row>
    <row r="24" spans="1:18" ht="15.75" thickBot="1">
      <c r="A24" s="160">
        <v>11925</v>
      </c>
      <c r="B24" s="160">
        <v>11937</v>
      </c>
      <c r="C24"/>
      <c r="H24" s="2"/>
    </row>
    <row r="25" spans="1:18" ht="15.75" thickBot="1">
      <c r="A25" s="160">
        <v>11939</v>
      </c>
      <c r="B25" s="160">
        <v>11942</v>
      </c>
      <c r="C25"/>
    </row>
    <row r="26" spans="1:18" ht="15.75" thickBot="1">
      <c r="A26" s="160">
        <v>11939</v>
      </c>
      <c r="B26" s="160">
        <v>11943</v>
      </c>
      <c r="C26"/>
    </row>
    <row r="27" spans="1:18" ht="15.75" thickBot="1">
      <c r="A27" s="160">
        <v>11939</v>
      </c>
      <c r="B27" s="160">
        <v>11944</v>
      </c>
      <c r="C27"/>
    </row>
    <row r="28" spans="1:18" ht="15.75" thickBot="1">
      <c r="A28" s="160">
        <v>11939</v>
      </c>
      <c r="B28" s="160">
        <v>11945</v>
      </c>
    </row>
    <row r="29" spans="1:18" ht="15.75" thickBot="1">
      <c r="A29" s="160">
        <v>11939</v>
      </c>
      <c r="B29" s="160">
        <v>11946</v>
      </c>
    </row>
    <row r="30" spans="1:18" ht="15.75" thickBot="1">
      <c r="A30" s="160">
        <v>11939</v>
      </c>
      <c r="B30" s="160">
        <v>11947</v>
      </c>
    </row>
    <row r="31" spans="1:18" ht="15.75" thickBot="1">
      <c r="A31" s="160">
        <v>11939</v>
      </c>
      <c r="B31" s="160">
        <v>11948</v>
      </c>
    </row>
    <row r="32" spans="1:18" ht="15.75" thickBot="1">
      <c r="A32" s="160">
        <v>11939</v>
      </c>
      <c r="B32" s="160">
        <v>11949</v>
      </c>
    </row>
    <row r="33" spans="1:2" ht="15.75" thickBot="1">
      <c r="A33" s="160">
        <v>11939</v>
      </c>
      <c r="B33" s="160">
        <v>11950</v>
      </c>
    </row>
    <row r="34" spans="1:2" ht="15.75" thickBot="1">
      <c r="A34" s="160">
        <v>11939</v>
      </c>
      <c r="B34" s="160">
        <v>11979</v>
      </c>
    </row>
    <row r="35" spans="1:2" ht="15.75" thickBot="1">
      <c r="A35" s="160">
        <v>11939</v>
      </c>
      <c r="B35" s="160">
        <v>11980</v>
      </c>
    </row>
    <row r="36" spans="1:2" ht="15.75" thickBot="1">
      <c r="A36" s="160">
        <v>11939</v>
      </c>
      <c r="B36" s="160">
        <v>11981</v>
      </c>
    </row>
    <row r="37" spans="1:2" ht="15.75" thickBot="1">
      <c r="A37" s="160">
        <v>11342</v>
      </c>
      <c r="B37" s="160">
        <v>11343</v>
      </c>
    </row>
    <row r="38" spans="1:2" ht="15.75" thickBot="1">
      <c r="A38" s="160">
        <v>11342</v>
      </c>
      <c r="B38" s="160">
        <v>11344</v>
      </c>
    </row>
    <row r="39" spans="1:2" ht="15.75" thickBot="1">
      <c r="A39" s="160">
        <v>11342</v>
      </c>
      <c r="B39" s="160">
        <v>11345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 r:id="rId1"/>
    </customSheetView>
  </customSheetViews>
  <dataValidations count="2">
    <dataValidation type="list" allowBlank="1" showInputMessage="1" showErrorMessage="1" sqref="P6:P20 P2:P4" xr:uid="{00000000-0002-0000-0E00-000000000000}">
      <formula1>In_the_books</formula1>
    </dataValidation>
    <dataValidation type="list" allowBlank="1" showInputMessage="1" showErrorMessage="1" sqref="H2:H20" xr:uid="{00000000-0002-0000-0E00-000001000000}">
      <formula1>Linked_Type</formula1>
    </dataValidation>
  </dataValidations>
  <pageMargins left="0.7" right="0.7" top="0.75" bottom="0.75" header="0.3" footer="0.3"/>
  <pageSetup orientation="portrait"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2000000}">
          <x14:formula1>
            <xm:f>'אפשרויות בחירה'!$C$920:$C$925</xm:f>
          </x14:formula1>
          <xm:sqref>C2:C20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2"/>
  <dimension ref="A1:I39"/>
  <sheetViews>
    <sheetView rightToLeft="1" workbookViewId="0">
      <selection activeCell="A2" sqref="A2:B39"/>
    </sheetView>
  </sheetViews>
  <sheetFormatPr defaultColWidth="9" defaultRowHeight="15"/>
  <cols>
    <col min="1" max="3" width="11.5703125" style="2" customWidth="1"/>
    <col min="4" max="6" width="11.5703125" customWidth="1"/>
    <col min="7" max="8" width="11.5703125" style="2" customWidth="1"/>
    <col min="9" max="16384" width="9" style="2"/>
  </cols>
  <sheetData>
    <row r="1" spans="1:9" ht="66.75" customHeight="1">
      <c r="A1" s="21" t="s">
        <v>800</v>
      </c>
      <c r="B1" s="21" t="s">
        <v>0</v>
      </c>
      <c r="C1" s="21" t="s">
        <v>1</v>
      </c>
      <c r="D1" s="21" t="s">
        <v>774</v>
      </c>
      <c r="E1" s="21" t="s">
        <v>773</v>
      </c>
      <c r="F1" s="21" t="s">
        <v>1179</v>
      </c>
      <c r="G1" s="21" t="s">
        <v>30</v>
      </c>
      <c r="H1" s="12"/>
    </row>
    <row r="2" spans="1:9" ht="15.75" thickBot="1">
      <c r="A2" s="160">
        <v>7891</v>
      </c>
      <c r="B2" s="160">
        <v>7892</v>
      </c>
      <c r="C2" s="23"/>
      <c r="D2" s="148"/>
      <c r="E2" s="43"/>
      <c r="F2" s="43"/>
      <c r="G2" s="29"/>
      <c r="H2" s="5"/>
      <c r="I2" s="5"/>
    </row>
    <row r="3" spans="1:9" ht="15.75" thickBot="1">
      <c r="A3" s="160">
        <v>7891</v>
      </c>
      <c r="B3" s="160">
        <v>7893</v>
      </c>
      <c r="C3" s="23"/>
      <c r="G3" s="22"/>
      <c r="H3" s="5"/>
      <c r="I3" s="5"/>
    </row>
    <row r="4" spans="1:9" ht="15.75" thickBot="1">
      <c r="A4" s="160">
        <v>7891</v>
      </c>
      <c r="B4" s="160">
        <v>7894</v>
      </c>
      <c r="C4" s="23"/>
      <c r="G4" s="22"/>
      <c r="H4" s="5"/>
      <c r="I4" s="5"/>
    </row>
    <row r="5" spans="1:9" ht="15.75" thickBot="1">
      <c r="A5" s="160">
        <v>7891</v>
      </c>
      <c r="B5" s="160">
        <v>7895</v>
      </c>
      <c r="C5" s="23"/>
      <c r="G5" s="22"/>
      <c r="H5" s="5"/>
      <c r="I5" s="5"/>
    </row>
    <row r="6" spans="1:9" ht="15.75" thickBot="1">
      <c r="A6" s="160">
        <v>7891</v>
      </c>
      <c r="B6" s="160">
        <v>7896</v>
      </c>
      <c r="C6" s="23"/>
      <c r="G6" s="22"/>
      <c r="H6" s="5"/>
      <c r="I6" s="5"/>
    </row>
    <row r="7" spans="1:9" ht="15.75" thickBot="1">
      <c r="A7" s="160">
        <v>7891</v>
      </c>
      <c r="B7" s="160">
        <v>7897</v>
      </c>
      <c r="C7" s="23"/>
      <c r="G7" s="22"/>
      <c r="H7" s="5"/>
      <c r="I7" s="5"/>
    </row>
    <row r="8" spans="1:9" ht="15.75" thickBot="1">
      <c r="A8" s="160">
        <v>7891</v>
      </c>
      <c r="B8" s="160">
        <v>7898</v>
      </c>
      <c r="C8" s="23"/>
      <c r="G8" s="22"/>
      <c r="H8" s="5"/>
      <c r="I8" s="5"/>
    </row>
    <row r="9" spans="1:9" ht="15.75" thickBot="1">
      <c r="A9" s="160">
        <v>7891</v>
      </c>
      <c r="B9" s="160">
        <v>7899</v>
      </c>
      <c r="C9" s="23"/>
      <c r="G9" s="22"/>
      <c r="H9" s="5"/>
      <c r="I9" s="5"/>
    </row>
    <row r="10" spans="1:9" ht="15.75" thickBot="1">
      <c r="A10" s="160">
        <v>7891</v>
      </c>
      <c r="B10" s="160">
        <v>7900</v>
      </c>
      <c r="C10" s="23"/>
      <c r="G10" s="22"/>
      <c r="H10" s="5"/>
      <c r="I10" s="5"/>
    </row>
    <row r="11" spans="1:9" ht="15.75" thickBot="1">
      <c r="A11" s="160">
        <v>7891</v>
      </c>
      <c r="B11" s="160">
        <v>7901</v>
      </c>
      <c r="C11" s="23"/>
      <c r="G11" s="22"/>
      <c r="H11" s="5"/>
      <c r="I11" s="5"/>
    </row>
    <row r="12" spans="1:9" ht="15.75" thickBot="1">
      <c r="A12" s="160">
        <v>7891</v>
      </c>
      <c r="B12" s="160">
        <v>7902</v>
      </c>
      <c r="C12" s="23"/>
      <c r="G12" s="22"/>
    </row>
    <row r="13" spans="1:9" ht="15.75" thickBot="1">
      <c r="A13" s="160">
        <v>11925</v>
      </c>
      <c r="B13" s="160">
        <v>11926</v>
      </c>
      <c r="C13" s="23"/>
      <c r="G13" s="22"/>
    </row>
    <row r="14" spans="1:9" ht="15.75" thickBot="1">
      <c r="A14" s="160">
        <v>11925</v>
      </c>
      <c r="B14" s="160">
        <v>11927</v>
      </c>
      <c r="C14" s="23"/>
      <c r="G14" s="22"/>
    </row>
    <row r="15" spans="1:9" ht="15.75" thickBot="1">
      <c r="A15" s="160">
        <v>11925</v>
      </c>
      <c r="B15" s="160">
        <v>11928</v>
      </c>
      <c r="C15" s="23"/>
      <c r="G15" s="22"/>
    </row>
    <row r="16" spans="1:9" ht="15.75" thickBot="1">
      <c r="A16" s="160">
        <v>11925</v>
      </c>
      <c r="B16" s="160">
        <v>11929</v>
      </c>
      <c r="C16" s="23"/>
      <c r="G16" s="22"/>
    </row>
    <row r="17" spans="1:7" ht="15.75" thickBot="1">
      <c r="A17" s="160">
        <v>11925</v>
      </c>
      <c r="B17" s="160">
        <v>11930</v>
      </c>
      <c r="C17" s="23"/>
      <c r="G17" s="22"/>
    </row>
    <row r="18" spans="1:7" ht="15.75" thickBot="1">
      <c r="A18" s="160">
        <v>11925</v>
      </c>
      <c r="B18" s="160">
        <v>11931</v>
      </c>
      <c r="C18" s="23"/>
      <c r="G18" s="22"/>
    </row>
    <row r="19" spans="1:7" ht="15.75" thickBot="1">
      <c r="A19" s="160">
        <v>11925</v>
      </c>
      <c r="B19" s="160">
        <v>11932</v>
      </c>
      <c r="C19" s="23"/>
      <c r="G19" s="22"/>
    </row>
    <row r="20" spans="1:7" ht="15.75" thickBot="1">
      <c r="A20" s="160">
        <v>11925</v>
      </c>
      <c r="B20" s="160">
        <v>11933</v>
      </c>
      <c r="C20" s="23"/>
    </row>
    <row r="21" spans="1:7" ht="15.75" thickBot="1">
      <c r="A21" s="160">
        <v>11925</v>
      </c>
      <c r="B21" s="160">
        <v>11934</v>
      </c>
      <c r="C21"/>
    </row>
    <row r="22" spans="1:7" ht="15.75" thickBot="1">
      <c r="A22" s="160">
        <v>11925</v>
      </c>
      <c r="B22" s="160">
        <v>11935</v>
      </c>
      <c r="C22"/>
    </row>
    <row r="23" spans="1:7" ht="15.75" thickBot="1">
      <c r="A23" s="160">
        <v>11925</v>
      </c>
      <c r="B23" s="160">
        <v>11936</v>
      </c>
      <c r="C23"/>
    </row>
    <row r="24" spans="1:7" ht="15.75" thickBot="1">
      <c r="A24" s="160">
        <v>11925</v>
      </c>
      <c r="B24" s="160">
        <v>11937</v>
      </c>
      <c r="C24"/>
    </row>
    <row r="25" spans="1:7" ht="15.75" thickBot="1">
      <c r="A25" s="160">
        <v>11939</v>
      </c>
      <c r="B25" s="160">
        <v>11942</v>
      </c>
      <c r="C25"/>
    </row>
    <row r="26" spans="1:7" ht="15.75" thickBot="1">
      <c r="A26" s="160">
        <v>11939</v>
      </c>
      <c r="B26" s="160">
        <v>11943</v>
      </c>
      <c r="C26"/>
    </row>
    <row r="27" spans="1:7" ht="15.75" thickBot="1">
      <c r="A27" s="160">
        <v>11939</v>
      </c>
      <c r="B27" s="160">
        <v>11944</v>
      </c>
      <c r="C27"/>
    </row>
    <row r="28" spans="1:7" ht="15.75" thickBot="1">
      <c r="A28" s="160">
        <v>11939</v>
      </c>
      <c r="B28" s="160">
        <v>11945</v>
      </c>
    </row>
    <row r="29" spans="1:7" ht="15.75" thickBot="1">
      <c r="A29" s="160">
        <v>11939</v>
      </c>
      <c r="B29" s="160">
        <v>11946</v>
      </c>
    </row>
    <row r="30" spans="1:7" ht="15.75" thickBot="1">
      <c r="A30" s="160">
        <v>11939</v>
      </c>
      <c r="B30" s="160">
        <v>11947</v>
      </c>
    </row>
    <row r="31" spans="1:7" ht="15.75" thickBot="1">
      <c r="A31" s="160">
        <v>11939</v>
      </c>
      <c r="B31" s="160">
        <v>11948</v>
      </c>
    </row>
    <row r="32" spans="1:7" ht="15.75" thickBot="1">
      <c r="A32" s="160">
        <v>11939</v>
      </c>
      <c r="B32" s="160">
        <v>11949</v>
      </c>
    </row>
    <row r="33" spans="1:2" ht="15.75" thickBot="1">
      <c r="A33" s="160">
        <v>11939</v>
      </c>
      <c r="B33" s="160">
        <v>11950</v>
      </c>
    </row>
    <row r="34" spans="1:2" ht="15.75" thickBot="1">
      <c r="A34" s="160">
        <v>11939</v>
      </c>
      <c r="B34" s="160">
        <v>11979</v>
      </c>
    </row>
    <row r="35" spans="1:2" ht="15.75" thickBot="1">
      <c r="A35" s="160">
        <v>11939</v>
      </c>
      <c r="B35" s="160">
        <v>11980</v>
      </c>
    </row>
    <row r="36" spans="1:2" ht="15.75" thickBot="1">
      <c r="A36" s="160">
        <v>11939</v>
      </c>
      <c r="B36" s="160">
        <v>11981</v>
      </c>
    </row>
    <row r="37" spans="1:2" ht="15.75" thickBot="1">
      <c r="A37" s="160">
        <v>11342</v>
      </c>
      <c r="B37" s="160">
        <v>11343</v>
      </c>
    </row>
    <row r="38" spans="1:2" ht="15.75" thickBot="1">
      <c r="A38" s="160">
        <v>11342</v>
      </c>
      <c r="B38" s="160">
        <v>11344</v>
      </c>
    </row>
    <row r="39" spans="1:2" ht="15.75" thickBot="1">
      <c r="A39" s="160">
        <v>11342</v>
      </c>
      <c r="B39" s="160">
        <v>11345</v>
      </c>
    </row>
  </sheetData>
  <sheetProtection formatColumns="0"/>
  <dataValidations count="1">
    <dataValidation type="list" allowBlank="1" showInputMessage="1" showErrorMessage="1" sqref="C2:C20" xr:uid="{00000000-0002-0000-0F00-000000000000}">
      <formula1>Capsule</formula1>
    </dataValidation>
  </dataValidation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AN39"/>
  <sheetViews>
    <sheetView rightToLeft="1" workbookViewId="0">
      <selection activeCell="A2" sqref="A2:B39"/>
    </sheetView>
  </sheetViews>
  <sheetFormatPr defaultRowHeight="15"/>
  <cols>
    <col min="1" max="4" width="11.5703125" customWidth="1"/>
    <col min="5" max="5" width="11.5703125" style="4" customWidth="1"/>
    <col min="6" max="11" width="11.5703125" customWidth="1"/>
    <col min="12" max="12" width="11.5703125" style="2" customWidth="1"/>
    <col min="13" max="24" width="11.5703125" customWidth="1"/>
    <col min="25" max="26" width="11.5703125" style="4"/>
    <col min="27" max="40" width="11.5703125" customWidth="1"/>
  </cols>
  <sheetData>
    <row r="1" spans="1:40" ht="66.75" customHeight="1">
      <c r="A1" s="21" t="s">
        <v>667</v>
      </c>
      <c r="B1" s="21" t="s">
        <v>0</v>
      </c>
      <c r="C1" s="21" t="s">
        <v>740</v>
      </c>
      <c r="D1" s="21" t="s">
        <v>2</v>
      </c>
      <c r="E1" s="21" t="s">
        <v>756</v>
      </c>
      <c r="F1" s="21" t="s">
        <v>1163</v>
      </c>
      <c r="G1" s="21" t="s">
        <v>29</v>
      </c>
      <c r="H1" s="21" t="s">
        <v>28</v>
      </c>
      <c r="I1" s="21" t="s">
        <v>1</v>
      </c>
      <c r="J1" s="21" t="s">
        <v>620</v>
      </c>
      <c r="K1" s="21" t="s">
        <v>621</v>
      </c>
      <c r="L1" s="21" t="s">
        <v>9</v>
      </c>
      <c r="M1" s="21" t="s">
        <v>622</v>
      </c>
      <c r="N1" s="21" t="s">
        <v>12</v>
      </c>
      <c r="O1" s="21" t="s">
        <v>6</v>
      </c>
      <c r="P1" s="21" t="s">
        <v>8</v>
      </c>
      <c r="Q1" s="21" t="s">
        <v>1164</v>
      </c>
      <c r="R1" s="21" t="s">
        <v>396</v>
      </c>
      <c r="S1" s="21" t="s">
        <v>13</v>
      </c>
      <c r="T1" s="21" t="s">
        <v>282</v>
      </c>
      <c r="U1" s="21" t="s">
        <v>309</v>
      </c>
      <c r="V1" s="21" t="s">
        <v>421</v>
      </c>
      <c r="W1" s="21" t="s">
        <v>14</v>
      </c>
      <c r="X1" s="21" t="s">
        <v>637</v>
      </c>
      <c r="Y1" s="21" t="s">
        <v>942</v>
      </c>
      <c r="Z1" s="21" t="s">
        <v>685</v>
      </c>
      <c r="AA1" s="21" t="s">
        <v>933</v>
      </c>
      <c r="AB1" s="21" t="s">
        <v>372</v>
      </c>
      <c r="AC1" s="21" t="s">
        <v>747</v>
      </c>
      <c r="AD1" s="21" t="s">
        <v>16</v>
      </c>
      <c r="AE1" s="21" t="s">
        <v>1165</v>
      </c>
      <c r="AF1" s="21" t="s">
        <v>789</v>
      </c>
      <c r="AG1" s="21" t="s">
        <v>11</v>
      </c>
      <c r="AH1" s="21" t="s">
        <v>15</v>
      </c>
      <c r="AI1" s="21" t="s">
        <v>1171</v>
      </c>
      <c r="AJ1" s="21" t="s">
        <v>1172</v>
      </c>
      <c r="AK1" s="21" t="s">
        <v>804</v>
      </c>
      <c r="AL1" s="21" t="s">
        <v>26</v>
      </c>
      <c r="AM1" s="21" t="s">
        <v>19</v>
      </c>
      <c r="AN1" s="21" t="s">
        <v>30</v>
      </c>
    </row>
    <row r="2" spans="1:40" ht="15.75" thickBot="1">
      <c r="A2" s="160">
        <v>7891</v>
      </c>
      <c r="B2" s="160">
        <v>7892</v>
      </c>
      <c r="C2" s="22"/>
      <c r="D2" s="22"/>
      <c r="E2" s="20"/>
      <c r="F2" s="22"/>
      <c r="G2" s="22"/>
      <c r="H2" s="20"/>
      <c r="I2" s="22"/>
      <c r="J2" s="20"/>
      <c r="K2" s="20"/>
      <c r="L2" s="22"/>
      <c r="M2" s="22"/>
      <c r="N2" s="22"/>
      <c r="O2" s="22"/>
      <c r="P2" s="22"/>
      <c r="Q2" s="22"/>
      <c r="R2" s="20"/>
      <c r="S2" s="22"/>
      <c r="T2" s="22"/>
      <c r="U2" s="22"/>
      <c r="V2" s="22"/>
      <c r="W2" s="22"/>
      <c r="X2" s="22"/>
      <c r="Y2" s="20"/>
      <c r="Z2" s="23"/>
      <c r="AA2" s="22"/>
      <c r="AB2" s="22"/>
      <c r="AC2" s="23"/>
      <c r="AD2" s="23"/>
      <c r="AE2" s="22"/>
      <c r="AF2" s="22"/>
      <c r="AG2" s="22"/>
      <c r="AH2" s="22"/>
      <c r="AI2" s="22"/>
      <c r="AK2" s="42"/>
      <c r="AL2" s="22"/>
    </row>
    <row r="3" spans="1:40" ht="15.75" thickBot="1">
      <c r="A3" s="160">
        <v>7891</v>
      </c>
      <c r="B3" s="160">
        <v>7893</v>
      </c>
      <c r="C3" s="22"/>
      <c r="D3" s="22"/>
      <c r="E3" s="20"/>
      <c r="F3" s="22"/>
      <c r="G3" s="22"/>
      <c r="H3" s="20"/>
      <c r="I3" s="22"/>
      <c r="J3" s="20"/>
      <c r="K3" s="20"/>
      <c r="L3" s="22"/>
      <c r="M3" s="22"/>
      <c r="N3" s="22"/>
      <c r="O3" s="22"/>
      <c r="P3" s="22"/>
      <c r="Q3" s="22"/>
      <c r="R3" s="20"/>
      <c r="S3" s="22"/>
      <c r="T3" s="22"/>
      <c r="U3" s="22"/>
      <c r="V3" s="22"/>
      <c r="W3" s="22"/>
      <c r="X3" s="22"/>
      <c r="Y3" s="20"/>
      <c r="Z3" s="20"/>
      <c r="AA3" s="22"/>
      <c r="AB3" s="22"/>
      <c r="AC3" s="43"/>
      <c r="AF3" s="22"/>
      <c r="AG3" s="23"/>
      <c r="AH3" s="22"/>
      <c r="AI3" s="22"/>
      <c r="AK3" s="22"/>
      <c r="AL3" s="22"/>
    </row>
    <row r="4" spans="1:40" ht="15.75" thickBot="1">
      <c r="A4" s="160">
        <v>7891</v>
      </c>
      <c r="B4" s="160">
        <v>7894</v>
      </c>
      <c r="C4" s="22"/>
      <c r="D4" s="22"/>
      <c r="E4" s="20"/>
      <c r="F4" s="22"/>
      <c r="G4" s="22"/>
      <c r="H4" s="20"/>
      <c r="I4" s="22"/>
      <c r="J4" s="20"/>
      <c r="K4" s="20"/>
      <c r="L4" s="22"/>
      <c r="M4" s="22"/>
      <c r="N4" s="22"/>
      <c r="O4" s="22"/>
      <c r="P4" s="22"/>
      <c r="Q4" s="22"/>
      <c r="R4" s="20"/>
      <c r="S4" s="22"/>
      <c r="T4" s="22"/>
      <c r="U4" s="22"/>
      <c r="V4" s="22"/>
      <c r="W4" s="22"/>
      <c r="X4" s="22"/>
      <c r="Y4" s="20"/>
      <c r="Z4" s="20"/>
      <c r="AA4" s="22"/>
      <c r="AB4" s="22"/>
      <c r="AD4" s="23"/>
      <c r="AE4" s="22"/>
      <c r="AF4" s="22"/>
      <c r="AG4" s="22"/>
      <c r="AH4" s="22"/>
      <c r="AI4" s="22"/>
      <c r="AK4" s="22"/>
      <c r="AL4" s="22"/>
    </row>
    <row r="5" spans="1:40" ht="15.75" thickBot="1">
      <c r="A5" s="160">
        <v>7891</v>
      </c>
      <c r="B5" s="160">
        <v>7895</v>
      </c>
      <c r="C5" s="22"/>
      <c r="D5" s="22"/>
      <c r="E5" s="20"/>
      <c r="F5" s="22"/>
      <c r="G5" s="22"/>
      <c r="H5" s="20"/>
      <c r="I5" s="22"/>
      <c r="J5" s="20"/>
      <c r="K5" s="20"/>
      <c r="L5" s="22"/>
      <c r="M5" s="22"/>
      <c r="N5" s="22"/>
      <c r="O5" s="22"/>
      <c r="P5" s="22"/>
      <c r="Q5" s="22"/>
      <c r="R5" s="20"/>
      <c r="S5" s="22"/>
      <c r="T5" s="22"/>
      <c r="U5" s="22"/>
      <c r="V5" s="22"/>
      <c r="W5" s="22"/>
      <c r="X5" s="22"/>
      <c r="Y5" s="20"/>
      <c r="Z5" s="20"/>
      <c r="AA5" s="22"/>
      <c r="AB5" s="22"/>
      <c r="AD5" s="23"/>
      <c r="AE5" s="22"/>
      <c r="AF5" s="22"/>
      <c r="AG5" s="22"/>
      <c r="AH5" s="22"/>
      <c r="AI5" s="22"/>
      <c r="AK5" s="22"/>
      <c r="AL5" s="22"/>
    </row>
    <row r="6" spans="1:40" ht="15.75" thickBot="1">
      <c r="A6" s="160">
        <v>7891</v>
      </c>
      <c r="B6" s="160">
        <v>7896</v>
      </c>
      <c r="C6" s="22"/>
      <c r="D6" s="22"/>
      <c r="E6" s="20"/>
      <c r="F6" s="22"/>
      <c r="G6" s="22"/>
      <c r="H6" s="20"/>
      <c r="I6" s="22"/>
      <c r="J6" s="20"/>
      <c r="K6" s="20"/>
      <c r="L6" s="22"/>
      <c r="M6" s="22"/>
      <c r="N6" s="22"/>
      <c r="O6" s="22"/>
      <c r="P6" s="22"/>
      <c r="Q6" s="22"/>
      <c r="R6" s="20"/>
      <c r="S6" s="22"/>
      <c r="T6" s="22"/>
      <c r="U6" s="22"/>
      <c r="V6" s="22"/>
      <c r="W6" s="22"/>
      <c r="X6" s="22"/>
      <c r="Y6" s="20"/>
      <c r="Z6" s="20"/>
      <c r="AA6" s="22"/>
      <c r="AB6" s="22"/>
      <c r="AD6" s="23"/>
      <c r="AE6" s="22"/>
      <c r="AF6" s="22"/>
      <c r="AG6" s="22"/>
      <c r="AH6" s="22"/>
      <c r="AI6" s="22"/>
      <c r="AK6" s="22"/>
      <c r="AL6" s="22"/>
    </row>
    <row r="7" spans="1:40" ht="15.75" thickBot="1">
      <c r="A7" s="160">
        <v>7891</v>
      </c>
      <c r="B7" s="160">
        <v>7897</v>
      </c>
      <c r="C7" s="22"/>
      <c r="D7" s="22"/>
      <c r="E7" s="20"/>
      <c r="F7" s="22"/>
      <c r="G7" s="22"/>
      <c r="H7" s="20"/>
      <c r="I7" s="22"/>
      <c r="J7" s="20"/>
      <c r="K7" s="20"/>
      <c r="L7" s="22"/>
      <c r="M7" s="22"/>
      <c r="N7" s="22"/>
      <c r="O7" s="22"/>
      <c r="P7" s="22"/>
      <c r="Q7" s="22"/>
      <c r="R7" s="20"/>
      <c r="S7" s="22"/>
      <c r="T7" s="22"/>
      <c r="U7" s="22"/>
      <c r="V7" s="22"/>
      <c r="W7" s="22"/>
      <c r="X7" s="22"/>
      <c r="Y7" s="20"/>
      <c r="Z7" s="20"/>
      <c r="AA7" s="22"/>
      <c r="AB7" s="22"/>
      <c r="AD7" s="23"/>
      <c r="AE7" s="22"/>
      <c r="AF7" s="22"/>
      <c r="AG7" s="22"/>
      <c r="AH7" s="22"/>
      <c r="AI7" s="22"/>
      <c r="AK7" s="22"/>
      <c r="AL7" s="22"/>
    </row>
    <row r="8" spans="1:40" ht="15.75" thickBot="1">
      <c r="A8" s="160">
        <v>7891</v>
      </c>
      <c r="B8" s="160">
        <v>7898</v>
      </c>
      <c r="C8" s="22"/>
      <c r="D8" s="22"/>
      <c r="E8" s="20"/>
      <c r="F8" s="22"/>
      <c r="G8" s="22"/>
      <c r="H8" s="20"/>
      <c r="I8" s="22"/>
      <c r="J8" s="20"/>
      <c r="K8" s="20"/>
      <c r="L8" s="22"/>
      <c r="M8" s="22"/>
      <c r="N8" s="22"/>
      <c r="O8" s="22"/>
      <c r="P8" s="22"/>
      <c r="Q8" s="22"/>
      <c r="R8" s="20"/>
      <c r="S8" s="22"/>
      <c r="T8" s="22"/>
      <c r="U8" s="22"/>
      <c r="V8" s="22"/>
      <c r="W8" s="22"/>
      <c r="X8" s="22"/>
      <c r="Y8" s="20"/>
      <c r="Z8" s="20"/>
      <c r="AA8" s="22"/>
      <c r="AB8" s="22"/>
      <c r="AD8" s="23"/>
      <c r="AE8" s="22"/>
      <c r="AF8" s="22"/>
      <c r="AG8" s="22"/>
      <c r="AH8" s="22"/>
      <c r="AI8" s="22"/>
      <c r="AK8" s="22"/>
      <c r="AL8" s="22"/>
    </row>
    <row r="9" spans="1:40" ht="15.75" thickBot="1">
      <c r="A9" s="160">
        <v>7891</v>
      </c>
      <c r="B9" s="160">
        <v>7899</v>
      </c>
      <c r="C9" s="22"/>
      <c r="D9" s="22"/>
      <c r="E9" s="20"/>
      <c r="F9" s="22"/>
      <c r="G9" s="22"/>
      <c r="H9" s="20"/>
      <c r="I9" s="22"/>
      <c r="J9" s="20"/>
      <c r="K9" s="20"/>
      <c r="L9" s="22"/>
      <c r="M9" s="22"/>
      <c r="N9" s="22"/>
      <c r="O9" s="22"/>
      <c r="P9" s="22"/>
      <c r="Q9" s="22"/>
      <c r="R9" s="20"/>
      <c r="S9" s="22"/>
      <c r="T9" s="22"/>
      <c r="U9" s="22"/>
      <c r="V9" s="22"/>
      <c r="W9" s="22"/>
      <c r="X9" s="22"/>
      <c r="Y9" s="20"/>
      <c r="Z9" s="20"/>
      <c r="AA9" s="22"/>
      <c r="AB9" s="22"/>
      <c r="AD9" s="23"/>
      <c r="AE9" s="22"/>
      <c r="AF9" s="22"/>
      <c r="AG9" s="22"/>
      <c r="AH9" s="22"/>
      <c r="AL9" s="22"/>
    </row>
    <row r="10" spans="1:40" ht="15.75" thickBot="1">
      <c r="A10" s="160">
        <v>7891</v>
      </c>
      <c r="B10" s="160">
        <v>7900</v>
      </c>
      <c r="C10" s="22"/>
      <c r="D10" s="22"/>
      <c r="E10" s="20"/>
      <c r="F10" s="22"/>
      <c r="G10" s="22"/>
      <c r="H10" s="20"/>
      <c r="I10" s="22"/>
      <c r="J10" s="20"/>
      <c r="K10" s="20"/>
      <c r="L10" s="22"/>
      <c r="M10" s="22"/>
      <c r="N10" s="22"/>
      <c r="O10" s="22"/>
      <c r="P10" s="22"/>
      <c r="Q10" s="22"/>
      <c r="R10" s="20"/>
      <c r="S10" s="22"/>
      <c r="T10" s="22"/>
      <c r="U10" s="22"/>
      <c r="V10" s="22"/>
      <c r="W10" s="22"/>
      <c r="X10" s="22"/>
      <c r="Y10" s="20"/>
      <c r="Z10" s="20"/>
      <c r="AA10" s="22"/>
      <c r="AB10" s="22"/>
      <c r="AD10" s="23"/>
      <c r="AE10" s="22"/>
      <c r="AF10" s="22"/>
      <c r="AG10" s="22"/>
      <c r="AH10" s="22"/>
      <c r="AL10" s="22"/>
    </row>
    <row r="11" spans="1:40" ht="15.75" thickBot="1">
      <c r="A11" s="160">
        <v>7891</v>
      </c>
      <c r="B11" s="160">
        <v>7901</v>
      </c>
      <c r="C11" s="22"/>
      <c r="D11" s="22"/>
      <c r="E11" s="20"/>
      <c r="F11" s="22"/>
      <c r="G11" s="22"/>
      <c r="H11" s="20"/>
      <c r="I11" s="22"/>
      <c r="J11" s="20"/>
      <c r="K11" s="20"/>
      <c r="L11" s="22"/>
      <c r="M11" s="22"/>
      <c r="N11" s="22"/>
      <c r="O11" s="22"/>
      <c r="P11" s="22"/>
      <c r="Q11" s="22"/>
      <c r="R11" s="20"/>
      <c r="S11" s="22"/>
      <c r="T11" s="22"/>
      <c r="U11" s="22"/>
      <c r="V11" s="22"/>
      <c r="W11" s="22"/>
      <c r="X11" s="22"/>
      <c r="Y11" s="20"/>
      <c r="Z11" s="20"/>
      <c r="AA11" s="22"/>
      <c r="AB11" s="22"/>
      <c r="AD11" s="23"/>
      <c r="AE11" s="22"/>
      <c r="AF11" s="22"/>
      <c r="AG11" s="22"/>
      <c r="AH11" s="22"/>
      <c r="AI11" s="22"/>
      <c r="AK11" s="22"/>
      <c r="AL11" s="22"/>
    </row>
    <row r="12" spans="1:40" ht="15.75" thickBot="1">
      <c r="A12" s="160">
        <v>7891</v>
      </c>
      <c r="B12" s="160">
        <v>7902</v>
      </c>
      <c r="C12" s="22"/>
      <c r="D12" s="22"/>
      <c r="E12" s="20"/>
      <c r="F12" s="22"/>
      <c r="G12" s="22"/>
      <c r="H12" s="20"/>
      <c r="I12" s="22"/>
      <c r="J12" s="20"/>
      <c r="K12" s="20"/>
      <c r="L12" s="22"/>
      <c r="M12" s="22"/>
      <c r="N12" s="22"/>
      <c r="O12" s="22"/>
      <c r="P12" s="22"/>
      <c r="Q12" s="22"/>
      <c r="R12" s="20"/>
      <c r="S12" s="22"/>
      <c r="T12" s="22"/>
      <c r="U12" s="22"/>
      <c r="V12" s="22"/>
      <c r="W12" s="22"/>
      <c r="X12" s="22"/>
      <c r="Y12" s="20"/>
      <c r="Z12" s="20"/>
      <c r="AA12" s="22"/>
      <c r="AB12" s="22"/>
      <c r="AD12" s="23"/>
      <c r="AE12" s="22"/>
      <c r="AF12" s="22"/>
      <c r="AG12" s="22"/>
      <c r="AH12" s="22"/>
      <c r="AI12" s="22"/>
      <c r="AK12" s="22"/>
      <c r="AL12" s="22"/>
    </row>
    <row r="13" spans="1:40" ht="15.75" thickBot="1">
      <c r="A13" s="160">
        <v>11925</v>
      </c>
      <c r="B13" s="160">
        <v>11926</v>
      </c>
      <c r="C13" s="22"/>
      <c r="D13" s="22"/>
      <c r="E13" s="20"/>
      <c r="F13" s="22"/>
      <c r="G13" s="22"/>
      <c r="H13" s="20"/>
      <c r="I13" s="22"/>
      <c r="J13" s="20"/>
      <c r="K13" s="20"/>
      <c r="L13" s="22"/>
      <c r="M13" s="22"/>
      <c r="N13" s="22"/>
      <c r="O13" s="22"/>
      <c r="P13" s="22"/>
      <c r="Q13" s="22"/>
      <c r="R13" s="20"/>
      <c r="S13" s="22"/>
      <c r="T13" s="22"/>
      <c r="U13" s="22"/>
      <c r="V13" s="22"/>
      <c r="W13" s="22"/>
      <c r="X13" s="22"/>
      <c r="Y13" s="20"/>
      <c r="Z13" s="20"/>
      <c r="AA13" s="22"/>
      <c r="AB13" s="22"/>
      <c r="AD13" s="23"/>
      <c r="AE13" s="22"/>
      <c r="AF13" s="22"/>
      <c r="AG13" s="22"/>
      <c r="AH13" s="22"/>
      <c r="AI13" s="22"/>
      <c r="AK13" s="22"/>
      <c r="AL13" s="22"/>
    </row>
    <row r="14" spans="1:40" ht="15.75" thickBot="1">
      <c r="A14" s="160">
        <v>11925</v>
      </c>
      <c r="B14" s="160">
        <v>11927</v>
      </c>
      <c r="C14" s="22"/>
      <c r="D14" s="22"/>
      <c r="E14" s="20"/>
      <c r="F14" s="22"/>
      <c r="G14" s="22"/>
      <c r="H14" s="20"/>
      <c r="I14" s="22"/>
      <c r="J14" s="20"/>
      <c r="K14" s="20"/>
      <c r="L14" s="22"/>
      <c r="M14" s="22"/>
      <c r="N14" s="22"/>
      <c r="O14" s="22"/>
      <c r="P14" s="22"/>
      <c r="Q14" s="22"/>
      <c r="R14" s="20"/>
      <c r="S14" s="22"/>
      <c r="T14" s="22"/>
      <c r="U14" s="22"/>
      <c r="V14" s="22"/>
      <c r="W14" s="22"/>
      <c r="X14" s="22"/>
      <c r="Y14" s="20"/>
      <c r="Z14" s="20"/>
      <c r="AA14" s="22"/>
      <c r="AB14" s="22"/>
      <c r="AD14" s="23"/>
      <c r="AE14" s="22"/>
      <c r="AF14" s="22"/>
      <c r="AG14" s="22"/>
      <c r="AH14" s="22"/>
      <c r="AI14" s="22"/>
      <c r="AK14" s="22"/>
      <c r="AL14" s="22"/>
    </row>
    <row r="15" spans="1:40" ht="15.75" thickBot="1">
      <c r="A15" s="160">
        <v>11925</v>
      </c>
      <c r="B15" s="160">
        <v>11928</v>
      </c>
      <c r="C15" s="22"/>
      <c r="D15" s="22"/>
      <c r="E15" s="20"/>
      <c r="F15" s="22"/>
      <c r="G15" s="22"/>
      <c r="H15" s="20"/>
      <c r="I15" s="22"/>
      <c r="J15" s="20"/>
      <c r="K15" s="20"/>
      <c r="L15" s="22"/>
      <c r="M15" s="22"/>
      <c r="N15" s="22"/>
      <c r="O15" s="22"/>
      <c r="P15" s="22"/>
      <c r="Q15" s="22"/>
      <c r="R15" s="20"/>
      <c r="S15" s="22"/>
      <c r="T15" s="22"/>
      <c r="U15" s="22"/>
      <c r="V15" s="22"/>
      <c r="W15" s="22"/>
      <c r="X15" s="22"/>
      <c r="Y15" s="20"/>
      <c r="Z15" s="20"/>
      <c r="AA15" s="22"/>
      <c r="AB15" s="22"/>
      <c r="AD15" s="23"/>
      <c r="AE15" s="22"/>
      <c r="AF15" s="22"/>
      <c r="AG15" s="22"/>
      <c r="AH15" s="22"/>
      <c r="AI15" s="22"/>
      <c r="AK15" s="22"/>
      <c r="AL15" s="22"/>
    </row>
    <row r="16" spans="1:40" ht="15.75" thickBot="1">
      <c r="A16" s="160">
        <v>11925</v>
      </c>
      <c r="B16" s="160">
        <v>11929</v>
      </c>
      <c r="C16" s="22"/>
      <c r="D16" s="22"/>
      <c r="E16" s="20"/>
      <c r="F16" s="22"/>
      <c r="G16" s="22"/>
      <c r="H16" s="20"/>
      <c r="I16" s="22"/>
      <c r="J16" s="20"/>
      <c r="K16" s="20"/>
      <c r="L16" s="22"/>
      <c r="M16" s="22"/>
      <c r="N16" s="22"/>
      <c r="O16" s="22"/>
      <c r="P16" s="22"/>
      <c r="Q16" s="22"/>
      <c r="R16" s="20"/>
      <c r="S16" s="22"/>
      <c r="T16" s="22"/>
      <c r="U16" s="22"/>
      <c r="V16" s="22"/>
      <c r="W16" s="22"/>
      <c r="X16" s="22"/>
      <c r="Y16" s="20"/>
      <c r="Z16" s="20"/>
      <c r="AA16" s="22"/>
      <c r="AB16" s="22"/>
      <c r="AD16" s="23"/>
      <c r="AE16" s="22"/>
      <c r="AF16" s="22"/>
      <c r="AG16" s="22"/>
      <c r="AH16" s="22"/>
      <c r="AI16" s="22"/>
      <c r="AK16" s="22"/>
      <c r="AL16" s="22"/>
    </row>
    <row r="17" spans="1:38" ht="15.75" thickBot="1">
      <c r="A17" s="160">
        <v>11925</v>
      </c>
      <c r="B17" s="160">
        <v>11930</v>
      </c>
      <c r="C17" s="22"/>
      <c r="D17" s="22"/>
      <c r="E17" s="20"/>
      <c r="F17" s="22"/>
      <c r="G17" s="22"/>
      <c r="H17" s="20"/>
      <c r="I17" s="22"/>
      <c r="J17" s="20"/>
      <c r="K17" s="20"/>
      <c r="L17" s="22"/>
      <c r="M17" s="22"/>
      <c r="N17" s="22"/>
      <c r="O17" s="22"/>
      <c r="P17" s="22"/>
      <c r="Q17" s="22"/>
      <c r="R17" s="20"/>
      <c r="S17" s="22"/>
      <c r="T17" s="22"/>
      <c r="U17" s="22"/>
      <c r="V17" s="22"/>
      <c r="W17" s="22"/>
      <c r="X17" s="22"/>
      <c r="Y17" s="20"/>
      <c r="Z17" s="20"/>
      <c r="AA17" s="22"/>
      <c r="AB17" s="22"/>
      <c r="AD17" s="23"/>
      <c r="AE17" s="22"/>
      <c r="AF17" s="22"/>
      <c r="AG17" s="22"/>
      <c r="AH17" s="22"/>
      <c r="AI17" s="22"/>
      <c r="AK17" s="22"/>
      <c r="AL17" s="22"/>
    </row>
    <row r="18" spans="1:38" ht="15.75" thickBot="1">
      <c r="A18" s="160">
        <v>11925</v>
      </c>
      <c r="B18" s="160">
        <v>11931</v>
      </c>
      <c r="C18" s="22"/>
      <c r="D18" s="22"/>
      <c r="E18" s="20"/>
      <c r="F18" s="22"/>
      <c r="G18" s="22"/>
      <c r="H18" s="20"/>
      <c r="I18" s="22"/>
      <c r="J18" s="20"/>
      <c r="K18" s="20"/>
      <c r="L18" s="22"/>
      <c r="M18" s="22"/>
      <c r="N18" s="22"/>
      <c r="O18" s="22"/>
      <c r="P18" s="22"/>
      <c r="Q18" s="22"/>
      <c r="R18" s="20"/>
      <c r="S18" s="22"/>
      <c r="T18" s="22"/>
      <c r="U18" s="22"/>
      <c r="V18" s="22"/>
      <c r="W18" s="22"/>
      <c r="X18" s="22"/>
      <c r="Y18" s="20"/>
      <c r="Z18" s="20"/>
      <c r="AA18" s="22"/>
      <c r="AB18" s="22"/>
      <c r="AD18" s="23"/>
      <c r="AE18" s="22"/>
      <c r="AF18" s="22"/>
      <c r="AG18" s="22"/>
      <c r="AH18" s="22"/>
      <c r="AI18" s="22"/>
      <c r="AK18" s="22"/>
      <c r="AL18" s="22"/>
    </row>
    <row r="19" spans="1:38" ht="15.75" thickBot="1">
      <c r="A19" s="160">
        <v>11925</v>
      </c>
      <c r="B19" s="160">
        <v>11932</v>
      </c>
      <c r="C19" s="22"/>
      <c r="D19" s="22"/>
      <c r="E19" s="20"/>
      <c r="F19" s="22"/>
      <c r="G19" s="22"/>
      <c r="H19" s="20"/>
      <c r="I19" s="22"/>
      <c r="J19" s="20"/>
      <c r="K19" s="20"/>
      <c r="L19" s="22"/>
      <c r="M19" s="22"/>
      <c r="N19" s="22"/>
      <c r="O19" s="22"/>
      <c r="P19" s="22"/>
      <c r="Q19" s="22"/>
      <c r="R19" s="20"/>
      <c r="S19" s="22"/>
      <c r="T19" s="22"/>
      <c r="U19" s="22"/>
      <c r="V19" s="22"/>
      <c r="W19" s="22"/>
      <c r="X19" s="22"/>
      <c r="Y19" s="20"/>
      <c r="Z19" s="20"/>
      <c r="AA19" s="22"/>
      <c r="AB19" s="22"/>
      <c r="AD19" s="23"/>
      <c r="AE19" s="22"/>
      <c r="AF19" s="22"/>
      <c r="AG19" s="22"/>
      <c r="AH19" s="22"/>
      <c r="AI19" s="22"/>
      <c r="AK19" s="22"/>
      <c r="AL19" s="22"/>
    </row>
    <row r="20" spans="1:38" ht="15.75" thickBot="1">
      <c r="A20" s="160">
        <v>11925</v>
      </c>
      <c r="B20" s="160">
        <v>11933</v>
      </c>
      <c r="E20" s="20"/>
      <c r="H20" s="20"/>
      <c r="I20" s="22"/>
      <c r="J20" s="20"/>
      <c r="K20" s="20"/>
      <c r="L20" s="22"/>
      <c r="M20" s="22"/>
      <c r="P20" s="22"/>
      <c r="Q20" s="22"/>
      <c r="T20" s="22"/>
      <c r="U20" s="22"/>
      <c r="Y20" s="20"/>
      <c r="Z20" s="20"/>
      <c r="AA20" s="22"/>
      <c r="AB20" s="22"/>
      <c r="AL20" s="22"/>
    </row>
    <row r="21" spans="1:38" ht="15.75" thickBot="1">
      <c r="A21" s="160">
        <v>11925</v>
      </c>
      <c r="B21" s="160">
        <v>11934</v>
      </c>
      <c r="E21"/>
      <c r="L21"/>
      <c r="Y21" s="47"/>
      <c r="Z21"/>
      <c r="AL21" s="2"/>
    </row>
    <row r="22" spans="1:38" ht="15.75" thickBot="1">
      <c r="A22" s="160">
        <v>11925</v>
      </c>
      <c r="B22" s="160">
        <v>11935</v>
      </c>
      <c r="T22" s="2"/>
      <c r="U22" s="2"/>
      <c r="AL22" s="2"/>
    </row>
    <row r="23" spans="1:38" ht="15.75" thickBot="1">
      <c r="A23" s="160">
        <v>11925</v>
      </c>
      <c r="B23" s="160">
        <v>11936</v>
      </c>
      <c r="T23" s="2"/>
      <c r="U23" s="2"/>
    </row>
    <row r="24" spans="1:38" ht="15.75" thickBot="1">
      <c r="A24" s="160">
        <v>11925</v>
      </c>
      <c r="B24" s="160">
        <v>11937</v>
      </c>
      <c r="T24" s="2"/>
      <c r="U24" s="2"/>
    </row>
    <row r="25" spans="1:38" ht="15.75" thickBot="1">
      <c r="A25" s="160">
        <v>11939</v>
      </c>
      <c r="B25" s="160">
        <v>11942</v>
      </c>
    </row>
    <row r="26" spans="1:38" ht="15.75" thickBot="1">
      <c r="A26" s="160">
        <v>11939</v>
      </c>
      <c r="B26" s="160">
        <v>11943</v>
      </c>
    </row>
    <row r="27" spans="1:38" ht="15.75" thickBot="1">
      <c r="A27" s="160">
        <v>11939</v>
      </c>
      <c r="B27" s="160">
        <v>11944</v>
      </c>
    </row>
    <row r="28" spans="1:38" ht="15.75" thickBot="1">
      <c r="A28" s="160">
        <v>11939</v>
      </c>
      <c r="B28" s="160">
        <v>11945</v>
      </c>
    </row>
    <row r="29" spans="1:38" ht="15.75" thickBot="1">
      <c r="A29" s="160">
        <v>11939</v>
      </c>
      <c r="B29" s="160">
        <v>11946</v>
      </c>
    </row>
    <row r="30" spans="1:38" ht="15.75" thickBot="1">
      <c r="A30" s="160">
        <v>11939</v>
      </c>
      <c r="B30" s="160">
        <v>11947</v>
      </c>
    </row>
    <row r="31" spans="1:38" ht="15.75" thickBot="1">
      <c r="A31" s="160">
        <v>11939</v>
      </c>
      <c r="B31" s="160">
        <v>11948</v>
      </c>
    </row>
    <row r="32" spans="1:38" ht="15.75" thickBot="1">
      <c r="A32" s="160">
        <v>11939</v>
      </c>
      <c r="B32" s="160">
        <v>11949</v>
      </c>
    </row>
    <row r="33" spans="1:2" ht="15.75" thickBot="1">
      <c r="A33" s="160">
        <v>11939</v>
      </c>
      <c r="B33" s="160">
        <v>11950</v>
      </c>
    </row>
    <row r="34" spans="1:2" ht="15.75" thickBot="1">
      <c r="A34" s="160">
        <v>11939</v>
      </c>
      <c r="B34" s="160">
        <v>11979</v>
      </c>
    </row>
    <row r="35" spans="1:2" ht="15.75" thickBot="1">
      <c r="A35" s="160">
        <v>11939</v>
      </c>
      <c r="B35" s="160">
        <v>11980</v>
      </c>
    </row>
    <row r="36" spans="1:2" ht="15.75" thickBot="1">
      <c r="A36" s="160">
        <v>11939</v>
      </c>
      <c r="B36" s="160">
        <v>11981</v>
      </c>
    </row>
    <row r="37" spans="1:2" ht="15.75" thickBot="1">
      <c r="A37" s="160">
        <v>11342</v>
      </c>
      <c r="B37" s="160">
        <v>11343</v>
      </c>
    </row>
    <row r="38" spans="1:2" ht="15.75" thickBot="1">
      <c r="A38" s="160">
        <v>11342</v>
      </c>
      <c r="B38" s="160">
        <v>11344</v>
      </c>
    </row>
    <row r="39" spans="1:2" ht="15.75" thickBot="1">
      <c r="A39" s="160">
        <v>11342</v>
      </c>
      <c r="B39" s="160">
        <v>11345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6">
    <dataValidation type="list" allowBlank="1" showInputMessage="1" showErrorMessage="1" sqref="J2:J20" xr:uid="{00000000-0002-0000-1000-000000000000}">
      <formula1>israel_abroad</formula1>
    </dataValidation>
    <dataValidation type="list" allowBlank="1" showInputMessage="1" showErrorMessage="1" sqref="Q2:Q20" xr:uid="{00000000-0002-0000-1000-000001000000}">
      <formula1>What_is_rated</formula1>
    </dataValidation>
    <dataValidation type="list" allowBlank="1" showInputMessage="1" showErrorMessage="1" sqref="P2:P20" xr:uid="{00000000-0002-0000-1000-000002000000}">
      <formula1>Rating_Agency</formula1>
    </dataValidation>
    <dataValidation type="list" allowBlank="1" showInputMessage="1" showErrorMessage="1" sqref="M2:M20" xr:uid="{00000000-0002-0000-1000-000003000000}">
      <formula1>Holding_interest</formula1>
    </dataValidation>
    <dataValidation type="list" allowBlank="1" showInputMessage="1" showErrorMessage="1" sqref="K2:K20" xr:uid="{00000000-0002-0000-1000-000004000000}">
      <formula1>Country_list</formula1>
    </dataValidation>
    <dataValidation type="list" allowBlank="1" showInputMessage="1" showErrorMessage="1" sqref="AF3 AA2:AA20" xr:uid="{00000000-0002-0000-1000-000005000000}">
      <formula1>Valuation</formula1>
    </dataValidation>
    <dataValidation type="list" allowBlank="1" showInputMessage="1" showErrorMessage="1" sqref="AB2:AB20" xr:uid="{00000000-0002-0000-1000-000006000000}">
      <formula1>Dependence_Independence</formula1>
    </dataValidation>
    <dataValidation type="list" allowBlank="1" showInputMessage="1" showErrorMessage="1" sqref="U2:U20" xr:uid="{00000000-0002-0000-1000-000007000000}">
      <formula1>Underlying_Interest_Rates</formula1>
    </dataValidation>
    <dataValidation type="list" allowBlank="1" showInputMessage="1" showErrorMessage="1" sqref="T2:T20" xr:uid="{00000000-0002-0000-1000-000008000000}">
      <formula1>Linked_Type</formula1>
    </dataValidation>
    <dataValidation type="list" allowBlank="1" showInputMessage="1" showErrorMessage="1" sqref="Z2:Z20" xr:uid="{00000000-0002-0000-1000-000009000000}">
      <formula1>Yes_No_Bad_Debt</formula1>
    </dataValidation>
    <dataValidation type="list" allowBlank="1" showInputMessage="1" showErrorMessage="1" sqref="E3:E20" xr:uid="{00000000-0002-0000-1000-00000A000000}">
      <formula1>Issuer_Number_Type_2</formula1>
    </dataValidation>
    <dataValidation type="list" allowBlank="1" showInputMessage="1" showErrorMessage="1" sqref="H2:H20" xr:uid="{00000000-0002-0000-1000-00000B000000}">
      <formula1>Type_of_Security_ID_Fund</formula1>
    </dataValidation>
    <dataValidation type="list" allowBlank="1" showInputMessage="1" showErrorMessage="1" sqref="E2" xr:uid="{00000000-0002-0000-1000-00000C000000}">
      <formula1>Issuer_Number_Type_3</formula1>
    </dataValidation>
    <dataValidation type="list" allowBlank="1" showInputMessage="1" showErrorMessage="1" sqref="Y2:Y20" xr:uid="{00000000-0002-0000-1000-00000D000000}">
      <formula1>Subordination_Risk</formula1>
    </dataValidation>
    <dataValidation type="list" allowBlank="1" showInputMessage="1" showErrorMessage="1" sqref="AL2:AL20" xr:uid="{00000000-0002-0000-1000-00000E000000}">
      <formula1>In_the_books</formula1>
    </dataValidation>
    <dataValidation type="list" allowBlank="1" showInputMessage="1" showErrorMessage="1" sqref="L2:L20" xr:uid="{00000000-0002-0000-1000-00000F000000}">
      <formula1>Industry_Sector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10000000}">
          <x14:formula1>
            <xm:f>'אפשרויות בחירה'!$C$870:$C$873</xm:f>
          </x14:formula1>
          <xm:sqref>I2:I20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AL39"/>
  <sheetViews>
    <sheetView rightToLeft="1" workbookViewId="0">
      <selection activeCell="A2" sqref="A2:B39"/>
    </sheetView>
  </sheetViews>
  <sheetFormatPr defaultColWidth="9" defaultRowHeight="15"/>
  <cols>
    <col min="1" max="4" width="11.5703125" style="2" customWidth="1"/>
    <col min="5" max="5" width="11.5703125" style="4" customWidth="1"/>
    <col min="6" max="11" width="11.5703125" style="2" customWidth="1"/>
    <col min="12" max="12" width="11.5703125" style="4" customWidth="1"/>
    <col min="13" max="23" width="11.5703125" style="2" customWidth="1"/>
    <col min="24" max="24" width="11.5703125" style="4"/>
    <col min="25" max="25" width="11.5703125" style="4" customWidth="1"/>
    <col min="26" max="38" width="11.5703125" style="2" customWidth="1"/>
    <col min="39" max="16384" width="9" style="2"/>
  </cols>
  <sheetData>
    <row r="1" spans="1:38" ht="66.75" customHeight="1">
      <c r="A1" s="21" t="s">
        <v>667</v>
      </c>
      <c r="B1" s="21" t="s">
        <v>0</v>
      </c>
      <c r="C1" s="21" t="s">
        <v>740</v>
      </c>
      <c r="D1" s="21" t="s">
        <v>2</v>
      </c>
      <c r="E1" s="21" t="s">
        <v>756</v>
      </c>
      <c r="F1" s="21" t="s">
        <v>1163</v>
      </c>
      <c r="G1" s="21" t="s">
        <v>29</v>
      </c>
      <c r="H1" s="21" t="s">
        <v>28</v>
      </c>
      <c r="I1" s="21" t="s">
        <v>1</v>
      </c>
      <c r="J1" s="21" t="s">
        <v>620</v>
      </c>
      <c r="K1" s="21" t="s">
        <v>621</v>
      </c>
      <c r="L1" s="21" t="s">
        <v>625</v>
      </c>
      <c r="M1" s="21" t="s">
        <v>9</v>
      </c>
      <c r="N1" s="21" t="s">
        <v>622</v>
      </c>
      <c r="O1" s="21" t="s">
        <v>12</v>
      </c>
      <c r="P1" s="21" t="s">
        <v>6</v>
      </c>
      <c r="Q1" s="21" t="s">
        <v>8</v>
      </c>
      <c r="R1" s="21" t="s">
        <v>1164</v>
      </c>
      <c r="S1" s="21" t="s">
        <v>396</v>
      </c>
      <c r="T1" s="21" t="s">
        <v>13</v>
      </c>
      <c r="U1" s="21" t="s">
        <v>421</v>
      </c>
      <c r="V1" s="21" t="s">
        <v>637</v>
      </c>
      <c r="W1" s="21" t="s">
        <v>14</v>
      </c>
      <c r="X1" s="21" t="s">
        <v>942</v>
      </c>
      <c r="Y1" s="21" t="s">
        <v>685</v>
      </c>
      <c r="Z1" s="21" t="s">
        <v>933</v>
      </c>
      <c r="AA1" s="21" t="s">
        <v>372</v>
      </c>
      <c r="AB1" s="21" t="s">
        <v>16</v>
      </c>
      <c r="AC1" s="21" t="s">
        <v>1165</v>
      </c>
      <c r="AD1" s="21" t="s">
        <v>789</v>
      </c>
      <c r="AE1" s="21" t="s">
        <v>11</v>
      </c>
      <c r="AF1" s="21" t="s">
        <v>15</v>
      </c>
      <c r="AG1" s="21" t="s">
        <v>1171</v>
      </c>
      <c r="AH1" s="21" t="s">
        <v>1172</v>
      </c>
      <c r="AI1" s="21" t="s">
        <v>804</v>
      </c>
      <c r="AJ1" s="21" t="s">
        <v>26</v>
      </c>
      <c r="AK1" s="21" t="s">
        <v>19</v>
      </c>
      <c r="AL1" s="21" t="s">
        <v>30</v>
      </c>
    </row>
    <row r="2" spans="1:38" ht="15.75" thickBot="1">
      <c r="A2" s="160">
        <v>7891</v>
      </c>
      <c r="B2" s="160">
        <v>7892</v>
      </c>
      <c r="C2" s="22"/>
      <c r="D2" s="22"/>
      <c r="E2" s="20"/>
      <c r="F2" s="22"/>
      <c r="G2" s="22"/>
      <c r="H2" s="22"/>
      <c r="I2" s="22"/>
      <c r="J2" s="20"/>
      <c r="K2" s="20"/>
      <c r="L2" s="22"/>
      <c r="M2" s="22"/>
      <c r="N2" s="22"/>
      <c r="O2" s="22"/>
      <c r="P2" s="22"/>
      <c r="Q2" s="22"/>
      <c r="R2" s="22"/>
      <c r="S2" s="20"/>
      <c r="T2" s="22"/>
      <c r="U2" s="22"/>
      <c r="V2" s="22"/>
      <c r="W2"/>
      <c r="X2" s="20"/>
      <c r="Y2" s="33"/>
      <c r="Z2" s="22"/>
      <c r="AA2" s="22"/>
      <c r="AC2" s="22"/>
      <c r="AD2" s="22"/>
      <c r="AE2" s="22"/>
      <c r="AF2" s="22"/>
      <c r="AG2" s="22"/>
      <c r="AH2" s="22"/>
      <c r="AI2" s="42"/>
      <c r="AJ2" s="23"/>
    </row>
    <row r="3" spans="1:38" ht="15.75" thickBot="1">
      <c r="A3" s="160">
        <v>7891</v>
      </c>
      <c r="B3" s="160">
        <v>7893</v>
      </c>
      <c r="C3" s="22"/>
      <c r="D3" s="22"/>
      <c r="E3" s="20"/>
      <c r="F3" s="22"/>
      <c r="G3" s="22"/>
      <c r="H3" s="22"/>
      <c r="I3" s="22"/>
      <c r="J3" s="20"/>
      <c r="K3" s="20"/>
      <c r="L3" s="22"/>
      <c r="M3" s="22"/>
      <c r="N3" s="22"/>
      <c r="O3" s="22"/>
      <c r="P3" s="22"/>
      <c r="Q3" s="22"/>
      <c r="R3" s="22"/>
      <c r="S3" s="20"/>
      <c r="T3" s="22"/>
      <c r="U3" s="22"/>
      <c r="V3" s="22"/>
      <c r="W3"/>
      <c r="X3" s="20"/>
      <c r="Y3" s="20"/>
      <c r="Z3" s="22"/>
      <c r="AA3" s="22"/>
      <c r="AC3" s="22"/>
      <c r="AD3" s="22"/>
      <c r="AE3" s="22"/>
      <c r="AF3" s="22"/>
      <c r="AG3" s="22"/>
      <c r="AH3" s="22"/>
      <c r="AI3" s="22"/>
      <c r="AJ3" s="23"/>
    </row>
    <row r="4" spans="1:38" ht="15.75" thickBot="1">
      <c r="A4" s="160">
        <v>7891</v>
      </c>
      <c r="B4" s="160">
        <v>7894</v>
      </c>
      <c r="C4" s="22"/>
      <c r="D4" s="22"/>
      <c r="E4" s="20"/>
      <c r="F4" s="22"/>
      <c r="G4" s="22"/>
      <c r="H4" s="22"/>
      <c r="I4" s="22"/>
      <c r="J4" s="20"/>
      <c r="K4" s="20"/>
      <c r="L4" s="22"/>
      <c r="M4" s="22"/>
      <c r="N4" s="22"/>
      <c r="P4" s="22"/>
      <c r="Q4" s="22"/>
      <c r="R4" s="22"/>
      <c r="S4" s="22"/>
      <c r="T4" s="22"/>
      <c r="U4" s="22"/>
      <c r="V4" s="22"/>
      <c r="W4"/>
      <c r="X4" s="20"/>
      <c r="Y4" s="20"/>
      <c r="Z4" s="22"/>
      <c r="AA4" s="22"/>
      <c r="AE4" s="22"/>
      <c r="AF4" s="22"/>
      <c r="AG4" s="22"/>
      <c r="AH4" s="22"/>
      <c r="AI4" s="22"/>
      <c r="AJ4" s="23"/>
    </row>
    <row r="5" spans="1:38" ht="15.75" thickBot="1">
      <c r="A5" s="160">
        <v>7891</v>
      </c>
      <c r="B5" s="160">
        <v>7895</v>
      </c>
      <c r="C5" s="22"/>
      <c r="D5" s="22"/>
      <c r="E5" s="20"/>
      <c r="F5" s="22"/>
      <c r="G5" s="22"/>
      <c r="H5" s="22"/>
      <c r="I5" s="22"/>
      <c r="J5" s="20"/>
      <c r="K5" s="20"/>
      <c r="L5" s="22"/>
      <c r="M5" s="22"/>
      <c r="N5" s="22"/>
      <c r="O5" s="22"/>
      <c r="P5" s="22"/>
      <c r="Q5" s="22"/>
      <c r="R5" s="22"/>
      <c r="S5" s="20"/>
      <c r="T5" s="22"/>
      <c r="U5" s="22"/>
      <c r="V5" s="22"/>
      <c r="W5"/>
      <c r="X5" s="20"/>
      <c r="Y5" s="20"/>
      <c r="Z5" s="22"/>
      <c r="AA5" s="22"/>
      <c r="AC5" s="22"/>
      <c r="AD5" s="22"/>
      <c r="AE5" s="22"/>
      <c r="AF5" s="22"/>
      <c r="AG5"/>
      <c r="AH5"/>
      <c r="AI5"/>
      <c r="AJ5" s="23"/>
    </row>
    <row r="6" spans="1:38" ht="15.75" thickBot="1">
      <c r="A6" s="160">
        <v>7891</v>
      </c>
      <c r="B6" s="160">
        <v>7896</v>
      </c>
      <c r="C6" s="22"/>
      <c r="D6" s="22"/>
      <c r="E6" s="20"/>
      <c r="F6" s="22"/>
      <c r="G6" s="22"/>
      <c r="H6" s="22"/>
      <c r="I6" s="22"/>
      <c r="J6" s="20"/>
      <c r="K6" s="20"/>
      <c r="L6" s="22"/>
      <c r="M6" s="22"/>
      <c r="N6" s="22"/>
      <c r="O6" s="22"/>
      <c r="P6" s="22"/>
      <c r="Q6" s="22"/>
      <c r="R6" s="22"/>
      <c r="S6" s="20"/>
      <c r="T6" s="22"/>
      <c r="U6" s="22"/>
      <c r="V6" s="22"/>
      <c r="W6"/>
      <c r="X6" s="20"/>
      <c r="Y6" s="20"/>
      <c r="Z6" s="22"/>
      <c r="AA6" s="22"/>
      <c r="AC6" s="22"/>
      <c r="AD6" s="22"/>
      <c r="AE6" s="22"/>
      <c r="AF6" s="22"/>
      <c r="AG6"/>
      <c r="AH6"/>
      <c r="AI6"/>
      <c r="AJ6" s="23"/>
    </row>
    <row r="7" spans="1:38" ht="15.75" thickBot="1">
      <c r="A7" s="160">
        <v>7891</v>
      </c>
      <c r="B7" s="160">
        <v>7897</v>
      </c>
      <c r="C7" s="22"/>
      <c r="D7" s="22"/>
      <c r="E7" s="20"/>
      <c r="F7" s="22"/>
      <c r="G7" s="22"/>
      <c r="H7" s="22"/>
      <c r="I7" s="22"/>
      <c r="J7" s="20"/>
      <c r="K7" s="20"/>
      <c r="L7" s="22"/>
      <c r="M7" s="22"/>
      <c r="N7" s="22"/>
      <c r="O7" s="22"/>
      <c r="P7" s="22"/>
      <c r="Q7" s="22"/>
      <c r="R7" s="22"/>
      <c r="S7" s="20"/>
      <c r="T7" s="22"/>
      <c r="U7" s="22"/>
      <c r="V7" s="22"/>
      <c r="W7"/>
      <c r="X7" s="20"/>
      <c r="Y7" s="20"/>
      <c r="Z7" s="22"/>
      <c r="AA7" s="22"/>
      <c r="AC7" s="22"/>
      <c r="AD7" s="22"/>
      <c r="AE7" s="22"/>
      <c r="AF7" s="22"/>
      <c r="AG7" s="22"/>
      <c r="AH7" s="22"/>
      <c r="AI7" s="22"/>
      <c r="AJ7" s="23"/>
    </row>
    <row r="8" spans="1:38" ht="15.75" thickBot="1">
      <c r="A8" s="160">
        <v>7891</v>
      </c>
      <c r="B8" s="160">
        <v>7898</v>
      </c>
      <c r="C8" s="22"/>
      <c r="D8" s="22"/>
      <c r="E8" s="20"/>
      <c r="F8" s="22"/>
      <c r="G8" s="22"/>
      <c r="H8" s="22"/>
      <c r="I8" s="22"/>
      <c r="J8" s="20"/>
      <c r="K8" s="20"/>
      <c r="L8" s="22"/>
      <c r="M8" s="22"/>
      <c r="N8" s="22"/>
      <c r="O8" s="22"/>
      <c r="P8" s="22"/>
      <c r="Q8" s="22"/>
      <c r="R8" s="22"/>
      <c r="S8" s="20"/>
      <c r="T8" s="22"/>
      <c r="U8" s="22"/>
      <c r="V8" s="22"/>
      <c r="W8"/>
      <c r="X8" s="20"/>
      <c r="Y8" s="20"/>
      <c r="Z8" s="22"/>
      <c r="AA8" s="22"/>
      <c r="AC8" s="22"/>
      <c r="AD8" s="22"/>
      <c r="AE8" s="22"/>
      <c r="AF8" s="22"/>
      <c r="AG8" s="22"/>
      <c r="AH8" s="22"/>
      <c r="AI8" s="22"/>
      <c r="AJ8" s="23"/>
    </row>
    <row r="9" spans="1:38" ht="15.75" thickBot="1">
      <c r="A9" s="160">
        <v>7891</v>
      </c>
      <c r="B9" s="160">
        <v>7899</v>
      </c>
      <c r="C9" s="22"/>
      <c r="D9" s="22"/>
      <c r="E9" s="20"/>
      <c r="F9" s="22"/>
      <c r="G9" s="22"/>
      <c r="H9" s="22"/>
      <c r="I9" s="22"/>
      <c r="J9" s="20"/>
      <c r="K9" s="20"/>
      <c r="L9" s="22"/>
      <c r="M9" s="22"/>
      <c r="N9" s="22"/>
      <c r="O9" s="22"/>
      <c r="P9" s="22"/>
      <c r="Q9" s="22"/>
      <c r="R9" s="22"/>
      <c r="S9" s="20"/>
      <c r="T9" s="22"/>
      <c r="U9" s="22"/>
      <c r="V9" s="22"/>
      <c r="W9"/>
      <c r="X9" s="20"/>
      <c r="Y9" s="20"/>
      <c r="Z9" s="22"/>
      <c r="AA9" s="22"/>
      <c r="AC9" s="22"/>
      <c r="AD9" s="22"/>
      <c r="AE9" s="22"/>
      <c r="AF9" s="22"/>
      <c r="AG9" s="22"/>
      <c r="AH9" s="22"/>
      <c r="AI9" s="22"/>
      <c r="AJ9" s="23"/>
    </row>
    <row r="10" spans="1:38" ht="15.75" thickBot="1">
      <c r="A10" s="160">
        <v>7891</v>
      </c>
      <c r="B10" s="160">
        <v>7900</v>
      </c>
      <c r="C10" s="22"/>
      <c r="D10" s="22"/>
      <c r="E10" s="20"/>
      <c r="F10" s="22"/>
      <c r="G10" s="22"/>
      <c r="H10" s="22"/>
      <c r="I10" s="22"/>
      <c r="J10" s="20"/>
      <c r="K10" s="20"/>
      <c r="L10" s="22"/>
      <c r="M10" s="22"/>
      <c r="N10" s="22"/>
      <c r="O10" s="22"/>
      <c r="P10" s="22"/>
      <c r="Q10" s="22"/>
      <c r="R10" s="22"/>
      <c r="S10" s="20"/>
      <c r="T10" s="22"/>
      <c r="U10" s="22"/>
      <c r="V10" s="22"/>
      <c r="W10"/>
      <c r="X10" s="20"/>
      <c r="Y10" s="20"/>
      <c r="Z10" s="22"/>
      <c r="AA10" s="22"/>
      <c r="AC10" s="22"/>
      <c r="AD10" s="22"/>
      <c r="AE10" s="22"/>
      <c r="AF10" s="22"/>
      <c r="AG10" s="22"/>
      <c r="AH10" s="22"/>
      <c r="AI10" s="22"/>
      <c r="AJ10" s="23"/>
    </row>
    <row r="11" spans="1:38" ht="15.75" thickBot="1">
      <c r="A11" s="160">
        <v>7891</v>
      </c>
      <c r="B11" s="160">
        <v>7901</v>
      </c>
      <c r="C11" s="22"/>
      <c r="D11" s="22"/>
      <c r="E11" s="20"/>
      <c r="F11" s="22"/>
      <c r="G11" s="22"/>
      <c r="H11" s="22"/>
      <c r="I11" s="22"/>
      <c r="J11" s="20"/>
      <c r="K11" s="20"/>
      <c r="L11" s="22"/>
      <c r="M11" s="22"/>
      <c r="N11" s="22"/>
      <c r="O11" s="22"/>
      <c r="P11" s="22"/>
      <c r="Q11" s="22"/>
      <c r="R11" s="22"/>
      <c r="S11" s="20"/>
      <c r="T11" s="22"/>
      <c r="U11" s="22"/>
      <c r="V11" s="22"/>
      <c r="W11"/>
      <c r="X11" s="20"/>
      <c r="Y11" s="20"/>
      <c r="Z11" s="22"/>
      <c r="AA11" s="22"/>
      <c r="AC11" s="22"/>
      <c r="AD11" s="22"/>
      <c r="AE11" s="22"/>
      <c r="AF11" s="22"/>
      <c r="AG11" s="22"/>
      <c r="AH11" s="22"/>
      <c r="AI11" s="22"/>
      <c r="AJ11" s="23"/>
    </row>
    <row r="12" spans="1:38" ht="15.75" thickBot="1">
      <c r="A12" s="160">
        <v>7891</v>
      </c>
      <c r="B12" s="160">
        <v>7902</v>
      </c>
      <c r="C12" s="22"/>
      <c r="D12" s="22"/>
      <c r="E12" s="20"/>
      <c r="F12" s="22"/>
      <c r="G12" s="22"/>
      <c r="H12" s="22"/>
      <c r="I12" s="22"/>
      <c r="J12" s="20"/>
      <c r="K12" s="20"/>
      <c r="L12" s="22"/>
      <c r="M12" s="22"/>
      <c r="N12" s="22"/>
      <c r="O12" s="22"/>
      <c r="P12" s="22"/>
      <c r="Q12" s="22"/>
      <c r="R12" s="22"/>
      <c r="S12" s="20"/>
      <c r="T12" s="22"/>
      <c r="U12" s="22"/>
      <c r="V12" s="22"/>
      <c r="W12"/>
      <c r="X12" s="20"/>
      <c r="Y12" s="20"/>
      <c r="Z12" s="22"/>
      <c r="AA12" s="22"/>
      <c r="AC12" s="22"/>
      <c r="AD12" s="22"/>
      <c r="AE12" s="22"/>
      <c r="AF12" s="22"/>
      <c r="AG12" s="22"/>
      <c r="AH12" s="22"/>
      <c r="AI12" s="22"/>
      <c r="AJ12" s="23"/>
    </row>
    <row r="13" spans="1:38" ht="15.75" thickBot="1">
      <c r="A13" s="160">
        <v>11925</v>
      </c>
      <c r="B13" s="160">
        <v>11926</v>
      </c>
      <c r="C13" s="22"/>
      <c r="D13" s="22"/>
      <c r="E13" s="20"/>
      <c r="F13" s="22"/>
      <c r="G13" s="22"/>
      <c r="H13" s="22"/>
      <c r="I13" s="22"/>
      <c r="J13" s="20"/>
      <c r="K13" s="20"/>
      <c r="L13" s="22"/>
      <c r="M13" s="22"/>
      <c r="N13" s="22"/>
      <c r="O13" s="22"/>
      <c r="P13" s="22"/>
      <c r="Q13" s="22"/>
      <c r="R13" s="22"/>
      <c r="S13" s="20"/>
      <c r="T13" s="22"/>
      <c r="U13" s="22"/>
      <c r="V13" s="22"/>
      <c r="W13"/>
      <c r="X13" s="20"/>
      <c r="Y13" s="20"/>
      <c r="Z13" s="22"/>
      <c r="AA13" s="22"/>
      <c r="AC13" s="22"/>
      <c r="AD13" s="22"/>
      <c r="AE13" s="22"/>
      <c r="AF13" s="22"/>
      <c r="AG13" s="22"/>
      <c r="AH13" s="22"/>
      <c r="AI13" s="22"/>
      <c r="AJ13" s="23"/>
    </row>
    <row r="14" spans="1:38" ht="15.75" thickBot="1">
      <c r="A14" s="160">
        <v>11925</v>
      </c>
      <c r="B14" s="160">
        <v>11927</v>
      </c>
      <c r="C14" s="22"/>
      <c r="D14" s="22"/>
      <c r="E14" s="20"/>
      <c r="F14" s="22"/>
      <c r="G14" s="22"/>
      <c r="H14" s="22"/>
      <c r="I14" s="22"/>
      <c r="J14" s="20"/>
      <c r="K14" s="20"/>
      <c r="L14" s="22"/>
      <c r="M14" s="22"/>
      <c r="N14" s="22"/>
      <c r="O14" s="22"/>
      <c r="P14" s="22"/>
      <c r="Q14" s="22"/>
      <c r="R14" s="22"/>
      <c r="S14" s="20"/>
      <c r="T14" s="22"/>
      <c r="U14" s="22"/>
      <c r="V14" s="22"/>
      <c r="W14"/>
      <c r="X14" s="20"/>
      <c r="Y14" s="20"/>
      <c r="Z14" s="22"/>
      <c r="AA14" s="22"/>
      <c r="AC14" s="22"/>
      <c r="AD14" s="22"/>
      <c r="AE14" s="22"/>
      <c r="AF14" s="22"/>
      <c r="AG14" s="22"/>
      <c r="AH14" s="22"/>
      <c r="AI14" s="22"/>
      <c r="AJ14" s="23"/>
    </row>
    <row r="15" spans="1:38" ht="15.75" thickBot="1">
      <c r="A15" s="160">
        <v>11925</v>
      </c>
      <c r="B15" s="160">
        <v>11928</v>
      </c>
      <c r="C15" s="22"/>
      <c r="D15" s="22"/>
      <c r="E15" s="20"/>
      <c r="F15" s="22"/>
      <c r="G15" s="22"/>
      <c r="H15" s="22"/>
      <c r="I15" s="22"/>
      <c r="J15" s="20"/>
      <c r="K15" s="20"/>
      <c r="L15" s="22"/>
      <c r="M15" s="22"/>
      <c r="N15" s="22"/>
      <c r="O15" s="22"/>
      <c r="P15" s="22"/>
      <c r="Q15" s="22"/>
      <c r="R15" s="22"/>
      <c r="S15" s="20"/>
      <c r="T15" s="22"/>
      <c r="U15" s="22"/>
      <c r="V15" s="22"/>
      <c r="W15"/>
      <c r="X15" s="20"/>
      <c r="Y15" s="20"/>
      <c r="Z15" s="22"/>
      <c r="AA15" s="22"/>
      <c r="AC15" s="22"/>
      <c r="AD15" s="22"/>
      <c r="AE15" s="22"/>
      <c r="AF15" s="22"/>
      <c r="AG15" s="22"/>
      <c r="AH15" s="22"/>
      <c r="AI15" s="22"/>
      <c r="AJ15" s="23"/>
    </row>
    <row r="16" spans="1:38" ht="15.75" thickBot="1">
      <c r="A16" s="160">
        <v>11925</v>
      </c>
      <c r="B16" s="160">
        <v>11929</v>
      </c>
      <c r="C16" s="22"/>
      <c r="D16" s="22"/>
      <c r="E16" s="20"/>
      <c r="F16" s="22"/>
      <c r="G16" s="22"/>
      <c r="H16" s="22"/>
      <c r="I16" s="22"/>
      <c r="J16" s="20"/>
      <c r="K16" s="20"/>
      <c r="L16" s="22"/>
      <c r="M16" s="22"/>
      <c r="N16" s="22"/>
      <c r="O16" s="22"/>
      <c r="P16" s="22"/>
      <c r="Q16" s="22"/>
      <c r="R16" s="22"/>
      <c r="S16" s="20"/>
      <c r="T16" s="22"/>
      <c r="U16" s="22"/>
      <c r="V16" s="22"/>
      <c r="W16"/>
      <c r="X16" s="20"/>
      <c r="Y16" s="20"/>
      <c r="Z16" s="22"/>
      <c r="AA16" s="22"/>
      <c r="AC16" s="22"/>
      <c r="AD16" s="22"/>
      <c r="AE16" s="22"/>
      <c r="AF16" s="22"/>
      <c r="AG16" s="22"/>
      <c r="AH16" s="22"/>
      <c r="AI16" s="22"/>
      <c r="AJ16" s="23"/>
    </row>
    <row r="17" spans="1:36" ht="15.75" thickBot="1">
      <c r="A17" s="160">
        <v>11925</v>
      </c>
      <c r="B17" s="160">
        <v>11930</v>
      </c>
      <c r="C17" s="22"/>
      <c r="D17" s="22"/>
      <c r="E17" s="20"/>
      <c r="F17" s="22"/>
      <c r="G17" s="22"/>
      <c r="H17" s="22"/>
      <c r="I17" s="22"/>
      <c r="J17" s="20"/>
      <c r="K17" s="20"/>
      <c r="L17" s="22"/>
      <c r="M17" s="22"/>
      <c r="N17" s="22"/>
      <c r="O17" s="22"/>
      <c r="P17" s="22"/>
      <c r="Q17" s="22"/>
      <c r="R17" s="22"/>
      <c r="S17" s="20"/>
      <c r="T17" s="22"/>
      <c r="U17" s="22"/>
      <c r="V17" s="22"/>
      <c r="W17"/>
      <c r="X17" s="20"/>
      <c r="Y17" s="20"/>
      <c r="Z17" s="22"/>
      <c r="AA17" s="22"/>
      <c r="AC17" s="22"/>
      <c r="AD17" s="22"/>
      <c r="AE17" s="22"/>
      <c r="AF17" s="22"/>
      <c r="AG17" s="22"/>
      <c r="AH17" s="22"/>
      <c r="AI17" s="22"/>
      <c r="AJ17" s="23"/>
    </row>
    <row r="18" spans="1:36" ht="15.75" thickBot="1">
      <c r="A18" s="160">
        <v>11925</v>
      </c>
      <c r="B18" s="160">
        <v>11931</v>
      </c>
      <c r="C18" s="22"/>
      <c r="D18" s="22"/>
      <c r="E18" s="20"/>
      <c r="F18" s="22"/>
      <c r="G18" s="22"/>
      <c r="H18" s="22"/>
      <c r="I18" s="22"/>
      <c r="J18" s="20"/>
      <c r="K18" s="20"/>
      <c r="L18" s="22"/>
      <c r="M18" s="22"/>
      <c r="N18" s="22"/>
      <c r="O18" s="22"/>
      <c r="P18" s="22"/>
      <c r="Q18" s="22"/>
      <c r="R18" s="22"/>
      <c r="S18" s="20"/>
      <c r="T18" s="22"/>
      <c r="U18" s="22"/>
      <c r="V18" s="22"/>
      <c r="W18"/>
      <c r="X18" s="20"/>
      <c r="Y18" s="20"/>
      <c r="Z18" s="22"/>
      <c r="AA18" s="22"/>
      <c r="AC18" s="22"/>
      <c r="AD18" s="22"/>
      <c r="AE18" s="22"/>
      <c r="AF18" s="22"/>
      <c r="AG18" s="22"/>
      <c r="AH18" s="22"/>
      <c r="AI18" s="22"/>
      <c r="AJ18" s="23"/>
    </row>
    <row r="19" spans="1:36" ht="15.75" thickBot="1">
      <c r="A19" s="160">
        <v>11925</v>
      </c>
      <c r="B19" s="160">
        <v>11932</v>
      </c>
      <c r="C19" s="22"/>
      <c r="D19" s="22"/>
      <c r="E19" s="20"/>
      <c r="F19" s="22"/>
      <c r="G19" s="22"/>
      <c r="H19" s="22"/>
      <c r="I19" s="22"/>
      <c r="J19" s="20"/>
      <c r="K19" s="20"/>
      <c r="L19" s="22"/>
      <c r="M19" s="22"/>
      <c r="N19" s="22"/>
      <c r="O19" s="22"/>
      <c r="P19" s="22"/>
      <c r="Q19" s="22"/>
      <c r="R19" s="22"/>
      <c r="S19" s="20"/>
      <c r="T19" s="22"/>
      <c r="U19" s="22"/>
      <c r="V19" s="22"/>
      <c r="W19"/>
      <c r="X19" s="20"/>
      <c r="Y19" s="20"/>
      <c r="Z19" s="22"/>
      <c r="AA19" s="22"/>
      <c r="AC19" s="22"/>
      <c r="AD19" s="22"/>
      <c r="AE19" s="22"/>
      <c r="AF19" s="22"/>
      <c r="AG19" s="22"/>
      <c r="AH19" s="22"/>
      <c r="AI19" s="22"/>
      <c r="AJ19" s="23"/>
    </row>
    <row r="20" spans="1:36" ht="15.75" thickBot="1">
      <c r="A20" s="160">
        <v>11925</v>
      </c>
      <c r="B20" s="160">
        <v>11933</v>
      </c>
      <c r="E20" s="20"/>
      <c r="H20" s="22"/>
      <c r="I20" s="22"/>
      <c r="J20" s="20"/>
      <c r="K20" s="20"/>
      <c r="L20" s="22"/>
      <c r="M20" s="22"/>
      <c r="N20" s="22"/>
      <c r="Q20" s="22"/>
      <c r="R20" s="22"/>
      <c r="W20"/>
      <c r="X20" s="20"/>
      <c r="Y20" s="20"/>
      <c r="AA20" s="22"/>
      <c r="AJ20" s="23"/>
    </row>
    <row r="21" spans="1:36" customFormat="1" ht="15.75" thickBot="1">
      <c r="A21" s="160">
        <v>11925</v>
      </c>
      <c r="B21" s="160">
        <v>11934</v>
      </c>
      <c r="L21" s="44"/>
      <c r="X21" s="47"/>
    </row>
    <row r="22" spans="1:36" ht="15.75" thickBot="1">
      <c r="A22" s="160">
        <v>11925</v>
      </c>
      <c r="B22" s="160">
        <v>11935</v>
      </c>
      <c r="L22" s="2"/>
    </row>
    <row r="23" spans="1:36" ht="15.75" thickBot="1">
      <c r="A23" s="160">
        <v>11925</v>
      </c>
      <c r="B23" s="160">
        <v>11936</v>
      </c>
      <c r="L23" s="2"/>
    </row>
    <row r="24" spans="1:36" ht="15.75" thickBot="1">
      <c r="A24" s="160">
        <v>11925</v>
      </c>
      <c r="B24" s="160">
        <v>11937</v>
      </c>
      <c r="L24" s="2"/>
    </row>
    <row r="25" spans="1:36" ht="15.75" thickBot="1">
      <c r="A25" s="160">
        <v>11939</v>
      </c>
      <c r="B25" s="160">
        <v>11942</v>
      </c>
      <c r="L25" s="2"/>
    </row>
    <row r="26" spans="1:36" ht="15.75" thickBot="1">
      <c r="A26" s="160">
        <v>11939</v>
      </c>
      <c r="B26" s="160">
        <v>11943</v>
      </c>
    </row>
    <row r="27" spans="1:36" ht="15.75" thickBot="1">
      <c r="A27" s="160">
        <v>11939</v>
      </c>
      <c r="B27" s="160">
        <v>11944</v>
      </c>
    </row>
    <row r="28" spans="1:36" ht="15.75" thickBot="1">
      <c r="A28" s="160">
        <v>11939</v>
      </c>
      <c r="B28" s="160">
        <v>11945</v>
      </c>
    </row>
    <row r="29" spans="1:36" ht="15.75" thickBot="1">
      <c r="A29" s="160">
        <v>11939</v>
      </c>
      <c r="B29" s="160">
        <v>11946</v>
      </c>
    </row>
    <row r="30" spans="1:36" ht="15.75" thickBot="1">
      <c r="A30" s="160">
        <v>11939</v>
      </c>
      <c r="B30" s="160">
        <v>11947</v>
      </c>
    </row>
    <row r="31" spans="1:36" ht="15.75" thickBot="1">
      <c r="A31" s="160">
        <v>11939</v>
      </c>
      <c r="B31" s="160">
        <v>11948</v>
      </c>
    </row>
    <row r="32" spans="1:36" ht="15.75" thickBot="1">
      <c r="A32" s="160">
        <v>11939</v>
      </c>
      <c r="B32" s="160">
        <v>11949</v>
      </c>
    </row>
    <row r="33" spans="1:2" ht="15.75" thickBot="1">
      <c r="A33" s="160">
        <v>11939</v>
      </c>
      <c r="B33" s="160">
        <v>11950</v>
      </c>
    </row>
    <row r="34" spans="1:2" ht="15.75" thickBot="1">
      <c r="A34" s="160">
        <v>11939</v>
      </c>
      <c r="B34" s="160">
        <v>11979</v>
      </c>
    </row>
    <row r="35" spans="1:2" ht="15.75" thickBot="1">
      <c r="A35" s="160">
        <v>11939</v>
      </c>
      <c r="B35" s="160">
        <v>11980</v>
      </c>
    </row>
    <row r="36" spans="1:2" ht="15.75" thickBot="1">
      <c r="A36" s="160">
        <v>11939</v>
      </c>
      <c r="B36" s="160">
        <v>11981</v>
      </c>
    </row>
    <row r="37" spans="1:2" ht="15.75" thickBot="1">
      <c r="A37" s="160">
        <v>11342</v>
      </c>
      <c r="B37" s="160">
        <v>11343</v>
      </c>
    </row>
    <row r="38" spans="1:2" ht="15.75" thickBot="1">
      <c r="A38" s="160">
        <v>11342</v>
      </c>
      <c r="B38" s="160">
        <v>11344</v>
      </c>
    </row>
    <row r="39" spans="1:2" ht="15.75" thickBot="1">
      <c r="A39" s="160">
        <v>11342</v>
      </c>
      <c r="B39" s="160">
        <v>11345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6">
    <dataValidation type="list" allowBlank="1" showInputMessage="1" showErrorMessage="1" sqref="J2:J20" xr:uid="{00000000-0002-0000-1100-000000000000}">
      <formula1>israel_abroad</formula1>
    </dataValidation>
    <dataValidation type="list" allowBlank="1" showInputMessage="1" showErrorMessage="1" sqref="N2:N20" xr:uid="{00000000-0002-0000-1100-000001000000}">
      <formula1>Holding_interest</formula1>
    </dataValidation>
    <dataValidation type="list" allowBlank="1" showInputMessage="1" showErrorMessage="1" sqref="K2:K20" xr:uid="{00000000-0002-0000-1100-000002000000}">
      <formula1>Country_list</formula1>
    </dataValidation>
    <dataValidation type="list" allowBlank="1" showInputMessage="1" showErrorMessage="1" sqref="E3:E20" xr:uid="{00000000-0002-0000-1100-000003000000}">
      <formula1>Issuer_Number_Type_2</formula1>
    </dataValidation>
    <dataValidation type="list" allowBlank="1" showInputMessage="1" showErrorMessage="1" sqref="Q2:Q20" xr:uid="{00000000-0002-0000-1100-000004000000}">
      <formula1>Rating_Agency</formula1>
    </dataValidation>
    <dataValidation type="list" allowBlank="1" showInputMessage="1" showErrorMessage="1" sqref="P4 R2:R20" xr:uid="{00000000-0002-0000-1100-000005000000}">
      <formula1>What_is_rated</formula1>
    </dataValidation>
    <dataValidation type="list" allowBlank="1" showInputMessage="1" showErrorMessage="1" sqref="V4 X2:X20" xr:uid="{00000000-0002-0000-1100-000006000000}">
      <formula1>Subordination_Risk</formula1>
    </dataValidation>
    <dataValidation type="list" allowBlank="1" showInputMessage="1" showErrorMessage="1" sqref="Z2:Z19" xr:uid="{00000000-0002-0000-1100-000007000000}">
      <formula1>Valuation</formula1>
    </dataValidation>
    <dataValidation type="list" allowBlank="1" showInputMessage="1" showErrorMessage="1" sqref="AA2:AA20" xr:uid="{00000000-0002-0000-1100-000008000000}">
      <formula1>Dependence_Independence</formula1>
    </dataValidation>
    <dataValidation type="list" allowBlank="1" showInputMessage="1" showErrorMessage="1" sqref="AE4" xr:uid="{00000000-0002-0000-1100-000009000000}">
      <formula1>Info_Provider</formula1>
    </dataValidation>
    <dataValidation type="list" allowBlank="1" showInputMessage="1" showErrorMessage="1" sqref="Y2:Y20" xr:uid="{00000000-0002-0000-1100-00000A000000}">
      <formula1>Yes_No_Bad_Debt</formula1>
    </dataValidation>
    <dataValidation type="list" allowBlank="1" showInputMessage="1" showErrorMessage="1" sqref="H2:H20" xr:uid="{00000000-0002-0000-1100-00000B000000}">
      <formula1>Type_of_Security_ID_Fund</formula1>
    </dataValidation>
    <dataValidation type="list" allowBlank="1" showInputMessage="1" showErrorMessage="1" sqref="E2" xr:uid="{00000000-0002-0000-1100-00000C000000}">
      <formula1>Issuer_Number_Type_3</formula1>
    </dataValidation>
    <dataValidation type="list" allowBlank="1" showInputMessage="1" showErrorMessage="1" sqref="AJ2:AJ20" xr:uid="{00000000-0002-0000-1100-00000D000000}">
      <formula1>In_the_books</formula1>
    </dataValidation>
    <dataValidation type="list" allowBlank="1" showInputMessage="1" showErrorMessage="1" sqref="M2:M20" xr:uid="{00000000-0002-0000-1100-00000E000000}">
      <formula1>Industry_Sector</formula1>
    </dataValidation>
    <dataValidation type="list" allowBlank="1" showInputMessage="1" showErrorMessage="1" sqref="L2:L20" xr:uid="{00000000-0002-0000-1100-00000F000000}">
      <formula1>tradeable_status_bonds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10000000}">
          <x14:formula1>
            <xm:f>'אפשרויות בחירה'!$C$934:$C$945</xm:f>
          </x14:formula1>
          <xm:sqref>I2:I20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/>
  <dimension ref="A1:Z39"/>
  <sheetViews>
    <sheetView rightToLeft="1" workbookViewId="0">
      <selection activeCell="A2" sqref="A2:B39"/>
    </sheetView>
  </sheetViews>
  <sheetFormatPr defaultColWidth="9" defaultRowHeight="15"/>
  <cols>
    <col min="1" max="4" width="11.5703125" style="2" customWidth="1"/>
    <col min="5" max="5" width="11.5703125" style="4" customWidth="1"/>
    <col min="6" max="11" width="11.5703125" style="2" customWidth="1"/>
    <col min="12" max="12" width="11.5703125" style="4" customWidth="1"/>
    <col min="13" max="26" width="11.5703125" style="2" customWidth="1"/>
    <col min="27" max="16384" width="9" style="2"/>
  </cols>
  <sheetData>
    <row r="1" spans="1:26" ht="66.75" customHeight="1">
      <c r="A1" s="21" t="s">
        <v>667</v>
      </c>
      <c r="B1" s="21" t="s">
        <v>0</v>
      </c>
      <c r="C1" s="21" t="s">
        <v>740</v>
      </c>
      <c r="D1" s="21" t="s">
        <v>2</v>
      </c>
      <c r="E1" s="21" t="s">
        <v>756</v>
      </c>
      <c r="F1" s="21" t="s">
        <v>1163</v>
      </c>
      <c r="G1" s="21" t="s">
        <v>29</v>
      </c>
      <c r="H1" s="21" t="s">
        <v>28</v>
      </c>
      <c r="I1" s="21" t="s">
        <v>1</v>
      </c>
      <c r="J1" s="21" t="s">
        <v>620</v>
      </c>
      <c r="K1" s="21" t="s">
        <v>621</v>
      </c>
      <c r="L1" s="21" t="s">
        <v>625</v>
      </c>
      <c r="M1" s="21" t="s">
        <v>9</v>
      </c>
      <c r="N1" s="21" t="s">
        <v>622</v>
      </c>
      <c r="O1" s="21" t="s">
        <v>12</v>
      </c>
      <c r="P1" s="21" t="s">
        <v>396</v>
      </c>
      <c r="Q1" s="21" t="s">
        <v>933</v>
      </c>
      <c r="R1" s="21" t="s">
        <v>372</v>
      </c>
      <c r="S1" s="21" t="s">
        <v>16</v>
      </c>
      <c r="T1" s="21" t="s">
        <v>1165</v>
      </c>
      <c r="U1" s="21" t="s">
        <v>789</v>
      </c>
      <c r="V1" s="21" t="s">
        <v>11</v>
      </c>
      <c r="W1" s="21" t="s">
        <v>15</v>
      </c>
      <c r="X1" s="21" t="s">
        <v>1171</v>
      </c>
      <c r="Y1" s="21" t="s">
        <v>19</v>
      </c>
      <c r="Z1" s="21" t="s">
        <v>30</v>
      </c>
    </row>
    <row r="2" spans="1:26" ht="15.75" thickBot="1">
      <c r="A2" s="160">
        <v>7891</v>
      </c>
      <c r="B2" s="160">
        <v>7892</v>
      </c>
      <c r="C2" s="22"/>
      <c r="D2" s="22"/>
      <c r="E2" s="20"/>
      <c r="F2" s="22"/>
      <c r="G2" s="22"/>
      <c r="H2" s="20"/>
      <c r="I2" s="22"/>
      <c r="J2" s="20"/>
      <c r="K2" s="20"/>
      <c r="L2" s="22"/>
      <c r="M2" s="22"/>
      <c r="N2" s="22"/>
      <c r="O2" s="22"/>
      <c r="P2" s="20"/>
      <c r="Q2" s="22"/>
      <c r="R2" s="22"/>
      <c r="S2" s="22"/>
      <c r="T2" s="22"/>
      <c r="U2" s="22"/>
      <c r="V2" s="22"/>
      <c r="W2" s="22"/>
      <c r="X2" s="22"/>
      <c r="Y2" s="22"/>
      <c r="Z2" s="22"/>
    </row>
    <row r="3" spans="1:26" ht="15.75" thickBot="1">
      <c r="A3" s="160">
        <v>7891</v>
      </c>
      <c r="B3" s="160">
        <v>7893</v>
      </c>
      <c r="C3" s="22"/>
      <c r="D3" s="22"/>
      <c r="E3" s="20"/>
      <c r="F3" s="22"/>
      <c r="G3" s="22"/>
      <c r="H3" s="20"/>
      <c r="I3" s="22"/>
      <c r="J3" s="20"/>
      <c r="K3" s="20"/>
      <c r="L3" s="22"/>
      <c r="M3" s="22"/>
      <c r="N3" s="22"/>
      <c r="O3" s="22"/>
      <c r="P3" s="20"/>
      <c r="Q3" s="22"/>
      <c r="R3" s="22"/>
      <c r="S3" s="22"/>
      <c r="T3" s="22"/>
      <c r="U3" s="22"/>
      <c r="V3" s="22"/>
      <c r="W3" s="22"/>
      <c r="X3" s="22"/>
      <c r="Y3" s="22"/>
      <c r="Z3" s="22"/>
    </row>
    <row r="4" spans="1:26" ht="15.75" thickBot="1">
      <c r="A4" s="160">
        <v>7891</v>
      </c>
      <c r="B4" s="160">
        <v>7894</v>
      </c>
      <c r="C4" s="22"/>
      <c r="D4" s="22"/>
      <c r="E4" s="20"/>
      <c r="F4" s="22"/>
      <c r="G4" s="22"/>
      <c r="H4" s="20"/>
      <c r="I4" s="22"/>
      <c r="J4" s="20"/>
      <c r="K4" s="20"/>
      <c r="L4" s="22"/>
      <c r="M4" s="22"/>
      <c r="N4" s="22"/>
      <c r="P4" s="20"/>
      <c r="Q4" s="22"/>
      <c r="R4" s="22"/>
      <c r="S4" s="22"/>
      <c r="T4" s="22"/>
      <c r="U4" s="22"/>
      <c r="V4" s="22"/>
      <c r="W4" s="22"/>
      <c r="X4" s="22"/>
      <c r="Y4" s="22"/>
      <c r="Z4" s="22"/>
    </row>
    <row r="5" spans="1:26" ht="15.75" thickBot="1">
      <c r="A5" s="160">
        <v>7891</v>
      </c>
      <c r="B5" s="160">
        <v>7895</v>
      </c>
      <c r="C5" s="22"/>
      <c r="D5" s="22"/>
      <c r="E5" s="20"/>
      <c r="F5" s="22"/>
      <c r="G5" s="22"/>
      <c r="H5" s="20"/>
      <c r="I5" s="22"/>
      <c r="J5" s="20"/>
      <c r="K5" s="20"/>
      <c r="L5" s="22"/>
      <c r="M5" s="22"/>
      <c r="N5" s="22"/>
      <c r="O5" s="22"/>
      <c r="P5" s="20"/>
      <c r="Q5" s="22"/>
      <c r="R5" s="22"/>
      <c r="S5" s="22"/>
      <c r="T5" s="22"/>
      <c r="U5" s="22"/>
      <c r="V5" s="22"/>
      <c r="W5" s="22"/>
      <c r="X5" s="22"/>
      <c r="Y5" s="22"/>
      <c r="Z5" s="22"/>
    </row>
    <row r="6" spans="1:26" ht="15.75" thickBot="1">
      <c r="A6" s="160">
        <v>7891</v>
      </c>
      <c r="B6" s="160">
        <v>7896</v>
      </c>
      <c r="C6" s="22"/>
      <c r="D6" s="22"/>
      <c r="E6" s="20"/>
      <c r="F6" s="22"/>
      <c r="G6" s="22"/>
      <c r="H6" s="20"/>
      <c r="I6" s="22"/>
      <c r="J6" s="20"/>
      <c r="K6" s="20"/>
      <c r="L6" s="22"/>
      <c r="M6" s="22"/>
      <c r="N6" s="22"/>
      <c r="O6" s="22"/>
      <c r="P6" s="20"/>
      <c r="Q6" s="22"/>
      <c r="R6" s="22"/>
      <c r="S6" s="22"/>
      <c r="T6" s="22"/>
      <c r="U6" s="22"/>
      <c r="V6" s="22"/>
      <c r="W6" s="22"/>
      <c r="X6" s="22"/>
      <c r="Y6" s="22"/>
      <c r="Z6" s="22"/>
    </row>
    <row r="7" spans="1:26" ht="15.75" thickBot="1">
      <c r="A7" s="160">
        <v>7891</v>
      </c>
      <c r="B7" s="160">
        <v>7897</v>
      </c>
      <c r="C7" s="22"/>
      <c r="D7" s="22"/>
      <c r="E7" s="20"/>
      <c r="F7" s="22"/>
      <c r="G7" s="22"/>
      <c r="H7" s="20"/>
      <c r="I7" s="22"/>
      <c r="J7" s="20"/>
      <c r="K7" s="20"/>
      <c r="L7" s="22"/>
      <c r="M7" s="22"/>
      <c r="N7" s="22"/>
      <c r="O7" s="22"/>
      <c r="P7" s="20"/>
      <c r="Q7" s="22"/>
      <c r="R7" s="22"/>
      <c r="S7" s="22"/>
      <c r="T7" s="22"/>
      <c r="U7" s="22"/>
      <c r="V7" s="22"/>
      <c r="W7" s="22"/>
      <c r="X7" s="22"/>
      <c r="Y7" s="22"/>
      <c r="Z7" s="22"/>
    </row>
    <row r="8" spans="1:26" ht="15.75" thickBot="1">
      <c r="A8" s="160">
        <v>7891</v>
      </c>
      <c r="B8" s="160">
        <v>7898</v>
      </c>
      <c r="C8" s="22"/>
      <c r="D8" s="22"/>
      <c r="E8" s="20"/>
      <c r="F8" s="22"/>
      <c r="G8" s="22"/>
      <c r="H8" s="20"/>
      <c r="I8" s="22"/>
      <c r="J8" s="20"/>
      <c r="K8" s="20"/>
      <c r="L8" s="22"/>
      <c r="M8" s="22"/>
      <c r="N8" s="22"/>
      <c r="O8" s="22"/>
      <c r="P8" s="20"/>
      <c r="Q8" s="22"/>
      <c r="R8" s="22"/>
      <c r="S8" s="22"/>
      <c r="T8" s="22"/>
      <c r="U8" s="22"/>
      <c r="V8" s="22"/>
      <c r="W8" s="22"/>
      <c r="X8" s="22"/>
      <c r="Y8" s="22"/>
      <c r="Z8" s="22"/>
    </row>
    <row r="9" spans="1:26" ht="15.75" thickBot="1">
      <c r="A9" s="160">
        <v>7891</v>
      </c>
      <c r="B9" s="160">
        <v>7899</v>
      </c>
      <c r="C9" s="22"/>
      <c r="D9" s="22"/>
      <c r="E9" s="20"/>
      <c r="F9" s="22"/>
      <c r="G9" s="22"/>
      <c r="H9" s="20"/>
      <c r="I9" s="22"/>
      <c r="J9" s="20"/>
      <c r="K9" s="20"/>
      <c r="L9" s="22"/>
      <c r="M9" s="22"/>
      <c r="N9" s="22"/>
      <c r="O9" s="22"/>
      <c r="P9" s="20"/>
      <c r="Q9" s="22"/>
      <c r="R9" s="22"/>
      <c r="S9" s="22"/>
      <c r="T9" s="22"/>
      <c r="U9" s="22"/>
      <c r="V9" s="22"/>
      <c r="W9" s="22"/>
      <c r="X9" s="22"/>
      <c r="Y9" s="22"/>
      <c r="Z9" s="22"/>
    </row>
    <row r="10" spans="1:26" ht="15.75" thickBot="1">
      <c r="A10" s="160">
        <v>7891</v>
      </c>
      <c r="B10" s="160">
        <v>7900</v>
      </c>
      <c r="C10" s="22"/>
      <c r="D10" s="22"/>
      <c r="E10" s="20"/>
      <c r="F10" s="22"/>
      <c r="G10" s="22"/>
      <c r="H10" s="20"/>
      <c r="I10" s="22"/>
      <c r="J10" s="20"/>
      <c r="K10" s="20"/>
      <c r="L10" s="22"/>
      <c r="M10" s="22"/>
      <c r="N10" s="22"/>
      <c r="O10" s="22"/>
      <c r="P10" s="20"/>
      <c r="Q10" s="22"/>
      <c r="R10" s="22"/>
      <c r="S10" s="22"/>
      <c r="T10" s="22"/>
      <c r="U10" s="22"/>
      <c r="V10" s="22"/>
      <c r="W10" s="22"/>
      <c r="X10" s="22"/>
      <c r="Y10" s="22"/>
      <c r="Z10" s="22"/>
    </row>
    <row r="11" spans="1:26" ht="15.75" thickBot="1">
      <c r="A11" s="160">
        <v>7891</v>
      </c>
      <c r="B11" s="160">
        <v>7901</v>
      </c>
      <c r="C11" s="22"/>
      <c r="D11" s="22"/>
      <c r="E11" s="20"/>
      <c r="F11" s="22"/>
      <c r="G11" s="22"/>
      <c r="H11" s="20"/>
      <c r="I11" s="22"/>
      <c r="J11" s="20"/>
      <c r="K11" s="20"/>
      <c r="L11" s="22"/>
      <c r="M11" s="22"/>
      <c r="N11" s="22"/>
      <c r="O11" s="22"/>
      <c r="P11" s="20"/>
      <c r="Q11" s="22"/>
      <c r="R11" s="22"/>
      <c r="S11" s="22"/>
      <c r="T11" s="22"/>
      <c r="U11" s="22"/>
      <c r="V11" s="22"/>
      <c r="W11" s="22"/>
      <c r="X11" s="22"/>
      <c r="Y11" s="22"/>
      <c r="Z11" s="22"/>
    </row>
    <row r="12" spans="1:26" ht="15.75" thickBot="1">
      <c r="A12" s="160">
        <v>7891</v>
      </c>
      <c r="B12" s="160">
        <v>7902</v>
      </c>
      <c r="C12" s="22"/>
      <c r="D12" s="22"/>
      <c r="E12" s="20"/>
      <c r="F12" s="22"/>
      <c r="G12" s="22"/>
      <c r="H12" s="20"/>
      <c r="I12" s="22"/>
      <c r="J12" s="20"/>
      <c r="K12" s="20"/>
      <c r="L12" s="22"/>
      <c r="M12" s="22"/>
      <c r="N12" s="22"/>
      <c r="O12" s="22"/>
      <c r="P12" s="20"/>
      <c r="Q12" s="22"/>
      <c r="R12" s="22"/>
      <c r="S12" s="22"/>
      <c r="T12" s="22"/>
      <c r="U12" s="22"/>
      <c r="V12" s="22"/>
      <c r="W12" s="22"/>
      <c r="X12" s="22"/>
      <c r="Y12" s="22"/>
      <c r="Z12" s="22"/>
    </row>
    <row r="13" spans="1:26" ht="15.75" thickBot="1">
      <c r="A13" s="160">
        <v>11925</v>
      </c>
      <c r="B13" s="160">
        <v>11926</v>
      </c>
      <c r="C13" s="22"/>
      <c r="D13" s="22"/>
      <c r="E13" s="20"/>
      <c r="F13" s="22"/>
      <c r="G13" s="22"/>
      <c r="H13" s="20"/>
      <c r="I13" s="22"/>
      <c r="J13" s="20"/>
      <c r="K13" s="20"/>
      <c r="L13" s="22"/>
      <c r="M13" s="22"/>
      <c r="N13" s="22"/>
      <c r="O13" s="22"/>
      <c r="P13" s="20"/>
      <c r="Q13" s="22"/>
      <c r="R13" s="22"/>
      <c r="S13" s="22"/>
      <c r="T13" s="22"/>
      <c r="U13" s="22"/>
      <c r="V13" s="22"/>
      <c r="W13" s="22"/>
      <c r="X13" s="22"/>
      <c r="Y13" s="22"/>
      <c r="Z13" s="22"/>
    </row>
    <row r="14" spans="1:26" ht="15.75" thickBot="1">
      <c r="A14" s="160">
        <v>11925</v>
      </c>
      <c r="B14" s="160">
        <v>11927</v>
      </c>
      <c r="C14" s="22"/>
      <c r="D14" s="22"/>
      <c r="E14" s="20"/>
      <c r="F14" s="22"/>
      <c r="G14" s="22"/>
      <c r="H14" s="20"/>
      <c r="I14" s="22"/>
      <c r="J14" s="20"/>
      <c r="K14" s="20"/>
      <c r="L14" s="22"/>
      <c r="M14" s="22"/>
      <c r="N14" s="22"/>
      <c r="O14" s="22"/>
      <c r="P14" s="20"/>
      <c r="Q14" s="22"/>
      <c r="R14" s="22"/>
      <c r="S14" s="22"/>
      <c r="T14" s="22"/>
      <c r="U14" s="22"/>
      <c r="V14" s="22"/>
      <c r="W14" s="22"/>
      <c r="X14" s="22"/>
      <c r="Y14" s="22"/>
      <c r="Z14" s="22"/>
    </row>
    <row r="15" spans="1:26" ht="15.75" thickBot="1">
      <c r="A15" s="160">
        <v>11925</v>
      </c>
      <c r="B15" s="160">
        <v>11928</v>
      </c>
      <c r="C15" s="22"/>
      <c r="D15" s="22"/>
      <c r="E15" s="20"/>
      <c r="F15" s="22"/>
      <c r="G15" s="22"/>
      <c r="H15" s="20"/>
      <c r="I15" s="22"/>
      <c r="J15" s="20"/>
      <c r="K15" s="20"/>
      <c r="L15" s="22"/>
      <c r="M15" s="22"/>
      <c r="N15" s="22"/>
      <c r="O15" s="22"/>
      <c r="P15" s="20"/>
      <c r="Q15" s="22"/>
      <c r="R15" s="22"/>
      <c r="S15" s="22"/>
      <c r="T15" s="22"/>
      <c r="U15" s="22"/>
      <c r="V15" s="22"/>
      <c r="W15" s="22"/>
      <c r="X15" s="22"/>
      <c r="Y15" s="22"/>
      <c r="Z15" s="22"/>
    </row>
    <row r="16" spans="1:26" ht="15.75" thickBot="1">
      <c r="A16" s="160">
        <v>11925</v>
      </c>
      <c r="B16" s="160">
        <v>11929</v>
      </c>
      <c r="C16" s="22"/>
      <c r="D16" s="22"/>
      <c r="E16" s="20"/>
      <c r="F16" s="22"/>
      <c r="G16" s="22"/>
      <c r="H16" s="20"/>
      <c r="I16" s="22"/>
      <c r="J16" s="20"/>
      <c r="K16" s="20"/>
      <c r="L16" s="22"/>
      <c r="M16" s="22"/>
      <c r="N16" s="22"/>
      <c r="O16" s="22"/>
      <c r="P16" s="20"/>
      <c r="Q16" s="22"/>
      <c r="R16" s="22"/>
      <c r="S16" s="22"/>
      <c r="T16" s="22"/>
      <c r="U16" s="22"/>
      <c r="V16" s="22"/>
      <c r="W16" s="22"/>
      <c r="X16" s="22"/>
      <c r="Y16" s="22"/>
      <c r="Z16" s="22"/>
    </row>
    <row r="17" spans="1:26" ht="15.75" thickBot="1">
      <c r="A17" s="160">
        <v>11925</v>
      </c>
      <c r="B17" s="160">
        <v>11930</v>
      </c>
      <c r="C17" s="22"/>
      <c r="D17" s="22"/>
      <c r="E17" s="20"/>
      <c r="F17" s="22"/>
      <c r="G17" s="22"/>
      <c r="H17" s="20"/>
      <c r="I17" s="22"/>
      <c r="J17" s="20"/>
      <c r="K17" s="20"/>
      <c r="L17" s="22"/>
      <c r="M17" s="22"/>
      <c r="N17" s="22"/>
      <c r="O17" s="22"/>
      <c r="P17" s="20"/>
      <c r="Q17" s="22"/>
      <c r="R17" s="22"/>
      <c r="S17" s="22"/>
      <c r="T17" s="22"/>
      <c r="U17" s="22"/>
      <c r="V17" s="22"/>
      <c r="W17" s="22"/>
      <c r="X17" s="22"/>
      <c r="Y17" s="22"/>
      <c r="Z17" s="22"/>
    </row>
    <row r="18" spans="1:26" ht="15.75" thickBot="1">
      <c r="A18" s="160">
        <v>11925</v>
      </c>
      <c r="B18" s="160">
        <v>11931</v>
      </c>
      <c r="C18" s="22"/>
      <c r="D18" s="22"/>
      <c r="E18" s="20"/>
      <c r="F18" s="22"/>
      <c r="G18" s="22"/>
      <c r="H18" s="20"/>
      <c r="I18" s="22"/>
      <c r="J18" s="20"/>
      <c r="K18" s="20"/>
      <c r="L18" s="22"/>
      <c r="M18" s="22"/>
      <c r="N18" s="22"/>
      <c r="O18" s="22"/>
      <c r="P18" s="20"/>
      <c r="Q18" s="22"/>
      <c r="R18" s="22"/>
      <c r="S18" s="22"/>
      <c r="T18" s="22"/>
      <c r="U18" s="22"/>
      <c r="V18" s="22"/>
      <c r="W18" s="22"/>
      <c r="X18" s="22"/>
      <c r="Y18" s="22"/>
      <c r="Z18" s="22"/>
    </row>
    <row r="19" spans="1:26" ht="15.75" thickBot="1">
      <c r="A19" s="160">
        <v>11925</v>
      </c>
      <c r="B19" s="160">
        <v>11932</v>
      </c>
      <c r="C19" s="22"/>
      <c r="D19" s="22"/>
      <c r="E19" s="20"/>
      <c r="F19" s="22"/>
      <c r="G19" s="22"/>
      <c r="H19" s="20"/>
      <c r="I19" s="22"/>
      <c r="J19" s="20"/>
      <c r="K19" s="20"/>
      <c r="L19" s="22"/>
      <c r="M19" s="22"/>
      <c r="N19" s="22"/>
      <c r="O19" s="22"/>
      <c r="P19" s="20"/>
      <c r="Q19" s="22"/>
      <c r="R19" s="22"/>
      <c r="S19" s="22"/>
      <c r="T19" s="22"/>
      <c r="U19" s="22"/>
      <c r="V19" s="22"/>
      <c r="W19" s="22"/>
      <c r="X19" s="22"/>
      <c r="Y19" s="22"/>
      <c r="Z19" s="22"/>
    </row>
    <row r="20" spans="1:26" ht="15.75" thickBot="1">
      <c r="A20" s="160">
        <v>11925</v>
      </c>
      <c r="B20" s="160">
        <v>11933</v>
      </c>
      <c r="E20" s="20"/>
      <c r="H20" s="4"/>
      <c r="I20" s="22"/>
      <c r="J20" s="20"/>
      <c r="K20" s="20"/>
      <c r="L20" s="22"/>
      <c r="M20" s="22"/>
      <c r="N20" s="22"/>
      <c r="R20" s="22"/>
    </row>
    <row r="21" spans="1:26" customFormat="1" ht="15.75" thickBot="1">
      <c r="A21" s="160">
        <v>11925</v>
      </c>
      <c r="B21" s="160">
        <v>11934</v>
      </c>
    </row>
    <row r="22" spans="1:26" ht="15.75" thickBot="1">
      <c r="A22" s="160">
        <v>11925</v>
      </c>
      <c r="B22" s="160">
        <v>11935</v>
      </c>
    </row>
    <row r="23" spans="1:26" ht="15.75" thickBot="1">
      <c r="A23" s="160">
        <v>11925</v>
      </c>
      <c r="B23" s="160">
        <v>11936</v>
      </c>
    </row>
    <row r="24" spans="1:26" ht="15.75" thickBot="1">
      <c r="A24" s="160">
        <v>11925</v>
      </c>
      <c r="B24" s="160">
        <v>11937</v>
      </c>
    </row>
    <row r="25" spans="1:26" ht="15.75" thickBot="1">
      <c r="A25" s="160">
        <v>11939</v>
      </c>
      <c r="B25" s="160">
        <v>11942</v>
      </c>
    </row>
    <row r="26" spans="1:26" ht="15.75" thickBot="1">
      <c r="A26" s="160">
        <v>11939</v>
      </c>
      <c r="B26" s="160">
        <v>11943</v>
      </c>
    </row>
    <row r="27" spans="1:26" ht="15.75" thickBot="1">
      <c r="A27" s="160">
        <v>11939</v>
      </c>
      <c r="B27" s="160">
        <v>11944</v>
      </c>
    </row>
    <row r="28" spans="1:26" ht="15.75" thickBot="1">
      <c r="A28" s="160">
        <v>11939</v>
      </c>
      <c r="B28" s="160">
        <v>11945</v>
      </c>
    </row>
    <row r="29" spans="1:26" ht="15.75" thickBot="1">
      <c r="A29" s="160">
        <v>11939</v>
      </c>
      <c r="B29" s="160">
        <v>11946</v>
      </c>
    </row>
    <row r="30" spans="1:26" ht="15.75" thickBot="1">
      <c r="A30" s="160">
        <v>11939</v>
      </c>
      <c r="B30" s="160">
        <v>11947</v>
      </c>
    </row>
    <row r="31" spans="1:26" ht="15.75" thickBot="1">
      <c r="A31" s="160">
        <v>11939</v>
      </c>
      <c r="B31" s="160">
        <v>11948</v>
      </c>
    </row>
    <row r="32" spans="1:26" ht="15.75" thickBot="1">
      <c r="A32" s="160">
        <v>11939</v>
      </c>
      <c r="B32" s="160">
        <v>11949</v>
      </c>
    </row>
    <row r="33" spans="1:2" ht="15.75" thickBot="1">
      <c r="A33" s="160">
        <v>11939</v>
      </c>
      <c r="B33" s="160">
        <v>11950</v>
      </c>
    </row>
    <row r="34" spans="1:2" ht="15.75" thickBot="1">
      <c r="A34" s="160">
        <v>11939</v>
      </c>
      <c r="B34" s="160">
        <v>11979</v>
      </c>
    </row>
    <row r="35" spans="1:2" ht="15.75" thickBot="1">
      <c r="A35" s="160">
        <v>11939</v>
      </c>
      <c r="B35" s="160">
        <v>11980</v>
      </c>
    </row>
    <row r="36" spans="1:2" ht="15.75" thickBot="1">
      <c r="A36" s="160">
        <v>11939</v>
      </c>
      <c r="B36" s="160">
        <v>11981</v>
      </c>
    </row>
    <row r="37" spans="1:2" ht="15.75" thickBot="1">
      <c r="A37" s="160">
        <v>11342</v>
      </c>
      <c r="B37" s="160">
        <v>11343</v>
      </c>
    </row>
    <row r="38" spans="1:2" ht="15.75" thickBot="1">
      <c r="A38" s="160">
        <v>11342</v>
      </c>
      <c r="B38" s="160">
        <v>11344</v>
      </c>
    </row>
    <row r="39" spans="1:2" ht="15.75" thickBot="1">
      <c r="A39" s="160">
        <v>11342</v>
      </c>
      <c r="B39" s="160">
        <v>11345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1">
    <dataValidation type="list" allowBlank="1" showInputMessage="1" showErrorMessage="1" sqref="J2:J20" xr:uid="{00000000-0002-0000-1200-000000000000}">
      <formula1>israel_abroad</formula1>
    </dataValidation>
    <dataValidation type="list" allowBlank="1" showInputMessage="1" showErrorMessage="1" sqref="N2:N20" xr:uid="{00000000-0002-0000-1200-000001000000}">
      <formula1>Holding_interest</formula1>
    </dataValidation>
    <dataValidation type="list" allowBlank="1" showInputMessage="1" showErrorMessage="1" sqref="Q2:Q19" xr:uid="{00000000-0002-0000-1200-000002000000}">
      <formula1>Valuation</formula1>
    </dataValidation>
    <dataValidation type="list" allowBlank="1" showInputMessage="1" showErrorMessage="1" sqref="R2:R20" xr:uid="{00000000-0002-0000-1200-000003000000}">
      <formula1>Dependence_Independence</formula1>
    </dataValidation>
    <dataValidation type="list" allowBlank="1" showInputMessage="1" showErrorMessage="1" sqref="K2:K20" xr:uid="{00000000-0002-0000-1200-000004000000}">
      <formula1>Country_list</formula1>
    </dataValidation>
    <dataValidation type="list" allowBlank="1" showInputMessage="1" showErrorMessage="1" sqref="E3:E20" xr:uid="{00000000-0002-0000-1200-000005000000}">
      <formula1>Issuer_Number_Type_2</formula1>
    </dataValidation>
    <dataValidation type="list" allowBlank="1" showInputMessage="1" showErrorMessage="1" sqref="H2" xr:uid="{00000000-0002-0000-1200-000006000000}">
      <formula1>Type_of_Security_ID</formula1>
    </dataValidation>
    <dataValidation type="list" allowBlank="1" showInputMessage="1" showErrorMessage="1" sqref="H3:H19" xr:uid="{00000000-0002-0000-1200-000007000000}">
      <formula1>Type_of_Security_ID_Traded</formula1>
    </dataValidation>
    <dataValidation type="list" allowBlank="1" showInputMessage="1" showErrorMessage="1" sqref="E2" xr:uid="{00000000-0002-0000-1200-000008000000}">
      <formula1>Issuer_Number_Type_3</formula1>
    </dataValidation>
    <dataValidation type="list" allowBlank="1" showInputMessage="1" showErrorMessage="1" sqref="M2:M20" xr:uid="{00000000-0002-0000-1200-000009000000}">
      <formula1>Industry_Sector</formula1>
    </dataValidation>
    <dataValidation type="list" allowBlank="1" showInputMessage="1" showErrorMessage="1" sqref="L2:L20" xr:uid="{00000000-0002-0000-1200-00000A000000}">
      <formula1>tradeable_status_stock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B000000}">
          <x14:formula1>
            <xm:f>'אפשרויות בחירה'!$C$946:$C$955</xm:f>
          </x14:formula1>
          <xm:sqref>I2:I20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/>
  <dimension ref="A1:AA1048491"/>
  <sheetViews>
    <sheetView rightToLeft="1" workbookViewId="0">
      <pane ySplit="1" topLeftCell="A2" activePane="bottomLeft" state="frozen"/>
      <selection pane="bottomLeft" activeCell="M2" sqref="M2:M22"/>
    </sheetView>
  </sheetViews>
  <sheetFormatPr defaultColWidth="9" defaultRowHeight="15"/>
  <cols>
    <col min="1" max="2" width="11.5703125" style="2" customWidth="1"/>
    <col min="3" max="3" width="39.42578125" style="2" bestFit="1" customWidth="1"/>
    <col min="4" max="4" width="11.5703125" style="2" customWidth="1"/>
    <col min="5" max="5" width="24.7109375" style="2" bestFit="1" customWidth="1"/>
    <col min="6" max="6" width="15" style="2" bestFit="1" customWidth="1"/>
    <col min="7" max="12" width="11.5703125" style="2" customWidth="1"/>
    <col min="13" max="13" width="24.28515625" style="2" bestFit="1" customWidth="1"/>
    <col min="14" max="15" width="11.5703125" style="2" customWidth="1"/>
    <col min="16" max="16" width="11.5703125" customWidth="1"/>
    <col min="17" max="26" width="11.5703125" style="2" customWidth="1"/>
    <col min="27" max="16384" width="9" style="2"/>
  </cols>
  <sheetData>
    <row r="1" spans="1:27" ht="66.75" customHeight="1" thickBot="1">
      <c r="A1" s="21" t="s">
        <v>667</v>
      </c>
      <c r="B1" s="21" t="s">
        <v>0</v>
      </c>
      <c r="C1" s="21" t="s">
        <v>796</v>
      </c>
      <c r="D1" s="21" t="s">
        <v>809</v>
      </c>
      <c r="E1" s="21" t="s">
        <v>797</v>
      </c>
      <c r="F1" s="21" t="s">
        <v>763</v>
      </c>
      <c r="G1" s="21" t="s">
        <v>762</v>
      </c>
      <c r="H1" s="21" t="s">
        <v>767</v>
      </c>
      <c r="I1" s="21" t="s">
        <v>1</v>
      </c>
      <c r="J1" s="21" t="s">
        <v>289</v>
      </c>
      <c r="K1" s="21" t="s">
        <v>620</v>
      </c>
      <c r="L1" s="21" t="s">
        <v>755</v>
      </c>
      <c r="M1" s="21" t="s">
        <v>770</v>
      </c>
      <c r="N1" s="21" t="s">
        <v>621</v>
      </c>
      <c r="O1" s="21" t="s">
        <v>622</v>
      </c>
      <c r="P1" s="31" t="s">
        <v>12</v>
      </c>
      <c r="Q1" s="21" t="s">
        <v>396</v>
      </c>
      <c r="R1" s="21" t="s">
        <v>933</v>
      </c>
      <c r="S1" s="21" t="s">
        <v>372</v>
      </c>
      <c r="T1" s="21" t="s">
        <v>16</v>
      </c>
      <c r="U1" s="21" t="s">
        <v>11</v>
      </c>
      <c r="V1" s="127" t="s">
        <v>939</v>
      </c>
      <c r="W1" s="21" t="s">
        <v>1171</v>
      </c>
      <c r="X1" s="21" t="s">
        <v>752</v>
      </c>
      <c r="Y1" s="21" t="s">
        <v>19</v>
      </c>
      <c r="Z1" s="21" t="s">
        <v>30</v>
      </c>
      <c r="AA1" s="12"/>
    </row>
    <row r="2" spans="1:27" ht="15.75" thickBot="1">
      <c r="A2" s="160">
        <v>7891</v>
      </c>
      <c r="B2" s="160">
        <v>7897</v>
      </c>
      <c r="C2" s="161" t="s">
        <v>1397</v>
      </c>
      <c r="D2" s="161"/>
      <c r="E2" s="160"/>
      <c r="F2" s="165" t="s">
        <v>1398</v>
      </c>
      <c r="G2" s="165">
        <v>11017960</v>
      </c>
      <c r="H2" s="165" t="s">
        <v>78</v>
      </c>
      <c r="I2" s="165" t="s">
        <v>280</v>
      </c>
      <c r="J2" s="180"/>
      <c r="K2" s="165" t="s">
        <v>61</v>
      </c>
      <c r="L2" s="160"/>
      <c r="M2" s="160"/>
      <c r="N2" s="165" t="s">
        <v>313</v>
      </c>
      <c r="O2" s="165" t="s">
        <v>62</v>
      </c>
      <c r="P2" s="173">
        <v>43661</v>
      </c>
      <c r="Q2" s="165" t="s">
        <v>1211</v>
      </c>
      <c r="R2" s="165" t="s">
        <v>303</v>
      </c>
      <c r="S2" s="165" t="s">
        <v>305</v>
      </c>
      <c r="T2" s="172">
        <v>45565</v>
      </c>
      <c r="U2" s="168">
        <v>4.1524000000000001</v>
      </c>
      <c r="V2" s="168">
        <v>1369.0646132357199</v>
      </c>
      <c r="W2" s="168">
        <v>5684.9039000000002</v>
      </c>
      <c r="X2" s="169">
        <v>5.6397314100000004E-3</v>
      </c>
      <c r="Y2" s="169">
        <v>0.37379763795600002</v>
      </c>
      <c r="Z2" s="169">
        <v>6.2238378394000003E-2</v>
      </c>
    </row>
    <row r="3" spans="1:27" ht="15.75" thickBot="1">
      <c r="A3" s="160">
        <v>7891</v>
      </c>
      <c r="B3" s="160">
        <v>7897</v>
      </c>
      <c r="C3" s="161" t="s">
        <v>1397</v>
      </c>
      <c r="D3" s="161"/>
      <c r="E3" s="160"/>
      <c r="F3" s="165" t="s">
        <v>1399</v>
      </c>
      <c r="G3" s="165">
        <v>11017989</v>
      </c>
      <c r="H3" s="165" t="s">
        <v>78</v>
      </c>
      <c r="I3" s="165" t="s">
        <v>280</v>
      </c>
      <c r="J3" s="180"/>
      <c r="K3" s="165" t="s">
        <v>61</v>
      </c>
      <c r="L3" s="160"/>
      <c r="M3" s="160"/>
      <c r="N3" s="165" t="s">
        <v>313</v>
      </c>
      <c r="O3" s="165" t="s">
        <v>62</v>
      </c>
      <c r="P3" s="173">
        <v>43718</v>
      </c>
      <c r="Q3" s="165" t="s">
        <v>1210</v>
      </c>
      <c r="R3" s="165" t="s">
        <v>303</v>
      </c>
      <c r="S3" s="165" t="s">
        <v>305</v>
      </c>
      <c r="T3" s="172">
        <v>45565</v>
      </c>
      <c r="U3" s="168">
        <v>3.71</v>
      </c>
      <c r="V3" s="168">
        <v>462.94650673854397</v>
      </c>
      <c r="W3" s="168">
        <v>1717.5315399999999</v>
      </c>
      <c r="X3" s="169">
        <v>2.9774805449999998E-3</v>
      </c>
      <c r="Y3" s="169">
        <v>0.112932292974</v>
      </c>
      <c r="Z3" s="169">
        <v>1.8803550556000002E-2</v>
      </c>
    </row>
    <row r="4" spans="1:27" ht="15.75" thickBot="1">
      <c r="A4" s="160">
        <v>7891</v>
      </c>
      <c r="B4" s="160">
        <v>7897</v>
      </c>
      <c r="C4" s="161" t="s">
        <v>1400</v>
      </c>
      <c r="D4" s="161"/>
      <c r="E4" s="160"/>
      <c r="F4" s="165" t="s">
        <v>1401</v>
      </c>
      <c r="G4" s="165">
        <v>11019167</v>
      </c>
      <c r="H4" s="165" t="s">
        <v>78</v>
      </c>
      <c r="I4" s="165" t="s">
        <v>280</v>
      </c>
      <c r="J4" s="180"/>
      <c r="K4" s="165" t="s">
        <v>61</v>
      </c>
      <c r="L4" s="160"/>
      <c r="M4" s="160"/>
      <c r="N4" s="165" t="s">
        <v>314</v>
      </c>
      <c r="O4" s="165" t="s">
        <v>62</v>
      </c>
      <c r="P4" s="173">
        <v>44404</v>
      </c>
      <c r="Q4" s="165" t="s">
        <v>1210</v>
      </c>
      <c r="R4" s="165" t="s">
        <v>303</v>
      </c>
      <c r="S4" s="165" t="s">
        <v>305</v>
      </c>
      <c r="T4" s="172">
        <v>45565</v>
      </c>
      <c r="U4" s="168">
        <v>3.71</v>
      </c>
      <c r="V4" s="168">
        <v>1419.73164420485</v>
      </c>
      <c r="W4" s="168">
        <v>5267.2043999999996</v>
      </c>
      <c r="X4" s="169">
        <v>6.54E-2</v>
      </c>
      <c r="Y4" s="169">
        <v>0.34633277852799998</v>
      </c>
      <c r="Z4" s="169">
        <v>5.7665400557999999E-2</v>
      </c>
    </row>
    <row r="5" spans="1:27" ht="15.75" thickBot="1">
      <c r="A5" s="160">
        <v>7891</v>
      </c>
      <c r="B5" s="160">
        <v>7897</v>
      </c>
      <c r="C5" s="161" t="s">
        <v>1415</v>
      </c>
      <c r="D5" s="161"/>
      <c r="E5" s="160"/>
      <c r="F5" s="165" t="s">
        <v>1404</v>
      </c>
      <c r="G5" s="165">
        <v>11019503</v>
      </c>
      <c r="H5" s="165" t="s">
        <v>78</v>
      </c>
      <c r="I5" s="165" t="s">
        <v>280</v>
      </c>
      <c r="J5" s="180"/>
      <c r="K5" s="165" t="s">
        <v>61</v>
      </c>
      <c r="L5" s="160"/>
      <c r="M5" s="160"/>
      <c r="N5" s="165" t="s">
        <v>314</v>
      </c>
      <c r="O5" s="165" t="s">
        <v>62</v>
      </c>
      <c r="P5" s="173">
        <v>44655</v>
      </c>
      <c r="Q5" s="165" t="s">
        <v>1210</v>
      </c>
      <c r="R5" s="165" t="s">
        <v>303</v>
      </c>
      <c r="S5" s="165" t="s">
        <v>305</v>
      </c>
      <c r="T5" s="172">
        <v>45565</v>
      </c>
      <c r="U5" s="168">
        <v>3.71</v>
      </c>
      <c r="V5" s="168">
        <v>674.05511051212898</v>
      </c>
      <c r="W5" s="168">
        <v>2500.7444599999999</v>
      </c>
      <c r="X5" s="169">
        <v>2.5000000000000001E-2</v>
      </c>
      <c r="Y5" s="169">
        <v>0.16443063747799999</v>
      </c>
      <c r="Z5" s="169">
        <v>2.7378172560999999E-2</v>
      </c>
    </row>
    <row r="6" spans="1:27" ht="15.75" thickBot="1">
      <c r="A6" s="160">
        <v>7891</v>
      </c>
      <c r="B6" s="160">
        <v>7897</v>
      </c>
      <c r="C6" s="161" t="s">
        <v>1402</v>
      </c>
      <c r="D6" s="161"/>
      <c r="E6" s="160"/>
      <c r="F6" s="165" t="s">
        <v>1403</v>
      </c>
      <c r="G6" s="165">
        <v>11020454</v>
      </c>
      <c r="H6" s="165" t="s">
        <v>78</v>
      </c>
      <c r="I6" s="165" t="s">
        <v>280</v>
      </c>
      <c r="J6" s="180"/>
      <c r="K6" s="165" t="s">
        <v>61</v>
      </c>
      <c r="L6" s="160"/>
      <c r="M6" s="160"/>
      <c r="N6" s="165" t="s">
        <v>314</v>
      </c>
      <c r="O6" s="165" t="s">
        <v>62</v>
      </c>
      <c r="P6" s="173">
        <v>44530</v>
      </c>
      <c r="Q6" s="165" t="s">
        <v>1208</v>
      </c>
      <c r="R6" s="165" t="s">
        <v>303</v>
      </c>
      <c r="S6" s="165" t="s">
        <v>305</v>
      </c>
      <c r="T6" s="172">
        <v>45565</v>
      </c>
      <c r="U6" s="168">
        <v>1</v>
      </c>
      <c r="V6" s="168">
        <v>38.122450000000001</v>
      </c>
      <c r="W6" s="168">
        <v>38.122450000000001</v>
      </c>
      <c r="X6" s="169"/>
      <c r="Y6" s="169">
        <v>2.5066530609999999E-3</v>
      </c>
      <c r="Z6" s="169">
        <v>4.1736492099999999E-4</v>
      </c>
    </row>
    <row r="7" spans="1:27" ht="15.75" thickBot="1">
      <c r="A7" s="160">
        <v>11925</v>
      </c>
      <c r="B7" s="160">
        <v>11928</v>
      </c>
      <c r="C7" s="161" t="s">
        <v>1397</v>
      </c>
      <c r="D7" s="161"/>
      <c r="E7" s="160"/>
      <c r="F7" s="165" t="s">
        <v>1398</v>
      </c>
      <c r="G7" s="165">
        <v>11017960</v>
      </c>
      <c r="H7" s="165" t="s">
        <v>78</v>
      </c>
      <c r="I7" s="165" t="s">
        <v>280</v>
      </c>
      <c r="J7" s="180"/>
      <c r="K7" s="165" t="s">
        <v>61</v>
      </c>
      <c r="L7" s="160"/>
      <c r="M7" s="160"/>
      <c r="N7" s="165" t="s">
        <v>313</v>
      </c>
      <c r="O7" s="165" t="s">
        <v>62</v>
      </c>
      <c r="P7" s="173">
        <v>43661</v>
      </c>
      <c r="Q7" s="165" t="s">
        <v>1211</v>
      </c>
      <c r="R7" s="165" t="s">
        <v>303</v>
      </c>
      <c r="S7" s="165" t="s">
        <v>305</v>
      </c>
      <c r="T7" s="172">
        <v>45565</v>
      </c>
      <c r="U7" s="168">
        <v>4.1524000000000001</v>
      </c>
      <c r="V7" s="168">
        <v>2064.1691214719199</v>
      </c>
      <c r="W7" s="168">
        <v>8571.2558599999993</v>
      </c>
      <c r="X7" s="169">
        <v>8.5031482929999996E-3</v>
      </c>
      <c r="Y7" s="169">
        <v>0.37379765925399999</v>
      </c>
      <c r="Z7" s="169">
        <v>6.6229608613999999E-2</v>
      </c>
    </row>
    <row r="8" spans="1:27" ht="15.75" thickBot="1">
      <c r="A8" s="160">
        <v>11925</v>
      </c>
      <c r="B8" s="160">
        <v>11928</v>
      </c>
      <c r="C8" s="161" t="s">
        <v>1397</v>
      </c>
      <c r="D8" s="161"/>
      <c r="E8" s="160"/>
      <c r="F8" s="165" t="s">
        <v>1399</v>
      </c>
      <c r="G8" s="165">
        <v>11017989</v>
      </c>
      <c r="H8" s="165" t="s">
        <v>78</v>
      </c>
      <c r="I8" s="165" t="s">
        <v>280</v>
      </c>
      <c r="J8" s="180"/>
      <c r="K8" s="165" t="s">
        <v>61</v>
      </c>
      <c r="L8" s="160"/>
      <c r="M8" s="160"/>
      <c r="N8" s="165" t="s">
        <v>313</v>
      </c>
      <c r="O8" s="165" t="s">
        <v>62</v>
      </c>
      <c r="P8" s="173">
        <v>43718</v>
      </c>
      <c r="Q8" s="165" t="s">
        <v>1210</v>
      </c>
      <c r="R8" s="165" t="s">
        <v>303</v>
      </c>
      <c r="S8" s="165" t="s">
        <v>305</v>
      </c>
      <c r="T8" s="172">
        <v>45565</v>
      </c>
      <c r="U8" s="168">
        <v>3.71</v>
      </c>
      <c r="V8" s="168">
        <v>697.993900269542</v>
      </c>
      <c r="W8" s="168">
        <v>2589.55737</v>
      </c>
      <c r="X8" s="169">
        <v>4.4892082099999998E-3</v>
      </c>
      <c r="Y8" s="169">
        <v>0.112932165276</v>
      </c>
      <c r="Z8" s="169">
        <v>2.0009363142999999E-2</v>
      </c>
    </row>
    <row r="9" spans="1:27" ht="15.75" thickBot="1">
      <c r="A9" s="160">
        <v>11925</v>
      </c>
      <c r="B9" s="160">
        <v>11928</v>
      </c>
      <c r="C9" s="160" t="s">
        <v>1400</v>
      </c>
      <c r="D9" s="160"/>
      <c r="E9" s="160"/>
      <c r="F9" s="165" t="s">
        <v>1401</v>
      </c>
      <c r="G9" s="165">
        <v>11019167</v>
      </c>
      <c r="H9" s="165" t="s">
        <v>78</v>
      </c>
      <c r="I9" s="165" t="s">
        <v>280</v>
      </c>
      <c r="J9" s="180"/>
      <c r="K9" s="165" t="s">
        <v>61</v>
      </c>
      <c r="L9" s="160"/>
      <c r="M9" s="160"/>
      <c r="N9" s="165" t="s">
        <v>314</v>
      </c>
      <c r="O9" s="165" t="s">
        <v>62</v>
      </c>
      <c r="P9" s="173">
        <v>44404</v>
      </c>
      <c r="Q9" s="165" t="s">
        <v>1210</v>
      </c>
      <c r="R9" s="165" t="s">
        <v>303</v>
      </c>
      <c r="S9" s="165" t="s">
        <v>305</v>
      </c>
      <c r="T9" s="172">
        <v>45565</v>
      </c>
      <c r="U9" s="168">
        <v>3.71</v>
      </c>
      <c r="V9" s="168">
        <v>2140.56124797844</v>
      </c>
      <c r="W9" s="168">
        <v>7941.4822299999996</v>
      </c>
      <c r="X9" s="169">
        <v>6.54E-2</v>
      </c>
      <c r="Y9" s="169">
        <v>0.34633284982599999</v>
      </c>
      <c r="Z9" s="169">
        <v>6.1363383441000001E-2</v>
      </c>
    </row>
    <row r="10" spans="1:27" ht="15.75" thickBot="1">
      <c r="A10" s="160">
        <v>11925</v>
      </c>
      <c r="B10" s="160">
        <v>11928</v>
      </c>
      <c r="C10" s="160" t="s">
        <v>1402</v>
      </c>
      <c r="D10" s="160"/>
      <c r="E10" s="160"/>
      <c r="F10" s="165" t="s">
        <v>1403</v>
      </c>
      <c r="G10" s="165">
        <v>11019396</v>
      </c>
      <c r="H10" s="165" t="s">
        <v>78</v>
      </c>
      <c r="I10" s="165" t="s">
        <v>280</v>
      </c>
      <c r="J10" s="180"/>
      <c r="K10" s="165" t="s">
        <v>61</v>
      </c>
      <c r="L10" s="160"/>
      <c r="M10" s="160"/>
      <c r="N10" s="165" t="s">
        <v>314</v>
      </c>
      <c r="O10" s="165" t="s">
        <v>62</v>
      </c>
      <c r="P10" s="173">
        <v>44530</v>
      </c>
      <c r="Q10" s="165" t="s">
        <v>1210</v>
      </c>
      <c r="R10" s="165" t="s">
        <v>303</v>
      </c>
      <c r="S10" s="165" t="s">
        <v>305</v>
      </c>
      <c r="T10" s="172">
        <v>45565</v>
      </c>
      <c r="U10" s="168">
        <v>3.71</v>
      </c>
      <c r="V10" s="168">
        <v>-5.6603773500000002E-4</v>
      </c>
      <c r="W10" s="168">
        <v>-2.0999999999999999E-3</v>
      </c>
      <c r="X10" s="169"/>
      <c r="Y10" s="169">
        <v>-9.1582271869617198E-8</v>
      </c>
      <c r="Z10" s="169">
        <v>-1.62265810708035E-8</v>
      </c>
    </row>
    <row r="11" spans="1:27" ht="15.75" thickBot="1">
      <c r="A11" s="160">
        <v>11925</v>
      </c>
      <c r="B11" s="160">
        <v>11928</v>
      </c>
      <c r="C11" s="160" t="s">
        <v>1415</v>
      </c>
      <c r="D11" s="160"/>
      <c r="E11" s="160"/>
      <c r="F11" s="165" t="s">
        <v>1404</v>
      </c>
      <c r="G11" s="165">
        <v>11019503</v>
      </c>
      <c r="H11" s="165" t="s">
        <v>78</v>
      </c>
      <c r="I11" s="165" t="s">
        <v>280</v>
      </c>
      <c r="J11" s="180"/>
      <c r="K11" s="165" t="s">
        <v>61</v>
      </c>
      <c r="L11" s="160"/>
      <c r="M11" s="160"/>
      <c r="N11" s="165" t="s">
        <v>314</v>
      </c>
      <c r="O11" s="165" t="s">
        <v>62</v>
      </c>
      <c r="P11" s="173">
        <v>44655</v>
      </c>
      <c r="Q11" s="165" t="s">
        <v>1210</v>
      </c>
      <c r="R11" s="165" t="s">
        <v>303</v>
      </c>
      <c r="S11" s="165" t="s">
        <v>305</v>
      </c>
      <c r="T11" s="172">
        <v>45565</v>
      </c>
      <c r="U11" s="168">
        <v>3.71</v>
      </c>
      <c r="V11" s="168">
        <v>1016.28798652291</v>
      </c>
      <c r="W11" s="168">
        <v>3770.4284299999999</v>
      </c>
      <c r="X11" s="169">
        <v>2.5000000000000001E-2</v>
      </c>
      <c r="Y11" s="169">
        <v>0.16443066740000001</v>
      </c>
      <c r="Z11" s="169">
        <v>2.9133886947999999E-2</v>
      </c>
    </row>
    <row r="12" spans="1:27" ht="15.75" thickBot="1">
      <c r="A12" s="160">
        <v>11925</v>
      </c>
      <c r="B12" s="160">
        <v>11928</v>
      </c>
      <c r="C12" s="160" t="s">
        <v>1402</v>
      </c>
      <c r="D12" s="160"/>
      <c r="E12" s="160"/>
      <c r="F12" s="165" t="s">
        <v>1403</v>
      </c>
      <c r="G12" s="165">
        <v>11020454</v>
      </c>
      <c r="H12" s="165" t="s">
        <v>78</v>
      </c>
      <c r="I12" s="165" t="s">
        <v>280</v>
      </c>
      <c r="J12" s="180"/>
      <c r="K12" s="165" t="s">
        <v>61</v>
      </c>
      <c r="L12" s="160"/>
      <c r="M12" s="160"/>
      <c r="N12" s="165" t="s">
        <v>314</v>
      </c>
      <c r="O12" s="165" t="s">
        <v>62</v>
      </c>
      <c r="P12" s="173">
        <v>44530</v>
      </c>
      <c r="Q12" s="165" t="s">
        <v>1208</v>
      </c>
      <c r="R12" s="165" t="s">
        <v>303</v>
      </c>
      <c r="S12" s="165" t="s">
        <v>305</v>
      </c>
      <c r="T12" s="172">
        <v>45565</v>
      </c>
      <c r="U12" s="168">
        <v>1</v>
      </c>
      <c r="V12" s="168">
        <v>57.48028</v>
      </c>
      <c r="W12" s="168">
        <v>57.48028</v>
      </c>
      <c r="X12" s="169"/>
      <c r="Y12" s="169">
        <v>2.5067498230000001E-3</v>
      </c>
      <c r="Z12" s="169">
        <v>4.4414686799999997E-4</v>
      </c>
    </row>
    <row r="13" spans="1:27" ht="15.75" thickBot="1">
      <c r="A13" s="160">
        <v>11939</v>
      </c>
      <c r="B13" s="160">
        <v>11942</v>
      </c>
      <c r="C13" s="160" t="s">
        <v>1397</v>
      </c>
      <c r="D13" s="160"/>
      <c r="E13" s="160"/>
      <c r="F13" s="165" t="s">
        <v>1398</v>
      </c>
      <c r="G13" s="165">
        <v>11017960</v>
      </c>
      <c r="H13" s="165" t="s">
        <v>78</v>
      </c>
      <c r="I13" s="165" t="s">
        <v>280</v>
      </c>
      <c r="J13" s="180"/>
      <c r="K13" s="165" t="s">
        <v>61</v>
      </c>
      <c r="L13" s="160"/>
      <c r="M13" s="160"/>
      <c r="N13" s="165" t="s">
        <v>313</v>
      </c>
      <c r="O13" s="165" t="s">
        <v>62</v>
      </c>
      <c r="P13" s="173">
        <v>43661</v>
      </c>
      <c r="Q13" s="165" t="s">
        <v>1211</v>
      </c>
      <c r="R13" s="165" t="s">
        <v>303</v>
      </c>
      <c r="S13" s="165" t="s">
        <v>305</v>
      </c>
      <c r="T13" s="172">
        <v>45565</v>
      </c>
      <c r="U13" s="168">
        <v>4.1524000000000001</v>
      </c>
      <c r="V13" s="168">
        <v>5310.5749951835096</v>
      </c>
      <c r="W13" s="168">
        <v>22051.63161</v>
      </c>
      <c r="X13" s="169">
        <v>2.1876408383999998E-2</v>
      </c>
      <c r="Y13" s="169">
        <v>0.37379765761599998</v>
      </c>
      <c r="Z13" s="169">
        <v>7.9413138620999996E-2</v>
      </c>
    </row>
    <row r="14" spans="1:27" ht="15.75" thickBot="1">
      <c r="A14" s="160">
        <v>11939</v>
      </c>
      <c r="B14" s="160">
        <v>11942</v>
      </c>
      <c r="C14" s="160" t="s">
        <v>1397</v>
      </c>
      <c r="D14" s="160"/>
      <c r="E14" s="160"/>
      <c r="F14" s="165" t="s">
        <v>1399</v>
      </c>
      <c r="G14" s="165">
        <v>11017989</v>
      </c>
      <c r="H14" s="165" t="s">
        <v>78</v>
      </c>
      <c r="I14" s="165" t="s">
        <v>280</v>
      </c>
      <c r="J14" s="180"/>
      <c r="K14" s="165" t="s">
        <v>61</v>
      </c>
      <c r="L14" s="160"/>
      <c r="M14" s="160"/>
      <c r="N14" s="165" t="s">
        <v>313</v>
      </c>
      <c r="O14" s="165" t="s">
        <v>62</v>
      </c>
      <c r="P14" s="173">
        <v>43718</v>
      </c>
      <c r="Q14" s="165" t="s">
        <v>1210</v>
      </c>
      <c r="R14" s="165" t="s">
        <v>303</v>
      </c>
      <c r="S14" s="165" t="s">
        <v>305</v>
      </c>
      <c r="T14" s="172">
        <v>45565</v>
      </c>
      <c r="U14" s="168">
        <v>3.71</v>
      </c>
      <c r="V14" s="168">
        <v>1795.7587681940699</v>
      </c>
      <c r="W14" s="168">
        <v>6662.2650299999996</v>
      </c>
      <c r="X14" s="169">
        <v>1.1549578035000001E-2</v>
      </c>
      <c r="Y14" s="169">
        <v>0.112932190537</v>
      </c>
      <c r="Z14" s="169">
        <v>2.3992391389000001E-2</v>
      </c>
    </row>
    <row r="15" spans="1:27" ht="15.75" thickBot="1">
      <c r="A15" s="160">
        <v>11939</v>
      </c>
      <c r="B15" s="160">
        <v>11942</v>
      </c>
      <c r="C15" s="160" t="s">
        <v>1400</v>
      </c>
      <c r="D15" s="160"/>
      <c r="E15" s="160"/>
      <c r="F15" s="165" t="s">
        <v>1401</v>
      </c>
      <c r="G15" s="165">
        <v>11019167</v>
      </c>
      <c r="H15" s="165" t="s">
        <v>78</v>
      </c>
      <c r="I15" s="165" t="s">
        <v>280</v>
      </c>
      <c r="J15" s="180"/>
      <c r="K15" s="165" t="s">
        <v>61</v>
      </c>
      <c r="L15" s="160"/>
      <c r="M15" s="160"/>
      <c r="N15" s="165" t="s">
        <v>314</v>
      </c>
      <c r="O15" s="165" t="s">
        <v>62</v>
      </c>
      <c r="P15" s="173">
        <v>44404</v>
      </c>
      <c r="Q15" s="165" t="s">
        <v>1210</v>
      </c>
      <c r="R15" s="165" t="s">
        <v>303</v>
      </c>
      <c r="S15" s="165" t="s">
        <v>305</v>
      </c>
      <c r="T15" s="172">
        <v>45565</v>
      </c>
      <c r="U15" s="168">
        <v>3.71</v>
      </c>
      <c r="V15" s="168">
        <v>5507.1120296496001</v>
      </c>
      <c r="W15" s="168">
        <v>20431.385630000001</v>
      </c>
      <c r="X15" s="169">
        <v>6.54E-2</v>
      </c>
      <c r="Y15" s="169">
        <v>0.34633283493099998</v>
      </c>
      <c r="Z15" s="169">
        <v>7.3578249807000007E-2</v>
      </c>
    </row>
    <row r="16" spans="1:27" ht="15.75" thickBot="1">
      <c r="A16" s="160">
        <v>11939</v>
      </c>
      <c r="B16" s="160">
        <v>11942</v>
      </c>
      <c r="C16" s="160" t="s">
        <v>1402</v>
      </c>
      <c r="D16" s="160"/>
      <c r="E16" s="160"/>
      <c r="F16" s="165" t="s">
        <v>1403</v>
      </c>
      <c r="G16" s="165">
        <v>11019396</v>
      </c>
      <c r="H16" s="165" t="s">
        <v>78</v>
      </c>
      <c r="I16" s="165" t="s">
        <v>280</v>
      </c>
      <c r="J16" s="180"/>
      <c r="K16" s="165" t="s">
        <v>61</v>
      </c>
      <c r="L16" s="160"/>
      <c r="M16" s="160"/>
      <c r="N16" s="165" t="s">
        <v>314</v>
      </c>
      <c r="O16" s="165" t="s">
        <v>62</v>
      </c>
      <c r="P16" s="173">
        <v>44530</v>
      </c>
      <c r="Q16" s="165" t="s">
        <v>1210</v>
      </c>
      <c r="R16" s="165" t="s">
        <v>303</v>
      </c>
      <c r="S16" s="165" t="s">
        <v>305</v>
      </c>
      <c r="T16" s="172">
        <v>45565</v>
      </c>
      <c r="U16" s="168">
        <v>3.71</v>
      </c>
      <c r="V16" s="168">
        <v>-5.0134770799999996E-4</v>
      </c>
      <c r="W16" s="168">
        <v>-1.8600000000000001E-3</v>
      </c>
      <c r="X16" s="169"/>
      <c r="Y16" s="169">
        <v>-3.1528897972895499E-8</v>
      </c>
      <c r="Z16" s="169">
        <v>-6.6982997198478897E-9</v>
      </c>
    </row>
    <row r="17" spans="1:26" ht="15.75" thickBot="1">
      <c r="A17" s="160">
        <v>11939</v>
      </c>
      <c r="B17" s="160">
        <v>11942</v>
      </c>
      <c r="C17" s="160" t="s">
        <v>1415</v>
      </c>
      <c r="D17" s="160"/>
      <c r="E17" s="160"/>
      <c r="F17" s="165" t="s">
        <v>1404</v>
      </c>
      <c r="G17" s="165">
        <v>11019503</v>
      </c>
      <c r="H17" s="165" t="s">
        <v>78</v>
      </c>
      <c r="I17" s="165" t="s">
        <v>280</v>
      </c>
      <c r="J17" s="180"/>
      <c r="K17" s="165" t="s">
        <v>61</v>
      </c>
      <c r="L17" s="160"/>
      <c r="M17" s="160"/>
      <c r="N17" s="165" t="s">
        <v>314</v>
      </c>
      <c r="O17" s="165" t="s">
        <v>62</v>
      </c>
      <c r="P17" s="173">
        <v>44655</v>
      </c>
      <c r="Q17" s="165" t="s">
        <v>1210</v>
      </c>
      <c r="R17" s="165" t="s">
        <v>303</v>
      </c>
      <c r="S17" s="165" t="s">
        <v>305</v>
      </c>
      <c r="T17" s="172">
        <v>45565</v>
      </c>
      <c r="U17" s="168">
        <v>3.71</v>
      </c>
      <c r="V17" s="168">
        <v>2614.6468948787101</v>
      </c>
      <c r="W17" s="168">
        <v>9700.3399800000007</v>
      </c>
      <c r="X17" s="169">
        <v>2.5000000000000001E-2</v>
      </c>
      <c r="Y17" s="169">
        <v>0.164430661038</v>
      </c>
      <c r="Z17" s="169">
        <v>3.4933217511000002E-2</v>
      </c>
    </row>
    <row r="18" spans="1:26" ht="15.75" thickBot="1">
      <c r="A18" s="160">
        <v>11939</v>
      </c>
      <c r="B18" s="160">
        <v>11942</v>
      </c>
      <c r="C18" s="160" t="s">
        <v>1402</v>
      </c>
      <c r="D18" s="160"/>
      <c r="E18" s="160"/>
      <c r="F18" s="165" t="s">
        <v>1403</v>
      </c>
      <c r="G18" s="165">
        <v>11020454</v>
      </c>
      <c r="H18" s="165" t="s">
        <v>78</v>
      </c>
      <c r="I18" s="165" t="s">
        <v>280</v>
      </c>
      <c r="J18" s="180"/>
      <c r="K18" s="165" t="s">
        <v>61</v>
      </c>
      <c r="L18" s="160"/>
      <c r="M18" s="160"/>
      <c r="N18" s="165" t="s">
        <v>314</v>
      </c>
      <c r="O18" s="165" t="s">
        <v>62</v>
      </c>
      <c r="P18" s="173">
        <v>44530</v>
      </c>
      <c r="Q18" s="165" t="s">
        <v>1208</v>
      </c>
      <c r="R18" s="165" t="s">
        <v>303</v>
      </c>
      <c r="S18" s="165" t="s">
        <v>305</v>
      </c>
      <c r="T18" s="172">
        <v>45565</v>
      </c>
      <c r="U18" s="168">
        <v>1</v>
      </c>
      <c r="V18" s="168">
        <v>147.87826000000001</v>
      </c>
      <c r="W18" s="168">
        <v>147.87826000000001</v>
      </c>
      <c r="X18" s="169"/>
      <c r="Y18" s="169">
        <v>2.5066874040000002E-3</v>
      </c>
      <c r="Z18" s="169">
        <v>5.3254457300000002E-4</v>
      </c>
    </row>
    <row r="19" spans="1:26" ht="15.75" thickBot="1">
      <c r="A19" s="160">
        <v>11939</v>
      </c>
      <c r="B19" s="160">
        <v>11979</v>
      </c>
      <c r="C19" s="160" t="s">
        <v>1406</v>
      </c>
      <c r="D19" s="160"/>
      <c r="E19" s="160"/>
      <c r="F19" s="165" t="s">
        <v>1407</v>
      </c>
      <c r="G19" s="165">
        <v>11017147</v>
      </c>
      <c r="H19" s="165" t="s">
        <v>78</v>
      </c>
      <c r="I19" s="165" t="s">
        <v>1405</v>
      </c>
      <c r="J19" s="180"/>
      <c r="K19" s="165" t="s">
        <v>53</v>
      </c>
      <c r="L19" s="160"/>
      <c r="M19" s="160"/>
      <c r="N19" s="165" t="s">
        <v>53</v>
      </c>
      <c r="O19" s="165" t="s">
        <v>62</v>
      </c>
      <c r="P19" s="173">
        <v>43066</v>
      </c>
      <c r="Q19" s="165" t="s">
        <v>1210</v>
      </c>
      <c r="R19" s="165" t="s">
        <v>303</v>
      </c>
      <c r="S19" s="165" t="s">
        <v>305</v>
      </c>
      <c r="T19" s="172">
        <v>45565</v>
      </c>
      <c r="U19" s="168">
        <v>3.71</v>
      </c>
      <c r="V19" s="168">
        <v>107.166</v>
      </c>
      <c r="W19" s="168">
        <v>397.58586000000003</v>
      </c>
      <c r="X19" s="169">
        <v>2.5999999999999998E-4</v>
      </c>
      <c r="Y19" s="169">
        <v>1</v>
      </c>
      <c r="Z19" s="169">
        <v>1.2297624104E-2</v>
      </c>
    </row>
    <row r="20" spans="1:26" ht="15.75" thickBot="1">
      <c r="A20" s="160">
        <v>11342</v>
      </c>
      <c r="B20" s="160">
        <v>11343</v>
      </c>
      <c r="C20" s="160" t="s">
        <v>1396</v>
      </c>
      <c r="D20" s="160"/>
      <c r="E20" s="160"/>
      <c r="F20" s="165" t="s">
        <v>1408</v>
      </c>
      <c r="G20" s="165">
        <v>11018811</v>
      </c>
      <c r="H20" s="165" t="s">
        <v>78</v>
      </c>
      <c r="I20" s="165" t="s">
        <v>943</v>
      </c>
      <c r="J20" s="180"/>
      <c r="K20" s="165" t="s">
        <v>53</v>
      </c>
      <c r="L20" s="160"/>
      <c r="M20" s="160"/>
      <c r="N20" s="165" t="s">
        <v>53</v>
      </c>
      <c r="O20" s="165" t="s">
        <v>62</v>
      </c>
      <c r="P20" s="173">
        <v>44220</v>
      </c>
      <c r="Q20" s="165" t="s">
        <v>1208</v>
      </c>
      <c r="R20" s="165" t="s">
        <v>303</v>
      </c>
      <c r="S20" s="165" t="s">
        <v>305</v>
      </c>
      <c r="T20" s="172">
        <v>45565</v>
      </c>
      <c r="U20" s="168">
        <v>1</v>
      </c>
      <c r="V20" s="168">
        <v>4429.8487400000004</v>
      </c>
      <c r="W20" s="168">
        <v>4429.8487400000004</v>
      </c>
      <c r="X20" s="169">
        <v>1</v>
      </c>
      <c r="Y20" s="169">
        <v>0.10055214804199999</v>
      </c>
      <c r="Z20" s="169">
        <v>9.6033684310000006E-3</v>
      </c>
    </row>
    <row r="21" spans="1:26" s="44" customFormat="1" ht="15.75" thickBot="1">
      <c r="A21" s="160">
        <v>11342</v>
      </c>
      <c r="B21" s="160">
        <v>11343</v>
      </c>
      <c r="C21" s="160" t="s">
        <v>1409</v>
      </c>
      <c r="D21" s="160"/>
      <c r="E21" s="160"/>
      <c r="F21" s="165" t="s">
        <v>1410</v>
      </c>
      <c r="G21" s="165">
        <v>11019771</v>
      </c>
      <c r="H21" s="165" t="s">
        <v>78</v>
      </c>
      <c r="I21" s="165" t="s">
        <v>280</v>
      </c>
      <c r="J21" s="180"/>
      <c r="K21" s="165" t="s">
        <v>53</v>
      </c>
      <c r="L21" s="160"/>
      <c r="M21" s="160"/>
      <c r="N21" s="165" t="s">
        <v>53</v>
      </c>
      <c r="O21" s="165" t="s">
        <v>62</v>
      </c>
      <c r="P21" s="173">
        <v>44818</v>
      </c>
      <c r="Q21" s="165" t="s">
        <v>1208</v>
      </c>
      <c r="R21" s="165" t="s">
        <v>303</v>
      </c>
      <c r="S21" s="165" t="s">
        <v>305</v>
      </c>
      <c r="T21" s="172">
        <v>45565</v>
      </c>
      <c r="U21" s="168">
        <v>1</v>
      </c>
      <c r="V21" s="168">
        <v>18221.56378</v>
      </c>
      <c r="W21" s="168">
        <v>18221.56378</v>
      </c>
      <c r="X21" s="169">
        <v>1.0370000000000001E-2</v>
      </c>
      <c r="Y21" s="169">
        <v>0.41360721015500002</v>
      </c>
      <c r="Z21" s="169">
        <v>3.9502114099999999E-2</v>
      </c>
    </row>
    <row r="22" spans="1:26" ht="15.75" thickBot="1">
      <c r="A22" s="160">
        <v>11342</v>
      </c>
      <c r="B22" s="160">
        <v>11343</v>
      </c>
      <c r="C22" s="160" t="s">
        <v>1411</v>
      </c>
      <c r="D22" s="160"/>
      <c r="E22" s="160"/>
      <c r="F22" s="165" t="s">
        <v>1412</v>
      </c>
      <c r="G22" s="165">
        <v>11019488</v>
      </c>
      <c r="H22" s="165" t="s">
        <v>78</v>
      </c>
      <c r="I22" s="165" t="s">
        <v>943</v>
      </c>
      <c r="J22" s="180"/>
      <c r="K22" s="165" t="s">
        <v>61</v>
      </c>
      <c r="L22" s="160"/>
      <c r="M22" s="160"/>
      <c r="N22" s="165" t="s">
        <v>314</v>
      </c>
      <c r="O22" s="165" t="s">
        <v>62</v>
      </c>
      <c r="P22" s="173">
        <v>44629</v>
      </c>
      <c r="Q22" s="165" t="s">
        <v>1210</v>
      </c>
      <c r="R22" s="165" t="s">
        <v>303</v>
      </c>
      <c r="S22" s="165" t="s">
        <v>305</v>
      </c>
      <c r="T22" s="172">
        <v>45565</v>
      </c>
      <c r="U22" s="168">
        <v>3.71</v>
      </c>
      <c r="V22" s="168">
        <v>5769.2250000000004</v>
      </c>
      <c r="W22" s="168">
        <v>21403.82475</v>
      </c>
      <c r="X22" s="169">
        <v>8.0699999999999994E-2</v>
      </c>
      <c r="Y22" s="169">
        <v>0.48584064180199998</v>
      </c>
      <c r="Z22" s="169">
        <v>4.6400865351999998E-2</v>
      </c>
    </row>
    <row r="23" spans="1:26" ht="15.75" thickBot="1">
      <c r="A23" s="160">
        <v>7891</v>
      </c>
      <c r="B23" s="160">
        <v>7892</v>
      </c>
      <c r="C23" s="160"/>
      <c r="D23" s="160"/>
      <c r="E23" s="160"/>
      <c r="F23" s="165"/>
      <c r="G23" s="165"/>
      <c r="H23" s="165"/>
      <c r="I23" s="165"/>
      <c r="J23" s="180"/>
      <c r="K23" s="165"/>
      <c r="L23" s="160"/>
      <c r="M23" s="160"/>
      <c r="N23" s="165"/>
      <c r="O23" s="165"/>
      <c r="P23" s="173"/>
      <c r="Q23" s="165"/>
      <c r="R23" s="165"/>
      <c r="S23" s="165"/>
      <c r="T23" s="172"/>
      <c r="U23" s="168"/>
      <c r="V23" s="168"/>
      <c r="W23" s="168"/>
      <c r="X23" s="169"/>
      <c r="Y23" s="169"/>
      <c r="Z23" s="169"/>
    </row>
    <row r="24" spans="1:26" ht="15.75" thickBot="1">
      <c r="A24" s="160">
        <v>7891</v>
      </c>
      <c r="B24" s="160">
        <v>7893</v>
      </c>
      <c r="C24" s="160"/>
      <c r="D24" s="160"/>
      <c r="E24" s="160"/>
      <c r="F24" s="165"/>
      <c r="G24" s="165"/>
      <c r="H24" s="165"/>
      <c r="I24" s="165"/>
      <c r="J24" s="180"/>
      <c r="K24" s="165"/>
      <c r="L24" s="160"/>
      <c r="M24" s="160"/>
      <c r="N24" s="165"/>
      <c r="O24" s="165"/>
      <c r="P24" s="173"/>
      <c r="Q24" s="165"/>
      <c r="R24" s="165"/>
      <c r="S24" s="165"/>
      <c r="T24" s="172"/>
      <c r="U24" s="168"/>
      <c r="V24" s="168"/>
      <c r="W24" s="168"/>
      <c r="X24" s="169"/>
      <c r="Y24" s="169"/>
      <c r="Z24" s="169"/>
    </row>
    <row r="25" spans="1:26" ht="15.75" thickBot="1">
      <c r="A25" s="160">
        <v>7891</v>
      </c>
      <c r="B25" s="160">
        <v>7894</v>
      </c>
      <c r="C25" s="160"/>
      <c r="D25" s="160"/>
      <c r="E25" s="160"/>
      <c r="F25" s="165"/>
      <c r="G25" s="165"/>
      <c r="H25" s="165"/>
      <c r="I25" s="165"/>
      <c r="J25" s="180"/>
      <c r="K25" s="165"/>
      <c r="L25" s="160"/>
      <c r="M25" s="160"/>
      <c r="N25" s="165"/>
      <c r="O25" s="165"/>
      <c r="P25" s="173"/>
      <c r="Q25" s="165"/>
      <c r="R25" s="165"/>
      <c r="S25" s="165"/>
      <c r="T25" s="172"/>
      <c r="U25" s="168"/>
      <c r="V25" s="168"/>
      <c r="W25" s="168"/>
      <c r="X25" s="169"/>
      <c r="Y25" s="169"/>
      <c r="Z25" s="169"/>
    </row>
    <row r="26" spans="1:26" ht="15.75" thickBot="1">
      <c r="A26" s="160">
        <v>7891</v>
      </c>
      <c r="B26" s="160">
        <v>7895</v>
      </c>
      <c r="C26" s="160"/>
      <c r="D26" s="160"/>
      <c r="E26" s="160"/>
      <c r="F26" s="165"/>
      <c r="G26" s="165"/>
      <c r="H26" s="165"/>
      <c r="I26" s="165"/>
      <c r="J26" s="180"/>
      <c r="K26" s="165"/>
      <c r="L26" s="160"/>
      <c r="M26" s="160"/>
      <c r="N26" s="165"/>
      <c r="O26" s="165"/>
      <c r="P26" s="173"/>
      <c r="Q26" s="165"/>
      <c r="R26" s="165"/>
      <c r="S26" s="165"/>
      <c r="T26" s="172"/>
      <c r="U26" s="168"/>
      <c r="V26" s="168"/>
      <c r="W26" s="168"/>
      <c r="X26" s="169"/>
      <c r="Y26" s="169"/>
      <c r="Z26" s="169"/>
    </row>
    <row r="27" spans="1:26" ht="15.75" thickBot="1">
      <c r="A27" s="160">
        <v>7891</v>
      </c>
      <c r="B27" s="160">
        <v>7896</v>
      </c>
      <c r="C27" s="160"/>
      <c r="D27" s="160"/>
      <c r="E27" s="160"/>
      <c r="F27" s="165"/>
      <c r="G27" s="165"/>
      <c r="H27" s="165"/>
      <c r="I27" s="165"/>
      <c r="J27" s="180"/>
      <c r="K27" s="165"/>
      <c r="L27" s="160"/>
      <c r="M27" s="160"/>
      <c r="N27" s="165"/>
      <c r="O27" s="165"/>
      <c r="P27" s="173"/>
      <c r="Q27" s="165"/>
      <c r="R27" s="165"/>
      <c r="S27" s="165"/>
      <c r="T27" s="172"/>
      <c r="U27" s="168"/>
      <c r="V27" s="168"/>
      <c r="W27" s="168"/>
      <c r="X27" s="169"/>
      <c r="Y27" s="169"/>
      <c r="Z27" s="169"/>
    </row>
    <row r="28" spans="1:26" ht="15.75" thickBot="1">
      <c r="A28" s="160">
        <v>7891</v>
      </c>
      <c r="B28" s="160">
        <v>7898</v>
      </c>
      <c r="C28" s="160"/>
      <c r="D28" s="160"/>
      <c r="E28" s="160"/>
      <c r="F28" s="165"/>
      <c r="G28" s="165"/>
      <c r="H28" s="165"/>
      <c r="I28" s="165"/>
      <c r="J28" s="180"/>
      <c r="K28" s="165"/>
      <c r="L28" s="160"/>
      <c r="M28" s="160"/>
      <c r="N28" s="165"/>
      <c r="O28" s="165"/>
      <c r="P28" s="173"/>
      <c r="Q28" s="165"/>
      <c r="R28" s="165"/>
      <c r="S28" s="165"/>
      <c r="T28" s="172"/>
      <c r="U28" s="168"/>
      <c r="V28" s="168"/>
      <c r="W28" s="168"/>
      <c r="X28" s="169"/>
      <c r="Y28" s="169"/>
      <c r="Z28" s="169"/>
    </row>
    <row r="29" spans="1:26" ht="15.75" thickBot="1">
      <c r="A29" s="160">
        <v>7891</v>
      </c>
      <c r="B29" s="160">
        <v>7899</v>
      </c>
      <c r="C29" s="160"/>
      <c r="D29" s="160"/>
      <c r="E29" s="160"/>
      <c r="F29" s="165"/>
      <c r="G29" s="165"/>
      <c r="H29" s="165"/>
      <c r="I29" s="165"/>
      <c r="J29" s="180"/>
      <c r="K29" s="165"/>
      <c r="L29" s="160"/>
      <c r="M29" s="160"/>
      <c r="N29" s="165"/>
      <c r="O29" s="165"/>
      <c r="P29" s="173"/>
      <c r="Q29" s="165"/>
      <c r="R29" s="165"/>
      <c r="S29" s="165"/>
      <c r="T29" s="172"/>
      <c r="U29" s="168"/>
      <c r="V29" s="168"/>
      <c r="W29" s="168"/>
      <c r="X29" s="169"/>
      <c r="Y29" s="169"/>
      <c r="Z29" s="169"/>
    </row>
    <row r="30" spans="1:26" ht="15.75" thickBot="1">
      <c r="A30" s="160">
        <v>7891</v>
      </c>
      <c r="B30" s="160">
        <v>7900</v>
      </c>
      <c r="C30" s="160"/>
      <c r="D30" s="160"/>
      <c r="E30" s="160"/>
      <c r="F30" s="165"/>
      <c r="G30" s="165"/>
      <c r="H30" s="165"/>
      <c r="I30" s="165"/>
      <c r="J30" s="180"/>
      <c r="K30" s="165"/>
      <c r="L30" s="160"/>
      <c r="M30" s="160"/>
      <c r="N30" s="165"/>
      <c r="O30" s="165"/>
      <c r="P30" s="173"/>
      <c r="Q30" s="165"/>
      <c r="R30" s="165"/>
      <c r="S30" s="165"/>
      <c r="T30" s="172"/>
      <c r="U30" s="168"/>
      <c r="V30" s="168"/>
      <c r="W30" s="168"/>
      <c r="X30" s="169"/>
      <c r="Y30" s="169"/>
      <c r="Z30" s="169"/>
    </row>
    <row r="31" spans="1:26" ht="15.75" thickBot="1">
      <c r="A31" s="160">
        <v>7891</v>
      </c>
      <c r="B31" s="160">
        <v>7901</v>
      </c>
      <c r="C31" s="160"/>
      <c r="D31" s="160"/>
      <c r="E31" s="160"/>
      <c r="F31" s="165"/>
      <c r="G31" s="165"/>
      <c r="H31" s="165"/>
      <c r="I31" s="165"/>
      <c r="J31" s="180"/>
      <c r="K31" s="165"/>
      <c r="L31" s="160"/>
      <c r="M31" s="160"/>
      <c r="N31" s="165"/>
      <c r="O31" s="165"/>
      <c r="P31" s="173"/>
      <c r="Q31" s="165"/>
      <c r="R31" s="165"/>
      <c r="S31" s="165"/>
      <c r="T31" s="172"/>
      <c r="U31" s="168"/>
      <c r="V31" s="168"/>
      <c r="W31" s="168"/>
      <c r="X31" s="169"/>
      <c r="Y31" s="169"/>
      <c r="Z31" s="169"/>
    </row>
    <row r="32" spans="1:26" ht="15.75" thickBot="1">
      <c r="A32" s="160">
        <v>7891</v>
      </c>
      <c r="B32" s="160">
        <v>7902</v>
      </c>
      <c r="C32" s="160"/>
      <c r="D32" s="160"/>
      <c r="E32" s="160"/>
      <c r="F32" s="165"/>
      <c r="G32" s="165"/>
      <c r="H32" s="165"/>
      <c r="I32" s="165"/>
      <c r="J32" s="180"/>
      <c r="K32" s="165"/>
      <c r="L32" s="160"/>
      <c r="M32" s="160"/>
      <c r="N32" s="165"/>
      <c r="O32" s="165"/>
      <c r="P32" s="173"/>
      <c r="Q32" s="165"/>
      <c r="R32" s="165"/>
      <c r="S32" s="165"/>
      <c r="T32" s="172"/>
      <c r="U32" s="168"/>
      <c r="V32" s="168"/>
      <c r="W32" s="168"/>
      <c r="X32" s="169"/>
      <c r="Y32" s="169"/>
      <c r="Z32" s="169"/>
    </row>
    <row r="33" spans="1:26" ht="15.75" thickBot="1">
      <c r="A33" s="160">
        <v>11925</v>
      </c>
      <c r="B33" s="160">
        <v>11926</v>
      </c>
      <c r="C33" s="160"/>
      <c r="D33" s="160"/>
      <c r="E33" s="160"/>
      <c r="F33" s="165"/>
      <c r="G33" s="165"/>
      <c r="H33" s="165"/>
      <c r="I33" s="165"/>
      <c r="J33" s="180"/>
      <c r="K33" s="165"/>
      <c r="L33" s="160"/>
      <c r="M33" s="160"/>
      <c r="N33" s="165"/>
      <c r="O33" s="165"/>
      <c r="P33" s="173"/>
      <c r="Q33" s="165"/>
      <c r="R33" s="165"/>
      <c r="S33" s="165"/>
      <c r="T33" s="172"/>
      <c r="U33" s="168"/>
      <c r="V33" s="168"/>
      <c r="W33" s="168"/>
      <c r="X33" s="169"/>
      <c r="Y33" s="169"/>
      <c r="Z33" s="169"/>
    </row>
    <row r="34" spans="1:26" ht="15.75" thickBot="1">
      <c r="A34" s="160">
        <v>11925</v>
      </c>
      <c r="B34" s="160">
        <v>11927</v>
      </c>
      <c r="C34" s="160"/>
      <c r="D34" s="160"/>
      <c r="E34" s="160"/>
      <c r="F34" s="165"/>
      <c r="G34" s="165"/>
      <c r="H34" s="165"/>
      <c r="I34" s="165"/>
      <c r="J34" s="180"/>
      <c r="K34" s="165"/>
      <c r="L34" s="160"/>
      <c r="M34" s="160"/>
      <c r="N34" s="165"/>
      <c r="O34" s="165"/>
      <c r="P34" s="173"/>
      <c r="Q34" s="165"/>
      <c r="R34" s="165"/>
      <c r="S34" s="165"/>
      <c r="T34" s="172"/>
      <c r="U34" s="168"/>
      <c r="V34" s="168"/>
      <c r="W34" s="168"/>
      <c r="X34" s="169"/>
      <c r="Y34" s="169"/>
      <c r="Z34" s="169"/>
    </row>
    <row r="35" spans="1:26" ht="15.75" thickBot="1">
      <c r="A35" s="160">
        <v>11925</v>
      </c>
      <c r="B35" s="160">
        <v>11929</v>
      </c>
      <c r="C35" s="160"/>
      <c r="D35" s="160"/>
      <c r="E35" s="160"/>
      <c r="F35" s="165"/>
      <c r="G35" s="165"/>
      <c r="H35" s="165"/>
      <c r="I35" s="165"/>
      <c r="J35" s="180"/>
      <c r="K35" s="165"/>
      <c r="L35" s="160"/>
      <c r="M35" s="160"/>
      <c r="N35" s="165"/>
      <c r="O35" s="165"/>
      <c r="P35" s="173"/>
      <c r="Q35" s="165"/>
      <c r="R35" s="165"/>
      <c r="S35" s="165"/>
      <c r="T35" s="172"/>
      <c r="U35" s="168"/>
      <c r="V35" s="168"/>
      <c r="W35" s="168"/>
      <c r="X35" s="169"/>
      <c r="Y35" s="169"/>
      <c r="Z35" s="169"/>
    </row>
    <row r="36" spans="1:26" ht="15.75" thickBot="1">
      <c r="A36" s="160">
        <v>11925</v>
      </c>
      <c r="B36" s="160">
        <v>11930</v>
      </c>
      <c r="C36" s="160"/>
      <c r="D36" s="160"/>
      <c r="E36" s="160"/>
      <c r="F36" s="165"/>
      <c r="G36" s="165"/>
      <c r="H36" s="165"/>
      <c r="I36" s="165"/>
      <c r="J36" s="180"/>
      <c r="K36" s="165"/>
      <c r="L36" s="160"/>
      <c r="M36" s="160"/>
      <c r="N36" s="165"/>
      <c r="O36" s="165"/>
      <c r="P36" s="173"/>
      <c r="Q36" s="165"/>
      <c r="R36" s="165"/>
      <c r="S36" s="165"/>
      <c r="T36" s="172"/>
      <c r="U36" s="168"/>
      <c r="V36" s="168"/>
      <c r="W36" s="168"/>
      <c r="X36" s="169"/>
      <c r="Y36" s="169"/>
      <c r="Z36" s="169"/>
    </row>
    <row r="37" spans="1:26" ht="15.75" thickBot="1">
      <c r="A37" s="160">
        <v>11925</v>
      </c>
      <c r="B37" s="160">
        <v>11931</v>
      </c>
      <c r="C37" s="160"/>
      <c r="D37" s="160"/>
      <c r="E37" s="160"/>
      <c r="F37" s="165"/>
      <c r="G37" s="165"/>
      <c r="H37" s="165"/>
      <c r="I37" s="165"/>
      <c r="J37" s="180"/>
      <c r="K37" s="165"/>
      <c r="L37" s="160"/>
      <c r="M37" s="160"/>
      <c r="N37" s="165"/>
      <c r="O37" s="165"/>
      <c r="P37" s="173"/>
      <c r="Q37" s="165"/>
      <c r="R37" s="165"/>
      <c r="S37" s="165"/>
      <c r="T37" s="172"/>
      <c r="U37" s="168"/>
      <c r="V37" s="168"/>
      <c r="W37" s="168"/>
      <c r="X37" s="169"/>
      <c r="Y37" s="169"/>
      <c r="Z37" s="169"/>
    </row>
    <row r="38" spans="1:26" ht="15.75" thickBot="1">
      <c r="A38" s="160">
        <v>11925</v>
      </c>
      <c r="B38" s="160">
        <v>11932</v>
      </c>
      <c r="C38" s="160"/>
      <c r="D38" s="160"/>
      <c r="E38" s="160"/>
      <c r="F38" s="165"/>
      <c r="G38" s="165"/>
      <c r="H38" s="165"/>
      <c r="I38" s="165"/>
      <c r="J38" s="180"/>
      <c r="K38" s="165"/>
      <c r="L38" s="160"/>
      <c r="M38" s="160"/>
      <c r="N38" s="165"/>
      <c r="O38" s="165"/>
      <c r="P38" s="173"/>
      <c r="Q38" s="165"/>
      <c r="R38" s="165"/>
      <c r="S38" s="165"/>
      <c r="T38" s="172"/>
      <c r="U38" s="168"/>
      <c r="V38" s="168"/>
      <c r="W38" s="168"/>
      <c r="X38" s="169"/>
      <c r="Y38" s="169"/>
      <c r="Z38" s="169"/>
    </row>
    <row r="39" spans="1:26" ht="15.75" thickBot="1">
      <c r="A39" s="160">
        <v>11925</v>
      </c>
      <c r="B39" s="160">
        <v>11933</v>
      </c>
      <c r="C39" s="160"/>
      <c r="D39" s="160"/>
      <c r="E39" s="160"/>
      <c r="F39" s="165"/>
      <c r="G39" s="165"/>
      <c r="H39" s="165"/>
      <c r="I39" s="165"/>
      <c r="J39" s="180"/>
      <c r="K39" s="165"/>
      <c r="L39" s="160"/>
      <c r="M39" s="160"/>
      <c r="N39" s="165"/>
      <c r="O39" s="165"/>
      <c r="P39" s="173"/>
      <c r="Q39" s="165"/>
      <c r="R39" s="165"/>
      <c r="S39" s="165"/>
      <c r="T39" s="172"/>
      <c r="U39" s="168"/>
      <c r="V39" s="168"/>
      <c r="W39" s="168"/>
      <c r="X39" s="169"/>
      <c r="Y39" s="169"/>
      <c r="Z39" s="169"/>
    </row>
    <row r="40" spans="1:26" ht="15.75" thickBot="1">
      <c r="A40" s="160">
        <v>11925</v>
      </c>
      <c r="B40" s="160">
        <v>11934</v>
      </c>
      <c r="C40" s="160"/>
      <c r="D40" s="160"/>
      <c r="E40" s="160"/>
      <c r="F40" s="165"/>
      <c r="G40" s="165"/>
      <c r="H40" s="165"/>
      <c r="I40" s="165"/>
      <c r="J40" s="180"/>
      <c r="K40" s="165"/>
      <c r="L40" s="160"/>
      <c r="M40" s="160"/>
      <c r="N40" s="165"/>
      <c r="O40" s="165"/>
      <c r="P40" s="173"/>
      <c r="Q40" s="165"/>
      <c r="R40" s="165"/>
      <c r="S40" s="165"/>
      <c r="T40" s="172"/>
      <c r="U40" s="168"/>
      <c r="V40" s="168"/>
      <c r="W40" s="168"/>
      <c r="X40" s="169"/>
      <c r="Y40" s="169"/>
      <c r="Z40" s="169"/>
    </row>
    <row r="41" spans="1:26" ht="15.75" thickBot="1">
      <c r="A41" s="160">
        <v>11925</v>
      </c>
      <c r="B41" s="160">
        <v>11935</v>
      </c>
      <c r="C41" s="160"/>
      <c r="D41" s="160"/>
      <c r="E41" s="160"/>
      <c r="F41" s="165"/>
      <c r="G41" s="165"/>
      <c r="H41" s="165"/>
      <c r="I41" s="165"/>
      <c r="J41" s="180"/>
      <c r="K41" s="165"/>
      <c r="L41" s="160"/>
      <c r="M41" s="160"/>
      <c r="N41" s="165"/>
      <c r="O41" s="165"/>
      <c r="P41" s="173"/>
      <c r="Q41" s="165"/>
      <c r="R41" s="165"/>
      <c r="S41" s="165"/>
      <c r="T41" s="172"/>
      <c r="U41" s="168"/>
      <c r="V41" s="168"/>
      <c r="W41" s="168"/>
      <c r="X41" s="169"/>
      <c r="Y41" s="169"/>
      <c r="Z41" s="169"/>
    </row>
    <row r="42" spans="1:26" ht="15.75" thickBot="1">
      <c r="A42" s="160">
        <v>11925</v>
      </c>
      <c r="B42" s="160">
        <v>11936</v>
      </c>
      <c r="C42" s="160"/>
      <c r="D42" s="160"/>
      <c r="E42" s="160"/>
      <c r="F42" s="165"/>
      <c r="G42" s="165"/>
      <c r="H42" s="165"/>
      <c r="I42" s="165"/>
      <c r="J42" s="180"/>
      <c r="K42" s="165"/>
      <c r="L42" s="160"/>
      <c r="M42" s="160"/>
      <c r="N42" s="165"/>
      <c r="O42" s="165"/>
      <c r="P42" s="173"/>
      <c r="Q42" s="165"/>
      <c r="R42" s="165"/>
      <c r="S42" s="165"/>
      <c r="T42" s="172"/>
      <c r="U42" s="168"/>
      <c r="V42" s="168"/>
      <c r="W42" s="168"/>
      <c r="X42" s="169"/>
      <c r="Y42" s="169"/>
      <c r="Z42" s="169"/>
    </row>
    <row r="43" spans="1:26" ht="15.75" thickBot="1">
      <c r="A43" s="160">
        <v>11925</v>
      </c>
      <c r="B43" s="160">
        <v>11937</v>
      </c>
      <c r="C43" s="160"/>
      <c r="D43" s="160"/>
      <c r="E43" s="160"/>
      <c r="F43" s="165"/>
      <c r="G43" s="165"/>
      <c r="H43" s="165"/>
      <c r="I43" s="165"/>
      <c r="J43" s="180"/>
      <c r="K43" s="165"/>
      <c r="L43" s="160"/>
      <c r="M43" s="160"/>
      <c r="N43" s="165"/>
      <c r="O43" s="165"/>
      <c r="P43" s="173"/>
      <c r="Q43" s="165"/>
      <c r="R43" s="165"/>
      <c r="S43" s="165"/>
      <c r="T43" s="172"/>
      <c r="U43" s="168"/>
      <c r="V43" s="168"/>
      <c r="W43" s="168"/>
      <c r="X43" s="169"/>
      <c r="Y43" s="169"/>
      <c r="Z43" s="169"/>
    </row>
    <row r="44" spans="1:26" ht="15.75" thickBot="1">
      <c r="A44" s="160">
        <v>11939</v>
      </c>
      <c r="B44" s="160">
        <v>11943</v>
      </c>
      <c r="C44" s="160"/>
      <c r="D44" s="160"/>
      <c r="E44" s="160"/>
      <c r="F44" s="165"/>
      <c r="G44" s="165"/>
      <c r="H44" s="165"/>
      <c r="I44" s="165"/>
      <c r="J44" s="180"/>
      <c r="K44" s="165"/>
      <c r="L44" s="160"/>
      <c r="M44" s="160"/>
      <c r="N44" s="165"/>
      <c r="O44" s="165"/>
      <c r="P44" s="173"/>
      <c r="Q44" s="165"/>
      <c r="R44" s="165"/>
      <c r="S44" s="165"/>
      <c r="T44" s="172"/>
      <c r="U44" s="168"/>
      <c r="V44" s="168"/>
      <c r="W44" s="168"/>
      <c r="X44" s="169"/>
      <c r="Y44" s="169"/>
      <c r="Z44" s="169"/>
    </row>
    <row r="45" spans="1:26" ht="15.75" thickBot="1">
      <c r="A45" s="160">
        <v>11939</v>
      </c>
      <c r="B45" s="160">
        <v>11944</v>
      </c>
      <c r="C45" s="160"/>
      <c r="D45" s="160"/>
      <c r="E45" s="160"/>
      <c r="F45" s="165"/>
      <c r="G45" s="165"/>
      <c r="H45" s="165"/>
      <c r="I45" s="165"/>
      <c r="J45" s="180"/>
      <c r="K45" s="165"/>
      <c r="L45" s="160"/>
      <c r="M45" s="160"/>
      <c r="N45" s="165"/>
      <c r="O45" s="165"/>
      <c r="P45" s="173"/>
      <c r="Q45" s="165"/>
      <c r="R45" s="165"/>
      <c r="S45" s="165"/>
      <c r="T45" s="172"/>
      <c r="U45" s="168"/>
      <c r="V45" s="168"/>
      <c r="W45" s="168"/>
      <c r="X45" s="169"/>
      <c r="Y45" s="169"/>
      <c r="Z45" s="169"/>
    </row>
    <row r="46" spans="1:26" ht="15.75" thickBot="1">
      <c r="A46" s="160">
        <v>11939</v>
      </c>
      <c r="B46" s="160">
        <v>11945</v>
      </c>
      <c r="C46" s="160"/>
      <c r="D46" s="160"/>
      <c r="E46" s="160"/>
      <c r="F46" s="165"/>
      <c r="G46" s="165"/>
      <c r="H46" s="165"/>
      <c r="I46" s="165"/>
      <c r="J46" s="180"/>
      <c r="K46" s="165"/>
      <c r="L46" s="160"/>
      <c r="M46" s="160"/>
      <c r="N46" s="165"/>
      <c r="O46" s="165"/>
      <c r="P46" s="173"/>
      <c r="Q46" s="165"/>
      <c r="R46" s="165"/>
      <c r="S46" s="165"/>
      <c r="T46" s="172"/>
      <c r="U46" s="168"/>
      <c r="V46" s="168"/>
      <c r="W46" s="168"/>
      <c r="X46" s="169"/>
      <c r="Y46" s="169"/>
      <c r="Z46" s="169"/>
    </row>
    <row r="47" spans="1:26" ht="15.75" thickBot="1">
      <c r="A47" s="160">
        <v>11939</v>
      </c>
      <c r="B47" s="160">
        <v>11946</v>
      </c>
      <c r="C47" s="160"/>
      <c r="D47" s="160"/>
      <c r="E47" s="160"/>
      <c r="F47" s="165"/>
      <c r="G47" s="165"/>
      <c r="H47" s="165"/>
      <c r="I47" s="165"/>
      <c r="J47" s="180"/>
      <c r="K47" s="165"/>
      <c r="L47" s="160"/>
      <c r="M47" s="160"/>
      <c r="N47" s="165"/>
      <c r="O47" s="165"/>
      <c r="P47" s="173"/>
      <c r="Q47" s="165"/>
      <c r="R47" s="165"/>
      <c r="S47" s="165"/>
      <c r="T47" s="172"/>
      <c r="U47" s="168"/>
      <c r="V47" s="168"/>
      <c r="W47" s="168"/>
      <c r="X47" s="169"/>
      <c r="Y47" s="169"/>
      <c r="Z47" s="169"/>
    </row>
    <row r="48" spans="1:26" ht="15.75" thickBot="1">
      <c r="A48" s="160">
        <v>11939</v>
      </c>
      <c r="B48" s="160">
        <v>11947</v>
      </c>
      <c r="C48" s="160"/>
      <c r="D48" s="160"/>
      <c r="E48" s="160"/>
      <c r="F48" s="165"/>
      <c r="G48" s="165"/>
      <c r="H48" s="165"/>
      <c r="I48" s="165"/>
      <c r="J48" s="180"/>
      <c r="K48" s="165"/>
      <c r="L48" s="160"/>
      <c r="M48" s="160"/>
      <c r="N48" s="165"/>
      <c r="O48" s="165"/>
      <c r="P48" s="173"/>
      <c r="Q48" s="165"/>
      <c r="R48" s="165"/>
      <c r="S48" s="165"/>
      <c r="T48" s="172"/>
      <c r="U48" s="168"/>
      <c r="V48" s="168"/>
      <c r="W48" s="168"/>
      <c r="X48" s="169"/>
      <c r="Y48" s="169"/>
      <c r="Z48" s="169"/>
    </row>
    <row r="49" spans="1:26" ht="15.75" thickBot="1">
      <c r="A49" s="160">
        <v>11939</v>
      </c>
      <c r="B49" s="160">
        <v>11948</v>
      </c>
      <c r="C49" s="160"/>
      <c r="D49" s="160"/>
      <c r="E49" s="160"/>
      <c r="F49" s="165"/>
      <c r="G49" s="165"/>
      <c r="H49" s="165"/>
      <c r="I49" s="165"/>
      <c r="J49" s="180"/>
      <c r="K49" s="165"/>
      <c r="L49" s="160"/>
      <c r="M49" s="160"/>
      <c r="N49" s="165"/>
      <c r="O49" s="165"/>
      <c r="P49" s="173"/>
      <c r="Q49" s="165"/>
      <c r="R49" s="165"/>
      <c r="S49" s="165"/>
      <c r="T49" s="172"/>
      <c r="U49" s="168"/>
      <c r="V49" s="168"/>
      <c r="W49" s="168"/>
      <c r="X49" s="169"/>
      <c r="Y49" s="169"/>
      <c r="Z49" s="169"/>
    </row>
    <row r="50" spans="1:26" ht="15.75" thickBot="1">
      <c r="A50" s="160">
        <v>11939</v>
      </c>
      <c r="B50" s="160">
        <v>11949</v>
      </c>
      <c r="C50" s="160"/>
      <c r="D50" s="160"/>
      <c r="E50" s="160"/>
      <c r="F50" s="165"/>
      <c r="G50" s="165"/>
      <c r="H50" s="165"/>
      <c r="I50" s="165"/>
      <c r="J50" s="180"/>
      <c r="K50" s="165"/>
      <c r="L50" s="160"/>
      <c r="M50" s="160"/>
      <c r="N50" s="165"/>
      <c r="O50" s="165"/>
      <c r="P50" s="173"/>
      <c r="Q50" s="165"/>
      <c r="R50" s="165"/>
      <c r="S50" s="165"/>
      <c r="T50" s="172"/>
      <c r="U50" s="168"/>
      <c r="V50" s="168"/>
      <c r="W50" s="168"/>
      <c r="X50" s="169"/>
      <c r="Y50" s="169"/>
      <c r="Z50" s="169"/>
    </row>
    <row r="51" spans="1:26" ht="15.75" thickBot="1">
      <c r="A51" s="160">
        <v>11939</v>
      </c>
      <c r="B51" s="160">
        <v>11950</v>
      </c>
      <c r="C51" s="160"/>
      <c r="D51" s="160"/>
      <c r="E51" s="160"/>
      <c r="F51" s="165"/>
      <c r="G51" s="165"/>
      <c r="H51" s="165"/>
      <c r="I51" s="165"/>
      <c r="J51" s="180"/>
      <c r="K51" s="165"/>
      <c r="L51" s="160"/>
      <c r="M51" s="160"/>
      <c r="N51" s="165"/>
      <c r="O51" s="165"/>
      <c r="P51" s="173"/>
      <c r="Q51" s="165"/>
      <c r="R51" s="165"/>
      <c r="S51" s="165"/>
      <c r="T51" s="172"/>
      <c r="U51" s="168"/>
      <c r="V51" s="168"/>
      <c r="W51" s="168"/>
      <c r="X51" s="169"/>
      <c r="Y51" s="169"/>
      <c r="Z51" s="169"/>
    </row>
    <row r="52" spans="1:26" ht="15.75" thickBot="1">
      <c r="A52" s="160">
        <v>11939</v>
      </c>
      <c r="B52" s="160">
        <v>11980</v>
      </c>
      <c r="C52" s="160"/>
      <c r="D52" s="160"/>
      <c r="E52" s="160"/>
      <c r="F52" s="165"/>
      <c r="G52" s="165"/>
      <c r="H52" s="165"/>
      <c r="I52" s="165"/>
      <c r="J52" s="180"/>
      <c r="K52" s="165"/>
      <c r="L52" s="160"/>
      <c r="M52" s="160"/>
      <c r="N52" s="165"/>
      <c r="O52" s="165"/>
      <c r="P52" s="173"/>
      <c r="Q52" s="165"/>
      <c r="R52" s="165"/>
      <c r="S52" s="165"/>
      <c r="T52" s="172"/>
      <c r="U52" s="168"/>
      <c r="V52" s="168"/>
      <c r="W52" s="168"/>
      <c r="X52" s="169"/>
      <c r="Y52" s="169"/>
      <c r="Z52" s="169"/>
    </row>
    <row r="53" spans="1:26" ht="15.75" thickBot="1">
      <c r="A53" s="160">
        <v>11939</v>
      </c>
      <c r="B53" s="160">
        <v>11981</v>
      </c>
      <c r="C53" s="160"/>
      <c r="D53" s="160"/>
      <c r="E53" s="160"/>
      <c r="F53" s="165"/>
      <c r="G53" s="165"/>
      <c r="H53" s="165"/>
      <c r="I53" s="165"/>
      <c r="J53" s="180"/>
      <c r="K53" s="165"/>
      <c r="L53" s="160"/>
      <c r="M53" s="160"/>
      <c r="N53" s="165"/>
      <c r="O53" s="165"/>
      <c r="P53" s="173"/>
      <c r="Q53" s="165"/>
      <c r="R53" s="165"/>
      <c r="S53" s="165"/>
      <c r="T53" s="172"/>
      <c r="U53" s="168"/>
      <c r="V53" s="168"/>
      <c r="W53" s="168"/>
      <c r="X53" s="169"/>
      <c r="Y53" s="169"/>
      <c r="Z53" s="169"/>
    </row>
    <row r="54" spans="1:26" ht="15.75" thickBot="1">
      <c r="A54" s="160">
        <v>11342</v>
      </c>
      <c r="B54" s="160">
        <v>11344</v>
      </c>
      <c r="C54" s="160"/>
      <c r="D54" s="160"/>
      <c r="E54" s="160"/>
      <c r="F54" s="165"/>
      <c r="G54" s="165"/>
      <c r="H54" s="165"/>
      <c r="I54" s="165"/>
      <c r="J54" s="180"/>
      <c r="K54" s="165"/>
      <c r="L54" s="160"/>
      <c r="M54" s="160"/>
      <c r="N54" s="165"/>
      <c r="O54" s="165"/>
      <c r="P54" s="173"/>
      <c r="Q54" s="165"/>
      <c r="R54" s="165"/>
      <c r="S54" s="165"/>
      <c r="T54" s="172"/>
      <c r="U54" s="168"/>
      <c r="V54" s="168"/>
      <c r="W54" s="168"/>
      <c r="X54" s="169"/>
      <c r="Y54" s="169"/>
      <c r="Z54" s="169"/>
    </row>
    <row r="55" spans="1:26" ht="15.75" thickBot="1">
      <c r="A55" s="160">
        <v>11342</v>
      </c>
      <c r="B55" s="160">
        <v>11345</v>
      </c>
      <c r="C55" s="160"/>
      <c r="D55" s="160"/>
      <c r="E55" s="160"/>
      <c r="F55" s="165"/>
      <c r="G55" s="165"/>
      <c r="H55" s="165"/>
      <c r="I55" s="165"/>
      <c r="J55" s="180"/>
      <c r="K55" s="165"/>
      <c r="L55" s="160"/>
      <c r="M55" s="160"/>
      <c r="N55" s="165"/>
      <c r="O55" s="165"/>
      <c r="P55" s="173"/>
      <c r="Q55" s="165"/>
      <c r="R55" s="165"/>
      <c r="S55" s="165"/>
      <c r="T55" s="172"/>
      <c r="U55" s="168"/>
      <c r="V55" s="168"/>
      <c r="W55" s="168"/>
      <c r="X55" s="169"/>
      <c r="Y55" s="169"/>
      <c r="Z55" s="169"/>
    </row>
    <row r="1048491" spans="12:12">
      <c r="L1048491" s="22"/>
    </row>
  </sheetData>
  <sheetProtection formatColumns="0"/>
  <customSheetViews>
    <customSheetView guid="{AE318230-F718-49FC-82EB-7CAC3DCD05F1}" showGridLines="0" hiddenRows="1" topLeftCell="P1">
      <selection activeCell="Z2" sqref="Z2"/>
      <pageMargins left="0.7" right="0.7" top="0.75" bottom="0.75" header="0.3" footer="0.3"/>
    </customSheetView>
  </customSheetViews>
  <dataValidations count="4">
    <dataValidation type="list" allowBlank="1" showInputMessage="1" showErrorMessage="1" sqref="J2:J8 J10:J55" xr:uid="{00000000-0002-0000-1300-000000000000}">
      <formula1>Fund_Strategy</formula1>
    </dataValidation>
    <dataValidation type="list" allowBlank="1" showInputMessage="1" showErrorMessage="1" sqref="L1048491:L1048576" xr:uid="{00000000-0002-0000-1300-000001000000}">
      <formula1>Country</formula1>
    </dataValidation>
    <dataValidation type="list" allowBlank="1" showInputMessage="1" showErrorMessage="1" sqref="E2:E55" xr:uid="{00000000-0002-0000-1300-000002000000}">
      <formula1>Issuer_Number_Fund</formula1>
    </dataValidation>
    <dataValidation type="list" allowBlank="1" showInputMessage="1" showErrorMessage="1" sqref="L2:M55" xr:uid="{00000000-0002-0000-1300-000003000000}">
      <formula1>Country_list</formula1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4000000}">
          <x14:formula1>
            <xm:f>'Q:\קופות גמל\חשבות\כללי\דוח נכסים רבעוני\רשימת נכסים-חוזר חדש 03.2023\[single_asset_template-סופי.xlsx]אפשרויות בחירה'!#REF!</xm:f>
          </x14:formula1>
          <xm:sqref>I2:I8 I36:I49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1"/>
  <dimension ref="A1:AB39"/>
  <sheetViews>
    <sheetView rightToLeft="1" workbookViewId="0">
      <selection activeCell="A2" sqref="A2:B39"/>
    </sheetView>
  </sheetViews>
  <sheetFormatPr defaultColWidth="9" defaultRowHeight="15"/>
  <cols>
    <col min="1" max="4" width="11.5703125" style="2" customWidth="1"/>
    <col min="5" max="5" width="11.5703125" style="4" customWidth="1"/>
    <col min="6" max="10" width="11.5703125" style="2" customWidth="1"/>
    <col min="11" max="11" width="11.5703125" style="4" customWidth="1"/>
    <col min="12" max="29" width="11.5703125" style="2" customWidth="1"/>
    <col min="30" max="16384" width="9" style="2"/>
  </cols>
  <sheetData>
    <row r="1" spans="1:28" ht="66.75" customHeight="1">
      <c r="A1" s="21" t="s">
        <v>667</v>
      </c>
      <c r="B1" s="21" t="s">
        <v>0</v>
      </c>
      <c r="C1" s="21" t="s">
        <v>740</v>
      </c>
      <c r="D1" s="21" t="s">
        <v>2</v>
      </c>
      <c r="E1" s="21" t="s">
        <v>756</v>
      </c>
      <c r="F1" s="21" t="s">
        <v>1163</v>
      </c>
      <c r="G1" s="21" t="s">
        <v>29</v>
      </c>
      <c r="H1" s="21" t="s">
        <v>28</v>
      </c>
      <c r="I1" s="21" t="s">
        <v>620</v>
      </c>
      <c r="J1" s="21" t="s">
        <v>621</v>
      </c>
      <c r="K1" s="21" t="s">
        <v>625</v>
      </c>
      <c r="L1" s="21" t="s">
        <v>754</v>
      </c>
      <c r="M1" s="21" t="s">
        <v>9</v>
      </c>
      <c r="N1" s="21" t="s">
        <v>682</v>
      </c>
      <c r="O1" s="21" t="s">
        <v>622</v>
      </c>
      <c r="P1" s="21" t="s">
        <v>12</v>
      </c>
      <c r="Q1" s="21" t="s">
        <v>396</v>
      </c>
      <c r="R1" s="21" t="s">
        <v>933</v>
      </c>
      <c r="S1" s="21" t="s">
        <v>372</v>
      </c>
      <c r="T1" s="21" t="s">
        <v>16</v>
      </c>
      <c r="U1" s="21" t="s">
        <v>23</v>
      </c>
      <c r="V1" s="21" t="s">
        <v>629</v>
      </c>
      <c r="W1" s="21" t="s">
        <v>789</v>
      </c>
      <c r="X1" s="21" t="s">
        <v>15</v>
      </c>
      <c r="Y1" s="21" t="s">
        <v>11</v>
      </c>
      <c r="Z1" s="21" t="s">
        <v>1171</v>
      </c>
      <c r="AA1" s="21" t="s">
        <v>19</v>
      </c>
      <c r="AB1" s="21" t="s">
        <v>30</v>
      </c>
    </row>
    <row r="2" spans="1:28" ht="15.75" thickBot="1">
      <c r="A2" s="160">
        <v>7891</v>
      </c>
      <c r="B2" s="160">
        <v>7892</v>
      </c>
      <c r="C2" s="22"/>
      <c r="D2" s="22"/>
      <c r="E2" s="20"/>
      <c r="F2" s="22"/>
      <c r="G2" s="22"/>
      <c r="H2" s="22"/>
      <c r="I2" s="20"/>
      <c r="J2" s="20"/>
      <c r="K2" s="22"/>
      <c r="L2" s="23"/>
      <c r="M2" s="22"/>
      <c r="N2" s="22"/>
      <c r="O2" s="22"/>
      <c r="P2" s="22"/>
      <c r="Q2" s="20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</row>
    <row r="3" spans="1:28" ht="15.75" thickBot="1">
      <c r="A3" s="160">
        <v>7891</v>
      </c>
      <c r="B3" s="160">
        <v>7893</v>
      </c>
      <c r="C3" s="22"/>
      <c r="D3" s="22"/>
      <c r="E3" s="20"/>
      <c r="F3" s="22"/>
      <c r="G3" s="22"/>
      <c r="H3" s="22"/>
      <c r="I3" s="20"/>
      <c r="J3" s="20"/>
      <c r="K3" s="22"/>
      <c r="L3" s="22"/>
      <c r="M3" s="22"/>
      <c r="N3" s="22"/>
      <c r="O3" s="22"/>
      <c r="P3" s="22"/>
      <c r="Q3" s="20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</row>
    <row r="4" spans="1:28" ht="15.75" thickBot="1">
      <c r="A4" s="160">
        <v>7891</v>
      </c>
      <c r="B4" s="160">
        <v>7894</v>
      </c>
      <c r="C4" s="22"/>
      <c r="D4" s="22"/>
      <c r="E4" s="20"/>
      <c r="F4" s="22"/>
      <c r="G4" s="22"/>
      <c r="H4" s="22"/>
      <c r="I4" s="20"/>
      <c r="J4" s="20"/>
      <c r="K4" s="22"/>
      <c r="L4" s="22"/>
      <c r="M4" s="22"/>
      <c r="N4" s="22"/>
      <c r="O4" s="22"/>
      <c r="P4" s="22"/>
      <c r="Q4" s="20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</row>
    <row r="5" spans="1:28" ht="15.75" thickBot="1">
      <c r="A5" s="160">
        <v>7891</v>
      </c>
      <c r="B5" s="160">
        <v>7895</v>
      </c>
      <c r="C5" s="22"/>
      <c r="D5" s="22"/>
      <c r="E5" s="20"/>
      <c r="F5" s="22"/>
      <c r="G5" s="22"/>
      <c r="H5" s="22"/>
      <c r="I5" s="20"/>
      <c r="J5" s="20"/>
      <c r="K5" s="22"/>
      <c r="L5" s="22"/>
      <c r="M5" s="22"/>
      <c r="N5" s="22"/>
      <c r="O5" s="22"/>
      <c r="P5" s="22"/>
      <c r="Q5" s="20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</row>
    <row r="6" spans="1:28" ht="15.75" thickBot="1">
      <c r="A6" s="160">
        <v>7891</v>
      </c>
      <c r="B6" s="160">
        <v>7896</v>
      </c>
      <c r="C6" s="22"/>
      <c r="D6" s="22"/>
      <c r="E6" s="20"/>
      <c r="F6" s="22"/>
      <c r="G6" s="22"/>
      <c r="H6" s="22"/>
      <c r="I6" s="20"/>
      <c r="J6" s="20"/>
      <c r="K6" s="22"/>
      <c r="L6" s="22"/>
      <c r="M6" s="22"/>
      <c r="N6" s="22"/>
      <c r="O6" s="22"/>
      <c r="P6" s="22"/>
      <c r="Q6" s="20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</row>
    <row r="7" spans="1:28" ht="15.75" thickBot="1">
      <c r="A7" s="160">
        <v>7891</v>
      </c>
      <c r="B7" s="160">
        <v>7897</v>
      </c>
      <c r="C7" s="22"/>
      <c r="D7" s="22"/>
      <c r="E7" s="20"/>
      <c r="F7" s="22"/>
      <c r="G7" s="22"/>
      <c r="H7" s="22"/>
      <c r="I7" s="20"/>
      <c r="J7" s="20"/>
      <c r="K7" s="22"/>
      <c r="L7" s="22"/>
      <c r="M7" s="22"/>
      <c r="N7" s="22"/>
      <c r="O7" s="22"/>
      <c r="P7" s="22"/>
      <c r="Q7" s="20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</row>
    <row r="8" spans="1:28" ht="15.75" thickBot="1">
      <c r="A8" s="160">
        <v>7891</v>
      </c>
      <c r="B8" s="160">
        <v>7898</v>
      </c>
      <c r="C8" s="22"/>
      <c r="D8" s="22"/>
      <c r="E8" s="20"/>
      <c r="F8" s="22"/>
      <c r="G8" s="22"/>
      <c r="H8" s="22"/>
      <c r="I8" s="20"/>
      <c r="J8" s="20"/>
      <c r="K8" s="22"/>
      <c r="L8" s="22"/>
      <c r="M8" s="22"/>
      <c r="N8" s="22"/>
      <c r="O8" s="22"/>
      <c r="P8" s="22"/>
      <c r="Q8" s="20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</row>
    <row r="9" spans="1:28" ht="15.75" thickBot="1">
      <c r="A9" s="160">
        <v>7891</v>
      </c>
      <c r="B9" s="160">
        <v>7899</v>
      </c>
      <c r="C9" s="22"/>
      <c r="D9" s="22"/>
      <c r="E9" s="20"/>
      <c r="F9" s="22"/>
      <c r="G9" s="22"/>
      <c r="H9" s="22"/>
      <c r="I9" s="20"/>
      <c r="J9" s="20"/>
      <c r="K9" s="22"/>
      <c r="L9" s="22"/>
      <c r="M9" s="22"/>
      <c r="N9" s="22"/>
      <c r="O9" s="22"/>
      <c r="P9" s="22"/>
      <c r="Q9" s="20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</row>
    <row r="10" spans="1:28" ht="15.75" thickBot="1">
      <c r="A10" s="160">
        <v>7891</v>
      </c>
      <c r="B10" s="160">
        <v>7900</v>
      </c>
      <c r="C10" s="22"/>
      <c r="D10" s="22"/>
      <c r="E10" s="20"/>
      <c r="F10" s="22"/>
      <c r="G10" s="22"/>
      <c r="H10" s="22"/>
      <c r="I10" s="20"/>
      <c r="J10" s="20"/>
      <c r="K10" s="22"/>
      <c r="L10" s="22"/>
      <c r="M10" s="22"/>
      <c r="N10" s="22"/>
      <c r="O10" s="22"/>
      <c r="P10" s="22"/>
      <c r="Q10" s="20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</row>
    <row r="11" spans="1:28" ht="15.75" thickBot="1">
      <c r="A11" s="160">
        <v>7891</v>
      </c>
      <c r="B11" s="160">
        <v>7901</v>
      </c>
      <c r="C11" s="22"/>
      <c r="D11" s="22"/>
      <c r="E11" s="20"/>
      <c r="F11" s="22"/>
      <c r="G11" s="22"/>
      <c r="H11" s="22"/>
      <c r="I11" s="20"/>
      <c r="J11" s="20"/>
      <c r="K11" s="22"/>
      <c r="L11" s="22"/>
      <c r="M11" s="22"/>
      <c r="N11" s="22"/>
      <c r="O11" s="22"/>
      <c r="P11" s="22"/>
      <c r="Q11" s="20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</row>
    <row r="12" spans="1:28" ht="15.75" thickBot="1">
      <c r="A12" s="160">
        <v>7891</v>
      </c>
      <c r="B12" s="160">
        <v>7902</v>
      </c>
      <c r="C12" s="22"/>
      <c r="D12" s="22"/>
      <c r="E12" s="20"/>
      <c r="F12" s="22"/>
      <c r="G12" s="22"/>
      <c r="H12" s="22"/>
      <c r="I12" s="20"/>
      <c r="J12" s="20"/>
      <c r="K12" s="22"/>
      <c r="L12" s="22"/>
      <c r="M12" s="22"/>
      <c r="N12" s="22"/>
      <c r="O12" s="22"/>
      <c r="P12" s="22"/>
      <c r="Q12" s="20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</row>
    <row r="13" spans="1:28" ht="15.75" thickBot="1">
      <c r="A13" s="160">
        <v>11925</v>
      </c>
      <c r="B13" s="160">
        <v>11926</v>
      </c>
      <c r="C13" s="22"/>
      <c r="D13" s="22"/>
      <c r="E13" s="20"/>
      <c r="F13" s="22"/>
      <c r="G13" s="22"/>
      <c r="H13" s="22"/>
      <c r="I13" s="20"/>
      <c r="J13" s="20"/>
      <c r="K13" s="22"/>
      <c r="L13" s="22"/>
      <c r="M13" s="22"/>
      <c r="N13" s="22"/>
      <c r="O13" s="22"/>
      <c r="P13" s="22"/>
      <c r="Q13" s="20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</row>
    <row r="14" spans="1:28" ht="15.75" thickBot="1">
      <c r="A14" s="160">
        <v>11925</v>
      </c>
      <c r="B14" s="160">
        <v>11927</v>
      </c>
      <c r="C14" s="22"/>
      <c r="D14" s="22"/>
      <c r="E14" s="20"/>
      <c r="F14" s="22"/>
      <c r="G14" s="22"/>
      <c r="H14" s="22"/>
      <c r="I14" s="20"/>
      <c r="J14" s="20"/>
      <c r="K14" s="22"/>
      <c r="L14" s="22"/>
      <c r="M14" s="22"/>
      <c r="N14" s="22"/>
      <c r="O14" s="22"/>
      <c r="P14" s="22"/>
      <c r="Q14" s="20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</row>
    <row r="15" spans="1:28" ht="15.75" thickBot="1">
      <c r="A15" s="160">
        <v>11925</v>
      </c>
      <c r="B15" s="160">
        <v>11928</v>
      </c>
      <c r="C15" s="22"/>
      <c r="D15" s="22"/>
      <c r="E15" s="20"/>
      <c r="F15" s="22"/>
      <c r="G15" s="22"/>
      <c r="H15" s="22"/>
      <c r="I15" s="20"/>
      <c r="J15" s="20"/>
      <c r="K15" s="22"/>
      <c r="L15" s="22"/>
      <c r="M15" s="22"/>
      <c r="N15" s="22"/>
      <c r="O15" s="22"/>
      <c r="P15" s="22"/>
      <c r="Q15" s="20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</row>
    <row r="16" spans="1:28" ht="15.75" thickBot="1">
      <c r="A16" s="160">
        <v>11925</v>
      </c>
      <c r="B16" s="160">
        <v>11929</v>
      </c>
      <c r="C16" s="22"/>
      <c r="D16" s="22"/>
      <c r="E16" s="20"/>
      <c r="F16" s="22"/>
      <c r="G16" s="22"/>
      <c r="H16" s="22"/>
      <c r="I16" s="20"/>
      <c r="J16" s="20"/>
      <c r="K16" s="22"/>
      <c r="L16" s="22"/>
      <c r="M16" s="22"/>
      <c r="N16" s="22"/>
      <c r="O16" s="22"/>
      <c r="P16" s="22"/>
      <c r="Q16" s="20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</row>
    <row r="17" spans="1:28" ht="15.75" thickBot="1">
      <c r="A17" s="160">
        <v>11925</v>
      </c>
      <c r="B17" s="160">
        <v>11930</v>
      </c>
      <c r="C17" s="22"/>
      <c r="D17" s="22"/>
      <c r="E17" s="20"/>
      <c r="F17" s="22"/>
      <c r="G17" s="22"/>
      <c r="H17" s="22"/>
      <c r="I17" s="20"/>
      <c r="J17" s="20"/>
      <c r="K17" s="22"/>
      <c r="L17" s="22"/>
      <c r="M17" s="22"/>
      <c r="N17" s="22"/>
      <c r="O17" s="22"/>
      <c r="P17" s="22"/>
      <c r="Q17" s="20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</row>
    <row r="18" spans="1:28" ht="15.75" thickBot="1">
      <c r="A18" s="160">
        <v>11925</v>
      </c>
      <c r="B18" s="160">
        <v>11931</v>
      </c>
      <c r="C18" s="22"/>
      <c r="D18" s="22"/>
      <c r="E18" s="20"/>
      <c r="F18" s="22"/>
      <c r="G18" s="22"/>
      <c r="H18" s="22"/>
      <c r="I18" s="20"/>
      <c r="J18" s="20"/>
      <c r="K18" s="22"/>
      <c r="L18" s="22"/>
      <c r="M18" s="22"/>
      <c r="N18" s="22"/>
      <c r="O18" s="22"/>
      <c r="P18" s="22"/>
      <c r="Q18" s="20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</row>
    <row r="19" spans="1:28" ht="15.75" thickBot="1">
      <c r="A19" s="160">
        <v>11925</v>
      </c>
      <c r="B19" s="160">
        <v>11932</v>
      </c>
      <c r="C19" s="22"/>
      <c r="D19" s="22"/>
      <c r="E19" s="20"/>
      <c r="F19" s="22"/>
      <c r="G19" s="22"/>
      <c r="H19" s="22"/>
      <c r="I19" s="20"/>
      <c r="J19" s="20"/>
      <c r="K19" s="22"/>
      <c r="L19" s="22"/>
      <c r="M19" s="22"/>
      <c r="N19" s="22"/>
      <c r="O19" s="22"/>
      <c r="P19" s="22"/>
      <c r="Q19" s="20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</row>
    <row r="20" spans="1:28" ht="15.75" thickBot="1">
      <c r="A20" s="160">
        <v>11925</v>
      </c>
      <c r="B20" s="160">
        <v>11933</v>
      </c>
      <c r="E20" s="20"/>
      <c r="H20" s="22"/>
      <c r="I20" s="20"/>
      <c r="J20" s="20"/>
      <c r="K20" s="22"/>
      <c r="M20" s="22"/>
      <c r="O20" s="22"/>
      <c r="S20" s="22"/>
    </row>
    <row r="21" spans="1:28" ht="15.75" thickBot="1">
      <c r="A21" s="160">
        <v>11925</v>
      </c>
      <c r="B21" s="160">
        <v>11934</v>
      </c>
      <c r="E21"/>
      <c r="H21"/>
      <c r="K21"/>
    </row>
    <row r="22" spans="1:28" ht="15.75" thickBot="1">
      <c r="A22" s="160">
        <v>11925</v>
      </c>
      <c r="B22" s="160">
        <v>11935</v>
      </c>
    </row>
    <row r="23" spans="1:28" ht="15.75" thickBot="1">
      <c r="A23" s="160">
        <v>11925</v>
      </c>
      <c r="B23" s="160">
        <v>11936</v>
      </c>
      <c r="H23" s="44"/>
    </row>
    <row r="24" spans="1:28" ht="15.75" thickBot="1">
      <c r="A24" s="160">
        <v>11925</v>
      </c>
      <c r="B24" s="160">
        <v>11937</v>
      </c>
      <c r="H24" s="44"/>
      <c r="K24" s="2"/>
    </row>
    <row r="25" spans="1:28" ht="15.75" thickBot="1">
      <c r="A25" s="160">
        <v>11939</v>
      </c>
      <c r="B25" s="160">
        <v>11942</v>
      </c>
      <c r="H25" s="44"/>
    </row>
    <row r="26" spans="1:28" ht="15.75" thickBot="1">
      <c r="A26" s="160">
        <v>11939</v>
      </c>
      <c r="B26" s="160">
        <v>11943</v>
      </c>
      <c r="H26" s="44"/>
    </row>
    <row r="27" spans="1:28" ht="15.75" thickBot="1">
      <c r="A27" s="160">
        <v>11939</v>
      </c>
      <c r="B27" s="160">
        <v>11944</v>
      </c>
    </row>
    <row r="28" spans="1:28" ht="15.75" thickBot="1">
      <c r="A28" s="160">
        <v>11939</v>
      </c>
      <c r="B28" s="160">
        <v>11945</v>
      </c>
    </row>
    <row r="29" spans="1:28" ht="15.75" thickBot="1">
      <c r="A29" s="160">
        <v>11939</v>
      </c>
      <c r="B29" s="160">
        <v>11946</v>
      </c>
    </row>
    <row r="30" spans="1:28" ht="15.75" thickBot="1">
      <c r="A30" s="160">
        <v>11939</v>
      </c>
      <c r="B30" s="160">
        <v>11947</v>
      </c>
    </row>
    <row r="31" spans="1:28" ht="15.75" thickBot="1">
      <c r="A31" s="160">
        <v>11939</v>
      </c>
      <c r="B31" s="160">
        <v>11948</v>
      </c>
    </row>
    <row r="32" spans="1:28" ht="15.75" thickBot="1">
      <c r="A32" s="160">
        <v>11939</v>
      </c>
      <c r="B32" s="160">
        <v>11949</v>
      </c>
    </row>
    <row r="33" spans="1:2" ht="15.75" thickBot="1">
      <c r="A33" s="160">
        <v>11939</v>
      </c>
      <c r="B33" s="160">
        <v>11950</v>
      </c>
    </row>
    <row r="34" spans="1:2" ht="15.75" thickBot="1">
      <c r="A34" s="160">
        <v>11939</v>
      </c>
      <c r="B34" s="160">
        <v>11979</v>
      </c>
    </row>
    <row r="35" spans="1:2" ht="15.75" thickBot="1">
      <c r="A35" s="160">
        <v>11939</v>
      </c>
      <c r="B35" s="160">
        <v>11980</v>
      </c>
    </row>
    <row r="36" spans="1:2" ht="15.75" thickBot="1">
      <c r="A36" s="160">
        <v>11939</v>
      </c>
      <c r="B36" s="160">
        <v>11981</v>
      </c>
    </row>
    <row r="37" spans="1:2" ht="15.75" thickBot="1">
      <c r="A37" s="160">
        <v>11342</v>
      </c>
      <c r="B37" s="160">
        <v>11343</v>
      </c>
    </row>
    <row r="38" spans="1:2" ht="15.75" thickBot="1">
      <c r="A38" s="160">
        <v>11342</v>
      </c>
      <c r="B38" s="160">
        <v>11344</v>
      </c>
    </row>
    <row r="39" spans="1:2" ht="15.75" thickBot="1">
      <c r="A39" s="160">
        <v>11342</v>
      </c>
      <c r="B39" s="160">
        <v>11345</v>
      </c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I2:I20" xr:uid="{00000000-0002-0000-1400-000000000000}">
      <formula1>israel_abroad</formula1>
    </dataValidation>
    <dataValidation type="list" allowBlank="1" showInputMessage="1" showErrorMessage="1" sqref="O2:O20" xr:uid="{00000000-0002-0000-1400-000001000000}">
      <formula1>Holding_interest</formula1>
    </dataValidation>
    <dataValidation type="list" allowBlank="1" showInputMessage="1" showErrorMessage="1" sqref="R2:R19" xr:uid="{00000000-0002-0000-1400-000002000000}">
      <formula1>Valuation</formula1>
    </dataValidation>
    <dataValidation type="list" allowBlank="1" showInputMessage="1" showErrorMessage="1" sqref="S2:S20" xr:uid="{00000000-0002-0000-1400-000003000000}">
      <formula1>Dependence_Independence</formula1>
    </dataValidation>
    <dataValidation type="list" allowBlank="1" showInputMessage="1" showErrorMessage="1" sqref="J2:J20" xr:uid="{00000000-0002-0000-1400-000004000000}">
      <formula1>Country_list</formula1>
    </dataValidation>
    <dataValidation type="list" allowBlank="1" showInputMessage="1" showErrorMessage="1" sqref="H2:H20" xr:uid="{00000000-0002-0000-1400-000005000000}">
      <formula1>Type_of_Security_ID</formula1>
    </dataValidation>
    <dataValidation type="list" allowBlank="1" showInputMessage="1" showErrorMessage="1" sqref="E2" xr:uid="{00000000-0002-0000-1400-000006000000}">
      <formula1>Issuer_Number_Type_3</formula1>
    </dataValidation>
    <dataValidation type="list" allowBlank="1" showInputMessage="1" showErrorMessage="1" sqref="E3:E20" xr:uid="{00000000-0002-0000-1400-000007000000}">
      <formula1>Issuer_Number_Type_2</formula1>
    </dataValidation>
    <dataValidation type="list" allowBlank="1" showInputMessage="1" showErrorMessage="1" sqref="M2:M20" xr:uid="{00000000-0002-0000-1400-000008000000}">
      <formula1>Industry_Sector</formula1>
    </dataValidation>
    <dataValidation type="list" allowBlank="1" showInputMessage="1" showErrorMessage="1" sqref="K2:K20" xr:uid="{00000000-0002-0000-1400-000009000000}">
      <formula1>tradeable_status_warrants_v2</formula1>
    </dataValidation>
  </dataValidation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2"/>
  <dimension ref="A1:AB39"/>
  <sheetViews>
    <sheetView rightToLeft="1" workbookViewId="0">
      <selection activeCell="A2" sqref="A2:B39"/>
    </sheetView>
  </sheetViews>
  <sheetFormatPr defaultColWidth="9" defaultRowHeight="15"/>
  <cols>
    <col min="1" max="4" width="11.5703125" style="2" customWidth="1"/>
    <col min="5" max="5" width="11.5703125" style="4" customWidth="1"/>
    <col min="6" max="29" width="11.5703125" style="2" customWidth="1"/>
    <col min="30" max="16384" width="9" style="2"/>
  </cols>
  <sheetData>
    <row r="1" spans="1:28" ht="66.75" customHeight="1">
      <c r="A1" s="21" t="s">
        <v>667</v>
      </c>
      <c r="B1" s="21" t="s">
        <v>0</v>
      </c>
      <c r="C1" s="21" t="s">
        <v>740</v>
      </c>
      <c r="D1" s="21" t="s">
        <v>2</v>
      </c>
      <c r="E1" s="21" t="s">
        <v>756</v>
      </c>
      <c r="F1" s="21" t="s">
        <v>1163</v>
      </c>
      <c r="G1" s="21" t="s">
        <v>29</v>
      </c>
      <c r="H1" s="21" t="s">
        <v>28</v>
      </c>
      <c r="I1" s="21" t="s">
        <v>1</v>
      </c>
      <c r="J1" s="21" t="s">
        <v>620</v>
      </c>
      <c r="K1" s="21" t="s">
        <v>621</v>
      </c>
      <c r="L1" s="21" t="s">
        <v>9</v>
      </c>
      <c r="M1" s="21" t="s">
        <v>10</v>
      </c>
      <c r="N1" s="21" t="s">
        <v>682</v>
      </c>
      <c r="O1" s="21" t="s">
        <v>622</v>
      </c>
      <c r="P1" s="21" t="s">
        <v>12</v>
      </c>
      <c r="Q1" s="21" t="s">
        <v>396</v>
      </c>
      <c r="R1" s="21" t="s">
        <v>933</v>
      </c>
      <c r="S1" s="21" t="s">
        <v>372</v>
      </c>
      <c r="T1" s="21" t="s">
        <v>16</v>
      </c>
      <c r="U1" s="21" t="s">
        <v>23</v>
      </c>
      <c r="V1" s="21" t="s">
        <v>629</v>
      </c>
      <c r="W1" s="21" t="s">
        <v>789</v>
      </c>
      <c r="X1" s="21" t="s">
        <v>15</v>
      </c>
      <c r="Y1" s="21" t="s">
        <v>11</v>
      </c>
      <c r="Z1" s="21" t="s">
        <v>787</v>
      </c>
      <c r="AA1" s="21" t="s">
        <v>19</v>
      </c>
      <c r="AB1" s="21" t="s">
        <v>30</v>
      </c>
    </row>
    <row r="2" spans="1:28" ht="15.75" thickBot="1">
      <c r="A2" s="160">
        <v>7891</v>
      </c>
      <c r="B2" s="160">
        <v>7892</v>
      </c>
      <c r="C2" s="22"/>
      <c r="D2" s="22"/>
      <c r="E2" s="20"/>
      <c r="F2" s="22"/>
      <c r="G2" s="22"/>
      <c r="H2" s="22"/>
      <c r="I2" s="22"/>
      <c r="J2" s="20"/>
      <c r="K2" s="20"/>
      <c r="L2" s="22"/>
      <c r="M2" s="22"/>
      <c r="N2" s="22"/>
      <c r="O2" s="22"/>
      <c r="P2" s="22"/>
      <c r="Q2" s="20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</row>
    <row r="3" spans="1:28" ht="15.75" thickBot="1">
      <c r="A3" s="160">
        <v>7891</v>
      </c>
      <c r="B3" s="160">
        <v>7893</v>
      </c>
      <c r="C3" s="22"/>
      <c r="D3" s="22"/>
      <c r="E3" s="20"/>
      <c r="F3" s="22"/>
      <c r="G3" s="22"/>
      <c r="H3" s="22"/>
      <c r="I3" s="22"/>
      <c r="J3" s="20"/>
      <c r="K3" s="20"/>
      <c r="L3" s="22"/>
      <c r="M3" s="22"/>
      <c r="N3" s="22"/>
      <c r="O3" s="22"/>
      <c r="P3" s="22"/>
      <c r="Q3" s="20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</row>
    <row r="4" spans="1:28" ht="15.75" thickBot="1">
      <c r="A4" s="160">
        <v>7891</v>
      </c>
      <c r="B4" s="160">
        <v>7894</v>
      </c>
      <c r="C4" s="22"/>
      <c r="D4" s="22"/>
      <c r="E4" s="20"/>
      <c r="F4" s="22"/>
      <c r="G4" s="22"/>
      <c r="H4" s="22"/>
      <c r="I4" s="22"/>
      <c r="J4" s="20"/>
      <c r="K4" s="20"/>
      <c r="L4" s="22"/>
      <c r="M4" s="22"/>
      <c r="N4" s="22"/>
      <c r="O4" s="22"/>
      <c r="P4" s="22"/>
      <c r="Q4" s="20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</row>
    <row r="5" spans="1:28" ht="15.75" thickBot="1">
      <c r="A5" s="160">
        <v>7891</v>
      </c>
      <c r="B5" s="160">
        <v>7895</v>
      </c>
      <c r="C5" s="22"/>
      <c r="D5" s="22"/>
      <c r="E5" s="20"/>
      <c r="F5" s="22"/>
      <c r="G5" s="22"/>
      <c r="H5" s="22"/>
      <c r="I5" s="22"/>
      <c r="J5" s="20"/>
      <c r="K5" s="20"/>
      <c r="L5" s="22"/>
      <c r="M5" s="22"/>
      <c r="N5" s="22"/>
      <c r="O5" s="22"/>
      <c r="P5" s="22"/>
      <c r="Q5" s="20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</row>
    <row r="6" spans="1:28" ht="15.75" thickBot="1">
      <c r="A6" s="160">
        <v>7891</v>
      </c>
      <c r="B6" s="160">
        <v>7896</v>
      </c>
      <c r="C6" s="22"/>
      <c r="D6" s="22"/>
      <c r="E6" s="20"/>
      <c r="F6" s="22"/>
      <c r="G6" s="22"/>
      <c r="H6" s="22"/>
      <c r="I6" s="22"/>
      <c r="J6" s="20"/>
      <c r="K6" s="20"/>
      <c r="L6" s="22"/>
      <c r="M6" s="22"/>
      <c r="N6" s="22"/>
      <c r="O6" s="22"/>
      <c r="P6" s="22"/>
      <c r="Q6" s="20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</row>
    <row r="7" spans="1:28" ht="15.75" thickBot="1">
      <c r="A7" s="160">
        <v>7891</v>
      </c>
      <c r="B7" s="160">
        <v>7897</v>
      </c>
      <c r="C7" s="22"/>
      <c r="D7" s="22"/>
      <c r="E7" s="20"/>
      <c r="F7" s="22"/>
      <c r="G7" s="22"/>
      <c r="H7" s="22"/>
      <c r="I7" s="22"/>
      <c r="J7" s="20"/>
      <c r="K7" s="20"/>
      <c r="L7" s="22"/>
      <c r="M7" s="22"/>
      <c r="N7" s="22"/>
      <c r="O7" s="22"/>
      <c r="P7" s="22"/>
      <c r="Q7" s="20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</row>
    <row r="8" spans="1:28" ht="15.75" thickBot="1">
      <c r="A8" s="160">
        <v>7891</v>
      </c>
      <c r="B8" s="160">
        <v>7898</v>
      </c>
      <c r="C8" s="22"/>
      <c r="D8" s="22"/>
      <c r="E8" s="20"/>
      <c r="F8" s="22"/>
      <c r="G8" s="22"/>
      <c r="H8" s="22"/>
      <c r="I8" s="22"/>
      <c r="J8" s="20"/>
      <c r="K8" s="20"/>
      <c r="L8" s="22"/>
      <c r="M8" s="22"/>
      <c r="N8" s="22"/>
      <c r="O8" s="22"/>
      <c r="P8" s="22"/>
      <c r="Q8" s="20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</row>
    <row r="9" spans="1:28" ht="15.75" thickBot="1">
      <c r="A9" s="160">
        <v>7891</v>
      </c>
      <c r="B9" s="160">
        <v>7899</v>
      </c>
      <c r="C9" s="22"/>
      <c r="D9" s="22"/>
      <c r="E9" s="20"/>
      <c r="F9" s="22"/>
      <c r="G9" s="22"/>
      <c r="H9" s="22"/>
      <c r="I9" s="22"/>
      <c r="J9" s="20"/>
      <c r="K9" s="20"/>
      <c r="L9" s="22"/>
      <c r="M9" s="22"/>
      <c r="N9" s="22"/>
      <c r="O9" s="22"/>
      <c r="P9" s="22"/>
      <c r="Q9" s="20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</row>
    <row r="10" spans="1:28" ht="15.75" thickBot="1">
      <c r="A10" s="160">
        <v>7891</v>
      </c>
      <c r="B10" s="160">
        <v>7900</v>
      </c>
      <c r="C10" s="22"/>
      <c r="D10" s="22"/>
      <c r="E10" s="20"/>
      <c r="F10" s="22"/>
      <c r="G10" s="22"/>
      <c r="H10" s="22"/>
      <c r="I10" s="22"/>
      <c r="J10" s="20"/>
      <c r="K10" s="20"/>
      <c r="L10" s="22"/>
      <c r="M10" s="22"/>
      <c r="N10" s="22"/>
      <c r="O10" s="22"/>
      <c r="P10" s="22"/>
      <c r="Q10" s="20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</row>
    <row r="11" spans="1:28" ht="15.75" thickBot="1">
      <c r="A11" s="160">
        <v>7891</v>
      </c>
      <c r="B11" s="160">
        <v>7901</v>
      </c>
      <c r="C11" s="22"/>
      <c r="D11" s="22"/>
      <c r="E11" s="20"/>
      <c r="F11" s="22"/>
      <c r="G11" s="22"/>
      <c r="H11" s="22"/>
      <c r="I11" s="22"/>
      <c r="J11" s="20"/>
      <c r="K11" s="20"/>
      <c r="L11" s="22"/>
      <c r="M11" s="22"/>
      <c r="N11" s="22"/>
      <c r="O11" s="22"/>
      <c r="P11" s="22"/>
      <c r="Q11" s="20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</row>
    <row r="12" spans="1:28" ht="15.75" thickBot="1">
      <c r="A12" s="160">
        <v>7891</v>
      </c>
      <c r="B12" s="160">
        <v>7902</v>
      </c>
      <c r="C12" s="22"/>
      <c r="D12" s="22"/>
      <c r="E12" s="20"/>
      <c r="F12" s="22"/>
      <c r="G12" s="22"/>
      <c r="H12" s="22"/>
      <c r="I12" s="22"/>
      <c r="J12" s="20"/>
      <c r="K12" s="20"/>
      <c r="L12" s="22"/>
      <c r="M12" s="22"/>
      <c r="N12" s="22"/>
      <c r="O12" s="22"/>
      <c r="P12" s="22"/>
      <c r="Q12" s="20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</row>
    <row r="13" spans="1:28" ht="15.75" thickBot="1">
      <c r="A13" s="160">
        <v>11925</v>
      </c>
      <c r="B13" s="160">
        <v>11926</v>
      </c>
      <c r="C13" s="22"/>
      <c r="D13" s="22"/>
      <c r="E13" s="20"/>
      <c r="F13" s="22"/>
      <c r="G13" s="22"/>
      <c r="H13" s="22"/>
      <c r="I13" s="22"/>
      <c r="J13" s="20"/>
      <c r="K13" s="20"/>
      <c r="L13" s="22"/>
      <c r="M13" s="22"/>
      <c r="N13" s="22"/>
      <c r="O13" s="22"/>
      <c r="P13" s="22"/>
      <c r="Q13" s="20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</row>
    <row r="14" spans="1:28" ht="15.75" thickBot="1">
      <c r="A14" s="160">
        <v>11925</v>
      </c>
      <c r="B14" s="160">
        <v>11927</v>
      </c>
      <c r="C14" s="22"/>
      <c r="D14" s="22"/>
      <c r="E14" s="20"/>
      <c r="F14" s="22"/>
      <c r="G14" s="22"/>
      <c r="H14" s="22"/>
      <c r="I14" s="22"/>
      <c r="J14" s="20"/>
      <c r="K14" s="20"/>
      <c r="L14" s="22"/>
      <c r="M14" s="22"/>
      <c r="N14" s="22"/>
      <c r="O14" s="22"/>
      <c r="P14" s="22"/>
      <c r="Q14" s="20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</row>
    <row r="15" spans="1:28" ht="15.75" thickBot="1">
      <c r="A15" s="160">
        <v>11925</v>
      </c>
      <c r="B15" s="160">
        <v>11928</v>
      </c>
      <c r="C15" s="22"/>
      <c r="D15" s="22"/>
      <c r="E15" s="20"/>
      <c r="F15" s="22"/>
      <c r="G15" s="22"/>
      <c r="H15" s="22"/>
      <c r="I15" s="22"/>
      <c r="J15" s="20"/>
      <c r="K15" s="20"/>
      <c r="L15" s="22"/>
      <c r="M15" s="22"/>
      <c r="N15" s="22"/>
      <c r="O15" s="22"/>
      <c r="P15" s="22"/>
      <c r="Q15" s="20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</row>
    <row r="16" spans="1:28" ht="15.75" thickBot="1">
      <c r="A16" s="160">
        <v>11925</v>
      </c>
      <c r="B16" s="160">
        <v>11929</v>
      </c>
      <c r="C16" s="22"/>
      <c r="D16" s="22"/>
      <c r="E16" s="20"/>
      <c r="F16" s="22"/>
      <c r="G16" s="22"/>
      <c r="H16" s="22"/>
      <c r="I16" s="22"/>
      <c r="J16" s="20"/>
      <c r="K16" s="20"/>
      <c r="L16" s="22"/>
      <c r="M16" s="22"/>
      <c r="N16" s="22"/>
      <c r="O16" s="22"/>
      <c r="P16" s="22"/>
      <c r="Q16" s="20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</row>
    <row r="17" spans="1:28" ht="15.75" thickBot="1">
      <c r="A17" s="160">
        <v>11925</v>
      </c>
      <c r="B17" s="160">
        <v>11930</v>
      </c>
      <c r="C17" s="22"/>
      <c r="D17" s="22"/>
      <c r="E17" s="20"/>
      <c r="F17" s="22"/>
      <c r="G17" s="22"/>
      <c r="H17" s="22"/>
      <c r="I17" s="22"/>
      <c r="J17" s="20"/>
      <c r="K17" s="20"/>
      <c r="L17" s="22"/>
      <c r="M17" s="22"/>
      <c r="N17" s="22"/>
      <c r="O17" s="22"/>
      <c r="P17" s="22"/>
      <c r="Q17" s="20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</row>
    <row r="18" spans="1:28" ht="15.75" thickBot="1">
      <c r="A18" s="160">
        <v>11925</v>
      </c>
      <c r="B18" s="160">
        <v>11931</v>
      </c>
      <c r="C18" s="22"/>
      <c r="D18" s="22"/>
      <c r="E18" s="20"/>
      <c r="F18" s="22"/>
      <c r="G18" s="22"/>
      <c r="H18" s="22"/>
      <c r="I18" s="22"/>
      <c r="J18" s="20"/>
      <c r="K18" s="20"/>
      <c r="L18" s="22"/>
      <c r="M18" s="22"/>
      <c r="N18" s="22"/>
      <c r="O18" s="22"/>
      <c r="P18" s="22"/>
      <c r="Q18" s="20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</row>
    <row r="19" spans="1:28" ht="15.75" thickBot="1">
      <c r="A19" s="160">
        <v>11925</v>
      </c>
      <c r="B19" s="160">
        <v>11932</v>
      </c>
      <c r="C19" s="22"/>
      <c r="D19" s="22"/>
      <c r="E19" s="20"/>
      <c r="F19" s="22"/>
      <c r="G19" s="22"/>
      <c r="H19" s="22"/>
      <c r="I19" s="22"/>
      <c r="J19" s="20"/>
      <c r="K19" s="20"/>
      <c r="L19" s="22"/>
      <c r="M19" s="22"/>
      <c r="N19" s="22"/>
      <c r="O19" s="22"/>
      <c r="P19" s="22"/>
      <c r="Q19" s="20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</row>
    <row r="20" spans="1:28" ht="15.75" thickBot="1">
      <c r="A20" s="160">
        <v>11925</v>
      </c>
      <c r="B20" s="160">
        <v>11933</v>
      </c>
      <c r="E20" s="20"/>
      <c r="H20" s="22"/>
      <c r="I20" s="22"/>
      <c r="J20" s="20"/>
      <c r="K20" s="20"/>
      <c r="L20" s="22"/>
      <c r="M20" s="22"/>
      <c r="O20" s="22"/>
      <c r="R20" s="22"/>
      <c r="S20" s="22"/>
    </row>
    <row r="21" spans="1:28" s="44" customFormat="1" ht="15.75" thickBot="1">
      <c r="A21" s="160">
        <v>11925</v>
      </c>
      <c r="B21" s="160">
        <v>11934</v>
      </c>
      <c r="E21"/>
      <c r="H21" s="43"/>
    </row>
    <row r="22" spans="1:28" ht="15.75" thickBot="1">
      <c r="A22" s="160">
        <v>11925</v>
      </c>
      <c r="B22" s="160">
        <v>11935</v>
      </c>
    </row>
    <row r="23" spans="1:28" ht="15.75" thickBot="1">
      <c r="A23" s="160">
        <v>11925</v>
      </c>
      <c r="B23" s="160">
        <v>11936</v>
      </c>
      <c r="H23" s="44"/>
    </row>
    <row r="24" spans="1:28" ht="15.75" thickBot="1">
      <c r="A24" s="160">
        <v>11925</v>
      </c>
      <c r="B24" s="160">
        <v>11937</v>
      </c>
      <c r="H24" s="44"/>
    </row>
    <row r="25" spans="1:28" ht="15.75" thickBot="1">
      <c r="A25" s="160">
        <v>11939</v>
      </c>
      <c r="B25" s="160">
        <v>11942</v>
      </c>
      <c r="H25" s="44"/>
    </row>
    <row r="26" spans="1:28" ht="15.75" thickBot="1">
      <c r="A26" s="160">
        <v>11939</v>
      </c>
      <c r="B26" s="160">
        <v>11943</v>
      </c>
      <c r="H26" s="44"/>
    </row>
    <row r="27" spans="1:28" ht="15.75" thickBot="1">
      <c r="A27" s="160">
        <v>11939</v>
      </c>
      <c r="B27" s="160">
        <v>11944</v>
      </c>
    </row>
    <row r="28" spans="1:28" ht="15.75" thickBot="1">
      <c r="A28" s="160">
        <v>11939</v>
      </c>
      <c r="B28" s="160">
        <v>11945</v>
      </c>
    </row>
    <row r="29" spans="1:28" ht="15.75" thickBot="1">
      <c r="A29" s="160">
        <v>11939</v>
      </c>
      <c r="B29" s="160">
        <v>11946</v>
      </c>
    </row>
    <row r="30" spans="1:28" ht="15.75" thickBot="1">
      <c r="A30" s="160">
        <v>11939</v>
      </c>
      <c r="B30" s="160">
        <v>11947</v>
      </c>
    </row>
    <row r="31" spans="1:28" ht="15.75" thickBot="1">
      <c r="A31" s="160">
        <v>11939</v>
      </c>
      <c r="B31" s="160">
        <v>11948</v>
      </c>
    </row>
    <row r="32" spans="1:28" ht="15.75" thickBot="1">
      <c r="A32" s="160">
        <v>11939</v>
      </c>
      <c r="B32" s="160">
        <v>11949</v>
      </c>
    </row>
    <row r="33" spans="1:2" ht="15.75" thickBot="1">
      <c r="A33" s="160">
        <v>11939</v>
      </c>
      <c r="B33" s="160">
        <v>11950</v>
      </c>
    </row>
    <row r="34" spans="1:2" ht="15.75" thickBot="1">
      <c r="A34" s="160">
        <v>11939</v>
      </c>
      <c r="B34" s="160">
        <v>11979</v>
      </c>
    </row>
    <row r="35" spans="1:2" ht="15.75" thickBot="1">
      <c r="A35" s="160">
        <v>11939</v>
      </c>
      <c r="B35" s="160">
        <v>11980</v>
      </c>
    </row>
    <row r="36" spans="1:2" ht="15.75" thickBot="1">
      <c r="A36" s="160">
        <v>11939</v>
      </c>
      <c r="B36" s="160">
        <v>11981</v>
      </c>
    </row>
    <row r="37" spans="1:2" ht="15.75" thickBot="1">
      <c r="A37" s="160">
        <v>11342</v>
      </c>
      <c r="B37" s="160">
        <v>11343</v>
      </c>
    </row>
    <row r="38" spans="1:2" ht="15.75" thickBot="1">
      <c r="A38" s="160">
        <v>11342</v>
      </c>
      <c r="B38" s="160">
        <v>11344</v>
      </c>
    </row>
    <row r="39" spans="1:2" ht="15.75" thickBot="1">
      <c r="A39" s="160">
        <v>11342</v>
      </c>
      <c r="B39" s="160">
        <v>11345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1500-000000000000}">
      <formula1>israel_abroad</formula1>
    </dataValidation>
    <dataValidation type="list" allowBlank="1" showInputMessage="1" showErrorMessage="1" sqref="O2:O20" xr:uid="{00000000-0002-0000-1500-000001000000}">
      <formula1>Holding_interest</formula1>
    </dataValidation>
    <dataValidation type="list" allowBlank="1" showInputMessage="1" showErrorMessage="1" sqref="M2:M20" xr:uid="{00000000-0002-0000-1500-000002000000}">
      <formula1>Underlying_Asset</formula1>
    </dataValidation>
    <dataValidation type="list" allowBlank="1" showInputMessage="1" showErrorMessage="1" sqref="R2:R20" xr:uid="{00000000-0002-0000-1500-000003000000}">
      <formula1>Valuation</formula1>
    </dataValidation>
    <dataValidation type="list" allowBlank="1" showInputMessage="1" showErrorMessage="1" sqref="S2:S20" xr:uid="{00000000-0002-0000-1500-000004000000}">
      <formula1>Dependence_Independence</formula1>
    </dataValidation>
    <dataValidation type="list" allowBlank="1" showInputMessage="1" showErrorMessage="1" sqref="K2:K20" xr:uid="{00000000-0002-0000-1500-000005000000}">
      <formula1>Country_list</formula1>
    </dataValidation>
    <dataValidation type="list" allowBlank="1" showInputMessage="1" showErrorMessage="1" sqref="H2:H20" xr:uid="{00000000-0002-0000-1500-000006000000}">
      <formula1>Type_of_Security_ID</formula1>
    </dataValidation>
    <dataValidation type="list" allowBlank="1" showInputMessage="1" showErrorMessage="1" sqref="E3:E20" xr:uid="{00000000-0002-0000-1500-000007000000}">
      <formula1>Issuer_Number_Type_2</formula1>
    </dataValidation>
    <dataValidation type="list" allowBlank="1" showInputMessage="1" showErrorMessage="1" sqref="E2" xr:uid="{00000000-0002-0000-1500-000008000000}">
      <formula1>Issuer_Number_Type_3</formula1>
    </dataValidation>
    <dataValidation type="list" allowBlank="1" showInputMessage="1" showErrorMessage="1" sqref="L2:L20" xr:uid="{00000000-0002-0000-1500-000009000000}">
      <formula1>Industry_Sector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A000000}">
          <x14:formula1>
            <xm:f>'אפשרויות בחירה'!$C$964:$C$969</xm:f>
          </x14:formula1>
          <xm:sqref>I2:I20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3"/>
  <dimension ref="A1:AO76"/>
  <sheetViews>
    <sheetView rightToLeft="1" topLeftCell="R1" workbookViewId="0">
      <selection activeCell="AK2" sqref="AK2:AL19"/>
    </sheetView>
  </sheetViews>
  <sheetFormatPr defaultColWidth="9" defaultRowHeight="15"/>
  <cols>
    <col min="1" max="6" width="11.5703125" style="12" customWidth="1"/>
    <col min="7" max="7" width="12.140625" style="12" bestFit="1" customWidth="1"/>
    <col min="8" max="33" width="11.5703125" style="12" customWidth="1"/>
    <col min="34" max="34" width="11.5703125" customWidth="1"/>
    <col min="35" max="38" width="11.5703125" style="12" customWidth="1"/>
    <col min="39" max="39" width="12.5703125" style="12" customWidth="1"/>
    <col min="40" max="41" width="11.5703125" style="2" customWidth="1"/>
    <col min="42" max="16384" width="9" style="12"/>
  </cols>
  <sheetData>
    <row r="1" spans="1:41" ht="66.75" customHeight="1">
      <c r="A1" s="21" t="s">
        <v>667</v>
      </c>
      <c r="B1" s="21" t="s">
        <v>0</v>
      </c>
      <c r="C1" s="21" t="s">
        <v>1</v>
      </c>
      <c r="D1" s="21" t="s">
        <v>418</v>
      </c>
      <c r="E1" s="21" t="s">
        <v>814</v>
      </c>
      <c r="F1" s="21" t="s">
        <v>11</v>
      </c>
      <c r="G1" s="21" t="s">
        <v>326</v>
      </c>
      <c r="H1" s="21" t="s">
        <v>330</v>
      </c>
      <c r="I1" s="21" t="s">
        <v>328</v>
      </c>
      <c r="J1" s="21" t="s">
        <v>329</v>
      </c>
      <c r="K1" s="21" t="s">
        <v>419</v>
      </c>
      <c r="L1" s="21" t="s">
        <v>815</v>
      </c>
      <c r="M1" s="21" t="s">
        <v>11</v>
      </c>
      <c r="N1" s="21" t="s">
        <v>327</v>
      </c>
      <c r="O1" s="21" t="s">
        <v>331</v>
      </c>
      <c r="P1" s="21" t="s">
        <v>960</v>
      </c>
      <c r="Q1" s="21" t="s">
        <v>348</v>
      </c>
      <c r="R1" s="21" t="s">
        <v>1173</v>
      </c>
      <c r="S1" s="21" t="s">
        <v>620</v>
      </c>
      <c r="T1" s="21" t="s">
        <v>621</v>
      </c>
      <c r="U1" s="21" t="s">
        <v>464</v>
      </c>
      <c r="V1" s="21" t="s">
        <v>343</v>
      </c>
      <c r="W1" s="21" t="s">
        <v>463</v>
      </c>
      <c r="X1" s="21" t="s">
        <v>99</v>
      </c>
      <c r="Y1" s="21" t="s">
        <v>622</v>
      </c>
      <c r="Z1" s="21" t="s">
        <v>365</v>
      </c>
      <c r="AA1" s="21" t="s">
        <v>366</v>
      </c>
      <c r="AB1" s="21" t="s">
        <v>628</v>
      </c>
      <c r="AC1" s="21" t="s">
        <v>308</v>
      </c>
      <c r="AD1" s="21" t="s">
        <v>368</v>
      </c>
      <c r="AE1" s="21" t="s">
        <v>753</v>
      </c>
      <c r="AF1" s="21" t="s">
        <v>309</v>
      </c>
      <c r="AG1" s="21" t="s">
        <v>310</v>
      </c>
      <c r="AH1" s="21" t="s">
        <v>349</v>
      </c>
      <c r="AI1" s="21" t="s">
        <v>367</v>
      </c>
      <c r="AJ1" s="21" t="s">
        <v>633</v>
      </c>
      <c r="AK1" s="21" t="s">
        <v>364</v>
      </c>
      <c r="AL1" s="21" t="s">
        <v>458</v>
      </c>
      <c r="AM1" s="21" t="s">
        <v>436</v>
      </c>
      <c r="AN1" s="21" t="s">
        <v>19</v>
      </c>
      <c r="AO1" s="21" t="s">
        <v>30</v>
      </c>
    </row>
    <row r="2" spans="1:41" ht="15.75" thickBot="1">
      <c r="A2" s="176">
        <v>7891</v>
      </c>
      <c r="B2" s="176">
        <v>7897</v>
      </c>
      <c r="C2" s="165" t="s">
        <v>351</v>
      </c>
      <c r="D2" s="165" t="s">
        <v>1712</v>
      </c>
      <c r="E2" s="165" t="s">
        <v>1211</v>
      </c>
      <c r="F2" s="186">
        <v>4.1524000000000001</v>
      </c>
      <c r="G2" s="168">
        <v>-1330891.52</v>
      </c>
      <c r="H2" s="187">
        <v>-6.8240126192080002</v>
      </c>
      <c r="I2" s="188">
        <v>-1.499552413E-3</v>
      </c>
      <c r="J2" s="188">
        <v>-7.4709350770794703E-7</v>
      </c>
      <c r="K2" s="184"/>
      <c r="L2" s="184"/>
      <c r="M2" s="184"/>
      <c r="N2" s="184">
        <v>0</v>
      </c>
      <c r="O2" s="184"/>
      <c r="P2" s="184"/>
      <c r="Q2" s="184"/>
      <c r="R2" s="187">
        <v>-28.336030000000001</v>
      </c>
      <c r="S2" s="165" t="s">
        <v>53</v>
      </c>
      <c r="T2" s="165" t="s">
        <v>53</v>
      </c>
      <c r="U2" s="165" t="s">
        <v>72</v>
      </c>
      <c r="V2" s="165" t="s">
        <v>102</v>
      </c>
      <c r="W2" s="165" t="s">
        <v>707</v>
      </c>
      <c r="X2" s="165" t="s">
        <v>1211</v>
      </c>
      <c r="Y2" s="165" t="s">
        <v>62</v>
      </c>
      <c r="Z2" s="184">
        <v>45547</v>
      </c>
      <c r="AA2" s="174">
        <v>45573</v>
      </c>
      <c r="AB2" s="165" t="s">
        <v>358</v>
      </c>
      <c r="AC2" s="165" t="s">
        <v>370</v>
      </c>
      <c r="AD2" s="165" t="s">
        <v>62</v>
      </c>
      <c r="AE2" s="165" t="s">
        <v>341</v>
      </c>
      <c r="AF2" s="165" t="s">
        <v>362</v>
      </c>
      <c r="AG2" s="165" t="s">
        <v>362</v>
      </c>
      <c r="AH2" s="175"/>
      <c r="AI2" s="184">
        <v>4.1340000000000003</v>
      </c>
      <c r="AJ2" s="184"/>
      <c r="AK2" s="165"/>
      <c r="AL2" s="176"/>
      <c r="AM2" s="165" t="s">
        <v>1413</v>
      </c>
      <c r="AN2" s="188">
        <v>-0.17098406608300001</v>
      </c>
      <c r="AO2" s="188">
        <v>-3.1022310799999999E-4</v>
      </c>
    </row>
    <row r="3" spans="1:41" ht="15.75" thickBot="1">
      <c r="A3" s="176">
        <v>7891</v>
      </c>
      <c r="B3" s="176">
        <v>7897</v>
      </c>
      <c r="C3" s="165" t="s">
        <v>351</v>
      </c>
      <c r="D3" s="165" t="s">
        <v>1713</v>
      </c>
      <c r="E3" s="165" t="s">
        <v>1211</v>
      </c>
      <c r="F3" s="186">
        <v>4.1524000000000001</v>
      </c>
      <c r="G3" s="168">
        <v>-39143.870000000003</v>
      </c>
      <c r="H3" s="187">
        <v>-0.20070802427500001</v>
      </c>
      <c r="I3" s="188">
        <v>-4.4104871871991402E-5</v>
      </c>
      <c r="J3" s="188">
        <v>-2.19735323259454E-8</v>
      </c>
      <c r="K3" s="184"/>
      <c r="L3" s="184"/>
      <c r="M3" s="184"/>
      <c r="N3" s="184">
        <v>0</v>
      </c>
      <c r="O3" s="184"/>
      <c r="P3" s="184"/>
      <c r="Q3" s="184"/>
      <c r="R3" s="187">
        <v>-0.83342000000000005</v>
      </c>
      <c r="S3" s="165" t="s">
        <v>53</v>
      </c>
      <c r="T3" s="165" t="s">
        <v>53</v>
      </c>
      <c r="U3" s="165" t="s">
        <v>72</v>
      </c>
      <c r="V3" s="165" t="s">
        <v>102</v>
      </c>
      <c r="W3" s="165" t="s">
        <v>707</v>
      </c>
      <c r="X3" s="165" t="s">
        <v>1211</v>
      </c>
      <c r="Y3" s="165" t="s">
        <v>62</v>
      </c>
      <c r="Z3" s="184">
        <v>45547</v>
      </c>
      <c r="AA3" s="174">
        <v>45573</v>
      </c>
      <c r="AB3" s="165" t="s">
        <v>358</v>
      </c>
      <c r="AC3" s="165" t="s">
        <v>370</v>
      </c>
      <c r="AD3" s="165" t="s">
        <v>62</v>
      </c>
      <c r="AE3" s="165" t="s">
        <v>341</v>
      </c>
      <c r="AF3" s="165" t="s">
        <v>362</v>
      </c>
      <c r="AG3" s="165" t="s">
        <v>362</v>
      </c>
      <c r="AH3" s="175"/>
      <c r="AI3" s="184">
        <v>4.1340000000000003</v>
      </c>
      <c r="AJ3" s="184"/>
      <c r="AK3" s="165"/>
      <c r="AL3" s="176"/>
      <c r="AM3" s="165" t="s">
        <v>1413</v>
      </c>
      <c r="AN3" s="188">
        <v>-5.0289874880000002E-3</v>
      </c>
      <c r="AO3" s="188">
        <v>-9.1242895630255495E-6</v>
      </c>
    </row>
    <row r="4" spans="1:41" ht="15.75" thickBot="1">
      <c r="A4" s="176">
        <v>7891</v>
      </c>
      <c r="B4" s="176">
        <v>7897</v>
      </c>
      <c r="C4" s="165" t="s">
        <v>351</v>
      </c>
      <c r="D4" s="165" t="s">
        <v>1714</v>
      </c>
      <c r="E4" s="165" t="s">
        <v>1210</v>
      </c>
      <c r="F4" s="186">
        <v>3.71</v>
      </c>
      <c r="G4" s="168">
        <v>-140917.93</v>
      </c>
      <c r="H4" s="187">
        <v>1.307086253369</v>
      </c>
      <c r="I4" s="188">
        <v>2.87227538E-4</v>
      </c>
      <c r="J4" s="188">
        <v>1.4309991912350799E-7</v>
      </c>
      <c r="K4" s="184"/>
      <c r="L4" s="184"/>
      <c r="M4" s="184"/>
      <c r="N4" s="184">
        <v>0</v>
      </c>
      <c r="O4" s="184"/>
      <c r="P4" s="184"/>
      <c r="Q4" s="184"/>
      <c r="R4" s="187">
        <v>4.8492899999999999</v>
      </c>
      <c r="S4" s="165" t="s">
        <v>53</v>
      </c>
      <c r="T4" s="165" t="s">
        <v>53</v>
      </c>
      <c r="U4" s="165" t="s">
        <v>72</v>
      </c>
      <c r="V4" s="165" t="s">
        <v>102</v>
      </c>
      <c r="W4" s="165" t="s">
        <v>707</v>
      </c>
      <c r="X4" s="165" t="s">
        <v>1210</v>
      </c>
      <c r="Y4" s="165" t="s">
        <v>62</v>
      </c>
      <c r="Z4" s="184">
        <v>45547</v>
      </c>
      <c r="AA4" s="174">
        <v>45573</v>
      </c>
      <c r="AB4" s="165" t="s">
        <v>358</v>
      </c>
      <c r="AC4" s="165" t="s">
        <v>370</v>
      </c>
      <c r="AD4" s="165" t="s">
        <v>62</v>
      </c>
      <c r="AE4" s="165" t="s">
        <v>341</v>
      </c>
      <c r="AF4" s="165" t="s">
        <v>362</v>
      </c>
      <c r="AG4" s="165" t="s">
        <v>362</v>
      </c>
      <c r="AH4" s="175"/>
      <c r="AI4" s="184">
        <v>3.7530000000000001</v>
      </c>
      <c r="AJ4" s="184"/>
      <c r="AK4" s="165"/>
      <c r="AL4" s="176"/>
      <c r="AM4" s="165" t="s">
        <v>1413</v>
      </c>
      <c r="AN4" s="188">
        <v>2.9261379303999999E-2</v>
      </c>
      <c r="AO4" s="188">
        <v>5.3090069994821498E-5</v>
      </c>
    </row>
    <row r="5" spans="1:41" ht="15.75" thickBot="1">
      <c r="A5" s="176">
        <v>7891</v>
      </c>
      <c r="B5" s="176">
        <v>7897</v>
      </c>
      <c r="C5" s="165" t="s">
        <v>351</v>
      </c>
      <c r="D5" s="165" t="s">
        <v>1715</v>
      </c>
      <c r="E5" s="165" t="s">
        <v>1210</v>
      </c>
      <c r="F5" s="186">
        <v>3.71</v>
      </c>
      <c r="G5" s="168">
        <v>-1080370.76</v>
      </c>
      <c r="H5" s="187">
        <v>10.602975741239</v>
      </c>
      <c r="I5" s="188">
        <v>2.3299660689999999E-3</v>
      </c>
      <c r="J5" s="188">
        <v>1.1608147259822E-6</v>
      </c>
      <c r="K5" s="184"/>
      <c r="L5" s="184"/>
      <c r="M5" s="184"/>
      <c r="N5" s="184">
        <v>0</v>
      </c>
      <c r="O5" s="184"/>
      <c r="P5" s="184"/>
      <c r="Q5" s="184"/>
      <c r="R5" s="187">
        <v>39.337040000000002</v>
      </c>
      <c r="S5" s="165" t="s">
        <v>53</v>
      </c>
      <c r="T5" s="165" t="s">
        <v>53</v>
      </c>
      <c r="U5" s="165" t="s">
        <v>72</v>
      </c>
      <c r="V5" s="165" t="s">
        <v>102</v>
      </c>
      <c r="W5" s="165" t="s">
        <v>707</v>
      </c>
      <c r="X5" s="165" t="s">
        <v>1210</v>
      </c>
      <c r="Y5" s="165" t="s">
        <v>62</v>
      </c>
      <c r="Z5" s="184">
        <v>45547</v>
      </c>
      <c r="AA5" s="174">
        <v>45573</v>
      </c>
      <c r="AB5" s="165" t="s">
        <v>358</v>
      </c>
      <c r="AC5" s="165" t="s">
        <v>370</v>
      </c>
      <c r="AD5" s="165" t="s">
        <v>62</v>
      </c>
      <c r="AE5" s="165" t="s">
        <v>341</v>
      </c>
      <c r="AF5" s="165" t="s">
        <v>362</v>
      </c>
      <c r="AG5" s="165" t="s">
        <v>362</v>
      </c>
      <c r="AH5" s="175"/>
      <c r="AI5" s="184">
        <v>3.7530000000000001</v>
      </c>
      <c r="AJ5" s="184"/>
      <c r="AK5" s="165"/>
      <c r="AL5" s="176"/>
      <c r="AM5" s="165" t="s">
        <v>1413</v>
      </c>
      <c r="AN5" s="188">
        <v>0.23736589235899999</v>
      </c>
      <c r="AO5" s="188">
        <v>4.3066226299999998E-4</v>
      </c>
    </row>
    <row r="6" spans="1:41" ht="15.75" thickBot="1">
      <c r="A6" s="176">
        <v>7891</v>
      </c>
      <c r="B6" s="176">
        <v>7897</v>
      </c>
      <c r="C6" s="165" t="s">
        <v>351</v>
      </c>
      <c r="D6" s="165" t="s">
        <v>1716</v>
      </c>
      <c r="E6" s="165" t="s">
        <v>1210</v>
      </c>
      <c r="F6" s="186">
        <v>3.71</v>
      </c>
      <c r="G6" s="168">
        <v>-2145082</v>
      </c>
      <c r="H6" s="187">
        <v>40.621654986522003</v>
      </c>
      <c r="I6" s="188">
        <v>8.9264636770000003E-3</v>
      </c>
      <c r="J6" s="188">
        <v>4.44726239622706E-6</v>
      </c>
      <c r="K6" s="184"/>
      <c r="L6" s="184"/>
      <c r="M6" s="184"/>
      <c r="N6" s="184">
        <v>0</v>
      </c>
      <c r="O6" s="184"/>
      <c r="P6" s="184"/>
      <c r="Q6" s="184"/>
      <c r="R6" s="187">
        <v>150.70634000000001</v>
      </c>
      <c r="S6" s="165" t="s">
        <v>53</v>
      </c>
      <c r="T6" s="165" t="s">
        <v>53</v>
      </c>
      <c r="U6" s="165" t="s">
        <v>72</v>
      </c>
      <c r="V6" s="165" t="s">
        <v>102</v>
      </c>
      <c r="W6" s="165" t="s">
        <v>707</v>
      </c>
      <c r="X6" s="165" t="s">
        <v>1210</v>
      </c>
      <c r="Y6" s="165" t="s">
        <v>62</v>
      </c>
      <c r="Z6" s="184">
        <v>45558</v>
      </c>
      <c r="AA6" s="174">
        <v>45575</v>
      </c>
      <c r="AB6" s="165" t="s">
        <v>358</v>
      </c>
      <c r="AC6" s="165" t="s">
        <v>370</v>
      </c>
      <c r="AD6" s="165" t="s">
        <v>62</v>
      </c>
      <c r="AE6" s="165" t="s">
        <v>341</v>
      </c>
      <c r="AF6" s="165" t="s">
        <v>362</v>
      </c>
      <c r="AG6" s="165" t="s">
        <v>362</v>
      </c>
      <c r="AH6" s="175"/>
      <c r="AI6" s="184">
        <v>3.7789999999999999</v>
      </c>
      <c r="AJ6" s="184"/>
      <c r="AK6" s="165"/>
      <c r="AL6" s="176"/>
      <c r="AM6" s="165" t="s">
        <v>1413</v>
      </c>
      <c r="AN6" s="188">
        <v>0.90938578190700003</v>
      </c>
      <c r="AO6" s="188">
        <v>1.6499343489999999E-3</v>
      </c>
    </row>
    <row r="7" spans="1:41" ht="15.75" thickBot="1">
      <c r="A7" s="176">
        <v>11925</v>
      </c>
      <c r="B7" s="176">
        <v>11928</v>
      </c>
      <c r="C7" s="165" t="s">
        <v>351</v>
      </c>
      <c r="D7" s="165" t="s">
        <v>1712</v>
      </c>
      <c r="E7" s="165" t="s">
        <v>1211</v>
      </c>
      <c r="F7" s="186">
        <v>4.1524000000000001</v>
      </c>
      <c r="G7" s="168">
        <v>-2006612.77</v>
      </c>
      <c r="H7" s="187">
        <v>-10.288705327039001</v>
      </c>
      <c r="I7" s="188">
        <v>-1.4995509739999999E-3</v>
      </c>
      <c r="J7" s="188">
        <v>-7.9500243382294603E-7</v>
      </c>
      <c r="K7" s="184"/>
      <c r="L7" s="184"/>
      <c r="M7" s="184"/>
      <c r="N7" s="184">
        <v>0</v>
      </c>
      <c r="O7" s="184"/>
      <c r="P7" s="184"/>
      <c r="Q7" s="184"/>
      <c r="R7" s="187">
        <v>-42.722819999999999</v>
      </c>
      <c r="S7" s="165" t="s">
        <v>53</v>
      </c>
      <c r="T7" s="165" t="s">
        <v>53</v>
      </c>
      <c r="U7" s="165" t="s">
        <v>72</v>
      </c>
      <c r="V7" s="165" t="s">
        <v>102</v>
      </c>
      <c r="W7" s="165" t="s">
        <v>707</v>
      </c>
      <c r="X7" s="165" t="s">
        <v>1211</v>
      </c>
      <c r="Y7" s="165" t="s">
        <v>62</v>
      </c>
      <c r="Z7" s="184">
        <v>45547</v>
      </c>
      <c r="AA7" s="174">
        <v>45573</v>
      </c>
      <c r="AB7" s="165" t="s">
        <v>358</v>
      </c>
      <c r="AC7" s="165" t="s">
        <v>370</v>
      </c>
      <c r="AD7" s="165" t="s">
        <v>62</v>
      </c>
      <c r="AE7" s="165" t="s">
        <v>341</v>
      </c>
      <c r="AF7" s="165" t="s">
        <v>362</v>
      </c>
      <c r="AG7" s="165" t="s">
        <v>362</v>
      </c>
      <c r="AH7" s="175"/>
      <c r="AI7" s="184">
        <v>4.1340000000000003</v>
      </c>
      <c r="AJ7" s="184"/>
      <c r="AK7" s="165"/>
      <c r="AL7" s="176"/>
      <c r="AM7" s="165" t="s">
        <v>1413</v>
      </c>
      <c r="AN7" s="188">
        <v>-0.170983898558</v>
      </c>
      <c r="AO7" s="188">
        <v>-3.3011681E-4</v>
      </c>
    </row>
    <row r="8" spans="1:41" ht="15.75" thickBot="1">
      <c r="A8" s="176">
        <v>11925</v>
      </c>
      <c r="B8" s="176">
        <v>11928</v>
      </c>
      <c r="C8" s="165" t="s">
        <v>351</v>
      </c>
      <c r="D8" s="165" t="s">
        <v>1713</v>
      </c>
      <c r="E8" s="165" t="s">
        <v>1211</v>
      </c>
      <c r="F8" s="186">
        <v>4.1524000000000001</v>
      </c>
      <c r="G8" s="168">
        <v>-59018.02</v>
      </c>
      <c r="H8" s="187">
        <v>-0.30261053848300001</v>
      </c>
      <c r="I8" s="188">
        <v>-4.4104667534828198E-5</v>
      </c>
      <c r="J8" s="188">
        <v>-2.3382544931363599E-8</v>
      </c>
      <c r="K8" s="184"/>
      <c r="L8" s="184"/>
      <c r="M8" s="184"/>
      <c r="N8" s="184">
        <v>0</v>
      </c>
      <c r="O8" s="184"/>
      <c r="P8" s="184"/>
      <c r="Q8" s="184"/>
      <c r="R8" s="187">
        <v>-1.2565599999999999</v>
      </c>
      <c r="S8" s="165" t="s">
        <v>53</v>
      </c>
      <c r="T8" s="165" t="s">
        <v>53</v>
      </c>
      <c r="U8" s="165" t="s">
        <v>72</v>
      </c>
      <c r="V8" s="165" t="s">
        <v>102</v>
      </c>
      <c r="W8" s="165" t="s">
        <v>707</v>
      </c>
      <c r="X8" s="165" t="s">
        <v>1211</v>
      </c>
      <c r="Y8" s="165" t="s">
        <v>62</v>
      </c>
      <c r="Z8" s="184">
        <v>45547</v>
      </c>
      <c r="AA8" s="174">
        <v>45573</v>
      </c>
      <c r="AB8" s="165" t="s">
        <v>358</v>
      </c>
      <c r="AC8" s="165" t="s">
        <v>370</v>
      </c>
      <c r="AD8" s="165" t="s">
        <v>62</v>
      </c>
      <c r="AE8" s="165" t="s">
        <v>341</v>
      </c>
      <c r="AF8" s="165" t="s">
        <v>362</v>
      </c>
      <c r="AG8" s="165" t="s">
        <v>362</v>
      </c>
      <c r="AH8" s="175"/>
      <c r="AI8" s="184">
        <v>4.1340000000000003</v>
      </c>
      <c r="AJ8" s="184"/>
      <c r="AK8" s="165"/>
      <c r="AL8" s="176"/>
      <c r="AM8" s="165" t="s">
        <v>1413</v>
      </c>
      <c r="AN8" s="188">
        <v>-5.0289640890000004E-3</v>
      </c>
      <c r="AO8" s="188">
        <v>-9.7093679572994408E-6</v>
      </c>
    </row>
    <row r="9" spans="1:41" ht="15.75" thickBot="1">
      <c r="A9" s="176">
        <v>11925</v>
      </c>
      <c r="B9" s="176">
        <v>11928</v>
      </c>
      <c r="C9" s="165" t="s">
        <v>351</v>
      </c>
      <c r="D9" s="165" t="s">
        <v>1714</v>
      </c>
      <c r="E9" s="165" t="s">
        <v>1210</v>
      </c>
      <c r="F9" s="186">
        <v>3.71</v>
      </c>
      <c r="G9" s="168">
        <v>-212464.88</v>
      </c>
      <c r="H9" s="187">
        <v>1.970722371967</v>
      </c>
      <c r="I9" s="188">
        <v>2.87227455E-4</v>
      </c>
      <c r="J9" s="188">
        <v>1.52276601603711E-7</v>
      </c>
      <c r="K9" s="184"/>
      <c r="L9" s="184"/>
      <c r="M9" s="184"/>
      <c r="N9" s="184">
        <v>0</v>
      </c>
      <c r="O9" s="184"/>
      <c r="P9" s="184"/>
      <c r="Q9" s="184"/>
      <c r="R9" s="187">
        <v>7.3113799999999998</v>
      </c>
      <c r="S9" s="165" t="s">
        <v>53</v>
      </c>
      <c r="T9" s="165" t="s">
        <v>53</v>
      </c>
      <c r="U9" s="165" t="s">
        <v>72</v>
      </c>
      <c r="V9" s="165" t="s">
        <v>102</v>
      </c>
      <c r="W9" s="165" t="s">
        <v>707</v>
      </c>
      <c r="X9" s="165" t="s">
        <v>1210</v>
      </c>
      <c r="Y9" s="165" t="s">
        <v>62</v>
      </c>
      <c r="Z9" s="184">
        <v>45547</v>
      </c>
      <c r="AA9" s="174">
        <v>45573</v>
      </c>
      <c r="AB9" s="165" t="s">
        <v>358</v>
      </c>
      <c r="AC9" s="165" t="s">
        <v>370</v>
      </c>
      <c r="AD9" s="165" t="s">
        <v>62</v>
      </c>
      <c r="AE9" s="165" t="s">
        <v>341</v>
      </c>
      <c r="AF9" s="165" t="s">
        <v>362</v>
      </c>
      <c r="AG9" s="165" t="s">
        <v>362</v>
      </c>
      <c r="AH9" s="175"/>
      <c r="AI9" s="184">
        <v>3.7530000000000001</v>
      </c>
      <c r="AJ9" s="184"/>
      <c r="AK9" s="165"/>
      <c r="AL9" s="176"/>
      <c r="AM9" s="165" t="s">
        <v>1413</v>
      </c>
      <c r="AN9" s="188">
        <v>2.9261370299E-2</v>
      </c>
      <c r="AO9" s="188">
        <v>5.6494619194976798E-5</v>
      </c>
    </row>
    <row r="10" spans="1:41" ht="15.75" thickBot="1">
      <c r="A10" s="176">
        <v>11925</v>
      </c>
      <c r="B10" s="176">
        <v>11928</v>
      </c>
      <c r="C10" s="165" t="s">
        <v>351</v>
      </c>
      <c r="D10" s="165" t="s">
        <v>1715</v>
      </c>
      <c r="E10" s="165" t="s">
        <v>1210</v>
      </c>
      <c r="F10" s="186">
        <v>3.71</v>
      </c>
      <c r="G10" s="168">
        <v>-1628897.43</v>
      </c>
      <c r="H10" s="187">
        <v>15.986326145552001</v>
      </c>
      <c r="I10" s="188">
        <v>2.3299637979999998E-3</v>
      </c>
      <c r="J10" s="188">
        <v>1.2352543677386401E-6</v>
      </c>
      <c r="K10" s="184"/>
      <c r="L10" s="184"/>
      <c r="M10" s="184"/>
      <c r="N10" s="184">
        <v>0</v>
      </c>
      <c r="O10" s="184"/>
      <c r="P10" s="184"/>
      <c r="Q10" s="184"/>
      <c r="R10" s="187">
        <v>59.309269999999998</v>
      </c>
      <c r="S10" s="165" t="s">
        <v>53</v>
      </c>
      <c r="T10" s="165" t="s">
        <v>53</v>
      </c>
      <c r="U10" s="165" t="s">
        <v>72</v>
      </c>
      <c r="V10" s="165" t="s">
        <v>102</v>
      </c>
      <c r="W10" s="165" t="s">
        <v>707</v>
      </c>
      <c r="X10" s="165" t="s">
        <v>1210</v>
      </c>
      <c r="Y10" s="165" t="s">
        <v>62</v>
      </c>
      <c r="Z10" s="184">
        <v>45547</v>
      </c>
      <c r="AA10" s="174">
        <v>45573</v>
      </c>
      <c r="AB10" s="165" t="s">
        <v>358</v>
      </c>
      <c r="AC10" s="165" t="s">
        <v>370</v>
      </c>
      <c r="AD10" s="165" t="s">
        <v>62</v>
      </c>
      <c r="AE10" s="165" t="s">
        <v>341</v>
      </c>
      <c r="AF10" s="165" t="s">
        <v>362</v>
      </c>
      <c r="AG10" s="165" t="s">
        <v>362</v>
      </c>
      <c r="AH10" s="175"/>
      <c r="AI10" s="184">
        <v>3.7530000000000001</v>
      </c>
      <c r="AJ10" s="184"/>
      <c r="AK10" s="165"/>
      <c r="AL10" s="176"/>
      <c r="AM10" s="165" t="s">
        <v>1413</v>
      </c>
      <c r="AN10" s="188">
        <v>0.23736565622799999</v>
      </c>
      <c r="AO10" s="188">
        <v>4.5827937000000001E-4</v>
      </c>
    </row>
    <row r="11" spans="1:41" ht="15.75" thickBot="1">
      <c r="A11" s="176">
        <v>11925</v>
      </c>
      <c r="B11" s="176">
        <v>11928</v>
      </c>
      <c r="C11" s="165" t="s">
        <v>351</v>
      </c>
      <c r="D11" s="165" t="s">
        <v>1716</v>
      </c>
      <c r="E11" s="165" t="s">
        <v>1210</v>
      </c>
      <c r="F11" s="186">
        <v>3.71</v>
      </c>
      <c r="G11" s="168">
        <v>-3234188</v>
      </c>
      <c r="H11" s="187">
        <v>61.246175202156003</v>
      </c>
      <c r="I11" s="188">
        <v>8.926464387E-3</v>
      </c>
      <c r="J11" s="188">
        <v>4.7324572723544003E-6</v>
      </c>
      <c r="K11" s="184"/>
      <c r="L11" s="184"/>
      <c r="M11" s="184"/>
      <c r="N11" s="184">
        <v>0</v>
      </c>
      <c r="O11" s="184"/>
      <c r="P11" s="184"/>
      <c r="Q11" s="184"/>
      <c r="R11" s="187">
        <v>227.22331</v>
      </c>
      <c r="S11" s="165" t="s">
        <v>53</v>
      </c>
      <c r="T11" s="165" t="s">
        <v>53</v>
      </c>
      <c r="U11" s="165" t="s">
        <v>72</v>
      </c>
      <c r="V11" s="165" t="s">
        <v>102</v>
      </c>
      <c r="W11" s="165" t="s">
        <v>707</v>
      </c>
      <c r="X11" s="165" t="s">
        <v>1210</v>
      </c>
      <c r="Y11" s="165" t="s">
        <v>62</v>
      </c>
      <c r="Z11" s="184">
        <v>45558</v>
      </c>
      <c r="AA11" s="174">
        <v>45575</v>
      </c>
      <c r="AB11" s="165" t="s">
        <v>358</v>
      </c>
      <c r="AC11" s="165" t="s">
        <v>370</v>
      </c>
      <c r="AD11" s="165" t="s">
        <v>62</v>
      </c>
      <c r="AE11" s="165" t="s">
        <v>341</v>
      </c>
      <c r="AF11" s="165" t="s">
        <v>362</v>
      </c>
      <c r="AG11" s="165" t="s">
        <v>362</v>
      </c>
      <c r="AH11" s="175"/>
      <c r="AI11" s="184">
        <v>3.7789999999999999</v>
      </c>
      <c r="AJ11" s="184"/>
      <c r="AK11" s="165"/>
      <c r="AL11" s="176"/>
      <c r="AM11" s="165" t="s">
        <v>1413</v>
      </c>
      <c r="AN11" s="188">
        <v>0.90938583611900004</v>
      </c>
      <c r="AO11" s="188">
        <v>1.7557416479999999E-3</v>
      </c>
    </row>
    <row r="12" spans="1:41" ht="15.75" thickBot="1">
      <c r="A12" s="176">
        <v>11939</v>
      </c>
      <c r="B12" s="176">
        <v>11942</v>
      </c>
      <c r="C12" s="165" t="s">
        <v>351</v>
      </c>
      <c r="D12" s="165" t="s">
        <v>1712</v>
      </c>
      <c r="E12" s="165" t="s">
        <v>1211</v>
      </c>
      <c r="F12" s="186">
        <v>4.1524000000000001</v>
      </c>
      <c r="G12" s="168">
        <v>-5162495.71</v>
      </c>
      <c r="H12" s="187">
        <v>-26.470181100085998</v>
      </c>
      <c r="I12" s="188">
        <v>-1.4995509749999999E-3</v>
      </c>
      <c r="J12" s="188">
        <v>-9.5325379917760095E-7</v>
      </c>
      <c r="K12" s="184"/>
      <c r="L12" s="184"/>
      <c r="M12" s="184"/>
      <c r="N12" s="184">
        <v>0</v>
      </c>
      <c r="O12" s="184"/>
      <c r="P12" s="184"/>
      <c r="Q12" s="184"/>
      <c r="R12" s="187">
        <v>-109.91477999999999</v>
      </c>
      <c r="S12" s="165" t="s">
        <v>53</v>
      </c>
      <c r="T12" s="165" t="s">
        <v>53</v>
      </c>
      <c r="U12" s="165" t="s">
        <v>72</v>
      </c>
      <c r="V12" s="165" t="s">
        <v>102</v>
      </c>
      <c r="W12" s="165" t="s">
        <v>707</v>
      </c>
      <c r="X12" s="165" t="s">
        <v>1211</v>
      </c>
      <c r="Y12" s="165" t="s">
        <v>62</v>
      </c>
      <c r="Z12" s="184">
        <v>45547</v>
      </c>
      <c r="AA12" s="174">
        <v>45573</v>
      </c>
      <c r="AB12" s="165" t="s">
        <v>358</v>
      </c>
      <c r="AC12" s="165" t="s">
        <v>370</v>
      </c>
      <c r="AD12" s="165" t="s">
        <v>62</v>
      </c>
      <c r="AE12" s="165" t="s">
        <v>341</v>
      </c>
      <c r="AF12" s="165" t="s">
        <v>362</v>
      </c>
      <c r="AG12" s="165" t="s">
        <v>362</v>
      </c>
      <c r="AH12" s="175"/>
      <c r="AI12" s="184">
        <v>4.1340000000000003</v>
      </c>
      <c r="AJ12" s="184"/>
      <c r="AK12" s="165"/>
      <c r="AL12" s="176"/>
      <c r="AM12" s="165" t="s">
        <v>1413</v>
      </c>
      <c r="AN12" s="188">
        <v>-0.17098389884199999</v>
      </c>
      <c r="AO12" s="188">
        <v>-3.95829107E-4</v>
      </c>
    </row>
    <row r="13" spans="1:41" ht="15.75" thickBot="1">
      <c r="A13" s="176">
        <v>11939</v>
      </c>
      <c r="B13" s="176">
        <v>11942</v>
      </c>
      <c r="C13" s="165" t="s">
        <v>351</v>
      </c>
      <c r="D13" s="165" t="s">
        <v>1713</v>
      </c>
      <c r="E13" s="165" t="s">
        <v>1211</v>
      </c>
      <c r="F13" s="186">
        <v>4.1524000000000001</v>
      </c>
      <c r="G13" s="168">
        <v>-151838.1</v>
      </c>
      <c r="H13" s="187">
        <v>-0.77854012137499995</v>
      </c>
      <c r="I13" s="188">
        <v>-4.4104745409152402E-5</v>
      </c>
      <c r="J13" s="188">
        <v>-2.8037070305916399E-8</v>
      </c>
      <c r="K13" s="184"/>
      <c r="L13" s="184"/>
      <c r="M13" s="184"/>
      <c r="N13" s="184">
        <v>0</v>
      </c>
      <c r="O13" s="184"/>
      <c r="P13" s="184"/>
      <c r="Q13" s="184"/>
      <c r="R13" s="187">
        <v>-3.2328100000000002</v>
      </c>
      <c r="S13" s="165" t="s">
        <v>53</v>
      </c>
      <c r="T13" s="165" t="s">
        <v>53</v>
      </c>
      <c r="U13" s="165" t="s">
        <v>72</v>
      </c>
      <c r="V13" s="165" t="s">
        <v>102</v>
      </c>
      <c r="W13" s="165" t="s">
        <v>707</v>
      </c>
      <c r="X13" s="165" t="s">
        <v>1211</v>
      </c>
      <c r="Y13" s="165" t="s">
        <v>62</v>
      </c>
      <c r="Z13" s="184">
        <v>45547</v>
      </c>
      <c r="AA13" s="174">
        <v>45573</v>
      </c>
      <c r="AB13" s="165" t="s">
        <v>358</v>
      </c>
      <c r="AC13" s="165" t="s">
        <v>370</v>
      </c>
      <c r="AD13" s="165" t="s">
        <v>62</v>
      </c>
      <c r="AE13" s="165" t="s">
        <v>341</v>
      </c>
      <c r="AF13" s="165" t="s">
        <v>362</v>
      </c>
      <c r="AG13" s="165" t="s">
        <v>362</v>
      </c>
      <c r="AH13" s="175"/>
      <c r="AI13" s="184">
        <v>4.1340000000000003</v>
      </c>
      <c r="AJ13" s="184"/>
      <c r="AK13" s="165"/>
      <c r="AL13" s="176"/>
      <c r="AM13" s="165" t="s">
        <v>1413</v>
      </c>
      <c r="AN13" s="188">
        <v>-5.0289729729999996E-3</v>
      </c>
      <c r="AO13" s="188">
        <v>-1.16421130738287E-5</v>
      </c>
    </row>
    <row r="14" spans="1:41" ht="15.75" thickBot="1">
      <c r="A14" s="176">
        <v>11939</v>
      </c>
      <c r="B14" s="176">
        <v>11942</v>
      </c>
      <c r="C14" s="165" t="s">
        <v>351</v>
      </c>
      <c r="D14" s="165" t="s">
        <v>1714</v>
      </c>
      <c r="E14" s="165" t="s">
        <v>1210</v>
      </c>
      <c r="F14" s="186">
        <v>3.71</v>
      </c>
      <c r="G14" s="168">
        <v>-546617.18999999994</v>
      </c>
      <c r="H14" s="187">
        <v>5.070159029649</v>
      </c>
      <c r="I14" s="188">
        <v>2.8722742300000002E-4</v>
      </c>
      <c r="J14" s="188">
        <v>1.8258841294562399E-7</v>
      </c>
      <c r="K14" s="184"/>
      <c r="L14" s="184"/>
      <c r="M14" s="184"/>
      <c r="N14" s="184">
        <v>0</v>
      </c>
      <c r="O14" s="184"/>
      <c r="P14" s="184"/>
      <c r="Q14" s="184"/>
      <c r="R14" s="187">
        <v>18.810289999999998</v>
      </c>
      <c r="S14" s="165" t="s">
        <v>53</v>
      </c>
      <c r="T14" s="165" t="s">
        <v>53</v>
      </c>
      <c r="U14" s="165" t="s">
        <v>72</v>
      </c>
      <c r="V14" s="165" t="s">
        <v>102</v>
      </c>
      <c r="W14" s="165" t="s">
        <v>707</v>
      </c>
      <c r="X14" s="165" t="s">
        <v>1210</v>
      </c>
      <c r="Y14" s="165" t="s">
        <v>62</v>
      </c>
      <c r="Z14" s="184">
        <v>45547</v>
      </c>
      <c r="AA14" s="174">
        <v>45573</v>
      </c>
      <c r="AB14" s="165" t="s">
        <v>358</v>
      </c>
      <c r="AC14" s="165" t="s">
        <v>370</v>
      </c>
      <c r="AD14" s="165" t="s">
        <v>62</v>
      </c>
      <c r="AE14" s="165" t="s">
        <v>341</v>
      </c>
      <c r="AF14" s="165" t="s">
        <v>362</v>
      </c>
      <c r="AG14" s="165" t="s">
        <v>362</v>
      </c>
      <c r="AH14" s="175"/>
      <c r="AI14" s="184">
        <v>3.7530000000000001</v>
      </c>
      <c r="AJ14" s="184"/>
      <c r="AK14" s="165"/>
      <c r="AL14" s="176"/>
      <c r="AM14" s="165" t="s">
        <v>1413</v>
      </c>
      <c r="AN14" s="188">
        <v>2.9261367056E-2</v>
      </c>
      <c r="AO14" s="188">
        <v>6.7740301202826703E-5</v>
      </c>
    </row>
    <row r="15" spans="1:41" ht="15.75" thickBot="1">
      <c r="A15" s="176">
        <v>11939</v>
      </c>
      <c r="B15" s="176">
        <v>11942</v>
      </c>
      <c r="C15" s="165" t="s">
        <v>351</v>
      </c>
      <c r="D15" s="165" t="s">
        <v>1715</v>
      </c>
      <c r="E15" s="165" t="s">
        <v>1210</v>
      </c>
      <c r="F15" s="186">
        <v>3.71</v>
      </c>
      <c r="G15" s="168">
        <v>-4190731.81</v>
      </c>
      <c r="H15" s="187">
        <v>41.128679245283003</v>
      </c>
      <c r="I15" s="188">
        <v>2.329963321E-3</v>
      </c>
      <c r="J15" s="188">
        <v>1.4811409713246899E-6</v>
      </c>
      <c r="K15" s="184"/>
      <c r="L15" s="184"/>
      <c r="M15" s="184"/>
      <c r="N15" s="184">
        <v>0</v>
      </c>
      <c r="O15" s="184"/>
      <c r="P15" s="184"/>
      <c r="Q15" s="184"/>
      <c r="R15" s="187">
        <v>152.5874</v>
      </c>
      <c r="S15" s="165" t="s">
        <v>53</v>
      </c>
      <c r="T15" s="165" t="s">
        <v>53</v>
      </c>
      <c r="U15" s="165" t="s">
        <v>72</v>
      </c>
      <c r="V15" s="165" t="s">
        <v>102</v>
      </c>
      <c r="W15" s="165" t="s">
        <v>707</v>
      </c>
      <c r="X15" s="165" t="s">
        <v>1210</v>
      </c>
      <c r="Y15" s="165" t="s">
        <v>62</v>
      </c>
      <c r="Z15" s="184">
        <v>45547</v>
      </c>
      <c r="AA15" s="174">
        <v>45573</v>
      </c>
      <c r="AB15" s="165" t="s">
        <v>358</v>
      </c>
      <c r="AC15" s="165" t="s">
        <v>370</v>
      </c>
      <c r="AD15" s="165" t="s">
        <v>62</v>
      </c>
      <c r="AE15" s="165" t="s">
        <v>341</v>
      </c>
      <c r="AF15" s="165" t="s">
        <v>362</v>
      </c>
      <c r="AG15" s="165" t="s">
        <v>362</v>
      </c>
      <c r="AH15" s="175"/>
      <c r="AI15" s="184">
        <v>3.7530000000000001</v>
      </c>
      <c r="AJ15" s="184"/>
      <c r="AK15" s="165"/>
      <c r="AL15" s="176"/>
      <c r="AM15" s="165" t="s">
        <v>1413</v>
      </c>
      <c r="AN15" s="188">
        <v>0.23736560784800001</v>
      </c>
      <c r="AO15" s="188">
        <v>5.4950330000000001E-4</v>
      </c>
    </row>
    <row r="16" spans="1:41" ht="15.75" thickBot="1">
      <c r="A16" s="176">
        <v>11939</v>
      </c>
      <c r="B16" s="176">
        <v>11942</v>
      </c>
      <c r="C16" s="165" t="s">
        <v>351</v>
      </c>
      <c r="D16" s="165" t="s">
        <v>1716</v>
      </c>
      <c r="E16" s="165" t="s">
        <v>1210</v>
      </c>
      <c r="F16" s="186">
        <v>3.71</v>
      </c>
      <c r="G16" s="168">
        <v>-8320731</v>
      </c>
      <c r="H16" s="187">
        <v>157.57059838274901</v>
      </c>
      <c r="I16" s="188">
        <v>8.9264649749999994E-3</v>
      </c>
      <c r="J16" s="188">
        <v>5.6744897580829804E-6</v>
      </c>
      <c r="K16" s="184"/>
      <c r="L16" s="184"/>
      <c r="M16" s="184"/>
      <c r="N16" s="184">
        <v>0</v>
      </c>
      <c r="O16" s="184"/>
      <c r="P16" s="184"/>
      <c r="Q16" s="184"/>
      <c r="R16" s="187">
        <v>584.58691999999996</v>
      </c>
      <c r="S16" s="165" t="s">
        <v>53</v>
      </c>
      <c r="T16" s="165" t="s">
        <v>53</v>
      </c>
      <c r="U16" s="165" t="s">
        <v>72</v>
      </c>
      <c r="V16" s="165" t="s">
        <v>102</v>
      </c>
      <c r="W16" s="165" t="s">
        <v>707</v>
      </c>
      <c r="X16" s="165" t="s">
        <v>1210</v>
      </c>
      <c r="Y16" s="165" t="s">
        <v>62</v>
      </c>
      <c r="Z16" s="184">
        <v>45558</v>
      </c>
      <c r="AA16" s="174">
        <v>45575</v>
      </c>
      <c r="AB16" s="165" t="s">
        <v>358</v>
      </c>
      <c r="AC16" s="165" t="s">
        <v>370</v>
      </c>
      <c r="AD16" s="165" t="s">
        <v>62</v>
      </c>
      <c r="AE16" s="165" t="s">
        <v>341</v>
      </c>
      <c r="AF16" s="165" t="s">
        <v>362</v>
      </c>
      <c r="AG16" s="165" t="s">
        <v>362</v>
      </c>
      <c r="AH16" s="175"/>
      <c r="AI16" s="184">
        <v>3.7789999999999999</v>
      </c>
      <c r="AJ16" s="184"/>
      <c r="AK16" s="165"/>
      <c r="AL16" s="176"/>
      <c r="AM16" s="165" t="s">
        <v>1413</v>
      </c>
      <c r="AN16" s="188">
        <v>0.90938589691000005</v>
      </c>
      <c r="AO16" s="188">
        <v>2.1052356999999998E-3</v>
      </c>
    </row>
    <row r="17" spans="1:41" ht="15.75" thickBot="1">
      <c r="A17" s="176">
        <v>7891</v>
      </c>
      <c r="B17" s="176">
        <v>7892</v>
      </c>
      <c r="C17" s="184"/>
      <c r="D17" s="184"/>
      <c r="E17" s="184"/>
      <c r="F17" s="184"/>
      <c r="G17" s="184"/>
      <c r="H17" s="184"/>
      <c r="I17" s="184"/>
      <c r="J17" s="184"/>
      <c r="K17" s="184"/>
      <c r="L17" s="184"/>
      <c r="M17" s="184"/>
      <c r="N17" s="184"/>
      <c r="O17" s="184"/>
      <c r="P17" s="184"/>
      <c r="Q17" s="184"/>
      <c r="R17" s="184"/>
      <c r="S17" s="184"/>
      <c r="T17" s="184"/>
      <c r="U17" s="184"/>
      <c r="V17" s="184"/>
      <c r="W17" s="184"/>
      <c r="X17" s="184"/>
      <c r="Y17" s="184"/>
      <c r="Z17" s="184"/>
      <c r="AA17" s="184"/>
      <c r="AB17" s="184"/>
      <c r="AC17" s="184"/>
      <c r="AD17" s="184"/>
      <c r="AE17" s="184"/>
      <c r="AF17" s="184"/>
      <c r="AG17" s="184"/>
      <c r="AH17" s="184"/>
      <c r="AI17" s="184"/>
      <c r="AJ17" s="184"/>
      <c r="AK17" s="184"/>
      <c r="AL17" s="184"/>
      <c r="AM17" s="184"/>
      <c r="AN17" s="184"/>
      <c r="AO17" s="184"/>
    </row>
    <row r="18" spans="1:41" ht="15.75" thickBot="1">
      <c r="A18" s="176">
        <v>7891</v>
      </c>
      <c r="B18" s="176">
        <v>7893</v>
      </c>
      <c r="C18" s="184"/>
      <c r="D18" s="184"/>
      <c r="E18" s="184"/>
      <c r="F18" s="184"/>
      <c r="G18" s="184"/>
      <c r="H18" s="184"/>
      <c r="I18" s="184"/>
      <c r="J18" s="184"/>
      <c r="K18" s="184"/>
      <c r="L18" s="184"/>
      <c r="M18" s="184"/>
      <c r="N18" s="184"/>
      <c r="O18" s="184"/>
      <c r="P18" s="184"/>
      <c r="Q18" s="184"/>
      <c r="R18" s="184"/>
      <c r="S18" s="184"/>
      <c r="T18" s="184"/>
      <c r="U18" s="184"/>
      <c r="V18" s="184"/>
      <c r="W18" s="184"/>
      <c r="X18" s="184"/>
      <c r="Y18" s="184"/>
      <c r="Z18" s="184"/>
      <c r="AA18" s="184"/>
      <c r="AB18" s="184"/>
      <c r="AC18" s="184"/>
      <c r="AD18" s="184"/>
      <c r="AE18" s="184"/>
      <c r="AF18" s="184"/>
      <c r="AG18" s="184"/>
      <c r="AH18" s="184"/>
      <c r="AI18" s="184"/>
      <c r="AJ18" s="184"/>
      <c r="AK18" s="184"/>
      <c r="AL18" s="184"/>
      <c r="AM18" s="184"/>
      <c r="AN18" s="184"/>
      <c r="AO18" s="184"/>
    </row>
    <row r="19" spans="1:41" ht="15.75" thickBot="1">
      <c r="A19" s="176">
        <v>7891</v>
      </c>
      <c r="B19" s="176">
        <v>7894</v>
      </c>
      <c r="C19" s="184"/>
      <c r="D19" s="184"/>
      <c r="E19" s="184"/>
      <c r="F19" s="184"/>
      <c r="G19" s="184"/>
      <c r="H19" s="184"/>
      <c r="I19" s="184"/>
      <c r="J19" s="184"/>
      <c r="K19" s="184"/>
      <c r="L19" s="184"/>
      <c r="M19" s="184"/>
      <c r="N19" s="184"/>
      <c r="O19" s="184"/>
      <c r="P19" s="184"/>
      <c r="Q19" s="184"/>
      <c r="R19" s="184"/>
      <c r="S19" s="184"/>
      <c r="T19" s="184"/>
      <c r="U19" s="184"/>
      <c r="V19" s="184"/>
      <c r="W19" s="184"/>
      <c r="X19" s="184"/>
      <c r="Y19" s="184"/>
      <c r="Z19" s="184"/>
      <c r="AA19" s="184"/>
      <c r="AB19" s="184"/>
      <c r="AC19" s="184"/>
      <c r="AD19" s="184"/>
      <c r="AE19" s="184"/>
      <c r="AF19" s="184"/>
      <c r="AG19" s="184"/>
      <c r="AH19" s="184"/>
      <c r="AI19" s="184"/>
      <c r="AJ19" s="184"/>
      <c r="AK19" s="184"/>
      <c r="AL19" s="184"/>
      <c r="AM19" s="184"/>
      <c r="AN19" s="184"/>
      <c r="AO19" s="184"/>
    </row>
    <row r="20" spans="1:41" ht="15.75" thickBot="1">
      <c r="A20" s="176">
        <v>7891</v>
      </c>
      <c r="B20" s="176">
        <v>7895</v>
      </c>
      <c r="C20" s="184"/>
      <c r="D20" s="184"/>
      <c r="E20" s="184"/>
      <c r="F20" s="184"/>
      <c r="G20" s="184"/>
      <c r="H20" s="184"/>
      <c r="I20" s="184"/>
      <c r="J20" s="184"/>
      <c r="K20" s="184"/>
      <c r="L20" s="184"/>
      <c r="M20" s="184"/>
      <c r="N20" s="184"/>
      <c r="O20" s="184"/>
      <c r="P20" s="184"/>
      <c r="Q20" s="184"/>
      <c r="R20" s="184"/>
      <c r="S20" s="184"/>
      <c r="T20" s="184"/>
      <c r="U20" s="184"/>
      <c r="V20" s="184"/>
      <c r="W20" s="184"/>
      <c r="X20" s="184"/>
      <c r="Y20" s="184"/>
      <c r="Z20" s="184"/>
      <c r="AA20" s="184"/>
      <c r="AB20" s="184"/>
      <c r="AC20" s="184"/>
      <c r="AD20" s="184"/>
      <c r="AE20" s="184"/>
      <c r="AF20" s="184"/>
      <c r="AG20" s="184"/>
      <c r="AH20" s="184"/>
      <c r="AI20" s="184"/>
      <c r="AJ20" s="184"/>
      <c r="AK20" s="184"/>
      <c r="AL20" s="184"/>
      <c r="AM20" s="184"/>
      <c r="AN20" s="184"/>
      <c r="AO20" s="184"/>
    </row>
    <row r="21" spans="1:41" customFormat="1" ht="15.75" thickBot="1">
      <c r="A21" s="176">
        <v>7891</v>
      </c>
      <c r="B21" s="176">
        <v>7896</v>
      </c>
      <c r="C21" s="184"/>
      <c r="D21" s="184"/>
      <c r="E21" s="184"/>
      <c r="F21" s="184"/>
      <c r="G21" s="184"/>
      <c r="H21" s="184"/>
      <c r="I21" s="184"/>
      <c r="J21" s="184"/>
      <c r="K21" s="184"/>
      <c r="L21" s="184"/>
      <c r="M21" s="184"/>
      <c r="N21" s="184"/>
      <c r="O21" s="184"/>
      <c r="P21" s="184"/>
      <c r="Q21" s="184"/>
      <c r="R21" s="184"/>
      <c r="S21" s="184"/>
      <c r="T21" s="184"/>
      <c r="U21" s="184"/>
      <c r="V21" s="184"/>
      <c r="W21" s="184"/>
      <c r="X21" s="184"/>
      <c r="Y21" s="184"/>
      <c r="Z21" s="184"/>
      <c r="AA21" s="184"/>
      <c r="AB21" s="184"/>
      <c r="AC21" s="184"/>
      <c r="AD21" s="184"/>
      <c r="AE21" s="184"/>
      <c r="AF21" s="184"/>
      <c r="AG21" s="184"/>
      <c r="AH21" s="184"/>
      <c r="AI21" s="184"/>
      <c r="AJ21" s="184"/>
      <c r="AK21" s="184"/>
      <c r="AL21" s="184"/>
      <c r="AM21" s="184"/>
      <c r="AN21" s="184"/>
      <c r="AO21" s="184"/>
    </row>
    <row r="22" spans="1:41" ht="15.75" thickBot="1">
      <c r="A22" s="176">
        <v>7891</v>
      </c>
      <c r="B22" s="176">
        <v>7898</v>
      </c>
      <c r="C22" s="184"/>
      <c r="D22" s="184"/>
      <c r="E22" s="184"/>
      <c r="F22" s="184"/>
      <c r="G22" s="184"/>
      <c r="H22" s="184"/>
      <c r="I22" s="184"/>
      <c r="J22" s="184"/>
      <c r="K22" s="184"/>
      <c r="L22" s="184"/>
      <c r="M22" s="184"/>
      <c r="N22" s="184"/>
      <c r="O22" s="184"/>
      <c r="P22" s="184"/>
      <c r="Q22" s="184"/>
      <c r="R22" s="184"/>
      <c r="S22" s="184"/>
      <c r="T22" s="184"/>
      <c r="U22" s="184"/>
      <c r="V22" s="184"/>
      <c r="W22" s="184"/>
      <c r="X22" s="184"/>
      <c r="Y22" s="184"/>
      <c r="Z22" s="184"/>
      <c r="AA22" s="184"/>
      <c r="AB22" s="184"/>
      <c r="AC22" s="184"/>
      <c r="AD22" s="184"/>
      <c r="AE22" s="184"/>
      <c r="AF22" s="184"/>
      <c r="AG22" s="184"/>
      <c r="AH22" s="184"/>
      <c r="AI22" s="184"/>
      <c r="AJ22" s="184"/>
      <c r="AK22" s="184"/>
      <c r="AL22" s="184"/>
      <c r="AM22" s="184"/>
      <c r="AN22" s="184"/>
      <c r="AO22" s="184"/>
    </row>
    <row r="23" spans="1:41" ht="15.75" thickBot="1">
      <c r="A23" s="176">
        <v>7891</v>
      </c>
      <c r="B23" s="176">
        <v>7899</v>
      </c>
      <c r="C23" s="184"/>
      <c r="D23" s="184"/>
      <c r="E23" s="184"/>
      <c r="F23" s="184"/>
      <c r="G23" s="184"/>
      <c r="H23" s="184"/>
      <c r="I23" s="184"/>
      <c r="J23" s="184"/>
      <c r="K23" s="184"/>
      <c r="L23" s="184"/>
      <c r="M23" s="184"/>
      <c r="N23" s="184"/>
      <c r="O23" s="184"/>
      <c r="P23" s="184"/>
      <c r="Q23" s="184"/>
      <c r="R23" s="184"/>
      <c r="S23" s="184"/>
      <c r="T23" s="184"/>
      <c r="U23" s="184"/>
      <c r="V23" s="184"/>
      <c r="W23" s="184"/>
      <c r="X23" s="184"/>
      <c r="Y23" s="184"/>
      <c r="Z23" s="184"/>
      <c r="AA23" s="184"/>
      <c r="AB23" s="184"/>
      <c r="AC23" s="184"/>
      <c r="AD23" s="184"/>
      <c r="AE23" s="184"/>
      <c r="AF23" s="184"/>
      <c r="AG23" s="184"/>
      <c r="AH23" s="184"/>
      <c r="AI23" s="184"/>
      <c r="AJ23" s="184"/>
      <c r="AK23" s="184"/>
      <c r="AL23" s="184"/>
      <c r="AM23" s="184"/>
      <c r="AN23" s="184"/>
      <c r="AO23" s="184"/>
    </row>
    <row r="24" spans="1:41" ht="15.75" thickBot="1">
      <c r="A24" s="176">
        <v>7891</v>
      </c>
      <c r="B24" s="176">
        <v>7900</v>
      </c>
      <c r="C24" s="184"/>
      <c r="D24" s="184"/>
      <c r="E24" s="184"/>
      <c r="F24" s="184"/>
      <c r="G24" s="184"/>
      <c r="H24" s="184"/>
      <c r="I24" s="184"/>
      <c r="J24" s="184"/>
      <c r="K24" s="184"/>
      <c r="L24" s="184"/>
      <c r="M24" s="184"/>
      <c r="N24" s="184"/>
      <c r="O24" s="184"/>
      <c r="P24" s="184"/>
      <c r="Q24" s="184"/>
      <c r="R24" s="184"/>
      <c r="S24" s="184"/>
      <c r="T24" s="184"/>
      <c r="U24" s="184"/>
      <c r="V24" s="184"/>
      <c r="W24" s="184"/>
      <c r="X24" s="184"/>
      <c r="Y24" s="184"/>
      <c r="Z24" s="184"/>
      <c r="AA24" s="184"/>
      <c r="AB24" s="184"/>
      <c r="AC24" s="184"/>
      <c r="AD24" s="184"/>
      <c r="AE24" s="184"/>
      <c r="AF24" s="184"/>
      <c r="AG24" s="184"/>
      <c r="AH24" s="184"/>
      <c r="AI24" s="184"/>
      <c r="AJ24" s="184"/>
      <c r="AK24" s="184"/>
      <c r="AL24" s="184"/>
      <c r="AM24" s="184"/>
      <c r="AN24" s="184"/>
      <c r="AO24" s="184"/>
    </row>
    <row r="25" spans="1:41" ht="15.75" thickBot="1">
      <c r="A25" s="176">
        <v>7891</v>
      </c>
      <c r="B25" s="176">
        <v>7901</v>
      </c>
      <c r="C25" s="184"/>
      <c r="D25" s="184"/>
      <c r="E25" s="184"/>
      <c r="F25" s="184"/>
      <c r="G25" s="184"/>
      <c r="H25" s="184"/>
      <c r="I25" s="184"/>
      <c r="J25" s="184"/>
      <c r="K25" s="184"/>
      <c r="L25" s="184"/>
      <c r="M25" s="184"/>
      <c r="N25" s="184"/>
      <c r="O25" s="184"/>
      <c r="P25" s="184"/>
      <c r="Q25" s="184"/>
      <c r="R25" s="184"/>
      <c r="S25" s="184"/>
      <c r="T25" s="184"/>
      <c r="U25" s="184"/>
      <c r="V25" s="184"/>
      <c r="W25" s="184"/>
      <c r="X25" s="184"/>
      <c r="Y25" s="184"/>
      <c r="Z25" s="184"/>
      <c r="AA25" s="184"/>
      <c r="AB25" s="184"/>
      <c r="AC25" s="184"/>
      <c r="AD25" s="184"/>
      <c r="AE25" s="184"/>
      <c r="AF25" s="184"/>
      <c r="AG25" s="184"/>
      <c r="AH25" s="184"/>
      <c r="AI25" s="184"/>
      <c r="AJ25" s="184"/>
      <c r="AK25" s="184"/>
      <c r="AL25" s="184"/>
      <c r="AM25" s="184"/>
      <c r="AN25" s="184"/>
      <c r="AO25" s="184"/>
    </row>
    <row r="26" spans="1:41" ht="15.75" thickBot="1">
      <c r="A26" s="176">
        <v>7891</v>
      </c>
      <c r="B26" s="176">
        <v>7902</v>
      </c>
      <c r="C26" s="184"/>
      <c r="D26" s="184"/>
      <c r="E26" s="184"/>
      <c r="F26" s="184"/>
      <c r="G26" s="184"/>
      <c r="H26" s="184"/>
      <c r="I26" s="184"/>
      <c r="J26" s="184"/>
      <c r="K26" s="184"/>
      <c r="L26" s="184"/>
      <c r="M26" s="184"/>
      <c r="N26" s="184"/>
      <c r="O26" s="184"/>
      <c r="P26" s="184"/>
      <c r="Q26" s="184"/>
      <c r="R26" s="184"/>
      <c r="S26" s="184"/>
      <c r="T26" s="184"/>
      <c r="U26" s="184"/>
      <c r="V26" s="184"/>
      <c r="W26" s="184"/>
      <c r="X26" s="184"/>
      <c r="Y26" s="184"/>
      <c r="Z26" s="184"/>
      <c r="AA26" s="184"/>
      <c r="AB26" s="184"/>
      <c r="AC26" s="184"/>
      <c r="AD26" s="184"/>
      <c r="AE26" s="184"/>
      <c r="AF26" s="184"/>
      <c r="AG26" s="184"/>
      <c r="AH26" s="184"/>
      <c r="AI26" s="184"/>
      <c r="AJ26" s="184"/>
      <c r="AK26" s="184"/>
      <c r="AL26" s="184"/>
      <c r="AM26" s="184"/>
      <c r="AN26" s="184"/>
      <c r="AO26" s="184"/>
    </row>
    <row r="27" spans="1:41" ht="15.75" thickBot="1">
      <c r="A27" s="176">
        <v>11925</v>
      </c>
      <c r="B27" s="176">
        <v>11926</v>
      </c>
      <c r="C27" s="184"/>
      <c r="D27" s="184"/>
      <c r="E27" s="184"/>
      <c r="F27" s="184"/>
      <c r="G27" s="184"/>
      <c r="H27" s="184"/>
      <c r="I27" s="184"/>
      <c r="J27" s="184"/>
      <c r="K27" s="184"/>
      <c r="L27" s="184"/>
      <c r="M27" s="184"/>
      <c r="N27" s="184"/>
      <c r="O27" s="184"/>
      <c r="P27" s="184"/>
      <c r="Q27" s="184"/>
      <c r="R27" s="184"/>
      <c r="S27" s="184"/>
      <c r="T27" s="184"/>
      <c r="U27" s="184"/>
      <c r="V27" s="184"/>
      <c r="W27" s="184"/>
      <c r="X27" s="184"/>
      <c r="Y27" s="184"/>
      <c r="Z27" s="184"/>
      <c r="AA27" s="184"/>
      <c r="AB27" s="184"/>
      <c r="AC27" s="184"/>
      <c r="AD27" s="184"/>
      <c r="AE27" s="184"/>
      <c r="AF27" s="184"/>
      <c r="AG27" s="184"/>
      <c r="AH27" s="184"/>
      <c r="AI27" s="184"/>
      <c r="AJ27" s="184"/>
      <c r="AK27" s="184"/>
      <c r="AL27" s="184"/>
      <c r="AM27" s="184"/>
      <c r="AN27" s="184"/>
      <c r="AO27" s="184"/>
    </row>
    <row r="28" spans="1:41" ht="15.75" thickBot="1">
      <c r="A28" s="176">
        <v>11925</v>
      </c>
      <c r="B28" s="176">
        <v>11927</v>
      </c>
      <c r="C28" s="184"/>
      <c r="D28" s="184"/>
      <c r="E28" s="184"/>
      <c r="F28" s="184"/>
      <c r="G28" s="184"/>
      <c r="H28" s="184"/>
      <c r="I28" s="184"/>
      <c r="J28" s="184"/>
      <c r="K28" s="184"/>
      <c r="L28" s="184"/>
      <c r="M28" s="184"/>
      <c r="N28" s="184"/>
      <c r="O28" s="184"/>
      <c r="P28" s="184"/>
      <c r="Q28" s="184"/>
      <c r="R28" s="184"/>
      <c r="S28" s="184"/>
      <c r="T28" s="184"/>
      <c r="U28" s="184"/>
      <c r="V28" s="184"/>
      <c r="W28" s="184"/>
      <c r="X28" s="184"/>
      <c r="Y28" s="184"/>
      <c r="Z28" s="184"/>
      <c r="AA28" s="184"/>
      <c r="AB28" s="184"/>
      <c r="AC28" s="184"/>
      <c r="AD28" s="184"/>
      <c r="AE28" s="184"/>
      <c r="AF28" s="184"/>
      <c r="AG28" s="184"/>
      <c r="AH28" s="184"/>
      <c r="AI28" s="184"/>
      <c r="AJ28" s="184"/>
      <c r="AK28" s="184"/>
      <c r="AL28" s="184"/>
      <c r="AM28" s="184"/>
      <c r="AN28" s="184"/>
      <c r="AO28" s="184"/>
    </row>
    <row r="29" spans="1:41" ht="15.75" thickBot="1">
      <c r="A29" s="176">
        <v>11925</v>
      </c>
      <c r="B29" s="176">
        <v>11929</v>
      </c>
      <c r="C29" s="184"/>
      <c r="D29" s="184"/>
      <c r="E29" s="184"/>
      <c r="F29" s="184"/>
      <c r="G29" s="184"/>
      <c r="H29" s="184"/>
      <c r="I29" s="184"/>
      <c r="J29" s="184"/>
      <c r="K29" s="184"/>
      <c r="L29" s="184"/>
      <c r="M29" s="184"/>
      <c r="N29" s="184"/>
      <c r="O29" s="184"/>
      <c r="P29" s="184"/>
      <c r="Q29" s="184"/>
      <c r="R29" s="184"/>
      <c r="S29" s="184"/>
      <c r="T29" s="184"/>
      <c r="U29" s="184"/>
      <c r="V29" s="184"/>
      <c r="W29" s="184"/>
      <c r="X29" s="184"/>
      <c r="Y29" s="184"/>
      <c r="Z29" s="184"/>
      <c r="AA29" s="184"/>
      <c r="AB29" s="184"/>
      <c r="AC29" s="184"/>
      <c r="AD29" s="184"/>
      <c r="AE29" s="184"/>
      <c r="AF29" s="184"/>
      <c r="AG29" s="184"/>
      <c r="AH29" s="184"/>
      <c r="AI29" s="184"/>
      <c r="AJ29" s="184"/>
      <c r="AK29" s="184"/>
      <c r="AL29" s="184"/>
      <c r="AM29" s="184"/>
      <c r="AN29" s="184"/>
      <c r="AO29" s="184"/>
    </row>
    <row r="30" spans="1:41" ht="15.75" thickBot="1">
      <c r="A30" s="176">
        <v>11925</v>
      </c>
      <c r="B30" s="176">
        <v>11930</v>
      </c>
      <c r="C30" s="184"/>
      <c r="D30" s="184"/>
      <c r="E30" s="184"/>
      <c r="F30" s="184"/>
      <c r="G30" s="184"/>
      <c r="H30" s="184"/>
      <c r="I30" s="184"/>
      <c r="J30" s="184"/>
      <c r="K30" s="184"/>
      <c r="L30" s="184"/>
      <c r="M30" s="184"/>
      <c r="N30" s="184"/>
      <c r="O30" s="184"/>
      <c r="P30" s="184"/>
      <c r="Q30" s="184"/>
      <c r="R30" s="184"/>
      <c r="S30" s="184"/>
      <c r="T30" s="184"/>
      <c r="U30" s="184"/>
      <c r="V30" s="184"/>
      <c r="W30" s="184"/>
      <c r="X30" s="184"/>
      <c r="Y30" s="184"/>
      <c r="Z30" s="184"/>
      <c r="AA30" s="184"/>
      <c r="AB30" s="184"/>
      <c r="AC30" s="184"/>
      <c r="AD30" s="184"/>
      <c r="AE30" s="184"/>
      <c r="AF30" s="184"/>
      <c r="AG30" s="184"/>
      <c r="AH30" s="184"/>
      <c r="AI30" s="184"/>
      <c r="AJ30" s="184"/>
      <c r="AK30" s="184"/>
      <c r="AL30" s="184"/>
      <c r="AM30" s="184"/>
      <c r="AN30" s="184"/>
      <c r="AO30" s="184"/>
    </row>
    <row r="31" spans="1:41" ht="15.75" thickBot="1">
      <c r="A31" s="176">
        <v>11925</v>
      </c>
      <c r="B31" s="176">
        <v>11931</v>
      </c>
      <c r="C31" s="184"/>
      <c r="D31" s="184"/>
      <c r="E31" s="184"/>
      <c r="F31" s="184"/>
      <c r="G31" s="184"/>
      <c r="H31" s="184"/>
      <c r="I31" s="184"/>
      <c r="J31" s="184"/>
      <c r="K31" s="184"/>
      <c r="L31" s="184"/>
      <c r="M31" s="184"/>
      <c r="N31" s="184"/>
      <c r="O31" s="184"/>
      <c r="P31" s="184"/>
      <c r="Q31" s="184"/>
      <c r="R31" s="184"/>
      <c r="S31" s="184"/>
      <c r="T31" s="184"/>
      <c r="U31" s="184"/>
      <c r="V31" s="184"/>
      <c r="W31" s="184"/>
      <c r="X31" s="184"/>
      <c r="Y31" s="184"/>
      <c r="Z31" s="184"/>
      <c r="AA31" s="184"/>
      <c r="AB31" s="184"/>
      <c r="AC31" s="184"/>
      <c r="AD31" s="184"/>
      <c r="AE31" s="184"/>
      <c r="AF31" s="184"/>
      <c r="AG31" s="184"/>
      <c r="AH31" s="184"/>
      <c r="AI31" s="184"/>
      <c r="AJ31" s="184"/>
      <c r="AK31" s="184"/>
      <c r="AL31" s="184"/>
      <c r="AM31" s="184"/>
      <c r="AN31" s="184"/>
      <c r="AO31" s="184"/>
    </row>
    <row r="32" spans="1:41" ht="15.75" thickBot="1">
      <c r="A32" s="176">
        <v>11925</v>
      </c>
      <c r="B32" s="176">
        <v>11932</v>
      </c>
      <c r="C32" s="184"/>
      <c r="D32" s="184"/>
      <c r="E32" s="184"/>
      <c r="F32" s="184"/>
      <c r="G32" s="184"/>
      <c r="H32" s="184"/>
      <c r="I32" s="184"/>
      <c r="J32" s="184"/>
      <c r="K32" s="184"/>
      <c r="L32" s="184"/>
      <c r="M32" s="184"/>
      <c r="N32" s="184"/>
      <c r="O32" s="184"/>
      <c r="P32" s="184"/>
      <c r="Q32" s="184"/>
      <c r="R32" s="184"/>
      <c r="S32" s="184"/>
      <c r="T32" s="184"/>
      <c r="U32" s="184"/>
      <c r="V32" s="184"/>
      <c r="W32" s="184"/>
      <c r="X32" s="184"/>
      <c r="Y32" s="184"/>
      <c r="Z32" s="184"/>
      <c r="AA32" s="184"/>
      <c r="AB32" s="184"/>
      <c r="AC32" s="184"/>
      <c r="AD32" s="184"/>
      <c r="AE32" s="184"/>
      <c r="AF32" s="184"/>
      <c r="AG32" s="184"/>
      <c r="AH32" s="184"/>
      <c r="AI32" s="184"/>
      <c r="AJ32" s="184"/>
      <c r="AK32" s="184"/>
      <c r="AL32" s="184"/>
      <c r="AM32" s="184"/>
      <c r="AN32" s="184"/>
      <c r="AO32" s="184"/>
    </row>
    <row r="33" spans="1:41" ht="15.75" thickBot="1">
      <c r="A33" s="176">
        <v>11925</v>
      </c>
      <c r="B33" s="176">
        <v>11933</v>
      </c>
      <c r="C33" s="184"/>
      <c r="D33" s="184"/>
      <c r="E33" s="184"/>
      <c r="F33" s="184"/>
      <c r="G33" s="184"/>
      <c r="H33" s="184"/>
      <c r="I33" s="184"/>
      <c r="J33" s="184"/>
      <c r="K33" s="184"/>
      <c r="L33" s="184"/>
      <c r="M33" s="184"/>
      <c r="N33" s="184"/>
      <c r="O33" s="184"/>
      <c r="P33" s="184"/>
      <c r="Q33" s="184"/>
      <c r="R33" s="184"/>
      <c r="S33" s="184"/>
      <c r="T33" s="184"/>
      <c r="U33" s="184"/>
      <c r="V33" s="184"/>
      <c r="W33" s="184"/>
      <c r="X33" s="184"/>
      <c r="Y33" s="184"/>
      <c r="Z33" s="184"/>
      <c r="AA33" s="184"/>
      <c r="AB33" s="184"/>
      <c r="AC33" s="184"/>
      <c r="AD33" s="184"/>
      <c r="AE33" s="184"/>
      <c r="AF33" s="184"/>
      <c r="AG33" s="184"/>
      <c r="AH33" s="184"/>
      <c r="AI33" s="184"/>
      <c r="AJ33" s="184"/>
      <c r="AK33" s="184"/>
      <c r="AL33" s="184"/>
      <c r="AM33" s="184"/>
      <c r="AN33" s="184"/>
      <c r="AO33" s="184"/>
    </row>
    <row r="34" spans="1:41" ht="15.75" thickBot="1">
      <c r="A34" s="176">
        <v>11925</v>
      </c>
      <c r="B34" s="176">
        <v>11934</v>
      </c>
      <c r="C34" s="184"/>
      <c r="D34" s="184"/>
      <c r="E34" s="184"/>
      <c r="F34" s="184"/>
      <c r="G34" s="184"/>
      <c r="H34" s="184"/>
      <c r="I34" s="184"/>
      <c r="J34" s="184"/>
      <c r="K34" s="184"/>
      <c r="L34" s="184"/>
      <c r="M34" s="184"/>
      <c r="N34" s="184"/>
      <c r="O34" s="184"/>
      <c r="P34" s="184"/>
      <c r="Q34" s="184"/>
      <c r="R34" s="184"/>
      <c r="S34" s="184"/>
      <c r="T34" s="184"/>
      <c r="U34" s="184"/>
      <c r="V34" s="184"/>
      <c r="W34" s="184"/>
      <c r="X34" s="184"/>
      <c r="Y34" s="184"/>
      <c r="Z34" s="184"/>
      <c r="AA34" s="184"/>
      <c r="AB34" s="184"/>
      <c r="AC34" s="184"/>
      <c r="AD34" s="184"/>
      <c r="AE34" s="184"/>
      <c r="AF34" s="184"/>
      <c r="AG34" s="184"/>
      <c r="AH34" s="184"/>
      <c r="AI34" s="184"/>
      <c r="AJ34" s="184"/>
      <c r="AK34" s="184"/>
      <c r="AL34" s="184"/>
      <c r="AM34" s="184"/>
      <c r="AN34" s="184"/>
      <c r="AO34" s="184"/>
    </row>
    <row r="35" spans="1:41" ht="15.75" thickBot="1">
      <c r="A35" s="176">
        <v>11925</v>
      </c>
      <c r="B35" s="176">
        <v>11935</v>
      </c>
      <c r="C35" s="184"/>
      <c r="D35" s="184"/>
      <c r="E35" s="184"/>
      <c r="F35" s="184"/>
      <c r="G35" s="184"/>
      <c r="H35" s="184"/>
      <c r="I35" s="184"/>
      <c r="J35" s="184"/>
      <c r="K35" s="184"/>
      <c r="L35" s="184"/>
      <c r="M35" s="184"/>
      <c r="N35" s="184"/>
      <c r="O35" s="184"/>
      <c r="P35" s="184"/>
      <c r="Q35" s="184"/>
      <c r="R35" s="184"/>
      <c r="S35" s="184"/>
      <c r="T35" s="184"/>
      <c r="U35" s="184"/>
      <c r="V35" s="184"/>
      <c r="W35" s="184"/>
      <c r="X35" s="184"/>
      <c r="Y35" s="184"/>
      <c r="Z35" s="184"/>
      <c r="AA35" s="184"/>
      <c r="AB35" s="184"/>
      <c r="AC35" s="184"/>
      <c r="AD35" s="184"/>
      <c r="AE35" s="184"/>
      <c r="AF35" s="184"/>
      <c r="AG35" s="184"/>
      <c r="AH35" s="184"/>
      <c r="AI35" s="184"/>
      <c r="AJ35" s="184"/>
      <c r="AK35" s="184"/>
      <c r="AL35" s="184"/>
      <c r="AM35" s="184"/>
      <c r="AN35" s="184"/>
      <c r="AO35" s="184"/>
    </row>
    <row r="36" spans="1:41" ht="15.75" thickBot="1">
      <c r="A36" s="176">
        <v>11925</v>
      </c>
      <c r="B36" s="176">
        <v>11936</v>
      </c>
      <c r="C36" s="184"/>
      <c r="D36" s="184"/>
      <c r="E36" s="184"/>
      <c r="F36" s="184"/>
      <c r="G36" s="184"/>
      <c r="H36" s="184"/>
      <c r="I36" s="184"/>
      <c r="J36" s="184"/>
      <c r="K36" s="184"/>
      <c r="L36" s="184"/>
      <c r="M36" s="184"/>
      <c r="N36" s="184"/>
      <c r="O36" s="184"/>
      <c r="P36" s="184"/>
      <c r="Q36" s="184"/>
      <c r="R36" s="184"/>
      <c r="S36" s="184"/>
      <c r="T36" s="184"/>
      <c r="U36" s="184"/>
      <c r="V36" s="184"/>
      <c r="W36" s="184"/>
      <c r="X36" s="184"/>
      <c r="Y36" s="184"/>
      <c r="Z36" s="184"/>
      <c r="AA36" s="184"/>
      <c r="AB36" s="184"/>
      <c r="AC36" s="184"/>
      <c r="AD36" s="184"/>
      <c r="AE36" s="184"/>
      <c r="AF36" s="184"/>
      <c r="AG36" s="184"/>
      <c r="AH36" s="184"/>
      <c r="AI36" s="184"/>
      <c r="AJ36" s="184"/>
      <c r="AK36" s="184"/>
      <c r="AL36" s="184"/>
      <c r="AM36" s="184"/>
      <c r="AN36" s="184"/>
      <c r="AO36" s="184"/>
    </row>
    <row r="37" spans="1:41" ht="15.75" thickBot="1">
      <c r="A37" s="176">
        <v>11925</v>
      </c>
      <c r="B37" s="176">
        <v>11937</v>
      </c>
      <c r="C37" s="184"/>
      <c r="D37" s="184"/>
      <c r="E37" s="184"/>
      <c r="F37" s="184"/>
      <c r="G37" s="184"/>
      <c r="H37" s="184"/>
      <c r="I37" s="184"/>
      <c r="J37" s="184"/>
      <c r="K37" s="184"/>
      <c r="L37" s="184"/>
      <c r="M37" s="184"/>
      <c r="N37" s="184"/>
      <c r="O37" s="184"/>
      <c r="P37" s="184"/>
      <c r="Q37" s="184"/>
      <c r="R37" s="184"/>
      <c r="S37" s="184"/>
      <c r="T37" s="184"/>
      <c r="U37" s="184"/>
      <c r="V37" s="184"/>
      <c r="W37" s="184"/>
      <c r="X37" s="184"/>
      <c r="Y37" s="184"/>
      <c r="Z37" s="184"/>
      <c r="AA37" s="184"/>
      <c r="AB37" s="184"/>
      <c r="AC37" s="184"/>
      <c r="AD37" s="184"/>
      <c r="AE37" s="184"/>
      <c r="AF37" s="184"/>
      <c r="AG37" s="184"/>
      <c r="AH37" s="184"/>
      <c r="AI37" s="184"/>
      <c r="AJ37" s="184"/>
      <c r="AK37" s="184"/>
      <c r="AL37" s="184"/>
      <c r="AM37" s="184"/>
      <c r="AN37" s="184"/>
      <c r="AO37" s="184"/>
    </row>
    <row r="38" spans="1:41" ht="15.75" thickBot="1">
      <c r="A38" s="176">
        <v>11939</v>
      </c>
      <c r="B38" s="176">
        <v>11943</v>
      </c>
      <c r="C38" s="184"/>
      <c r="D38" s="184"/>
      <c r="E38" s="184"/>
      <c r="F38" s="184"/>
      <c r="G38" s="184"/>
      <c r="H38" s="184"/>
      <c r="I38" s="184"/>
      <c r="J38" s="184"/>
      <c r="K38" s="184"/>
      <c r="L38" s="184"/>
      <c r="M38" s="184"/>
      <c r="N38" s="184"/>
      <c r="O38" s="184"/>
      <c r="P38" s="184"/>
      <c r="Q38" s="184"/>
      <c r="R38" s="184"/>
      <c r="S38" s="184"/>
      <c r="T38" s="184"/>
      <c r="U38" s="184"/>
      <c r="V38" s="184"/>
      <c r="W38" s="184"/>
      <c r="X38" s="184"/>
      <c r="Y38" s="184"/>
      <c r="Z38" s="184"/>
      <c r="AA38" s="184"/>
      <c r="AB38" s="184"/>
      <c r="AC38" s="184"/>
      <c r="AD38" s="184"/>
      <c r="AE38" s="184"/>
      <c r="AF38" s="184"/>
      <c r="AG38" s="184"/>
      <c r="AH38" s="184"/>
      <c r="AI38" s="184"/>
      <c r="AJ38" s="184"/>
      <c r="AK38" s="184"/>
      <c r="AL38" s="184"/>
      <c r="AM38" s="184"/>
      <c r="AN38" s="184"/>
      <c r="AO38" s="184"/>
    </row>
    <row r="39" spans="1:41" ht="15.75" thickBot="1">
      <c r="A39" s="176">
        <v>11939</v>
      </c>
      <c r="B39" s="176">
        <v>11944</v>
      </c>
      <c r="C39" s="184"/>
      <c r="D39" s="184"/>
      <c r="E39" s="184"/>
      <c r="F39" s="184"/>
      <c r="G39" s="184"/>
      <c r="H39" s="184"/>
      <c r="I39" s="184"/>
      <c r="J39" s="184"/>
      <c r="K39" s="184"/>
      <c r="L39" s="184"/>
      <c r="M39" s="184"/>
      <c r="N39" s="184"/>
      <c r="O39" s="184"/>
      <c r="P39" s="184"/>
      <c r="Q39" s="184"/>
      <c r="R39" s="184"/>
      <c r="S39" s="184"/>
      <c r="T39" s="184"/>
      <c r="U39" s="184"/>
      <c r="V39" s="184"/>
      <c r="W39" s="184"/>
      <c r="X39" s="184"/>
      <c r="Y39" s="184"/>
      <c r="Z39" s="184"/>
      <c r="AA39" s="184"/>
      <c r="AB39" s="184"/>
      <c r="AC39" s="184"/>
      <c r="AD39" s="184"/>
      <c r="AE39" s="184"/>
      <c r="AF39" s="184"/>
      <c r="AG39" s="184"/>
      <c r="AH39" s="184"/>
      <c r="AI39" s="184"/>
      <c r="AJ39" s="184"/>
      <c r="AK39" s="184"/>
      <c r="AL39" s="184"/>
      <c r="AM39" s="184"/>
      <c r="AN39" s="184"/>
      <c r="AO39" s="184"/>
    </row>
    <row r="40" spans="1:41" ht="15.75" thickBot="1">
      <c r="A40" s="176">
        <v>11939</v>
      </c>
      <c r="B40" s="176">
        <v>11945</v>
      </c>
      <c r="C40" s="184"/>
      <c r="D40" s="184"/>
      <c r="E40" s="184"/>
      <c r="F40" s="184"/>
      <c r="G40" s="184"/>
      <c r="H40" s="184"/>
      <c r="I40" s="184"/>
      <c r="J40" s="184"/>
      <c r="K40" s="184"/>
      <c r="L40" s="184"/>
      <c r="M40" s="184"/>
      <c r="N40" s="184"/>
      <c r="O40" s="184"/>
      <c r="P40" s="184"/>
      <c r="Q40" s="184"/>
      <c r="R40" s="184"/>
      <c r="S40" s="184"/>
      <c r="T40" s="184"/>
      <c r="U40" s="184"/>
      <c r="V40" s="184"/>
      <c r="W40" s="184"/>
      <c r="X40" s="184"/>
      <c r="Y40" s="184"/>
      <c r="Z40" s="184"/>
      <c r="AA40" s="184"/>
      <c r="AB40" s="184"/>
      <c r="AC40" s="184"/>
      <c r="AD40" s="184"/>
      <c r="AE40" s="184"/>
      <c r="AF40" s="184"/>
      <c r="AG40" s="184"/>
      <c r="AH40" s="184"/>
      <c r="AI40" s="184"/>
      <c r="AJ40" s="184"/>
      <c r="AK40" s="184"/>
      <c r="AL40" s="184"/>
      <c r="AM40" s="184"/>
      <c r="AN40" s="184"/>
      <c r="AO40" s="184"/>
    </row>
    <row r="41" spans="1:41" ht="15.75" thickBot="1">
      <c r="A41" s="176">
        <v>11939</v>
      </c>
      <c r="B41" s="176">
        <v>11946</v>
      </c>
      <c r="C41" s="184"/>
      <c r="D41" s="184"/>
      <c r="E41" s="184"/>
      <c r="F41" s="184"/>
      <c r="G41" s="184"/>
      <c r="H41" s="184"/>
      <c r="I41" s="184"/>
      <c r="J41" s="184"/>
      <c r="K41" s="184"/>
      <c r="L41" s="184"/>
      <c r="M41" s="184"/>
      <c r="N41" s="184"/>
      <c r="O41" s="184"/>
      <c r="P41" s="184"/>
      <c r="Q41" s="184"/>
      <c r="R41" s="184"/>
      <c r="S41" s="184"/>
      <c r="T41" s="184"/>
      <c r="U41" s="184"/>
      <c r="V41" s="184"/>
      <c r="W41" s="184"/>
      <c r="X41" s="184"/>
      <c r="Y41" s="184"/>
      <c r="Z41" s="184"/>
      <c r="AA41" s="184"/>
      <c r="AB41" s="184"/>
      <c r="AC41" s="184"/>
      <c r="AD41" s="184"/>
      <c r="AE41" s="184"/>
      <c r="AF41" s="184"/>
      <c r="AG41" s="184"/>
      <c r="AH41" s="184"/>
      <c r="AI41" s="184"/>
      <c r="AJ41" s="184"/>
      <c r="AK41" s="184"/>
      <c r="AL41" s="184"/>
      <c r="AM41" s="184"/>
      <c r="AN41" s="184"/>
      <c r="AO41" s="184"/>
    </row>
    <row r="42" spans="1:41" ht="15.75" thickBot="1">
      <c r="A42" s="176">
        <v>11939</v>
      </c>
      <c r="B42" s="176">
        <v>11947</v>
      </c>
      <c r="C42" s="184"/>
      <c r="D42" s="184"/>
      <c r="E42" s="184"/>
      <c r="F42" s="184"/>
      <c r="G42" s="184"/>
      <c r="H42" s="184"/>
      <c r="I42" s="184"/>
      <c r="J42" s="184"/>
      <c r="K42" s="184"/>
      <c r="L42" s="184"/>
      <c r="M42" s="184"/>
      <c r="N42" s="184"/>
      <c r="O42" s="184"/>
      <c r="P42" s="184"/>
      <c r="Q42" s="184"/>
      <c r="R42" s="184"/>
      <c r="S42" s="184"/>
      <c r="T42" s="184"/>
      <c r="U42" s="184"/>
      <c r="V42" s="184"/>
      <c r="W42" s="184"/>
      <c r="X42" s="184"/>
      <c r="Y42" s="184"/>
      <c r="Z42" s="184"/>
      <c r="AA42" s="184"/>
      <c r="AB42" s="184"/>
      <c r="AC42" s="184"/>
      <c r="AD42" s="184"/>
      <c r="AE42" s="184"/>
      <c r="AF42" s="184"/>
      <c r="AG42" s="184"/>
      <c r="AH42" s="184"/>
      <c r="AI42" s="184"/>
      <c r="AJ42" s="184"/>
      <c r="AK42" s="184"/>
      <c r="AL42" s="184"/>
      <c r="AM42" s="184"/>
      <c r="AN42" s="184"/>
      <c r="AO42" s="184"/>
    </row>
    <row r="43" spans="1:41" ht="15.75" thickBot="1">
      <c r="A43" s="176">
        <v>11939</v>
      </c>
      <c r="B43" s="176">
        <v>11948</v>
      </c>
      <c r="C43" s="184"/>
      <c r="D43" s="184"/>
      <c r="E43" s="184"/>
      <c r="F43" s="184"/>
      <c r="G43" s="184"/>
      <c r="H43" s="184"/>
      <c r="I43" s="184"/>
      <c r="J43" s="184"/>
      <c r="K43" s="184"/>
      <c r="L43" s="184"/>
      <c r="M43" s="184"/>
      <c r="N43" s="184"/>
      <c r="O43" s="184"/>
      <c r="P43" s="184"/>
      <c r="Q43" s="184"/>
      <c r="R43" s="184"/>
      <c r="S43" s="184"/>
      <c r="T43" s="184"/>
      <c r="U43" s="184"/>
      <c r="V43" s="184"/>
      <c r="W43" s="184"/>
      <c r="X43" s="184"/>
      <c r="Y43" s="184"/>
      <c r="Z43" s="184"/>
      <c r="AA43" s="184"/>
      <c r="AB43" s="184"/>
      <c r="AC43" s="184"/>
      <c r="AD43" s="184"/>
      <c r="AE43" s="184"/>
      <c r="AF43" s="184"/>
      <c r="AG43" s="184"/>
      <c r="AH43" s="184"/>
      <c r="AI43" s="184"/>
      <c r="AJ43" s="184"/>
      <c r="AK43" s="184"/>
      <c r="AL43" s="184"/>
      <c r="AM43" s="184"/>
      <c r="AN43" s="184"/>
      <c r="AO43" s="184"/>
    </row>
    <row r="44" spans="1:41" ht="15.75" thickBot="1">
      <c r="A44" s="176">
        <v>11939</v>
      </c>
      <c r="B44" s="176">
        <v>11949</v>
      </c>
      <c r="C44" s="184"/>
      <c r="D44" s="184"/>
      <c r="E44" s="184"/>
      <c r="F44" s="184"/>
      <c r="G44" s="184"/>
      <c r="H44" s="184"/>
      <c r="I44" s="184"/>
      <c r="J44" s="184"/>
      <c r="K44" s="184"/>
      <c r="L44" s="184"/>
      <c r="M44" s="184"/>
      <c r="N44" s="184"/>
      <c r="O44" s="184"/>
      <c r="P44" s="184"/>
      <c r="Q44" s="184"/>
      <c r="R44" s="184"/>
      <c r="S44" s="184"/>
      <c r="T44" s="184"/>
      <c r="U44" s="184"/>
      <c r="V44" s="184"/>
      <c r="W44" s="184"/>
      <c r="X44" s="184"/>
      <c r="Y44" s="184"/>
      <c r="Z44" s="184"/>
      <c r="AA44" s="184"/>
      <c r="AB44" s="184"/>
      <c r="AC44" s="184"/>
      <c r="AD44" s="184"/>
      <c r="AE44" s="184"/>
      <c r="AF44" s="184"/>
      <c r="AG44" s="184"/>
      <c r="AH44" s="184"/>
      <c r="AI44" s="184"/>
      <c r="AJ44" s="184"/>
      <c r="AK44" s="184"/>
      <c r="AL44" s="184"/>
      <c r="AM44" s="184"/>
      <c r="AN44" s="184"/>
      <c r="AO44" s="184"/>
    </row>
    <row r="45" spans="1:41" ht="15.75" thickBot="1">
      <c r="A45" s="176">
        <v>11939</v>
      </c>
      <c r="B45" s="176">
        <v>11950</v>
      </c>
      <c r="C45" s="184"/>
      <c r="D45" s="184"/>
      <c r="E45" s="184"/>
      <c r="F45" s="184"/>
      <c r="G45" s="184"/>
      <c r="H45" s="184"/>
      <c r="I45" s="184"/>
      <c r="J45" s="184"/>
      <c r="K45" s="184"/>
      <c r="L45" s="184"/>
      <c r="M45" s="184"/>
      <c r="N45" s="184"/>
      <c r="O45" s="184"/>
      <c r="P45" s="184"/>
      <c r="Q45" s="184"/>
      <c r="R45" s="184"/>
      <c r="S45" s="184"/>
      <c r="T45" s="184"/>
      <c r="U45" s="184"/>
      <c r="V45" s="184"/>
      <c r="W45" s="184"/>
      <c r="X45" s="184"/>
      <c r="Y45" s="184"/>
      <c r="Z45" s="184"/>
      <c r="AA45" s="184"/>
      <c r="AB45" s="184"/>
      <c r="AC45" s="184"/>
      <c r="AD45" s="184"/>
      <c r="AE45" s="184"/>
      <c r="AF45" s="184"/>
      <c r="AG45" s="184"/>
      <c r="AH45" s="184"/>
      <c r="AI45" s="184"/>
      <c r="AJ45" s="184"/>
      <c r="AK45" s="184"/>
      <c r="AL45" s="184"/>
      <c r="AM45" s="184"/>
      <c r="AN45" s="184"/>
      <c r="AO45" s="184"/>
    </row>
    <row r="46" spans="1:41" ht="15.75" thickBot="1">
      <c r="A46" s="176">
        <v>11939</v>
      </c>
      <c r="B46" s="176">
        <v>11979</v>
      </c>
      <c r="C46" s="184"/>
      <c r="D46" s="184"/>
      <c r="E46" s="184"/>
      <c r="F46" s="184"/>
      <c r="G46" s="184"/>
      <c r="H46" s="184"/>
      <c r="I46" s="184"/>
      <c r="J46" s="184"/>
      <c r="K46" s="184"/>
      <c r="L46" s="184"/>
      <c r="M46" s="184"/>
      <c r="N46" s="184"/>
      <c r="O46" s="184"/>
      <c r="P46" s="184"/>
      <c r="Q46" s="184"/>
      <c r="R46" s="184"/>
      <c r="S46" s="184"/>
      <c r="T46" s="184"/>
      <c r="U46" s="184"/>
      <c r="V46" s="184"/>
      <c r="W46" s="184"/>
      <c r="X46" s="184"/>
      <c r="Y46" s="184"/>
      <c r="Z46" s="184"/>
      <c r="AA46" s="184"/>
      <c r="AB46" s="184"/>
      <c r="AC46" s="184"/>
      <c r="AD46" s="184"/>
      <c r="AE46" s="184"/>
      <c r="AF46" s="184"/>
      <c r="AG46" s="184"/>
      <c r="AH46" s="184"/>
      <c r="AI46" s="184"/>
      <c r="AJ46" s="184"/>
      <c r="AK46" s="184"/>
      <c r="AL46" s="184"/>
      <c r="AM46" s="184"/>
      <c r="AN46" s="184"/>
      <c r="AO46" s="184"/>
    </row>
    <row r="47" spans="1:41" ht="15.75" thickBot="1">
      <c r="A47" s="176">
        <v>11939</v>
      </c>
      <c r="B47" s="176">
        <v>11980</v>
      </c>
      <c r="C47" s="184"/>
      <c r="D47" s="184"/>
      <c r="E47" s="184"/>
      <c r="F47" s="184"/>
      <c r="G47" s="184"/>
      <c r="H47" s="184"/>
      <c r="I47" s="184"/>
      <c r="J47" s="184"/>
      <c r="K47" s="184"/>
      <c r="L47" s="184"/>
      <c r="M47" s="184"/>
      <c r="N47" s="184"/>
      <c r="O47" s="184"/>
      <c r="P47" s="184"/>
      <c r="Q47" s="184"/>
      <c r="R47" s="184"/>
      <c r="S47" s="184"/>
      <c r="T47" s="184"/>
      <c r="U47" s="184"/>
      <c r="V47" s="184"/>
      <c r="W47" s="184"/>
      <c r="X47" s="184"/>
      <c r="Y47" s="184"/>
      <c r="Z47" s="184"/>
      <c r="AA47" s="184"/>
      <c r="AB47" s="184"/>
      <c r="AC47" s="184"/>
      <c r="AD47" s="184"/>
      <c r="AE47" s="184"/>
      <c r="AF47" s="184"/>
      <c r="AG47" s="184"/>
      <c r="AH47" s="184"/>
      <c r="AI47" s="184"/>
      <c r="AJ47" s="184"/>
      <c r="AK47" s="184"/>
      <c r="AL47" s="184"/>
      <c r="AM47" s="184"/>
      <c r="AN47" s="184"/>
      <c r="AO47" s="184"/>
    </row>
    <row r="48" spans="1:41" ht="15.75" thickBot="1">
      <c r="A48" s="176">
        <v>11939</v>
      </c>
      <c r="B48" s="176">
        <v>11981</v>
      </c>
      <c r="C48" s="184"/>
      <c r="D48" s="184"/>
      <c r="E48" s="184"/>
      <c r="F48" s="184"/>
      <c r="G48" s="184"/>
      <c r="H48" s="184"/>
      <c r="I48" s="184"/>
      <c r="J48" s="184"/>
      <c r="K48" s="184"/>
      <c r="L48" s="184"/>
      <c r="M48" s="184"/>
      <c r="N48" s="184"/>
      <c r="O48" s="184"/>
      <c r="P48" s="184"/>
      <c r="Q48" s="184"/>
      <c r="R48" s="184"/>
      <c r="S48" s="184"/>
      <c r="T48" s="184"/>
      <c r="U48" s="184"/>
      <c r="V48" s="184"/>
      <c r="W48" s="184"/>
      <c r="X48" s="184"/>
      <c r="Y48" s="184"/>
      <c r="Z48" s="184"/>
      <c r="AA48" s="184"/>
      <c r="AB48" s="184"/>
      <c r="AC48" s="184"/>
      <c r="AD48" s="184"/>
      <c r="AE48" s="184"/>
      <c r="AF48" s="184"/>
      <c r="AG48" s="184"/>
      <c r="AH48" s="184"/>
      <c r="AI48" s="184"/>
      <c r="AJ48" s="184"/>
      <c r="AK48" s="184"/>
      <c r="AL48" s="184"/>
      <c r="AM48" s="184"/>
      <c r="AN48" s="184"/>
      <c r="AO48" s="184"/>
    </row>
    <row r="49" spans="1:41" ht="15.75" thickBot="1">
      <c r="A49" s="176">
        <v>11342</v>
      </c>
      <c r="B49" s="176">
        <v>11343</v>
      </c>
      <c r="C49" s="184"/>
      <c r="D49" s="184"/>
      <c r="E49" s="184"/>
      <c r="F49" s="184"/>
      <c r="G49" s="184"/>
      <c r="H49" s="184"/>
      <c r="I49" s="184"/>
      <c r="J49" s="184"/>
      <c r="K49" s="184"/>
      <c r="L49" s="184"/>
      <c r="M49" s="184"/>
      <c r="N49" s="184"/>
      <c r="O49" s="184"/>
      <c r="P49" s="184"/>
      <c r="Q49" s="184"/>
      <c r="R49" s="184"/>
      <c r="S49" s="184"/>
      <c r="T49" s="184"/>
      <c r="U49" s="184"/>
      <c r="V49" s="184"/>
      <c r="W49" s="184"/>
      <c r="X49" s="184"/>
      <c r="Y49" s="184"/>
      <c r="Z49" s="184"/>
      <c r="AA49" s="184"/>
      <c r="AB49" s="184"/>
      <c r="AC49" s="184"/>
      <c r="AD49" s="184"/>
      <c r="AE49" s="184"/>
      <c r="AF49" s="184"/>
      <c r="AG49" s="184"/>
      <c r="AH49" s="184"/>
      <c r="AI49" s="184"/>
      <c r="AJ49" s="184"/>
      <c r="AK49" s="184"/>
      <c r="AL49" s="184"/>
      <c r="AM49" s="184"/>
      <c r="AN49" s="184"/>
      <c r="AO49" s="184"/>
    </row>
    <row r="50" spans="1:41" ht="15.75" thickBot="1">
      <c r="A50" s="176">
        <v>11342</v>
      </c>
      <c r="B50" s="176">
        <v>11344</v>
      </c>
      <c r="C50" s="184"/>
      <c r="D50" s="184"/>
      <c r="E50" s="184"/>
      <c r="F50" s="184"/>
      <c r="G50" s="184"/>
      <c r="H50" s="184"/>
      <c r="I50" s="184"/>
      <c r="J50" s="184"/>
      <c r="K50" s="184"/>
      <c r="L50" s="184"/>
      <c r="M50" s="184"/>
      <c r="N50" s="184"/>
      <c r="O50" s="184"/>
      <c r="P50" s="184"/>
      <c r="Q50" s="184"/>
      <c r="R50" s="184"/>
      <c r="S50" s="184"/>
      <c r="T50" s="184"/>
      <c r="U50" s="184"/>
      <c r="V50" s="184"/>
      <c r="W50" s="184"/>
      <c r="X50" s="184"/>
      <c r="Y50" s="184"/>
      <c r="Z50" s="184"/>
      <c r="AA50" s="184"/>
      <c r="AB50" s="184"/>
      <c r="AC50" s="184"/>
      <c r="AD50" s="184"/>
      <c r="AE50" s="184"/>
      <c r="AF50" s="184"/>
      <c r="AG50" s="184"/>
      <c r="AH50" s="184"/>
      <c r="AI50" s="184"/>
      <c r="AJ50" s="184"/>
      <c r="AK50" s="184"/>
      <c r="AL50" s="184"/>
      <c r="AM50" s="184"/>
      <c r="AN50" s="184"/>
      <c r="AO50" s="184"/>
    </row>
    <row r="51" spans="1:41" ht="15.75" thickBot="1">
      <c r="A51" s="176">
        <v>11342</v>
      </c>
      <c r="B51" s="176">
        <v>11345</v>
      </c>
      <c r="C51" s="184"/>
      <c r="D51" s="184"/>
      <c r="E51" s="184"/>
      <c r="F51" s="184"/>
      <c r="G51" s="184"/>
      <c r="H51" s="184"/>
      <c r="I51" s="184"/>
      <c r="J51" s="184"/>
      <c r="K51" s="184"/>
      <c r="L51" s="184"/>
      <c r="M51" s="184"/>
      <c r="N51" s="184"/>
      <c r="O51" s="184"/>
      <c r="P51" s="184"/>
      <c r="Q51" s="184"/>
      <c r="R51" s="184"/>
      <c r="S51" s="184"/>
      <c r="T51" s="184"/>
      <c r="U51" s="184"/>
      <c r="V51" s="184"/>
      <c r="W51" s="184"/>
      <c r="X51" s="184"/>
      <c r="Y51" s="184"/>
      <c r="Z51" s="184"/>
      <c r="AA51" s="184"/>
      <c r="AB51" s="184"/>
      <c r="AC51" s="184"/>
      <c r="AD51" s="184"/>
      <c r="AE51" s="184"/>
      <c r="AF51" s="184"/>
      <c r="AG51" s="184"/>
      <c r="AH51" s="184"/>
      <c r="AI51" s="184"/>
      <c r="AJ51" s="184"/>
      <c r="AK51" s="184"/>
      <c r="AL51" s="184"/>
      <c r="AM51" s="184"/>
      <c r="AN51" s="184"/>
      <c r="AO51" s="184"/>
    </row>
    <row r="52" spans="1:41">
      <c r="C52" s="13"/>
    </row>
    <row r="53" spans="1:41">
      <c r="C53" s="13"/>
    </row>
    <row r="54" spans="1:41">
      <c r="C54" s="13"/>
    </row>
    <row r="55" spans="1:41">
      <c r="C55" s="13"/>
    </row>
    <row r="56" spans="1:41">
      <c r="C56" s="13"/>
    </row>
    <row r="57" spans="1:41">
      <c r="C57" s="13"/>
    </row>
    <row r="58" spans="1:41">
      <c r="C58" s="13"/>
    </row>
    <row r="59" spans="1:41">
      <c r="C59" s="13"/>
    </row>
    <row r="60" spans="1:41">
      <c r="C60" s="13"/>
    </row>
    <row r="61" spans="1:41">
      <c r="C61" s="13"/>
    </row>
    <row r="62" spans="1:41">
      <c r="C62" s="13"/>
    </row>
    <row r="63" spans="1:41">
      <c r="C63" s="13"/>
    </row>
    <row r="64" spans="1:41">
      <c r="C64" s="13"/>
    </row>
    <row r="65" spans="3:3">
      <c r="C65" s="13"/>
    </row>
    <row r="66" spans="3:3">
      <c r="C66" s="13"/>
    </row>
    <row r="67" spans="3:3">
      <c r="C67" s="13"/>
    </row>
    <row r="68" spans="3:3">
      <c r="C68" s="13"/>
    </row>
    <row r="69" spans="3:3">
      <c r="C69" s="13"/>
    </row>
    <row r="70" spans="3:3">
      <c r="C70" s="13"/>
    </row>
    <row r="71" spans="3:3">
      <c r="C71" s="13"/>
    </row>
    <row r="72" spans="3:3">
      <c r="C72" s="13"/>
    </row>
    <row r="73" spans="3:3">
      <c r="C73" s="13"/>
    </row>
    <row r="74" spans="3:3">
      <c r="C74" s="13"/>
    </row>
    <row r="75" spans="3:3">
      <c r="C75" s="13"/>
    </row>
    <row r="76" spans="3:3">
      <c r="C76" s="13"/>
    </row>
  </sheetData>
  <dataValidations count="15">
    <dataValidation type="list" allowBlank="1" showInputMessage="1" showErrorMessage="1" sqref="U2:U20 U22:U38" xr:uid="{00000000-0002-0000-1600-000000000000}">
      <formula1>Underlying_Asset</formula1>
    </dataValidation>
    <dataValidation type="list" allowBlank="1" showInputMessage="1" showErrorMessage="1" sqref="AG22:AG1048576 AG2:AG20 AB2:AB20 AB22:AB1048576" xr:uid="{00000000-0002-0000-1600-000001000000}">
      <formula1>Reset_frequency</formula1>
    </dataValidation>
    <dataValidation type="list" allowBlank="1" showInputMessage="1" showErrorMessage="1" sqref="S22:S25 S2:S20" xr:uid="{00000000-0002-0000-1600-000002000000}">
      <formula1>israel_abroad</formula1>
    </dataValidation>
    <dataValidation type="list" allowBlank="1" showInputMessage="1" showErrorMessage="1" sqref="Y22:Y215 AD22:AD1048576 AD2:AD20 Y2:Y20 AL20 AL22:AL1048576" xr:uid="{00000000-0002-0000-1600-000003000000}">
      <formula1>Holding_interest</formula1>
    </dataValidation>
    <dataValidation type="list" allowBlank="1" showInputMessage="1" showErrorMessage="1" sqref="AC2:AC20 AC22:AC61" xr:uid="{00000000-0002-0000-1600-000004000000}">
      <formula1>Delivery</formula1>
    </dataValidation>
    <dataValidation type="list" allowBlank="1" showInputMessage="1" showErrorMessage="1" sqref="E23:E32" xr:uid="{00000000-0002-0000-1600-000005000000}">
      <formula1>Currency_Abbreviation</formula1>
    </dataValidation>
    <dataValidation type="list" allowBlank="1" showInputMessage="1" showErrorMessage="1" sqref="V2:V20" xr:uid="{00000000-0002-0000-1600-000006000000}">
      <formula1>Leading_factor</formula1>
    </dataValidation>
    <dataValidation type="list" allowBlank="1" showInputMessage="1" showErrorMessage="1" sqref="T2:T20 T22:T34" xr:uid="{00000000-0002-0000-1600-000007000000}">
      <formula1>Country_list</formula1>
    </dataValidation>
    <dataValidation type="list" allowBlank="1" showInputMessage="1" showErrorMessage="1" sqref="W2:W20" xr:uid="{00000000-0002-0000-1600-000008000000}">
      <formula1>Additional_Factor</formula1>
    </dataValidation>
    <dataValidation allowBlank="1" showInputMessage="1" showErrorMessage="1" sqref="Z2:Z19 M2:N19 P2:R19 I2:K19 D2:D19" xr:uid="{00000000-0002-0000-1600-000009000000}"/>
    <dataValidation type="list" allowBlank="1" showInputMessage="1" showErrorMessage="1" sqref="AF22:AF26" xr:uid="{00000000-0002-0000-1600-00000A000000}">
      <formula1>Underlying_Interest_Rates_Der</formula1>
    </dataValidation>
    <dataValidation type="list" allowBlank="1" showInputMessage="1" showErrorMessage="1" sqref="AF2:AF20" xr:uid="{00000000-0002-0000-1600-00000B000000}">
      <formula1>Underlying_Interest_Rates</formula1>
    </dataValidation>
    <dataValidation type="list" allowBlank="1" showInputMessage="1" showErrorMessage="1" sqref="AK2:AK20" xr:uid="{00000000-0002-0000-1600-00000C000000}">
      <formula1>Penalty</formula1>
    </dataValidation>
    <dataValidation type="list" allowBlank="1" showInputMessage="1" showErrorMessage="1" sqref="C22:C76" xr:uid="{00000000-0002-0000-1600-00000D000000}">
      <formula1>$C$834:$C$841</formula1>
    </dataValidation>
    <dataValidation type="list" allowBlank="1" showInputMessage="1" showErrorMessage="1" sqref="AE3:AE20 AE22:AE26" xr:uid="{00000000-0002-0000-1600-00000E000000}">
      <formula1>$C$535:$C$536</formula1>
    </dataValidation>
  </dataValidations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1600-00000F000000}">
          <x14:formula1>
            <xm:f>'P:\Documents\[קובץ דיווח נכס בודד נגזרים.xlsx]אפשרויות בחירה'!#REF!</xm:f>
          </x14:formula1>
          <xm:sqref>C77:C1048576</xm:sqref>
        </x14:dataValidation>
        <x14:dataValidation type="list" allowBlank="1" showInputMessage="1" showErrorMessage="1" xr:uid="{00000000-0002-0000-1600-000010000000}">
          <x14:formula1>
            <xm:f>'אפשרויות בחירה'!$C$690:$C$691</xm:f>
          </x14:formula1>
          <xm:sqref>AE2</xm:sqref>
        </x14:dataValidation>
        <x14:dataValidation type="list" allowBlank="1" showInputMessage="1" showErrorMessage="1" xr:uid="{00000000-0002-0000-1600-000011000000}">
          <x14:formula1>
            <xm:f>'אפשרויות בחירה'!$C$977:$C$985</xm:f>
          </x14:formula1>
          <xm:sqref>C2:C20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4"/>
  <dimension ref="A1:BA60"/>
  <sheetViews>
    <sheetView rightToLeft="1" workbookViewId="0">
      <selection activeCell="E5" sqref="E5"/>
    </sheetView>
  </sheetViews>
  <sheetFormatPr defaultColWidth="9" defaultRowHeight="15"/>
  <cols>
    <col min="1" max="4" width="11.5703125" style="2" customWidth="1"/>
    <col min="5" max="5" width="21" style="2" bestFit="1" customWidth="1"/>
    <col min="6" max="27" width="11.5703125" style="2" customWidth="1"/>
    <col min="28" max="28" width="11.5703125" style="4"/>
    <col min="29" max="29" width="36.42578125" style="2" customWidth="1"/>
    <col min="30" max="30" width="12.140625" style="2" bestFit="1" customWidth="1"/>
    <col min="31" max="42" width="11.5703125" style="2" customWidth="1"/>
    <col min="43" max="43" width="12.140625" style="2" bestFit="1" customWidth="1"/>
    <col min="44" max="49" width="11.5703125" style="2" customWidth="1"/>
    <col min="50" max="50" width="11.5703125" style="4" customWidth="1"/>
    <col min="51" max="53" width="11.5703125" style="2" customWidth="1"/>
    <col min="54" max="16384" width="9" style="2"/>
  </cols>
  <sheetData>
    <row r="1" spans="1:53" ht="66.75" customHeight="1">
      <c r="A1" s="21" t="s">
        <v>667</v>
      </c>
      <c r="B1" s="21" t="s">
        <v>0</v>
      </c>
      <c r="C1" s="21" t="s">
        <v>741</v>
      </c>
      <c r="D1" s="21" t="s">
        <v>742</v>
      </c>
      <c r="E1" s="21" t="s">
        <v>743</v>
      </c>
      <c r="F1" s="21" t="s">
        <v>744</v>
      </c>
      <c r="G1" s="21" t="s">
        <v>1</v>
      </c>
      <c r="H1" s="21" t="s">
        <v>932</v>
      </c>
      <c r="I1" s="21" t="s">
        <v>620</v>
      </c>
      <c r="J1" s="21" t="s">
        <v>621</v>
      </c>
      <c r="K1" s="21" t="s">
        <v>9</v>
      </c>
      <c r="L1" s="21" t="s">
        <v>622</v>
      </c>
      <c r="M1" s="21" t="s">
        <v>297</v>
      </c>
      <c r="N1" s="21" t="s">
        <v>608</v>
      </c>
      <c r="O1" s="21" t="s">
        <v>748</v>
      </c>
      <c r="P1" s="21" t="s">
        <v>6</v>
      </c>
      <c r="Q1" s="21" t="s">
        <v>8</v>
      </c>
      <c r="R1" s="21" t="s">
        <v>1166</v>
      </c>
      <c r="S1" s="21" t="s">
        <v>396</v>
      </c>
      <c r="T1" s="21" t="s">
        <v>13</v>
      </c>
      <c r="U1" s="21" t="s">
        <v>440</v>
      </c>
      <c r="V1" s="21" t="s">
        <v>14</v>
      </c>
      <c r="W1" s="21" t="s">
        <v>282</v>
      </c>
      <c r="X1" s="21" t="s">
        <v>309</v>
      </c>
      <c r="Y1" s="21" t="s">
        <v>689</v>
      </c>
      <c r="Z1" s="21" t="s">
        <v>637</v>
      </c>
      <c r="AA1" s="21" t="s">
        <v>421</v>
      </c>
      <c r="AB1" s="21" t="s">
        <v>942</v>
      </c>
      <c r="AC1" s="21" t="s">
        <v>20</v>
      </c>
      <c r="AD1" s="21" t="s">
        <v>784</v>
      </c>
      <c r="AE1" s="21" t="s">
        <v>674</v>
      </c>
      <c r="AF1" s="21" t="s">
        <v>675</v>
      </c>
      <c r="AG1" s="21" t="s">
        <v>866</v>
      </c>
      <c r="AH1" s="21" t="s">
        <v>420</v>
      </c>
      <c r="AI1" s="21" t="s">
        <v>21</v>
      </c>
      <c r="AJ1" s="21" t="s">
        <v>690</v>
      </c>
      <c r="AK1" s="21" t="s">
        <v>933</v>
      </c>
      <c r="AL1" s="21" t="s">
        <v>747</v>
      </c>
      <c r="AM1" s="21" t="s">
        <v>372</v>
      </c>
      <c r="AN1" s="21" t="s">
        <v>16</v>
      </c>
      <c r="AO1" s="21" t="s">
        <v>1165</v>
      </c>
      <c r="AP1" s="21" t="s">
        <v>638</v>
      </c>
      <c r="AQ1" s="21" t="s">
        <v>965</v>
      </c>
      <c r="AR1" s="21" t="s">
        <v>745</v>
      </c>
      <c r="AS1" s="21" t="s">
        <v>11</v>
      </c>
      <c r="AT1" s="21" t="s">
        <v>1171</v>
      </c>
      <c r="AU1" s="21" t="s">
        <v>803</v>
      </c>
      <c r="AV1" s="21" t="s">
        <v>1172</v>
      </c>
      <c r="AW1" s="21" t="s">
        <v>804</v>
      </c>
      <c r="AX1" s="21" t="s">
        <v>685</v>
      </c>
      <c r="AY1" s="21" t="s">
        <v>26</v>
      </c>
      <c r="AZ1" s="21" t="s">
        <v>19</v>
      </c>
      <c r="BA1" s="21" t="s">
        <v>30</v>
      </c>
    </row>
    <row r="2" spans="1:53" ht="15.75" thickBot="1">
      <c r="A2" s="176">
        <v>7891</v>
      </c>
      <c r="B2" s="176">
        <v>7897</v>
      </c>
      <c r="C2" s="165"/>
      <c r="D2" s="165"/>
      <c r="E2" s="165" t="s">
        <v>1723</v>
      </c>
      <c r="F2" s="166">
        <v>11017953</v>
      </c>
      <c r="G2" s="165" t="s">
        <v>245</v>
      </c>
      <c r="H2" s="184"/>
      <c r="I2" s="165" t="s">
        <v>53</v>
      </c>
      <c r="J2" s="165"/>
      <c r="K2" s="165" t="s">
        <v>257</v>
      </c>
      <c r="L2" s="165" t="s">
        <v>62</v>
      </c>
      <c r="M2" s="165" t="s">
        <v>62</v>
      </c>
      <c r="N2" s="165"/>
      <c r="O2" s="189"/>
      <c r="P2" s="165" t="s">
        <v>298</v>
      </c>
      <c r="Q2" s="165" t="s">
        <v>298</v>
      </c>
      <c r="R2" s="165" t="s">
        <v>298</v>
      </c>
      <c r="S2" s="165" t="s">
        <v>1208</v>
      </c>
      <c r="T2" s="177">
        <v>0</v>
      </c>
      <c r="U2" s="178" t="s">
        <v>102</v>
      </c>
      <c r="V2" s="169">
        <v>0</v>
      </c>
      <c r="W2" s="165"/>
      <c r="X2" s="165"/>
      <c r="Y2" s="175"/>
      <c r="Z2" s="175">
        <v>0</v>
      </c>
      <c r="AA2" s="174"/>
      <c r="AB2" s="165" t="s">
        <v>636</v>
      </c>
      <c r="AC2" s="165"/>
      <c r="AD2" s="168" t="s">
        <v>1413</v>
      </c>
      <c r="AE2" s="179" t="s">
        <v>1413</v>
      </c>
      <c r="AF2" s="165" t="s">
        <v>1413</v>
      </c>
      <c r="AG2" s="165"/>
      <c r="AH2" s="165"/>
      <c r="AI2" s="184"/>
      <c r="AJ2" s="165" t="s">
        <v>55</v>
      </c>
      <c r="AK2" s="165" t="s">
        <v>791</v>
      </c>
      <c r="AL2" s="165"/>
      <c r="AM2" s="165" t="s">
        <v>305</v>
      </c>
      <c r="AN2" s="172">
        <v>45565</v>
      </c>
      <c r="AO2" s="174">
        <v>45565</v>
      </c>
      <c r="AP2" s="176"/>
      <c r="AQ2" s="168">
        <v>13017.11</v>
      </c>
      <c r="AR2" s="168">
        <v>100</v>
      </c>
      <c r="AS2" s="168">
        <v>1</v>
      </c>
      <c r="AT2" s="168">
        <v>13.017110000000001</v>
      </c>
      <c r="AU2" s="168">
        <v>13.017110000000001</v>
      </c>
      <c r="AV2" s="184"/>
      <c r="AW2" s="184"/>
      <c r="AX2" s="165"/>
      <c r="AY2" s="165" t="s">
        <v>1414</v>
      </c>
      <c r="AZ2" s="169">
        <v>1.9562305750000001E-3</v>
      </c>
      <c r="BA2" s="169">
        <v>1.42511435E-4</v>
      </c>
    </row>
    <row r="3" spans="1:53" ht="15.75" thickBot="1">
      <c r="A3" s="176">
        <v>7891</v>
      </c>
      <c r="B3" s="176">
        <v>7897</v>
      </c>
      <c r="C3" s="165"/>
      <c r="D3" s="165"/>
      <c r="E3" s="165" t="s">
        <v>1724</v>
      </c>
      <c r="F3" s="166">
        <v>11020124</v>
      </c>
      <c r="G3" s="165" t="s">
        <v>245</v>
      </c>
      <c r="H3" s="184"/>
      <c r="I3" s="165" t="s">
        <v>53</v>
      </c>
      <c r="J3" s="165"/>
      <c r="K3" s="165" t="s">
        <v>257</v>
      </c>
      <c r="L3" s="165" t="s">
        <v>62</v>
      </c>
      <c r="M3" s="165" t="s">
        <v>62</v>
      </c>
      <c r="N3" s="165"/>
      <c r="O3" s="189"/>
      <c r="P3" s="165" t="s">
        <v>298</v>
      </c>
      <c r="Q3" s="165" t="s">
        <v>298</v>
      </c>
      <c r="R3" s="165" t="s">
        <v>298</v>
      </c>
      <c r="S3" s="165" t="s">
        <v>1208</v>
      </c>
      <c r="T3" s="177">
        <v>0</v>
      </c>
      <c r="U3" s="178" t="s">
        <v>102</v>
      </c>
      <c r="V3" s="169">
        <v>0</v>
      </c>
      <c r="W3" s="165"/>
      <c r="X3" s="165"/>
      <c r="Y3" s="175"/>
      <c r="Z3" s="175">
        <v>0</v>
      </c>
      <c r="AA3" s="174"/>
      <c r="AB3" s="165" t="s">
        <v>636</v>
      </c>
      <c r="AC3" s="165"/>
      <c r="AD3" s="168" t="s">
        <v>1413</v>
      </c>
      <c r="AE3" s="165" t="s">
        <v>1413</v>
      </c>
      <c r="AF3" s="165" t="s">
        <v>1413</v>
      </c>
      <c r="AG3" s="165"/>
      <c r="AH3" s="165"/>
      <c r="AI3" s="184"/>
      <c r="AJ3" s="165" t="s">
        <v>55</v>
      </c>
      <c r="AK3" s="165" t="s">
        <v>791</v>
      </c>
      <c r="AL3" s="165"/>
      <c r="AM3" s="165" t="s">
        <v>305</v>
      </c>
      <c r="AN3" s="172">
        <v>45565</v>
      </c>
      <c r="AO3" s="174">
        <v>45565</v>
      </c>
      <c r="AP3" s="176"/>
      <c r="AQ3" s="168">
        <v>-570772.61</v>
      </c>
      <c r="AR3" s="168">
        <v>100</v>
      </c>
      <c r="AS3" s="168">
        <v>1</v>
      </c>
      <c r="AT3" s="168">
        <v>-570.77260999999999</v>
      </c>
      <c r="AU3" s="168">
        <v>-570.77260999999999</v>
      </c>
      <c r="AV3" s="184"/>
      <c r="AW3" s="184"/>
      <c r="AX3" s="165"/>
      <c r="AY3" s="165" t="s">
        <v>1414</v>
      </c>
      <c r="AZ3" s="169">
        <v>-8.5776553428999994E-2</v>
      </c>
      <c r="BA3" s="169">
        <v>-6.2488236039999999E-3</v>
      </c>
    </row>
    <row r="4" spans="1:53" ht="15.75" thickBot="1">
      <c r="A4" s="176">
        <v>7891</v>
      </c>
      <c r="B4" s="176">
        <v>7897</v>
      </c>
      <c r="C4" s="165"/>
      <c r="D4" s="165"/>
      <c r="E4" s="165" t="s">
        <v>1725</v>
      </c>
      <c r="F4" s="166">
        <v>11020128</v>
      </c>
      <c r="G4" s="165" t="s">
        <v>245</v>
      </c>
      <c r="H4" s="184"/>
      <c r="I4" s="165" t="s">
        <v>53</v>
      </c>
      <c r="J4" s="165"/>
      <c r="K4" s="165" t="s">
        <v>257</v>
      </c>
      <c r="L4" s="165" t="s">
        <v>62</v>
      </c>
      <c r="M4" s="165" t="s">
        <v>62</v>
      </c>
      <c r="N4" s="165"/>
      <c r="O4" s="189"/>
      <c r="P4" s="165" t="s">
        <v>298</v>
      </c>
      <c r="Q4" s="165" t="s">
        <v>298</v>
      </c>
      <c r="R4" s="165" t="s">
        <v>298</v>
      </c>
      <c r="S4" s="165" t="s">
        <v>1208</v>
      </c>
      <c r="T4" s="177">
        <v>0</v>
      </c>
      <c r="U4" s="178" t="s">
        <v>102</v>
      </c>
      <c r="V4" s="169">
        <v>0</v>
      </c>
      <c r="W4" s="165"/>
      <c r="X4" s="165"/>
      <c r="Y4" s="175"/>
      <c r="Z4" s="175">
        <v>0</v>
      </c>
      <c r="AA4" s="174"/>
      <c r="AB4" s="165" t="s">
        <v>636</v>
      </c>
      <c r="AC4" s="165"/>
      <c r="AD4" s="168" t="s">
        <v>1413</v>
      </c>
      <c r="AE4" s="179" t="s">
        <v>1413</v>
      </c>
      <c r="AF4" s="165" t="s">
        <v>1413</v>
      </c>
      <c r="AG4" s="165"/>
      <c r="AH4" s="165"/>
      <c r="AI4" s="184"/>
      <c r="AJ4" s="165" t="s">
        <v>55</v>
      </c>
      <c r="AK4" s="165" t="s">
        <v>791</v>
      </c>
      <c r="AL4" s="165"/>
      <c r="AM4" s="165" t="s">
        <v>305</v>
      </c>
      <c r="AN4" s="172">
        <v>45565</v>
      </c>
      <c r="AO4" s="174">
        <v>45565</v>
      </c>
      <c r="AP4" s="176"/>
      <c r="AQ4" s="168">
        <v>-313150.61</v>
      </c>
      <c r="AR4" s="168">
        <v>100</v>
      </c>
      <c r="AS4" s="168">
        <v>1</v>
      </c>
      <c r="AT4" s="168">
        <v>-313.15060999999997</v>
      </c>
      <c r="AU4" s="168">
        <v>-313.15060999999997</v>
      </c>
      <c r="AV4" s="184"/>
      <c r="AW4" s="184"/>
      <c r="AX4" s="165"/>
      <c r="AY4" s="165" t="s">
        <v>1414</v>
      </c>
      <c r="AZ4" s="169">
        <v>-4.7060737601999997E-2</v>
      </c>
      <c r="BA4" s="169">
        <v>-3.428375659E-3</v>
      </c>
    </row>
    <row r="5" spans="1:53" ht="15.75" thickBot="1">
      <c r="A5" s="176">
        <v>7891</v>
      </c>
      <c r="B5" s="176">
        <v>7897</v>
      </c>
      <c r="C5" s="165"/>
      <c r="D5" s="165"/>
      <c r="E5" s="165" t="s">
        <v>1726</v>
      </c>
      <c r="F5" s="166">
        <v>14041911</v>
      </c>
      <c r="G5" s="165" t="s">
        <v>245</v>
      </c>
      <c r="H5" s="184"/>
      <c r="I5" s="165" t="s">
        <v>53</v>
      </c>
      <c r="J5" s="165"/>
      <c r="K5" s="165" t="s">
        <v>257</v>
      </c>
      <c r="L5" s="165" t="s">
        <v>62</v>
      </c>
      <c r="M5" s="165" t="s">
        <v>62</v>
      </c>
      <c r="N5" s="165"/>
      <c r="O5" s="189"/>
      <c r="P5" s="165" t="s">
        <v>298</v>
      </c>
      <c r="Q5" s="165" t="s">
        <v>298</v>
      </c>
      <c r="R5" s="165" t="s">
        <v>298</v>
      </c>
      <c r="S5" s="165" t="s">
        <v>1208</v>
      </c>
      <c r="T5" s="177">
        <v>25.23</v>
      </c>
      <c r="U5" s="178" t="s">
        <v>441</v>
      </c>
      <c r="V5" s="169">
        <v>4.4999999999999998E-2</v>
      </c>
      <c r="W5" s="165"/>
      <c r="X5" s="165"/>
      <c r="Y5" s="175"/>
      <c r="Z5" s="175">
        <v>4.7899999999999998E-2</v>
      </c>
      <c r="AA5" s="174"/>
      <c r="AB5" s="165" t="s">
        <v>636</v>
      </c>
      <c r="AC5" s="165"/>
      <c r="AD5" s="168" t="s">
        <v>1413</v>
      </c>
      <c r="AE5" s="179" t="s">
        <v>1413</v>
      </c>
      <c r="AF5" s="165" t="s">
        <v>1413</v>
      </c>
      <c r="AG5" s="165"/>
      <c r="AH5" s="165"/>
      <c r="AI5" s="184"/>
      <c r="AJ5" s="165" t="s">
        <v>55</v>
      </c>
      <c r="AK5" s="165" t="s">
        <v>791</v>
      </c>
      <c r="AL5" s="165"/>
      <c r="AM5" s="165" t="s">
        <v>305</v>
      </c>
      <c r="AN5" s="172">
        <v>45565</v>
      </c>
      <c r="AO5" s="174">
        <v>45565</v>
      </c>
      <c r="AP5" s="176"/>
      <c r="AQ5" s="168">
        <v>247516.89</v>
      </c>
      <c r="AR5" s="168">
        <v>102.87</v>
      </c>
      <c r="AS5" s="168">
        <v>1</v>
      </c>
      <c r="AT5" s="168">
        <v>254.62062</v>
      </c>
      <c r="AU5" s="168">
        <v>254.62062</v>
      </c>
      <c r="AV5" s="184"/>
      <c r="AW5" s="184"/>
      <c r="AX5" s="165"/>
      <c r="AY5" s="165" t="s">
        <v>1414</v>
      </c>
      <c r="AZ5" s="169">
        <v>3.8264763993000002E-2</v>
      </c>
      <c r="BA5" s="169">
        <v>2.7875888089999999E-3</v>
      </c>
    </row>
    <row r="6" spans="1:53" ht="15.75" thickBot="1">
      <c r="A6" s="176">
        <v>7891</v>
      </c>
      <c r="B6" s="176">
        <v>7897</v>
      </c>
      <c r="C6" s="165"/>
      <c r="D6" s="165"/>
      <c r="E6" s="165" t="s">
        <v>1727</v>
      </c>
      <c r="F6" s="166">
        <v>24041901</v>
      </c>
      <c r="G6" s="165" t="s">
        <v>245</v>
      </c>
      <c r="H6" s="184"/>
      <c r="I6" s="165" t="s">
        <v>53</v>
      </c>
      <c r="J6" s="165"/>
      <c r="K6" s="165" t="s">
        <v>257</v>
      </c>
      <c r="L6" s="165" t="s">
        <v>62</v>
      </c>
      <c r="M6" s="165" t="s">
        <v>62</v>
      </c>
      <c r="N6" s="165"/>
      <c r="O6" s="189"/>
      <c r="P6" s="165" t="s">
        <v>298</v>
      </c>
      <c r="Q6" s="165" t="s">
        <v>298</v>
      </c>
      <c r="R6" s="165" t="s">
        <v>298</v>
      </c>
      <c r="S6" s="165" t="s">
        <v>1208</v>
      </c>
      <c r="T6" s="177">
        <v>0.89</v>
      </c>
      <c r="U6" s="178" t="s">
        <v>1430</v>
      </c>
      <c r="V6" s="169">
        <v>6.9000000000000006E-2</v>
      </c>
      <c r="W6" s="165"/>
      <c r="X6" s="165"/>
      <c r="Y6" s="175"/>
      <c r="Z6" s="175">
        <v>6.1800000000000001E-2</v>
      </c>
      <c r="AA6" s="174"/>
      <c r="AB6" s="165" t="s">
        <v>636</v>
      </c>
      <c r="AC6" s="165"/>
      <c r="AD6" s="168" t="s">
        <v>1413</v>
      </c>
      <c r="AE6" s="179" t="s">
        <v>1413</v>
      </c>
      <c r="AF6" s="165" t="s">
        <v>1413</v>
      </c>
      <c r="AG6" s="165"/>
      <c r="AH6" s="165"/>
      <c r="AI6" s="184"/>
      <c r="AJ6" s="165" t="s">
        <v>55</v>
      </c>
      <c r="AK6" s="165" t="s">
        <v>791</v>
      </c>
      <c r="AL6" s="165"/>
      <c r="AM6" s="165" t="s">
        <v>305</v>
      </c>
      <c r="AN6" s="172">
        <v>45565</v>
      </c>
      <c r="AO6" s="174">
        <v>45565</v>
      </c>
      <c r="AP6" s="176"/>
      <c r="AQ6" s="168">
        <v>3236895.49</v>
      </c>
      <c r="AR6" s="168">
        <v>98.98</v>
      </c>
      <c r="AS6" s="168">
        <v>1</v>
      </c>
      <c r="AT6" s="168">
        <v>3203.87916</v>
      </c>
      <c r="AU6" s="168">
        <v>3203.87916</v>
      </c>
      <c r="AV6" s="184"/>
      <c r="AW6" s="184"/>
      <c r="AX6" s="165"/>
      <c r="AY6" s="165" t="s">
        <v>1414</v>
      </c>
      <c r="AZ6" s="169">
        <v>0.48148370670399998</v>
      </c>
      <c r="BA6" s="169">
        <v>3.5076097501999998E-2</v>
      </c>
    </row>
    <row r="7" spans="1:53" ht="15.75" thickBot="1">
      <c r="A7" s="176">
        <v>7891</v>
      </c>
      <c r="B7" s="176">
        <v>7897</v>
      </c>
      <c r="C7" s="165"/>
      <c r="D7" s="165"/>
      <c r="E7" s="165" t="s">
        <v>1728</v>
      </c>
      <c r="F7" s="166">
        <v>24041911</v>
      </c>
      <c r="G7" s="165" t="s">
        <v>245</v>
      </c>
      <c r="H7" s="184"/>
      <c r="I7" s="165" t="s">
        <v>53</v>
      </c>
      <c r="J7" s="165"/>
      <c r="K7" s="165" t="s">
        <v>257</v>
      </c>
      <c r="L7" s="165" t="s">
        <v>62</v>
      </c>
      <c r="M7" s="165" t="s">
        <v>62</v>
      </c>
      <c r="N7" s="165"/>
      <c r="O7" s="189"/>
      <c r="P7" s="165" t="s">
        <v>298</v>
      </c>
      <c r="Q7" s="165" t="s">
        <v>298</v>
      </c>
      <c r="R7" s="165" t="s">
        <v>298</v>
      </c>
      <c r="S7" s="165" t="s">
        <v>1208</v>
      </c>
      <c r="T7" s="177">
        <v>2.08</v>
      </c>
      <c r="U7" s="178" t="s">
        <v>441</v>
      </c>
      <c r="V7" s="169">
        <v>6.2E-2</v>
      </c>
      <c r="W7" s="165"/>
      <c r="X7" s="165"/>
      <c r="Y7" s="175"/>
      <c r="Z7" s="175">
        <v>9.4500000000000001E-2</v>
      </c>
      <c r="AA7" s="174"/>
      <c r="AB7" s="165" t="s">
        <v>636</v>
      </c>
      <c r="AC7" s="165"/>
      <c r="AD7" s="168" t="s">
        <v>1413</v>
      </c>
      <c r="AE7" s="165" t="s">
        <v>1413</v>
      </c>
      <c r="AF7" s="165" t="s">
        <v>1413</v>
      </c>
      <c r="AG7" s="165"/>
      <c r="AH7" s="165"/>
      <c r="AI7" s="184"/>
      <c r="AJ7" s="165" t="s">
        <v>55</v>
      </c>
      <c r="AK7" s="165" t="s">
        <v>791</v>
      </c>
      <c r="AL7" s="165"/>
      <c r="AM7" s="165" t="s">
        <v>305</v>
      </c>
      <c r="AN7" s="172">
        <v>45565</v>
      </c>
      <c r="AO7" s="174">
        <v>45565</v>
      </c>
      <c r="AP7" s="176"/>
      <c r="AQ7" s="168">
        <v>3666693.62</v>
      </c>
      <c r="AR7" s="168">
        <v>100.37</v>
      </c>
      <c r="AS7" s="168">
        <v>1</v>
      </c>
      <c r="AT7" s="168">
        <v>3680.2603899999999</v>
      </c>
      <c r="AU7" s="168">
        <v>3680.2603899999999</v>
      </c>
      <c r="AV7" s="184"/>
      <c r="AW7" s="184"/>
      <c r="AX7" s="165"/>
      <c r="AY7" s="165" t="s">
        <v>1414</v>
      </c>
      <c r="AZ7" s="169">
        <v>0.55307498370700003</v>
      </c>
      <c r="BA7" s="169">
        <v>4.0291523439999997E-2</v>
      </c>
    </row>
    <row r="8" spans="1:53" ht="15.75" thickBot="1">
      <c r="A8" s="176">
        <v>7891</v>
      </c>
      <c r="B8" s="176">
        <v>7897</v>
      </c>
      <c r="C8" s="165"/>
      <c r="D8" s="165"/>
      <c r="E8" s="165" t="s">
        <v>1729</v>
      </c>
      <c r="F8" s="166">
        <v>34041901</v>
      </c>
      <c r="G8" s="165" t="s">
        <v>245</v>
      </c>
      <c r="H8" s="184"/>
      <c r="I8" s="165" t="s">
        <v>53</v>
      </c>
      <c r="J8" s="165"/>
      <c r="K8" s="165" t="s">
        <v>257</v>
      </c>
      <c r="L8" s="165" t="s">
        <v>62</v>
      </c>
      <c r="M8" s="165" t="s">
        <v>62</v>
      </c>
      <c r="N8" s="165"/>
      <c r="O8" s="189"/>
      <c r="P8" s="165" t="s">
        <v>298</v>
      </c>
      <c r="Q8" s="165" t="s">
        <v>298</v>
      </c>
      <c r="R8" s="165" t="s">
        <v>298</v>
      </c>
      <c r="S8" s="165" t="s">
        <v>1208</v>
      </c>
      <c r="T8" s="177">
        <v>12.63</v>
      </c>
      <c r="U8" s="178" t="s">
        <v>441</v>
      </c>
      <c r="V8" s="169">
        <v>5.7000000000000002E-2</v>
      </c>
      <c r="W8" s="165"/>
      <c r="X8" s="165"/>
      <c r="Y8" s="175"/>
      <c r="Z8" s="175">
        <v>9.6500000000000002E-2</v>
      </c>
      <c r="AA8" s="174"/>
      <c r="AB8" s="165" t="s">
        <v>636</v>
      </c>
      <c r="AC8" s="165"/>
      <c r="AD8" s="168" t="s">
        <v>1413</v>
      </c>
      <c r="AE8" s="165" t="s">
        <v>1413</v>
      </c>
      <c r="AF8" s="165" t="s">
        <v>1413</v>
      </c>
      <c r="AG8" s="165"/>
      <c r="AH8" s="165"/>
      <c r="AI8" s="184"/>
      <c r="AJ8" s="165" t="s">
        <v>55</v>
      </c>
      <c r="AK8" s="165" t="s">
        <v>791</v>
      </c>
      <c r="AL8" s="165"/>
      <c r="AM8" s="165" t="s">
        <v>305</v>
      </c>
      <c r="AN8" s="172">
        <v>45565</v>
      </c>
      <c r="AO8" s="174">
        <v>45565</v>
      </c>
      <c r="AP8" s="176"/>
      <c r="AQ8" s="168">
        <v>173978.19</v>
      </c>
      <c r="AR8" s="168">
        <v>98.27</v>
      </c>
      <c r="AS8" s="168">
        <v>1</v>
      </c>
      <c r="AT8" s="168">
        <v>170.96836999999999</v>
      </c>
      <c r="AU8" s="168">
        <v>170.96836999999999</v>
      </c>
      <c r="AV8" s="184"/>
      <c r="AW8" s="184"/>
      <c r="AX8" s="165"/>
      <c r="AY8" s="165" t="s">
        <v>1414</v>
      </c>
      <c r="AZ8" s="169">
        <v>2.5693379932E-2</v>
      </c>
      <c r="BA8" s="169">
        <v>1.871763233E-3</v>
      </c>
    </row>
    <row r="9" spans="1:53" ht="15.75" thickBot="1">
      <c r="A9" s="176">
        <v>7891</v>
      </c>
      <c r="B9" s="176">
        <v>7897</v>
      </c>
      <c r="C9" s="165"/>
      <c r="D9" s="165"/>
      <c r="E9" s="165" t="s">
        <v>1730</v>
      </c>
      <c r="F9" s="166">
        <v>34041911</v>
      </c>
      <c r="G9" s="165" t="s">
        <v>245</v>
      </c>
      <c r="H9" s="184"/>
      <c r="I9" s="165" t="s">
        <v>53</v>
      </c>
      <c r="J9" s="165"/>
      <c r="K9" s="165" t="s">
        <v>257</v>
      </c>
      <c r="L9" s="165" t="s">
        <v>62</v>
      </c>
      <c r="M9" s="165" t="s">
        <v>62</v>
      </c>
      <c r="N9" s="165"/>
      <c r="O9" s="189"/>
      <c r="P9" s="165" t="s">
        <v>298</v>
      </c>
      <c r="Q9" s="165" t="s">
        <v>298</v>
      </c>
      <c r="R9" s="165" t="s">
        <v>298</v>
      </c>
      <c r="S9" s="165" t="s">
        <v>1208</v>
      </c>
      <c r="T9" s="177">
        <v>1.25</v>
      </c>
      <c r="U9" s="178" t="s">
        <v>1430</v>
      </c>
      <c r="V9" s="169">
        <v>5.2999999999999999E-2</v>
      </c>
      <c r="W9" s="165"/>
      <c r="X9" s="165"/>
      <c r="Y9" s="175"/>
      <c r="Z9" s="175">
        <v>6.0699999999999997E-2</v>
      </c>
      <c r="AA9" s="174"/>
      <c r="AB9" s="165" t="s">
        <v>636</v>
      </c>
      <c r="AC9" s="165"/>
      <c r="AD9" s="168" t="s">
        <v>1413</v>
      </c>
      <c r="AE9" s="179" t="s">
        <v>1413</v>
      </c>
      <c r="AF9" s="165" t="s">
        <v>1413</v>
      </c>
      <c r="AG9" s="165"/>
      <c r="AH9" s="165"/>
      <c r="AI9" s="184"/>
      <c r="AJ9" s="165" t="s">
        <v>55</v>
      </c>
      <c r="AK9" s="165" t="s">
        <v>791</v>
      </c>
      <c r="AL9" s="165"/>
      <c r="AM9" s="165" t="s">
        <v>305</v>
      </c>
      <c r="AN9" s="172">
        <v>45565</v>
      </c>
      <c r="AO9" s="174">
        <v>45565</v>
      </c>
      <c r="AP9" s="176"/>
      <c r="AQ9" s="168">
        <v>215918.77</v>
      </c>
      <c r="AR9" s="168">
        <v>99.74</v>
      </c>
      <c r="AS9" s="168">
        <v>1</v>
      </c>
      <c r="AT9" s="168">
        <v>215.35738000000001</v>
      </c>
      <c r="AU9" s="168">
        <v>215.35738000000001</v>
      </c>
      <c r="AV9" s="184"/>
      <c r="AW9" s="184"/>
      <c r="AX9" s="165"/>
      <c r="AY9" s="165" t="s">
        <v>1414</v>
      </c>
      <c r="AZ9" s="169">
        <v>3.2364226117000003E-2</v>
      </c>
      <c r="BA9" s="169">
        <v>2.3577345089999999E-3</v>
      </c>
    </row>
    <row r="10" spans="1:53" ht="15.75" thickBot="1">
      <c r="A10" s="176">
        <v>11925</v>
      </c>
      <c r="B10" s="176">
        <v>11928</v>
      </c>
      <c r="C10" s="165"/>
      <c r="D10" s="165"/>
      <c r="E10" s="165" t="s">
        <v>1723</v>
      </c>
      <c r="F10" s="166">
        <v>11017953</v>
      </c>
      <c r="G10" s="165" t="s">
        <v>245</v>
      </c>
      <c r="H10" s="184"/>
      <c r="I10" s="165" t="s">
        <v>53</v>
      </c>
      <c r="J10" s="165"/>
      <c r="K10" s="165" t="s">
        <v>257</v>
      </c>
      <c r="L10" s="165" t="s">
        <v>62</v>
      </c>
      <c r="M10" s="165" t="s">
        <v>62</v>
      </c>
      <c r="N10" s="165"/>
      <c r="O10" s="189"/>
      <c r="P10" s="165" t="s">
        <v>298</v>
      </c>
      <c r="Q10" s="165" t="s">
        <v>298</v>
      </c>
      <c r="R10" s="165" t="s">
        <v>298</v>
      </c>
      <c r="S10" s="165" t="s">
        <v>1208</v>
      </c>
      <c r="T10" s="177">
        <v>0</v>
      </c>
      <c r="U10" s="178" t="s">
        <v>102</v>
      </c>
      <c r="V10" s="169">
        <v>0</v>
      </c>
      <c r="W10" s="165"/>
      <c r="X10" s="165"/>
      <c r="Y10" s="175"/>
      <c r="Z10" s="175">
        <v>0</v>
      </c>
      <c r="AA10" s="174"/>
      <c r="AB10" s="165" t="s">
        <v>636</v>
      </c>
      <c r="AC10" s="165"/>
      <c r="AD10" s="168" t="s">
        <v>1413</v>
      </c>
      <c r="AE10" s="165" t="s">
        <v>1413</v>
      </c>
      <c r="AF10" s="165" t="s">
        <v>1413</v>
      </c>
      <c r="AG10" s="165"/>
      <c r="AH10" s="165"/>
      <c r="AI10" s="184"/>
      <c r="AJ10" s="165" t="s">
        <v>55</v>
      </c>
      <c r="AK10" s="165" t="s">
        <v>791</v>
      </c>
      <c r="AL10" s="165"/>
      <c r="AM10" s="165" t="s">
        <v>305</v>
      </c>
      <c r="AN10" s="172">
        <v>45565</v>
      </c>
      <c r="AO10" s="174">
        <v>45565</v>
      </c>
      <c r="AP10" s="176"/>
      <c r="AQ10" s="168">
        <v>19626.060000000001</v>
      </c>
      <c r="AR10" s="168">
        <v>100</v>
      </c>
      <c r="AS10" s="168">
        <v>1</v>
      </c>
      <c r="AT10" s="168">
        <v>19.626059999999999</v>
      </c>
      <c r="AU10" s="168">
        <v>19.626059999999999</v>
      </c>
      <c r="AV10" s="184"/>
      <c r="AW10" s="184"/>
      <c r="AX10" s="165"/>
      <c r="AY10" s="165" t="s">
        <v>1414</v>
      </c>
      <c r="AZ10" s="169">
        <v>1.9562179740000001E-3</v>
      </c>
      <c r="BA10" s="169">
        <v>1.5164945400000001E-4</v>
      </c>
    </row>
    <row r="11" spans="1:53" ht="15.75" thickBot="1">
      <c r="A11" s="176">
        <v>11925</v>
      </c>
      <c r="B11" s="176">
        <v>11928</v>
      </c>
      <c r="C11" s="165"/>
      <c r="D11" s="165"/>
      <c r="E11" s="165" t="s">
        <v>1724</v>
      </c>
      <c r="F11" s="166">
        <v>11020124</v>
      </c>
      <c r="G11" s="165" t="s">
        <v>245</v>
      </c>
      <c r="H11" s="184"/>
      <c r="I11" s="165" t="s">
        <v>53</v>
      </c>
      <c r="J11" s="165"/>
      <c r="K11" s="165" t="s">
        <v>257</v>
      </c>
      <c r="L11" s="165" t="s">
        <v>62</v>
      </c>
      <c r="M11" s="165" t="s">
        <v>62</v>
      </c>
      <c r="N11" s="165"/>
      <c r="O11" s="189"/>
      <c r="P11" s="165" t="s">
        <v>298</v>
      </c>
      <c r="Q11" s="165" t="s">
        <v>298</v>
      </c>
      <c r="R11" s="165" t="s">
        <v>298</v>
      </c>
      <c r="S11" s="165" t="s">
        <v>1208</v>
      </c>
      <c r="T11" s="177">
        <v>0</v>
      </c>
      <c r="U11" s="178" t="s">
        <v>102</v>
      </c>
      <c r="V11" s="169">
        <v>0</v>
      </c>
      <c r="W11" s="165"/>
      <c r="X11" s="165"/>
      <c r="Y11" s="175"/>
      <c r="Z11" s="175">
        <v>0</v>
      </c>
      <c r="AA11" s="174"/>
      <c r="AB11" s="165" t="s">
        <v>636</v>
      </c>
      <c r="AC11" s="165"/>
      <c r="AD11" s="168" t="s">
        <v>1413</v>
      </c>
      <c r="AE11" s="179" t="s">
        <v>1413</v>
      </c>
      <c r="AF11" s="165" t="s">
        <v>1413</v>
      </c>
      <c r="AG11" s="165"/>
      <c r="AH11" s="165"/>
      <c r="AI11" s="184"/>
      <c r="AJ11" s="165" t="s">
        <v>55</v>
      </c>
      <c r="AK11" s="165" t="s">
        <v>791</v>
      </c>
      <c r="AL11" s="165"/>
      <c r="AM11" s="165" t="s">
        <v>305</v>
      </c>
      <c r="AN11" s="172">
        <v>45565</v>
      </c>
      <c r="AO11" s="174">
        <v>45565</v>
      </c>
      <c r="AP11" s="176"/>
      <c r="AQ11" s="168">
        <v>-860566.59</v>
      </c>
      <c r="AR11" s="168">
        <v>100</v>
      </c>
      <c r="AS11" s="168">
        <v>1</v>
      </c>
      <c r="AT11" s="168">
        <v>-860.56659000000002</v>
      </c>
      <c r="AU11" s="168">
        <v>-860.56659000000002</v>
      </c>
      <c r="AV11" s="184"/>
      <c r="AW11" s="184"/>
      <c r="AX11" s="165"/>
      <c r="AY11" s="165" t="s">
        <v>1414</v>
      </c>
      <c r="AZ11" s="169">
        <v>-8.5776555828000006E-2</v>
      </c>
      <c r="BA11" s="169">
        <v>-6.6495493039999999E-3</v>
      </c>
    </row>
    <row r="12" spans="1:53" ht="15.75" thickBot="1">
      <c r="A12" s="176">
        <v>11925</v>
      </c>
      <c r="B12" s="176">
        <v>11928</v>
      </c>
      <c r="C12" s="165"/>
      <c r="D12" s="165"/>
      <c r="E12" s="165" t="s">
        <v>1725</v>
      </c>
      <c r="F12" s="166">
        <v>11020128</v>
      </c>
      <c r="G12" s="165" t="s">
        <v>245</v>
      </c>
      <c r="H12" s="184"/>
      <c r="I12" s="165" t="s">
        <v>53</v>
      </c>
      <c r="J12" s="165"/>
      <c r="K12" s="165" t="s">
        <v>257</v>
      </c>
      <c r="L12" s="165" t="s">
        <v>62</v>
      </c>
      <c r="M12" s="165" t="s">
        <v>62</v>
      </c>
      <c r="N12" s="165"/>
      <c r="O12" s="189"/>
      <c r="P12" s="165" t="s">
        <v>298</v>
      </c>
      <c r="Q12" s="165" t="s">
        <v>298</v>
      </c>
      <c r="R12" s="165" t="s">
        <v>298</v>
      </c>
      <c r="S12" s="165" t="s">
        <v>1208</v>
      </c>
      <c r="T12" s="177">
        <v>0</v>
      </c>
      <c r="U12" s="178" t="s">
        <v>102</v>
      </c>
      <c r="V12" s="169">
        <v>0</v>
      </c>
      <c r="W12" s="165"/>
      <c r="X12" s="165"/>
      <c r="Y12" s="175"/>
      <c r="Z12" s="175">
        <v>0</v>
      </c>
      <c r="AA12" s="174"/>
      <c r="AB12" s="165" t="s">
        <v>636</v>
      </c>
      <c r="AC12" s="165"/>
      <c r="AD12" s="168" t="s">
        <v>1413</v>
      </c>
      <c r="AE12" s="179" t="s">
        <v>1413</v>
      </c>
      <c r="AF12" s="165" t="s">
        <v>1413</v>
      </c>
      <c r="AG12" s="165"/>
      <c r="AH12" s="165"/>
      <c r="AI12" s="184"/>
      <c r="AJ12" s="165" t="s">
        <v>55</v>
      </c>
      <c r="AK12" s="165" t="s">
        <v>791</v>
      </c>
      <c r="AL12" s="165"/>
      <c r="AM12" s="165" t="s">
        <v>305</v>
      </c>
      <c r="AN12" s="172">
        <v>45565</v>
      </c>
      <c r="AO12" s="174">
        <v>45565</v>
      </c>
      <c r="AP12" s="176"/>
      <c r="AQ12" s="168">
        <v>-472144.18</v>
      </c>
      <c r="AR12" s="168">
        <v>100</v>
      </c>
      <c r="AS12" s="168">
        <v>1</v>
      </c>
      <c r="AT12" s="168">
        <v>-472.14418000000001</v>
      </c>
      <c r="AU12" s="168">
        <v>-472.14418000000001</v>
      </c>
      <c r="AV12" s="184"/>
      <c r="AW12" s="184"/>
      <c r="AX12" s="165"/>
      <c r="AY12" s="165" t="s">
        <v>1414</v>
      </c>
      <c r="AZ12" s="169">
        <v>-4.7060741242999998E-2</v>
      </c>
      <c r="BA12" s="169">
        <v>-3.648231339E-3</v>
      </c>
    </row>
    <row r="13" spans="1:53" ht="15.75" thickBot="1">
      <c r="A13" s="176">
        <v>11925</v>
      </c>
      <c r="B13" s="176">
        <v>11928</v>
      </c>
      <c r="C13" s="165"/>
      <c r="D13" s="165"/>
      <c r="E13" s="165" t="s">
        <v>1726</v>
      </c>
      <c r="F13" s="166">
        <v>14041911</v>
      </c>
      <c r="G13" s="165" t="s">
        <v>245</v>
      </c>
      <c r="H13" s="184"/>
      <c r="I13" s="165" t="s">
        <v>53</v>
      </c>
      <c r="J13" s="165"/>
      <c r="K13" s="165" t="s">
        <v>257</v>
      </c>
      <c r="L13" s="165" t="s">
        <v>62</v>
      </c>
      <c r="M13" s="165" t="s">
        <v>62</v>
      </c>
      <c r="N13" s="165"/>
      <c r="O13" s="189"/>
      <c r="P13" s="165" t="s">
        <v>298</v>
      </c>
      <c r="Q13" s="165" t="s">
        <v>298</v>
      </c>
      <c r="R13" s="165" t="s">
        <v>298</v>
      </c>
      <c r="S13" s="165" t="s">
        <v>1208</v>
      </c>
      <c r="T13" s="177">
        <v>25.23</v>
      </c>
      <c r="U13" s="178" t="s">
        <v>441</v>
      </c>
      <c r="V13" s="169">
        <v>4.4999999999999998E-2</v>
      </c>
      <c r="W13" s="165"/>
      <c r="X13" s="165"/>
      <c r="Y13" s="175"/>
      <c r="Z13" s="175">
        <v>4.7899999999999998E-2</v>
      </c>
      <c r="AA13" s="174"/>
      <c r="AB13" s="165" t="s">
        <v>636</v>
      </c>
      <c r="AC13" s="165"/>
      <c r="AD13" s="168" t="s">
        <v>1413</v>
      </c>
      <c r="AE13" s="179" t="s">
        <v>1413</v>
      </c>
      <c r="AF13" s="165" t="s">
        <v>1413</v>
      </c>
      <c r="AG13" s="165"/>
      <c r="AH13" s="165"/>
      <c r="AI13" s="184"/>
      <c r="AJ13" s="165" t="s">
        <v>55</v>
      </c>
      <c r="AK13" s="165" t="s">
        <v>791</v>
      </c>
      <c r="AL13" s="165"/>
      <c r="AM13" s="165" t="s">
        <v>305</v>
      </c>
      <c r="AN13" s="172">
        <v>45565</v>
      </c>
      <c r="AO13" s="174">
        <v>45565</v>
      </c>
      <c r="AP13" s="176"/>
      <c r="AQ13" s="168">
        <v>373187.01</v>
      </c>
      <c r="AR13" s="168">
        <v>102.87</v>
      </c>
      <c r="AS13" s="168">
        <v>1</v>
      </c>
      <c r="AT13" s="168">
        <v>383.89747999999997</v>
      </c>
      <c r="AU13" s="168">
        <v>383.89747999999997</v>
      </c>
      <c r="AV13" s="184"/>
      <c r="AW13" s="184"/>
      <c r="AX13" s="165"/>
      <c r="AY13" s="165" t="s">
        <v>1414</v>
      </c>
      <c r="AZ13" s="169">
        <v>3.8264794390000002E-2</v>
      </c>
      <c r="BA13" s="169">
        <v>2.9663540860000001E-3</v>
      </c>
    </row>
    <row r="14" spans="1:53" ht="15.75" thickBot="1">
      <c r="A14" s="176">
        <v>11925</v>
      </c>
      <c r="B14" s="176">
        <v>11928</v>
      </c>
      <c r="C14" s="165"/>
      <c r="D14" s="165"/>
      <c r="E14" s="165" t="s">
        <v>1727</v>
      </c>
      <c r="F14" s="166">
        <v>24041901</v>
      </c>
      <c r="G14" s="165" t="s">
        <v>245</v>
      </c>
      <c r="H14" s="184"/>
      <c r="I14" s="165" t="s">
        <v>53</v>
      </c>
      <c r="J14" s="165"/>
      <c r="K14" s="165" t="s">
        <v>257</v>
      </c>
      <c r="L14" s="165" t="s">
        <v>62</v>
      </c>
      <c r="M14" s="165" t="s">
        <v>62</v>
      </c>
      <c r="N14" s="165"/>
      <c r="O14" s="189"/>
      <c r="P14" s="165" t="s">
        <v>298</v>
      </c>
      <c r="Q14" s="165" t="s">
        <v>298</v>
      </c>
      <c r="R14" s="165" t="s">
        <v>298</v>
      </c>
      <c r="S14" s="165" t="s">
        <v>1208</v>
      </c>
      <c r="T14" s="177">
        <v>0.89</v>
      </c>
      <c r="U14" s="178" t="s">
        <v>1430</v>
      </c>
      <c r="V14" s="169">
        <v>6.9000000000000006E-2</v>
      </c>
      <c r="W14" s="165"/>
      <c r="X14" s="165"/>
      <c r="Y14" s="175"/>
      <c r="Z14" s="175">
        <v>6.1800000000000001E-2</v>
      </c>
      <c r="AA14" s="174"/>
      <c r="AB14" s="165" t="s">
        <v>636</v>
      </c>
      <c r="AC14" s="165"/>
      <c r="AD14" s="168" t="s">
        <v>1413</v>
      </c>
      <c r="AE14" s="165" t="s">
        <v>1413</v>
      </c>
      <c r="AF14" s="165" t="s">
        <v>1413</v>
      </c>
      <c r="AG14" s="165"/>
      <c r="AH14" s="165"/>
      <c r="AI14" s="184"/>
      <c r="AJ14" s="165" t="s">
        <v>55</v>
      </c>
      <c r="AK14" s="165" t="s">
        <v>791</v>
      </c>
      <c r="AL14" s="165"/>
      <c r="AM14" s="165" t="s">
        <v>305</v>
      </c>
      <c r="AN14" s="172">
        <v>45565</v>
      </c>
      <c r="AO14" s="174">
        <v>45565</v>
      </c>
      <c r="AP14" s="176"/>
      <c r="AQ14" s="168">
        <v>4880339.8600000003</v>
      </c>
      <c r="AR14" s="168">
        <v>98.98</v>
      </c>
      <c r="AS14" s="168">
        <v>1</v>
      </c>
      <c r="AT14" s="168">
        <v>4830.5603899999996</v>
      </c>
      <c r="AU14" s="168">
        <v>4830.5603899999996</v>
      </c>
      <c r="AV14" s="184"/>
      <c r="AW14" s="184"/>
      <c r="AX14" s="165"/>
      <c r="AY14" s="165" t="s">
        <v>1414</v>
      </c>
      <c r="AZ14" s="169">
        <v>0.48148375476100003</v>
      </c>
      <c r="BA14" s="169">
        <v>3.7325466564000001E-2</v>
      </c>
    </row>
    <row r="15" spans="1:53" ht="15.75" thickBot="1">
      <c r="A15" s="176">
        <v>11925</v>
      </c>
      <c r="B15" s="176">
        <v>11928</v>
      </c>
      <c r="C15" s="165"/>
      <c r="D15" s="165"/>
      <c r="E15" s="165" t="s">
        <v>1728</v>
      </c>
      <c r="F15" s="166">
        <v>24041911</v>
      </c>
      <c r="G15" s="165" t="s">
        <v>245</v>
      </c>
      <c r="H15" s="184"/>
      <c r="I15" s="165" t="s">
        <v>53</v>
      </c>
      <c r="J15" s="165"/>
      <c r="K15" s="165" t="s">
        <v>257</v>
      </c>
      <c r="L15" s="165" t="s">
        <v>62</v>
      </c>
      <c r="M15" s="165" t="s">
        <v>62</v>
      </c>
      <c r="N15" s="165"/>
      <c r="O15" s="189"/>
      <c r="P15" s="165" t="s">
        <v>298</v>
      </c>
      <c r="Q15" s="165" t="s">
        <v>298</v>
      </c>
      <c r="R15" s="165" t="s">
        <v>298</v>
      </c>
      <c r="S15" s="165" t="s">
        <v>1208</v>
      </c>
      <c r="T15" s="177">
        <v>2.08</v>
      </c>
      <c r="U15" s="178" t="s">
        <v>441</v>
      </c>
      <c r="V15" s="169">
        <v>6.2E-2</v>
      </c>
      <c r="W15" s="165"/>
      <c r="X15" s="165"/>
      <c r="Y15" s="175"/>
      <c r="Z15" s="175">
        <v>9.4500000000000001E-2</v>
      </c>
      <c r="AA15" s="174"/>
      <c r="AB15" s="165" t="s">
        <v>636</v>
      </c>
      <c r="AC15" s="165"/>
      <c r="AD15" s="168" t="s">
        <v>1413</v>
      </c>
      <c r="AE15" s="165" t="s">
        <v>1413</v>
      </c>
      <c r="AF15" s="165" t="s">
        <v>1413</v>
      </c>
      <c r="AG15" s="165"/>
      <c r="AH15" s="165"/>
      <c r="AI15" s="184"/>
      <c r="AJ15" s="165" t="s">
        <v>55</v>
      </c>
      <c r="AK15" s="165" t="s">
        <v>791</v>
      </c>
      <c r="AL15" s="165"/>
      <c r="AM15" s="165" t="s">
        <v>305</v>
      </c>
      <c r="AN15" s="172">
        <v>45565</v>
      </c>
      <c r="AO15" s="174">
        <v>45565</v>
      </c>
      <c r="AP15" s="176"/>
      <c r="AQ15" s="168">
        <v>5528355.5300000003</v>
      </c>
      <c r="AR15" s="168">
        <v>100.37</v>
      </c>
      <c r="AS15" s="168">
        <v>1</v>
      </c>
      <c r="AT15" s="168">
        <v>5548.8104499999999</v>
      </c>
      <c r="AU15" s="168">
        <v>5548.8104499999999</v>
      </c>
      <c r="AV15" s="184"/>
      <c r="AW15" s="184"/>
      <c r="AX15" s="165"/>
      <c r="AY15" s="165" t="s">
        <v>1414</v>
      </c>
      <c r="AZ15" s="169">
        <v>0.553074979759</v>
      </c>
      <c r="BA15" s="169">
        <v>4.2875344101000003E-2</v>
      </c>
    </row>
    <row r="16" spans="1:53" ht="15.75" thickBot="1">
      <c r="A16" s="176">
        <v>11925</v>
      </c>
      <c r="B16" s="176">
        <v>11928</v>
      </c>
      <c r="C16" s="165"/>
      <c r="D16" s="165"/>
      <c r="E16" s="165" t="s">
        <v>1729</v>
      </c>
      <c r="F16" s="166">
        <v>34041901</v>
      </c>
      <c r="G16" s="165" t="s">
        <v>245</v>
      </c>
      <c r="H16" s="184"/>
      <c r="I16" s="165" t="s">
        <v>53</v>
      </c>
      <c r="J16" s="165"/>
      <c r="K16" s="165" t="s">
        <v>257</v>
      </c>
      <c r="L16" s="165" t="s">
        <v>62</v>
      </c>
      <c r="M16" s="165" t="s">
        <v>62</v>
      </c>
      <c r="N16" s="165"/>
      <c r="O16" s="189"/>
      <c r="P16" s="165" t="s">
        <v>298</v>
      </c>
      <c r="Q16" s="165" t="s">
        <v>298</v>
      </c>
      <c r="R16" s="165" t="s">
        <v>298</v>
      </c>
      <c r="S16" s="165" t="s">
        <v>1208</v>
      </c>
      <c r="T16" s="177">
        <v>12.63</v>
      </c>
      <c r="U16" s="178" t="s">
        <v>441</v>
      </c>
      <c r="V16" s="169">
        <v>5.7000000000000002E-2</v>
      </c>
      <c r="W16" s="165"/>
      <c r="X16" s="165"/>
      <c r="Y16" s="175"/>
      <c r="Z16" s="175">
        <v>9.6500000000000002E-2</v>
      </c>
      <c r="AA16" s="174"/>
      <c r="AB16" s="165" t="s">
        <v>636</v>
      </c>
      <c r="AC16" s="165"/>
      <c r="AD16" s="168" t="s">
        <v>1413</v>
      </c>
      <c r="AE16" s="179" t="s">
        <v>1413</v>
      </c>
      <c r="AF16" s="165" t="s">
        <v>1413</v>
      </c>
      <c r="AG16" s="165"/>
      <c r="AH16" s="165"/>
      <c r="AI16" s="184"/>
      <c r="AJ16" s="165" t="s">
        <v>55</v>
      </c>
      <c r="AK16" s="165" t="s">
        <v>791</v>
      </c>
      <c r="AL16" s="165"/>
      <c r="AM16" s="165" t="s">
        <v>305</v>
      </c>
      <c r="AN16" s="172">
        <v>45565</v>
      </c>
      <c r="AO16" s="174">
        <v>45565</v>
      </c>
      <c r="AP16" s="176"/>
      <c r="AQ16" s="168">
        <v>262310.81</v>
      </c>
      <c r="AR16" s="168">
        <v>98.27</v>
      </c>
      <c r="AS16" s="168">
        <v>1</v>
      </c>
      <c r="AT16" s="168">
        <v>257.77283</v>
      </c>
      <c r="AU16" s="168">
        <v>257.77283</v>
      </c>
      <c r="AV16" s="184"/>
      <c r="AW16" s="184"/>
      <c r="AX16" s="165"/>
      <c r="AY16" s="165" t="s">
        <v>1414</v>
      </c>
      <c r="AZ16" s="169">
        <v>2.5693381314000001E-2</v>
      </c>
      <c r="BA16" s="169">
        <v>1.9917960579999999E-3</v>
      </c>
    </row>
    <row r="17" spans="1:53" ht="15.75" thickBot="1">
      <c r="A17" s="176">
        <v>11925</v>
      </c>
      <c r="B17" s="176">
        <v>11928</v>
      </c>
      <c r="C17" s="165"/>
      <c r="D17" s="165"/>
      <c r="E17" s="165" t="s">
        <v>1730</v>
      </c>
      <c r="F17" s="166">
        <v>34041911</v>
      </c>
      <c r="G17" s="165" t="s">
        <v>245</v>
      </c>
      <c r="H17" s="184"/>
      <c r="I17" s="165" t="s">
        <v>53</v>
      </c>
      <c r="J17" s="165"/>
      <c r="K17" s="165" t="s">
        <v>257</v>
      </c>
      <c r="L17" s="165" t="s">
        <v>62</v>
      </c>
      <c r="M17" s="165" t="s">
        <v>62</v>
      </c>
      <c r="N17" s="165"/>
      <c r="O17" s="189"/>
      <c r="P17" s="165" t="s">
        <v>298</v>
      </c>
      <c r="Q17" s="165" t="s">
        <v>298</v>
      </c>
      <c r="R17" s="165" t="s">
        <v>298</v>
      </c>
      <c r="S17" s="165" t="s">
        <v>1208</v>
      </c>
      <c r="T17" s="177">
        <v>1.25</v>
      </c>
      <c r="U17" s="178" t="s">
        <v>1430</v>
      </c>
      <c r="V17" s="169">
        <v>5.2999999999999999E-2</v>
      </c>
      <c r="W17" s="165"/>
      <c r="X17" s="165"/>
      <c r="Y17" s="175"/>
      <c r="Z17" s="175">
        <v>6.0699999999999997E-2</v>
      </c>
      <c r="AA17" s="174"/>
      <c r="AB17" s="165" t="s">
        <v>636</v>
      </c>
      <c r="AC17" s="165"/>
      <c r="AD17" s="168" t="s">
        <v>1413</v>
      </c>
      <c r="AE17" s="165" t="s">
        <v>1413</v>
      </c>
      <c r="AF17" s="165" t="s">
        <v>1413</v>
      </c>
      <c r="AG17" s="165"/>
      <c r="AH17" s="165"/>
      <c r="AI17" s="184"/>
      <c r="AJ17" s="165" t="s">
        <v>55</v>
      </c>
      <c r="AK17" s="165" t="s">
        <v>791</v>
      </c>
      <c r="AL17" s="165"/>
      <c r="AM17" s="165" t="s">
        <v>305</v>
      </c>
      <c r="AN17" s="172">
        <v>45565</v>
      </c>
      <c r="AO17" s="174">
        <v>45565</v>
      </c>
      <c r="AP17" s="176"/>
      <c r="AQ17" s="168">
        <v>325544.96000000002</v>
      </c>
      <c r="AR17" s="168">
        <v>99.74</v>
      </c>
      <c r="AS17" s="168">
        <v>1</v>
      </c>
      <c r="AT17" s="168">
        <v>324.69853999999998</v>
      </c>
      <c r="AU17" s="168">
        <v>324.69853999999998</v>
      </c>
      <c r="AV17" s="184"/>
      <c r="AW17" s="184"/>
      <c r="AX17" s="165"/>
      <c r="AY17" s="165" t="s">
        <v>1414</v>
      </c>
      <c r="AZ17" s="169">
        <v>3.2364168871E-2</v>
      </c>
      <c r="BA17" s="169">
        <v>2.5089272290000002E-3</v>
      </c>
    </row>
    <row r="18" spans="1:53" ht="15.75" thickBot="1">
      <c r="A18" s="176">
        <v>11939</v>
      </c>
      <c r="B18" s="176">
        <v>11942</v>
      </c>
      <c r="C18" s="165"/>
      <c r="D18" s="165"/>
      <c r="E18" s="165" t="s">
        <v>1723</v>
      </c>
      <c r="F18" s="166">
        <v>11017953</v>
      </c>
      <c r="G18" s="165" t="s">
        <v>245</v>
      </c>
      <c r="H18" s="184"/>
      <c r="I18" s="165" t="s">
        <v>53</v>
      </c>
      <c r="J18" s="165"/>
      <c r="K18" s="165" t="s">
        <v>257</v>
      </c>
      <c r="L18" s="165" t="s">
        <v>62</v>
      </c>
      <c r="M18" s="165" t="s">
        <v>62</v>
      </c>
      <c r="N18" s="165"/>
      <c r="O18" s="189"/>
      <c r="P18" s="165" t="s">
        <v>298</v>
      </c>
      <c r="Q18" s="165" t="s">
        <v>298</v>
      </c>
      <c r="R18" s="165" t="s">
        <v>298</v>
      </c>
      <c r="S18" s="165" t="s">
        <v>1208</v>
      </c>
      <c r="T18" s="177">
        <v>0</v>
      </c>
      <c r="U18" s="178" t="s">
        <v>102</v>
      </c>
      <c r="V18" s="169">
        <v>0</v>
      </c>
      <c r="W18" s="165"/>
      <c r="X18" s="165"/>
      <c r="Y18" s="175"/>
      <c r="Z18" s="175">
        <v>0</v>
      </c>
      <c r="AA18" s="174"/>
      <c r="AB18" s="165" t="s">
        <v>636</v>
      </c>
      <c r="AC18" s="165"/>
      <c r="AD18" s="168" t="s">
        <v>1413</v>
      </c>
      <c r="AE18" s="179" t="s">
        <v>1413</v>
      </c>
      <c r="AF18" s="165" t="s">
        <v>1413</v>
      </c>
      <c r="AG18" s="165"/>
      <c r="AH18" s="165"/>
      <c r="AI18" s="184"/>
      <c r="AJ18" s="165" t="s">
        <v>55</v>
      </c>
      <c r="AK18" s="165" t="s">
        <v>791</v>
      </c>
      <c r="AL18" s="165"/>
      <c r="AM18" s="165" t="s">
        <v>305</v>
      </c>
      <c r="AN18" s="172">
        <v>45565</v>
      </c>
      <c r="AO18" s="174">
        <v>45565</v>
      </c>
      <c r="AP18" s="176"/>
      <c r="AQ18" s="168">
        <v>50492.83</v>
      </c>
      <c r="AR18" s="168">
        <v>100</v>
      </c>
      <c r="AS18" s="168">
        <v>1</v>
      </c>
      <c r="AT18" s="168">
        <v>50.492829999999998</v>
      </c>
      <c r="AU18" s="168">
        <v>50.492829999999998</v>
      </c>
      <c r="AV18" s="184"/>
      <c r="AW18" s="184"/>
      <c r="AX18" s="165"/>
      <c r="AY18" s="165" t="s">
        <v>1414</v>
      </c>
      <c r="AZ18" s="169">
        <v>1.9562196539999999E-3</v>
      </c>
      <c r="BA18" s="169">
        <v>1.81836617E-4</v>
      </c>
    </row>
    <row r="19" spans="1:53" ht="15.75" thickBot="1">
      <c r="A19" s="176">
        <v>11939</v>
      </c>
      <c r="B19" s="176">
        <v>11942</v>
      </c>
      <c r="C19" s="165"/>
      <c r="D19" s="165"/>
      <c r="E19" s="165" t="s">
        <v>1724</v>
      </c>
      <c r="F19" s="166">
        <v>11020124</v>
      </c>
      <c r="G19" s="165" t="s">
        <v>245</v>
      </c>
      <c r="H19" s="184"/>
      <c r="I19" s="165" t="s">
        <v>53</v>
      </c>
      <c r="J19" s="165"/>
      <c r="K19" s="165" t="s">
        <v>257</v>
      </c>
      <c r="L19" s="165" t="s">
        <v>62</v>
      </c>
      <c r="M19" s="165" t="s">
        <v>62</v>
      </c>
      <c r="N19" s="165"/>
      <c r="O19" s="189"/>
      <c r="P19" s="165" t="s">
        <v>298</v>
      </c>
      <c r="Q19" s="165" t="s">
        <v>298</v>
      </c>
      <c r="R19" s="165" t="s">
        <v>298</v>
      </c>
      <c r="S19" s="165" t="s">
        <v>1208</v>
      </c>
      <c r="T19" s="177">
        <v>0</v>
      </c>
      <c r="U19" s="178" t="s">
        <v>102</v>
      </c>
      <c r="V19" s="169">
        <v>0</v>
      </c>
      <c r="W19" s="165"/>
      <c r="X19" s="165"/>
      <c r="Y19" s="175"/>
      <c r="Z19" s="175">
        <v>0</v>
      </c>
      <c r="AA19" s="174"/>
      <c r="AB19" s="165" t="s">
        <v>636</v>
      </c>
      <c r="AC19" s="165"/>
      <c r="AD19" s="168" t="s">
        <v>1413</v>
      </c>
      <c r="AE19" s="179" t="s">
        <v>1413</v>
      </c>
      <c r="AF19" s="165" t="s">
        <v>1413</v>
      </c>
      <c r="AG19" s="165"/>
      <c r="AH19" s="165"/>
      <c r="AI19" s="184"/>
      <c r="AJ19" s="165" t="s">
        <v>55</v>
      </c>
      <c r="AK19" s="165" t="s">
        <v>791</v>
      </c>
      <c r="AL19" s="165"/>
      <c r="AM19" s="165" t="s">
        <v>305</v>
      </c>
      <c r="AN19" s="172">
        <v>45565</v>
      </c>
      <c r="AO19" s="174">
        <v>45565</v>
      </c>
      <c r="AP19" s="176"/>
      <c r="AQ19" s="168">
        <v>-2214015.7999999998</v>
      </c>
      <c r="AR19" s="168">
        <v>100</v>
      </c>
      <c r="AS19" s="168">
        <v>1</v>
      </c>
      <c r="AT19" s="168">
        <v>-2214.0158000000001</v>
      </c>
      <c r="AU19" s="168">
        <v>-2214.0158000000001</v>
      </c>
      <c r="AV19" s="184"/>
      <c r="AW19" s="184"/>
      <c r="AX19" s="165"/>
      <c r="AY19" s="165" t="s">
        <v>1414</v>
      </c>
      <c r="AZ19" s="169">
        <v>-8.5776559227999996E-2</v>
      </c>
      <c r="BA19" s="169">
        <v>-7.9731943069999995E-3</v>
      </c>
    </row>
    <row r="20" spans="1:53" ht="15.75" thickBot="1">
      <c r="A20" s="176">
        <v>11939</v>
      </c>
      <c r="B20" s="176">
        <v>11942</v>
      </c>
      <c r="C20" s="165"/>
      <c r="D20" s="165"/>
      <c r="E20" s="165" t="s">
        <v>1725</v>
      </c>
      <c r="F20" s="166">
        <v>11020128</v>
      </c>
      <c r="G20" s="165" t="s">
        <v>245</v>
      </c>
      <c r="H20" s="184"/>
      <c r="I20" s="165" t="s">
        <v>53</v>
      </c>
      <c r="J20" s="165"/>
      <c r="K20" s="165" t="s">
        <v>257</v>
      </c>
      <c r="L20" s="165" t="s">
        <v>62</v>
      </c>
      <c r="M20" s="165" t="s">
        <v>62</v>
      </c>
      <c r="N20" s="165"/>
      <c r="O20" s="189"/>
      <c r="P20" s="165" t="s">
        <v>298</v>
      </c>
      <c r="Q20" s="165" t="s">
        <v>298</v>
      </c>
      <c r="R20" s="165" t="s">
        <v>298</v>
      </c>
      <c r="S20" s="165" t="s">
        <v>1208</v>
      </c>
      <c r="T20" s="177">
        <v>0</v>
      </c>
      <c r="U20" s="178" t="s">
        <v>102</v>
      </c>
      <c r="V20" s="169">
        <v>0</v>
      </c>
      <c r="W20" s="165"/>
      <c r="X20" s="165"/>
      <c r="Y20" s="175"/>
      <c r="Z20" s="175">
        <v>0</v>
      </c>
      <c r="AA20" s="174"/>
      <c r="AB20" s="165" t="s">
        <v>636</v>
      </c>
      <c r="AC20" s="165"/>
      <c r="AD20" s="168" t="s">
        <v>1413</v>
      </c>
      <c r="AE20" s="179" t="s">
        <v>1413</v>
      </c>
      <c r="AF20" s="165" t="s">
        <v>1413</v>
      </c>
      <c r="AG20" s="165"/>
      <c r="AH20" s="165"/>
      <c r="AI20" s="184"/>
      <c r="AJ20" s="165" t="s">
        <v>55</v>
      </c>
      <c r="AK20" s="165" t="s">
        <v>791</v>
      </c>
      <c r="AL20" s="165"/>
      <c r="AM20" s="165" t="s">
        <v>305</v>
      </c>
      <c r="AN20" s="172">
        <v>45565</v>
      </c>
      <c r="AO20" s="174">
        <v>45565</v>
      </c>
      <c r="AP20" s="176"/>
      <c r="AQ20" s="168">
        <v>-1214705.25</v>
      </c>
      <c r="AR20" s="168">
        <v>100</v>
      </c>
      <c r="AS20" s="168">
        <v>1</v>
      </c>
      <c r="AT20" s="168">
        <v>-1214.70525</v>
      </c>
      <c r="AU20" s="168">
        <v>-1214.70525</v>
      </c>
      <c r="AV20" s="184"/>
      <c r="AW20" s="184"/>
      <c r="AX20" s="165"/>
      <c r="AY20" s="165" t="s">
        <v>1414</v>
      </c>
      <c r="AZ20" s="169">
        <v>-4.7060746730999997E-2</v>
      </c>
      <c r="BA20" s="169">
        <v>-4.3744407710000002E-3</v>
      </c>
    </row>
    <row r="21" spans="1:53" s="44" customFormat="1" ht="15.75" thickBot="1">
      <c r="A21" s="176">
        <v>11939</v>
      </c>
      <c r="B21" s="176">
        <v>11942</v>
      </c>
      <c r="C21" s="165"/>
      <c r="D21" s="165"/>
      <c r="E21" s="165" t="s">
        <v>1726</v>
      </c>
      <c r="F21" s="166">
        <v>14041911</v>
      </c>
      <c r="G21" s="165" t="s">
        <v>245</v>
      </c>
      <c r="H21" s="184"/>
      <c r="I21" s="165" t="s">
        <v>53</v>
      </c>
      <c r="J21" s="165"/>
      <c r="K21" s="165" t="s">
        <v>257</v>
      </c>
      <c r="L21" s="165" t="s">
        <v>62</v>
      </c>
      <c r="M21" s="165" t="s">
        <v>62</v>
      </c>
      <c r="N21" s="165"/>
      <c r="O21" s="189"/>
      <c r="P21" s="165" t="s">
        <v>298</v>
      </c>
      <c r="Q21" s="165" t="s">
        <v>298</v>
      </c>
      <c r="R21" s="165" t="s">
        <v>298</v>
      </c>
      <c r="S21" s="165" t="s">
        <v>1208</v>
      </c>
      <c r="T21" s="177">
        <v>25.23</v>
      </c>
      <c r="U21" s="178" t="s">
        <v>441</v>
      </c>
      <c r="V21" s="169">
        <v>4.4999999999999998E-2</v>
      </c>
      <c r="W21" s="165"/>
      <c r="X21" s="165"/>
      <c r="Y21" s="175"/>
      <c r="Z21" s="175">
        <v>4.7899999999999998E-2</v>
      </c>
      <c r="AA21" s="174"/>
      <c r="AB21" s="165" t="s">
        <v>636</v>
      </c>
      <c r="AC21" s="165"/>
      <c r="AD21" s="168" t="s">
        <v>1413</v>
      </c>
      <c r="AE21" s="165" t="s">
        <v>1413</v>
      </c>
      <c r="AF21" s="165" t="s">
        <v>1413</v>
      </c>
      <c r="AG21" s="165"/>
      <c r="AH21" s="165"/>
      <c r="AI21" s="184"/>
      <c r="AJ21" s="165" t="s">
        <v>55</v>
      </c>
      <c r="AK21" s="165" t="s">
        <v>791</v>
      </c>
      <c r="AL21" s="165"/>
      <c r="AM21" s="165" t="s">
        <v>305</v>
      </c>
      <c r="AN21" s="172">
        <v>45565</v>
      </c>
      <c r="AO21" s="174">
        <v>45565</v>
      </c>
      <c r="AP21" s="176"/>
      <c r="AQ21" s="168">
        <v>960111.1</v>
      </c>
      <c r="AR21" s="168">
        <v>102.87</v>
      </c>
      <c r="AS21" s="168">
        <v>1</v>
      </c>
      <c r="AT21" s="168">
        <v>987.66629</v>
      </c>
      <c r="AU21" s="168">
        <v>987.66629</v>
      </c>
      <c r="AV21" s="184"/>
      <c r="AW21" s="184"/>
      <c r="AX21" s="165"/>
      <c r="AY21" s="165" t="s">
        <v>1414</v>
      </c>
      <c r="AZ21" s="169">
        <v>3.8264684479999998E-2</v>
      </c>
      <c r="BA21" s="169">
        <v>3.556819803E-3</v>
      </c>
    </row>
    <row r="22" spans="1:53" ht="15.75" thickBot="1">
      <c r="A22" s="176">
        <v>11939</v>
      </c>
      <c r="B22" s="176">
        <v>11942</v>
      </c>
      <c r="C22" s="165"/>
      <c r="D22" s="165"/>
      <c r="E22" s="165" t="s">
        <v>1727</v>
      </c>
      <c r="F22" s="166">
        <v>24041901</v>
      </c>
      <c r="G22" s="165" t="s">
        <v>245</v>
      </c>
      <c r="H22" s="184"/>
      <c r="I22" s="165" t="s">
        <v>53</v>
      </c>
      <c r="J22" s="165"/>
      <c r="K22" s="165" t="s">
        <v>257</v>
      </c>
      <c r="L22" s="165" t="s">
        <v>62</v>
      </c>
      <c r="M22" s="165" t="s">
        <v>62</v>
      </c>
      <c r="N22" s="165"/>
      <c r="O22" s="189"/>
      <c r="P22" s="165" t="s">
        <v>298</v>
      </c>
      <c r="Q22" s="165" t="s">
        <v>298</v>
      </c>
      <c r="R22" s="165" t="s">
        <v>298</v>
      </c>
      <c r="S22" s="165" t="s">
        <v>1208</v>
      </c>
      <c r="T22" s="177">
        <v>0.89</v>
      </c>
      <c r="U22" s="178" t="s">
        <v>1430</v>
      </c>
      <c r="V22" s="169">
        <v>6.9000000000000006E-2</v>
      </c>
      <c r="W22" s="165"/>
      <c r="X22" s="165"/>
      <c r="Y22" s="175"/>
      <c r="Z22" s="175">
        <v>6.1800000000000001E-2</v>
      </c>
      <c r="AA22" s="174"/>
      <c r="AB22" s="165" t="s">
        <v>636</v>
      </c>
      <c r="AC22" s="165"/>
      <c r="AD22" s="168" t="s">
        <v>1413</v>
      </c>
      <c r="AE22" s="165" t="s">
        <v>1413</v>
      </c>
      <c r="AF22" s="165" t="s">
        <v>1413</v>
      </c>
      <c r="AG22" s="165"/>
      <c r="AH22" s="165"/>
      <c r="AI22" s="184"/>
      <c r="AJ22" s="165" t="s">
        <v>55</v>
      </c>
      <c r="AK22" s="165" t="s">
        <v>791</v>
      </c>
      <c r="AL22" s="165"/>
      <c r="AM22" s="165" t="s">
        <v>305</v>
      </c>
      <c r="AN22" s="172">
        <v>45565</v>
      </c>
      <c r="AO22" s="174">
        <v>45565</v>
      </c>
      <c r="AP22" s="176"/>
      <c r="AQ22" s="168">
        <v>12555855.65</v>
      </c>
      <c r="AR22" s="168">
        <v>98.98</v>
      </c>
      <c r="AS22" s="168">
        <v>1</v>
      </c>
      <c r="AT22" s="168">
        <v>12427.78592</v>
      </c>
      <c r="AU22" s="168">
        <v>12427.78592</v>
      </c>
      <c r="AV22" s="184"/>
      <c r="AW22" s="184"/>
      <c r="AX22" s="165"/>
      <c r="AY22" s="165" t="s">
        <v>1414</v>
      </c>
      <c r="AZ22" s="169">
        <v>0.48148378844</v>
      </c>
      <c r="BA22" s="169">
        <v>4.4755395131999998E-2</v>
      </c>
    </row>
    <row r="23" spans="1:53" ht="15.75" thickBot="1">
      <c r="A23" s="176">
        <v>11939</v>
      </c>
      <c r="B23" s="176">
        <v>11942</v>
      </c>
      <c r="C23" s="184"/>
      <c r="D23" s="184"/>
      <c r="E23" s="165" t="s">
        <v>1728</v>
      </c>
      <c r="F23" s="194">
        <v>24041911</v>
      </c>
      <c r="G23" s="184" t="s">
        <v>245</v>
      </c>
      <c r="H23" s="184"/>
      <c r="I23" s="184" t="s">
        <v>53</v>
      </c>
      <c r="J23" s="184"/>
      <c r="K23" s="184" t="s">
        <v>257</v>
      </c>
      <c r="L23" s="184" t="s">
        <v>62</v>
      </c>
      <c r="M23" s="184" t="s">
        <v>62</v>
      </c>
      <c r="N23" s="184"/>
      <c r="O23" s="184"/>
      <c r="P23" s="184" t="s">
        <v>298</v>
      </c>
      <c r="Q23" s="184" t="s">
        <v>298</v>
      </c>
      <c r="R23" s="184" t="s">
        <v>298</v>
      </c>
      <c r="S23" s="184" t="s">
        <v>1208</v>
      </c>
      <c r="T23" s="184">
        <v>2.08</v>
      </c>
      <c r="U23" s="184" t="s">
        <v>441</v>
      </c>
      <c r="V23" s="184">
        <v>6.2E-2</v>
      </c>
      <c r="W23" s="184"/>
      <c r="X23" s="184"/>
      <c r="Y23" s="184"/>
      <c r="Z23" s="184">
        <v>9.4500000000000001E-2</v>
      </c>
      <c r="AA23" s="184"/>
      <c r="AB23" s="184" t="s">
        <v>636</v>
      </c>
      <c r="AC23" s="184"/>
      <c r="AD23" s="184" t="s">
        <v>1413</v>
      </c>
      <c r="AE23" s="184" t="s">
        <v>1413</v>
      </c>
      <c r="AF23" s="184" t="s">
        <v>1413</v>
      </c>
      <c r="AG23" s="184"/>
      <c r="AH23" s="184"/>
      <c r="AI23" s="184"/>
      <c r="AJ23" s="184" t="s">
        <v>55</v>
      </c>
      <c r="AK23" s="184" t="s">
        <v>791</v>
      </c>
      <c r="AL23" s="184"/>
      <c r="AM23" s="184" t="s">
        <v>305</v>
      </c>
      <c r="AN23" s="172">
        <v>45565</v>
      </c>
      <c r="AO23" s="174">
        <v>45565</v>
      </c>
      <c r="AP23" s="184"/>
      <c r="AQ23" s="184">
        <v>14223034.85</v>
      </c>
      <c r="AR23" s="184">
        <v>100.37</v>
      </c>
      <c r="AS23" s="168">
        <v>1</v>
      </c>
      <c r="AT23" s="184">
        <v>14275.66008</v>
      </c>
      <c r="AU23" s="184">
        <v>14275.66008</v>
      </c>
      <c r="AV23" s="184"/>
      <c r="AW23" s="184"/>
      <c r="AX23" s="184"/>
      <c r="AY23" s="165" t="s">
        <v>1414</v>
      </c>
      <c r="AZ23" s="169">
        <v>0.55307509656599996</v>
      </c>
      <c r="BA23" s="169">
        <v>5.1410026834999997E-2</v>
      </c>
    </row>
    <row r="24" spans="1:53" ht="15.75" thickBot="1">
      <c r="A24" s="176">
        <v>11939</v>
      </c>
      <c r="B24" s="176">
        <v>11942</v>
      </c>
      <c r="C24" s="184"/>
      <c r="D24" s="184"/>
      <c r="E24" s="165" t="s">
        <v>1729</v>
      </c>
      <c r="F24" s="194">
        <v>34041901</v>
      </c>
      <c r="G24" s="184" t="s">
        <v>245</v>
      </c>
      <c r="H24" s="184"/>
      <c r="I24" s="184" t="s">
        <v>53</v>
      </c>
      <c r="J24" s="184"/>
      <c r="K24" s="184" t="s">
        <v>257</v>
      </c>
      <c r="L24" s="184" t="s">
        <v>62</v>
      </c>
      <c r="M24" s="184" t="s">
        <v>62</v>
      </c>
      <c r="N24" s="184"/>
      <c r="O24" s="184"/>
      <c r="P24" s="184" t="s">
        <v>298</v>
      </c>
      <c r="Q24" s="184" t="s">
        <v>298</v>
      </c>
      <c r="R24" s="184" t="s">
        <v>298</v>
      </c>
      <c r="S24" s="184" t="s">
        <v>1208</v>
      </c>
      <c r="T24" s="184">
        <v>12.63</v>
      </c>
      <c r="U24" s="184" t="s">
        <v>441</v>
      </c>
      <c r="V24" s="184">
        <v>5.7000000000000002E-2</v>
      </c>
      <c r="W24" s="184"/>
      <c r="X24" s="184"/>
      <c r="Y24" s="184"/>
      <c r="Z24" s="184">
        <v>9.6500000000000002E-2</v>
      </c>
      <c r="AA24" s="184"/>
      <c r="AB24" s="184" t="s">
        <v>636</v>
      </c>
      <c r="AC24" s="184"/>
      <c r="AD24" s="184" t="s">
        <v>1413</v>
      </c>
      <c r="AE24" s="184" t="s">
        <v>1413</v>
      </c>
      <c r="AF24" s="184" t="s">
        <v>1413</v>
      </c>
      <c r="AG24" s="184"/>
      <c r="AH24" s="184"/>
      <c r="AI24" s="184"/>
      <c r="AJ24" s="184" t="s">
        <v>55</v>
      </c>
      <c r="AK24" s="184" t="s">
        <v>791</v>
      </c>
      <c r="AL24" s="184"/>
      <c r="AM24" s="184" t="s">
        <v>305</v>
      </c>
      <c r="AN24" s="172">
        <v>45565</v>
      </c>
      <c r="AO24" s="174">
        <v>45565</v>
      </c>
      <c r="AP24" s="184"/>
      <c r="AQ24" s="184">
        <v>674858.01</v>
      </c>
      <c r="AR24" s="184">
        <v>98.27</v>
      </c>
      <c r="AS24" s="168">
        <v>1</v>
      </c>
      <c r="AT24" s="184">
        <v>663.18296999999995</v>
      </c>
      <c r="AU24" s="184">
        <v>663.18296999999995</v>
      </c>
      <c r="AV24" s="184"/>
      <c r="AW24" s="184"/>
      <c r="AX24" s="184"/>
      <c r="AY24" s="165" t="s">
        <v>1414</v>
      </c>
      <c r="AZ24" s="169">
        <v>2.569338182E-2</v>
      </c>
      <c r="BA24" s="169">
        <v>2.3882786570000002E-3</v>
      </c>
    </row>
    <row r="25" spans="1:53" ht="15.75" thickBot="1">
      <c r="A25" s="176">
        <v>11939</v>
      </c>
      <c r="B25" s="176">
        <v>11942</v>
      </c>
      <c r="C25" s="184"/>
      <c r="D25" s="184"/>
      <c r="E25" s="165" t="s">
        <v>1730</v>
      </c>
      <c r="F25" s="194">
        <v>34041911</v>
      </c>
      <c r="G25" s="184" t="s">
        <v>245</v>
      </c>
      <c r="H25" s="184"/>
      <c r="I25" s="184" t="s">
        <v>53</v>
      </c>
      <c r="J25" s="184"/>
      <c r="K25" s="184" t="s">
        <v>257</v>
      </c>
      <c r="L25" s="184" t="s">
        <v>62</v>
      </c>
      <c r="M25" s="184" t="s">
        <v>62</v>
      </c>
      <c r="N25" s="184"/>
      <c r="O25" s="184"/>
      <c r="P25" s="184" t="s">
        <v>298</v>
      </c>
      <c r="Q25" s="184" t="s">
        <v>298</v>
      </c>
      <c r="R25" s="184" t="s">
        <v>298</v>
      </c>
      <c r="S25" s="184" t="s">
        <v>1208</v>
      </c>
      <c r="T25" s="184">
        <v>1.25</v>
      </c>
      <c r="U25" s="184" t="s">
        <v>1430</v>
      </c>
      <c r="V25" s="184">
        <v>5.2999999999999999E-2</v>
      </c>
      <c r="W25" s="184"/>
      <c r="X25" s="184"/>
      <c r="Y25" s="184"/>
      <c r="Z25" s="184">
        <v>6.0699999999999997E-2</v>
      </c>
      <c r="AA25" s="184"/>
      <c r="AB25" s="184" t="s">
        <v>636</v>
      </c>
      <c r="AC25" s="184"/>
      <c r="AD25" s="184" t="s">
        <v>1413</v>
      </c>
      <c r="AE25" s="184" t="s">
        <v>1413</v>
      </c>
      <c r="AF25" s="184" t="s">
        <v>1413</v>
      </c>
      <c r="AG25" s="184"/>
      <c r="AH25" s="184"/>
      <c r="AI25" s="184"/>
      <c r="AJ25" s="184" t="s">
        <v>55</v>
      </c>
      <c r="AK25" s="184" t="s">
        <v>791</v>
      </c>
      <c r="AL25" s="184"/>
      <c r="AM25" s="184" t="s">
        <v>305</v>
      </c>
      <c r="AN25" s="172">
        <v>45565</v>
      </c>
      <c r="AO25" s="174">
        <v>45565</v>
      </c>
      <c r="AP25" s="184"/>
      <c r="AQ25" s="184">
        <v>837542.27</v>
      </c>
      <c r="AR25" s="184">
        <v>99.74</v>
      </c>
      <c r="AS25" s="168">
        <v>1</v>
      </c>
      <c r="AT25" s="184">
        <v>835.36465999999996</v>
      </c>
      <c r="AU25" s="184">
        <v>835.36465999999996</v>
      </c>
      <c r="AV25" s="184"/>
      <c r="AW25" s="184"/>
      <c r="AX25" s="184"/>
      <c r="AY25" s="165" t="s">
        <v>1414</v>
      </c>
      <c r="AZ25" s="169">
        <v>3.2364134996E-2</v>
      </c>
      <c r="BA25" s="169">
        <v>3.008345627E-3</v>
      </c>
    </row>
    <row r="26" spans="1:53" ht="15.75" thickBot="1">
      <c r="A26" s="176">
        <v>7891</v>
      </c>
      <c r="B26" s="176">
        <v>7892</v>
      </c>
      <c r="C26" s="184"/>
      <c r="D26" s="184"/>
      <c r="E26" s="184"/>
      <c r="F26" s="184"/>
      <c r="G26" s="184"/>
      <c r="H26" s="184"/>
      <c r="I26" s="184"/>
      <c r="J26" s="184"/>
      <c r="K26" s="184"/>
      <c r="L26" s="184"/>
      <c r="M26" s="184"/>
      <c r="N26" s="184"/>
      <c r="O26" s="184"/>
      <c r="P26" s="184"/>
      <c r="Q26" s="184"/>
      <c r="R26" s="184"/>
      <c r="S26" s="184"/>
      <c r="T26" s="184"/>
      <c r="U26" s="184"/>
      <c r="V26" s="184"/>
      <c r="W26" s="184"/>
      <c r="X26" s="184"/>
      <c r="Y26" s="184"/>
      <c r="Z26" s="184"/>
      <c r="AA26" s="184"/>
      <c r="AB26" s="184"/>
      <c r="AC26" s="184"/>
      <c r="AD26" s="184"/>
      <c r="AE26" s="184"/>
      <c r="AF26" s="184"/>
      <c r="AG26" s="184"/>
      <c r="AH26" s="184"/>
      <c r="AI26" s="184"/>
      <c r="AJ26" s="184"/>
      <c r="AK26" s="184"/>
      <c r="AL26" s="184"/>
      <c r="AM26" s="184"/>
      <c r="AN26" s="184"/>
      <c r="AO26" s="184"/>
      <c r="AP26" s="184"/>
      <c r="AQ26" s="184"/>
      <c r="AR26" s="184"/>
      <c r="AS26" s="184"/>
      <c r="AT26" s="184"/>
      <c r="AU26" s="184"/>
      <c r="AV26" s="184"/>
      <c r="AW26" s="184"/>
      <c r="AX26" s="184"/>
      <c r="AY26" s="184"/>
      <c r="AZ26" s="184"/>
      <c r="BA26" s="184"/>
    </row>
    <row r="27" spans="1:53" ht="15.75" thickBot="1">
      <c r="A27" s="176">
        <v>7891</v>
      </c>
      <c r="B27" s="176">
        <v>7893</v>
      </c>
      <c r="C27" s="184"/>
      <c r="D27" s="184"/>
      <c r="E27" s="184"/>
      <c r="F27" s="184"/>
      <c r="G27" s="184"/>
      <c r="H27" s="184"/>
      <c r="I27" s="184"/>
      <c r="J27" s="184"/>
      <c r="K27" s="184"/>
      <c r="L27" s="184"/>
      <c r="M27" s="184"/>
      <c r="N27" s="184"/>
      <c r="O27" s="184"/>
      <c r="P27" s="184"/>
      <c r="Q27" s="184"/>
      <c r="R27" s="184"/>
      <c r="S27" s="184"/>
      <c r="T27" s="184"/>
      <c r="U27" s="184"/>
      <c r="V27" s="184"/>
      <c r="W27" s="184"/>
      <c r="X27" s="184"/>
      <c r="Y27" s="184"/>
      <c r="Z27" s="184"/>
      <c r="AA27" s="184"/>
      <c r="AB27" s="184"/>
      <c r="AC27" s="184"/>
      <c r="AD27" s="184"/>
      <c r="AE27" s="184"/>
      <c r="AF27" s="184"/>
      <c r="AG27" s="184"/>
      <c r="AH27" s="184"/>
      <c r="AI27" s="184"/>
      <c r="AJ27" s="184"/>
      <c r="AK27" s="184"/>
      <c r="AL27" s="184"/>
      <c r="AM27" s="184"/>
      <c r="AN27" s="184"/>
      <c r="AO27" s="184"/>
      <c r="AP27" s="184"/>
      <c r="AQ27" s="184"/>
      <c r="AR27" s="184"/>
      <c r="AS27" s="184"/>
      <c r="AT27" s="184"/>
      <c r="AU27" s="184"/>
      <c r="AV27" s="184"/>
      <c r="AW27" s="184"/>
      <c r="AX27" s="184"/>
      <c r="AY27" s="184"/>
      <c r="AZ27" s="184"/>
      <c r="BA27" s="184"/>
    </row>
    <row r="28" spans="1:53" ht="15.75" thickBot="1">
      <c r="A28" s="176">
        <v>7891</v>
      </c>
      <c r="B28" s="176">
        <v>7894</v>
      </c>
      <c r="C28" s="184"/>
      <c r="D28" s="184"/>
      <c r="E28" s="184"/>
      <c r="F28" s="184"/>
      <c r="G28" s="184"/>
      <c r="H28" s="184"/>
      <c r="I28" s="184"/>
      <c r="J28" s="184"/>
      <c r="K28" s="184"/>
      <c r="L28" s="184"/>
      <c r="M28" s="184"/>
      <c r="N28" s="184"/>
      <c r="O28" s="184"/>
      <c r="P28" s="184"/>
      <c r="Q28" s="184"/>
      <c r="R28" s="184"/>
      <c r="S28" s="184"/>
      <c r="T28" s="184"/>
      <c r="U28" s="184"/>
      <c r="V28" s="184"/>
      <c r="W28" s="184"/>
      <c r="X28" s="184"/>
      <c r="Y28" s="184"/>
      <c r="Z28" s="184"/>
      <c r="AA28" s="184"/>
      <c r="AB28" s="184"/>
      <c r="AC28" s="184"/>
      <c r="AD28" s="184"/>
      <c r="AE28" s="184"/>
      <c r="AF28" s="184"/>
      <c r="AG28" s="184"/>
      <c r="AH28" s="184"/>
      <c r="AI28" s="184"/>
      <c r="AJ28" s="184"/>
      <c r="AK28" s="184"/>
      <c r="AL28" s="184"/>
      <c r="AM28" s="184"/>
      <c r="AN28" s="184"/>
      <c r="AO28" s="184"/>
      <c r="AP28" s="184"/>
      <c r="AQ28" s="184"/>
      <c r="AR28" s="184"/>
      <c r="AS28" s="184"/>
      <c r="AT28" s="184"/>
      <c r="AU28" s="184"/>
      <c r="AV28" s="184"/>
      <c r="AW28" s="184"/>
      <c r="AX28" s="184"/>
      <c r="AY28" s="184"/>
      <c r="AZ28" s="184"/>
      <c r="BA28" s="184"/>
    </row>
    <row r="29" spans="1:53" ht="15.75" thickBot="1">
      <c r="A29" s="176">
        <v>7891</v>
      </c>
      <c r="B29" s="176">
        <v>7895</v>
      </c>
      <c r="C29" s="184"/>
      <c r="D29" s="184"/>
      <c r="E29" s="184"/>
      <c r="F29" s="184"/>
      <c r="G29" s="184"/>
      <c r="H29" s="184"/>
      <c r="I29" s="184"/>
      <c r="J29" s="184"/>
      <c r="K29" s="184"/>
      <c r="L29" s="184"/>
      <c r="M29" s="184"/>
      <c r="N29" s="184"/>
      <c r="O29" s="184"/>
      <c r="P29" s="184"/>
      <c r="Q29" s="184"/>
      <c r="R29" s="184"/>
      <c r="S29" s="184"/>
      <c r="T29" s="184"/>
      <c r="U29" s="184"/>
      <c r="V29" s="184"/>
      <c r="W29" s="184"/>
      <c r="X29" s="184"/>
      <c r="Y29" s="184"/>
      <c r="Z29" s="184"/>
      <c r="AA29" s="184"/>
      <c r="AB29" s="184"/>
      <c r="AC29" s="184"/>
      <c r="AD29" s="184"/>
      <c r="AE29" s="184"/>
      <c r="AF29" s="184"/>
      <c r="AG29" s="184"/>
      <c r="AH29" s="184"/>
      <c r="AI29" s="184"/>
      <c r="AJ29" s="184"/>
      <c r="AK29" s="184"/>
      <c r="AL29" s="184"/>
      <c r="AM29" s="184"/>
      <c r="AN29" s="184"/>
      <c r="AO29" s="184"/>
      <c r="AP29" s="184"/>
      <c r="AQ29" s="184"/>
      <c r="AR29" s="184"/>
      <c r="AS29" s="184"/>
      <c r="AT29" s="184"/>
      <c r="AU29" s="184"/>
      <c r="AV29" s="184"/>
      <c r="AW29" s="184"/>
      <c r="AX29" s="184"/>
      <c r="AY29" s="184"/>
      <c r="AZ29" s="184"/>
      <c r="BA29" s="184"/>
    </row>
    <row r="30" spans="1:53" ht="15.75" thickBot="1">
      <c r="A30" s="176">
        <v>7891</v>
      </c>
      <c r="B30" s="176">
        <v>7896</v>
      </c>
      <c r="C30" s="184"/>
      <c r="D30" s="184"/>
      <c r="E30" s="184"/>
      <c r="F30" s="184"/>
      <c r="G30" s="184"/>
      <c r="H30" s="184"/>
      <c r="I30" s="184"/>
      <c r="J30" s="184"/>
      <c r="K30" s="184"/>
      <c r="L30" s="184"/>
      <c r="M30" s="184"/>
      <c r="N30" s="184"/>
      <c r="O30" s="184"/>
      <c r="P30" s="184"/>
      <c r="Q30" s="184"/>
      <c r="R30" s="184"/>
      <c r="S30" s="184"/>
      <c r="T30" s="184"/>
      <c r="U30" s="184"/>
      <c r="V30" s="184"/>
      <c r="W30" s="184"/>
      <c r="X30" s="184"/>
      <c r="Y30" s="184"/>
      <c r="Z30" s="184"/>
      <c r="AA30" s="184"/>
      <c r="AB30" s="184"/>
      <c r="AC30" s="184"/>
      <c r="AD30" s="184"/>
      <c r="AE30" s="184"/>
      <c r="AF30" s="184"/>
      <c r="AG30" s="184"/>
      <c r="AH30" s="184"/>
      <c r="AI30" s="184"/>
      <c r="AJ30" s="184"/>
      <c r="AK30" s="184"/>
      <c r="AL30" s="184"/>
      <c r="AM30" s="184"/>
      <c r="AN30" s="184"/>
      <c r="AO30" s="184"/>
      <c r="AP30" s="184"/>
      <c r="AQ30" s="184"/>
      <c r="AR30" s="184"/>
      <c r="AS30" s="184"/>
      <c r="AT30" s="184"/>
      <c r="AU30" s="184"/>
      <c r="AV30" s="184"/>
      <c r="AW30" s="184"/>
      <c r="AX30" s="184"/>
      <c r="AY30" s="184"/>
      <c r="AZ30" s="184"/>
      <c r="BA30" s="184"/>
    </row>
    <row r="31" spans="1:53" ht="15.75" thickBot="1">
      <c r="A31" s="176">
        <v>7891</v>
      </c>
      <c r="B31" s="176">
        <v>7898</v>
      </c>
      <c r="C31" s="184"/>
      <c r="D31" s="184"/>
      <c r="E31" s="184"/>
      <c r="F31" s="184"/>
      <c r="G31" s="184"/>
      <c r="H31" s="184"/>
      <c r="I31" s="184"/>
      <c r="J31" s="184"/>
      <c r="K31" s="184"/>
      <c r="L31" s="184"/>
      <c r="M31" s="184"/>
      <c r="N31" s="184"/>
      <c r="O31" s="184"/>
      <c r="P31" s="184"/>
      <c r="Q31" s="184"/>
      <c r="R31" s="184"/>
      <c r="S31" s="184"/>
      <c r="T31" s="184"/>
      <c r="U31" s="184"/>
      <c r="V31" s="184"/>
      <c r="W31" s="184"/>
      <c r="X31" s="184"/>
      <c r="Y31" s="184"/>
      <c r="Z31" s="184"/>
      <c r="AA31" s="184"/>
      <c r="AB31" s="184"/>
      <c r="AC31" s="184"/>
      <c r="AD31" s="184"/>
      <c r="AE31" s="184"/>
      <c r="AF31" s="184"/>
      <c r="AG31" s="184"/>
      <c r="AH31" s="184"/>
      <c r="AI31" s="184"/>
      <c r="AJ31" s="184"/>
      <c r="AK31" s="184"/>
      <c r="AL31" s="184"/>
      <c r="AM31" s="184"/>
      <c r="AN31" s="184"/>
      <c r="AO31" s="184"/>
      <c r="AP31" s="184"/>
      <c r="AQ31" s="184"/>
      <c r="AR31" s="184"/>
      <c r="AS31" s="184"/>
      <c r="AT31" s="184"/>
      <c r="AU31" s="184"/>
      <c r="AV31" s="184"/>
      <c r="AW31" s="184"/>
      <c r="AX31" s="184"/>
      <c r="AY31" s="184"/>
      <c r="AZ31" s="184"/>
      <c r="BA31" s="184"/>
    </row>
    <row r="32" spans="1:53" ht="15.75" thickBot="1">
      <c r="A32" s="176">
        <v>7891</v>
      </c>
      <c r="B32" s="176">
        <v>7899</v>
      </c>
      <c r="C32" s="184"/>
      <c r="D32" s="184"/>
      <c r="E32" s="184"/>
      <c r="F32" s="184"/>
      <c r="G32" s="184"/>
      <c r="H32" s="184"/>
      <c r="I32" s="184"/>
      <c r="J32" s="184"/>
      <c r="K32" s="184"/>
      <c r="L32" s="184"/>
      <c r="M32" s="184"/>
      <c r="N32" s="184"/>
      <c r="O32" s="184"/>
      <c r="P32" s="184"/>
      <c r="Q32" s="184"/>
      <c r="R32" s="184"/>
      <c r="S32" s="184"/>
      <c r="T32" s="184"/>
      <c r="U32" s="184"/>
      <c r="V32" s="184"/>
      <c r="W32" s="184"/>
      <c r="X32" s="184"/>
      <c r="Y32" s="184"/>
      <c r="Z32" s="184"/>
      <c r="AA32" s="184"/>
      <c r="AB32" s="184"/>
      <c r="AC32" s="184"/>
      <c r="AD32" s="184"/>
      <c r="AE32" s="184"/>
      <c r="AF32" s="184"/>
      <c r="AG32" s="184"/>
      <c r="AH32" s="184"/>
      <c r="AI32" s="184"/>
      <c r="AJ32" s="184"/>
      <c r="AK32" s="184"/>
      <c r="AL32" s="184"/>
      <c r="AM32" s="184"/>
      <c r="AN32" s="184"/>
      <c r="AO32" s="184"/>
      <c r="AP32" s="184"/>
      <c r="AQ32" s="184"/>
      <c r="AR32" s="184"/>
      <c r="AS32" s="184"/>
      <c r="AT32" s="184"/>
      <c r="AU32" s="184"/>
      <c r="AV32" s="184"/>
      <c r="AW32" s="184"/>
      <c r="AX32" s="184"/>
      <c r="AY32" s="184"/>
      <c r="AZ32" s="184"/>
      <c r="BA32" s="184"/>
    </row>
    <row r="33" spans="1:53" ht="15.75" thickBot="1">
      <c r="A33" s="176">
        <v>7891</v>
      </c>
      <c r="B33" s="176">
        <v>7900</v>
      </c>
      <c r="C33" s="184"/>
      <c r="D33" s="184"/>
      <c r="E33" s="184"/>
      <c r="F33" s="184"/>
      <c r="G33" s="184"/>
      <c r="H33" s="184"/>
      <c r="I33" s="184"/>
      <c r="J33" s="184"/>
      <c r="K33" s="184"/>
      <c r="L33" s="184"/>
      <c r="M33" s="184"/>
      <c r="N33" s="184"/>
      <c r="O33" s="184"/>
      <c r="P33" s="184"/>
      <c r="Q33" s="184"/>
      <c r="R33" s="184"/>
      <c r="S33" s="184"/>
      <c r="T33" s="184"/>
      <c r="U33" s="184"/>
      <c r="V33" s="184"/>
      <c r="W33" s="184"/>
      <c r="X33" s="184"/>
      <c r="Y33" s="184"/>
      <c r="Z33" s="184"/>
      <c r="AA33" s="184"/>
      <c r="AB33" s="184"/>
      <c r="AC33" s="184"/>
      <c r="AD33" s="184"/>
      <c r="AE33" s="184"/>
      <c r="AF33" s="184"/>
      <c r="AG33" s="184"/>
      <c r="AH33" s="184"/>
      <c r="AI33" s="184"/>
      <c r="AJ33" s="184"/>
      <c r="AK33" s="184"/>
      <c r="AL33" s="184"/>
      <c r="AM33" s="184"/>
      <c r="AN33" s="184"/>
      <c r="AO33" s="184"/>
      <c r="AP33" s="184"/>
      <c r="AQ33" s="184"/>
      <c r="AR33" s="184"/>
      <c r="AS33" s="184"/>
      <c r="AT33" s="184"/>
      <c r="AU33" s="184"/>
      <c r="AV33" s="184"/>
      <c r="AW33" s="184"/>
      <c r="AX33" s="184"/>
      <c r="AY33" s="184"/>
      <c r="AZ33" s="184"/>
      <c r="BA33" s="184"/>
    </row>
    <row r="34" spans="1:53" ht="15.75" thickBot="1">
      <c r="A34" s="176">
        <v>7891</v>
      </c>
      <c r="B34" s="176">
        <v>7901</v>
      </c>
      <c r="C34" s="184"/>
      <c r="D34" s="184"/>
      <c r="E34" s="184"/>
      <c r="F34" s="184"/>
      <c r="G34" s="184"/>
      <c r="H34" s="184"/>
      <c r="I34" s="184"/>
      <c r="J34" s="184"/>
      <c r="K34" s="184"/>
      <c r="L34" s="184"/>
      <c r="M34" s="184"/>
      <c r="N34" s="184"/>
      <c r="O34" s="184"/>
      <c r="P34" s="184"/>
      <c r="Q34" s="184"/>
      <c r="R34" s="184"/>
      <c r="S34" s="184"/>
      <c r="T34" s="184"/>
      <c r="U34" s="184"/>
      <c r="V34" s="184"/>
      <c r="W34" s="184"/>
      <c r="X34" s="184"/>
      <c r="Y34" s="184"/>
      <c r="Z34" s="184"/>
      <c r="AA34" s="184"/>
      <c r="AB34" s="184"/>
      <c r="AC34" s="184"/>
      <c r="AD34" s="184"/>
      <c r="AE34" s="184"/>
      <c r="AF34" s="184"/>
      <c r="AG34" s="184"/>
      <c r="AH34" s="184"/>
      <c r="AI34" s="184"/>
      <c r="AJ34" s="184"/>
      <c r="AK34" s="184"/>
      <c r="AL34" s="184"/>
      <c r="AM34" s="184"/>
      <c r="AN34" s="184"/>
      <c r="AO34" s="184"/>
      <c r="AP34" s="184"/>
      <c r="AQ34" s="184"/>
      <c r="AR34" s="184"/>
      <c r="AS34" s="184"/>
      <c r="AT34" s="184"/>
      <c r="AU34" s="184"/>
      <c r="AV34" s="184"/>
      <c r="AW34" s="184"/>
      <c r="AX34" s="184"/>
      <c r="AY34" s="184"/>
      <c r="AZ34" s="184"/>
      <c r="BA34" s="184"/>
    </row>
    <row r="35" spans="1:53" ht="15.75" thickBot="1">
      <c r="A35" s="176">
        <v>7891</v>
      </c>
      <c r="B35" s="176">
        <v>7902</v>
      </c>
      <c r="C35" s="184"/>
      <c r="D35" s="184"/>
      <c r="E35" s="184"/>
      <c r="F35" s="184"/>
      <c r="G35" s="184"/>
      <c r="H35" s="184"/>
      <c r="I35" s="184"/>
      <c r="J35" s="184"/>
      <c r="K35" s="184"/>
      <c r="L35" s="184"/>
      <c r="M35" s="184"/>
      <c r="N35" s="184"/>
      <c r="O35" s="184"/>
      <c r="P35" s="184"/>
      <c r="Q35" s="184"/>
      <c r="R35" s="184"/>
      <c r="S35" s="184"/>
      <c r="T35" s="184"/>
      <c r="U35" s="184"/>
      <c r="V35" s="184"/>
      <c r="W35" s="184"/>
      <c r="X35" s="184"/>
      <c r="Y35" s="184"/>
      <c r="Z35" s="184"/>
      <c r="AA35" s="184"/>
      <c r="AB35" s="184"/>
      <c r="AC35" s="184"/>
      <c r="AD35" s="184"/>
      <c r="AE35" s="184"/>
      <c r="AF35" s="184"/>
      <c r="AG35" s="184"/>
      <c r="AH35" s="184"/>
      <c r="AI35" s="184"/>
      <c r="AJ35" s="184"/>
      <c r="AK35" s="184"/>
      <c r="AL35" s="184"/>
      <c r="AM35" s="184"/>
      <c r="AN35" s="184"/>
      <c r="AO35" s="184"/>
      <c r="AP35" s="184"/>
      <c r="AQ35" s="184"/>
      <c r="AR35" s="184"/>
      <c r="AS35" s="184"/>
      <c r="AT35" s="184"/>
      <c r="AU35" s="184"/>
      <c r="AV35" s="184"/>
      <c r="AW35" s="184"/>
      <c r="AX35" s="184"/>
      <c r="AY35" s="184"/>
      <c r="AZ35" s="184"/>
      <c r="BA35" s="184"/>
    </row>
    <row r="36" spans="1:53" ht="15.75" thickBot="1">
      <c r="A36" s="176">
        <v>11925</v>
      </c>
      <c r="B36" s="176">
        <v>11926</v>
      </c>
      <c r="C36" s="184"/>
      <c r="D36" s="184"/>
      <c r="E36" s="184"/>
      <c r="F36" s="184"/>
      <c r="G36" s="184"/>
      <c r="H36" s="184"/>
      <c r="I36" s="184"/>
      <c r="J36" s="184"/>
      <c r="K36" s="184"/>
      <c r="L36" s="184"/>
      <c r="M36" s="184"/>
      <c r="N36" s="184"/>
      <c r="O36" s="184"/>
      <c r="P36" s="184"/>
      <c r="Q36" s="184"/>
      <c r="R36" s="184"/>
      <c r="S36" s="184"/>
      <c r="T36" s="184"/>
      <c r="U36" s="184"/>
      <c r="V36" s="184"/>
      <c r="W36" s="184"/>
      <c r="X36" s="184"/>
      <c r="Y36" s="184"/>
      <c r="Z36" s="184"/>
      <c r="AA36" s="184"/>
      <c r="AB36" s="184"/>
      <c r="AC36" s="184"/>
      <c r="AD36" s="184"/>
      <c r="AE36" s="184"/>
      <c r="AF36" s="184"/>
      <c r="AG36" s="184"/>
      <c r="AH36" s="184"/>
      <c r="AI36" s="184"/>
      <c r="AJ36" s="184"/>
      <c r="AK36" s="184"/>
      <c r="AL36" s="184"/>
      <c r="AM36" s="184"/>
      <c r="AN36" s="184"/>
      <c r="AO36" s="184"/>
      <c r="AP36" s="184"/>
      <c r="AQ36" s="184"/>
      <c r="AR36" s="184"/>
      <c r="AS36" s="184"/>
      <c r="AT36" s="184"/>
      <c r="AU36" s="184"/>
      <c r="AV36" s="184"/>
      <c r="AW36" s="184"/>
      <c r="AX36" s="184"/>
      <c r="AY36" s="184"/>
      <c r="AZ36" s="184"/>
      <c r="BA36" s="184"/>
    </row>
    <row r="37" spans="1:53" ht="15.75" thickBot="1">
      <c r="A37" s="176">
        <v>11925</v>
      </c>
      <c r="B37" s="176">
        <v>11927</v>
      </c>
      <c r="C37" s="184"/>
      <c r="D37" s="184"/>
      <c r="E37" s="184"/>
      <c r="F37" s="184"/>
      <c r="G37" s="184"/>
      <c r="H37" s="184"/>
      <c r="I37" s="184"/>
      <c r="J37" s="184"/>
      <c r="K37" s="184"/>
      <c r="L37" s="184"/>
      <c r="M37" s="184"/>
      <c r="N37" s="184"/>
      <c r="O37" s="184"/>
      <c r="P37" s="184"/>
      <c r="Q37" s="184"/>
      <c r="R37" s="184"/>
      <c r="S37" s="184"/>
      <c r="T37" s="184"/>
      <c r="U37" s="184"/>
      <c r="V37" s="184"/>
      <c r="W37" s="184"/>
      <c r="X37" s="184"/>
      <c r="Y37" s="184"/>
      <c r="Z37" s="184"/>
      <c r="AA37" s="184"/>
      <c r="AB37" s="184"/>
      <c r="AC37" s="184"/>
      <c r="AD37" s="184"/>
      <c r="AE37" s="184"/>
      <c r="AF37" s="184"/>
      <c r="AG37" s="184"/>
      <c r="AH37" s="184"/>
      <c r="AI37" s="184"/>
      <c r="AJ37" s="184"/>
      <c r="AK37" s="184"/>
      <c r="AL37" s="184"/>
      <c r="AM37" s="184"/>
      <c r="AN37" s="184"/>
      <c r="AO37" s="184"/>
      <c r="AP37" s="184"/>
      <c r="AQ37" s="184"/>
      <c r="AR37" s="184"/>
      <c r="AS37" s="184"/>
      <c r="AT37" s="184"/>
      <c r="AU37" s="184"/>
      <c r="AV37" s="184"/>
      <c r="AW37" s="184"/>
      <c r="AX37" s="184"/>
      <c r="AY37" s="184"/>
      <c r="AZ37" s="184"/>
      <c r="BA37" s="184"/>
    </row>
    <row r="38" spans="1:53" ht="15.75" thickBot="1">
      <c r="A38" s="176">
        <v>11925</v>
      </c>
      <c r="B38" s="176">
        <v>11929</v>
      </c>
      <c r="C38" s="184"/>
      <c r="D38" s="184"/>
      <c r="E38" s="184"/>
      <c r="F38" s="184"/>
      <c r="G38" s="184"/>
      <c r="H38" s="184"/>
      <c r="I38" s="184"/>
      <c r="J38" s="184"/>
      <c r="K38" s="184"/>
      <c r="L38" s="184"/>
      <c r="M38" s="184"/>
      <c r="N38" s="184"/>
      <c r="O38" s="184"/>
      <c r="P38" s="184"/>
      <c r="Q38" s="184"/>
      <c r="R38" s="184"/>
      <c r="S38" s="184"/>
      <c r="T38" s="184"/>
      <c r="U38" s="184"/>
      <c r="V38" s="184"/>
      <c r="W38" s="184"/>
      <c r="X38" s="184"/>
      <c r="Y38" s="184"/>
      <c r="Z38" s="184"/>
      <c r="AA38" s="184"/>
      <c r="AB38" s="184"/>
      <c r="AC38" s="184"/>
      <c r="AD38" s="184"/>
      <c r="AE38" s="184"/>
      <c r="AF38" s="184"/>
      <c r="AG38" s="184"/>
      <c r="AH38" s="184"/>
      <c r="AI38" s="184"/>
      <c r="AJ38" s="184"/>
      <c r="AK38" s="184"/>
      <c r="AL38" s="184"/>
      <c r="AM38" s="184"/>
      <c r="AN38" s="184"/>
      <c r="AO38" s="184"/>
      <c r="AP38" s="184"/>
      <c r="AQ38" s="184"/>
      <c r="AR38" s="184"/>
      <c r="AS38" s="184"/>
      <c r="AT38" s="184"/>
      <c r="AU38" s="184"/>
      <c r="AV38" s="184"/>
      <c r="AW38" s="184"/>
      <c r="AX38" s="184"/>
      <c r="AY38" s="184"/>
      <c r="AZ38" s="184"/>
      <c r="BA38" s="184"/>
    </row>
    <row r="39" spans="1:53" ht="15.75" thickBot="1">
      <c r="A39" s="176">
        <v>11925</v>
      </c>
      <c r="B39" s="176">
        <v>11930</v>
      </c>
      <c r="C39" s="184"/>
      <c r="D39" s="184"/>
      <c r="E39" s="184"/>
      <c r="F39" s="184"/>
      <c r="G39" s="184"/>
      <c r="H39" s="184"/>
      <c r="I39" s="184"/>
      <c r="J39" s="184"/>
      <c r="K39" s="184"/>
      <c r="L39" s="184"/>
      <c r="M39" s="184"/>
      <c r="N39" s="184"/>
      <c r="O39" s="184"/>
      <c r="P39" s="184"/>
      <c r="Q39" s="184"/>
      <c r="R39" s="184"/>
      <c r="S39" s="184"/>
      <c r="T39" s="184"/>
      <c r="U39" s="184"/>
      <c r="V39" s="184"/>
      <c r="W39" s="184"/>
      <c r="X39" s="184"/>
      <c r="Y39" s="184"/>
      <c r="Z39" s="184"/>
      <c r="AA39" s="184"/>
      <c r="AB39" s="184"/>
      <c r="AC39" s="184"/>
      <c r="AD39" s="184"/>
      <c r="AE39" s="184"/>
      <c r="AF39" s="184"/>
      <c r="AG39" s="184"/>
      <c r="AH39" s="184"/>
      <c r="AI39" s="184"/>
      <c r="AJ39" s="184"/>
      <c r="AK39" s="184"/>
      <c r="AL39" s="184"/>
      <c r="AM39" s="184"/>
      <c r="AN39" s="184"/>
      <c r="AO39" s="184"/>
      <c r="AP39" s="184"/>
      <c r="AQ39" s="184"/>
      <c r="AR39" s="184"/>
      <c r="AS39" s="184"/>
      <c r="AT39" s="184"/>
      <c r="AU39" s="184"/>
      <c r="AV39" s="184"/>
      <c r="AW39" s="184"/>
      <c r="AX39" s="184"/>
      <c r="AY39" s="184"/>
      <c r="AZ39" s="184"/>
      <c r="BA39" s="184"/>
    </row>
    <row r="40" spans="1:53" ht="15.75" thickBot="1">
      <c r="A40" s="176">
        <v>11925</v>
      </c>
      <c r="B40" s="176">
        <v>11931</v>
      </c>
      <c r="C40" s="184"/>
      <c r="D40" s="184"/>
      <c r="E40" s="184"/>
      <c r="F40" s="184"/>
      <c r="G40" s="184"/>
      <c r="H40" s="184"/>
      <c r="I40" s="184"/>
      <c r="J40" s="184"/>
      <c r="K40" s="184"/>
      <c r="L40" s="184"/>
      <c r="M40" s="184"/>
      <c r="N40" s="184"/>
      <c r="O40" s="184"/>
      <c r="P40" s="184"/>
      <c r="Q40" s="184"/>
      <c r="R40" s="184"/>
      <c r="S40" s="184"/>
      <c r="T40" s="184"/>
      <c r="U40" s="184"/>
      <c r="V40" s="184"/>
      <c r="W40" s="184"/>
      <c r="X40" s="184"/>
      <c r="Y40" s="184"/>
      <c r="Z40" s="184"/>
      <c r="AA40" s="184"/>
      <c r="AB40" s="184"/>
      <c r="AC40" s="184"/>
      <c r="AD40" s="184"/>
      <c r="AE40" s="184"/>
      <c r="AF40" s="184"/>
      <c r="AG40" s="184"/>
      <c r="AH40" s="184"/>
      <c r="AI40" s="184"/>
      <c r="AJ40" s="184"/>
      <c r="AK40" s="184"/>
      <c r="AL40" s="184"/>
      <c r="AM40" s="184"/>
      <c r="AN40" s="184"/>
      <c r="AO40" s="184"/>
      <c r="AP40" s="184"/>
      <c r="AQ40" s="184"/>
      <c r="AR40" s="184"/>
      <c r="AS40" s="184"/>
      <c r="AT40" s="184"/>
      <c r="AU40" s="184"/>
      <c r="AV40" s="184"/>
      <c r="AW40" s="184"/>
      <c r="AX40" s="184"/>
      <c r="AY40" s="184"/>
      <c r="AZ40" s="184"/>
      <c r="BA40" s="184"/>
    </row>
    <row r="41" spans="1:53" ht="15.75" thickBot="1">
      <c r="A41" s="176">
        <v>11925</v>
      </c>
      <c r="B41" s="176">
        <v>11932</v>
      </c>
      <c r="C41" s="184"/>
      <c r="D41" s="184"/>
      <c r="E41" s="184"/>
      <c r="F41" s="184"/>
      <c r="G41" s="184"/>
      <c r="H41" s="184"/>
      <c r="I41" s="184"/>
      <c r="J41" s="184"/>
      <c r="K41" s="184"/>
      <c r="L41" s="184"/>
      <c r="M41" s="184"/>
      <c r="N41" s="184"/>
      <c r="O41" s="184"/>
      <c r="P41" s="184"/>
      <c r="Q41" s="184"/>
      <c r="R41" s="184"/>
      <c r="S41" s="184"/>
      <c r="T41" s="184"/>
      <c r="U41" s="184"/>
      <c r="V41" s="184"/>
      <c r="W41" s="184"/>
      <c r="X41" s="184"/>
      <c r="Y41" s="184"/>
      <c r="Z41" s="184"/>
      <c r="AA41" s="184"/>
      <c r="AB41" s="184"/>
      <c r="AC41" s="184"/>
      <c r="AD41" s="184"/>
      <c r="AE41" s="184"/>
      <c r="AF41" s="184"/>
      <c r="AG41" s="184"/>
      <c r="AH41" s="184"/>
      <c r="AI41" s="184"/>
      <c r="AJ41" s="184"/>
      <c r="AK41" s="184"/>
      <c r="AL41" s="184"/>
      <c r="AM41" s="184"/>
      <c r="AN41" s="184"/>
      <c r="AO41" s="184"/>
      <c r="AP41" s="184"/>
      <c r="AQ41" s="184"/>
      <c r="AR41" s="184"/>
      <c r="AS41" s="184"/>
      <c r="AT41" s="184"/>
      <c r="AU41" s="184"/>
      <c r="AV41" s="184"/>
      <c r="AW41" s="184"/>
      <c r="AX41" s="184"/>
      <c r="AY41" s="184"/>
      <c r="AZ41" s="184"/>
      <c r="BA41" s="184"/>
    </row>
    <row r="42" spans="1:53" ht="15.75" thickBot="1">
      <c r="A42" s="176">
        <v>11925</v>
      </c>
      <c r="B42" s="176">
        <v>11933</v>
      </c>
      <c r="C42" s="184"/>
      <c r="D42" s="184"/>
      <c r="E42" s="184"/>
      <c r="F42" s="184"/>
      <c r="G42" s="184"/>
      <c r="H42" s="184"/>
      <c r="I42" s="184"/>
      <c r="J42" s="184"/>
      <c r="K42" s="184"/>
      <c r="L42" s="184"/>
      <c r="M42" s="184"/>
      <c r="N42" s="184"/>
      <c r="O42" s="184"/>
      <c r="P42" s="184"/>
      <c r="Q42" s="184"/>
      <c r="R42" s="184"/>
      <c r="S42" s="184"/>
      <c r="T42" s="184"/>
      <c r="U42" s="184"/>
      <c r="V42" s="184"/>
      <c r="W42" s="184"/>
      <c r="X42" s="184"/>
      <c r="Y42" s="184"/>
      <c r="Z42" s="184"/>
      <c r="AA42" s="184"/>
      <c r="AB42" s="184"/>
      <c r="AC42" s="184"/>
      <c r="AD42" s="184"/>
      <c r="AE42" s="184"/>
      <c r="AF42" s="184"/>
      <c r="AG42" s="184"/>
      <c r="AH42" s="184"/>
      <c r="AI42" s="184"/>
      <c r="AJ42" s="184"/>
      <c r="AK42" s="184"/>
      <c r="AL42" s="184"/>
      <c r="AM42" s="184"/>
      <c r="AN42" s="184"/>
      <c r="AO42" s="184"/>
      <c r="AP42" s="184"/>
      <c r="AQ42" s="184"/>
      <c r="AR42" s="184"/>
      <c r="AS42" s="184"/>
      <c r="AT42" s="184"/>
      <c r="AU42" s="184"/>
      <c r="AV42" s="184"/>
      <c r="AW42" s="184"/>
      <c r="AX42" s="184"/>
      <c r="AY42" s="184"/>
      <c r="AZ42" s="184"/>
      <c r="BA42" s="184"/>
    </row>
    <row r="43" spans="1:53" ht="15.75" thickBot="1">
      <c r="A43" s="176">
        <v>11925</v>
      </c>
      <c r="B43" s="176">
        <v>11934</v>
      </c>
      <c r="C43" s="184"/>
      <c r="D43" s="184"/>
      <c r="E43" s="184"/>
      <c r="F43" s="184"/>
      <c r="G43" s="184"/>
      <c r="H43" s="184"/>
      <c r="I43" s="184"/>
      <c r="J43" s="184"/>
      <c r="K43" s="184"/>
      <c r="L43" s="184"/>
      <c r="M43" s="184"/>
      <c r="N43" s="184"/>
      <c r="O43" s="184"/>
      <c r="P43" s="184"/>
      <c r="Q43" s="184"/>
      <c r="R43" s="184"/>
      <c r="S43" s="184"/>
      <c r="T43" s="184"/>
      <c r="U43" s="184"/>
      <c r="V43" s="184"/>
      <c r="W43" s="184"/>
      <c r="X43" s="184"/>
      <c r="Y43" s="184"/>
      <c r="Z43" s="184"/>
      <c r="AA43" s="184"/>
      <c r="AB43" s="184"/>
      <c r="AC43" s="184"/>
      <c r="AD43" s="184"/>
      <c r="AE43" s="184"/>
      <c r="AF43" s="184"/>
      <c r="AG43" s="184"/>
      <c r="AH43" s="184"/>
      <c r="AI43" s="184"/>
      <c r="AJ43" s="184"/>
      <c r="AK43" s="184"/>
      <c r="AL43" s="184"/>
      <c r="AM43" s="184"/>
      <c r="AN43" s="184"/>
      <c r="AO43" s="184"/>
      <c r="AP43" s="184"/>
      <c r="AQ43" s="184"/>
      <c r="AR43" s="184"/>
      <c r="AS43" s="184"/>
      <c r="AT43" s="184"/>
      <c r="AU43" s="184"/>
      <c r="AV43" s="184"/>
      <c r="AW43" s="184"/>
      <c r="AX43" s="184"/>
      <c r="AY43" s="184"/>
      <c r="AZ43" s="184"/>
      <c r="BA43" s="184"/>
    </row>
    <row r="44" spans="1:53" ht="15.75" thickBot="1">
      <c r="A44" s="176">
        <v>11925</v>
      </c>
      <c r="B44" s="176">
        <v>11935</v>
      </c>
      <c r="C44" s="184"/>
      <c r="D44" s="184"/>
      <c r="E44" s="184"/>
      <c r="F44" s="184"/>
      <c r="G44" s="184"/>
      <c r="H44" s="184"/>
      <c r="I44" s="184"/>
      <c r="J44" s="184"/>
      <c r="K44" s="184"/>
      <c r="L44" s="184"/>
      <c r="M44" s="184"/>
      <c r="N44" s="184"/>
      <c r="O44" s="184"/>
      <c r="P44" s="184"/>
      <c r="Q44" s="184"/>
      <c r="R44" s="184"/>
      <c r="S44" s="184"/>
      <c r="T44" s="184"/>
      <c r="U44" s="184"/>
      <c r="V44" s="184"/>
      <c r="W44" s="184"/>
      <c r="X44" s="184"/>
      <c r="Y44" s="184"/>
      <c r="Z44" s="184"/>
      <c r="AA44" s="184"/>
      <c r="AB44" s="184"/>
      <c r="AC44" s="184"/>
      <c r="AD44" s="184"/>
      <c r="AE44" s="184"/>
      <c r="AF44" s="184"/>
      <c r="AG44" s="184"/>
      <c r="AH44" s="184"/>
      <c r="AI44" s="184"/>
      <c r="AJ44" s="184"/>
      <c r="AK44" s="184"/>
      <c r="AL44" s="184"/>
      <c r="AM44" s="184"/>
      <c r="AN44" s="184"/>
      <c r="AO44" s="184"/>
      <c r="AP44" s="184"/>
      <c r="AQ44" s="184"/>
      <c r="AR44" s="184"/>
      <c r="AS44" s="184"/>
      <c r="AT44" s="184"/>
      <c r="AU44" s="184"/>
      <c r="AV44" s="184"/>
      <c r="AW44" s="184"/>
      <c r="AX44" s="184"/>
      <c r="AY44" s="184"/>
      <c r="AZ44" s="184"/>
      <c r="BA44" s="184"/>
    </row>
    <row r="45" spans="1:53" ht="15.75" thickBot="1">
      <c r="A45" s="176">
        <v>11925</v>
      </c>
      <c r="B45" s="176">
        <v>11936</v>
      </c>
      <c r="C45" s="184"/>
      <c r="D45" s="184"/>
      <c r="E45" s="184"/>
      <c r="F45" s="184"/>
      <c r="G45" s="184"/>
      <c r="H45" s="184"/>
      <c r="I45" s="184"/>
      <c r="J45" s="184"/>
      <c r="K45" s="184"/>
      <c r="L45" s="184"/>
      <c r="M45" s="184"/>
      <c r="N45" s="184"/>
      <c r="O45" s="184"/>
      <c r="P45" s="184"/>
      <c r="Q45" s="184"/>
      <c r="R45" s="184"/>
      <c r="S45" s="184"/>
      <c r="T45" s="184"/>
      <c r="U45" s="184"/>
      <c r="V45" s="184"/>
      <c r="W45" s="184"/>
      <c r="X45" s="184"/>
      <c r="Y45" s="184"/>
      <c r="Z45" s="184"/>
      <c r="AA45" s="184"/>
      <c r="AB45" s="184"/>
      <c r="AC45" s="184"/>
      <c r="AD45" s="184"/>
      <c r="AE45" s="184"/>
      <c r="AF45" s="184"/>
      <c r="AG45" s="184"/>
      <c r="AH45" s="184"/>
      <c r="AI45" s="184"/>
      <c r="AJ45" s="184"/>
      <c r="AK45" s="184"/>
      <c r="AL45" s="184"/>
      <c r="AM45" s="184"/>
      <c r="AN45" s="184"/>
      <c r="AO45" s="184"/>
      <c r="AP45" s="184"/>
      <c r="AQ45" s="184"/>
      <c r="AR45" s="184"/>
      <c r="AS45" s="184"/>
      <c r="AT45" s="184"/>
      <c r="AU45" s="184"/>
      <c r="AV45" s="184"/>
      <c r="AW45" s="184"/>
      <c r="AX45" s="184"/>
      <c r="AY45" s="184"/>
      <c r="AZ45" s="184"/>
      <c r="BA45" s="184"/>
    </row>
    <row r="46" spans="1:53" ht="15.75" thickBot="1">
      <c r="A46" s="176">
        <v>11925</v>
      </c>
      <c r="B46" s="176">
        <v>11937</v>
      </c>
      <c r="C46" s="184"/>
      <c r="D46" s="184"/>
      <c r="E46" s="184"/>
      <c r="F46" s="184"/>
      <c r="G46" s="184"/>
      <c r="H46" s="184"/>
      <c r="I46" s="184"/>
      <c r="J46" s="184"/>
      <c r="K46" s="184"/>
      <c r="L46" s="184"/>
      <c r="M46" s="184"/>
      <c r="N46" s="184"/>
      <c r="O46" s="184"/>
      <c r="P46" s="184"/>
      <c r="Q46" s="184"/>
      <c r="R46" s="184"/>
      <c r="S46" s="184"/>
      <c r="T46" s="184"/>
      <c r="U46" s="184"/>
      <c r="V46" s="184"/>
      <c r="W46" s="184"/>
      <c r="X46" s="184"/>
      <c r="Y46" s="184"/>
      <c r="Z46" s="184"/>
      <c r="AA46" s="184"/>
      <c r="AB46" s="184"/>
      <c r="AC46" s="184"/>
      <c r="AD46" s="184"/>
      <c r="AE46" s="184"/>
      <c r="AF46" s="184"/>
      <c r="AG46" s="184"/>
      <c r="AH46" s="184"/>
      <c r="AI46" s="184"/>
      <c r="AJ46" s="184"/>
      <c r="AK46" s="184"/>
      <c r="AL46" s="184"/>
      <c r="AM46" s="184"/>
      <c r="AN46" s="184"/>
      <c r="AO46" s="184"/>
      <c r="AP46" s="184"/>
      <c r="AQ46" s="184"/>
      <c r="AR46" s="184"/>
      <c r="AS46" s="184"/>
      <c r="AT46" s="184"/>
      <c r="AU46" s="184"/>
      <c r="AV46" s="184"/>
      <c r="AW46" s="184"/>
      <c r="AX46" s="184"/>
      <c r="AY46" s="184"/>
      <c r="AZ46" s="184"/>
      <c r="BA46" s="184"/>
    </row>
    <row r="47" spans="1:53" ht="15.75" thickBot="1">
      <c r="A47" s="176">
        <v>11939</v>
      </c>
      <c r="B47" s="176">
        <v>11943</v>
      </c>
      <c r="C47" s="184"/>
      <c r="D47" s="184"/>
      <c r="E47" s="184"/>
      <c r="F47" s="184"/>
      <c r="G47" s="184"/>
      <c r="H47" s="184"/>
      <c r="I47" s="184"/>
      <c r="J47" s="184"/>
      <c r="K47" s="184"/>
      <c r="L47" s="184"/>
      <c r="M47" s="184"/>
      <c r="N47" s="184"/>
      <c r="O47" s="184"/>
      <c r="P47" s="184"/>
      <c r="Q47" s="184"/>
      <c r="R47" s="184"/>
      <c r="S47" s="184"/>
      <c r="T47" s="184"/>
      <c r="U47" s="184"/>
      <c r="V47" s="184"/>
      <c r="W47" s="184"/>
      <c r="X47" s="184"/>
      <c r="Y47" s="184"/>
      <c r="Z47" s="184"/>
      <c r="AA47" s="184"/>
      <c r="AB47" s="184"/>
      <c r="AC47" s="184"/>
      <c r="AD47" s="184"/>
      <c r="AE47" s="184"/>
      <c r="AF47" s="184"/>
      <c r="AG47" s="184"/>
      <c r="AH47" s="184"/>
      <c r="AI47" s="184"/>
      <c r="AJ47" s="184"/>
      <c r="AK47" s="184"/>
      <c r="AL47" s="184"/>
      <c r="AM47" s="184"/>
      <c r="AN47" s="184"/>
      <c r="AO47" s="184"/>
      <c r="AP47" s="184"/>
      <c r="AQ47" s="184"/>
      <c r="AR47" s="184"/>
      <c r="AS47" s="184"/>
      <c r="AT47" s="184"/>
      <c r="AU47" s="184"/>
      <c r="AV47" s="184"/>
      <c r="AW47" s="184"/>
      <c r="AX47" s="184"/>
      <c r="AY47" s="184"/>
      <c r="AZ47" s="184"/>
      <c r="BA47" s="184"/>
    </row>
    <row r="48" spans="1:53" ht="15.75" thickBot="1">
      <c r="A48" s="176">
        <v>11939</v>
      </c>
      <c r="B48" s="176">
        <v>11944</v>
      </c>
      <c r="C48" s="184"/>
      <c r="D48" s="184"/>
      <c r="E48" s="184"/>
      <c r="F48" s="184"/>
      <c r="G48" s="184"/>
      <c r="H48" s="184"/>
      <c r="I48" s="184"/>
      <c r="J48" s="184"/>
      <c r="K48" s="184"/>
      <c r="L48" s="184"/>
      <c r="M48" s="184"/>
      <c r="N48" s="184"/>
      <c r="O48" s="184"/>
      <c r="P48" s="184"/>
      <c r="Q48" s="184"/>
      <c r="R48" s="184"/>
      <c r="S48" s="184"/>
      <c r="T48" s="184"/>
      <c r="U48" s="184"/>
      <c r="V48" s="184"/>
      <c r="W48" s="184"/>
      <c r="X48" s="184"/>
      <c r="Y48" s="184"/>
      <c r="Z48" s="184"/>
      <c r="AA48" s="184"/>
      <c r="AB48" s="184"/>
      <c r="AC48" s="184"/>
      <c r="AD48" s="184"/>
      <c r="AE48" s="184"/>
      <c r="AF48" s="184"/>
      <c r="AG48" s="184"/>
      <c r="AH48" s="184"/>
      <c r="AI48" s="184"/>
      <c r="AJ48" s="184"/>
      <c r="AK48" s="184"/>
      <c r="AL48" s="184"/>
      <c r="AM48" s="184"/>
      <c r="AN48" s="184"/>
      <c r="AO48" s="184"/>
      <c r="AP48" s="184"/>
      <c r="AQ48" s="184"/>
      <c r="AR48" s="184"/>
      <c r="AS48" s="184"/>
      <c r="AT48" s="184"/>
      <c r="AU48" s="184"/>
      <c r="AV48" s="184"/>
      <c r="AW48" s="184"/>
      <c r="AX48" s="184"/>
      <c r="AY48" s="184"/>
      <c r="AZ48" s="184"/>
      <c r="BA48" s="184"/>
    </row>
    <row r="49" spans="1:53" ht="15.75" thickBot="1">
      <c r="A49" s="176">
        <v>11939</v>
      </c>
      <c r="B49" s="176">
        <v>11945</v>
      </c>
      <c r="C49" s="184"/>
      <c r="D49" s="184"/>
      <c r="E49" s="184"/>
      <c r="F49" s="184"/>
      <c r="G49" s="184"/>
      <c r="H49" s="184"/>
      <c r="I49" s="184"/>
      <c r="J49" s="184"/>
      <c r="K49" s="184"/>
      <c r="L49" s="184"/>
      <c r="M49" s="184"/>
      <c r="N49" s="184"/>
      <c r="O49" s="184"/>
      <c r="P49" s="184"/>
      <c r="Q49" s="184"/>
      <c r="R49" s="184"/>
      <c r="S49" s="184"/>
      <c r="T49" s="184"/>
      <c r="U49" s="184"/>
      <c r="V49" s="184"/>
      <c r="W49" s="184"/>
      <c r="X49" s="184"/>
      <c r="Y49" s="184"/>
      <c r="Z49" s="184"/>
      <c r="AA49" s="184"/>
      <c r="AB49" s="184"/>
      <c r="AC49" s="184"/>
      <c r="AD49" s="184"/>
      <c r="AE49" s="184"/>
      <c r="AF49" s="184"/>
      <c r="AG49" s="184"/>
      <c r="AH49" s="184"/>
      <c r="AI49" s="184"/>
      <c r="AJ49" s="184"/>
      <c r="AK49" s="184"/>
      <c r="AL49" s="184"/>
      <c r="AM49" s="184"/>
      <c r="AN49" s="184"/>
      <c r="AO49" s="184"/>
      <c r="AP49" s="184"/>
      <c r="AQ49" s="184"/>
      <c r="AR49" s="184"/>
      <c r="AS49" s="184"/>
      <c r="AT49" s="184"/>
      <c r="AU49" s="184"/>
      <c r="AV49" s="184"/>
      <c r="AW49" s="184"/>
      <c r="AX49" s="184"/>
      <c r="AY49" s="184"/>
      <c r="AZ49" s="184"/>
      <c r="BA49" s="184"/>
    </row>
    <row r="50" spans="1:53" ht="15.75" thickBot="1">
      <c r="A50" s="176">
        <v>11939</v>
      </c>
      <c r="B50" s="176">
        <v>11946</v>
      </c>
      <c r="C50" s="184"/>
      <c r="D50" s="184"/>
      <c r="E50" s="184"/>
      <c r="F50" s="184"/>
      <c r="G50" s="184"/>
      <c r="H50" s="184"/>
      <c r="I50" s="184"/>
      <c r="J50" s="184"/>
      <c r="K50" s="184"/>
      <c r="L50" s="184"/>
      <c r="M50" s="184"/>
      <c r="N50" s="184"/>
      <c r="O50" s="184"/>
      <c r="P50" s="184"/>
      <c r="Q50" s="184"/>
      <c r="R50" s="184"/>
      <c r="S50" s="184"/>
      <c r="T50" s="184"/>
      <c r="U50" s="184"/>
      <c r="V50" s="184"/>
      <c r="W50" s="184"/>
      <c r="X50" s="184"/>
      <c r="Y50" s="184"/>
      <c r="Z50" s="184"/>
      <c r="AA50" s="184"/>
      <c r="AB50" s="184"/>
      <c r="AC50" s="184"/>
      <c r="AD50" s="184"/>
      <c r="AE50" s="184"/>
      <c r="AF50" s="184"/>
      <c r="AG50" s="184"/>
      <c r="AH50" s="184"/>
      <c r="AI50" s="184"/>
      <c r="AJ50" s="184"/>
      <c r="AK50" s="184"/>
      <c r="AL50" s="184"/>
      <c r="AM50" s="184"/>
      <c r="AN50" s="184"/>
      <c r="AO50" s="184"/>
      <c r="AP50" s="184"/>
      <c r="AQ50" s="184"/>
      <c r="AR50" s="184"/>
      <c r="AS50" s="184"/>
      <c r="AT50" s="184"/>
      <c r="AU50" s="184"/>
      <c r="AV50" s="184"/>
      <c r="AW50" s="184"/>
      <c r="AX50" s="184"/>
      <c r="AY50" s="184"/>
      <c r="AZ50" s="184"/>
      <c r="BA50" s="184"/>
    </row>
    <row r="51" spans="1:53" ht="15.75" thickBot="1">
      <c r="A51" s="176">
        <v>11939</v>
      </c>
      <c r="B51" s="176">
        <v>11947</v>
      </c>
      <c r="C51" s="184"/>
      <c r="D51" s="184"/>
      <c r="E51" s="184"/>
      <c r="F51" s="184"/>
      <c r="G51" s="184"/>
      <c r="H51" s="184"/>
      <c r="I51" s="184"/>
      <c r="J51" s="184"/>
      <c r="K51" s="184"/>
      <c r="L51" s="184"/>
      <c r="M51" s="184"/>
      <c r="N51" s="184"/>
      <c r="O51" s="184"/>
      <c r="P51" s="184"/>
      <c r="Q51" s="184"/>
      <c r="R51" s="184"/>
      <c r="S51" s="184"/>
      <c r="T51" s="184"/>
      <c r="U51" s="184"/>
      <c r="V51" s="184"/>
      <c r="W51" s="184"/>
      <c r="X51" s="184"/>
      <c r="Y51" s="184"/>
      <c r="Z51" s="184"/>
      <c r="AA51" s="184"/>
      <c r="AB51" s="184"/>
      <c r="AC51" s="184"/>
      <c r="AD51" s="184"/>
      <c r="AE51" s="184"/>
      <c r="AF51" s="184"/>
      <c r="AG51" s="184"/>
      <c r="AH51" s="184"/>
      <c r="AI51" s="184"/>
      <c r="AJ51" s="184"/>
      <c r="AK51" s="184"/>
      <c r="AL51" s="184"/>
      <c r="AM51" s="184"/>
      <c r="AN51" s="184"/>
      <c r="AO51" s="184"/>
      <c r="AP51" s="184"/>
      <c r="AQ51" s="184"/>
      <c r="AR51" s="184"/>
      <c r="AS51" s="184"/>
      <c r="AT51" s="184"/>
      <c r="AU51" s="184"/>
      <c r="AV51" s="184"/>
      <c r="AW51" s="184"/>
      <c r="AX51" s="184"/>
      <c r="AY51" s="184"/>
      <c r="AZ51" s="184"/>
      <c r="BA51" s="184"/>
    </row>
    <row r="52" spans="1:53" ht="15.75" thickBot="1">
      <c r="A52" s="176">
        <v>11939</v>
      </c>
      <c r="B52" s="176">
        <v>11948</v>
      </c>
      <c r="C52" s="184"/>
      <c r="D52" s="184"/>
      <c r="E52" s="184"/>
      <c r="F52" s="184"/>
      <c r="G52" s="184"/>
      <c r="H52" s="184"/>
      <c r="I52" s="184"/>
      <c r="J52" s="184"/>
      <c r="K52" s="184"/>
      <c r="L52" s="184"/>
      <c r="M52" s="184"/>
      <c r="N52" s="184"/>
      <c r="O52" s="184"/>
      <c r="P52" s="184"/>
      <c r="Q52" s="184"/>
      <c r="R52" s="184"/>
      <c r="S52" s="184"/>
      <c r="T52" s="184"/>
      <c r="U52" s="184"/>
      <c r="V52" s="184"/>
      <c r="W52" s="184"/>
      <c r="X52" s="184"/>
      <c r="Y52" s="184"/>
      <c r="Z52" s="184"/>
      <c r="AA52" s="184"/>
      <c r="AB52" s="184"/>
      <c r="AC52" s="184"/>
      <c r="AD52" s="184"/>
      <c r="AE52" s="184"/>
      <c r="AF52" s="184"/>
      <c r="AG52" s="184"/>
      <c r="AH52" s="184"/>
      <c r="AI52" s="184"/>
      <c r="AJ52" s="184"/>
      <c r="AK52" s="184"/>
      <c r="AL52" s="184"/>
      <c r="AM52" s="184"/>
      <c r="AN52" s="184"/>
      <c r="AO52" s="184"/>
      <c r="AP52" s="184"/>
      <c r="AQ52" s="184"/>
      <c r="AR52" s="184"/>
      <c r="AS52" s="184"/>
      <c r="AT52" s="184"/>
      <c r="AU52" s="184"/>
      <c r="AV52" s="184"/>
      <c r="AW52" s="184"/>
      <c r="AX52" s="184"/>
      <c r="AY52" s="184"/>
      <c r="AZ52" s="184"/>
      <c r="BA52" s="184"/>
    </row>
    <row r="53" spans="1:53" ht="15.75" thickBot="1">
      <c r="A53" s="176">
        <v>11939</v>
      </c>
      <c r="B53" s="176">
        <v>11949</v>
      </c>
      <c r="C53" s="184"/>
      <c r="D53" s="184"/>
      <c r="E53" s="184"/>
      <c r="F53" s="184"/>
      <c r="G53" s="184"/>
      <c r="H53" s="184"/>
      <c r="I53" s="184"/>
      <c r="J53" s="184"/>
      <c r="K53" s="184"/>
      <c r="L53" s="184"/>
      <c r="M53" s="184"/>
      <c r="N53" s="184"/>
      <c r="O53" s="184"/>
      <c r="P53" s="184"/>
      <c r="Q53" s="184"/>
      <c r="R53" s="184"/>
      <c r="S53" s="184"/>
      <c r="T53" s="184"/>
      <c r="U53" s="184"/>
      <c r="V53" s="184"/>
      <c r="W53" s="184"/>
      <c r="X53" s="184"/>
      <c r="Y53" s="184"/>
      <c r="Z53" s="184"/>
      <c r="AA53" s="184"/>
      <c r="AB53" s="184"/>
      <c r="AC53" s="184"/>
      <c r="AD53" s="184"/>
      <c r="AE53" s="184"/>
      <c r="AF53" s="184"/>
      <c r="AG53" s="184"/>
      <c r="AH53" s="184"/>
      <c r="AI53" s="184"/>
      <c r="AJ53" s="184"/>
      <c r="AK53" s="184"/>
      <c r="AL53" s="184"/>
      <c r="AM53" s="184"/>
      <c r="AN53" s="184"/>
      <c r="AO53" s="184"/>
      <c r="AP53" s="184"/>
      <c r="AQ53" s="184"/>
      <c r="AR53" s="184"/>
      <c r="AS53" s="184"/>
      <c r="AT53" s="184"/>
      <c r="AU53" s="184"/>
      <c r="AV53" s="184"/>
      <c r="AW53" s="184"/>
      <c r="AX53" s="184"/>
      <c r="AY53" s="184"/>
      <c r="AZ53" s="184"/>
      <c r="BA53" s="184"/>
    </row>
    <row r="54" spans="1:53" ht="15.75" thickBot="1">
      <c r="A54" s="176">
        <v>11939</v>
      </c>
      <c r="B54" s="176">
        <v>11950</v>
      </c>
      <c r="C54" s="184"/>
      <c r="D54" s="184"/>
      <c r="E54" s="184"/>
      <c r="F54" s="184"/>
      <c r="G54" s="184"/>
      <c r="H54" s="184"/>
      <c r="I54" s="184"/>
      <c r="J54" s="184"/>
      <c r="K54" s="184"/>
      <c r="L54" s="184"/>
      <c r="M54" s="184"/>
      <c r="N54" s="184"/>
      <c r="O54" s="184"/>
      <c r="P54" s="184"/>
      <c r="Q54" s="184"/>
      <c r="R54" s="184"/>
      <c r="S54" s="184"/>
      <c r="T54" s="184"/>
      <c r="U54" s="184"/>
      <c r="V54" s="184"/>
      <c r="W54" s="184"/>
      <c r="X54" s="184"/>
      <c r="Y54" s="184"/>
      <c r="Z54" s="184"/>
      <c r="AA54" s="184"/>
      <c r="AB54" s="184"/>
      <c r="AC54" s="184"/>
      <c r="AD54" s="184"/>
      <c r="AE54" s="184"/>
      <c r="AF54" s="184"/>
      <c r="AG54" s="184"/>
      <c r="AH54" s="184"/>
      <c r="AI54" s="184"/>
      <c r="AJ54" s="184"/>
      <c r="AK54" s="184"/>
      <c r="AL54" s="184"/>
      <c r="AM54" s="184"/>
      <c r="AN54" s="184"/>
      <c r="AO54" s="184"/>
      <c r="AP54" s="184"/>
      <c r="AQ54" s="184"/>
      <c r="AR54" s="184"/>
      <c r="AS54" s="184"/>
      <c r="AT54" s="184"/>
      <c r="AU54" s="184"/>
      <c r="AV54" s="184"/>
      <c r="AW54" s="184"/>
      <c r="AX54" s="184"/>
      <c r="AY54" s="184"/>
      <c r="AZ54" s="184"/>
      <c r="BA54" s="184"/>
    </row>
    <row r="55" spans="1:53" ht="15.75" thickBot="1">
      <c r="A55" s="176">
        <v>11939</v>
      </c>
      <c r="B55" s="176">
        <v>11979</v>
      </c>
      <c r="C55" s="184"/>
      <c r="D55" s="184"/>
      <c r="E55" s="184"/>
      <c r="F55" s="184"/>
      <c r="G55" s="184"/>
      <c r="H55" s="184"/>
      <c r="I55" s="184"/>
      <c r="J55" s="184"/>
      <c r="K55" s="184"/>
      <c r="L55" s="184"/>
      <c r="M55" s="184"/>
      <c r="N55" s="184"/>
      <c r="O55" s="184"/>
      <c r="P55" s="184"/>
      <c r="Q55" s="184"/>
      <c r="R55" s="184"/>
      <c r="S55" s="184"/>
      <c r="T55" s="184"/>
      <c r="U55" s="184"/>
      <c r="V55" s="184"/>
      <c r="W55" s="184"/>
      <c r="X55" s="184"/>
      <c r="Y55" s="184"/>
      <c r="Z55" s="184"/>
      <c r="AA55" s="184"/>
      <c r="AB55" s="184"/>
      <c r="AC55" s="184"/>
      <c r="AD55" s="184"/>
      <c r="AE55" s="184"/>
      <c r="AF55" s="184"/>
      <c r="AG55" s="184"/>
      <c r="AH55" s="184"/>
      <c r="AI55" s="184"/>
      <c r="AJ55" s="184"/>
      <c r="AK55" s="184"/>
      <c r="AL55" s="184"/>
      <c r="AM55" s="184"/>
      <c r="AN55" s="184"/>
      <c r="AO55" s="184"/>
      <c r="AP55" s="184"/>
      <c r="AQ55" s="184"/>
      <c r="AR55" s="184"/>
      <c r="AS55" s="184"/>
      <c r="AT55" s="184"/>
      <c r="AU55" s="184"/>
      <c r="AV55" s="184"/>
      <c r="AW55" s="184"/>
      <c r="AX55" s="184"/>
      <c r="AY55" s="184"/>
      <c r="AZ55" s="184"/>
      <c r="BA55" s="184"/>
    </row>
    <row r="56" spans="1:53" ht="15.75" thickBot="1">
      <c r="A56" s="176">
        <v>11939</v>
      </c>
      <c r="B56" s="176">
        <v>11980</v>
      </c>
      <c r="C56" s="184"/>
      <c r="D56" s="184"/>
      <c r="E56" s="184"/>
      <c r="F56" s="184"/>
      <c r="G56" s="184"/>
      <c r="H56" s="184"/>
      <c r="I56" s="184"/>
      <c r="J56" s="184"/>
      <c r="K56" s="184"/>
      <c r="L56" s="184"/>
      <c r="M56" s="184"/>
      <c r="N56" s="184"/>
      <c r="O56" s="184"/>
      <c r="P56" s="184"/>
      <c r="Q56" s="184"/>
      <c r="R56" s="184"/>
      <c r="S56" s="184"/>
      <c r="T56" s="184"/>
      <c r="U56" s="184"/>
      <c r="V56" s="184"/>
      <c r="W56" s="184"/>
      <c r="X56" s="184"/>
      <c r="Y56" s="184"/>
      <c r="Z56" s="184"/>
      <c r="AA56" s="184"/>
      <c r="AB56" s="184"/>
      <c r="AC56" s="184"/>
      <c r="AD56" s="184"/>
      <c r="AE56" s="184"/>
      <c r="AF56" s="184"/>
      <c r="AG56" s="184"/>
      <c r="AH56" s="184"/>
      <c r="AI56" s="184"/>
      <c r="AJ56" s="184"/>
      <c r="AK56" s="184"/>
      <c r="AL56" s="184"/>
      <c r="AM56" s="184"/>
      <c r="AN56" s="184"/>
      <c r="AO56" s="184"/>
      <c r="AP56" s="184"/>
      <c r="AQ56" s="184"/>
      <c r="AR56" s="184"/>
      <c r="AS56" s="184"/>
      <c r="AT56" s="184"/>
      <c r="AU56" s="184"/>
      <c r="AV56" s="184"/>
      <c r="AW56" s="184"/>
      <c r="AX56" s="184"/>
      <c r="AY56" s="184"/>
      <c r="AZ56" s="184"/>
      <c r="BA56" s="184"/>
    </row>
    <row r="57" spans="1:53" ht="15.75" thickBot="1">
      <c r="A57" s="176">
        <v>11939</v>
      </c>
      <c r="B57" s="176">
        <v>11981</v>
      </c>
      <c r="C57" s="184"/>
      <c r="D57" s="184"/>
      <c r="E57" s="184"/>
      <c r="F57" s="184"/>
      <c r="G57" s="184"/>
      <c r="H57" s="184"/>
      <c r="I57" s="184"/>
      <c r="J57" s="184"/>
      <c r="K57" s="184"/>
      <c r="L57" s="184"/>
      <c r="M57" s="184"/>
      <c r="N57" s="184"/>
      <c r="O57" s="184"/>
      <c r="P57" s="184"/>
      <c r="Q57" s="184"/>
      <c r="R57" s="184"/>
      <c r="S57" s="184"/>
      <c r="T57" s="184"/>
      <c r="U57" s="184"/>
      <c r="V57" s="184"/>
      <c r="W57" s="184"/>
      <c r="X57" s="184"/>
      <c r="Y57" s="184"/>
      <c r="Z57" s="184"/>
      <c r="AA57" s="184"/>
      <c r="AB57" s="184"/>
      <c r="AC57" s="184"/>
      <c r="AD57" s="184"/>
      <c r="AE57" s="184"/>
      <c r="AF57" s="184"/>
      <c r="AG57" s="184"/>
      <c r="AH57" s="184"/>
      <c r="AI57" s="184"/>
      <c r="AJ57" s="184"/>
      <c r="AK57" s="184"/>
      <c r="AL57" s="184"/>
      <c r="AM57" s="184"/>
      <c r="AN57" s="184"/>
      <c r="AO57" s="184"/>
      <c r="AP57" s="184"/>
      <c r="AQ57" s="184"/>
      <c r="AR57" s="184"/>
      <c r="AS57" s="184"/>
      <c r="AT57" s="184"/>
      <c r="AU57" s="184"/>
      <c r="AV57" s="184"/>
      <c r="AW57" s="184"/>
      <c r="AX57" s="184"/>
      <c r="AY57" s="184"/>
      <c r="AZ57" s="184"/>
      <c r="BA57" s="184"/>
    </row>
    <row r="58" spans="1:53" ht="15.75" thickBot="1">
      <c r="A58" s="176">
        <v>11342</v>
      </c>
      <c r="B58" s="176">
        <v>11343</v>
      </c>
      <c r="C58" s="184"/>
      <c r="D58" s="184"/>
      <c r="E58" s="184"/>
      <c r="F58" s="184"/>
      <c r="G58" s="184"/>
      <c r="H58" s="184"/>
      <c r="I58" s="184"/>
      <c r="J58" s="184"/>
      <c r="K58" s="184"/>
      <c r="L58" s="184"/>
      <c r="M58" s="184"/>
      <c r="N58" s="184"/>
      <c r="O58" s="184"/>
      <c r="P58" s="184"/>
      <c r="Q58" s="184"/>
      <c r="R58" s="184"/>
      <c r="S58" s="184"/>
      <c r="T58" s="184"/>
      <c r="U58" s="184"/>
      <c r="V58" s="184"/>
      <c r="W58" s="184"/>
      <c r="X58" s="184"/>
      <c r="Y58" s="184"/>
      <c r="Z58" s="184"/>
      <c r="AA58" s="184"/>
      <c r="AB58" s="184"/>
      <c r="AC58" s="184"/>
      <c r="AD58" s="184"/>
      <c r="AE58" s="184"/>
      <c r="AF58" s="184"/>
      <c r="AG58" s="184"/>
      <c r="AH58" s="184"/>
      <c r="AI58" s="184"/>
      <c r="AJ58" s="184"/>
      <c r="AK58" s="184"/>
      <c r="AL58" s="184"/>
      <c r="AM58" s="184"/>
      <c r="AN58" s="184"/>
      <c r="AO58" s="184"/>
      <c r="AP58" s="184"/>
      <c r="AQ58" s="184"/>
      <c r="AR58" s="184"/>
      <c r="AS58" s="184"/>
      <c r="AT58" s="184"/>
      <c r="AU58" s="184"/>
      <c r="AV58" s="184"/>
      <c r="AW58" s="184"/>
      <c r="AX58" s="184"/>
      <c r="AY58" s="184"/>
      <c r="AZ58" s="184"/>
      <c r="BA58" s="184"/>
    </row>
    <row r="59" spans="1:53" ht="15.75" thickBot="1">
      <c r="A59" s="176">
        <v>11342</v>
      </c>
      <c r="B59" s="176">
        <v>11344</v>
      </c>
      <c r="C59" s="184"/>
      <c r="D59" s="184"/>
      <c r="E59" s="184"/>
      <c r="F59" s="184"/>
      <c r="G59" s="184"/>
      <c r="H59" s="184"/>
      <c r="I59" s="184"/>
      <c r="J59" s="184"/>
      <c r="K59" s="184"/>
      <c r="L59" s="184"/>
      <c r="M59" s="184"/>
      <c r="N59" s="184"/>
      <c r="O59" s="184"/>
      <c r="P59" s="184"/>
      <c r="Q59" s="184"/>
      <c r="R59" s="184"/>
      <c r="S59" s="184"/>
      <c r="T59" s="184"/>
      <c r="U59" s="184"/>
      <c r="V59" s="184"/>
      <c r="W59" s="184"/>
      <c r="X59" s="184"/>
      <c r="Y59" s="184"/>
      <c r="Z59" s="184"/>
      <c r="AA59" s="184"/>
      <c r="AB59" s="184"/>
      <c r="AC59" s="184"/>
      <c r="AD59" s="184"/>
      <c r="AE59" s="184"/>
      <c r="AF59" s="184"/>
      <c r="AG59" s="184"/>
      <c r="AH59" s="184"/>
      <c r="AI59" s="184"/>
      <c r="AJ59" s="184"/>
      <c r="AK59" s="184"/>
      <c r="AL59" s="184"/>
      <c r="AM59" s="184"/>
      <c r="AN59" s="184"/>
      <c r="AO59" s="184"/>
      <c r="AP59" s="184"/>
      <c r="AQ59" s="184"/>
      <c r="AR59" s="184"/>
      <c r="AS59" s="184"/>
      <c r="AT59" s="184"/>
      <c r="AU59" s="184"/>
      <c r="AV59" s="184"/>
      <c r="AW59" s="184"/>
      <c r="AX59" s="184"/>
      <c r="AY59" s="184"/>
      <c r="AZ59" s="184"/>
      <c r="BA59" s="184"/>
    </row>
    <row r="60" spans="1:53" ht="15.75" thickBot="1">
      <c r="A60" s="176">
        <v>11342</v>
      </c>
      <c r="B60" s="176">
        <v>11345</v>
      </c>
      <c r="C60" s="184"/>
      <c r="D60" s="184"/>
      <c r="E60" s="184"/>
      <c r="F60" s="184"/>
      <c r="G60" s="184"/>
      <c r="H60" s="184"/>
      <c r="I60" s="184"/>
      <c r="J60" s="184"/>
      <c r="K60" s="184"/>
      <c r="L60" s="184"/>
      <c r="M60" s="184"/>
      <c r="N60" s="184"/>
      <c r="O60" s="184"/>
      <c r="P60" s="184"/>
      <c r="Q60" s="184"/>
      <c r="R60" s="184"/>
      <c r="S60" s="184"/>
      <c r="T60" s="184"/>
      <c r="U60" s="184"/>
      <c r="V60" s="184"/>
      <c r="W60" s="184"/>
      <c r="X60" s="184"/>
      <c r="Y60" s="184"/>
      <c r="Z60" s="184"/>
      <c r="AA60" s="184"/>
      <c r="AB60" s="184"/>
      <c r="AC60" s="184"/>
      <c r="AD60" s="184"/>
      <c r="AE60" s="184"/>
      <c r="AF60" s="184"/>
      <c r="AG60" s="184"/>
      <c r="AH60" s="184"/>
      <c r="AI60" s="184"/>
      <c r="AJ60" s="184"/>
      <c r="AK60" s="184"/>
      <c r="AL60" s="184"/>
      <c r="AM60" s="184"/>
      <c r="AN60" s="184"/>
      <c r="AO60" s="184"/>
      <c r="AP60" s="184"/>
      <c r="AQ60" s="184"/>
      <c r="AR60" s="184"/>
      <c r="AS60" s="184"/>
      <c r="AT60" s="184"/>
      <c r="AU60" s="184"/>
      <c r="AV60" s="184"/>
      <c r="AW60" s="184"/>
      <c r="AX60" s="184"/>
      <c r="AY60" s="184"/>
      <c r="AZ60" s="184"/>
      <c r="BA60" s="184"/>
    </row>
  </sheetData>
  <sheetProtection formatColumns="0"/>
  <customSheetViews>
    <customSheetView guid="{AE318230-F718-49FC-82EB-7CAC3DCD05F1}" showGridLines="0" topLeftCell="S1">
      <selection activeCell="AG2" sqref="AG2"/>
      <pageMargins left="0.7" right="0.7" top="0.75" bottom="0.75" header="0.3" footer="0.3"/>
    </customSheetView>
  </customSheetViews>
  <dataValidations count="21">
    <dataValidation type="list" allowBlank="1" showInputMessage="1" showErrorMessage="1" sqref="K2:K20" xr:uid="{00000000-0002-0000-1700-000000000000}">
      <formula1>Industry_sectors</formula1>
    </dataValidation>
    <dataValidation type="list" allowBlank="1" showInputMessage="1" showErrorMessage="1" sqref="L2:L20" xr:uid="{00000000-0002-0000-1700-000001000000}">
      <formula1>Holding_interest</formula1>
    </dataValidation>
    <dataValidation type="list" allowBlank="1" showInputMessage="1" showErrorMessage="1" sqref="Q2:Q20" xr:uid="{00000000-0002-0000-1700-000002000000}">
      <formula1>Rating_Agency</formula1>
    </dataValidation>
    <dataValidation type="list" allowBlank="1" showInputMessage="1" showErrorMessage="1" sqref="M2:M20" xr:uid="{00000000-0002-0000-1700-000003000000}">
      <formula1>Consortium</formula1>
    </dataValidation>
    <dataValidation type="list" allowBlank="1" showInputMessage="1" showErrorMessage="1" sqref="W2:W20" xr:uid="{00000000-0002-0000-1700-000004000000}">
      <formula1>Linked_Type</formula1>
    </dataValidation>
    <dataValidation type="list" allowBlank="1" showInputMessage="1" showErrorMessage="1" sqref="AC2:AC20" xr:uid="{00000000-0002-0000-1700-000005000000}">
      <formula1>Type_of_Security</formula1>
    </dataValidation>
    <dataValidation type="list" allowBlank="1" showInputMessage="1" showErrorMessage="1" sqref="AM2:AM20" xr:uid="{00000000-0002-0000-1700-000006000000}">
      <formula1>Dependence_Independence</formula1>
    </dataValidation>
    <dataValidation type="list" allowBlank="1" showInputMessage="1" showErrorMessage="1" sqref="J2:J20" xr:uid="{00000000-0002-0000-1700-000007000000}">
      <formula1>Country_list</formula1>
    </dataValidation>
    <dataValidation type="list" allowBlank="1" showInputMessage="1" showErrorMessage="1" sqref="AH2:AH20" xr:uid="{00000000-0002-0000-1700-000008000000}">
      <formula1>Amoritization</formula1>
    </dataValidation>
    <dataValidation type="list" allowBlank="1" showInputMessage="1" showErrorMessage="1" sqref="U2:U20" xr:uid="{00000000-0002-0000-1700-000009000000}">
      <formula1>Type_of_Interest_Rate</formula1>
    </dataValidation>
    <dataValidation type="list" allowBlank="1" showInputMessage="1" showErrorMessage="1" sqref="AK2:AK20" xr:uid="{00000000-0002-0000-1700-00000A000000}">
      <formula1>Valuation_Loans</formula1>
    </dataValidation>
    <dataValidation type="list" allowBlank="1" showInputMessage="1" showErrorMessage="1" sqref="X2:X20" xr:uid="{00000000-0002-0000-1700-00000B000000}">
      <formula1>Underlying_Interest_Rates</formula1>
    </dataValidation>
    <dataValidation type="list" allowBlank="1" showInputMessage="1" showErrorMessage="1" sqref="AB2:AB20" xr:uid="{00000000-0002-0000-1700-00000C000000}">
      <formula1>Subordination_Risk</formula1>
    </dataValidation>
    <dataValidation type="list" allowBlank="1" showInputMessage="1" showErrorMessage="1" sqref="AX2:AX20" xr:uid="{00000000-0002-0000-1700-00000D000000}">
      <formula1>Yes_No_Bad_Debt</formula1>
    </dataValidation>
    <dataValidation type="list" allowBlank="1" showInputMessage="1" showErrorMessage="1" sqref="AG2:AG20" xr:uid="{00000000-0002-0000-1700-00000E000000}">
      <formula1>Recourse_Nonrecourse</formula1>
    </dataValidation>
    <dataValidation type="list" allowBlank="1" showInputMessage="1" showErrorMessage="1" sqref="AJ2:AJ20" xr:uid="{00000000-0002-0000-1700-00000F000000}">
      <formula1>Repayment_Rights</formula1>
    </dataValidation>
    <dataValidation type="list" allowBlank="1" showInputMessage="1" showErrorMessage="1" sqref="D2:D20" xr:uid="{00000000-0002-0000-1700-000010000000}">
      <formula1>issuer_number_loan</formula1>
    </dataValidation>
    <dataValidation type="list" allowBlank="1" showInputMessage="1" showErrorMessage="1" sqref="H2:H20" xr:uid="{00000000-0002-0000-1700-000011000000}">
      <formula1>real_estate_loans</formula1>
    </dataValidation>
    <dataValidation type="list" allowBlank="1" showInputMessage="1" showErrorMessage="1" sqref="I2:I20" xr:uid="{00000000-0002-0000-1700-000012000000}">
      <formula1>israel_abroad</formula1>
    </dataValidation>
    <dataValidation type="list" allowBlank="1" showInputMessage="1" showErrorMessage="1" sqref="AY2:AY20" xr:uid="{00000000-0002-0000-1700-000013000000}">
      <formula1 xml:space="preserve"> In_the_books</formula1>
    </dataValidation>
    <dataValidation type="list" allowBlank="1" showInputMessage="1" showErrorMessage="1" sqref="R2:R20" xr:uid="{00000000-0002-0000-1700-000014000000}">
      <formula1>what_is_rated_loans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15000000}">
          <x14:formula1>
            <xm:f>'אפשרויות בחירה'!$C$970:$C$976</xm:f>
          </x14:formula1>
          <xm:sqref>G2:G20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/>
  <dimension ref="A1:AD39"/>
  <sheetViews>
    <sheetView rightToLeft="1" workbookViewId="0">
      <selection activeCell="A2" sqref="A2:B39"/>
    </sheetView>
  </sheetViews>
  <sheetFormatPr defaultColWidth="9" defaultRowHeight="15"/>
  <cols>
    <col min="1" max="4" width="11.5703125" style="2" customWidth="1"/>
    <col min="5" max="5" width="11.5703125" style="4" customWidth="1"/>
    <col min="6" max="16" width="11.5703125" style="2" customWidth="1"/>
    <col min="17" max="17" width="13.42578125" style="2" customWidth="1"/>
    <col min="18" max="30" width="11.5703125" style="2" customWidth="1"/>
    <col min="31" max="16384" width="9" style="2"/>
  </cols>
  <sheetData>
    <row r="1" spans="1:30" ht="66.75" customHeight="1">
      <c r="A1" s="21" t="s">
        <v>667</v>
      </c>
      <c r="B1" s="21" t="s">
        <v>0</v>
      </c>
      <c r="C1" s="21" t="s">
        <v>740</v>
      </c>
      <c r="D1" s="21" t="s">
        <v>2</v>
      </c>
      <c r="E1" s="21" t="s">
        <v>756</v>
      </c>
      <c r="F1" s="21" t="s">
        <v>1163</v>
      </c>
      <c r="G1" s="21" t="s">
        <v>29</v>
      </c>
      <c r="H1" s="21" t="s">
        <v>28</v>
      </c>
      <c r="I1" s="21" t="s">
        <v>1</v>
      </c>
      <c r="J1" s="21" t="s">
        <v>620</v>
      </c>
      <c r="K1" s="21" t="s">
        <v>621</v>
      </c>
      <c r="L1" s="21" t="s">
        <v>622</v>
      </c>
      <c r="M1" s="21" t="s">
        <v>10</v>
      </c>
      <c r="N1" s="21" t="s">
        <v>12</v>
      </c>
      <c r="O1" s="21" t="s">
        <v>6</v>
      </c>
      <c r="P1" s="21" t="s">
        <v>8</v>
      </c>
      <c r="Q1" s="21" t="s">
        <v>1164</v>
      </c>
      <c r="R1" s="21" t="s">
        <v>396</v>
      </c>
      <c r="S1" s="21" t="s">
        <v>13</v>
      </c>
      <c r="T1" s="21" t="s">
        <v>14</v>
      </c>
      <c r="U1" s="21" t="s">
        <v>637</v>
      </c>
      <c r="V1" s="21" t="s">
        <v>933</v>
      </c>
      <c r="W1" s="21" t="s">
        <v>372</v>
      </c>
      <c r="X1" s="21" t="s">
        <v>16</v>
      </c>
      <c r="Y1" s="21" t="s">
        <v>789</v>
      </c>
      <c r="Z1" s="21" t="s">
        <v>11</v>
      </c>
      <c r="AA1" s="21" t="s">
        <v>15</v>
      </c>
      <c r="AB1" s="21" t="s">
        <v>1171</v>
      </c>
      <c r="AC1" s="21" t="s">
        <v>19</v>
      </c>
      <c r="AD1" s="21" t="s">
        <v>30</v>
      </c>
    </row>
    <row r="2" spans="1:30" ht="15.75" thickBot="1">
      <c r="A2" s="160">
        <v>7891</v>
      </c>
      <c r="B2" s="160">
        <v>7892</v>
      </c>
      <c r="C2" s="22"/>
      <c r="D2" s="22"/>
      <c r="E2" s="20"/>
      <c r="F2" s="22"/>
      <c r="G2" s="22"/>
      <c r="H2" s="22"/>
      <c r="I2" s="22"/>
      <c r="J2" s="20"/>
      <c r="K2" s="20"/>
      <c r="L2" s="22"/>
      <c r="M2" s="23"/>
      <c r="N2" s="22"/>
      <c r="O2" s="22"/>
      <c r="P2" s="22"/>
      <c r="Q2" s="22"/>
      <c r="R2" s="20"/>
      <c r="S2" s="22"/>
      <c r="T2" s="22"/>
      <c r="U2" s="22"/>
      <c r="V2" s="22"/>
      <c r="W2" s="22"/>
      <c r="Y2" s="22"/>
      <c r="Z2" s="22"/>
      <c r="AA2" s="22"/>
      <c r="AB2" s="22"/>
      <c r="AC2" s="22"/>
      <c r="AD2" s="22"/>
    </row>
    <row r="3" spans="1:30" ht="15.75" thickBot="1">
      <c r="A3" s="160">
        <v>7891</v>
      </c>
      <c r="B3" s="160">
        <v>7893</v>
      </c>
      <c r="C3" s="22"/>
      <c r="D3" s="22"/>
      <c r="E3" s="20"/>
      <c r="F3" s="22"/>
      <c r="G3" s="22"/>
      <c r="H3" s="22"/>
      <c r="I3" s="22"/>
      <c r="J3" s="20"/>
      <c r="K3" s="20"/>
      <c r="L3" s="22"/>
      <c r="M3" s="23"/>
      <c r="N3" s="22"/>
      <c r="O3" s="22"/>
      <c r="P3" s="22"/>
      <c r="Q3" s="22"/>
      <c r="R3" s="20"/>
      <c r="S3" s="22"/>
      <c r="T3" s="22"/>
      <c r="U3" s="22"/>
      <c r="V3" s="22"/>
      <c r="W3" s="22"/>
      <c r="Y3" s="22"/>
      <c r="Z3" s="22"/>
      <c r="AA3" s="22"/>
      <c r="AB3" s="22"/>
      <c r="AC3" s="22"/>
      <c r="AD3" s="22"/>
    </row>
    <row r="4" spans="1:30" ht="15.75" thickBot="1">
      <c r="A4" s="160">
        <v>7891</v>
      </c>
      <c r="B4" s="160">
        <v>7894</v>
      </c>
      <c r="C4" s="22"/>
      <c r="D4" s="22"/>
      <c r="E4" s="20"/>
      <c r="F4" s="22"/>
      <c r="G4" s="22"/>
      <c r="H4" s="22"/>
      <c r="I4" s="22"/>
      <c r="J4" s="20"/>
      <c r="K4" s="20"/>
      <c r="L4" s="22"/>
      <c r="M4" s="23"/>
      <c r="N4" s="22"/>
      <c r="O4" s="22"/>
      <c r="P4" s="22"/>
      <c r="Q4" s="22"/>
      <c r="R4" s="20"/>
      <c r="S4" s="22"/>
      <c r="T4" s="22"/>
      <c r="U4" s="22"/>
      <c r="V4" s="22"/>
      <c r="W4" s="22"/>
      <c r="Y4" s="22"/>
      <c r="Z4" s="22"/>
      <c r="AA4" s="22"/>
      <c r="AB4" s="22"/>
      <c r="AC4" s="22"/>
      <c r="AD4" s="22"/>
    </row>
    <row r="5" spans="1:30" ht="15.75" thickBot="1">
      <c r="A5" s="160">
        <v>7891</v>
      </c>
      <c r="B5" s="160">
        <v>7895</v>
      </c>
      <c r="C5" s="22"/>
      <c r="D5" s="22"/>
      <c r="E5" s="20"/>
      <c r="F5" s="22"/>
      <c r="G5" s="22"/>
      <c r="H5" s="22"/>
      <c r="I5" s="22"/>
      <c r="J5" s="20"/>
      <c r="K5" s="20"/>
      <c r="L5" s="22"/>
      <c r="M5" s="23"/>
      <c r="N5" s="22"/>
      <c r="O5" s="22"/>
      <c r="P5" s="22"/>
      <c r="Q5" s="22"/>
      <c r="R5" s="20"/>
      <c r="S5" s="22"/>
      <c r="T5" s="22"/>
      <c r="U5" s="22"/>
      <c r="V5" s="22"/>
      <c r="W5" s="22"/>
      <c r="Y5" s="22"/>
      <c r="Z5" s="22"/>
      <c r="AA5" s="22"/>
      <c r="AB5" s="22"/>
      <c r="AC5" s="22"/>
      <c r="AD5" s="22"/>
    </row>
    <row r="6" spans="1:30" ht="15.75" thickBot="1">
      <c r="A6" s="160">
        <v>7891</v>
      </c>
      <c r="B6" s="160">
        <v>7896</v>
      </c>
      <c r="C6" s="22"/>
      <c r="D6" s="22"/>
      <c r="E6" s="20"/>
      <c r="F6" s="22"/>
      <c r="G6" s="22"/>
      <c r="H6" s="22"/>
      <c r="I6" s="22"/>
      <c r="J6" s="20"/>
      <c r="K6" s="20"/>
      <c r="L6" s="22"/>
      <c r="M6" s="23"/>
      <c r="N6" s="22"/>
      <c r="O6" s="22"/>
      <c r="P6" s="22"/>
      <c r="Q6" s="22"/>
      <c r="R6" s="20"/>
      <c r="S6" s="22"/>
      <c r="T6" s="22"/>
      <c r="U6" s="22"/>
      <c r="V6" s="22"/>
      <c r="W6" s="22"/>
      <c r="Y6" s="22"/>
      <c r="Z6" s="22"/>
      <c r="AA6" s="22"/>
      <c r="AB6" s="22"/>
      <c r="AC6" s="22"/>
      <c r="AD6" s="22"/>
    </row>
    <row r="7" spans="1:30" ht="15.75" thickBot="1">
      <c r="A7" s="160">
        <v>7891</v>
      </c>
      <c r="B7" s="160">
        <v>7897</v>
      </c>
      <c r="C7" s="22"/>
      <c r="D7" s="22"/>
      <c r="E7" s="20"/>
      <c r="F7" s="22"/>
      <c r="G7" s="22"/>
      <c r="H7" s="22"/>
      <c r="I7" s="22"/>
      <c r="J7" s="20"/>
      <c r="K7" s="20"/>
      <c r="L7" s="22"/>
      <c r="M7" s="23"/>
      <c r="N7" s="22"/>
      <c r="O7" s="22"/>
      <c r="P7" s="22"/>
      <c r="Q7" s="22"/>
      <c r="R7" s="20"/>
      <c r="S7" s="22"/>
      <c r="T7" s="22"/>
      <c r="U7" s="22"/>
      <c r="V7" s="22"/>
      <c r="W7" s="22"/>
      <c r="Y7" s="22"/>
      <c r="Z7" s="22"/>
      <c r="AA7" s="22"/>
      <c r="AB7" s="22"/>
      <c r="AC7" s="22"/>
      <c r="AD7" s="22"/>
    </row>
    <row r="8" spans="1:30" ht="15.75" thickBot="1">
      <c r="A8" s="160">
        <v>7891</v>
      </c>
      <c r="B8" s="160">
        <v>7898</v>
      </c>
      <c r="C8" s="22"/>
      <c r="D8" s="22"/>
      <c r="E8" s="20"/>
      <c r="F8" s="22"/>
      <c r="G8" s="22"/>
      <c r="H8" s="22"/>
      <c r="I8" s="22"/>
      <c r="J8" s="20"/>
      <c r="K8" s="20"/>
      <c r="L8" s="22"/>
      <c r="M8" s="23"/>
      <c r="N8" s="22"/>
      <c r="O8" s="22"/>
      <c r="P8" s="22"/>
      <c r="Q8" s="22"/>
      <c r="R8" s="20"/>
      <c r="S8" s="22"/>
      <c r="T8" s="22"/>
      <c r="U8" s="22"/>
      <c r="V8" s="22"/>
      <c r="W8" s="22"/>
      <c r="Y8" s="22"/>
      <c r="Z8" s="22"/>
      <c r="AA8" s="22"/>
      <c r="AB8" s="22"/>
      <c r="AC8" s="22"/>
      <c r="AD8" s="22"/>
    </row>
    <row r="9" spans="1:30" ht="15.75" thickBot="1">
      <c r="A9" s="160">
        <v>7891</v>
      </c>
      <c r="B9" s="160">
        <v>7899</v>
      </c>
      <c r="C9" s="22"/>
      <c r="D9" s="22"/>
      <c r="E9" s="20"/>
      <c r="F9" s="22"/>
      <c r="G9" s="22"/>
      <c r="H9" s="22"/>
      <c r="I9" s="22"/>
      <c r="J9" s="20"/>
      <c r="K9" s="20"/>
      <c r="L9" s="22"/>
      <c r="M9" s="23"/>
      <c r="N9" s="22"/>
      <c r="O9" s="22"/>
      <c r="P9" s="22"/>
      <c r="Q9" s="22"/>
      <c r="R9" s="20"/>
      <c r="S9" s="22"/>
      <c r="T9" s="22"/>
      <c r="U9" s="22"/>
      <c r="V9" s="22"/>
      <c r="W9" s="22"/>
      <c r="Y9" s="22"/>
      <c r="Z9" s="22"/>
      <c r="AA9" s="22"/>
      <c r="AB9" s="22"/>
      <c r="AC9" s="22"/>
      <c r="AD9" s="22"/>
    </row>
    <row r="10" spans="1:30" ht="15.75" thickBot="1">
      <c r="A10" s="160">
        <v>7891</v>
      </c>
      <c r="B10" s="160">
        <v>7900</v>
      </c>
      <c r="C10" s="22"/>
      <c r="D10" s="22"/>
      <c r="E10" s="20"/>
      <c r="F10" s="22"/>
      <c r="G10" s="22"/>
      <c r="H10" s="22"/>
      <c r="I10" s="22"/>
      <c r="J10" s="20"/>
      <c r="K10" s="20"/>
      <c r="L10" s="22"/>
      <c r="M10" s="23"/>
      <c r="N10" s="22"/>
      <c r="O10" s="22"/>
      <c r="P10" s="22"/>
      <c r="Q10" s="22"/>
      <c r="R10" s="20"/>
      <c r="S10" s="22"/>
      <c r="T10" s="22"/>
      <c r="U10" s="22"/>
      <c r="V10" s="22"/>
      <c r="W10" s="22"/>
      <c r="Y10" s="22"/>
      <c r="Z10" s="22"/>
      <c r="AA10" s="22"/>
      <c r="AB10" s="22"/>
      <c r="AC10" s="22"/>
      <c r="AD10" s="22"/>
    </row>
    <row r="11" spans="1:30" ht="15.75" thickBot="1">
      <c r="A11" s="160">
        <v>7891</v>
      </c>
      <c r="B11" s="160">
        <v>7901</v>
      </c>
      <c r="C11" s="22"/>
      <c r="D11" s="22"/>
      <c r="E11" s="20"/>
      <c r="F11" s="22"/>
      <c r="G11" s="22"/>
      <c r="H11" s="22"/>
      <c r="I11" s="22"/>
      <c r="J11" s="20"/>
      <c r="K11" s="20"/>
      <c r="L11" s="22"/>
      <c r="M11" s="23"/>
      <c r="N11" s="22"/>
      <c r="O11" s="22"/>
      <c r="P11" s="22"/>
      <c r="Q11" s="22"/>
      <c r="R11" s="20"/>
      <c r="S11" s="22"/>
      <c r="T11" s="22"/>
      <c r="U11" s="22"/>
      <c r="V11" s="22"/>
      <c r="W11" s="22"/>
      <c r="Y11" s="22"/>
      <c r="Z11" s="22"/>
      <c r="AA11" s="22"/>
      <c r="AB11" s="22"/>
      <c r="AC11" s="22"/>
      <c r="AD11" s="22"/>
    </row>
    <row r="12" spans="1:30" ht="15.75" thickBot="1">
      <c r="A12" s="160">
        <v>7891</v>
      </c>
      <c r="B12" s="160">
        <v>7902</v>
      </c>
      <c r="C12" s="22"/>
      <c r="D12" s="22"/>
      <c r="E12" s="20"/>
      <c r="F12" s="22"/>
      <c r="G12" s="22"/>
      <c r="H12" s="22"/>
      <c r="I12" s="22"/>
      <c r="J12" s="20"/>
      <c r="K12" s="20"/>
      <c r="L12" s="22"/>
      <c r="M12" s="23"/>
      <c r="N12" s="22"/>
      <c r="O12" s="22"/>
      <c r="P12" s="22"/>
      <c r="Q12" s="22"/>
      <c r="R12" s="20"/>
      <c r="S12" s="22"/>
      <c r="T12" s="22"/>
      <c r="U12" s="22"/>
      <c r="V12" s="22"/>
      <c r="W12" s="22"/>
      <c r="Y12" s="22"/>
      <c r="Z12" s="22"/>
      <c r="AA12" s="22"/>
      <c r="AB12" s="22"/>
      <c r="AC12" s="22"/>
      <c r="AD12" s="22"/>
    </row>
    <row r="13" spans="1:30" ht="15.75" thickBot="1">
      <c r="A13" s="160">
        <v>11925</v>
      </c>
      <c r="B13" s="160">
        <v>11926</v>
      </c>
      <c r="C13" s="22"/>
      <c r="D13" s="22"/>
      <c r="E13" s="20"/>
      <c r="F13" s="22"/>
      <c r="G13" s="22"/>
      <c r="H13" s="22"/>
      <c r="I13" s="22"/>
      <c r="J13" s="20"/>
      <c r="K13" s="20"/>
      <c r="L13" s="22"/>
      <c r="M13" s="23"/>
      <c r="N13" s="22"/>
      <c r="O13" s="22"/>
      <c r="P13" s="22"/>
      <c r="Q13" s="22"/>
      <c r="R13" s="20"/>
      <c r="S13" s="22"/>
      <c r="T13" s="22"/>
      <c r="U13" s="22"/>
      <c r="V13" s="22"/>
      <c r="W13" s="22"/>
      <c r="Y13" s="22"/>
      <c r="Z13" s="22"/>
      <c r="AA13" s="22"/>
      <c r="AB13" s="22"/>
      <c r="AC13" s="22"/>
      <c r="AD13" s="22"/>
    </row>
    <row r="14" spans="1:30" ht="15.75" thickBot="1">
      <c r="A14" s="160">
        <v>11925</v>
      </c>
      <c r="B14" s="160">
        <v>11927</v>
      </c>
      <c r="C14" s="22"/>
      <c r="D14" s="22"/>
      <c r="E14" s="20"/>
      <c r="F14" s="22"/>
      <c r="G14" s="22"/>
      <c r="H14" s="22"/>
      <c r="I14" s="22"/>
      <c r="J14" s="20"/>
      <c r="K14" s="20"/>
      <c r="L14" s="22"/>
      <c r="M14" s="23"/>
      <c r="N14" s="22"/>
      <c r="O14" s="22"/>
      <c r="P14" s="22"/>
      <c r="Q14" s="22"/>
      <c r="R14" s="20"/>
      <c r="S14" s="22"/>
      <c r="T14" s="22"/>
      <c r="U14" s="22"/>
      <c r="V14" s="22"/>
      <c r="W14" s="22"/>
      <c r="Y14" s="22"/>
      <c r="Z14" s="22"/>
      <c r="AA14" s="22"/>
      <c r="AB14" s="22"/>
      <c r="AC14" s="22"/>
      <c r="AD14" s="22"/>
    </row>
    <row r="15" spans="1:30" ht="15.75" thickBot="1">
      <c r="A15" s="160">
        <v>11925</v>
      </c>
      <c r="B15" s="160">
        <v>11928</v>
      </c>
      <c r="C15" s="22"/>
      <c r="D15" s="22"/>
      <c r="E15" s="20"/>
      <c r="F15" s="22"/>
      <c r="G15" s="22"/>
      <c r="H15" s="22"/>
      <c r="I15" s="22"/>
      <c r="J15" s="20"/>
      <c r="K15" s="20"/>
      <c r="L15" s="22"/>
      <c r="M15" s="23"/>
      <c r="N15" s="22"/>
      <c r="O15" s="22"/>
      <c r="P15" s="22"/>
      <c r="Q15" s="22"/>
      <c r="R15" s="20"/>
      <c r="S15" s="22"/>
      <c r="T15" s="22"/>
      <c r="U15" s="22"/>
      <c r="V15" s="22"/>
      <c r="W15" s="22"/>
      <c r="Y15" s="22"/>
      <c r="Z15" s="22"/>
      <c r="AA15" s="22"/>
      <c r="AB15" s="22"/>
      <c r="AC15" s="22"/>
      <c r="AD15" s="22"/>
    </row>
    <row r="16" spans="1:30" ht="15.75" thickBot="1">
      <c r="A16" s="160">
        <v>11925</v>
      </c>
      <c r="B16" s="160">
        <v>11929</v>
      </c>
      <c r="C16" s="22"/>
      <c r="D16" s="22"/>
      <c r="E16" s="20"/>
      <c r="F16" s="22"/>
      <c r="G16" s="22"/>
      <c r="H16" s="22"/>
      <c r="I16" s="22"/>
      <c r="J16" s="20"/>
      <c r="K16" s="20"/>
      <c r="L16" s="22"/>
      <c r="M16" s="23"/>
      <c r="N16" s="22"/>
      <c r="O16" s="22"/>
      <c r="P16" s="22"/>
      <c r="Q16" s="22"/>
      <c r="R16" s="20"/>
      <c r="S16" s="22"/>
      <c r="T16" s="22"/>
      <c r="U16" s="22"/>
      <c r="V16" s="22"/>
      <c r="W16" s="22"/>
      <c r="Y16" s="22"/>
      <c r="Z16" s="22"/>
      <c r="AA16" s="22"/>
      <c r="AB16" s="22"/>
      <c r="AC16" s="22"/>
      <c r="AD16" s="22"/>
    </row>
    <row r="17" spans="1:30" ht="15.75" thickBot="1">
      <c r="A17" s="160">
        <v>11925</v>
      </c>
      <c r="B17" s="160">
        <v>11930</v>
      </c>
      <c r="C17" s="22"/>
      <c r="D17" s="22"/>
      <c r="E17" s="20"/>
      <c r="F17" s="22"/>
      <c r="G17" s="22"/>
      <c r="H17" s="22"/>
      <c r="I17" s="22"/>
      <c r="J17" s="20"/>
      <c r="K17" s="20"/>
      <c r="L17" s="22"/>
      <c r="M17" s="23"/>
      <c r="N17" s="22"/>
      <c r="O17" s="22"/>
      <c r="P17" s="22"/>
      <c r="Q17" s="22"/>
      <c r="R17" s="20"/>
      <c r="S17" s="22"/>
      <c r="T17" s="22"/>
      <c r="U17" s="22"/>
      <c r="V17" s="22"/>
      <c r="W17" s="22"/>
      <c r="Y17" s="22"/>
      <c r="Z17" s="22"/>
      <c r="AA17" s="22"/>
      <c r="AB17" s="22"/>
      <c r="AC17" s="22"/>
      <c r="AD17" s="22"/>
    </row>
    <row r="18" spans="1:30" ht="15.75" thickBot="1">
      <c r="A18" s="160">
        <v>11925</v>
      </c>
      <c r="B18" s="160">
        <v>11931</v>
      </c>
      <c r="C18" s="22"/>
      <c r="D18" s="22"/>
      <c r="E18" s="20"/>
      <c r="F18" s="22"/>
      <c r="G18" s="22"/>
      <c r="H18" s="22"/>
      <c r="I18" s="22"/>
      <c r="J18" s="20"/>
      <c r="K18" s="20"/>
      <c r="L18" s="22"/>
      <c r="M18" s="23"/>
      <c r="N18" s="22"/>
      <c r="O18" s="22"/>
      <c r="P18" s="22"/>
      <c r="Q18" s="22"/>
      <c r="R18" s="20"/>
      <c r="S18" s="22"/>
      <c r="T18" s="22"/>
      <c r="U18" s="22"/>
      <c r="V18" s="22"/>
      <c r="W18" s="22"/>
      <c r="Y18" s="22"/>
      <c r="Z18" s="22"/>
      <c r="AA18" s="22"/>
      <c r="AB18" s="22"/>
      <c r="AC18" s="22"/>
      <c r="AD18" s="22"/>
    </row>
    <row r="19" spans="1:30" ht="15.75" thickBot="1">
      <c r="A19" s="160">
        <v>11925</v>
      </c>
      <c r="B19" s="160">
        <v>11932</v>
      </c>
      <c r="C19" s="22"/>
      <c r="D19" s="22"/>
      <c r="E19" s="20"/>
      <c r="F19" s="22"/>
      <c r="G19" s="22"/>
      <c r="H19" s="22"/>
      <c r="I19" s="22"/>
      <c r="J19" s="20"/>
      <c r="K19" s="20"/>
      <c r="L19" s="22"/>
      <c r="M19" s="23"/>
      <c r="N19" s="22"/>
      <c r="O19" s="22"/>
      <c r="P19" s="22"/>
      <c r="Q19" s="22"/>
      <c r="R19" s="20"/>
      <c r="S19" s="22"/>
      <c r="T19" s="22"/>
      <c r="U19" s="22"/>
      <c r="V19" s="22"/>
      <c r="W19" s="22"/>
      <c r="Y19" s="22"/>
      <c r="Z19" s="22"/>
      <c r="AA19" s="22"/>
      <c r="AB19" s="22"/>
      <c r="AC19" s="22"/>
      <c r="AD19" s="22"/>
    </row>
    <row r="20" spans="1:30" ht="15.75" thickBot="1">
      <c r="A20" s="160">
        <v>11925</v>
      </c>
      <c r="B20" s="160">
        <v>11933</v>
      </c>
      <c r="E20" s="20"/>
      <c r="H20" s="22"/>
      <c r="I20" s="22"/>
      <c r="J20" s="20"/>
      <c r="K20" s="20"/>
      <c r="L20" s="22"/>
      <c r="M20" s="23"/>
      <c r="P20" s="22"/>
      <c r="Q20" s="22"/>
      <c r="V20" s="22"/>
      <c r="W20" s="22"/>
    </row>
    <row r="21" spans="1:30" customFormat="1" ht="15.75" thickBot="1">
      <c r="A21" s="160">
        <v>11925</v>
      </c>
      <c r="B21" s="160">
        <v>11934</v>
      </c>
    </row>
    <row r="22" spans="1:30" ht="15.75" thickBot="1">
      <c r="A22" s="160">
        <v>11925</v>
      </c>
      <c r="B22" s="160">
        <v>11935</v>
      </c>
    </row>
    <row r="23" spans="1:30" ht="15.75" thickBot="1">
      <c r="A23" s="160">
        <v>11925</v>
      </c>
      <c r="B23" s="160">
        <v>11936</v>
      </c>
    </row>
    <row r="24" spans="1:30" ht="15.75" thickBot="1">
      <c r="A24" s="160">
        <v>11925</v>
      </c>
      <c r="B24" s="160">
        <v>11937</v>
      </c>
    </row>
    <row r="25" spans="1:30" ht="15.75" thickBot="1">
      <c r="A25" s="160">
        <v>11939</v>
      </c>
      <c r="B25" s="160">
        <v>11942</v>
      </c>
    </row>
    <row r="26" spans="1:30" ht="15.75" thickBot="1">
      <c r="A26" s="160">
        <v>11939</v>
      </c>
      <c r="B26" s="160">
        <v>11943</v>
      </c>
    </row>
    <row r="27" spans="1:30" ht="15.75" thickBot="1">
      <c r="A27" s="160">
        <v>11939</v>
      </c>
      <c r="B27" s="160">
        <v>11944</v>
      </c>
    </row>
    <row r="28" spans="1:30" ht="15.75" thickBot="1">
      <c r="A28" s="160">
        <v>11939</v>
      </c>
      <c r="B28" s="160">
        <v>11945</v>
      </c>
    </row>
    <row r="29" spans="1:30" ht="15.75" thickBot="1">
      <c r="A29" s="160">
        <v>11939</v>
      </c>
      <c r="B29" s="160">
        <v>11946</v>
      </c>
    </row>
    <row r="30" spans="1:30" ht="15.75" thickBot="1">
      <c r="A30" s="160">
        <v>11939</v>
      </c>
      <c r="B30" s="160">
        <v>11947</v>
      </c>
    </row>
    <row r="31" spans="1:30" ht="15.75" thickBot="1">
      <c r="A31" s="160">
        <v>11939</v>
      </c>
      <c r="B31" s="160">
        <v>11948</v>
      </c>
    </row>
    <row r="32" spans="1:30" ht="15.75" thickBot="1">
      <c r="A32" s="160">
        <v>11939</v>
      </c>
      <c r="B32" s="160">
        <v>11949</v>
      </c>
    </row>
    <row r="33" spans="1:2" ht="15.75" thickBot="1">
      <c r="A33" s="160">
        <v>11939</v>
      </c>
      <c r="B33" s="160">
        <v>11950</v>
      </c>
    </row>
    <row r="34" spans="1:2" ht="15.75" thickBot="1">
      <c r="A34" s="160">
        <v>11939</v>
      </c>
      <c r="B34" s="160">
        <v>11979</v>
      </c>
    </row>
    <row r="35" spans="1:2" ht="15.75" thickBot="1">
      <c r="A35" s="160">
        <v>11939</v>
      </c>
      <c r="B35" s="160">
        <v>11980</v>
      </c>
    </row>
    <row r="36" spans="1:2" ht="15.75" thickBot="1">
      <c r="A36" s="160">
        <v>11939</v>
      </c>
      <c r="B36" s="160">
        <v>11981</v>
      </c>
    </row>
    <row r="37" spans="1:2" ht="15.75" thickBot="1">
      <c r="A37" s="160">
        <v>11342</v>
      </c>
      <c r="B37" s="160">
        <v>11343</v>
      </c>
    </row>
    <row r="38" spans="1:2" ht="15.75" thickBot="1">
      <c r="A38" s="160">
        <v>11342</v>
      </c>
      <c r="B38" s="160">
        <v>11344</v>
      </c>
    </row>
    <row r="39" spans="1:2" ht="15.75" thickBot="1">
      <c r="A39" s="160">
        <v>11342</v>
      </c>
      <c r="B39" s="160">
        <v>11345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2">
    <dataValidation type="list" allowBlank="1" showInputMessage="1" showErrorMessage="1" sqref="J2:J20" xr:uid="{00000000-0002-0000-1800-000000000000}">
      <formula1>israel_abroad</formula1>
    </dataValidation>
    <dataValidation type="list" allowBlank="1" showInputMessage="1" showErrorMessage="1" sqref="L2:L20" xr:uid="{00000000-0002-0000-1800-000001000000}">
      <formula1>Holding_interest</formula1>
    </dataValidation>
    <dataValidation type="list" allowBlank="1" showInputMessage="1" showErrorMessage="1" sqref="P2:P20" xr:uid="{00000000-0002-0000-1800-000002000000}">
      <formula1>Rating_Agency</formula1>
    </dataValidation>
    <dataValidation type="list" allowBlank="1" showInputMessage="1" showErrorMessage="1" sqref="Q2:Q20" xr:uid="{00000000-0002-0000-1800-000003000000}">
      <formula1>What_is_rated</formula1>
    </dataValidation>
    <dataValidation type="list" allowBlank="1" showInputMessage="1" showErrorMessage="1" sqref="V2:V20" xr:uid="{00000000-0002-0000-1800-000004000000}">
      <formula1>Valuation</formula1>
    </dataValidation>
    <dataValidation type="list" allowBlank="1" showInputMessage="1" showErrorMessage="1" sqref="W2:W20" xr:uid="{00000000-0002-0000-1800-000005000000}">
      <formula1>Dependence_Independence</formula1>
    </dataValidation>
    <dataValidation type="list" allowBlank="1" showInputMessage="1" showErrorMessage="1" sqref="K2:K20" xr:uid="{00000000-0002-0000-1800-000006000000}">
      <formula1>Country_list</formula1>
    </dataValidation>
    <dataValidation type="list" allowBlank="1" showInputMessage="1" showErrorMessage="1" sqref="H2:H20" xr:uid="{00000000-0002-0000-1800-000007000000}">
      <formula1>Type_of_Security_ID_Fund</formula1>
    </dataValidation>
    <dataValidation type="list" allowBlank="1" showInputMessage="1" showErrorMessage="1" sqref="M3:M20" xr:uid="{00000000-0002-0000-1800-000008000000}">
      <formula1>Underlying_Asset</formula1>
    </dataValidation>
    <dataValidation type="list" allowBlank="1" showInputMessage="1" showErrorMessage="1" sqref="E2" xr:uid="{00000000-0002-0000-1800-000009000000}">
      <formula1>Issuer_Number_Type_3</formula1>
    </dataValidation>
    <dataValidation type="list" allowBlank="1" showInputMessage="1" showErrorMessage="1" sqref="E3:E20" xr:uid="{00000000-0002-0000-1800-00000A000000}">
      <formula1>Issuer_Number_Type_2</formula1>
    </dataValidation>
    <dataValidation type="list" allowBlank="1" showInputMessage="1" showErrorMessage="1" sqref="M2" xr:uid="{00000000-0002-0000-1800-00000B000000}">
      <formula1>Underlying_Asset_Structured</formula1>
    </dataValidation>
  </dataValidations>
  <pageMargins left="0.7" right="0.7" top="0.75" bottom="0.75" header="0.3" footer="0.3"/>
  <pageSetup paperSize="0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C000000}">
          <x14:formula1>
            <xm:f>'אפשרויות בחירה'!$C$986:$C$991</xm:f>
          </x14:formula1>
          <xm:sqref>I2:I20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/>
  <dimension ref="A1:W39"/>
  <sheetViews>
    <sheetView rightToLeft="1" workbookViewId="0">
      <selection activeCell="A2" sqref="A2:B39"/>
    </sheetView>
  </sheetViews>
  <sheetFormatPr defaultColWidth="9" defaultRowHeight="15"/>
  <cols>
    <col min="1" max="2" width="11.5703125" style="2" customWidth="1"/>
    <col min="3" max="3" width="11.5703125" style="44" customWidth="1"/>
    <col min="4" max="4" width="11.5703125" style="2" customWidth="1"/>
    <col min="5" max="5" width="11.5703125" style="4" customWidth="1"/>
    <col min="6" max="22" width="11.5703125" style="2" customWidth="1"/>
    <col min="23" max="16384" width="9" style="2"/>
  </cols>
  <sheetData>
    <row r="1" spans="1:23" ht="66.75" customHeight="1">
      <c r="A1" s="21" t="s">
        <v>667</v>
      </c>
      <c r="B1" s="21" t="s">
        <v>0</v>
      </c>
      <c r="C1" s="21" t="s">
        <v>739</v>
      </c>
      <c r="D1" s="21" t="s">
        <v>757</v>
      </c>
      <c r="E1" s="21" t="s">
        <v>758</v>
      </c>
      <c r="F1" s="21" t="s">
        <v>1</v>
      </c>
      <c r="G1" s="21" t="s">
        <v>641</v>
      </c>
      <c r="H1" s="21" t="s">
        <v>620</v>
      </c>
      <c r="I1" s="21" t="s">
        <v>621</v>
      </c>
      <c r="J1" s="21" t="s">
        <v>622</v>
      </c>
      <c r="K1" s="21" t="s">
        <v>788</v>
      </c>
      <c r="L1" s="21" t="s">
        <v>8</v>
      </c>
      <c r="M1" s="21" t="s">
        <v>396</v>
      </c>
      <c r="N1" s="21" t="s">
        <v>13</v>
      </c>
      <c r="O1" s="21" t="s">
        <v>14</v>
      </c>
      <c r="P1" s="21" t="s">
        <v>637</v>
      </c>
      <c r="Q1" s="21" t="s">
        <v>938</v>
      </c>
      <c r="R1" s="21" t="s">
        <v>11</v>
      </c>
      <c r="S1" s="21" t="s">
        <v>811</v>
      </c>
      <c r="T1" s="21" t="s">
        <v>1171</v>
      </c>
      <c r="U1" s="21" t="s">
        <v>19</v>
      </c>
      <c r="V1" s="21" t="s">
        <v>30</v>
      </c>
    </row>
    <row r="2" spans="1:23" ht="15.75" thickBot="1">
      <c r="A2" s="160">
        <v>7891</v>
      </c>
      <c r="B2" s="160">
        <v>7892</v>
      </c>
      <c r="C2" s="23"/>
      <c r="D2" s="44"/>
      <c r="E2" s="33"/>
      <c r="F2" s="22"/>
      <c r="G2" s="22"/>
      <c r="H2" s="33"/>
      <c r="I2" s="33"/>
      <c r="J2" s="22"/>
      <c r="K2" s="23"/>
      <c r="M2" s="20"/>
      <c r="N2" s="22"/>
      <c r="O2" s="23"/>
      <c r="P2" s="22"/>
      <c r="Q2"/>
      <c r="R2" s="22"/>
      <c r="S2" s="23"/>
      <c r="T2" s="22"/>
      <c r="U2" s="22"/>
      <c r="V2" s="22"/>
      <c r="W2" s="5"/>
    </row>
    <row r="3" spans="1:23" ht="15.75" thickBot="1">
      <c r="A3" s="160">
        <v>7891</v>
      </c>
      <c r="B3" s="160">
        <v>7893</v>
      </c>
      <c r="C3" s="23"/>
      <c r="E3" s="20"/>
      <c r="F3" s="22"/>
      <c r="G3" s="22"/>
      <c r="H3" s="33"/>
      <c r="I3" s="33"/>
      <c r="J3" s="22"/>
      <c r="K3" s="22"/>
      <c r="M3" s="20"/>
      <c r="N3" s="22"/>
      <c r="O3" s="22"/>
      <c r="P3" s="22"/>
      <c r="R3" s="22"/>
      <c r="S3"/>
      <c r="T3" s="22"/>
      <c r="U3" s="22"/>
      <c r="V3" s="22"/>
      <c r="W3" s="5"/>
    </row>
    <row r="4" spans="1:23" ht="15.75" thickBot="1">
      <c r="A4" s="160">
        <v>7891</v>
      </c>
      <c r="B4" s="160">
        <v>7894</v>
      </c>
      <c r="C4" s="23"/>
      <c r="E4" s="20"/>
      <c r="F4" s="22"/>
      <c r="G4" s="22"/>
      <c r="H4" s="33"/>
      <c r="I4" s="33"/>
      <c r="J4" s="22"/>
      <c r="K4" s="22"/>
      <c r="M4" s="20"/>
      <c r="N4" s="22"/>
      <c r="O4" s="22"/>
      <c r="P4" s="22"/>
      <c r="R4" s="22"/>
      <c r="S4"/>
      <c r="T4" s="22"/>
      <c r="U4" s="22"/>
      <c r="V4" s="22"/>
      <c r="W4" s="5"/>
    </row>
    <row r="5" spans="1:23" ht="15.75" thickBot="1">
      <c r="A5" s="160">
        <v>7891</v>
      </c>
      <c r="B5" s="160">
        <v>7895</v>
      </c>
      <c r="C5" s="23"/>
      <c r="E5" s="20"/>
      <c r="F5" s="22"/>
      <c r="G5" s="22"/>
      <c r="H5" s="33"/>
      <c r="I5" s="33"/>
      <c r="J5" s="22"/>
      <c r="K5" s="22"/>
      <c r="M5" s="20"/>
      <c r="N5" s="22"/>
      <c r="O5" s="22"/>
      <c r="P5" s="22"/>
      <c r="R5" s="22"/>
      <c r="S5"/>
      <c r="T5" s="22"/>
      <c r="U5" s="22"/>
      <c r="V5" s="22"/>
      <c r="W5" s="5"/>
    </row>
    <row r="6" spans="1:23" ht="15.75" thickBot="1">
      <c r="A6" s="160">
        <v>7891</v>
      </c>
      <c r="B6" s="160">
        <v>7896</v>
      </c>
      <c r="C6" s="23"/>
      <c r="E6" s="20"/>
      <c r="F6" s="22"/>
      <c r="G6" s="22"/>
      <c r="H6" s="33"/>
      <c r="I6" s="33"/>
      <c r="J6" s="22"/>
      <c r="K6" s="22"/>
      <c r="M6" s="20"/>
      <c r="N6" s="22"/>
      <c r="O6" s="22"/>
      <c r="P6" s="22"/>
      <c r="R6" s="22"/>
      <c r="S6"/>
      <c r="T6" s="22"/>
      <c r="U6" s="22"/>
      <c r="V6" s="22"/>
      <c r="W6" s="5"/>
    </row>
    <row r="7" spans="1:23" ht="15.75" thickBot="1">
      <c r="A7" s="160">
        <v>7891</v>
      </c>
      <c r="B7" s="160">
        <v>7897</v>
      </c>
      <c r="C7" s="23"/>
      <c r="E7" s="20"/>
      <c r="F7" s="22"/>
      <c r="G7" s="22"/>
      <c r="H7" s="33"/>
      <c r="I7" s="33"/>
      <c r="J7" s="22"/>
      <c r="K7" s="22"/>
      <c r="M7" s="20"/>
      <c r="N7" s="22"/>
      <c r="O7" s="22"/>
      <c r="P7" s="22"/>
      <c r="R7" s="22"/>
      <c r="S7" s="22"/>
      <c r="T7" s="22"/>
      <c r="U7" s="22"/>
      <c r="V7" s="22"/>
      <c r="W7" s="5"/>
    </row>
    <row r="8" spans="1:23" ht="15.75" thickBot="1">
      <c r="A8" s="160">
        <v>7891</v>
      </c>
      <c r="B8" s="160">
        <v>7898</v>
      </c>
      <c r="C8" s="23"/>
      <c r="E8" s="20"/>
      <c r="F8" s="22"/>
      <c r="G8" s="22"/>
      <c r="H8" s="33"/>
      <c r="I8" s="33"/>
      <c r="J8" s="22"/>
      <c r="K8" s="22"/>
      <c r="M8" s="20"/>
      <c r="N8" s="22"/>
      <c r="O8" s="22"/>
      <c r="P8" s="22"/>
      <c r="R8" s="22"/>
      <c r="S8" s="22"/>
      <c r="T8" s="22"/>
      <c r="U8" s="22"/>
      <c r="V8" s="22"/>
      <c r="W8" s="5"/>
    </row>
    <row r="9" spans="1:23" ht="15.75" thickBot="1">
      <c r="A9" s="160">
        <v>7891</v>
      </c>
      <c r="B9" s="160">
        <v>7899</v>
      </c>
      <c r="C9" s="23"/>
      <c r="E9" s="20"/>
      <c r="F9" s="22"/>
      <c r="G9" s="22"/>
      <c r="H9" s="33"/>
      <c r="I9" s="33"/>
      <c r="J9" s="22"/>
      <c r="K9" s="22"/>
      <c r="M9" s="20"/>
      <c r="N9" s="22"/>
      <c r="O9" s="22"/>
      <c r="P9" s="22"/>
      <c r="R9" s="22"/>
      <c r="S9" s="22"/>
      <c r="T9" s="22"/>
      <c r="U9" s="22"/>
      <c r="V9" s="22"/>
      <c r="W9" s="5"/>
    </row>
    <row r="10" spans="1:23" ht="15.75" thickBot="1">
      <c r="A10" s="160">
        <v>7891</v>
      </c>
      <c r="B10" s="160">
        <v>7900</v>
      </c>
      <c r="C10" s="23"/>
      <c r="E10" s="20"/>
      <c r="F10" s="22"/>
      <c r="G10" s="22"/>
      <c r="H10" s="33"/>
      <c r="I10" s="33"/>
      <c r="J10" s="22"/>
      <c r="K10" s="22"/>
      <c r="M10" s="20"/>
      <c r="N10" s="22"/>
      <c r="O10" s="22"/>
      <c r="P10" s="22"/>
      <c r="R10" s="22"/>
      <c r="S10" s="22"/>
      <c r="T10" s="22"/>
      <c r="U10" s="22"/>
      <c r="V10" s="22"/>
      <c r="W10" s="5"/>
    </row>
    <row r="11" spans="1:23" ht="15.75" thickBot="1">
      <c r="A11" s="160">
        <v>7891</v>
      </c>
      <c r="B11" s="160">
        <v>7901</v>
      </c>
      <c r="C11" s="23"/>
      <c r="E11" s="20"/>
      <c r="F11" s="22"/>
      <c r="G11" s="22"/>
      <c r="H11" s="33"/>
      <c r="I11" s="33"/>
      <c r="J11" s="22"/>
      <c r="K11" s="22"/>
      <c r="M11" s="20"/>
      <c r="N11" s="22"/>
      <c r="O11" s="22"/>
      <c r="P11" s="22"/>
      <c r="R11" s="22"/>
      <c r="S11" s="22"/>
      <c r="T11" s="22"/>
      <c r="U11" s="22"/>
      <c r="V11" s="22"/>
      <c r="W11" s="5"/>
    </row>
    <row r="12" spans="1:23" ht="15.75" thickBot="1">
      <c r="A12" s="160">
        <v>7891</v>
      </c>
      <c r="B12" s="160">
        <v>7902</v>
      </c>
      <c r="C12" s="23"/>
      <c r="E12" s="20"/>
      <c r="F12" s="22"/>
      <c r="G12" s="22"/>
      <c r="H12" s="33"/>
      <c r="I12" s="33"/>
      <c r="J12" s="22"/>
      <c r="K12" s="22"/>
      <c r="M12" s="20"/>
      <c r="N12" s="22"/>
      <c r="O12" s="22"/>
      <c r="P12" s="22"/>
      <c r="R12" s="22"/>
      <c r="S12" s="22"/>
      <c r="T12" s="22"/>
      <c r="U12" s="22"/>
      <c r="V12" s="22"/>
      <c r="W12" s="5"/>
    </row>
    <row r="13" spans="1:23" ht="15.75" thickBot="1">
      <c r="A13" s="160">
        <v>11925</v>
      </c>
      <c r="B13" s="160">
        <v>11926</v>
      </c>
      <c r="C13" s="23"/>
      <c r="E13" s="20"/>
      <c r="F13" s="22"/>
      <c r="G13" s="22"/>
      <c r="H13" s="33"/>
      <c r="I13" s="33"/>
      <c r="J13" s="22"/>
      <c r="K13" s="22"/>
      <c r="M13" s="20"/>
      <c r="N13" s="22"/>
      <c r="O13" s="22"/>
      <c r="P13" s="22"/>
      <c r="R13" s="22"/>
      <c r="S13" s="22"/>
      <c r="T13" s="22"/>
      <c r="U13" s="22"/>
      <c r="V13" s="22"/>
      <c r="W13" s="5"/>
    </row>
    <row r="14" spans="1:23" ht="15.75" thickBot="1">
      <c r="A14" s="160">
        <v>11925</v>
      </c>
      <c r="B14" s="160">
        <v>11927</v>
      </c>
      <c r="C14" s="23"/>
      <c r="E14" s="20"/>
      <c r="F14" s="22"/>
      <c r="G14" s="22"/>
      <c r="H14" s="33"/>
      <c r="I14" s="33"/>
      <c r="J14" s="22"/>
      <c r="K14" s="22"/>
      <c r="M14" s="20"/>
      <c r="N14" s="22"/>
      <c r="O14" s="22"/>
      <c r="P14" s="22"/>
      <c r="R14" s="22"/>
      <c r="S14" s="22"/>
      <c r="T14" s="22"/>
      <c r="U14" s="22"/>
      <c r="V14" s="22"/>
      <c r="W14" s="5"/>
    </row>
    <row r="15" spans="1:23" ht="15.75" thickBot="1">
      <c r="A15" s="160">
        <v>11925</v>
      </c>
      <c r="B15" s="160">
        <v>11928</v>
      </c>
      <c r="C15" s="23"/>
      <c r="E15" s="20"/>
      <c r="F15" s="22"/>
      <c r="G15" s="22"/>
      <c r="H15" s="33"/>
      <c r="I15" s="33"/>
      <c r="J15" s="22"/>
      <c r="K15" s="22"/>
      <c r="M15" s="20"/>
      <c r="N15" s="22"/>
      <c r="O15" s="22"/>
      <c r="P15" s="22"/>
      <c r="R15" s="22"/>
      <c r="S15" s="22"/>
      <c r="T15" s="22"/>
      <c r="U15" s="22"/>
      <c r="V15" s="22"/>
      <c r="W15" s="5"/>
    </row>
    <row r="16" spans="1:23" ht="15.75" thickBot="1">
      <c r="A16" s="160">
        <v>11925</v>
      </c>
      <c r="B16" s="160">
        <v>11929</v>
      </c>
      <c r="C16" s="23"/>
      <c r="E16" s="20"/>
      <c r="F16" s="22"/>
      <c r="G16" s="22"/>
      <c r="H16" s="33"/>
      <c r="I16" s="33"/>
      <c r="J16" s="22"/>
      <c r="K16" s="22"/>
      <c r="M16" s="20"/>
      <c r="N16" s="22"/>
      <c r="O16" s="22"/>
      <c r="P16" s="22"/>
      <c r="R16" s="22"/>
      <c r="S16" s="22"/>
      <c r="T16" s="22"/>
      <c r="U16" s="22"/>
      <c r="V16" s="22"/>
      <c r="W16" s="5"/>
    </row>
    <row r="17" spans="1:23" ht="15.75" thickBot="1">
      <c r="A17" s="160">
        <v>11925</v>
      </c>
      <c r="B17" s="160">
        <v>11930</v>
      </c>
      <c r="C17" s="23"/>
      <c r="E17" s="20"/>
      <c r="F17" s="22"/>
      <c r="G17" s="22"/>
      <c r="H17" s="33"/>
      <c r="I17" s="33"/>
      <c r="J17" s="22"/>
      <c r="K17" s="22"/>
      <c r="M17" s="20"/>
      <c r="N17" s="22"/>
      <c r="O17" s="22"/>
      <c r="P17" s="22"/>
      <c r="R17" s="22"/>
      <c r="S17" s="22"/>
      <c r="T17" s="22"/>
      <c r="U17" s="22"/>
      <c r="V17" s="22"/>
      <c r="W17" s="5"/>
    </row>
    <row r="18" spans="1:23" ht="15.75" thickBot="1">
      <c r="A18" s="160">
        <v>11925</v>
      </c>
      <c r="B18" s="160">
        <v>11931</v>
      </c>
      <c r="C18" s="23"/>
      <c r="E18" s="20"/>
      <c r="F18" s="22"/>
      <c r="G18" s="22"/>
      <c r="H18" s="33"/>
      <c r="I18" s="33"/>
      <c r="J18" s="22"/>
      <c r="K18" s="22"/>
      <c r="M18" s="20"/>
      <c r="N18" s="22"/>
      <c r="O18" s="22"/>
      <c r="P18" s="22"/>
      <c r="R18" s="22"/>
      <c r="S18" s="22"/>
      <c r="T18" s="22"/>
      <c r="U18" s="22"/>
      <c r="V18" s="22"/>
      <c r="W18" s="5"/>
    </row>
    <row r="19" spans="1:23" ht="15.75" thickBot="1">
      <c r="A19" s="160">
        <v>11925</v>
      </c>
      <c r="B19" s="160">
        <v>11932</v>
      </c>
      <c r="C19" s="23"/>
      <c r="E19" s="20"/>
      <c r="F19" s="22"/>
      <c r="G19" s="22"/>
      <c r="H19" s="33"/>
      <c r="I19" s="33"/>
      <c r="J19" s="22"/>
      <c r="K19" s="22"/>
      <c r="M19" s="20"/>
      <c r="N19" s="22"/>
      <c r="O19" s="22"/>
      <c r="P19" s="22"/>
      <c r="R19" s="22"/>
      <c r="S19" s="22"/>
      <c r="T19" s="22"/>
      <c r="U19" s="22"/>
      <c r="V19" s="22"/>
      <c r="W19" s="5"/>
    </row>
    <row r="20" spans="1:23" ht="15.75" thickBot="1">
      <c r="A20" s="160">
        <v>11925</v>
      </c>
      <c r="B20" s="160">
        <v>11933</v>
      </c>
      <c r="E20" s="20"/>
      <c r="F20" s="22"/>
      <c r="H20" s="33"/>
      <c r="I20" s="33"/>
      <c r="J20" s="22"/>
    </row>
    <row r="21" spans="1:23" s="44" customFormat="1" ht="15.75" thickBot="1">
      <c r="A21" s="160">
        <v>11925</v>
      </c>
      <c r="B21" s="160">
        <v>11934</v>
      </c>
      <c r="E21" s="47"/>
      <c r="L21" s="43"/>
    </row>
    <row r="22" spans="1:23" ht="15.75" thickBot="1">
      <c r="A22" s="160">
        <v>11925</v>
      </c>
      <c r="B22" s="160">
        <v>11935</v>
      </c>
    </row>
    <row r="23" spans="1:23" ht="15.75" thickBot="1">
      <c r="A23" s="160">
        <v>11925</v>
      </c>
      <c r="B23" s="160">
        <v>11936</v>
      </c>
    </row>
    <row r="24" spans="1:23" ht="15.75" thickBot="1">
      <c r="A24" s="160">
        <v>11925</v>
      </c>
      <c r="B24" s="160">
        <v>11937</v>
      </c>
    </row>
    <row r="25" spans="1:23" ht="15.75" thickBot="1">
      <c r="A25" s="160">
        <v>11939</v>
      </c>
      <c r="B25" s="160">
        <v>11942</v>
      </c>
    </row>
    <row r="26" spans="1:23" ht="15.75" thickBot="1">
      <c r="A26" s="160">
        <v>11939</v>
      </c>
      <c r="B26" s="160">
        <v>11943</v>
      </c>
    </row>
    <row r="27" spans="1:23" ht="15.75" thickBot="1">
      <c r="A27" s="160">
        <v>11939</v>
      </c>
      <c r="B27" s="160">
        <v>11944</v>
      </c>
    </row>
    <row r="28" spans="1:23" ht="15.75" thickBot="1">
      <c r="A28" s="160">
        <v>11939</v>
      </c>
      <c r="B28" s="160">
        <v>11945</v>
      </c>
    </row>
    <row r="29" spans="1:23" ht="15.75" thickBot="1">
      <c r="A29" s="160">
        <v>11939</v>
      </c>
      <c r="B29" s="160">
        <v>11946</v>
      </c>
    </row>
    <row r="30" spans="1:23" ht="15.75" thickBot="1">
      <c r="A30" s="160">
        <v>11939</v>
      </c>
      <c r="B30" s="160">
        <v>11947</v>
      </c>
    </row>
    <row r="31" spans="1:23" ht="15.75" thickBot="1">
      <c r="A31" s="160">
        <v>11939</v>
      </c>
      <c r="B31" s="160">
        <v>11948</v>
      </c>
    </row>
    <row r="32" spans="1:23" ht="15.75" thickBot="1">
      <c r="A32" s="160">
        <v>11939</v>
      </c>
      <c r="B32" s="160">
        <v>11949</v>
      </c>
    </row>
    <row r="33" spans="1:2" ht="15.75" thickBot="1">
      <c r="A33" s="160">
        <v>11939</v>
      </c>
      <c r="B33" s="160">
        <v>11950</v>
      </c>
    </row>
    <row r="34" spans="1:2" ht="15.75" thickBot="1">
      <c r="A34" s="160">
        <v>11939</v>
      </c>
      <c r="B34" s="160">
        <v>11979</v>
      </c>
    </row>
    <row r="35" spans="1:2" ht="15.75" thickBot="1">
      <c r="A35" s="160">
        <v>11939</v>
      </c>
      <c r="B35" s="160">
        <v>11980</v>
      </c>
    </row>
    <row r="36" spans="1:2" ht="15.75" thickBot="1">
      <c r="A36" s="160">
        <v>11939</v>
      </c>
      <c r="B36" s="160">
        <v>11981</v>
      </c>
    </row>
    <row r="37" spans="1:2" ht="15.75" thickBot="1">
      <c r="A37" s="160">
        <v>11342</v>
      </c>
      <c r="B37" s="160">
        <v>11343</v>
      </c>
    </row>
    <row r="38" spans="1:2" ht="15.75" thickBot="1">
      <c r="A38" s="160">
        <v>11342</v>
      </c>
      <c r="B38" s="160">
        <v>11344</v>
      </c>
    </row>
    <row r="39" spans="1:2" ht="15.75" thickBot="1">
      <c r="A39" s="160">
        <v>11342</v>
      </c>
      <c r="B39" s="160">
        <v>11345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 r:id="rId1"/>
    </customSheetView>
  </customSheetViews>
  <dataValidations count="5">
    <dataValidation type="list" allowBlank="1" showInputMessage="1" showErrorMessage="1" sqref="H2:H20" xr:uid="{00000000-0002-0000-1900-000000000000}">
      <formula1>israel_abroad</formula1>
    </dataValidation>
    <dataValidation type="list" allowBlank="1" showInputMessage="1" showErrorMessage="1" sqref="J2:J20" xr:uid="{00000000-0002-0000-1900-000001000000}">
      <formula1>Holding_interest</formula1>
    </dataValidation>
    <dataValidation type="list" allowBlank="1" showInputMessage="1" showErrorMessage="1" sqref="I2:I20" xr:uid="{00000000-0002-0000-1900-000002000000}">
      <formula1>Country_list</formula1>
    </dataValidation>
    <dataValidation type="list" allowBlank="1" showInputMessage="1" showErrorMessage="1" sqref="E2:E20" xr:uid="{00000000-0002-0000-1900-000003000000}">
      <formula1>Issuer_Number_Banks</formula1>
    </dataValidation>
    <dataValidation type="list" allowBlank="1" showInputMessage="1" showErrorMessage="1" sqref="L2:L20" xr:uid="{00000000-0002-0000-1900-000004000000}">
      <formula1>Rating_Agency</formula1>
    </dataValidation>
  </dataValidations>
  <pageMargins left="0.7" right="0.7" top="0.75" bottom="0.75" header="0.3" footer="0.3"/>
  <pageSetup orientation="portrait"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5000000}">
          <x14:formula1>
            <xm:f>'אפשרויות בחירה'!$C$992:$C$997</xm:f>
          </x14:formula1>
          <xm:sqref>F2:F20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/>
  <dimension ref="A1:Y39"/>
  <sheetViews>
    <sheetView rightToLeft="1" workbookViewId="0">
      <selection activeCell="A2" sqref="A2:B39"/>
    </sheetView>
  </sheetViews>
  <sheetFormatPr defaultColWidth="9" defaultRowHeight="15"/>
  <cols>
    <col min="1" max="24" width="11.5703125" style="2" customWidth="1"/>
    <col min="25" max="16384" width="9" style="2"/>
  </cols>
  <sheetData>
    <row r="1" spans="1:25" ht="66.75" customHeight="1">
      <c r="A1" s="21" t="s">
        <v>667</v>
      </c>
      <c r="B1" s="21" t="s">
        <v>0</v>
      </c>
      <c r="C1" s="21" t="s">
        <v>299</v>
      </c>
      <c r="D1" s="21" t="s">
        <v>1</v>
      </c>
      <c r="E1" s="21" t="s">
        <v>798</v>
      </c>
      <c r="F1" s="21" t="s">
        <v>622</v>
      </c>
      <c r="G1" s="21" t="s">
        <v>12</v>
      </c>
      <c r="H1" s="21" t="s">
        <v>24</v>
      </c>
      <c r="I1" s="21" t="s">
        <v>286</v>
      </c>
      <c r="J1" s="21" t="s">
        <v>25</v>
      </c>
      <c r="K1" s="21" t="s">
        <v>966</v>
      </c>
      <c r="L1" s="21" t="s">
        <v>1167</v>
      </c>
      <c r="M1" s="21" t="s">
        <v>933</v>
      </c>
      <c r="N1" s="21" t="s">
        <v>747</v>
      </c>
      <c r="O1" s="21" t="s">
        <v>372</v>
      </c>
      <c r="P1" s="21" t="s">
        <v>16</v>
      </c>
      <c r="Q1" s="21" t="s">
        <v>396</v>
      </c>
      <c r="R1" s="21" t="s">
        <v>803</v>
      </c>
      <c r="S1" s="21" t="s">
        <v>1171</v>
      </c>
      <c r="T1" s="21" t="s">
        <v>1172</v>
      </c>
      <c r="U1" s="21" t="s">
        <v>804</v>
      </c>
      <c r="V1" s="21" t="s">
        <v>26</v>
      </c>
      <c r="W1" s="21" t="s">
        <v>19</v>
      </c>
      <c r="X1" s="21" t="s">
        <v>30</v>
      </c>
    </row>
    <row r="2" spans="1:25" ht="15.75" thickBot="1">
      <c r="A2" s="160">
        <v>7891</v>
      </c>
      <c r="B2" s="160">
        <v>7892</v>
      </c>
      <c r="C2" s="22"/>
      <c r="D2" s="22"/>
      <c r="E2" s="22"/>
      <c r="F2" s="22"/>
      <c r="G2" s="22"/>
      <c r="H2" s="22"/>
      <c r="I2" s="22"/>
      <c r="J2" s="22"/>
      <c r="K2" s="22"/>
      <c r="L2" s="23"/>
      <c r="M2" s="23"/>
      <c r="N2" s="23"/>
      <c r="O2" s="23"/>
      <c r="P2" s="22"/>
      <c r="Q2" s="20"/>
      <c r="R2" s="22"/>
      <c r="S2" s="22"/>
      <c r="T2" s="23"/>
      <c r="U2" s="23"/>
      <c r="V2" s="22"/>
      <c r="W2" s="22"/>
      <c r="X2" s="22"/>
      <c r="Y2" s="5"/>
    </row>
    <row r="3" spans="1:25" ht="15.75" thickBot="1">
      <c r="A3" s="160">
        <v>7891</v>
      </c>
      <c r="B3" s="160">
        <v>7893</v>
      </c>
      <c r="C3" s="22"/>
      <c r="D3" s="22"/>
      <c r="E3" s="22"/>
      <c r="F3" s="22"/>
      <c r="G3" s="22"/>
      <c r="H3" s="22"/>
      <c r="I3" s="22"/>
      <c r="J3" s="22"/>
      <c r="K3" s="22"/>
      <c r="L3" s="23"/>
      <c r="M3" s="22"/>
      <c r="N3" s="23"/>
      <c r="O3" s="22"/>
      <c r="P3" s="22"/>
      <c r="Q3" s="20"/>
      <c r="R3" s="22"/>
      <c r="S3" s="22"/>
      <c r="T3" s="22"/>
      <c r="U3" s="22"/>
      <c r="V3" s="22"/>
      <c r="W3" s="22"/>
      <c r="X3" s="22"/>
      <c r="Y3" s="5"/>
    </row>
    <row r="4" spans="1:25" ht="15.75" thickBot="1">
      <c r="A4" s="160">
        <v>7891</v>
      </c>
      <c r="B4" s="160">
        <v>7894</v>
      </c>
      <c r="C4" s="22"/>
      <c r="D4" s="22"/>
      <c r="E4" s="22"/>
      <c r="F4" s="22"/>
      <c r="G4" s="22"/>
      <c r="H4" s="22"/>
      <c r="I4" s="22"/>
      <c r="J4" s="22"/>
      <c r="K4" s="22"/>
      <c r="L4" s="23"/>
      <c r="M4" s="22"/>
      <c r="N4" s="22"/>
      <c r="O4" s="22"/>
      <c r="P4" s="22"/>
      <c r="Q4" s="20"/>
      <c r="R4" s="22"/>
      <c r="S4" s="22"/>
      <c r="T4" s="22"/>
      <c r="U4" s="22"/>
      <c r="V4" s="22"/>
      <c r="W4" s="22"/>
      <c r="X4" s="22"/>
      <c r="Y4" s="5"/>
    </row>
    <row r="5" spans="1:25" ht="15.75" thickBot="1">
      <c r="A5" s="160">
        <v>7891</v>
      </c>
      <c r="B5" s="160">
        <v>7895</v>
      </c>
      <c r="C5" s="22"/>
      <c r="D5" s="22"/>
      <c r="E5" s="22"/>
      <c r="F5" s="22"/>
      <c r="G5" s="22"/>
      <c r="H5" s="22"/>
      <c r="I5" s="22"/>
      <c r="J5" s="22"/>
      <c r="K5" s="22"/>
      <c r="L5" s="23"/>
      <c r="M5" s="22"/>
      <c r="N5" s="22"/>
      <c r="O5" s="22"/>
      <c r="P5" s="22"/>
      <c r="Q5" s="20"/>
      <c r="R5" s="22"/>
      <c r="S5" s="22"/>
      <c r="T5" s="22"/>
      <c r="U5" s="22"/>
      <c r="V5" s="22"/>
      <c r="W5" s="22"/>
      <c r="X5" s="22"/>
      <c r="Y5" s="5"/>
    </row>
    <row r="6" spans="1:25" ht="15.75" thickBot="1">
      <c r="A6" s="160">
        <v>7891</v>
      </c>
      <c r="B6" s="160">
        <v>7896</v>
      </c>
      <c r="C6" s="22"/>
      <c r="D6" s="22"/>
      <c r="E6" s="22"/>
      <c r="F6" s="22"/>
      <c r="G6" s="22"/>
      <c r="H6" s="22"/>
      <c r="I6" s="22"/>
      <c r="J6" s="22"/>
      <c r="K6" s="22"/>
      <c r="L6" s="23"/>
      <c r="M6" s="22"/>
      <c r="N6" s="22"/>
      <c r="O6" s="22"/>
      <c r="P6" s="22"/>
      <c r="Q6" s="20"/>
      <c r="R6" s="22"/>
      <c r="S6" s="22"/>
      <c r="T6" s="22"/>
      <c r="U6" s="22"/>
      <c r="V6" s="22"/>
      <c r="W6" s="22"/>
      <c r="X6" s="22"/>
      <c r="Y6" s="5"/>
    </row>
    <row r="7" spans="1:25" ht="15.75" thickBot="1">
      <c r="A7" s="160">
        <v>7891</v>
      </c>
      <c r="B7" s="160">
        <v>7897</v>
      </c>
      <c r="C7" s="22"/>
      <c r="D7" s="22"/>
      <c r="E7" s="22"/>
      <c r="F7" s="22"/>
      <c r="G7" s="22"/>
      <c r="H7" s="22"/>
      <c r="I7" s="22"/>
      <c r="J7" s="22"/>
      <c r="K7" s="22"/>
      <c r="L7" s="23"/>
      <c r="M7" s="22"/>
      <c r="N7" s="22"/>
      <c r="O7" s="22"/>
      <c r="P7" s="22"/>
      <c r="Q7" s="20"/>
      <c r="R7" s="22"/>
      <c r="S7" s="22"/>
      <c r="T7" s="22"/>
      <c r="U7" s="22"/>
      <c r="V7" s="22"/>
      <c r="W7" s="22"/>
      <c r="X7" s="22"/>
      <c r="Y7" s="5"/>
    </row>
    <row r="8" spans="1:25" ht="15.75" thickBot="1">
      <c r="A8" s="160">
        <v>7891</v>
      </c>
      <c r="B8" s="160">
        <v>7898</v>
      </c>
      <c r="C8" s="22"/>
      <c r="D8" s="22"/>
      <c r="E8" s="22"/>
      <c r="F8" s="22"/>
      <c r="G8" s="22"/>
      <c r="H8" s="22"/>
      <c r="I8" s="22"/>
      <c r="J8" s="22"/>
      <c r="K8" s="22"/>
      <c r="L8" s="23"/>
      <c r="M8" s="22"/>
      <c r="N8" s="22"/>
      <c r="O8" s="22"/>
      <c r="P8" s="22"/>
      <c r="Q8" s="20"/>
      <c r="R8" s="22"/>
      <c r="S8" s="22"/>
      <c r="T8" s="22"/>
      <c r="U8" s="22"/>
      <c r="V8" s="22"/>
      <c r="W8" s="22"/>
      <c r="X8" s="22"/>
      <c r="Y8" s="5"/>
    </row>
    <row r="9" spans="1:25" ht="15.75" thickBot="1">
      <c r="A9" s="160">
        <v>7891</v>
      </c>
      <c r="B9" s="160">
        <v>7899</v>
      </c>
      <c r="C9" s="22"/>
      <c r="D9" s="22"/>
      <c r="E9" s="22"/>
      <c r="F9" s="22"/>
      <c r="G9" s="22"/>
      <c r="H9" s="22"/>
      <c r="I9" s="22"/>
      <c r="J9" s="22"/>
      <c r="K9" s="22"/>
      <c r="L9" s="23"/>
      <c r="M9" s="22"/>
      <c r="N9" s="22"/>
      <c r="O9" s="22"/>
      <c r="P9" s="22"/>
      <c r="Q9" s="20"/>
      <c r="R9" s="22"/>
      <c r="S9" s="22"/>
      <c r="T9" s="22"/>
      <c r="U9" s="22"/>
      <c r="V9" s="22"/>
      <c r="W9" s="22"/>
      <c r="X9" s="22"/>
      <c r="Y9" s="5"/>
    </row>
    <row r="10" spans="1:25" ht="15.75" thickBot="1">
      <c r="A10" s="160">
        <v>7891</v>
      </c>
      <c r="B10" s="160">
        <v>7900</v>
      </c>
      <c r="C10" s="22"/>
      <c r="D10" s="22"/>
      <c r="E10" s="22"/>
      <c r="F10" s="22"/>
      <c r="G10" s="22"/>
      <c r="H10" s="22"/>
      <c r="I10" s="22"/>
      <c r="J10" s="22"/>
      <c r="K10" s="22"/>
      <c r="L10" s="23"/>
      <c r="M10" s="22"/>
      <c r="N10" s="22"/>
      <c r="O10" s="22"/>
      <c r="P10" s="22"/>
      <c r="Q10" s="20"/>
      <c r="R10" s="22"/>
      <c r="S10" s="22"/>
      <c r="T10" s="22"/>
      <c r="U10" s="22"/>
      <c r="V10" s="22"/>
      <c r="W10" s="22"/>
      <c r="X10" s="22"/>
      <c r="Y10" s="5"/>
    </row>
    <row r="11" spans="1:25" ht="15.75" thickBot="1">
      <c r="A11" s="160">
        <v>7891</v>
      </c>
      <c r="B11" s="160">
        <v>7901</v>
      </c>
      <c r="C11" s="22"/>
      <c r="D11" s="22"/>
      <c r="E11" s="22"/>
      <c r="F11" s="22"/>
      <c r="G11" s="22"/>
      <c r="H11" s="22"/>
      <c r="I11" s="22"/>
      <c r="J11" s="22"/>
      <c r="K11" s="22"/>
      <c r="L11" s="23"/>
      <c r="M11" s="22"/>
      <c r="N11" s="22"/>
      <c r="O11" s="22"/>
      <c r="P11" s="22"/>
      <c r="Q11" s="20"/>
      <c r="R11" s="22"/>
      <c r="S11" s="22"/>
      <c r="T11" s="22"/>
      <c r="U11" s="22"/>
      <c r="V11" s="22"/>
      <c r="W11" s="22"/>
      <c r="X11" s="22"/>
      <c r="Y11" s="5"/>
    </row>
    <row r="12" spans="1:25" ht="15.75" thickBot="1">
      <c r="A12" s="160">
        <v>7891</v>
      </c>
      <c r="B12" s="160">
        <v>7902</v>
      </c>
      <c r="C12" s="22"/>
      <c r="D12" s="22"/>
      <c r="E12" s="22"/>
      <c r="F12" s="22"/>
      <c r="G12" s="22"/>
      <c r="H12" s="22"/>
      <c r="I12" s="22"/>
      <c r="J12" s="22"/>
      <c r="K12" s="22"/>
      <c r="L12" s="23"/>
      <c r="M12" s="22"/>
      <c r="N12" s="22"/>
      <c r="O12" s="22"/>
      <c r="P12" s="22"/>
      <c r="Q12" s="20"/>
      <c r="R12" s="22"/>
      <c r="S12" s="22"/>
      <c r="T12" s="22"/>
      <c r="U12" s="22"/>
      <c r="V12" s="22"/>
      <c r="W12" s="22"/>
      <c r="X12" s="22"/>
      <c r="Y12" s="5"/>
    </row>
    <row r="13" spans="1:25" ht="15.75" thickBot="1">
      <c r="A13" s="160">
        <v>11925</v>
      </c>
      <c r="B13" s="160">
        <v>11926</v>
      </c>
      <c r="C13" s="22"/>
      <c r="D13" s="22"/>
      <c r="E13" s="22"/>
      <c r="F13" s="22"/>
      <c r="G13" s="22"/>
      <c r="H13" s="22"/>
      <c r="I13" s="22"/>
      <c r="J13" s="22"/>
      <c r="K13" s="22"/>
      <c r="L13" s="23"/>
      <c r="M13" s="22"/>
      <c r="N13" s="22"/>
      <c r="O13" s="22"/>
      <c r="P13" s="22"/>
      <c r="Q13" s="20"/>
      <c r="R13" s="22"/>
      <c r="S13" s="22"/>
      <c r="T13" s="22"/>
      <c r="U13" s="22"/>
      <c r="V13" s="22"/>
      <c r="W13" s="22"/>
      <c r="X13" s="22"/>
      <c r="Y13" s="5"/>
    </row>
    <row r="14" spans="1:25" ht="15.75" thickBot="1">
      <c r="A14" s="160">
        <v>11925</v>
      </c>
      <c r="B14" s="160">
        <v>11927</v>
      </c>
      <c r="C14" s="22"/>
      <c r="D14" s="22"/>
      <c r="E14" s="22"/>
      <c r="F14" s="22"/>
      <c r="G14" s="22"/>
      <c r="H14" s="22"/>
      <c r="I14" s="22"/>
      <c r="J14" s="22"/>
      <c r="K14" s="22"/>
      <c r="L14" s="23"/>
      <c r="M14" s="22"/>
      <c r="N14" s="22"/>
      <c r="O14" s="22"/>
      <c r="P14" s="22"/>
      <c r="Q14" s="20"/>
      <c r="R14" s="22"/>
      <c r="S14" s="22"/>
      <c r="T14" s="22"/>
      <c r="U14" s="22"/>
      <c r="V14" s="22"/>
      <c r="W14" s="22"/>
      <c r="X14" s="22"/>
      <c r="Y14" s="5"/>
    </row>
    <row r="15" spans="1:25" ht="15.75" thickBot="1">
      <c r="A15" s="160">
        <v>11925</v>
      </c>
      <c r="B15" s="160">
        <v>11928</v>
      </c>
      <c r="C15" s="22"/>
      <c r="D15" s="22"/>
      <c r="E15" s="22"/>
      <c r="F15" s="22"/>
      <c r="G15" s="22"/>
      <c r="H15" s="22"/>
      <c r="I15" s="22"/>
      <c r="J15" s="22"/>
      <c r="K15" s="22"/>
      <c r="L15" s="23"/>
      <c r="M15" s="22"/>
      <c r="N15" s="22"/>
      <c r="O15" s="22"/>
      <c r="P15" s="22"/>
      <c r="Q15" s="20"/>
      <c r="R15" s="22"/>
      <c r="S15" s="22"/>
      <c r="T15" s="22"/>
      <c r="U15" s="22"/>
      <c r="V15" s="22"/>
      <c r="W15" s="22"/>
      <c r="X15" s="22"/>
      <c r="Y15" s="5"/>
    </row>
    <row r="16" spans="1:25" ht="15.75" thickBot="1">
      <c r="A16" s="160">
        <v>11925</v>
      </c>
      <c r="B16" s="160">
        <v>11929</v>
      </c>
      <c r="C16" s="22"/>
      <c r="D16" s="22"/>
      <c r="E16" s="22"/>
      <c r="F16" s="22"/>
      <c r="G16" s="22"/>
      <c r="H16" s="22"/>
      <c r="I16" s="22"/>
      <c r="J16" s="22"/>
      <c r="K16" s="22"/>
      <c r="L16" s="23"/>
      <c r="M16" s="22"/>
      <c r="N16" s="22"/>
      <c r="O16" s="22"/>
      <c r="P16" s="22"/>
      <c r="Q16" s="20"/>
      <c r="R16" s="22"/>
      <c r="S16" s="22"/>
      <c r="T16" s="22"/>
      <c r="U16" s="22"/>
      <c r="V16" s="22"/>
      <c r="W16" s="22"/>
      <c r="X16" s="22"/>
    </row>
    <row r="17" spans="1:24" ht="15.75" thickBot="1">
      <c r="A17" s="160">
        <v>11925</v>
      </c>
      <c r="B17" s="160">
        <v>11930</v>
      </c>
      <c r="C17" s="22"/>
      <c r="D17" s="22"/>
      <c r="E17" s="22"/>
      <c r="F17" s="22"/>
      <c r="G17" s="22"/>
      <c r="H17" s="22"/>
      <c r="I17" s="22"/>
      <c r="J17" s="22"/>
      <c r="K17" s="22"/>
      <c r="L17" s="23"/>
      <c r="M17" s="22"/>
      <c r="N17" s="22"/>
      <c r="O17" s="22"/>
      <c r="P17" s="22"/>
      <c r="Q17" s="20"/>
      <c r="R17" s="22"/>
      <c r="S17" s="22"/>
      <c r="T17" s="22"/>
      <c r="U17" s="22"/>
      <c r="V17" s="22"/>
      <c r="W17" s="22"/>
      <c r="X17" s="22"/>
    </row>
    <row r="18" spans="1:24" ht="15.75" thickBot="1">
      <c r="A18" s="160">
        <v>11925</v>
      </c>
      <c r="B18" s="160">
        <v>11931</v>
      </c>
      <c r="C18" s="22"/>
      <c r="D18" s="22"/>
      <c r="E18" s="22"/>
      <c r="F18" s="22"/>
      <c r="G18" s="22"/>
      <c r="H18" s="22"/>
      <c r="I18" s="22"/>
      <c r="J18" s="22"/>
      <c r="K18" s="22"/>
      <c r="L18" s="23"/>
      <c r="M18" s="22"/>
      <c r="N18" s="22"/>
      <c r="O18" s="22"/>
      <c r="P18" s="22"/>
      <c r="Q18" s="20"/>
      <c r="R18" s="22"/>
      <c r="S18" s="22"/>
      <c r="T18" s="22"/>
      <c r="U18" s="22"/>
      <c r="V18" s="22"/>
      <c r="W18" s="22"/>
      <c r="X18" s="22"/>
    </row>
    <row r="19" spans="1:24" ht="15.75" thickBot="1">
      <c r="A19" s="160">
        <v>11925</v>
      </c>
      <c r="B19" s="160">
        <v>11932</v>
      </c>
      <c r="C19" s="22"/>
      <c r="D19" s="22"/>
      <c r="E19" s="22"/>
      <c r="F19" s="22"/>
      <c r="G19" s="22"/>
      <c r="H19" s="22"/>
      <c r="I19" s="22"/>
      <c r="J19" s="22"/>
      <c r="K19" s="22"/>
      <c r="L19" s="23"/>
      <c r="M19" s="22"/>
      <c r="N19" s="22"/>
      <c r="O19" s="22"/>
      <c r="P19" s="22"/>
      <c r="Q19" s="20"/>
      <c r="R19" s="22"/>
      <c r="S19" s="22"/>
      <c r="T19" s="22"/>
      <c r="U19" s="22"/>
      <c r="V19" s="22"/>
      <c r="W19" s="22"/>
      <c r="X19" s="22"/>
    </row>
    <row r="20" spans="1:24" ht="15.75" thickBot="1">
      <c r="A20" s="160">
        <v>11925</v>
      </c>
      <c r="B20" s="160">
        <v>11933</v>
      </c>
      <c r="D20" s="22"/>
      <c r="E20" s="22"/>
      <c r="F20" s="22"/>
      <c r="H20" s="22"/>
      <c r="I20" s="22"/>
      <c r="L20" s="23"/>
      <c r="M20" s="22"/>
      <c r="O20" s="22"/>
      <c r="V20" s="22"/>
    </row>
    <row r="21" spans="1:24" s="44" customFormat="1" ht="15.75" thickBot="1">
      <c r="A21" s="160">
        <v>11925</v>
      </c>
      <c r="B21" s="160">
        <v>11934</v>
      </c>
      <c r="D21" s="22"/>
      <c r="E21" s="23"/>
    </row>
    <row r="22" spans="1:24" ht="15.75" thickBot="1">
      <c r="A22" s="160">
        <v>11925</v>
      </c>
      <c r="B22" s="160">
        <v>11935</v>
      </c>
      <c r="D22"/>
    </row>
    <row r="23" spans="1:24" ht="15.75" thickBot="1">
      <c r="A23" s="160">
        <v>11925</v>
      </c>
      <c r="B23" s="160">
        <v>11936</v>
      </c>
    </row>
    <row r="24" spans="1:24" ht="15.75" thickBot="1">
      <c r="A24" s="160">
        <v>11925</v>
      </c>
      <c r="B24" s="160">
        <v>11937</v>
      </c>
    </row>
    <row r="25" spans="1:24" ht="15.75" thickBot="1">
      <c r="A25" s="160">
        <v>11939</v>
      </c>
      <c r="B25" s="160">
        <v>11942</v>
      </c>
    </row>
    <row r="26" spans="1:24" ht="15.75" thickBot="1">
      <c r="A26" s="160">
        <v>11939</v>
      </c>
      <c r="B26" s="160">
        <v>11943</v>
      </c>
    </row>
    <row r="27" spans="1:24" ht="15.75" thickBot="1">
      <c r="A27" s="160">
        <v>11939</v>
      </c>
      <c r="B27" s="160">
        <v>11944</v>
      </c>
    </row>
    <row r="28" spans="1:24" ht="15.75" thickBot="1">
      <c r="A28" s="160">
        <v>11939</v>
      </c>
      <c r="B28" s="160">
        <v>11945</v>
      </c>
    </row>
    <row r="29" spans="1:24" ht="15.75" thickBot="1">
      <c r="A29" s="160">
        <v>11939</v>
      </c>
      <c r="B29" s="160">
        <v>11946</v>
      </c>
    </row>
    <row r="30" spans="1:24" ht="15.75" thickBot="1">
      <c r="A30" s="160">
        <v>11939</v>
      </c>
      <c r="B30" s="160">
        <v>11947</v>
      </c>
    </row>
    <row r="31" spans="1:24" ht="15.75" thickBot="1">
      <c r="A31" s="160">
        <v>11939</v>
      </c>
      <c r="B31" s="160">
        <v>11948</v>
      </c>
    </row>
    <row r="32" spans="1:24" ht="15.75" thickBot="1">
      <c r="A32" s="160">
        <v>11939</v>
      </c>
      <c r="B32" s="160">
        <v>11949</v>
      </c>
    </row>
    <row r="33" spans="1:2" ht="15.75" thickBot="1">
      <c r="A33" s="160">
        <v>11939</v>
      </c>
      <c r="B33" s="160">
        <v>11950</v>
      </c>
    </row>
    <row r="34" spans="1:2" ht="15.75" thickBot="1">
      <c r="A34" s="160">
        <v>11939</v>
      </c>
      <c r="B34" s="160">
        <v>11979</v>
      </c>
    </row>
    <row r="35" spans="1:2" ht="15.75" thickBot="1">
      <c r="A35" s="160">
        <v>11939</v>
      </c>
      <c r="B35" s="160">
        <v>11980</v>
      </c>
    </row>
    <row r="36" spans="1:2" ht="15.75" thickBot="1">
      <c r="A36" s="160">
        <v>11939</v>
      </c>
      <c r="B36" s="160">
        <v>11981</v>
      </c>
    </row>
    <row r="37" spans="1:2" ht="15.75" thickBot="1">
      <c r="A37" s="160">
        <v>11342</v>
      </c>
      <c r="B37" s="160">
        <v>11343</v>
      </c>
    </row>
    <row r="38" spans="1:2" ht="15.75" thickBot="1">
      <c r="A38" s="160">
        <v>11342</v>
      </c>
      <c r="B38" s="160">
        <v>11344</v>
      </c>
    </row>
    <row r="39" spans="1:2" ht="15.75" thickBot="1">
      <c r="A39" s="160">
        <v>11342</v>
      </c>
      <c r="B39" s="160">
        <v>11345</v>
      </c>
    </row>
  </sheetData>
  <sheetProtection formatColumns="0"/>
  <customSheetViews>
    <customSheetView guid="{AE318230-F718-49FC-82EB-7CAC3DCD05F1}" showGridLines="0" hiddenRows="1">
      <selection activeCell="A3" sqref="A3:XFD3"/>
      <pageMargins left="0.7" right="0.7" top="0.75" bottom="0.75" header="0.3" footer="0.3"/>
      <pageSetup orientation="portrait" r:id="rId1"/>
    </customSheetView>
  </customSheetViews>
  <dataValidations count="8">
    <dataValidation type="list" allowBlank="1" showInputMessage="1" showErrorMessage="1" sqref="F2:F20" xr:uid="{00000000-0002-0000-1A00-000000000000}">
      <formula1>Holding_interest</formula1>
    </dataValidation>
    <dataValidation type="list" allowBlank="1" showInputMessage="1" showErrorMessage="1" sqref="V2:V20" xr:uid="{00000000-0002-0000-1A00-000001000000}">
      <formula1>In_the_books</formula1>
    </dataValidation>
    <dataValidation type="list" allowBlank="1" showInputMessage="1" showErrorMessage="1" sqref="L2:L20" xr:uid="{00000000-0002-0000-1A00-000002000000}">
      <formula1>Valuation_Method</formula1>
    </dataValidation>
    <dataValidation type="list" allowBlank="1" showInputMessage="1" showErrorMessage="1" sqref="O2:O20" xr:uid="{00000000-0002-0000-1A00-000003000000}">
      <formula1>Dependence_Independence</formula1>
    </dataValidation>
    <dataValidation type="list" allowBlank="1" showInputMessage="1" showErrorMessage="1" sqref="E2:E21" xr:uid="{00000000-0002-0000-1A00-000004000000}">
      <formula1>Country_list</formula1>
    </dataValidation>
    <dataValidation type="list" allowBlank="1" showInputMessage="1" showErrorMessage="1" sqref="I2:I20" xr:uid="{00000000-0002-0000-1A00-000005000000}">
      <formula1>real_estate_lifestage</formula1>
    </dataValidation>
    <dataValidation type="list" allowBlank="1" showInputMessage="1" showErrorMessage="1" sqref="M2:M20" xr:uid="{00000000-0002-0000-1A00-000006000000}">
      <formula1>Valuation_Realestate</formula1>
    </dataValidation>
    <dataValidation type="list" allowBlank="1" showInputMessage="1" showErrorMessage="1" sqref="H2:H20" xr:uid="{00000000-0002-0000-1A00-000007000000}">
      <formula1>Real_Estate_Main_Use</formula1>
    </dataValidation>
  </dataValidations>
  <pageMargins left="0.7" right="0.7" top="0.75" bottom="0.75" header="0.3" footer="0.3"/>
  <pageSetup orientation="portrait"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8000000}">
          <x14:formula1>
            <xm:f>'אפשרויות בחירה'!$C$998:$C$999</xm:f>
          </x14:formula1>
          <xm:sqref>D2:D21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/>
  <dimension ref="A1:W39"/>
  <sheetViews>
    <sheetView rightToLeft="1" workbookViewId="0">
      <selection activeCell="A2" sqref="A2:B39"/>
    </sheetView>
  </sheetViews>
  <sheetFormatPr defaultColWidth="9" defaultRowHeight="15"/>
  <cols>
    <col min="1" max="4" width="11.5703125" style="2" customWidth="1"/>
    <col min="5" max="5" width="11.5703125" style="4" customWidth="1"/>
    <col min="6" max="23" width="11.5703125" style="2" customWidth="1"/>
    <col min="24" max="16384" width="9" style="2"/>
  </cols>
  <sheetData>
    <row r="1" spans="1:23" ht="66.75" customHeight="1">
      <c r="A1" s="21" t="s">
        <v>667</v>
      </c>
      <c r="B1" s="21" t="s">
        <v>0</v>
      </c>
      <c r="C1" s="21" t="s">
        <v>740</v>
      </c>
      <c r="D1" s="21" t="s">
        <v>2</v>
      </c>
      <c r="E1" s="21" t="s">
        <v>756</v>
      </c>
      <c r="F1" s="21" t="s">
        <v>1163</v>
      </c>
      <c r="G1" s="21" t="s">
        <v>29</v>
      </c>
      <c r="H1" s="21" t="s">
        <v>28</v>
      </c>
      <c r="I1" s="21" t="s">
        <v>1</v>
      </c>
      <c r="J1" s="21" t="s">
        <v>620</v>
      </c>
      <c r="K1" s="21" t="s">
        <v>621</v>
      </c>
      <c r="L1" s="21" t="s">
        <v>9</v>
      </c>
      <c r="M1" s="21" t="s">
        <v>622</v>
      </c>
      <c r="N1" s="21" t="s">
        <v>396</v>
      </c>
      <c r="O1" s="21" t="s">
        <v>933</v>
      </c>
      <c r="P1" s="21" t="s">
        <v>372</v>
      </c>
      <c r="Q1" s="21" t="s">
        <v>16</v>
      </c>
      <c r="R1" s="21" t="s">
        <v>1165</v>
      </c>
      <c r="S1" s="21" t="s">
        <v>634</v>
      </c>
      <c r="T1" s="21" t="s">
        <v>1174</v>
      </c>
      <c r="U1" s="21" t="s">
        <v>1171</v>
      </c>
      <c r="V1" s="21" t="s">
        <v>19</v>
      </c>
      <c r="W1" s="21" t="s">
        <v>30</v>
      </c>
    </row>
    <row r="2" spans="1:23" ht="15.75" thickBot="1">
      <c r="A2" s="160">
        <v>7891</v>
      </c>
      <c r="B2" s="160">
        <v>7892</v>
      </c>
      <c r="C2" s="22"/>
      <c r="D2" s="22"/>
      <c r="E2" s="20"/>
      <c r="F2" s="22"/>
      <c r="G2" s="22"/>
      <c r="H2" s="22"/>
      <c r="I2" s="22"/>
      <c r="J2" s="20"/>
      <c r="K2" s="20"/>
      <c r="L2" s="23"/>
      <c r="M2" s="22"/>
      <c r="N2" s="20"/>
      <c r="O2" s="22"/>
      <c r="P2" s="22"/>
      <c r="Q2" s="22"/>
      <c r="R2" s="22"/>
      <c r="S2" s="22"/>
      <c r="T2" s="23"/>
      <c r="U2" s="22"/>
      <c r="V2" s="22"/>
      <c r="W2" s="22"/>
    </row>
    <row r="3" spans="1:23" ht="15.75" thickBot="1">
      <c r="A3" s="160">
        <v>7891</v>
      </c>
      <c r="B3" s="160">
        <v>7893</v>
      </c>
      <c r="C3" s="22"/>
      <c r="D3" s="22"/>
      <c r="E3" s="20"/>
      <c r="F3" s="22"/>
      <c r="G3" s="22"/>
      <c r="H3" s="22"/>
      <c r="I3" s="22"/>
      <c r="J3" s="20"/>
      <c r="K3" s="20"/>
      <c r="L3" s="23"/>
      <c r="M3" s="22"/>
      <c r="N3" s="20"/>
      <c r="O3" s="22"/>
      <c r="P3" s="22"/>
      <c r="Q3" s="22"/>
      <c r="R3" s="22"/>
      <c r="S3" s="22"/>
      <c r="T3" s="22"/>
      <c r="U3" s="22"/>
      <c r="V3" s="22"/>
      <c r="W3" s="22"/>
    </row>
    <row r="4" spans="1:23" ht="15.75" thickBot="1">
      <c r="A4" s="160">
        <v>7891</v>
      </c>
      <c r="B4" s="160">
        <v>7894</v>
      </c>
      <c r="C4" s="22"/>
      <c r="D4" s="22"/>
      <c r="E4" s="20"/>
      <c r="F4" s="22"/>
      <c r="G4" s="22"/>
      <c r="H4" s="22"/>
      <c r="I4" s="22"/>
      <c r="J4" s="20"/>
      <c r="K4" s="20"/>
      <c r="L4" s="23"/>
      <c r="M4" s="22"/>
      <c r="N4" s="20"/>
      <c r="O4" s="22"/>
      <c r="P4" s="22"/>
      <c r="Q4" s="22"/>
      <c r="R4" s="22"/>
      <c r="S4" s="22"/>
      <c r="T4" s="22"/>
      <c r="U4" s="22"/>
      <c r="V4" s="22"/>
      <c r="W4" s="22"/>
    </row>
    <row r="5" spans="1:23" ht="15.75" thickBot="1">
      <c r="A5" s="160">
        <v>7891</v>
      </c>
      <c r="B5" s="160">
        <v>7895</v>
      </c>
      <c r="C5" s="22"/>
      <c r="D5" s="22"/>
      <c r="E5" s="20"/>
      <c r="F5" s="22"/>
      <c r="G5" s="22"/>
      <c r="H5" s="22"/>
      <c r="I5" s="22"/>
      <c r="J5" s="20"/>
      <c r="K5" s="20"/>
      <c r="L5" s="23"/>
      <c r="M5" s="22"/>
      <c r="N5" s="20"/>
      <c r="O5" s="22"/>
      <c r="P5" s="22"/>
      <c r="Q5" s="22"/>
      <c r="R5" s="22"/>
      <c r="S5" s="22"/>
      <c r="T5" s="22"/>
      <c r="U5" s="22"/>
      <c r="V5" s="22"/>
      <c r="W5" s="22"/>
    </row>
    <row r="6" spans="1:23" ht="15.75" thickBot="1">
      <c r="A6" s="160">
        <v>7891</v>
      </c>
      <c r="B6" s="160">
        <v>7896</v>
      </c>
      <c r="C6" s="22"/>
      <c r="D6" s="22"/>
      <c r="E6" s="20"/>
      <c r="F6" s="22"/>
      <c r="G6" s="22"/>
      <c r="H6" s="22"/>
      <c r="I6" s="22"/>
      <c r="J6" s="20"/>
      <c r="K6" s="20"/>
      <c r="L6" s="23"/>
      <c r="M6" s="22"/>
      <c r="N6" s="20"/>
      <c r="O6" s="22"/>
      <c r="P6" s="22"/>
      <c r="Q6" s="22"/>
      <c r="R6" s="22"/>
      <c r="S6" s="22"/>
      <c r="T6" s="22"/>
      <c r="U6" s="22"/>
      <c r="V6" s="22"/>
      <c r="W6" s="22"/>
    </row>
    <row r="7" spans="1:23" ht="15.75" thickBot="1">
      <c r="A7" s="160">
        <v>7891</v>
      </c>
      <c r="B7" s="160">
        <v>7897</v>
      </c>
      <c r="C7" s="22"/>
      <c r="D7" s="22"/>
      <c r="E7" s="20"/>
      <c r="F7" s="22"/>
      <c r="G7" s="22"/>
      <c r="H7" s="22"/>
      <c r="I7" s="22"/>
      <c r="J7" s="20"/>
      <c r="K7" s="20"/>
      <c r="L7" s="23"/>
      <c r="M7" s="22"/>
      <c r="N7" s="20"/>
      <c r="O7" s="22"/>
      <c r="P7" s="22"/>
      <c r="Q7" s="22"/>
      <c r="R7" s="22"/>
      <c r="S7" s="22"/>
      <c r="T7" s="22"/>
      <c r="U7" s="22"/>
      <c r="V7" s="22"/>
      <c r="W7" s="22"/>
    </row>
    <row r="8" spans="1:23" ht="15.75" thickBot="1">
      <c r="A8" s="160">
        <v>7891</v>
      </c>
      <c r="B8" s="160">
        <v>7898</v>
      </c>
      <c r="C8" s="22"/>
      <c r="D8" s="22"/>
      <c r="E8" s="20"/>
      <c r="F8" s="22"/>
      <c r="G8" s="22"/>
      <c r="H8" s="22"/>
      <c r="I8" s="22"/>
      <c r="J8" s="20"/>
      <c r="K8" s="20"/>
      <c r="L8" s="23"/>
      <c r="M8" s="22"/>
      <c r="N8" s="20"/>
      <c r="O8" s="22"/>
      <c r="P8" s="22"/>
      <c r="Q8" s="22"/>
      <c r="R8" s="22"/>
      <c r="S8" s="22"/>
      <c r="T8" s="22"/>
      <c r="U8" s="22"/>
      <c r="V8" s="22"/>
      <c r="W8" s="22"/>
    </row>
    <row r="9" spans="1:23" ht="15.75" thickBot="1">
      <c r="A9" s="160">
        <v>7891</v>
      </c>
      <c r="B9" s="160">
        <v>7899</v>
      </c>
      <c r="C9" s="22"/>
      <c r="D9" s="22"/>
      <c r="E9" s="20"/>
      <c r="F9" s="22"/>
      <c r="G9" s="22"/>
      <c r="H9" s="22"/>
      <c r="I9" s="22"/>
      <c r="J9" s="20"/>
      <c r="K9" s="20"/>
      <c r="L9" s="23"/>
      <c r="M9" s="22"/>
      <c r="N9" s="20"/>
      <c r="O9" s="22"/>
      <c r="P9" s="22"/>
      <c r="Q9" s="22"/>
      <c r="R9" s="22"/>
      <c r="S9" s="22"/>
      <c r="T9" s="22"/>
      <c r="U9" s="22"/>
      <c r="V9" s="22"/>
      <c r="W9" s="22"/>
    </row>
    <row r="10" spans="1:23" ht="15.75" thickBot="1">
      <c r="A10" s="160">
        <v>7891</v>
      </c>
      <c r="B10" s="160">
        <v>7900</v>
      </c>
      <c r="C10" s="22"/>
      <c r="D10" s="22"/>
      <c r="E10" s="20"/>
      <c r="F10" s="22"/>
      <c r="G10" s="22"/>
      <c r="H10" s="22"/>
      <c r="I10" s="22"/>
      <c r="J10" s="20"/>
      <c r="K10" s="20"/>
      <c r="L10" s="23"/>
      <c r="M10" s="22"/>
      <c r="N10" s="20"/>
      <c r="O10" s="22"/>
      <c r="P10" s="22"/>
      <c r="Q10" s="22"/>
      <c r="R10" s="22"/>
      <c r="S10" s="22"/>
      <c r="T10" s="22"/>
      <c r="U10" s="22"/>
      <c r="V10" s="22"/>
      <c r="W10" s="22"/>
    </row>
    <row r="11" spans="1:23" ht="15.75" thickBot="1">
      <c r="A11" s="160">
        <v>7891</v>
      </c>
      <c r="B11" s="160">
        <v>7901</v>
      </c>
      <c r="C11" s="22"/>
      <c r="D11" s="22"/>
      <c r="E11" s="20"/>
      <c r="F11" s="22"/>
      <c r="G11" s="22"/>
      <c r="H11" s="22"/>
      <c r="I11" s="22"/>
      <c r="J11" s="20"/>
      <c r="K11" s="20"/>
      <c r="L11" s="23"/>
      <c r="M11" s="22"/>
      <c r="N11" s="20"/>
      <c r="O11" s="22"/>
      <c r="P11" s="22"/>
      <c r="Q11" s="22"/>
      <c r="R11" s="22"/>
      <c r="S11" s="22"/>
      <c r="T11" s="22"/>
      <c r="U11" s="22"/>
      <c r="V11" s="22"/>
      <c r="W11" s="22"/>
    </row>
    <row r="12" spans="1:23" ht="15.75" thickBot="1">
      <c r="A12" s="160">
        <v>7891</v>
      </c>
      <c r="B12" s="160">
        <v>7902</v>
      </c>
      <c r="C12" s="22"/>
      <c r="D12" s="22"/>
      <c r="E12" s="20"/>
      <c r="F12" s="22"/>
      <c r="G12" s="22"/>
      <c r="H12" s="22"/>
      <c r="I12" s="22"/>
      <c r="J12" s="20"/>
      <c r="K12" s="20"/>
      <c r="L12" s="23"/>
      <c r="M12" s="22"/>
      <c r="N12" s="20"/>
      <c r="O12" s="22"/>
      <c r="P12" s="22"/>
      <c r="Q12" s="22"/>
      <c r="R12" s="22"/>
      <c r="S12" s="22"/>
      <c r="T12" s="22"/>
      <c r="U12" s="22"/>
      <c r="V12" s="22"/>
      <c r="W12" s="22"/>
    </row>
    <row r="13" spans="1:23" ht="15.75" thickBot="1">
      <c r="A13" s="160">
        <v>11925</v>
      </c>
      <c r="B13" s="160">
        <v>11926</v>
      </c>
      <c r="C13" s="22"/>
      <c r="D13" s="22"/>
      <c r="E13" s="20"/>
      <c r="F13" s="22"/>
      <c r="G13" s="22"/>
      <c r="H13" s="22"/>
      <c r="I13" s="22"/>
      <c r="J13" s="20"/>
      <c r="K13" s="20"/>
      <c r="L13" s="23"/>
      <c r="M13" s="22"/>
      <c r="N13" s="20"/>
      <c r="O13" s="22"/>
      <c r="P13" s="22"/>
      <c r="Q13" s="22"/>
      <c r="R13" s="22"/>
      <c r="S13" s="22"/>
      <c r="T13" s="22"/>
      <c r="U13" s="22"/>
      <c r="V13" s="22"/>
      <c r="W13" s="22"/>
    </row>
    <row r="14" spans="1:23" ht="15.75" thickBot="1">
      <c r="A14" s="160">
        <v>11925</v>
      </c>
      <c r="B14" s="160">
        <v>11927</v>
      </c>
      <c r="C14" s="22"/>
      <c r="D14" s="22"/>
      <c r="E14" s="20"/>
      <c r="F14" s="22"/>
      <c r="G14" s="22"/>
      <c r="H14" s="22"/>
      <c r="I14" s="22"/>
      <c r="J14" s="20"/>
      <c r="K14" s="20"/>
      <c r="L14" s="23"/>
      <c r="M14" s="22"/>
      <c r="N14" s="20"/>
      <c r="O14" s="22"/>
      <c r="P14" s="22"/>
      <c r="Q14" s="22"/>
      <c r="R14" s="22"/>
      <c r="S14" s="22"/>
      <c r="T14" s="22"/>
      <c r="U14" s="22"/>
      <c r="V14" s="22"/>
      <c r="W14" s="22"/>
    </row>
    <row r="15" spans="1:23" ht="15.75" thickBot="1">
      <c r="A15" s="160">
        <v>11925</v>
      </c>
      <c r="B15" s="160">
        <v>11928</v>
      </c>
      <c r="C15" s="22"/>
      <c r="D15" s="22"/>
      <c r="E15" s="20"/>
      <c r="F15" s="22"/>
      <c r="G15" s="22"/>
      <c r="H15" s="22"/>
      <c r="I15" s="22"/>
      <c r="J15" s="20"/>
      <c r="K15" s="20"/>
      <c r="L15" s="23"/>
      <c r="M15" s="22"/>
      <c r="N15" s="20"/>
      <c r="O15" s="22"/>
      <c r="P15" s="22"/>
      <c r="Q15" s="22"/>
      <c r="R15" s="22"/>
      <c r="S15" s="22"/>
      <c r="T15" s="22"/>
      <c r="U15" s="22"/>
      <c r="V15" s="22"/>
      <c r="W15" s="22"/>
    </row>
    <row r="16" spans="1:23" ht="15.75" thickBot="1">
      <c r="A16" s="160">
        <v>11925</v>
      </c>
      <c r="B16" s="160">
        <v>11929</v>
      </c>
      <c r="C16" s="22"/>
      <c r="D16" s="22"/>
      <c r="E16" s="20"/>
      <c r="F16" s="22"/>
      <c r="G16" s="22"/>
      <c r="H16" s="22"/>
      <c r="I16" s="22"/>
      <c r="J16" s="20"/>
      <c r="K16" s="20"/>
      <c r="L16" s="23"/>
      <c r="M16" s="22"/>
      <c r="N16" s="20"/>
      <c r="O16" s="22"/>
      <c r="P16" s="22"/>
      <c r="Q16" s="22"/>
      <c r="R16" s="22"/>
      <c r="S16" s="22"/>
      <c r="T16" s="22"/>
      <c r="U16" s="22"/>
      <c r="V16" s="22"/>
      <c r="W16" s="22"/>
    </row>
    <row r="17" spans="1:23" ht="15.75" thickBot="1">
      <c r="A17" s="160">
        <v>11925</v>
      </c>
      <c r="B17" s="160">
        <v>11930</v>
      </c>
      <c r="C17" s="22"/>
      <c r="D17" s="22"/>
      <c r="E17" s="20"/>
      <c r="F17" s="22"/>
      <c r="G17" s="22"/>
      <c r="H17" s="22"/>
      <c r="I17" s="22"/>
      <c r="J17" s="20"/>
      <c r="K17" s="20"/>
      <c r="L17" s="23"/>
      <c r="M17" s="22"/>
      <c r="N17" s="20"/>
      <c r="O17" s="22"/>
      <c r="P17" s="22"/>
      <c r="Q17" s="22"/>
      <c r="R17" s="22"/>
      <c r="S17" s="22"/>
      <c r="T17" s="22"/>
      <c r="U17" s="22"/>
      <c r="V17" s="22"/>
      <c r="W17" s="22"/>
    </row>
    <row r="18" spans="1:23" ht="15.75" thickBot="1">
      <c r="A18" s="160">
        <v>11925</v>
      </c>
      <c r="B18" s="160">
        <v>11931</v>
      </c>
      <c r="C18" s="22"/>
      <c r="D18" s="22"/>
      <c r="E18" s="20"/>
      <c r="F18" s="22"/>
      <c r="G18" s="22"/>
      <c r="H18" s="22"/>
      <c r="I18" s="22"/>
      <c r="J18" s="20"/>
      <c r="K18" s="20"/>
      <c r="L18" s="23"/>
      <c r="M18" s="22"/>
      <c r="N18" s="20"/>
      <c r="O18" s="22"/>
      <c r="P18" s="22"/>
      <c r="Q18" s="22"/>
      <c r="R18" s="22"/>
      <c r="S18" s="22"/>
      <c r="T18" s="22"/>
      <c r="U18" s="22"/>
      <c r="V18" s="22"/>
      <c r="W18" s="22"/>
    </row>
    <row r="19" spans="1:23" ht="15.75" thickBot="1">
      <c r="A19" s="160">
        <v>11925</v>
      </c>
      <c r="B19" s="160">
        <v>11932</v>
      </c>
      <c r="C19" s="22"/>
      <c r="D19" s="22"/>
      <c r="E19" s="20"/>
      <c r="F19" s="22"/>
      <c r="G19" s="22"/>
      <c r="H19" s="22"/>
      <c r="J19" s="20"/>
      <c r="K19" s="20"/>
      <c r="L19" s="23"/>
      <c r="M19" s="22"/>
      <c r="N19" s="20"/>
      <c r="O19" s="22"/>
      <c r="P19" s="22"/>
      <c r="Q19" s="22"/>
      <c r="R19" s="22"/>
      <c r="S19" s="22"/>
      <c r="T19" s="22"/>
      <c r="U19" s="22"/>
      <c r="V19" s="22"/>
      <c r="W19" s="22"/>
    </row>
    <row r="20" spans="1:23" ht="15.75" thickBot="1">
      <c r="A20" s="160">
        <v>11925</v>
      </c>
      <c r="B20" s="160">
        <v>11933</v>
      </c>
      <c r="E20" s="20"/>
      <c r="H20" s="22"/>
      <c r="I20" s="22"/>
      <c r="J20" s="20"/>
      <c r="K20" s="20"/>
      <c r="L20" s="23"/>
      <c r="M20" s="22"/>
      <c r="O20" s="22"/>
      <c r="P20" s="22"/>
    </row>
    <row r="21" spans="1:23" customFormat="1" ht="15.75" thickBot="1">
      <c r="A21" s="160">
        <v>11925</v>
      </c>
      <c r="B21" s="160">
        <v>11934</v>
      </c>
    </row>
    <row r="22" spans="1:23" ht="15.75" thickBot="1">
      <c r="A22" s="160">
        <v>11925</v>
      </c>
      <c r="B22" s="160">
        <v>11935</v>
      </c>
    </row>
    <row r="23" spans="1:23" ht="15.75" thickBot="1">
      <c r="A23" s="160">
        <v>11925</v>
      </c>
      <c r="B23" s="160">
        <v>11936</v>
      </c>
    </row>
    <row r="24" spans="1:23" ht="15.75" thickBot="1">
      <c r="A24" s="160">
        <v>11925</v>
      </c>
      <c r="B24" s="160">
        <v>11937</v>
      </c>
    </row>
    <row r="25" spans="1:23" ht="15.75" thickBot="1">
      <c r="A25" s="160">
        <v>11939</v>
      </c>
      <c r="B25" s="160">
        <v>11942</v>
      </c>
    </row>
    <row r="26" spans="1:23" ht="15.75" thickBot="1">
      <c r="A26" s="160">
        <v>11939</v>
      </c>
      <c r="B26" s="160">
        <v>11943</v>
      </c>
    </row>
    <row r="27" spans="1:23" ht="15.75" thickBot="1">
      <c r="A27" s="160">
        <v>11939</v>
      </c>
      <c r="B27" s="160">
        <v>11944</v>
      </c>
    </row>
    <row r="28" spans="1:23" ht="15.75" thickBot="1">
      <c r="A28" s="160">
        <v>11939</v>
      </c>
      <c r="B28" s="160">
        <v>11945</v>
      </c>
    </row>
    <row r="29" spans="1:23" ht="15.75" thickBot="1">
      <c r="A29" s="160">
        <v>11939</v>
      </c>
      <c r="B29" s="160">
        <v>11946</v>
      </c>
    </row>
    <row r="30" spans="1:23" ht="15.75" thickBot="1">
      <c r="A30" s="160">
        <v>11939</v>
      </c>
      <c r="B30" s="160">
        <v>11947</v>
      </c>
    </row>
    <row r="31" spans="1:23" ht="15.75" thickBot="1">
      <c r="A31" s="160">
        <v>11939</v>
      </c>
      <c r="B31" s="160">
        <v>11948</v>
      </c>
    </row>
    <row r="32" spans="1:23" ht="15.75" thickBot="1">
      <c r="A32" s="160">
        <v>11939</v>
      </c>
      <c r="B32" s="160">
        <v>11949</v>
      </c>
    </row>
    <row r="33" spans="1:2" ht="15.75" thickBot="1">
      <c r="A33" s="160">
        <v>11939</v>
      </c>
      <c r="B33" s="160">
        <v>11950</v>
      </c>
    </row>
    <row r="34" spans="1:2" ht="15.75" thickBot="1">
      <c r="A34" s="160">
        <v>11939</v>
      </c>
      <c r="B34" s="160">
        <v>11979</v>
      </c>
    </row>
    <row r="35" spans="1:2" ht="15.75" thickBot="1">
      <c r="A35" s="160">
        <v>11939</v>
      </c>
      <c r="B35" s="160">
        <v>11980</v>
      </c>
    </row>
    <row r="36" spans="1:2" ht="15.75" thickBot="1">
      <c r="A36" s="160">
        <v>11939</v>
      </c>
      <c r="B36" s="160">
        <v>11981</v>
      </c>
    </row>
    <row r="37" spans="1:2" ht="15.75" thickBot="1">
      <c r="A37" s="160">
        <v>11342</v>
      </c>
      <c r="B37" s="160">
        <v>11343</v>
      </c>
    </row>
    <row r="38" spans="1:2" ht="15.75" thickBot="1">
      <c r="A38" s="160">
        <v>11342</v>
      </c>
      <c r="B38" s="160">
        <v>11344</v>
      </c>
    </row>
    <row r="39" spans="1:2" ht="15.75" thickBot="1">
      <c r="A39" s="160">
        <v>11342</v>
      </c>
      <c r="B39" s="160">
        <v>11345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1B00-000000000000}">
      <formula1>israel_abroad</formula1>
    </dataValidation>
    <dataValidation type="list" allowBlank="1" showInputMessage="1" showErrorMessage="1" sqref="M2:M20" xr:uid="{00000000-0002-0000-1B00-000001000000}">
      <formula1>Holding_interest</formula1>
    </dataValidation>
    <dataValidation type="list" allowBlank="1" showInputMessage="1" showErrorMessage="1" sqref="O2:O20" xr:uid="{00000000-0002-0000-1B00-000002000000}">
      <formula1>Valuation</formula1>
    </dataValidation>
    <dataValidation type="list" allowBlank="1" showInputMessage="1" showErrorMessage="1" sqref="P2:P20" xr:uid="{00000000-0002-0000-1B00-000003000000}">
      <formula1>Dependence_Independence</formula1>
    </dataValidation>
    <dataValidation type="list" allowBlank="1" showInputMessage="1" showErrorMessage="1" sqref="K2:K20" xr:uid="{00000000-0002-0000-1B00-000004000000}">
      <formula1>Country_list</formula1>
    </dataValidation>
    <dataValidation type="list" allowBlank="1" showInputMessage="1" showErrorMessage="1" sqref="E3:E20" xr:uid="{00000000-0002-0000-1B00-000005000000}">
      <formula1>Issuer_Number_Type_2</formula1>
    </dataValidation>
    <dataValidation type="list" allowBlank="1" showInputMessage="1" showErrorMessage="1" sqref="E2" xr:uid="{00000000-0002-0000-1B00-000006000000}">
      <formula1>Issuer_Number_Type_3</formula1>
    </dataValidation>
    <dataValidation type="list" allowBlank="1" showInputMessage="1" showErrorMessage="1" sqref="H2:H20" xr:uid="{00000000-0002-0000-1B00-000007000000}">
      <formula1>Type_of_Security_ID_Fund</formula1>
    </dataValidation>
    <dataValidation type="list" allowBlank="1" showInputMessage="1" showErrorMessage="1" sqref="I20" xr:uid="{00000000-0002-0000-1B00-000008000000}">
      <formula1>$C$862:$C$864</formula1>
    </dataValidation>
    <dataValidation type="list" allowBlank="1" showInputMessage="1" showErrorMessage="1" sqref="L2:L20" xr:uid="{00000000-0002-0000-1B00-000009000000}">
      <formula1>Industry_Sector</formula1>
    </dataValidation>
  </dataValidations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A000000}">
          <x14:formula1>
            <xm:f>'אפשרויות בחירה'!$C$1034:$C$1036</xm:f>
          </x14:formula1>
          <xm:sqref>I2:I18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9"/>
  <dimension ref="A1:U39"/>
  <sheetViews>
    <sheetView rightToLeft="1" workbookViewId="0">
      <selection activeCell="A2" sqref="A2:B39"/>
    </sheetView>
  </sheetViews>
  <sheetFormatPr defaultColWidth="9" defaultRowHeight="15"/>
  <cols>
    <col min="1" max="18" width="11.5703125" style="2" customWidth="1"/>
    <col min="19" max="16384" width="9" style="2"/>
  </cols>
  <sheetData>
    <row r="1" spans="1:21" ht="66.75" customHeight="1">
      <c r="A1" s="21" t="s">
        <v>667</v>
      </c>
      <c r="B1" s="21" t="s">
        <v>0</v>
      </c>
      <c r="C1" s="21" t="s">
        <v>801</v>
      </c>
      <c r="D1" s="21" t="s">
        <v>802</v>
      </c>
      <c r="E1" s="21" t="s">
        <v>1</v>
      </c>
      <c r="F1" s="21" t="s">
        <v>620</v>
      </c>
      <c r="G1" s="21" t="s">
        <v>621</v>
      </c>
      <c r="H1" s="21" t="s">
        <v>622</v>
      </c>
      <c r="I1" s="21" t="s">
        <v>810</v>
      </c>
      <c r="J1" s="21" t="s">
        <v>396</v>
      </c>
      <c r="K1" s="21" t="s">
        <v>16</v>
      </c>
      <c r="L1" s="21" t="s">
        <v>938</v>
      </c>
      <c r="M1" s="21" t="s">
        <v>11</v>
      </c>
      <c r="N1" s="21" t="s">
        <v>1171</v>
      </c>
      <c r="O1" s="21" t="s">
        <v>1172</v>
      </c>
      <c r="P1" s="21" t="s">
        <v>26</v>
      </c>
      <c r="Q1" s="21" t="s">
        <v>19</v>
      </c>
      <c r="R1" s="21" t="s">
        <v>30</v>
      </c>
    </row>
    <row r="2" spans="1:21" ht="15.75" thickBot="1">
      <c r="A2" s="160">
        <v>7891</v>
      </c>
      <c r="B2" s="160">
        <v>7892</v>
      </c>
      <c r="C2" s="42"/>
      <c r="D2" s="42"/>
      <c r="E2" s="42"/>
      <c r="F2" s="20"/>
      <c r="G2" s="20"/>
      <c r="H2" s="22"/>
      <c r="I2" s="22"/>
      <c r="J2" s="20"/>
      <c r="K2" s="22"/>
      <c r="L2"/>
      <c r="M2" s="22"/>
      <c r="N2" s="22"/>
      <c r="O2" s="22"/>
      <c r="P2" s="20"/>
      <c r="Q2" s="22"/>
      <c r="R2" s="22"/>
      <c r="S2" s="5"/>
      <c r="T2" s="5"/>
      <c r="U2" s="5"/>
    </row>
    <row r="3" spans="1:21" ht="15.75" thickBot="1">
      <c r="A3" s="160">
        <v>7891</v>
      </c>
      <c r="B3" s="160">
        <v>7893</v>
      </c>
      <c r="C3" s="29"/>
      <c r="D3" s="22"/>
      <c r="E3" s="42"/>
      <c r="F3" s="20"/>
      <c r="G3" s="20"/>
      <c r="H3" s="22"/>
      <c r="I3" s="22"/>
      <c r="J3" s="20"/>
      <c r="K3" s="22"/>
      <c r="M3" s="22"/>
      <c r="N3" s="22"/>
      <c r="O3" s="22"/>
      <c r="P3" s="20"/>
      <c r="Q3" s="22"/>
      <c r="R3" s="22"/>
      <c r="S3" s="5"/>
      <c r="T3" s="5"/>
      <c r="U3" s="5"/>
    </row>
    <row r="4" spans="1:21" ht="15.75" thickBot="1">
      <c r="A4" s="160">
        <v>7891</v>
      </c>
      <c r="B4" s="160">
        <v>7894</v>
      </c>
      <c r="C4" s="29"/>
      <c r="D4" s="22"/>
      <c r="E4" s="42"/>
      <c r="F4" s="20"/>
      <c r="G4" s="20"/>
      <c r="H4" s="22"/>
      <c r="I4" s="22"/>
      <c r="J4" s="20"/>
      <c r="K4" s="22"/>
      <c r="M4" s="22"/>
      <c r="N4" s="22"/>
      <c r="O4" s="22"/>
      <c r="P4" s="20"/>
      <c r="Q4" s="22"/>
      <c r="R4" s="22"/>
      <c r="S4" s="5"/>
      <c r="T4" s="5"/>
      <c r="U4" s="5"/>
    </row>
    <row r="5" spans="1:21" ht="15.75" thickBot="1">
      <c r="A5" s="160">
        <v>7891</v>
      </c>
      <c r="B5" s="160">
        <v>7895</v>
      </c>
      <c r="C5" s="29"/>
      <c r="D5" s="22"/>
      <c r="E5" s="42"/>
      <c r="F5" s="20"/>
      <c r="G5" s="20"/>
      <c r="H5" s="22"/>
      <c r="I5" s="22"/>
      <c r="J5" s="20"/>
      <c r="K5" s="22"/>
      <c r="M5" s="22"/>
      <c r="N5" s="22"/>
      <c r="O5" s="22"/>
      <c r="P5" s="20"/>
      <c r="Q5" s="22"/>
      <c r="R5" s="22"/>
      <c r="S5" s="5"/>
      <c r="T5" s="5"/>
      <c r="U5" s="5"/>
    </row>
    <row r="6" spans="1:21" ht="15.75" thickBot="1">
      <c r="A6" s="160">
        <v>7891</v>
      </c>
      <c r="B6" s="160">
        <v>7896</v>
      </c>
      <c r="C6" s="29"/>
      <c r="D6" s="22"/>
      <c r="E6" s="42"/>
      <c r="F6" s="20"/>
      <c r="G6" s="20"/>
      <c r="H6" s="22"/>
      <c r="I6" s="22"/>
      <c r="J6" s="20"/>
      <c r="K6" s="22"/>
      <c r="M6" s="22"/>
      <c r="N6" s="22"/>
      <c r="O6" s="22"/>
      <c r="P6" s="20"/>
      <c r="Q6" s="22"/>
      <c r="R6" s="22"/>
      <c r="S6" s="5"/>
      <c r="T6" s="5"/>
      <c r="U6" s="5"/>
    </row>
    <row r="7" spans="1:21" ht="15.75" thickBot="1">
      <c r="A7" s="160">
        <v>7891</v>
      </c>
      <c r="B7" s="160">
        <v>7897</v>
      </c>
      <c r="C7" s="29"/>
      <c r="D7" s="22"/>
      <c r="E7" s="42"/>
      <c r="F7" s="20"/>
      <c r="G7" s="20"/>
      <c r="H7" s="22"/>
      <c r="I7" s="22"/>
      <c r="J7" s="20"/>
      <c r="K7" s="22"/>
      <c r="M7" s="22"/>
      <c r="N7" s="22"/>
      <c r="O7" s="22"/>
      <c r="P7" s="20"/>
      <c r="Q7" s="22"/>
      <c r="R7" s="22"/>
      <c r="S7" s="5"/>
      <c r="T7" s="5"/>
      <c r="U7" s="5"/>
    </row>
    <row r="8" spans="1:21" ht="15.75" thickBot="1">
      <c r="A8" s="160">
        <v>7891</v>
      </c>
      <c r="B8" s="160">
        <v>7898</v>
      </c>
      <c r="C8" s="29"/>
      <c r="D8" s="22"/>
      <c r="E8" s="42"/>
      <c r="F8" s="20"/>
      <c r="G8" s="20"/>
      <c r="H8" s="22"/>
      <c r="I8" s="22"/>
      <c r="J8" s="20"/>
      <c r="K8" s="22"/>
      <c r="M8" s="22"/>
      <c r="N8" s="22"/>
      <c r="O8" s="22"/>
      <c r="P8" s="20"/>
      <c r="Q8" s="22"/>
      <c r="R8" s="22"/>
      <c r="S8" s="5"/>
      <c r="T8" s="5"/>
      <c r="U8" s="5"/>
    </row>
    <row r="9" spans="1:21" ht="15.75" thickBot="1">
      <c r="A9" s="160">
        <v>7891</v>
      </c>
      <c r="B9" s="160">
        <v>7899</v>
      </c>
      <c r="C9" s="29"/>
      <c r="D9" s="22"/>
      <c r="E9" s="42"/>
      <c r="F9" s="20"/>
      <c r="G9" s="20"/>
      <c r="H9" s="22"/>
      <c r="I9" s="22"/>
      <c r="J9" s="20"/>
      <c r="K9" s="22"/>
      <c r="M9" s="22"/>
      <c r="N9" s="22"/>
      <c r="O9" s="22"/>
      <c r="P9" s="20"/>
      <c r="Q9" s="22"/>
      <c r="R9" s="22"/>
      <c r="S9" s="5"/>
      <c r="T9" s="5"/>
      <c r="U9" s="5"/>
    </row>
    <row r="10" spans="1:21" ht="15.75" thickBot="1">
      <c r="A10" s="160">
        <v>7891</v>
      </c>
      <c r="B10" s="160">
        <v>7900</v>
      </c>
      <c r="C10" s="29"/>
      <c r="D10" s="22"/>
      <c r="E10" s="42"/>
      <c r="F10" s="20"/>
      <c r="G10" s="20"/>
      <c r="H10" s="22"/>
      <c r="I10" s="22"/>
      <c r="J10" s="20"/>
      <c r="K10" s="22"/>
      <c r="M10" s="22"/>
      <c r="N10" s="22"/>
      <c r="O10" s="22"/>
      <c r="P10" s="20"/>
      <c r="Q10" s="22"/>
      <c r="R10" s="22"/>
      <c r="S10" s="5"/>
      <c r="T10" s="5"/>
      <c r="U10" s="5"/>
    </row>
    <row r="11" spans="1:21" ht="15.75" thickBot="1">
      <c r="A11" s="160">
        <v>7891</v>
      </c>
      <c r="B11" s="160">
        <v>7901</v>
      </c>
      <c r="C11" s="29"/>
      <c r="D11" s="22"/>
      <c r="E11" s="42"/>
      <c r="F11" s="20"/>
      <c r="G11" s="20"/>
      <c r="H11" s="22"/>
      <c r="I11" s="22"/>
      <c r="J11" s="20"/>
      <c r="K11" s="22"/>
      <c r="M11" s="22"/>
      <c r="N11" s="22"/>
      <c r="O11" s="22"/>
      <c r="P11" s="20"/>
      <c r="Q11" s="22"/>
      <c r="R11" s="22"/>
      <c r="S11" s="5"/>
      <c r="T11" s="5"/>
      <c r="U11" s="5"/>
    </row>
    <row r="12" spans="1:21" ht="15.75" thickBot="1">
      <c r="A12" s="160">
        <v>7891</v>
      </c>
      <c r="B12" s="160">
        <v>7902</v>
      </c>
      <c r="C12" s="29"/>
      <c r="D12" s="22"/>
      <c r="E12" s="42"/>
      <c r="F12" s="20"/>
      <c r="G12" s="20"/>
      <c r="H12" s="22"/>
      <c r="I12" s="22"/>
      <c r="J12" s="20"/>
      <c r="K12" s="22"/>
      <c r="M12" s="22"/>
      <c r="N12" s="22"/>
      <c r="O12" s="22"/>
      <c r="P12" s="20"/>
      <c r="Q12" s="22"/>
      <c r="R12" s="22"/>
      <c r="S12" s="5"/>
      <c r="T12" s="5"/>
      <c r="U12" s="5"/>
    </row>
    <row r="13" spans="1:21" ht="15.75" thickBot="1">
      <c r="A13" s="160">
        <v>11925</v>
      </c>
      <c r="B13" s="160">
        <v>11926</v>
      </c>
      <c r="C13" s="29"/>
      <c r="D13" s="22"/>
      <c r="E13" s="42"/>
      <c r="F13" s="20"/>
      <c r="G13" s="20"/>
      <c r="H13" s="22"/>
      <c r="I13" s="22"/>
      <c r="J13" s="20"/>
      <c r="K13" s="22"/>
      <c r="M13" s="22"/>
      <c r="N13" s="22"/>
      <c r="O13" s="22"/>
      <c r="P13" s="20"/>
      <c r="Q13" s="22"/>
      <c r="R13" s="22"/>
      <c r="S13" s="5"/>
      <c r="T13" s="5"/>
      <c r="U13" s="5"/>
    </row>
    <row r="14" spans="1:21" ht="15.75" thickBot="1">
      <c r="A14" s="160">
        <v>11925</v>
      </c>
      <c r="B14" s="160">
        <v>11927</v>
      </c>
      <c r="C14" s="29"/>
      <c r="D14" s="22"/>
      <c r="E14" s="42"/>
      <c r="F14" s="20"/>
      <c r="G14" s="20"/>
      <c r="H14" s="22"/>
      <c r="I14" s="22"/>
      <c r="J14" s="20"/>
      <c r="K14" s="22"/>
      <c r="M14" s="22"/>
      <c r="N14" s="22"/>
      <c r="O14" s="22"/>
      <c r="P14" s="20"/>
      <c r="Q14" s="22"/>
      <c r="R14" s="22"/>
      <c r="S14" s="5"/>
      <c r="T14" s="5"/>
      <c r="U14" s="5"/>
    </row>
    <row r="15" spans="1:21" ht="15.75" thickBot="1">
      <c r="A15" s="160">
        <v>11925</v>
      </c>
      <c r="B15" s="160">
        <v>11928</v>
      </c>
      <c r="C15" s="29"/>
      <c r="D15" s="22"/>
      <c r="E15" s="42"/>
      <c r="F15" s="20"/>
      <c r="G15" s="20"/>
      <c r="H15" s="22"/>
      <c r="I15" s="22"/>
      <c r="J15" s="20"/>
      <c r="K15" s="22"/>
      <c r="M15" s="22"/>
      <c r="N15" s="22"/>
      <c r="O15" s="22"/>
      <c r="P15" s="20"/>
      <c r="Q15" s="22"/>
      <c r="R15" s="22"/>
      <c r="S15" s="5"/>
      <c r="T15" s="5"/>
      <c r="U15" s="5"/>
    </row>
    <row r="16" spans="1:21" ht="15.75" thickBot="1">
      <c r="A16" s="160">
        <v>11925</v>
      </c>
      <c r="B16" s="160">
        <v>11929</v>
      </c>
      <c r="C16" s="29"/>
      <c r="D16" s="22"/>
      <c r="E16" s="42"/>
      <c r="F16" s="20"/>
      <c r="G16" s="20"/>
      <c r="H16" s="22"/>
      <c r="I16" s="22"/>
      <c r="J16" s="20"/>
      <c r="K16" s="22"/>
      <c r="M16" s="22"/>
      <c r="N16" s="22"/>
      <c r="O16" s="22"/>
      <c r="P16" s="20"/>
      <c r="Q16" s="22"/>
      <c r="R16" s="22"/>
      <c r="S16" s="5"/>
      <c r="T16" s="5"/>
      <c r="U16" s="5"/>
    </row>
    <row r="17" spans="1:21" ht="15.75" thickBot="1">
      <c r="A17" s="160">
        <v>11925</v>
      </c>
      <c r="B17" s="160">
        <v>11930</v>
      </c>
      <c r="C17" s="29"/>
      <c r="D17" s="22"/>
      <c r="E17" s="42"/>
      <c r="F17" s="20"/>
      <c r="G17" s="20"/>
      <c r="H17" s="22"/>
      <c r="I17" s="22"/>
      <c r="J17" s="20"/>
      <c r="K17" s="22"/>
      <c r="M17" s="22"/>
      <c r="N17" s="22"/>
      <c r="O17" s="22"/>
      <c r="P17" s="20"/>
      <c r="Q17" s="22"/>
      <c r="R17" s="22"/>
      <c r="S17" s="5"/>
      <c r="T17" s="5"/>
      <c r="U17" s="5"/>
    </row>
    <row r="18" spans="1:21" ht="15.75" thickBot="1">
      <c r="A18" s="160">
        <v>11925</v>
      </c>
      <c r="B18" s="160">
        <v>11931</v>
      </c>
      <c r="C18" s="29"/>
      <c r="D18" s="22"/>
      <c r="E18" s="42"/>
      <c r="F18" s="20"/>
      <c r="G18" s="20"/>
      <c r="H18" s="22"/>
      <c r="I18" s="22"/>
      <c r="J18" s="20"/>
      <c r="K18" s="22"/>
      <c r="M18" s="22"/>
      <c r="N18" s="22"/>
      <c r="O18" s="22"/>
      <c r="P18" s="20"/>
      <c r="Q18" s="22"/>
      <c r="R18" s="22"/>
      <c r="S18" s="5"/>
      <c r="T18" s="5"/>
      <c r="U18" s="5"/>
    </row>
    <row r="19" spans="1:21" ht="15.75" thickBot="1">
      <c r="A19" s="160">
        <v>11925</v>
      </c>
      <c r="B19" s="160">
        <v>11932</v>
      </c>
      <c r="C19" s="29"/>
      <c r="D19" s="22"/>
      <c r="E19" s="42"/>
      <c r="F19" s="20"/>
      <c r="G19" s="20"/>
      <c r="H19" s="22"/>
      <c r="I19" s="22"/>
      <c r="J19" s="20"/>
      <c r="K19" s="22"/>
      <c r="M19" s="22"/>
      <c r="N19" s="22"/>
      <c r="O19" s="22"/>
      <c r="P19" s="20"/>
      <c r="Q19" s="22"/>
      <c r="R19" s="22"/>
    </row>
    <row r="20" spans="1:21" ht="15.75" thickBot="1">
      <c r="A20" s="160">
        <v>11925</v>
      </c>
      <c r="B20" s="160">
        <v>11933</v>
      </c>
      <c r="E20" s="42"/>
      <c r="F20" s="20"/>
      <c r="G20" s="20"/>
      <c r="H20" s="22"/>
      <c r="P20" s="20"/>
    </row>
    <row r="21" spans="1:21" s="44" customFormat="1" ht="15.75" thickBot="1">
      <c r="A21" s="160">
        <v>11925</v>
      </c>
      <c r="B21" s="160">
        <v>11934</v>
      </c>
    </row>
    <row r="22" spans="1:21" ht="15.75" thickBot="1">
      <c r="A22" s="160">
        <v>11925</v>
      </c>
      <c r="B22" s="160">
        <v>11935</v>
      </c>
    </row>
    <row r="23" spans="1:21" ht="15.75" thickBot="1">
      <c r="A23" s="160">
        <v>11925</v>
      </c>
      <c r="B23" s="160">
        <v>11936</v>
      </c>
    </row>
    <row r="24" spans="1:21" ht="15.75" thickBot="1">
      <c r="A24" s="160">
        <v>11925</v>
      </c>
      <c r="B24" s="160">
        <v>11937</v>
      </c>
    </row>
    <row r="25" spans="1:21" ht="15.75" thickBot="1">
      <c r="A25" s="160">
        <v>11939</v>
      </c>
      <c r="B25" s="160">
        <v>11942</v>
      </c>
    </row>
    <row r="26" spans="1:21" ht="15.75" thickBot="1">
      <c r="A26" s="160">
        <v>11939</v>
      </c>
      <c r="B26" s="160">
        <v>11943</v>
      </c>
    </row>
    <row r="27" spans="1:21" ht="15.75" thickBot="1">
      <c r="A27" s="160">
        <v>11939</v>
      </c>
      <c r="B27" s="160">
        <v>11944</v>
      </c>
    </row>
    <row r="28" spans="1:21" ht="15.75" thickBot="1">
      <c r="A28" s="160">
        <v>11939</v>
      </c>
      <c r="B28" s="160">
        <v>11945</v>
      </c>
    </row>
    <row r="29" spans="1:21" ht="15.75" thickBot="1">
      <c r="A29" s="160">
        <v>11939</v>
      </c>
      <c r="B29" s="160">
        <v>11946</v>
      </c>
    </row>
    <row r="30" spans="1:21" ht="15.75" thickBot="1">
      <c r="A30" s="160">
        <v>11939</v>
      </c>
      <c r="B30" s="160">
        <v>11947</v>
      </c>
    </row>
    <row r="31" spans="1:21" ht="15.75" thickBot="1">
      <c r="A31" s="160">
        <v>11939</v>
      </c>
      <c r="B31" s="160">
        <v>11948</v>
      </c>
    </row>
    <row r="32" spans="1:21" ht="15.75" thickBot="1">
      <c r="A32" s="160">
        <v>11939</v>
      </c>
      <c r="B32" s="160">
        <v>11949</v>
      </c>
    </row>
    <row r="33" spans="1:2" ht="15.75" thickBot="1">
      <c r="A33" s="160">
        <v>11939</v>
      </c>
      <c r="B33" s="160">
        <v>11950</v>
      </c>
    </row>
    <row r="34" spans="1:2" ht="15.75" thickBot="1">
      <c r="A34" s="160">
        <v>11939</v>
      </c>
      <c r="B34" s="160">
        <v>11979</v>
      </c>
    </row>
    <row r="35" spans="1:2" ht="15.75" thickBot="1">
      <c r="A35" s="160">
        <v>11939</v>
      </c>
      <c r="B35" s="160">
        <v>11980</v>
      </c>
    </row>
    <row r="36" spans="1:2" ht="15.75" thickBot="1">
      <c r="A36" s="160">
        <v>11939</v>
      </c>
      <c r="B36" s="160">
        <v>11981</v>
      </c>
    </row>
    <row r="37" spans="1:2" ht="15.75" thickBot="1">
      <c r="A37" s="160">
        <v>11342</v>
      </c>
      <c r="B37" s="160">
        <v>11343</v>
      </c>
    </row>
    <row r="38" spans="1:2" ht="15.75" thickBot="1">
      <c r="A38" s="160">
        <v>11342</v>
      </c>
      <c r="B38" s="160">
        <v>11344</v>
      </c>
    </row>
    <row r="39" spans="1:2" ht="15.75" thickBot="1">
      <c r="A39" s="160">
        <v>11342</v>
      </c>
      <c r="B39" s="160">
        <v>11345</v>
      </c>
    </row>
  </sheetData>
  <sheetProtection formatColumns="0"/>
  <customSheetViews>
    <customSheetView guid="{AE318230-F718-49FC-82EB-7CAC3DCD05F1}" showGridLines="0" hiddenRows="1">
      <selection activeCell="K2" sqref="K2"/>
      <pageMargins left="0.7" right="0.7" top="0.75" bottom="0.75" header="0.3" footer="0.3"/>
      <pageSetup orientation="portrait" r:id="rId1"/>
    </customSheetView>
  </customSheetViews>
  <dataValidations count="5">
    <dataValidation type="list" allowBlank="1" showInputMessage="1" showErrorMessage="1" sqref="F2:F20" xr:uid="{00000000-0002-0000-1C00-000000000000}">
      <formula1>israel_abroad</formula1>
    </dataValidation>
    <dataValidation type="list" allowBlank="1" showInputMessage="1" showErrorMessage="1" sqref="H2:H20" xr:uid="{00000000-0002-0000-1C00-000001000000}">
      <formula1>Holding_interest</formula1>
    </dataValidation>
    <dataValidation type="list" allowBlank="1" showInputMessage="1" showErrorMessage="1" sqref="P2:P20" xr:uid="{00000000-0002-0000-1C00-000002000000}">
      <formula1>In_the_books</formula1>
    </dataValidation>
    <dataValidation type="list" allowBlank="1" showInputMessage="1" showErrorMessage="1" sqref="G2:G20" xr:uid="{00000000-0002-0000-1C00-000003000000}">
      <formula1>Country_list</formula1>
    </dataValidation>
    <dataValidation type="list" allowBlank="1" showInputMessage="1" showErrorMessage="1" sqref="E2:E20" xr:uid="{00000000-0002-0000-1C00-000004000000}">
      <formula1>other_investments</formula1>
    </dataValidation>
  </dataValidations>
  <pageMargins left="0.7" right="0.7" top="0.75" bottom="0.75" header="0.3" footer="0.3"/>
  <pageSetup orientation="portrait"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30"/>
  <dimension ref="A1:V39"/>
  <sheetViews>
    <sheetView rightToLeft="1" workbookViewId="0">
      <selection activeCell="A2" sqref="A2:B39"/>
    </sheetView>
  </sheetViews>
  <sheetFormatPr defaultColWidth="11.5703125" defaultRowHeight="14.1" customHeight="1"/>
  <cols>
    <col min="1" max="19" width="11.5703125" style="2" customWidth="1"/>
    <col min="20" max="16384" width="11.5703125" style="2"/>
  </cols>
  <sheetData>
    <row r="1" spans="1:22" ht="66.75" customHeight="1">
      <c r="A1" s="21" t="s">
        <v>667</v>
      </c>
      <c r="B1" s="21" t="s">
        <v>0</v>
      </c>
      <c r="C1" s="21" t="s">
        <v>741</v>
      </c>
      <c r="D1" s="21" t="s">
        <v>742</v>
      </c>
      <c r="E1" s="21" t="s">
        <v>743</v>
      </c>
      <c r="F1" s="21" t="s">
        <v>744</v>
      </c>
      <c r="G1" s="21" t="s">
        <v>749</v>
      </c>
      <c r="H1" s="21" t="s">
        <v>620</v>
      </c>
      <c r="I1" s="21" t="s">
        <v>621</v>
      </c>
      <c r="J1" s="21" t="s">
        <v>622</v>
      </c>
      <c r="K1" s="21" t="s">
        <v>6</v>
      </c>
      <c r="L1" s="21" t="s">
        <v>8</v>
      </c>
      <c r="M1" s="21" t="s">
        <v>1166</v>
      </c>
      <c r="N1" s="21" t="s">
        <v>396</v>
      </c>
      <c r="O1" s="21" t="s">
        <v>11</v>
      </c>
      <c r="P1" s="21" t="s">
        <v>14</v>
      </c>
      <c r="Q1" s="21" t="s">
        <v>440</v>
      </c>
      <c r="R1" s="21" t="s">
        <v>812</v>
      </c>
      <c r="S1" s="21" t="s">
        <v>1175</v>
      </c>
      <c r="T1" s="21" t="s">
        <v>764</v>
      </c>
      <c r="U1" s="12"/>
      <c r="V1" s="12"/>
    </row>
    <row r="2" spans="1:22" ht="14.1" customHeight="1" thickBot="1">
      <c r="A2" s="160">
        <v>7891</v>
      </c>
      <c r="B2" s="160">
        <v>7892</v>
      </c>
      <c r="C2" s="46"/>
      <c r="D2" s="23"/>
      <c r="E2" s="46"/>
      <c r="F2" s="46"/>
      <c r="G2" s="33"/>
      <c r="H2" s="20"/>
      <c r="I2" s="33"/>
      <c r="J2" s="22"/>
      <c r="K2" s="22"/>
      <c r="L2" s="22"/>
      <c r="M2" s="22"/>
      <c r="N2" s="5"/>
      <c r="O2" s="5"/>
      <c r="P2"/>
      <c r="Q2" s="23"/>
      <c r="R2" s="33"/>
      <c r="S2" s="33"/>
      <c r="T2" s="33"/>
    </row>
    <row r="3" spans="1:22" ht="14.1" customHeight="1" thickBot="1">
      <c r="A3" s="160">
        <v>7891</v>
      </c>
      <c r="B3" s="160">
        <v>7893</v>
      </c>
      <c r="C3" s="5"/>
      <c r="D3" s="23"/>
      <c r="E3" s="5"/>
      <c r="F3" s="5"/>
      <c r="G3"/>
      <c r="H3" s="20"/>
      <c r="I3" s="20"/>
      <c r="J3" s="22"/>
      <c r="K3" s="22"/>
      <c r="L3" s="22"/>
      <c r="M3" s="22"/>
      <c r="N3" s="5"/>
      <c r="O3" s="5"/>
      <c r="P3" s="5"/>
      <c r="Q3" s="22"/>
      <c r="R3" s="5"/>
      <c r="S3" s="5"/>
      <c r="T3" s="5"/>
    </row>
    <row r="4" spans="1:22" ht="14.1" customHeight="1" thickBot="1">
      <c r="A4" s="160">
        <v>7891</v>
      </c>
      <c r="B4" s="160">
        <v>7894</v>
      </c>
      <c r="C4" s="5"/>
      <c r="D4" s="23"/>
      <c r="E4" s="5"/>
      <c r="F4" s="5"/>
      <c r="G4"/>
      <c r="H4" s="20"/>
      <c r="I4" s="20"/>
      <c r="J4" s="22"/>
      <c r="K4" s="22"/>
      <c r="L4" s="22"/>
      <c r="M4" s="22"/>
      <c r="N4" s="5"/>
      <c r="O4" s="5"/>
      <c r="P4" s="5"/>
      <c r="Q4" s="22"/>
      <c r="R4" s="5"/>
      <c r="S4" s="5"/>
      <c r="T4" s="5"/>
    </row>
    <row r="5" spans="1:22" ht="14.1" customHeight="1" thickBot="1">
      <c r="A5" s="160">
        <v>7891</v>
      </c>
      <c r="B5" s="160">
        <v>7895</v>
      </c>
      <c r="C5" s="5"/>
      <c r="D5" s="23"/>
      <c r="E5" s="5"/>
      <c r="F5" s="5"/>
      <c r="G5"/>
      <c r="H5" s="20"/>
      <c r="I5" s="20"/>
      <c r="J5" s="22"/>
      <c r="K5" s="22"/>
      <c r="L5" s="22"/>
      <c r="M5" s="22"/>
      <c r="N5" s="5"/>
      <c r="O5" s="45"/>
      <c r="P5" s="5"/>
      <c r="Q5" s="22"/>
      <c r="R5" s="5"/>
      <c r="S5" s="5"/>
      <c r="T5" s="5"/>
    </row>
    <row r="6" spans="1:22" ht="14.1" customHeight="1" thickBot="1">
      <c r="A6" s="160">
        <v>7891</v>
      </c>
      <c r="B6" s="160">
        <v>7896</v>
      </c>
      <c r="C6" s="5"/>
      <c r="D6" s="23"/>
      <c r="E6" s="5"/>
      <c r="F6" s="5"/>
      <c r="G6"/>
      <c r="H6" s="20"/>
      <c r="I6" s="20"/>
      <c r="J6" s="22"/>
      <c r="K6" s="22"/>
      <c r="L6" s="22"/>
      <c r="M6" s="22"/>
      <c r="N6" s="5"/>
      <c r="O6" s="45"/>
      <c r="P6" s="5"/>
      <c r="Q6" s="22"/>
      <c r="R6" s="5"/>
      <c r="S6" s="5"/>
      <c r="T6" s="5"/>
    </row>
    <row r="7" spans="1:22" ht="14.1" customHeight="1" thickBot="1">
      <c r="A7" s="160">
        <v>7891</v>
      </c>
      <c r="B7" s="160">
        <v>7897</v>
      </c>
      <c r="C7" s="5"/>
      <c r="D7" s="23"/>
      <c r="E7" s="5"/>
      <c r="F7" s="5"/>
      <c r="G7"/>
      <c r="H7" s="20"/>
      <c r="I7" s="20"/>
      <c r="J7" s="22"/>
      <c r="K7" s="22"/>
      <c r="L7" s="22"/>
      <c r="M7" s="22"/>
      <c r="N7" s="5"/>
      <c r="O7" s="5"/>
      <c r="P7" s="5"/>
      <c r="Q7" s="22"/>
      <c r="R7" s="5"/>
      <c r="S7" s="5"/>
      <c r="T7" s="5"/>
    </row>
    <row r="8" spans="1:22" ht="14.1" customHeight="1" thickBot="1">
      <c r="A8" s="160">
        <v>7891</v>
      </c>
      <c r="B8" s="160">
        <v>7898</v>
      </c>
      <c r="C8" s="5"/>
      <c r="D8" s="23"/>
      <c r="E8" s="5"/>
      <c r="F8" s="5"/>
      <c r="G8"/>
      <c r="H8" s="20"/>
      <c r="I8" s="20"/>
      <c r="J8" s="22"/>
      <c r="K8" s="22"/>
      <c r="L8" s="22"/>
      <c r="M8" s="22"/>
      <c r="N8" s="45"/>
      <c r="O8" s="5"/>
      <c r="P8" s="5"/>
      <c r="Q8" s="22"/>
      <c r="R8" s="5"/>
      <c r="S8" s="5"/>
      <c r="T8" s="5"/>
    </row>
    <row r="9" spans="1:22" ht="14.1" customHeight="1" thickBot="1">
      <c r="A9" s="160">
        <v>7891</v>
      </c>
      <c r="B9" s="160">
        <v>7899</v>
      </c>
      <c r="C9" s="5"/>
      <c r="D9" s="23"/>
      <c r="E9" s="5"/>
      <c r="F9" s="5"/>
      <c r="G9"/>
      <c r="H9" s="20"/>
      <c r="I9" s="20"/>
      <c r="J9" s="22"/>
      <c r="K9" s="22"/>
      <c r="L9" s="22"/>
      <c r="M9" s="22"/>
      <c r="N9" s="5"/>
      <c r="O9" s="5"/>
      <c r="P9" s="5"/>
      <c r="Q9" s="22"/>
      <c r="R9" s="5"/>
      <c r="S9" s="5"/>
      <c r="T9" s="5"/>
    </row>
    <row r="10" spans="1:22" ht="13.5" customHeight="1" thickBot="1">
      <c r="A10" s="160">
        <v>7891</v>
      </c>
      <c r="B10" s="160">
        <v>7900</v>
      </c>
      <c r="C10" s="5"/>
      <c r="D10" s="23"/>
      <c r="E10" s="5"/>
      <c r="F10" s="5"/>
      <c r="G10"/>
      <c r="H10" s="20"/>
      <c r="I10" s="20"/>
      <c r="J10" s="22"/>
      <c r="K10" s="22"/>
      <c r="L10" s="22"/>
      <c r="M10" s="22"/>
      <c r="N10" s="5"/>
      <c r="O10" s="5"/>
      <c r="P10" s="5"/>
      <c r="Q10" s="22"/>
      <c r="R10" s="5"/>
      <c r="S10" s="5"/>
      <c r="T10" s="5"/>
    </row>
    <row r="11" spans="1:22" ht="13.5" customHeight="1" thickBot="1">
      <c r="A11" s="160">
        <v>7891</v>
      </c>
      <c r="B11" s="160">
        <v>7901</v>
      </c>
      <c r="C11" s="5"/>
      <c r="D11" s="23"/>
      <c r="E11" s="5"/>
      <c r="F11" s="5"/>
      <c r="G11"/>
      <c r="H11" s="20"/>
      <c r="I11" s="20"/>
      <c r="J11" s="22"/>
      <c r="K11" s="22"/>
      <c r="L11" s="22"/>
      <c r="M11" s="22"/>
      <c r="N11" s="5"/>
      <c r="O11" s="5"/>
      <c r="P11" s="5"/>
      <c r="Q11" s="22"/>
      <c r="R11" s="5"/>
      <c r="S11" s="5"/>
      <c r="T11" s="5"/>
    </row>
    <row r="12" spans="1:22" ht="14.1" customHeight="1" thickBot="1">
      <c r="A12" s="160">
        <v>7891</v>
      </c>
      <c r="B12" s="160">
        <v>7902</v>
      </c>
      <c r="C12" s="5"/>
      <c r="D12" s="23"/>
      <c r="E12" s="5"/>
      <c r="F12" s="5"/>
      <c r="G12"/>
      <c r="H12" s="20"/>
      <c r="I12" s="20"/>
      <c r="J12" s="22"/>
      <c r="K12" s="22"/>
      <c r="L12" s="22"/>
      <c r="M12" s="22"/>
      <c r="N12" s="5"/>
      <c r="O12" s="5"/>
      <c r="P12" s="5"/>
      <c r="Q12" s="22"/>
      <c r="R12" s="5"/>
      <c r="S12" s="5"/>
      <c r="T12" s="5"/>
    </row>
    <row r="13" spans="1:22" ht="14.1" customHeight="1" thickBot="1">
      <c r="A13" s="160">
        <v>11925</v>
      </c>
      <c r="B13" s="160">
        <v>11926</v>
      </c>
      <c r="C13" s="5"/>
      <c r="D13" s="23"/>
      <c r="E13" s="5"/>
      <c r="F13" s="5"/>
      <c r="G13"/>
      <c r="H13" s="20"/>
      <c r="I13" s="20"/>
      <c r="J13" s="22"/>
      <c r="K13" s="22"/>
      <c r="L13" s="22"/>
      <c r="M13" s="22"/>
      <c r="N13" s="5"/>
      <c r="O13" s="5"/>
      <c r="P13" s="5"/>
      <c r="Q13" s="22"/>
      <c r="R13" s="5"/>
      <c r="S13" s="5"/>
      <c r="T13" s="5"/>
    </row>
    <row r="14" spans="1:22" ht="14.1" customHeight="1" thickBot="1">
      <c r="A14" s="160">
        <v>11925</v>
      </c>
      <c r="B14" s="160">
        <v>11927</v>
      </c>
      <c r="C14" s="5"/>
      <c r="D14" s="23"/>
      <c r="E14" s="5"/>
      <c r="F14" s="5"/>
      <c r="G14"/>
      <c r="H14" s="20"/>
      <c r="I14" s="20"/>
      <c r="J14" s="22"/>
      <c r="K14" s="22"/>
      <c r="L14" s="22"/>
      <c r="M14" s="22"/>
      <c r="N14" s="5"/>
      <c r="O14" s="5"/>
      <c r="P14" s="5"/>
      <c r="Q14" s="22"/>
      <c r="R14" s="5"/>
      <c r="S14" s="5"/>
      <c r="T14" s="5"/>
    </row>
    <row r="15" spans="1:22" ht="14.1" customHeight="1" thickBot="1">
      <c r="A15" s="160">
        <v>11925</v>
      </c>
      <c r="B15" s="160">
        <v>11928</v>
      </c>
      <c r="C15" s="5"/>
      <c r="D15" s="23"/>
      <c r="E15" s="5"/>
      <c r="F15" s="5"/>
      <c r="G15"/>
      <c r="H15" s="20"/>
      <c r="I15" s="20"/>
      <c r="J15" s="22"/>
      <c r="K15" s="22"/>
      <c r="L15" s="22"/>
      <c r="M15" s="22"/>
      <c r="N15" s="5"/>
      <c r="O15" s="5"/>
      <c r="P15" s="5"/>
      <c r="Q15" s="22"/>
      <c r="R15" s="5"/>
      <c r="S15" s="5"/>
      <c r="T15" s="5"/>
    </row>
    <row r="16" spans="1:22" ht="14.1" customHeight="1" thickBot="1">
      <c r="A16" s="160">
        <v>11925</v>
      </c>
      <c r="B16" s="160">
        <v>11929</v>
      </c>
      <c r="C16" s="5"/>
      <c r="D16" s="23"/>
      <c r="E16" s="5"/>
      <c r="F16" s="5"/>
      <c r="G16"/>
      <c r="H16" s="20"/>
      <c r="I16" s="20"/>
      <c r="J16" s="22"/>
      <c r="K16" s="22"/>
      <c r="L16" s="22"/>
      <c r="M16" s="22"/>
      <c r="N16" s="5"/>
      <c r="O16" s="5"/>
      <c r="P16" s="5"/>
      <c r="Q16" s="22"/>
      <c r="R16" s="5"/>
      <c r="S16" s="5"/>
      <c r="T16" s="5"/>
    </row>
    <row r="17" spans="1:20" ht="14.1" customHeight="1" thickBot="1">
      <c r="A17" s="160">
        <v>11925</v>
      </c>
      <c r="B17" s="160">
        <v>11930</v>
      </c>
      <c r="C17" s="5"/>
      <c r="D17" s="23"/>
      <c r="E17" s="5"/>
      <c r="F17" s="5"/>
      <c r="G17"/>
      <c r="H17" s="20"/>
      <c r="I17" s="20"/>
      <c r="J17" s="22"/>
      <c r="K17" s="22"/>
      <c r="L17" s="22"/>
      <c r="M17" s="22"/>
      <c r="N17" s="5"/>
      <c r="O17" s="5"/>
      <c r="P17" s="5"/>
      <c r="Q17" s="22"/>
      <c r="R17" s="5"/>
      <c r="S17" s="5"/>
      <c r="T17" s="5"/>
    </row>
    <row r="18" spans="1:20" ht="14.1" customHeight="1" thickBot="1">
      <c r="A18" s="160">
        <v>11925</v>
      </c>
      <c r="B18" s="160">
        <v>11931</v>
      </c>
      <c r="D18" s="23"/>
      <c r="G18"/>
      <c r="H18" s="20"/>
      <c r="I18" s="20"/>
      <c r="J18" s="22"/>
      <c r="K18" s="22"/>
      <c r="L18" s="22"/>
      <c r="M18" s="22"/>
      <c r="Q18" s="22"/>
    </row>
    <row r="19" spans="1:20" ht="14.1" customHeight="1" thickBot="1">
      <c r="A19" s="160">
        <v>11925</v>
      </c>
      <c r="B19" s="160">
        <v>11932</v>
      </c>
      <c r="D19" s="23"/>
      <c r="G19"/>
      <c r="H19" s="20"/>
      <c r="I19" s="20"/>
      <c r="J19" s="22"/>
      <c r="K19" s="22"/>
      <c r="L19" s="22"/>
      <c r="M19" s="22"/>
      <c r="Q19" s="22"/>
    </row>
    <row r="20" spans="1:20" ht="14.1" customHeight="1" thickBot="1">
      <c r="A20" s="160">
        <v>11925</v>
      </c>
      <c r="B20" s="160">
        <v>11933</v>
      </c>
      <c r="D20" s="23"/>
      <c r="G20"/>
      <c r="H20" s="20"/>
      <c r="I20" s="20"/>
      <c r="J20" s="22"/>
      <c r="L20" s="22"/>
      <c r="M20" s="22"/>
      <c r="Q20" s="22"/>
    </row>
    <row r="21" spans="1:20" s="44" customFormat="1" ht="14.1" customHeight="1" thickBot="1">
      <c r="A21" s="160">
        <v>11925</v>
      </c>
      <c r="B21" s="160">
        <v>11934</v>
      </c>
      <c r="D21" s="47"/>
      <c r="J21"/>
    </row>
    <row r="22" spans="1:20" ht="14.1" customHeight="1" thickBot="1">
      <c r="A22" s="160">
        <v>11925</v>
      </c>
      <c r="B22" s="160">
        <v>11935</v>
      </c>
      <c r="D22" s="4"/>
    </row>
    <row r="23" spans="1:20" ht="14.1" customHeight="1" thickBot="1">
      <c r="A23" s="160">
        <v>11925</v>
      </c>
      <c r="B23" s="160">
        <v>11936</v>
      </c>
    </row>
    <row r="24" spans="1:20" ht="14.1" customHeight="1" thickBot="1">
      <c r="A24" s="160">
        <v>11925</v>
      </c>
      <c r="B24" s="160">
        <v>11937</v>
      </c>
    </row>
    <row r="25" spans="1:20" ht="14.1" customHeight="1" thickBot="1">
      <c r="A25" s="160">
        <v>11939</v>
      </c>
      <c r="B25" s="160">
        <v>11942</v>
      </c>
    </row>
    <row r="26" spans="1:20" ht="14.1" customHeight="1" thickBot="1">
      <c r="A26" s="160">
        <v>11939</v>
      </c>
      <c r="B26" s="160">
        <v>11943</v>
      </c>
    </row>
    <row r="27" spans="1:20" ht="14.1" customHeight="1" thickBot="1">
      <c r="A27" s="160">
        <v>11939</v>
      </c>
      <c r="B27" s="160">
        <v>11944</v>
      </c>
    </row>
    <row r="28" spans="1:20" ht="14.1" customHeight="1" thickBot="1">
      <c r="A28" s="160">
        <v>11939</v>
      </c>
      <c r="B28" s="160">
        <v>11945</v>
      </c>
    </row>
    <row r="29" spans="1:20" ht="14.1" customHeight="1" thickBot="1">
      <c r="A29" s="160">
        <v>11939</v>
      </c>
      <c r="B29" s="160">
        <v>11946</v>
      </c>
    </row>
    <row r="30" spans="1:20" ht="14.1" customHeight="1" thickBot="1">
      <c r="A30" s="160">
        <v>11939</v>
      </c>
      <c r="B30" s="160">
        <v>11947</v>
      </c>
    </row>
    <row r="31" spans="1:20" ht="14.1" customHeight="1" thickBot="1">
      <c r="A31" s="160">
        <v>11939</v>
      </c>
      <c r="B31" s="160">
        <v>11948</v>
      </c>
    </row>
    <row r="32" spans="1:20" ht="14.1" customHeight="1" thickBot="1">
      <c r="A32" s="160">
        <v>11939</v>
      </c>
      <c r="B32" s="160">
        <v>11949</v>
      </c>
    </row>
    <row r="33" spans="1:2" ht="14.1" customHeight="1" thickBot="1">
      <c r="A33" s="160">
        <v>11939</v>
      </c>
      <c r="B33" s="160">
        <v>11950</v>
      </c>
    </row>
    <row r="34" spans="1:2" ht="14.1" customHeight="1" thickBot="1">
      <c r="A34" s="160">
        <v>11939</v>
      </c>
      <c r="B34" s="160">
        <v>11979</v>
      </c>
    </row>
    <row r="35" spans="1:2" ht="14.1" customHeight="1" thickBot="1">
      <c r="A35" s="160">
        <v>11939</v>
      </c>
      <c r="B35" s="160">
        <v>11980</v>
      </c>
    </row>
    <row r="36" spans="1:2" ht="14.1" customHeight="1" thickBot="1">
      <c r="A36" s="160">
        <v>11939</v>
      </c>
      <c r="B36" s="160">
        <v>11981</v>
      </c>
    </row>
    <row r="37" spans="1:2" ht="14.1" customHeight="1" thickBot="1">
      <c r="A37" s="160">
        <v>11342</v>
      </c>
      <c r="B37" s="160">
        <v>11343</v>
      </c>
    </row>
    <row r="38" spans="1:2" ht="14.1" customHeight="1" thickBot="1">
      <c r="A38" s="160">
        <v>11342</v>
      </c>
      <c r="B38" s="160">
        <v>11344</v>
      </c>
    </row>
    <row r="39" spans="1:2" ht="14.1" customHeight="1" thickBot="1">
      <c r="A39" s="160">
        <v>11342</v>
      </c>
      <c r="B39" s="160">
        <v>11345</v>
      </c>
    </row>
  </sheetData>
  <sheetProtection formatColumns="0"/>
  <dataConsolidate/>
  <customSheetViews>
    <customSheetView guid="{AE318230-F718-49FC-82EB-7CAC3DCD05F1}" showGridLines="0" hiddenRows="1">
      <selection activeCell="F2" sqref="F2"/>
      <pageMargins left="0.7" right="0.7" top="0.75" bottom="0.75" header="0.3" footer="0.3"/>
    </customSheetView>
  </customSheetViews>
  <dataValidations count="8">
    <dataValidation type="list" allowBlank="1" showInputMessage="1" showErrorMessage="1" sqref="H2:H20" xr:uid="{00000000-0002-0000-1D00-000000000000}">
      <formula1>israel_abroad</formula1>
    </dataValidation>
    <dataValidation type="list" allowBlank="1" showInputMessage="1" showErrorMessage="1" sqref="I2:I20" xr:uid="{00000000-0002-0000-1D00-000001000000}">
      <formula1>Country_list</formula1>
    </dataValidation>
    <dataValidation type="list" allowBlank="1" showInputMessage="1" showErrorMessage="1" sqref="C8" xr:uid="{00000000-0002-0000-1D00-000002000000}">
      <formula1>#REF!</formula1>
    </dataValidation>
    <dataValidation type="list" allowBlank="1" showInputMessage="1" showErrorMessage="1" sqref="D2:D20" xr:uid="{00000000-0002-0000-1D00-000003000000}">
      <formula1>issuer_number_loan</formula1>
    </dataValidation>
    <dataValidation type="list" allowBlank="1" showInputMessage="1" showErrorMessage="1" sqref="L2:L20" xr:uid="{00000000-0002-0000-1D00-000004000000}">
      <formula1>Rating_Agency</formula1>
    </dataValidation>
    <dataValidation type="list" allowBlank="1" showInputMessage="1" showErrorMessage="1" sqref="Q2:Q20" xr:uid="{00000000-0002-0000-1D00-000005000000}">
      <formula1>Type_of_Interest_Rate</formula1>
    </dataValidation>
    <dataValidation type="list" allowBlank="1" showInputMessage="1" showErrorMessage="1" sqref="J2:J20" xr:uid="{00000000-0002-0000-1D00-000006000000}">
      <formula1>Holding_interest</formula1>
    </dataValidation>
    <dataValidation type="list" allowBlank="1" showInputMessage="1" showErrorMessage="1" sqref="M2:M20" xr:uid="{00000000-0002-0000-1D00-000007000000}">
      <formula1>what_is_rated_loans</formula1>
    </dataValidation>
  </dataValidations>
  <pageMargins left="0.7" right="0.7" top="0.75" bottom="0.75" header="0.3" footer="0.3"/>
  <pageSetup paperSize="9" orientation="portrait" verticalDpi="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4"/>
  <dimension ref="A1:W39"/>
  <sheetViews>
    <sheetView rightToLeft="1" tabSelected="1" workbookViewId="0">
      <selection activeCell="Q17" sqref="Q17"/>
    </sheetView>
  </sheetViews>
  <sheetFormatPr defaultColWidth="11.5703125" defaultRowHeight="14.1" customHeight="1"/>
  <cols>
    <col min="1" max="8" width="11.5703125" style="2" customWidth="1"/>
    <col min="9" max="9" width="12.5703125" style="2" customWidth="1"/>
    <col min="10" max="22" width="11.5703125" style="2" customWidth="1"/>
    <col min="23" max="16384" width="11.5703125" style="2"/>
  </cols>
  <sheetData>
    <row r="1" spans="1:23" ht="66.75" customHeight="1">
      <c r="A1" s="21" t="s">
        <v>667</v>
      </c>
      <c r="B1" s="21" t="s">
        <v>0</v>
      </c>
      <c r="C1" s="21" t="s">
        <v>1</v>
      </c>
      <c r="D1" s="21" t="s">
        <v>796</v>
      </c>
      <c r="E1" s="21" t="s">
        <v>809</v>
      </c>
      <c r="F1" s="21" t="s">
        <v>797</v>
      </c>
      <c r="G1" s="21" t="s">
        <v>763</v>
      </c>
      <c r="H1" s="21" t="s">
        <v>762</v>
      </c>
      <c r="I1" s="21" t="s">
        <v>767</v>
      </c>
      <c r="J1" s="21" t="s">
        <v>396</v>
      </c>
      <c r="K1" s="21" t="s">
        <v>761</v>
      </c>
      <c r="L1" s="21" t="s">
        <v>940</v>
      </c>
      <c r="M1" s="21" t="s">
        <v>1176</v>
      </c>
      <c r="N1" s="21" t="s">
        <v>941</v>
      </c>
      <c r="O1" s="21" t="s">
        <v>1177</v>
      </c>
      <c r="P1" s="21" t="s">
        <v>22</v>
      </c>
      <c r="Q1" s="21" t="s">
        <v>813</v>
      </c>
    </row>
    <row r="2" spans="1:23" ht="14.1" customHeight="1" thickBot="1">
      <c r="A2" s="160">
        <v>7891</v>
      </c>
      <c r="B2" s="160">
        <v>7892</v>
      </c>
      <c r="C2" s="5"/>
      <c r="D2" s="5"/>
      <c r="E2" s="46"/>
      <c r="F2" s="23"/>
      <c r="G2" s="5"/>
      <c r="H2" s="46"/>
      <c r="I2" s="23"/>
      <c r="J2"/>
      <c r="K2" s="29"/>
      <c r="L2"/>
      <c r="M2"/>
      <c r="N2"/>
      <c r="O2"/>
      <c r="P2" s="22"/>
      <c r="Q2"/>
      <c r="R2" s="45"/>
      <c r="S2" s="5"/>
      <c r="T2" s="5"/>
      <c r="U2" s="5"/>
      <c r="V2" s="20"/>
      <c r="W2" s="5"/>
    </row>
    <row r="3" spans="1:23" ht="14.1" customHeight="1" thickBot="1">
      <c r="A3" s="160">
        <v>7891</v>
      </c>
      <c r="B3" s="160">
        <v>7893</v>
      </c>
      <c r="C3" s="5"/>
      <c r="D3" s="5"/>
      <c r="E3" s="5"/>
      <c r="F3" s="23"/>
      <c r="G3" s="5"/>
      <c r="H3"/>
      <c r="I3" s="23"/>
      <c r="J3"/>
      <c r="K3" s="22"/>
      <c r="L3"/>
      <c r="M3"/>
      <c r="N3"/>
      <c r="O3"/>
      <c r="P3" s="22"/>
      <c r="Q3"/>
      <c r="R3" s="5"/>
      <c r="S3" s="5"/>
      <c r="T3" s="5"/>
      <c r="U3" s="5"/>
      <c r="V3" s="20"/>
      <c r="W3" s="5"/>
    </row>
    <row r="4" spans="1:23" ht="13.5" customHeight="1" thickBot="1">
      <c r="A4" s="160">
        <v>7891</v>
      </c>
      <c r="B4" s="160">
        <v>7894</v>
      </c>
      <c r="C4" s="5"/>
      <c r="D4" s="5"/>
      <c r="E4" s="5"/>
      <c r="F4" s="23"/>
      <c r="G4" s="5"/>
      <c r="H4"/>
      <c r="I4" s="23"/>
      <c r="J4"/>
      <c r="K4" s="22"/>
      <c r="L4"/>
      <c r="M4"/>
      <c r="N4"/>
      <c r="O4"/>
      <c r="P4" s="22"/>
      <c r="Q4"/>
      <c r="R4" s="5"/>
      <c r="S4" s="5"/>
      <c r="T4" s="5"/>
      <c r="U4" s="5"/>
      <c r="V4" s="20"/>
    </row>
    <row r="5" spans="1:23" ht="13.5" customHeight="1" thickBot="1">
      <c r="A5" s="160">
        <v>7891</v>
      </c>
      <c r="B5" s="160">
        <v>7895</v>
      </c>
      <c r="C5" s="5"/>
      <c r="D5" s="5"/>
      <c r="E5" s="5"/>
      <c r="F5" s="23"/>
      <c r="G5" s="5"/>
      <c r="H5"/>
      <c r="I5" s="23"/>
      <c r="J5"/>
      <c r="K5" s="22"/>
      <c r="L5"/>
      <c r="M5"/>
      <c r="N5"/>
      <c r="O5"/>
      <c r="P5" s="22"/>
      <c r="Q5"/>
      <c r="R5" s="5"/>
      <c r="S5" s="5"/>
      <c r="T5" s="5"/>
      <c r="U5" s="5"/>
      <c r="V5" s="20"/>
    </row>
    <row r="6" spans="1:23" ht="14.1" customHeight="1" thickBot="1">
      <c r="A6" s="160">
        <v>7891</v>
      </c>
      <c r="B6" s="160">
        <v>7896</v>
      </c>
      <c r="C6" s="5"/>
      <c r="D6" s="5"/>
      <c r="E6" s="5"/>
      <c r="F6" s="23"/>
      <c r="G6" s="5"/>
      <c r="H6"/>
      <c r="I6" s="23"/>
      <c r="J6"/>
      <c r="K6" s="22"/>
      <c r="L6"/>
      <c r="M6"/>
      <c r="N6"/>
      <c r="O6"/>
      <c r="P6" s="22"/>
      <c r="Q6"/>
      <c r="R6" s="5"/>
      <c r="S6" s="5"/>
      <c r="T6" s="5"/>
      <c r="U6" s="5"/>
      <c r="V6" s="20"/>
    </row>
    <row r="7" spans="1:23" ht="14.1" customHeight="1" thickBot="1">
      <c r="A7" s="160">
        <v>7891</v>
      </c>
      <c r="B7" s="160">
        <v>7897</v>
      </c>
      <c r="C7" s="5"/>
      <c r="D7" s="5"/>
      <c r="E7" s="5"/>
      <c r="F7" s="23"/>
      <c r="G7" s="5"/>
      <c r="H7"/>
      <c r="I7" s="23"/>
      <c r="J7"/>
      <c r="K7" s="22"/>
      <c r="L7"/>
      <c r="M7"/>
      <c r="N7"/>
      <c r="O7"/>
      <c r="P7" s="22"/>
      <c r="Q7"/>
      <c r="R7" s="5"/>
      <c r="S7" s="5"/>
      <c r="T7" s="5"/>
      <c r="U7" s="5"/>
      <c r="V7" s="20"/>
    </row>
    <row r="8" spans="1:23" ht="14.1" customHeight="1" thickBot="1">
      <c r="A8" s="160">
        <v>7891</v>
      </c>
      <c r="B8" s="160">
        <v>7898</v>
      </c>
      <c r="C8" s="5"/>
      <c r="D8" s="5"/>
      <c r="E8" s="5"/>
      <c r="F8" s="23"/>
      <c r="G8" s="5"/>
      <c r="H8"/>
      <c r="I8" s="23"/>
      <c r="J8"/>
      <c r="K8" s="22"/>
      <c r="L8"/>
      <c r="M8"/>
      <c r="N8"/>
      <c r="O8"/>
      <c r="P8" s="22"/>
      <c r="Q8"/>
      <c r="R8" s="5"/>
      <c r="S8" s="5"/>
      <c r="T8" s="5"/>
      <c r="U8" s="5"/>
      <c r="V8" s="20"/>
    </row>
    <row r="9" spans="1:23" ht="14.1" customHeight="1" thickBot="1">
      <c r="A9" s="160">
        <v>7891</v>
      </c>
      <c r="B9" s="160">
        <v>7899</v>
      </c>
      <c r="C9" s="5"/>
      <c r="D9" s="5"/>
      <c r="E9" s="5"/>
      <c r="F9" s="23"/>
      <c r="G9" s="5"/>
      <c r="H9"/>
      <c r="I9" s="23"/>
      <c r="J9"/>
      <c r="K9" s="22"/>
      <c r="L9"/>
      <c r="M9"/>
      <c r="N9"/>
      <c r="O9"/>
      <c r="P9" s="22"/>
      <c r="Q9"/>
      <c r="R9" s="5"/>
      <c r="S9" s="5"/>
      <c r="T9" s="5"/>
      <c r="U9" s="5"/>
      <c r="V9" s="20"/>
    </row>
    <row r="10" spans="1:23" ht="14.1" customHeight="1" thickBot="1">
      <c r="A10" s="160">
        <v>7891</v>
      </c>
      <c r="B10" s="160">
        <v>7900</v>
      </c>
      <c r="C10" s="5"/>
      <c r="D10" s="5"/>
      <c r="E10" s="5"/>
      <c r="F10" s="23"/>
      <c r="G10" s="5"/>
      <c r="H10"/>
      <c r="I10" s="23"/>
      <c r="J10"/>
      <c r="K10" s="22"/>
      <c r="L10"/>
      <c r="M10"/>
      <c r="N10"/>
      <c r="O10"/>
      <c r="P10" s="22"/>
      <c r="Q10"/>
      <c r="R10" s="5"/>
      <c r="S10" s="5"/>
      <c r="T10" s="5"/>
      <c r="U10" s="5"/>
      <c r="V10" s="20"/>
    </row>
    <row r="11" spans="1:23" ht="14.1" customHeight="1" thickBot="1">
      <c r="A11" s="160">
        <v>7891</v>
      </c>
      <c r="B11" s="160">
        <v>7901</v>
      </c>
      <c r="C11" s="5"/>
      <c r="F11" s="23"/>
      <c r="H11"/>
      <c r="I11" s="23"/>
      <c r="J11"/>
      <c r="K11" s="22"/>
      <c r="L11"/>
      <c r="M11"/>
      <c r="N11"/>
      <c r="O11"/>
      <c r="Q11"/>
    </row>
    <row r="12" spans="1:23" ht="14.1" customHeight="1" thickBot="1">
      <c r="A12" s="160">
        <v>7891</v>
      </c>
      <c r="B12" s="160">
        <v>7902</v>
      </c>
      <c r="C12" s="5"/>
      <c r="F12" s="23"/>
      <c r="H12"/>
      <c r="I12" s="23"/>
      <c r="K12" s="22"/>
      <c r="L12"/>
      <c r="M12"/>
      <c r="N12"/>
      <c r="O12"/>
      <c r="Q12"/>
    </row>
    <row r="13" spans="1:23" ht="14.1" customHeight="1" thickBot="1">
      <c r="A13" s="160">
        <v>11925</v>
      </c>
      <c r="B13" s="160">
        <v>11926</v>
      </c>
      <c r="C13" s="5"/>
      <c r="F13" s="23"/>
      <c r="H13"/>
      <c r="I13" s="23"/>
      <c r="K13" s="22"/>
      <c r="L13"/>
      <c r="M13"/>
      <c r="N13"/>
      <c r="O13"/>
      <c r="Q13"/>
    </row>
    <row r="14" spans="1:23" ht="14.1" customHeight="1" thickBot="1">
      <c r="A14" s="160">
        <v>11925</v>
      </c>
      <c r="B14" s="160">
        <v>11927</v>
      </c>
      <c r="C14" s="5"/>
      <c r="F14" s="23"/>
      <c r="H14"/>
      <c r="I14" s="23"/>
      <c r="K14" s="22"/>
      <c r="L14"/>
      <c r="M14"/>
      <c r="N14"/>
      <c r="O14"/>
      <c r="Q14"/>
    </row>
    <row r="15" spans="1:23" ht="14.1" customHeight="1" thickBot="1">
      <c r="A15" s="160">
        <v>11925</v>
      </c>
      <c r="B15" s="160">
        <v>11928</v>
      </c>
      <c r="C15" s="5"/>
      <c r="F15" s="23"/>
      <c r="H15"/>
      <c r="I15" s="23"/>
      <c r="K15" s="22"/>
      <c r="L15"/>
      <c r="M15"/>
      <c r="N15"/>
      <c r="O15"/>
      <c r="Q15"/>
    </row>
    <row r="16" spans="1:23" ht="14.1" customHeight="1" thickBot="1">
      <c r="A16" s="160">
        <v>11925</v>
      </c>
      <c r="B16" s="160">
        <v>11929</v>
      </c>
      <c r="C16" s="5"/>
      <c r="F16" s="23"/>
      <c r="H16"/>
      <c r="I16" s="23"/>
      <c r="K16" s="22"/>
      <c r="L16"/>
      <c r="M16"/>
      <c r="N16"/>
      <c r="O16"/>
      <c r="Q16"/>
    </row>
    <row r="17" spans="1:17" ht="14.1" customHeight="1" thickBot="1">
      <c r="A17" s="160">
        <v>11925</v>
      </c>
      <c r="B17" s="160">
        <v>11930</v>
      </c>
      <c r="C17" s="5"/>
      <c r="F17" s="23"/>
      <c r="H17"/>
      <c r="I17" s="23"/>
      <c r="K17" s="22"/>
      <c r="L17"/>
      <c r="M17"/>
      <c r="N17"/>
      <c r="O17"/>
      <c r="Q17"/>
    </row>
    <row r="18" spans="1:17" ht="14.1" customHeight="1" thickBot="1">
      <c r="A18" s="160">
        <v>11925</v>
      </c>
      <c r="B18" s="160">
        <v>11931</v>
      </c>
      <c r="C18" s="5"/>
      <c r="F18" s="23"/>
      <c r="H18"/>
      <c r="I18" s="23"/>
      <c r="K18" s="22"/>
      <c r="L18"/>
      <c r="M18"/>
      <c r="N18"/>
      <c r="O18"/>
      <c r="Q18"/>
    </row>
    <row r="19" spans="1:17" ht="14.1" customHeight="1" thickBot="1">
      <c r="A19" s="160">
        <v>11925</v>
      </c>
      <c r="B19" s="160">
        <v>11932</v>
      </c>
      <c r="C19" s="5"/>
      <c r="F19" s="23"/>
      <c r="H19"/>
      <c r="I19" s="23"/>
      <c r="K19" s="22"/>
      <c r="L19"/>
      <c r="M19"/>
      <c r="N19"/>
      <c r="O19"/>
      <c r="Q19"/>
    </row>
    <row r="20" spans="1:17" ht="14.1" customHeight="1" thickBot="1">
      <c r="A20" s="160">
        <v>11925</v>
      </c>
      <c r="B20" s="160">
        <v>11933</v>
      </c>
      <c r="F20" s="23"/>
      <c r="H20"/>
      <c r="I20" s="23"/>
      <c r="L20"/>
      <c r="M20"/>
      <c r="N20"/>
      <c r="O20"/>
      <c r="Q20"/>
    </row>
    <row r="21" spans="1:17" ht="14.1" customHeight="1" thickBot="1">
      <c r="A21" s="160">
        <v>11925</v>
      </c>
      <c r="B21" s="160">
        <v>11934</v>
      </c>
      <c r="H21"/>
      <c r="L21"/>
      <c r="M21"/>
      <c r="N21"/>
      <c r="O21"/>
      <c r="Q21"/>
    </row>
    <row r="22" spans="1:17" ht="14.1" customHeight="1" thickBot="1">
      <c r="A22" s="160">
        <v>11925</v>
      </c>
      <c r="B22" s="160">
        <v>11935</v>
      </c>
      <c r="H22"/>
      <c r="L22"/>
      <c r="M22"/>
      <c r="N22"/>
      <c r="O22"/>
      <c r="Q22"/>
    </row>
    <row r="23" spans="1:17" ht="14.1" customHeight="1" thickBot="1">
      <c r="A23" s="160">
        <v>11925</v>
      </c>
      <c r="B23" s="160">
        <v>11936</v>
      </c>
      <c r="H23"/>
      <c r="L23"/>
      <c r="M23"/>
      <c r="N23"/>
      <c r="O23"/>
      <c r="Q23"/>
    </row>
    <row r="24" spans="1:17" ht="14.1" customHeight="1" thickBot="1">
      <c r="A24" s="160">
        <v>11925</v>
      </c>
      <c r="B24" s="160">
        <v>11937</v>
      </c>
      <c r="H24"/>
      <c r="K24" s="12"/>
      <c r="L24"/>
      <c r="M24"/>
      <c r="N24"/>
      <c r="O24"/>
      <c r="Q24"/>
    </row>
    <row r="25" spans="1:17" ht="14.1" customHeight="1" thickBot="1">
      <c r="A25" s="160">
        <v>11939</v>
      </c>
      <c r="B25" s="160">
        <v>11942</v>
      </c>
      <c r="H25"/>
      <c r="K25" s="12"/>
      <c r="N25"/>
      <c r="O25"/>
      <c r="Q25"/>
    </row>
    <row r="26" spans="1:17" ht="14.1" customHeight="1" thickBot="1">
      <c r="A26" s="160">
        <v>11939</v>
      </c>
      <c r="B26" s="160">
        <v>11943</v>
      </c>
      <c r="H26"/>
      <c r="K26" s="12"/>
      <c r="Q26"/>
    </row>
    <row r="27" spans="1:17" ht="14.1" customHeight="1" thickBot="1">
      <c r="A27" s="160">
        <v>11939</v>
      </c>
      <c r="B27" s="160">
        <v>11944</v>
      </c>
      <c r="H27"/>
      <c r="Q27"/>
    </row>
    <row r="28" spans="1:17" ht="14.1" customHeight="1" thickBot="1">
      <c r="A28" s="160">
        <v>11939</v>
      </c>
      <c r="B28" s="160">
        <v>11945</v>
      </c>
      <c r="H28"/>
      <c r="K28" s="12"/>
      <c r="Q28"/>
    </row>
    <row r="29" spans="1:17" ht="14.1" customHeight="1" thickBot="1">
      <c r="A29" s="160">
        <v>11939</v>
      </c>
      <c r="B29" s="160">
        <v>11946</v>
      </c>
      <c r="H29"/>
      <c r="Q29"/>
    </row>
    <row r="30" spans="1:17" ht="14.1" customHeight="1" thickBot="1">
      <c r="A30" s="160">
        <v>11939</v>
      </c>
      <c r="B30" s="160">
        <v>11947</v>
      </c>
      <c r="H30"/>
      <c r="Q30"/>
    </row>
    <row r="31" spans="1:17" ht="14.1" customHeight="1" thickBot="1">
      <c r="A31" s="160">
        <v>11939</v>
      </c>
      <c r="B31" s="160">
        <v>11948</v>
      </c>
      <c r="H31"/>
      <c r="Q31"/>
    </row>
    <row r="32" spans="1:17" ht="14.1" customHeight="1" thickBot="1">
      <c r="A32" s="160">
        <v>11939</v>
      </c>
      <c r="B32" s="160">
        <v>11949</v>
      </c>
      <c r="H32"/>
    </row>
    <row r="33" spans="1:2" ht="14.1" customHeight="1" thickBot="1">
      <c r="A33" s="160">
        <v>11939</v>
      </c>
      <c r="B33" s="160">
        <v>11950</v>
      </c>
    </row>
    <row r="34" spans="1:2" ht="14.1" customHeight="1" thickBot="1">
      <c r="A34" s="160">
        <v>11939</v>
      </c>
      <c r="B34" s="160">
        <v>11979</v>
      </c>
    </row>
    <row r="35" spans="1:2" ht="14.1" customHeight="1" thickBot="1">
      <c r="A35" s="160">
        <v>11939</v>
      </c>
      <c r="B35" s="160">
        <v>11980</v>
      </c>
    </row>
    <row r="36" spans="1:2" ht="14.1" customHeight="1" thickBot="1">
      <c r="A36" s="160">
        <v>11939</v>
      </c>
      <c r="B36" s="160">
        <v>11981</v>
      </c>
    </row>
    <row r="37" spans="1:2" ht="14.1" customHeight="1" thickBot="1">
      <c r="A37" s="160">
        <v>11342</v>
      </c>
      <c r="B37" s="160">
        <v>11343</v>
      </c>
    </row>
    <row r="38" spans="1:2" ht="14.1" customHeight="1" thickBot="1">
      <c r="A38" s="160">
        <v>11342</v>
      </c>
      <c r="B38" s="160">
        <v>11344</v>
      </c>
    </row>
    <row r="39" spans="1:2" ht="14.1" customHeight="1" thickBot="1">
      <c r="A39" s="160">
        <v>11342</v>
      </c>
      <c r="B39" s="160">
        <v>11345</v>
      </c>
    </row>
  </sheetData>
  <sheetProtection formatColumns="0"/>
  <dataConsolidate/>
  <dataValidations count="2">
    <dataValidation type="list" allowBlank="1" showInputMessage="1" showErrorMessage="1" sqref="F2:F20" xr:uid="{00000000-0002-0000-1E00-000000000000}">
      <formula1>Issuer_Number_Fund</formula1>
    </dataValidation>
    <dataValidation type="list" allowBlank="1" showInputMessage="1" showErrorMessage="1" sqref="I2:I20" xr:uid="{00000000-0002-0000-1E00-000001000000}">
      <formula1>Type_of_Security_ID_Fund</formula1>
    </dataValidation>
  </dataValidations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2000000}">
          <x14:formula1>
            <xm:f>'אפשרויות בחירה'!$C$1037:$C$1040</xm:f>
          </x14:formula1>
          <xm:sqref>C2:C19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6"/>
  <dimension ref="A1:H1315"/>
  <sheetViews>
    <sheetView showGridLines="0" rightToLeft="1" zoomScale="85" zoomScaleNormal="85" workbookViewId="0">
      <pane ySplit="1" topLeftCell="A2" activePane="bottomLeft" state="frozen"/>
      <selection pane="bottomLeft" activeCell="C11" sqref="C11"/>
    </sheetView>
  </sheetViews>
  <sheetFormatPr defaultColWidth="9" defaultRowHeight="15"/>
  <cols>
    <col min="1" max="1" width="29.42578125" style="12" customWidth="1"/>
    <col min="2" max="2" width="30.42578125" style="17" customWidth="1"/>
    <col min="3" max="3" width="90.85546875" style="69" customWidth="1"/>
    <col min="4" max="4" width="68.85546875" style="12" customWidth="1"/>
    <col min="5" max="5" width="17.42578125" style="17" customWidth="1"/>
    <col min="6" max="6" width="59.5703125" style="17" customWidth="1"/>
    <col min="7" max="7" width="63.42578125" style="17" customWidth="1"/>
    <col min="8" max="8" width="38.7109375" style="17" customWidth="1"/>
    <col min="9" max="9" width="9" style="17" customWidth="1"/>
    <col min="10" max="16384" width="9" style="17"/>
  </cols>
  <sheetData>
    <row r="1" spans="1:8" s="66" customFormat="1" ht="45">
      <c r="A1" s="65" t="s">
        <v>606</v>
      </c>
      <c r="B1" s="65" t="s">
        <v>334</v>
      </c>
      <c r="C1" s="65" t="s">
        <v>335</v>
      </c>
      <c r="D1" s="65" t="s">
        <v>373</v>
      </c>
      <c r="E1" s="17"/>
      <c r="F1" s="17"/>
      <c r="G1" s="17"/>
      <c r="H1" s="17"/>
    </row>
    <row r="2" spans="1:8">
      <c r="A2" s="103"/>
      <c r="B2" s="103" t="s">
        <v>686</v>
      </c>
      <c r="C2" s="24" t="s">
        <v>53</v>
      </c>
      <c r="D2" s="24"/>
    </row>
    <row r="3" spans="1:8">
      <c r="A3" s="104"/>
      <c r="B3" s="104"/>
      <c r="C3" s="24" t="s">
        <v>61</v>
      </c>
      <c r="D3" s="24"/>
    </row>
    <row r="4" spans="1:8" ht="45">
      <c r="A4" s="96"/>
      <c r="B4" s="124" t="s">
        <v>799</v>
      </c>
      <c r="C4" s="25" t="s">
        <v>53</v>
      </c>
      <c r="D4" s="25"/>
    </row>
    <row r="5" spans="1:8">
      <c r="A5" s="97"/>
      <c r="B5" s="125"/>
      <c r="C5" s="25" t="s">
        <v>59</v>
      </c>
      <c r="D5" s="25"/>
    </row>
    <row r="6" spans="1:8">
      <c r="A6" s="97"/>
      <c r="B6" s="125"/>
      <c r="C6" s="25" t="s">
        <v>67</v>
      </c>
      <c r="D6" s="25"/>
    </row>
    <row r="7" spans="1:8">
      <c r="A7" s="97"/>
      <c r="B7" s="125"/>
      <c r="C7" s="25" t="s">
        <v>74</v>
      </c>
      <c r="D7" s="25"/>
    </row>
    <row r="8" spans="1:8">
      <c r="A8" s="97"/>
      <c r="B8" s="125"/>
      <c r="C8" s="25" t="s">
        <v>81</v>
      </c>
      <c r="D8" s="25"/>
    </row>
    <row r="9" spans="1:8">
      <c r="A9" s="97"/>
      <c r="B9" s="125"/>
      <c r="C9" s="25" t="s">
        <v>946</v>
      </c>
      <c r="D9" s="25"/>
    </row>
    <row r="10" spans="1:8">
      <c r="A10" s="97"/>
      <c r="B10" s="125"/>
      <c r="C10" s="25" t="s">
        <v>92</v>
      </c>
      <c r="D10" s="25"/>
    </row>
    <row r="11" spans="1:8">
      <c r="A11" s="97"/>
      <c r="B11" s="125"/>
      <c r="C11" s="25" t="s">
        <v>977</v>
      </c>
      <c r="D11" s="25"/>
      <c r="E11" s="17" t="s">
        <v>1200</v>
      </c>
    </row>
    <row r="12" spans="1:8">
      <c r="A12" s="97"/>
      <c r="B12" s="125"/>
      <c r="C12" s="25" t="s">
        <v>978</v>
      </c>
      <c r="D12" s="25"/>
      <c r="E12" s="17" t="s">
        <v>1200</v>
      </c>
    </row>
    <row r="13" spans="1:8">
      <c r="A13" s="97"/>
      <c r="B13" s="125"/>
      <c r="C13" s="25" t="s">
        <v>104</v>
      </c>
      <c r="D13" s="25"/>
    </row>
    <row r="14" spans="1:8">
      <c r="A14" s="97"/>
      <c r="B14" s="125"/>
      <c r="C14" s="25" t="s">
        <v>109</v>
      </c>
      <c r="D14" s="25"/>
    </row>
    <row r="15" spans="1:8">
      <c r="A15" s="97"/>
      <c r="B15" s="125"/>
      <c r="C15" s="25" t="s">
        <v>111</v>
      </c>
      <c r="D15" s="25"/>
    </row>
    <row r="16" spans="1:8">
      <c r="A16" s="97"/>
      <c r="B16" s="125"/>
      <c r="C16" s="25" t="s">
        <v>114</v>
      </c>
      <c r="D16" s="25"/>
    </row>
    <row r="17" spans="1:4">
      <c r="A17" s="97"/>
      <c r="B17" s="125"/>
      <c r="C17" s="25" t="s">
        <v>117</v>
      </c>
      <c r="D17" s="25"/>
    </row>
    <row r="18" spans="1:4">
      <c r="A18" s="97"/>
      <c r="B18" s="125"/>
      <c r="C18" s="25" t="s">
        <v>120</v>
      </c>
      <c r="D18" s="25"/>
    </row>
    <row r="19" spans="1:4">
      <c r="A19" s="97"/>
      <c r="B19" s="125"/>
      <c r="C19" s="25" t="s">
        <v>123</v>
      </c>
      <c r="D19" s="25"/>
    </row>
    <row r="20" spans="1:4">
      <c r="A20" s="97"/>
      <c r="B20" s="125"/>
      <c r="C20" s="25" t="s">
        <v>125</v>
      </c>
      <c r="D20" s="25"/>
    </row>
    <row r="21" spans="1:4">
      <c r="A21" s="97"/>
      <c r="B21" s="125"/>
      <c r="C21" s="25" t="s">
        <v>314</v>
      </c>
      <c r="D21" s="25"/>
    </row>
    <row r="22" spans="1:4">
      <c r="A22" s="97"/>
      <c r="B22" s="125"/>
      <c r="C22" s="25" t="s">
        <v>128</v>
      </c>
      <c r="D22" s="25"/>
    </row>
    <row r="23" spans="1:4">
      <c r="A23" s="97"/>
      <c r="B23" s="125"/>
      <c r="C23" s="25" t="s">
        <v>131</v>
      </c>
      <c r="D23" s="25"/>
    </row>
    <row r="24" spans="1:4">
      <c r="A24" s="97"/>
      <c r="B24" s="125"/>
      <c r="C24" s="25" t="s">
        <v>132</v>
      </c>
      <c r="D24" s="25"/>
    </row>
    <row r="25" spans="1:4">
      <c r="A25" s="97"/>
      <c r="B25" s="125"/>
      <c r="C25" s="25" t="s">
        <v>134</v>
      </c>
      <c r="D25" s="25"/>
    </row>
    <row r="26" spans="1:4">
      <c r="A26" s="97"/>
      <c r="B26" s="125"/>
      <c r="C26" s="25" t="s">
        <v>136</v>
      </c>
      <c r="D26" s="25"/>
    </row>
    <row r="27" spans="1:4">
      <c r="A27" s="97"/>
      <c r="B27" s="125"/>
      <c r="C27" s="25" t="s">
        <v>138</v>
      </c>
      <c r="D27" s="25"/>
    </row>
    <row r="28" spans="1:4">
      <c r="A28" s="97"/>
      <c r="B28" s="125"/>
      <c r="C28" s="25" t="s">
        <v>141</v>
      </c>
      <c r="D28" s="25"/>
    </row>
    <row r="29" spans="1:4">
      <c r="A29" s="97"/>
      <c r="B29" s="125"/>
      <c r="C29" s="25" t="s">
        <v>143</v>
      </c>
      <c r="D29" s="25"/>
    </row>
    <row r="30" spans="1:4">
      <c r="A30" s="97"/>
      <c r="B30" s="125"/>
      <c r="C30" s="25" t="s">
        <v>315</v>
      </c>
      <c r="D30" s="25"/>
    </row>
    <row r="31" spans="1:4">
      <c r="A31" s="97"/>
      <c r="B31" s="125"/>
      <c r="C31" s="25" t="s">
        <v>145</v>
      </c>
      <c r="D31" s="25"/>
    </row>
    <row r="32" spans="1:4">
      <c r="A32" s="97"/>
      <c r="B32" s="125"/>
      <c r="C32" s="25" t="s">
        <v>147</v>
      </c>
      <c r="D32" s="25"/>
    </row>
    <row r="33" spans="1:5">
      <c r="A33" s="97"/>
      <c r="B33" s="125"/>
      <c r="C33" s="25" t="s">
        <v>149</v>
      </c>
      <c r="D33" s="25"/>
    </row>
    <row r="34" spans="1:5">
      <c r="A34" s="97"/>
      <c r="B34" s="125"/>
      <c r="C34" s="25" t="s">
        <v>151</v>
      </c>
      <c r="D34" s="25"/>
    </row>
    <row r="35" spans="1:5">
      <c r="A35" s="97"/>
      <c r="B35" s="125"/>
      <c r="C35" s="25" t="s">
        <v>153</v>
      </c>
      <c r="D35" s="25"/>
    </row>
    <row r="36" spans="1:5">
      <c r="A36" s="97"/>
      <c r="B36" s="125"/>
      <c r="C36" s="25" t="s">
        <v>1141</v>
      </c>
      <c r="D36" s="25"/>
      <c r="E36" s="17" t="s">
        <v>1200</v>
      </c>
    </row>
    <row r="37" spans="1:5">
      <c r="A37" s="97"/>
      <c r="B37" s="125"/>
      <c r="C37" s="12" t="s">
        <v>1140</v>
      </c>
      <c r="D37" s="25"/>
      <c r="E37" s="17" t="s">
        <v>1200</v>
      </c>
    </row>
    <row r="38" spans="1:5">
      <c r="A38" s="97"/>
      <c r="B38" s="125"/>
      <c r="C38" s="25" t="s">
        <v>154</v>
      </c>
      <c r="D38" s="25"/>
    </row>
    <row r="39" spans="1:5">
      <c r="A39" s="97"/>
      <c r="B39" s="125"/>
      <c r="C39" s="25" t="s">
        <v>155</v>
      </c>
      <c r="D39" s="25"/>
    </row>
    <row r="40" spans="1:5">
      <c r="A40" s="97"/>
      <c r="B40" s="125"/>
      <c r="C40" s="25" t="s">
        <v>971</v>
      </c>
      <c r="D40" s="25"/>
      <c r="E40" s="17" t="s">
        <v>1200</v>
      </c>
    </row>
    <row r="41" spans="1:5">
      <c r="A41" s="97"/>
      <c r="B41" s="125"/>
      <c r="C41" s="25" t="s">
        <v>157</v>
      </c>
      <c r="D41" s="25"/>
    </row>
    <row r="42" spans="1:5">
      <c r="A42" s="97"/>
      <c r="B42" s="125"/>
      <c r="C42" s="25" t="s">
        <v>158</v>
      </c>
      <c r="D42" s="25"/>
    </row>
    <row r="43" spans="1:5">
      <c r="A43" s="97"/>
      <c r="B43" s="125"/>
      <c r="C43" s="25" t="s">
        <v>159</v>
      </c>
      <c r="D43" s="25"/>
    </row>
    <row r="44" spans="1:5">
      <c r="A44" s="97"/>
      <c r="B44" s="125"/>
      <c r="C44" s="25" t="s">
        <v>160</v>
      </c>
      <c r="D44" s="25"/>
    </row>
    <row r="45" spans="1:5">
      <c r="A45" s="97"/>
      <c r="B45" s="125"/>
      <c r="C45" s="25" t="s">
        <v>161</v>
      </c>
      <c r="D45" s="25"/>
    </row>
    <row r="46" spans="1:5">
      <c r="A46" s="97"/>
      <c r="B46" s="125"/>
      <c r="C46" s="25" t="s">
        <v>973</v>
      </c>
      <c r="D46" s="25"/>
      <c r="E46" s="17" t="s">
        <v>1200</v>
      </c>
    </row>
    <row r="47" spans="1:5">
      <c r="A47" s="97"/>
      <c r="B47" s="125"/>
      <c r="C47" s="25" t="s">
        <v>164</v>
      </c>
      <c r="D47" s="25"/>
    </row>
    <row r="48" spans="1:5">
      <c r="A48" s="97"/>
      <c r="B48" s="125"/>
      <c r="C48" s="25" t="s">
        <v>166</v>
      </c>
      <c r="D48" s="25"/>
    </row>
    <row r="49" spans="1:5">
      <c r="A49" s="97"/>
      <c r="B49" s="125"/>
      <c r="C49" s="25" t="s">
        <v>168</v>
      </c>
      <c r="D49" s="25"/>
    </row>
    <row r="50" spans="1:5">
      <c r="A50" s="97"/>
      <c r="B50" s="125"/>
      <c r="C50" s="25" t="s">
        <v>173</v>
      </c>
      <c r="D50" s="25"/>
    </row>
    <row r="51" spans="1:5">
      <c r="A51" s="97"/>
      <c r="B51" s="125"/>
      <c r="C51" s="25" t="s">
        <v>175</v>
      </c>
      <c r="D51" s="25"/>
    </row>
    <row r="52" spans="1:5">
      <c r="A52" s="97"/>
      <c r="B52" s="125"/>
      <c r="C52" s="25" t="s">
        <v>177</v>
      </c>
      <c r="D52" s="25"/>
    </row>
    <row r="53" spans="1:5">
      <c r="A53" s="97"/>
      <c r="B53" s="125"/>
      <c r="C53" s="25" t="s">
        <v>178</v>
      </c>
      <c r="D53" s="25"/>
    </row>
    <row r="54" spans="1:5">
      <c r="A54" s="97"/>
      <c r="B54" s="125"/>
      <c r="C54" s="25" t="s">
        <v>179</v>
      </c>
      <c r="D54" s="25"/>
    </row>
    <row r="55" spans="1:5">
      <c r="A55" s="97"/>
      <c r="B55" s="125"/>
      <c r="C55" s="25" t="s">
        <v>180</v>
      </c>
      <c r="D55" s="25"/>
    </row>
    <row r="56" spans="1:5">
      <c r="A56" s="97"/>
      <c r="B56" s="125"/>
      <c r="C56" s="25" t="s">
        <v>181</v>
      </c>
      <c r="D56" s="25"/>
    </row>
    <row r="57" spans="1:5">
      <c r="A57" s="97"/>
      <c r="B57" s="125"/>
      <c r="C57" s="25" t="s">
        <v>182</v>
      </c>
      <c r="D57" s="25"/>
    </row>
    <row r="58" spans="1:5">
      <c r="A58" s="97"/>
      <c r="B58" s="125"/>
      <c r="C58" s="25" t="s">
        <v>183</v>
      </c>
      <c r="D58" s="25"/>
    </row>
    <row r="59" spans="1:5">
      <c r="A59" s="97"/>
      <c r="B59" s="125"/>
      <c r="C59" s="25" t="s">
        <v>510</v>
      </c>
      <c r="D59" s="25"/>
    </row>
    <row r="60" spans="1:5">
      <c r="A60" s="97"/>
      <c r="B60" s="125"/>
      <c r="C60" s="25" t="s">
        <v>184</v>
      </c>
      <c r="D60" s="25"/>
    </row>
    <row r="61" spans="1:5">
      <c r="A61" s="97"/>
      <c r="B61" s="125"/>
      <c r="C61" s="25" t="s">
        <v>185</v>
      </c>
      <c r="D61" s="25"/>
    </row>
    <row r="62" spans="1:5">
      <c r="A62" s="97"/>
      <c r="B62" s="125"/>
      <c r="C62" s="25" t="s">
        <v>186</v>
      </c>
      <c r="D62" s="25"/>
    </row>
    <row r="63" spans="1:5">
      <c r="A63" s="97"/>
      <c r="B63" s="125"/>
      <c r="C63" s="25" t="s">
        <v>972</v>
      </c>
      <c r="D63" s="25"/>
      <c r="E63" s="17" t="s">
        <v>1200</v>
      </c>
    </row>
    <row r="64" spans="1:5">
      <c r="A64" s="97"/>
      <c r="B64" s="125"/>
      <c r="C64" s="25" t="s">
        <v>187</v>
      </c>
      <c r="D64" s="25"/>
    </row>
    <row r="65" spans="1:4">
      <c r="A65" s="97"/>
      <c r="B65" s="125"/>
      <c r="C65" s="25" t="s">
        <v>188</v>
      </c>
      <c r="D65" s="25"/>
    </row>
    <row r="66" spans="1:4">
      <c r="A66" s="97"/>
      <c r="B66" s="125"/>
      <c r="C66" s="25" t="s">
        <v>189</v>
      </c>
      <c r="D66" s="25"/>
    </row>
    <row r="67" spans="1:4">
      <c r="A67" s="97"/>
      <c r="B67" s="125"/>
      <c r="C67" s="25" t="s">
        <v>190</v>
      </c>
      <c r="D67" s="25"/>
    </row>
    <row r="68" spans="1:4">
      <c r="A68" s="97"/>
      <c r="B68" s="125"/>
      <c r="C68" s="25" t="s">
        <v>191</v>
      </c>
      <c r="D68" s="25"/>
    </row>
    <row r="69" spans="1:4">
      <c r="A69" s="97"/>
      <c r="B69" s="125"/>
      <c r="C69" s="25" t="s">
        <v>192</v>
      </c>
      <c r="D69" s="25"/>
    </row>
    <row r="70" spans="1:4">
      <c r="A70" s="97"/>
      <c r="B70" s="125"/>
      <c r="C70" s="25" t="s">
        <v>193</v>
      </c>
      <c r="D70" s="25"/>
    </row>
    <row r="71" spans="1:4">
      <c r="A71" s="97"/>
      <c r="B71" s="125"/>
      <c r="C71" s="25" t="s">
        <v>194</v>
      </c>
      <c r="D71" s="25"/>
    </row>
    <row r="72" spans="1:4">
      <c r="A72" s="97"/>
      <c r="B72" s="125"/>
      <c r="C72" s="25" t="s">
        <v>196</v>
      </c>
      <c r="D72" s="25"/>
    </row>
    <row r="73" spans="1:4">
      <c r="A73" s="97"/>
      <c r="B73" s="125"/>
      <c r="C73" s="25" t="s">
        <v>197</v>
      </c>
      <c r="D73" s="25"/>
    </row>
    <row r="74" spans="1:4">
      <c r="A74" s="97"/>
      <c r="B74" s="125"/>
      <c r="C74" s="25" t="s">
        <v>198</v>
      </c>
      <c r="D74" s="25"/>
    </row>
    <row r="75" spans="1:4">
      <c r="A75" s="97"/>
      <c r="B75" s="125"/>
      <c r="C75" s="25" t="s">
        <v>199</v>
      </c>
      <c r="D75" s="25"/>
    </row>
    <row r="76" spans="1:4">
      <c r="A76" s="97"/>
      <c r="B76" s="125"/>
      <c r="C76" s="25" t="s">
        <v>200</v>
      </c>
      <c r="D76" s="25"/>
    </row>
    <row r="77" spans="1:4">
      <c r="A77" s="97"/>
      <c r="B77" s="125"/>
      <c r="C77" s="25" t="s">
        <v>201</v>
      </c>
      <c r="D77" s="25"/>
    </row>
    <row r="78" spans="1:4">
      <c r="A78" s="97"/>
      <c r="B78" s="125"/>
      <c r="C78" s="25" t="s">
        <v>203</v>
      </c>
      <c r="D78" s="25"/>
    </row>
    <row r="79" spans="1:4">
      <c r="A79" s="97"/>
      <c r="B79" s="125"/>
      <c r="C79" s="25" t="s">
        <v>204</v>
      </c>
      <c r="D79" s="25"/>
    </row>
    <row r="80" spans="1:4">
      <c r="A80" s="97"/>
      <c r="B80" s="125"/>
      <c r="C80" s="25" t="s">
        <v>205</v>
      </c>
      <c r="D80" s="25"/>
    </row>
    <row r="81" spans="1:5">
      <c r="A81" s="97"/>
      <c r="B81" s="125"/>
      <c r="C81" s="25" t="s">
        <v>206</v>
      </c>
      <c r="D81" s="25"/>
    </row>
    <row r="82" spans="1:5">
      <c r="A82" s="97"/>
      <c r="B82" s="125"/>
      <c r="C82" s="25" t="s">
        <v>207</v>
      </c>
      <c r="D82" s="25"/>
    </row>
    <row r="83" spans="1:5">
      <c r="A83" s="97"/>
      <c r="B83" s="125"/>
      <c r="C83" s="25" t="s">
        <v>208</v>
      </c>
      <c r="D83" s="25"/>
    </row>
    <row r="84" spans="1:5">
      <c r="A84" s="97"/>
      <c r="B84" s="125"/>
      <c r="C84" s="25" t="s">
        <v>209</v>
      </c>
      <c r="D84" s="25"/>
    </row>
    <row r="85" spans="1:5">
      <c r="A85" s="97"/>
      <c r="B85" s="125"/>
      <c r="C85" s="25" t="s">
        <v>210</v>
      </c>
      <c r="D85" s="25"/>
    </row>
    <row r="86" spans="1:5">
      <c r="A86" s="97"/>
      <c r="B86" s="125"/>
      <c r="C86" s="25" t="s">
        <v>316</v>
      </c>
      <c r="D86" s="25"/>
    </row>
    <row r="87" spans="1:5">
      <c r="A87" s="97"/>
      <c r="B87" s="125"/>
      <c r="C87" s="25" t="s">
        <v>318</v>
      </c>
      <c r="D87" s="25"/>
    </row>
    <row r="88" spans="1:5">
      <c r="A88" s="97"/>
      <c r="B88" s="125"/>
      <c r="C88" s="25" t="s">
        <v>947</v>
      </c>
      <c r="D88" s="25"/>
    </row>
    <row r="89" spans="1:5">
      <c r="A89" s="97"/>
      <c r="B89" s="125"/>
      <c r="C89" s="25" t="s">
        <v>948</v>
      </c>
      <c r="D89" s="25"/>
    </row>
    <row r="90" spans="1:5">
      <c r="A90" s="97"/>
      <c r="B90" s="125"/>
      <c r="C90" s="25" t="s">
        <v>313</v>
      </c>
      <c r="D90" s="25"/>
    </row>
    <row r="91" spans="1:5">
      <c r="A91" s="97"/>
      <c r="B91" s="125"/>
      <c r="C91" s="25" t="s">
        <v>949</v>
      </c>
      <c r="D91" s="25"/>
    </row>
    <row r="92" spans="1:5">
      <c r="A92" s="97"/>
      <c r="B92" s="125"/>
      <c r="C92" s="25" t="s">
        <v>957</v>
      </c>
      <c r="D92" s="25"/>
    </row>
    <row r="93" spans="1:5">
      <c r="A93" s="97"/>
      <c r="B93" s="125"/>
      <c r="C93" s="25" t="s">
        <v>317</v>
      </c>
      <c r="D93" s="25"/>
    </row>
    <row r="94" spans="1:5">
      <c r="A94" s="97"/>
      <c r="B94" s="125"/>
      <c r="C94" s="25" t="s">
        <v>1186</v>
      </c>
      <c r="D94" s="25" t="s">
        <v>1185</v>
      </c>
      <c r="E94" s="17" t="s">
        <v>1200</v>
      </c>
    </row>
    <row r="95" spans="1:5">
      <c r="A95" s="97"/>
      <c r="B95" s="125"/>
      <c r="C95" s="25" t="s">
        <v>1187</v>
      </c>
      <c r="D95" s="25" t="s">
        <v>963</v>
      </c>
      <c r="E95" s="17" t="s">
        <v>1200</v>
      </c>
    </row>
    <row r="96" spans="1:5">
      <c r="A96" s="97"/>
      <c r="B96" s="125"/>
      <c r="C96" s="25" t="s">
        <v>1188</v>
      </c>
      <c r="D96" s="25" t="s">
        <v>963</v>
      </c>
      <c r="E96" s="17" t="s">
        <v>1200</v>
      </c>
    </row>
    <row r="97" spans="1:5">
      <c r="A97" s="97"/>
      <c r="B97" s="125"/>
      <c r="C97" s="25" t="s">
        <v>1182</v>
      </c>
      <c r="D97" s="25" t="s">
        <v>963</v>
      </c>
      <c r="E97" s="17" t="s">
        <v>1200</v>
      </c>
    </row>
    <row r="98" spans="1:5">
      <c r="A98" s="97"/>
      <c r="B98" s="125"/>
      <c r="C98" s="25" t="s">
        <v>1183</v>
      </c>
      <c r="D98" s="25" t="s">
        <v>963</v>
      </c>
      <c r="E98" s="17" t="s">
        <v>1200</v>
      </c>
    </row>
    <row r="99" spans="1:5">
      <c r="A99" s="97"/>
      <c r="B99" s="125"/>
      <c r="C99" s="25" t="s">
        <v>1184</v>
      </c>
      <c r="D99" s="25" t="s">
        <v>963</v>
      </c>
      <c r="E99" s="17" t="s">
        <v>1200</v>
      </c>
    </row>
    <row r="100" spans="1:5">
      <c r="A100" s="97"/>
      <c r="B100" s="125"/>
      <c r="C100" s="25" t="s">
        <v>1189</v>
      </c>
      <c r="D100" s="25" t="s">
        <v>963</v>
      </c>
      <c r="E100" s="17" t="s">
        <v>1200</v>
      </c>
    </row>
    <row r="101" spans="1:5">
      <c r="A101" s="97"/>
      <c r="B101" s="125"/>
      <c r="C101" s="25" t="s">
        <v>1190</v>
      </c>
      <c r="D101" s="25" t="s">
        <v>963</v>
      </c>
      <c r="E101" s="17" t="s">
        <v>1200</v>
      </c>
    </row>
    <row r="102" spans="1:5">
      <c r="A102" s="97"/>
      <c r="B102" s="125"/>
      <c r="C102" s="25" t="s">
        <v>1191</v>
      </c>
      <c r="D102" s="25" t="s">
        <v>963</v>
      </c>
      <c r="E102" s="17" t="s">
        <v>1200</v>
      </c>
    </row>
    <row r="103" spans="1:5">
      <c r="A103" s="97"/>
      <c r="B103" s="125"/>
      <c r="C103" s="25" t="s">
        <v>1192</v>
      </c>
      <c r="D103" s="25" t="s">
        <v>963</v>
      </c>
      <c r="E103" s="17" t="s">
        <v>1200</v>
      </c>
    </row>
    <row r="104" spans="1:5">
      <c r="A104" s="92"/>
      <c r="B104" s="92" t="s">
        <v>756</v>
      </c>
      <c r="C104" s="24" t="s">
        <v>429</v>
      </c>
      <c r="D104" s="24"/>
    </row>
    <row r="105" spans="1:5">
      <c r="A105" s="93"/>
      <c r="B105" s="93"/>
      <c r="C105" s="24" t="s">
        <v>2</v>
      </c>
      <c r="D105" s="24"/>
    </row>
    <row r="106" spans="1:5">
      <c r="A106" s="93"/>
      <c r="B106" s="93"/>
      <c r="C106" s="24" t="s">
        <v>432</v>
      </c>
      <c r="D106" s="24"/>
    </row>
    <row r="107" spans="1:5">
      <c r="A107" s="93"/>
      <c r="B107" s="93"/>
      <c r="C107" s="24" t="s">
        <v>783</v>
      </c>
      <c r="D107" s="24"/>
    </row>
    <row r="108" spans="1:5">
      <c r="A108" s="93"/>
      <c r="B108" s="93"/>
      <c r="C108" s="24" t="s">
        <v>78</v>
      </c>
      <c r="D108" s="24"/>
    </row>
    <row r="109" spans="1:5">
      <c r="A109" s="93"/>
      <c r="B109" s="93"/>
      <c r="C109" s="24" t="s">
        <v>430</v>
      </c>
      <c r="D109" s="24"/>
    </row>
    <row r="110" spans="1:5">
      <c r="A110" s="94"/>
      <c r="B110" s="94"/>
      <c r="C110" s="24" t="s">
        <v>102</v>
      </c>
      <c r="D110" s="24"/>
    </row>
    <row r="111" spans="1:5">
      <c r="A111" s="97"/>
      <c r="B111" s="83" t="s">
        <v>758</v>
      </c>
      <c r="C111" s="25" t="s">
        <v>429</v>
      </c>
      <c r="D111" s="25"/>
    </row>
    <row r="112" spans="1:5">
      <c r="A112" s="97"/>
      <c r="B112" s="84"/>
      <c r="C112" s="25" t="s">
        <v>792</v>
      </c>
      <c r="D112" s="25"/>
    </row>
    <row r="113" spans="1:4">
      <c r="A113" s="97"/>
      <c r="B113" s="85"/>
      <c r="C113" s="25" t="s">
        <v>431</v>
      </c>
      <c r="D113" s="25"/>
    </row>
    <row r="114" spans="1:4">
      <c r="A114" s="110"/>
      <c r="B114" s="110" t="s">
        <v>768</v>
      </c>
      <c r="C114" s="24" t="s">
        <v>429</v>
      </c>
      <c r="D114" s="24"/>
    </row>
    <row r="115" spans="1:4">
      <c r="A115" s="110"/>
      <c r="B115" s="110"/>
      <c r="C115" s="24" t="s">
        <v>432</v>
      </c>
      <c r="D115" s="24"/>
    </row>
    <row r="116" spans="1:4">
      <c r="A116" s="110"/>
      <c r="B116" s="110"/>
      <c r="C116" s="24" t="s">
        <v>783</v>
      </c>
      <c r="D116" s="24"/>
    </row>
    <row r="117" spans="1:4">
      <c r="A117" s="110"/>
      <c r="B117" s="110"/>
      <c r="C117" s="24" t="s">
        <v>430</v>
      </c>
      <c r="D117" s="24"/>
    </row>
    <row r="118" spans="1:4">
      <c r="A118" s="96"/>
      <c r="B118" s="111" t="s">
        <v>742</v>
      </c>
      <c r="C118" s="25" t="s">
        <v>429</v>
      </c>
      <c r="D118" s="25"/>
    </row>
    <row r="119" spans="1:4">
      <c r="A119" s="135"/>
      <c r="B119" s="134"/>
      <c r="C119" s="25" t="s">
        <v>433</v>
      </c>
      <c r="D119" s="25"/>
    </row>
    <row r="120" spans="1:4">
      <c r="A120" s="135"/>
      <c r="B120" s="134"/>
      <c r="C120" s="25" t="s">
        <v>783</v>
      </c>
      <c r="D120" s="25"/>
    </row>
    <row r="121" spans="1:4">
      <c r="A121" s="135"/>
      <c r="B121" s="134"/>
      <c r="C121" s="25" t="s">
        <v>78</v>
      </c>
      <c r="D121" s="25"/>
    </row>
    <row r="122" spans="1:4">
      <c r="A122" s="135"/>
      <c r="B122" s="134"/>
      <c r="C122" s="25" t="s">
        <v>432</v>
      </c>
      <c r="D122" s="25"/>
    </row>
    <row r="123" spans="1:4">
      <c r="A123" s="135"/>
      <c r="B123" s="134"/>
      <c r="C123" s="25" t="s">
        <v>435</v>
      </c>
      <c r="D123" s="25"/>
    </row>
    <row r="124" spans="1:4">
      <c r="A124" s="135"/>
      <c r="B124" s="134"/>
      <c r="C124" s="25" t="s">
        <v>434</v>
      </c>
      <c r="D124" s="25"/>
    </row>
    <row r="125" spans="1:4">
      <c r="A125" s="135"/>
      <c r="B125" s="134"/>
      <c r="C125" s="25" t="s">
        <v>430</v>
      </c>
      <c r="D125" s="25"/>
    </row>
    <row r="126" spans="1:4">
      <c r="A126" s="97"/>
      <c r="B126" s="112"/>
      <c r="C126" s="25" t="s">
        <v>102</v>
      </c>
      <c r="D126" s="25"/>
    </row>
    <row r="127" spans="1:4">
      <c r="A127" s="92"/>
      <c r="B127" s="92" t="s">
        <v>28</v>
      </c>
      <c r="C127" s="24" t="s">
        <v>76</v>
      </c>
      <c r="D127" s="24"/>
    </row>
    <row r="128" spans="1:4">
      <c r="A128" s="93"/>
      <c r="B128" s="93"/>
      <c r="C128" s="24" t="s">
        <v>88</v>
      </c>
      <c r="D128" s="24"/>
    </row>
    <row r="129" spans="1:5">
      <c r="A129" s="93"/>
      <c r="B129" s="93"/>
      <c r="C129" s="24" t="s">
        <v>94</v>
      </c>
      <c r="D129" s="24"/>
    </row>
    <row r="130" spans="1:5">
      <c r="A130" s="93"/>
      <c r="B130" s="93"/>
      <c r="C130" s="24" t="s">
        <v>99</v>
      </c>
      <c r="D130" s="24"/>
    </row>
    <row r="131" spans="1:5">
      <c r="A131" s="93"/>
      <c r="B131" s="93"/>
      <c r="C131" s="24" t="s">
        <v>78</v>
      </c>
      <c r="D131" s="24"/>
    </row>
    <row r="132" spans="1:5">
      <c r="A132" s="97"/>
      <c r="B132" s="84" t="s">
        <v>769</v>
      </c>
      <c r="C132" s="25" t="s">
        <v>76</v>
      </c>
      <c r="D132" s="25"/>
    </row>
    <row r="133" spans="1:5">
      <c r="A133" s="97"/>
      <c r="B133" s="84"/>
      <c r="C133" s="25" t="s">
        <v>78</v>
      </c>
      <c r="D133" s="25"/>
    </row>
    <row r="134" spans="1:5">
      <c r="A134" s="98"/>
      <c r="B134" s="85"/>
      <c r="C134" s="25" t="s">
        <v>102</v>
      </c>
      <c r="D134" s="25"/>
    </row>
    <row r="135" spans="1:5">
      <c r="A135" s="99"/>
      <c r="B135" s="99" t="s">
        <v>625</v>
      </c>
      <c r="C135" s="24" t="s">
        <v>821</v>
      </c>
      <c r="D135" s="24"/>
    </row>
    <row r="136" spans="1:5">
      <c r="A136" s="100"/>
      <c r="B136" s="100"/>
      <c r="C136" s="24" t="s">
        <v>975</v>
      </c>
      <c r="D136" s="24"/>
      <c r="E136" s="17" t="s">
        <v>1200</v>
      </c>
    </row>
    <row r="137" spans="1:5">
      <c r="A137" s="100"/>
      <c r="B137" s="100"/>
      <c r="C137" s="24" t="s">
        <v>54</v>
      </c>
      <c r="D137" s="24" t="s">
        <v>698</v>
      </c>
    </row>
    <row r="138" spans="1:5">
      <c r="A138" s="100"/>
      <c r="B138" s="100"/>
      <c r="C138" s="24" t="s">
        <v>69</v>
      </c>
      <c r="D138" s="24" t="s">
        <v>699</v>
      </c>
    </row>
    <row r="139" spans="1:5">
      <c r="A139" s="100"/>
      <c r="B139" s="100"/>
      <c r="C139" s="24" t="s">
        <v>624</v>
      </c>
      <c r="D139" s="24"/>
    </row>
    <row r="140" spans="1:5">
      <c r="A140" s="100"/>
      <c r="B140" s="100"/>
      <c r="C140" s="24" t="s">
        <v>694</v>
      </c>
      <c r="D140" s="24"/>
    </row>
    <row r="141" spans="1:5">
      <c r="A141" s="100"/>
      <c r="B141" s="100"/>
      <c r="C141" s="24" t="s">
        <v>695</v>
      </c>
      <c r="D141" s="24"/>
    </row>
    <row r="142" spans="1:5">
      <c r="A142" s="100"/>
      <c r="B142" s="100"/>
      <c r="C142" s="24" t="s">
        <v>696</v>
      </c>
      <c r="D142" s="24"/>
    </row>
    <row r="143" spans="1:5">
      <c r="A143" s="100"/>
      <c r="B143" s="100"/>
      <c r="C143" s="24" t="s">
        <v>697</v>
      </c>
      <c r="D143" s="24"/>
    </row>
    <row r="144" spans="1:5">
      <c r="A144" s="100"/>
      <c r="B144" s="100"/>
      <c r="C144" s="24" t="s">
        <v>956</v>
      </c>
      <c r="D144" s="24"/>
    </row>
    <row r="145" spans="1:4">
      <c r="A145" s="100"/>
      <c r="B145" s="100"/>
      <c r="C145" s="24" t="s">
        <v>102</v>
      </c>
      <c r="D145" s="24"/>
    </row>
    <row r="146" spans="1:4">
      <c r="A146" s="96"/>
      <c r="B146" s="89" t="s">
        <v>4</v>
      </c>
      <c r="C146" s="25" t="s">
        <v>55</v>
      </c>
      <c r="D146" s="25"/>
    </row>
    <row r="147" spans="1:4">
      <c r="A147" s="98"/>
      <c r="B147" s="91"/>
      <c r="C147" s="25" t="s">
        <v>62</v>
      </c>
      <c r="D147" s="25"/>
    </row>
    <row r="148" spans="1:4">
      <c r="A148" s="78"/>
      <c r="B148" s="133" t="s">
        <v>5</v>
      </c>
      <c r="C148" s="24" t="s">
        <v>311</v>
      </c>
      <c r="D148" s="24" t="s">
        <v>56</v>
      </c>
    </row>
    <row r="149" spans="1:4">
      <c r="A149" s="79"/>
      <c r="B149" s="79"/>
      <c r="C149" s="24" t="s">
        <v>944</v>
      </c>
      <c r="D149" s="24" t="s">
        <v>950</v>
      </c>
    </row>
    <row r="150" spans="1:4">
      <c r="A150" s="79"/>
      <c r="B150" s="79"/>
      <c r="C150" s="24" t="s">
        <v>476</v>
      </c>
      <c r="D150" s="24" t="s">
        <v>63</v>
      </c>
    </row>
    <row r="151" spans="1:4">
      <c r="A151" s="79"/>
      <c r="B151" s="79"/>
      <c r="C151" s="24" t="s">
        <v>479</v>
      </c>
      <c r="D151" s="24" t="s">
        <v>250</v>
      </c>
    </row>
    <row r="152" spans="1:4">
      <c r="A152" s="79"/>
      <c r="B152" s="79"/>
      <c r="C152" s="24" t="s">
        <v>480</v>
      </c>
      <c r="D152" s="24" t="s">
        <v>77</v>
      </c>
    </row>
    <row r="153" spans="1:4">
      <c r="A153" s="79"/>
      <c r="B153" s="79"/>
      <c r="C153" s="24" t="s">
        <v>477</v>
      </c>
      <c r="D153" s="24" t="s">
        <v>83</v>
      </c>
    </row>
    <row r="154" spans="1:4">
      <c r="A154" s="79"/>
      <c r="B154" s="79"/>
      <c r="C154" s="24" t="s">
        <v>481</v>
      </c>
      <c r="D154" s="24" t="s">
        <v>89</v>
      </c>
    </row>
    <row r="155" spans="1:4">
      <c r="A155" s="79"/>
      <c r="B155" s="79"/>
      <c r="C155" s="24" t="s">
        <v>478</v>
      </c>
      <c r="D155" s="24" t="s">
        <v>95</v>
      </c>
    </row>
    <row r="156" spans="1:4">
      <c r="A156" s="79"/>
      <c r="B156" s="79"/>
      <c r="C156" s="24" t="s">
        <v>482</v>
      </c>
      <c r="D156" s="24" t="s">
        <v>100</v>
      </c>
    </row>
    <row r="157" spans="1:4">
      <c r="A157" s="79"/>
      <c r="B157" s="79"/>
      <c r="C157" s="24" t="s">
        <v>483</v>
      </c>
      <c r="D157" s="24" t="s">
        <v>106</v>
      </c>
    </row>
    <row r="158" spans="1:4">
      <c r="A158" s="79"/>
      <c r="B158" s="79"/>
      <c r="C158" s="24" t="s">
        <v>485</v>
      </c>
      <c r="D158" s="24" t="s">
        <v>374</v>
      </c>
    </row>
    <row r="159" spans="1:4">
      <c r="A159" s="79"/>
      <c r="B159" s="79"/>
      <c r="C159" s="24" t="s">
        <v>484</v>
      </c>
      <c r="D159" s="24" t="s">
        <v>110</v>
      </c>
    </row>
    <row r="160" spans="1:4">
      <c r="A160" s="79"/>
      <c r="B160" s="79"/>
      <c r="C160" s="24" t="s">
        <v>486</v>
      </c>
      <c r="D160" s="24" t="s">
        <v>113</v>
      </c>
    </row>
    <row r="161" spans="1:4">
      <c r="A161" s="79"/>
      <c r="B161" s="79"/>
      <c r="C161" s="24" t="s">
        <v>487</v>
      </c>
      <c r="D161" s="24" t="s">
        <v>115</v>
      </c>
    </row>
    <row r="162" spans="1:4">
      <c r="A162" s="79"/>
      <c r="B162" s="79"/>
      <c r="C162" s="24" t="s">
        <v>488</v>
      </c>
      <c r="D162" s="24" t="s">
        <v>118</v>
      </c>
    </row>
    <row r="163" spans="1:4">
      <c r="A163" s="79"/>
      <c r="B163" s="79"/>
      <c r="C163" s="24" t="s">
        <v>489</v>
      </c>
      <c r="D163" s="24" t="s">
        <v>121</v>
      </c>
    </row>
    <row r="164" spans="1:4">
      <c r="A164" s="79"/>
      <c r="B164" s="79"/>
      <c r="C164" s="24" t="s">
        <v>490</v>
      </c>
      <c r="D164" s="24" t="s">
        <v>375</v>
      </c>
    </row>
    <row r="165" spans="1:4">
      <c r="A165" s="79"/>
      <c r="B165" s="79"/>
      <c r="C165" s="24" t="s">
        <v>491</v>
      </c>
      <c r="D165" s="24" t="s">
        <v>124</v>
      </c>
    </row>
    <row r="166" spans="1:4">
      <c r="A166" s="79"/>
      <c r="B166" s="79"/>
      <c r="C166" s="24" t="s">
        <v>492</v>
      </c>
      <c r="D166" s="24" t="s">
        <v>126</v>
      </c>
    </row>
    <row r="167" spans="1:4">
      <c r="A167" s="79"/>
      <c r="B167" s="79"/>
      <c r="C167" s="24" t="s">
        <v>493</v>
      </c>
      <c r="D167" s="24" t="s">
        <v>127</v>
      </c>
    </row>
    <row r="168" spans="1:4">
      <c r="A168" s="79"/>
      <c r="B168" s="79"/>
      <c r="C168" s="24" t="s">
        <v>494</v>
      </c>
      <c r="D168" s="24" t="s">
        <v>129</v>
      </c>
    </row>
    <row r="169" spans="1:4">
      <c r="A169" s="79"/>
      <c r="B169" s="79"/>
      <c r="C169" s="24" t="s">
        <v>495</v>
      </c>
      <c r="D169" s="24" t="s">
        <v>251</v>
      </c>
    </row>
    <row r="170" spans="1:4">
      <c r="A170" s="79"/>
      <c r="B170" s="79"/>
      <c r="C170" s="24" t="s">
        <v>609</v>
      </c>
      <c r="D170" s="24" t="s">
        <v>133</v>
      </c>
    </row>
    <row r="171" spans="1:4">
      <c r="A171" s="79"/>
      <c r="B171" s="79"/>
      <c r="C171" s="24" t="s">
        <v>496</v>
      </c>
      <c r="D171" s="24" t="s">
        <v>135</v>
      </c>
    </row>
    <row r="172" spans="1:4">
      <c r="A172" s="79"/>
      <c r="B172" s="79"/>
      <c r="C172" s="24" t="s">
        <v>497</v>
      </c>
      <c r="D172" s="24" t="s">
        <v>137</v>
      </c>
    </row>
    <row r="173" spans="1:4">
      <c r="A173" s="79"/>
      <c r="B173" s="79"/>
      <c r="C173" s="24" t="s">
        <v>498</v>
      </c>
      <c r="D173" s="24" t="s">
        <v>139</v>
      </c>
    </row>
    <row r="174" spans="1:4">
      <c r="A174" s="79"/>
      <c r="B174" s="79"/>
      <c r="C174" s="24" t="s">
        <v>499</v>
      </c>
      <c r="D174" s="24" t="s">
        <v>142</v>
      </c>
    </row>
    <row r="175" spans="1:4">
      <c r="A175" s="79"/>
      <c r="B175" s="79"/>
      <c r="C175" s="24" t="s">
        <v>500</v>
      </c>
      <c r="D175" s="24" t="s">
        <v>144</v>
      </c>
    </row>
    <row r="176" spans="1:4">
      <c r="A176" s="79"/>
      <c r="B176" s="79"/>
      <c r="C176" s="24" t="s">
        <v>501</v>
      </c>
      <c r="D176" s="24" t="s">
        <v>146</v>
      </c>
    </row>
    <row r="177" spans="1:5">
      <c r="A177" s="79"/>
      <c r="B177" s="79"/>
      <c r="C177" s="24" t="s">
        <v>502</v>
      </c>
      <c r="D177" s="24" t="s">
        <v>148</v>
      </c>
    </row>
    <row r="178" spans="1:5">
      <c r="A178" s="79"/>
      <c r="B178" s="79"/>
      <c r="C178" s="24" t="s">
        <v>503</v>
      </c>
      <c r="D178" s="24" t="s">
        <v>150</v>
      </c>
    </row>
    <row r="179" spans="1:5">
      <c r="A179" s="79"/>
      <c r="B179" s="79"/>
      <c r="C179" s="24" t="s">
        <v>504</v>
      </c>
      <c r="D179" s="24" t="s">
        <v>152</v>
      </c>
    </row>
    <row r="180" spans="1:5">
      <c r="A180" s="79"/>
      <c r="B180" s="79"/>
      <c r="C180" s="24" t="s">
        <v>1168</v>
      </c>
      <c r="D180" s="24" t="s">
        <v>1142</v>
      </c>
      <c r="E180" s="17" t="s">
        <v>1200</v>
      </c>
    </row>
    <row r="181" spans="1:5">
      <c r="A181" s="79"/>
      <c r="B181" s="79"/>
      <c r="C181" s="24" t="s">
        <v>102</v>
      </c>
      <c r="D181" s="24" t="s">
        <v>102</v>
      </c>
    </row>
    <row r="182" spans="1:5">
      <c r="A182" s="96"/>
      <c r="B182" s="89" t="s">
        <v>794</v>
      </c>
      <c r="C182" s="68" t="s">
        <v>57</v>
      </c>
      <c r="D182" s="68"/>
    </row>
    <row r="183" spans="1:5">
      <c r="A183" s="97"/>
      <c r="B183" s="90"/>
      <c r="C183" s="68" t="s">
        <v>795</v>
      </c>
      <c r="D183" s="68"/>
    </row>
    <row r="184" spans="1:5">
      <c r="A184" s="97"/>
      <c r="B184" s="90"/>
      <c r="C184" s="68" t="s">
        <v>64</v>
      </c>
      <c r="D184" s="68"/>
    </row>
    <row r="185" spans="1:5">
      <c r="A185" s="98"/>
      <c r="B185" s="91"/>
      <c r="C185" s="70" t="s">
        <v>298</v>
      </c>
      <c r="D185" s="70"/>
    </row>
    <row r="186" spans="1:5">
      <c r="A186" s="92"/>
      <c r="B186" s="92" t="s">
        <v>942</v>
      </c>
      <c r="C186" s="67" t="s">
        <v>635</v>
      </c>
      <c r="D186" s="67"/>
    </row>
    <row r="187" spans="1:5">
      <c r="A187" s="93"/>
      <c r="B187" s="93"/>
      <c r="C187" s="67" t="s">
        <v>636</v>
      </c>
      <c r="D187" s="67"/>
    </row>
    <row r="188" spans="1:5">
      <c r="A188" s="96"/>
      <c r="B188" s="89" t="s">
        <v>8</v>
      </c>
      <c r="C188" s="70" t="s">
        <v>65</v>
      </c>
      <c r="D188" s="70" t="s">
        <v>401</v>
      </c>
    </row>
    <row r="189" spans="1:5">
      <c r="A189" s="97"/>
      <c r="B189" s="90"/>
      <c r="C189" s="70" t="s">
        <v>70</v>
      </c>
      <c r="D189" s="70" t="s">
        <v>402</v>
      </c>
    </row>
    <row r="190" spans="1:5">
      <c r="A190" s="97"/>
      <c r="B190" s="90"/>
      <c r="C190" s="70" t="s">
        <v>78</v>
      </c>
      <c r="D190" s="70" t="s">
        <v>78</v>
      </c>
    </row>
    <row r="191" spans="1:5">
      <c r="A191" s="97"/>
      <c r="B191" s="90"/>
      <c r="C191" s="70" t="s">
        <v>90</v>
      </c>
      <c r="D191" s="70" t="s">
        <v>404</v>
      </c>
    </row>
    <row r="192" spans="1:5">
      <c r="A192" s="97"/>
      <c r="B192" s="90"/>
      <c r="C192" s="70" t="s">
        <v>107</v>
      </c>
      <c r="D192" s="70" t="s">
        <v>407</v>
      </c>
    </row>
    <row r="193" spans="1:4">
      <c r="A193" s="97"/>
      <c r="B193" s="90"/>
      <c r="C193" s="70" t="s">
        <v>413</v>
      </c>
      <c r="D193" s="70" t="s">
        <v>408</v>
      </c>
    </row>
    <row r="194" spans="1:4">
      <c r="A194" s="97"/>
      <c r="B194" s="90"/>
      <c r="C194" s="70" t="s">
        <v>101</v>
      </c>
      <c r="D194" s="70" t="s">
        <v>406</v>
      </c>
    </row>
    <row r="195" spans="1:4">
      <c r="A195" s="97"/>
      <c r="B195" s="90"/>
      <c r="C195" s="70" t="s">
        <v>438</v>
      </c>
      <c r="D195" s="70" t="s">
        <v>409</v>
      </c>
    </row>
    <row r="196" spans="1:4">
      <c r="A196" s="97"/>
      <c r="B196" s="90"/>
      <c r="C196" s="70" t="s">
        <v>119</v>
      </c>
      <c r="D196" s="70" t="s">
        <v>411</v>
      </c>
    </row>
    <row r="197" spans="1:4">
      <c r="A197" s="97"/>
      <c r="B197" s="90"/>
      <c r="C197" s="70" t="s">
        <v>116</v>
      </c>
      <c r="D197" s="70" t="s">
        <v>410</v>
      </c>
    </row>
    <row r="198" spans="1:4">
      <c r="A198" s="97"/>
      <c r="B198" s="90"/>
      <c r="C198" s="70" t="s">
        <v>84</v>
      </c>
      <c r="D198" s="70" t="s">
        <v>403</v>
      </c>
    </row>
    <row r="199" spans="1:4">
      <c r="A199" s="97"/>
      <c r="B199" s="90"/>
      <c r="C199" s="70" t="s">
        <v>96</v>
      </c>
      <c r="D199" s="70" t="s">
        <v>405</v>
      </c>
    </row>
    <row r="200" spans="1:4">
      <c r="A200" s="97"/>
      <c r="B200" s="90"/>
      <c r="C200" s="70" t="s">
        <v>102</v>
      </c>
      <c r="D200" s="70" t="s">
        <v>102</v>
      </c>
    </row>
    <row r="201" spans="1:4">
      <c r="A201" s="98"/>
      <c r="B201" s="91"/>
      <c r="C201" s="70" t="s">
        <v>298</v>
      </c>
      <c r="D201" s="70" t="s">
        <v>412</v>
      </c>
    </row>
    <row r="202" spans="1:4">
      <c r="A202" s="133"/>
      <c r="B202" s="133" t="s">
        <v>9</v>
      </c>
      <c r="C202" s="24" t="s">
        <v>414</v>
      </c>
      <c r="D202" s="24"/>
    </row>
    <row r="203" spans="1:4">
      <c r="A203" s="79"/>
      <c r="B203" s="79"/>
      <c r="C203" s="24" t="s">
        <v>262</v>
      </c>
      <c r="D203" s="24"/>
    </row>
    <row r="204" spans="1:4">
      <c r="A204" s="79"/>
      <c r="B204" s="79"/>
      <c r="C204" s="24" t="s">
        <v>172</v>
      </c>
      <c r="D204" s="24"/>
    </row>
    <row r="205" spans="1:4">
      <c r="A205" s="79"/>
      <c r="B205" s="79"/>
      <c r="C205" s="24" t="s">
        <v>653</v>
      </c>
      <c r="D205" s="24"/>
    </row>
    <row r="206" spans="1:4">
      <c r="A206" s="79"/>
      <c r="B206" s="79"/>
      <c r="C206" s="24" t="s">
        <v>156</v>
      </c>
      <c r="D206" s="24"/>
    </row>
    <row r="207" spans="1:4">
      <c r="A207" s="79"/>
      <c r="B207" s="79"/>
      <c r="C207" s="24" t="s">
        <v>647</v>
      </c>
      <c r="D207" s="24"/>
    </row>
    <row r="208" spans="1:4">
      <c r="A208" s="79"/>
      <c r="B208" s="79"/>
      <c r="C208" s="24" t="s">
        <v>176</v>
      </c>
      <c r="D208" s="24"/>
    </row>
    <row r="209" spans="1:5">
      <c r="A209" s="79"/>
      <c r="B209" s="79"/>
      <c r="C209" s="24" t="s">
        <v>649</v>
      </c>
      <c r="D209" s="24"/>
    </row>
    <row r="210" spans="1:5">
      <c r="A210" s="79"/>
      <c r="B210" s="79"/>
      <c r="C210" s="24" t="s">
        <v>66</v>
      </c>
      <c r="D210" s="24"/>
    </row>
    <row r="211" spans="1:5">
      <c r="A211" s="79"/>
      <c r="B211" s="79"/>
      <c r="C211" s="24" t="s">
        <v>269</v>
      </c>
      <c r="D211" s="24"/>
    </row>
    <row r="212" spans="1:5">
      <c r="A212" s="79"/>
      <c r="B212" s="79"/>
      <c r="C212" s="24" t="s">
        <v>654</v>
      </c>
      <c r="D212" s="24"/>
    </row>
    <row r="213" spans="1:5">
      <c r="A213" s="79"/>
      <c r="B213" s="79"/>
      <c r="C213" s="24" t="s">
        <v>140</v>
      </c>
      <c r="D213" s="24"/>
    </row>
    <row r="214" spans="1:5">
      <c r="A214" s="79"/>
      <c r="B214" s="79"/>
      <c r="C214" s="24" t="s">
        <v>256</v>
      </c>
      <c r="D214" s="24"/>
    </row>
    <row r="215" spans="1:5">
      <c r="A215" s="79"/>
      <c r="B215" s="79"/>
      <c r="C215" s="24" t="s">
        <v>122</v>
      </c>
      <c r="D215" s="24"/>
    </row>
    <row r="216" spans="1:5">
      <c r="A216" s="79"/>
      <c r="B216" s="79"/>
      <c r="C216" s="24" t="s">
        <v>270</v>
      </c>
      <c r="D216" s="24"/>
    </row>
    <row r="217" spans="1:5">
      <c r="A217" s="79"/>
      <c r="B217" s="79"/>
      <c r="C217" s="24" t="s">
        <v>708</v>
      </c>
      <c r="D217" s="24"/>
    </row>
    <row r="218" spans="1:5">
      <c r="A218" s="79"/>
      <c r="B218" s="79"/>
      <c r="C218" s="24" t="s">
        <v>1170</v>
      </c>
      <c r="D218" s="24" t="s">
        <v>655</v>
      </c>
      <c r="E218" s="17" t="s">
        <v>1200</v>
      </c>
    </row>
    <row r="219" spans="1:5">
      <c r="A219" s="79"/>
      <c r="B219" s="79"/>
      <c r="C219" s="24" t="s">
        <v>267</v>
      </c>
      <c r="D219" s="24"/>
    </row>
    <row r="220" spans="1:5">
      <c r="A220" s="79"/>
      <c r="B220" s="79"/>
      <c r="C220" s="24" t="s">
        <v>264</v>
      </c>
      <c r="D220" s="24"/>
    </row>
    <row r="221" spans="1:5">
      <c r="A221" s="79"/>
      <c r="B221" s="79"/>
      <c r="C221" s="24" t="s">
        <v>265</v>
      </c>
      <c r="D221" s="24"/>
    </row>
    <row r="222" spans="1:5">
      <c r="A222" s="79"/>
      <c r="B222" s="79"/>
      <c r="C222" s="24" t="s">
        <v>167</v>
      </c>
      <c r="D222" s="24"/>
    </row>
    <row r="223" spans="1:5">
      <c r="A223" s="79"/>
      <c r="B223" s="79"/>
      <c r="C223" s="24" t="s">
        <v>254</v>
      </c>
      <c r="D223" s="24"/>
    </row>
    <row r="224" spans="1:5">
      <c r="A224" s="79"/>
      <c r="B224" s="79"/>
      <c r="C224" s="24" t="s">
        <v>261</v>
      </c>
      <c r="D224" s="24"/>
    </row>
    <row r="225" spans="1:4">
      <c r="A225" s="79"/>
      <c r="B225" s="79"/>
      <c r="C225" s="24" t="s">
        <v>71</v>
      </c>
      <c r="D225" s="24"/>
    </row>
    <row r="226" spans="1:4">
      <c r="A226" s="79"/>
      <c r="B226" s="79"/>
      <c r="C226" s="24" t="s">
        <v>259</v>
      </c>
      <c r="D226" s="24"/>
    </row>
    <row r="227" spans="1:4">
      <c r="A227" s="79"/>
      <c r="B227" s="79"/>
      <c r="C227" s="24" t="s">
        <v>75</v>
      </c>
      <c r="D227" s="24"/>
    </row>
    <row r="228" spans="1:4">
      <c r="A228" s="79"/>
      <c r="B228" s="79"/>
      <c r="C228" s="24" t="s">
        <v>263</v>
      </c>
      <c r="D228" s="24"/>
    </row>
    <row r="229" spans="1:4">
      <c r="A229" s="79"/>
      <c r="B229" s="79"/>
      <c r="C229" s="24" t="s">
        <v>651</v>
      </c>
      <c r="D229" s="24"/>
    </row>
    <row r="230" spans="1:4">
      <c r="A230" s="79"/>
      <c r="B230" s="79"/>
      <c r="C230" s="24" t="s">
        <v>652</v>
      </c>
      <c r="D230" s="24"/>
    </row>
    <row r="231" spans="1:4">
      <c r="A231" s="79"/>
      <c r="B231" s="79"/>
      <c r="C231" s="24" t="s">
        <v>266</v>
      </c>
      <c r="D231" s="24"/>
    </row>
    <row r="232" spans="1:4">
      <c r="A232" s="79"/>
      <c r="B232" s="79"/>
      <c r="C232" s="24" t="s">
        <v>85</v>
      </c>
      <c r="D232" s="24"/>
    </row>
    <row r="233" spans="1:4">
      <c r="A233" s="79"/>
      <c r="B233" s="79"/>
      <c r="C233" s="24" t="s">
        <v>648</v>
      </c>
      <c r="D233" s="24"/>
    </row>
    <row r="234" spans="1:4">
      <c r="A234" s="79"/>
      <c r="B234" s="79"/>
      <c r="C234" s="24" t="s">
        <v>646</v>
      </c>
      <c r="D234" s="24"/>
    </row>
    <row r="235" spans="1:4">
      <c r="A235" s="79"/>
      <c r="B235" s="79"/>
      <c r="C235" s="24" t="s">
        <v>656</v>
      </c>
      <c r="D235" s="24"/>
    </row>
    <row r="236" spans="1:4">
      <c r="A236" s="79"/>
      <c r="B236" s="79"/>
      <c r="C236" s="24" t="s">
        <v>255</v>
      </c>
      <c r="D236" s="24"/>
    </row>
    <row r="237" spans="1:4">
      <c r="A237" s="79"/>
      <c r="B237" s="79"/>
      <c r="C237" s="24" t="s">
        <v>738</v>
      </c>
      <c r="D237" s="24"/>
    </row>
    <row r="238" spans="1:4">
      <c r="A238" s="79"/>
      <c r="B238" s="79"/>
      <c r="C238" s="24" t="s">
        <v>34</v>
      </c>
      <c r="D238" s="24"/>
    </row>
    <row r="239" spans="1:4">
      <c r="A239" s="79"/>
      <c r="B239" s="79"/>
      <c r="C239" s="24" t="s">
        <v>645</v>
      </c>
      <c r="D239" s="24"/>
    </row>
    <row r="240" spans="1:4">
      <c r="A240" s="79"/>
      <c r="B240" s="79"/>
      <c r="C240" s="24" t="s">
        <v>268</v>
      </c>
      <c r="D240" s="24"/>
    </row>
    <row r="241" spans="1:4">
      <c r="A241" s="79"/>
      <c r="B241" s="79"/>
      <c r="C241" s="24" t="s">
        <v>650</v>
      </c>
      <c r="D241" s="24"/>
    </row>
    <row r="242" spans="1:4">
      <c r="A242" s="79"/>
      <c r="B242" s="79"/>
      <c r="C242" s="24" t="s">
        <v>252</v>
      </c>
      <c r="D242" s="24"/>
    </row>
    <row r="243" spans="1:4">
      <c r="A243" s="79"/>
      <c r="B243" s="79"/>
      <c r="C243" s="24" t="s">
        <v>258</v>
      </c>
      <c r="D243" s="24"/>
    </row>
    <row r="244" spans="1:4">
      <c r="A244" s="79"/>
      <c r="B244" s="79"/>
      <c r="C244" s="24" t="s">
        <v>257</v>
      </c>
      <c r="D244" s="24"/>
    </row>
    <row r="245" spans="1:4">
      <c r="A245" s="79"/>
      <c r="B245" s="79"/>
      <c r="C245" s="24" t="s">
        <v>174</v>
      </c>
      <c r="D245" s="24"/>
    </row>
    <row r="246" spans="1:4">
      <c r="A246" s="79"/>
      <c r="B246" s="79"/>
      <c r="C246" s="24" t="s">
        <v>253</v>
      </c>
      <c r="D246" s="24"/>
    </row>
    <row r="247" spans="1:4">
      <c r="A247" s="79"/>
      <c r="B247" s="79"/>
      <c r="C247" s="24" t="s">
        <v>169</v>
      </c>
      <c r="D247" s="24"/>
    </row>
    <row r="248" spans="1:4">
      <c r="A248" s="79"/>
      <c r="B248" s="79"/>
      <c r="C248" s="24" t="s">
        <v>170</v>
      </c>
      <c r="D248" s="24"/>
    </row>
    <row r="249" spans="1:4">
      <c r="A249" s="79"/>
      <c r="B249" s="79"/>
      <c r="C249" s="24" t="s">
        <v>165</v>
      </c>
      <c r="D249" s="24"/>
    </row>
    <row r="250" spans="1:4">
      <c r="A250" s="79"/>
      <c r="B250" s="79"/>
      <c r="C250" s="24" t="s">
        <v>260</v>
      </c>
      <c r="D250" s="24"/>
    </row>
    <row r="251" spans="1:4">
      <c r="A251" s="79"/>
      <c r="B251" s="79"/>
      <c r="C251" s="24" t="s">
        <v>163</v>
      </c>
      <c r="D251" s="24"/>
    </row>
    <row r="252" spans="1:4">
      <c r="A252" s="79"/>
      <c r="B252" s="79"/>
      <c r="C252" s="24" t="s">
        <v>102</v>
      </c>
      <c r="D252" s="24"/>
    </row>
    <row r="253" spans="1:4">
      <c r="A253" s="79"/>
      <c r="B253" s="79"/>
      <c r="C253" s="24" t="s">
        <v>878</v>
      </c>
      <c r="D253" s="24"/>
    </row>
    <row r="254" spans="1:4">
      <c r="A254" s="79"/>
      <c r="B254" s="79"/>
      <c r="C254" s="24" t="s">
        <v>879</v>
      </c>
      <c r="D254" s="24"/>
    </row>
    <row r="255" spans="1:4">
      <c r="A255" s="79"/>
      <c r="B255" s="79"/>
      <c r="C255" s="24" t="s">
        <v>880</v>
      </c>
      <c r="D255" s="24"/>
    </row>
    <row r="256" spans="1:4">
      <c r="A256" s="79"/>
      <c r="B256" s="79"/>
      <c r="C256" s="24" t="s">
        <v>881</v>
      </c>
      <c r="D256" s="24"/>
    </row>
    <row r="257" spans="1:5">
      <c r="A257" s="79"/>
      <c r="B257" s="79"/>
      <c r="C257" s="24" t="s">
        <v>882</v>
      </c>
      <c r="D257" s="24"/>
    </row>
    <row r="258" spans="1:5">
      <c r="A258" s="79"/>
      <c r="B258" s="79"/>
      <c r="C258" s="24" t="s">
        <v>883</v>
      </c>
      <c r="D258" s="24"/>
    </row>
    <row r="259" spans="1:5">
      <c r="A259" s="79"/>
      <c r="B259" s="79"/>
      <c r="C259" s="24" t="s">
        <v>884</v>
      </c>
      <c r="D259" s="24"/>
    </row>
    <row r="260" spans="1:5">
      <c r="A260" s="79"/>
      <c r="B260" s="79"/>
      <c r="C260" s="24" t="s">
        <v>885</v>
      </c>
      <c r="D260" s="24"/>
    </row>
    <row r="261" spans="1:5">
      <c r="A261" s="79"/>
      <c r="B261" s="79"/>
      <c r="C261" s="24" t="s">
        <v>886</v>
      </c>
      <c r="D261" s="24"/>
    </row>
    <row r="262" spans="1:5">
      <c r="A262" s="79"/>
      <c r="B262" s="79"/>
      <c r="C262" s="24" t="s">
        <v>887</v>
      </c>
      <c r="D262" s="24"/>
    </row>
    <row r="263" spans="1:5">
      <c r="A263" s="79"/>
      <c r="B263" s="79"/>
      <c r="C263" s="24" t="s">
        <v>888</v>
      </c>
      <c r="D263" s="24"/>
    </row>
    <row r="264" spans="1:5">
      <c r="A264" s="79"/>
      <c r="B264" s="79"/>
      <c r="C264" s="24" t="s">
        <v>889</v>
      </c>
      <c r="D264" s="24"/>
    </row>
    <row r="265" spans="1:5">
      <c r="A265" s="79"/>
      <c r="B265" s="79"/>
      <c r="C265" s="24" t="s">
        <v>890</v>
      </c>
      <c r="D265" s="24"/>
    </row>
    <row r="266" spans="1:5">
      <c r="A266" s="79"/>
      <c r="B266" s="79"/>
      <c r="C266" s="24" t="s">
        <v>891</v>
      </c>
      <c r="D266" s="24"/>
    </row>
    <row r="267" spans="1:5">
      <c r="A267" s="79"/>
      <c r="B267" s="79"/>
      <c r="C267" s="24" t="s">
        <v>892</v>
      </c>
      <c r="D267" s="24"/>
    </row>
    <row r="268" spans="1:5">
      <c r="A268" s="79"/>
      <c r="B268" s="79"/>
      <c r="C268" s="24" t="s">
        <v>893</v>
      </c>
      <c r="D268" s="24"/>
    </row>
    <row r="269" spans="1:5">
      <c r="A269" s="79"/>
      <c r="B269" s="79"/>
      <c r="C269" s="24" t="s">
        <v>877</v>
      </c>
      <c r="D269" s="24"/>
    </row>
    <row r="270" spans="1:5">
      <c r="A270" s="79"/>
      <c r="B270" s="79"/>
      <c r="C270" s="24" t="s">
        <v>1146</v>
      </c>
      <c r="D270" s="24" t="s">
        <v>1145</v>
      </c>
      <c r="E270" s="17" t="s">
        <v>1200</v>
      </c>
    </row>
    <row r="271" spans="1:5">
      <c r="A271" s="79"/>
      <c r="B271" s="79"/>
      <c r="C271" s="24" t="s">
        <v>1148</v>
      </c>
      <c r="D271" s="24" t="s">
        <v>1147</v>
      </c>
      <c r="E271" s="17" t="s">
        <v>1200</v>
      </c>
    </row>
    <row r="272" spans="1:5">
      <c r="A272" s="79"/>
      <c r="B272" s="79"/>
      <c r="C272" s="24" t="s">
        <v>1150</v>
      </c>
      <c r="D272" s="24" t="s">
        <v>1149</v>
      </c>
      <c r="E272" s="17" t="s">
        <v>1200</v>
      </c>
    </row>
    <row r="273" spans="1:5">
      <c r="A273" s="79"/>
      <c r="B273" s="79"/>
      <c r="C273" s="24" t="s">
        <v>894</v>
      </c>
      <c r="D273" s="24"/>
    </row>
    <row r="274" spans="1:5">
      <c r="A274" s="79"/>
      <c r="B274" s="79"/>
      <c r="C274" s="24" t="s">
        <v>1152</v>
      </c>
      <c r="D274" s="24" t="s">
        <v>1151</v>
      </c>
      <c r="E274" s="17" t="s">
        <v>1200</v>
      </c>
    </row>
    <row r="275" spans="1:5">
      <c r="A275" s="79"/>
      <c r="B275" s="79"/>
      <c r="C275" s="24" t="s">
        <v>895</v>
      </c>
      <c r="D275" s="24"/>
    </row>
    <row r="276" spans="1:5">
      <c r="A276" s="79"/>
      <c r="B276" s="79"/>
      <c r="C276" s="24" t="s">
        <v>896</v>
      </c>
      <c r="D276" s="24"/>
    </row>
    <row r="277" spans="1:5">
      <c r="A277" s="79"/>
      <c r="B277" s="79"/>
      <c r="C277" s="24" t="s">
        <v>897</v>
      </c>
      <c r="D277" s="24"/>
    </row>
    <row r="278" spans="1:5">
      <c r="A278" s="79"/>
      <c r="B278" s="79"/>
      <c r="C278" s="24" t="s">
        <v>898</v>
      </c>
      <c r="D278" s="24"/>
    </row>
    <row r="279" spans="1:5">
      <c r="A279" s="79"/>
      <c r="B279" s="79"/>
      <c r="C279" s="24" t="s">
        <v>899</v>
      </c>
      <c r="D279" s="24"/>
    </row>
    <row r="280" spans="1:5">
      <c r="A280" s="79"/>
      <c r="B280" s="79"/>
      <c r="C280" s="24" t="s">
        <v>900</v>
      </c>
      <c r="D280" s="24"/>
    </row>
    <row r="281" spans="1:5">
      <c r="A281" s="79"/>
      <c r="B281" s="79"/>
      <c r="C281" s="24" t="s">
        <v>873</v>
      </c>
      <c r="D281" s="24"/>
    </row>
    <row r="282" spans="1:5">
      <c r="A282" s="79"/>
      <c r="B282" s="79"/>
      <c r="C282" s="24" t="s">
        <v>1154</v>
      </c>
      <c r="D282" s="24" t="s">
        <v>1153</v>
      </c>
      <c r="E282" s="17" t="s">
        <v>1200</v>
      </c>
    </row>
    <row r="283" spans="1:5">
      <c r="A283" s="79"/>
      <c r="B283" s="79"/>
      <c r="C283" s="24" t="s">
        <v>901</v>
      </c>
      <c r="D283" s="24"/>
    </row>
    <row r="284" spans="1:5">
      <c r="A284" s="79"/>
      <c r="B284" s="79"/>
      <c r="C284" s="24" t="s">
        <v>1156</v>
      </c>
      <c r="D284" s="24" t="s">
        <v>1155</v>
      </c>
      <c r="E284" s="17" t="s">
        <v>1200</v>
      </c>
    </row>
    <row r="285" spans="1:5">
      <c r="A285" s="79"/>
      <c r="B285" s="79"/>
      <c r="C285" s="24" t="s">
        <v>902</v>
      </c>
      <c r="D285" s="24"/>
    </row>
    <row r="286" spans="1:5">
      <c r="A286" s="79"/>
      <c r="B286" s="79"/>
      <c r="C286" s="24" t="s">
        <v>903</v>
      </c>
      <c r="D286" s="24"/>
    </row>
    <row r="287" spans="1:5">
      <c r="A287" s="79"/>
      <c r="B287" s="79"/>
      <c r="C287" s="24" t="s">
        <v>904</v>
      </c>
      <c r="D287" s="24"/>
    </row>
    <row r="288" spans="1:5">
      <c r="A288" s="79"/>
      <c r="B288" s="79"/>
      <c r="C288" s="24" t="s">
        <v>905</v>
      </c>
      <c r="D288" s="24"/>
    </row>
    <row r="289" spans="1:5">
      <c r="A289" s="79"/>
      <c r="B289" s="79"/>
      <c r="C289" s="24" t="s">
        <v>1158</v>
      </c>
      <c r="D289" s="24" t="s">
        <v>1157</v>
      </c>
      <c r="E289" s="17" t="s">
        <v>1200</v>
      </c>
    </row>
    <row r="290" spans="1:5">
      <c r="A290" s="79"/>
      <c r="B290" s="79"/>
      <c r="C290" s="24" t="s">
        <v>906</v>
      </c>
      <c r="D290" s="24"/>
    </row>
    <row r="291" spans="1:5">
      <c r="A291" s="79"/>
      <c r="B291" s="79"/>
      <c r="C291" s="24" t="s">
        <v>907</v>
      </c>
      <c r="D291" s="24"/>
    </row>
    <row r="292" spans="1:5">
      <c r="A292" s="79"/>
      <c r="B292" s="79"/>
      <c r="C292" s="24" t="s">
        <v>908</v>
      </c>
      <c r="D292" s="24"/>
    </row>
    <row r="293" spans="1:5">
      <c r="A293" s="79"/>
      <c r="B293" s="79"/>
      <c r="C293" s="24" t="s">
        <v>909</v>
      </c>
      <c r="D293" s="24"/>
    </row>
    <row r="294" spans="1:5">
      <c r="A294" s="79"/>
      <c r="B294" s="79"/>
      <c r="C294" s="24" t="s">
        <v>910</v>
      </c>
      <c r="D294" s="24"/>
    </row>
    <row r="295" spans="1:5">
      <c r="A295" s="79"/>
      <c r="B295" s="79"/>
      <c r="C295" s="24" t="s">
        <v>911</v>
      </c>
      <c r="D295" s="24"/>
    </row>
    <row r="296" spans="1:5">
      <c r="A296" s="79"/>
      <c r="B296" s="79"/>
      <c r="C296" s="24" t="s">
        <v>195</v>
      </c>
      <c r="D296" s="24"/>
    </row>
    <row r="297" spans="1:5">
      <c r="A297" s="79"/>
      <c r="B297" s="79"/>
      <c r="C297" s="24" t="s">
        <v>1159</v>
      </c>
      <c r="D297" s="24" t="s">
        <v>1160</v>
      </c>
      <c r="E297" s="17" t="s">
        <v>1200</v>
      </c>
    </row>
    <row r="298" spans="1:5">
      <c r="A298" s="79"/>
      <c r="B298" s="79"/>
      <c r="C298" s="24" t="s">
        <v>912</v>
      </c>
      <c r="D298" s="24"/>
    </row>
    <row r="299" spans="1:5">
      <c r="A299" s="79"/>
      <c r="B299" s="79"/>
      <c r="C299" s="24" t="s">
        <v>913</v>
      </c>
      <c r="D299" s="24"/>
    </row>
    <row r="300" spans="1:5">
      <c r="A300" s="79"/>
      <c r="B300" s="79"/>
      <c r="C300" s="24" t="s">
        <v>1161</v>
      </c>
      <c r="D300" s="24"/>
      <c r="E300" s="17" t="s">
        <v>1200</v>
      </c>
    </row>
    <row r="301" spans="1:5">
      <c r="A301" s="79"/>
      <c r="B301" s="79"/>
      <c r="C301" s="24" t="s">
        <v>249</v>
      </c>
      <c r="D301" s="24"/>
    </row>
    <row r="302" spans="1:5">
      <c r="A302" s="79"/>
      <c r="B302" s="79"/>
      <c r="C302" s="24" t="s">
        <v>914</v>
      </c>
      <c r="D302" s="24"/>
    </row>
    <row r="303" spans="1:5">
      <c r="A303" s="79"/>
      <c r="B303" s="79"/>
      <c r="C303" s="24" t="s">
        <v>915</v>
      </c>
      <c r="D303" s="24"/>
    </row>
    <row r="304" spans="1:5">
      <c r="A304" s="79"/>
      <c r="B304" s="79"/>
      <c r="C304" s="24" t="s">
        <v>916</v>
      </c>
      <c r="D304" s="24"/>
    </row>
    <row r="305" spans="1:5">
      <c r="A305" s="79"/>
      <c r="B305" s="79"/>
      <c r="C305" s="24" t="s">
        <v>917</v>
      </c>
      <c r="D305" s="24"/>
    </row>
    <row r="306" spans="1:5">
      <c r="A306" s="79"/>
      <c r="B306" s="79"/>
      <c r="C306" s="24" t="s">
        <v>918</v>
      </c>
      <c r="D306" s="24"/>
    </row>
    <row r="307" spans="1:5">
      <c r="A307" s="79"/>
      <c r="B307" s="79"/>
      <c r="C307" s="24" t="s">
        <v>202</v>
      </c>
      <c r="D307" s="24"/>
    </row>
    <row r="308" spans="1:5">
      <c r="A308" s="79"/>
      <c r="B308" s="79"/>
      <c r="C308" s="24" t="s">
        <v>919</v>
      </c>
      <c r="D308" s="24"/>
    </row>
    <row r="309" spans="1:5">
      <c r="A309" s="79"/>
      <c r="B309" s="79"/>
      <c r="C309" s="24" t="s">
        <v>920</v>
      </c>
      <c r="D309" s="24"/>
    </row>
    <row r="310" spans="1:5">
      <c r="A310" s="79"/>
      <c r="B310" s="79"/>
      <c r="C310" s="24" t="s">
        <v>968</v>
      </c>
      <c r="D310" s="24"/>
      <c r="E310" s="17" t="s">
        <v>1200</v>
      </c>
    </row>
    <row r="311" spans="1:5">
      <c r="A311" s="79"/>
      <c r="B311" s="79"/>
      <c r="C311" s="24" t="s">
        <v>969</v>
      </c>
      <c r="D311" s="24"/>
      <c r="E311" s="17" t="s">
        <v>1200</v>
      </c>
    </row>
    <row r="312" spans="1:5">
      <c r="A312" s="79"/>
      <c r="B312" s="79"/>
      <c r="C312" s="24" t="s">
        <v>970</v>
      </c>
      <c r="D312" s="24"/>
      <c r="E312" s="17" t="s">
        <v>1200</v>
      </c>
    </row>
    <row r="313" spans="1:5">
      <c r="A313" s="79"/>
      <c r="B313" s="79"/>
      <c r="C313" s="24" t="s">
        <v>921</v>
      </c>
      <c r="D313" s="24"/>
    </row>
    <row r="314" spans="1:5">
      <c r="A314" s="79"/>
      <c r="B314" s="79"/>
      <c r="C314" s="24" t="s">
        <v>922</v>
      </c>
      <c r="D314" s="24"/>
    </row>
    <row r="315" spans="1:5">
      <c r="A315" s="79"/>
      <c r="B315" s="79"/>
      <c r="C315" s="24" t="s">
        <v>923</v>
      </c>
      <c r="D315" s="24"/>
    </row>
    <row r="316" spans="1:5">
      <c r="A316" s="79"/>
      <c r="B316" s="79"/>
      <c r="C316" s="24" t="s">
        <v>924</v>
      </c>
      <c r="D316" s="24"/>
    </row>
    <row r="317" spans="1:5">
      <c r="A317" s="79"/>
      <c r="B317" s="79"/>
      <c r="C317" s="24" t="s">
        <v>925</v>
      </c>
      <c r="D317" s="24"/>
    </row>
    <row r="318" spans="1:5">
      <c r="A318" s="79"/>
      <c r="B318" s="79"/>
      <c r="C318" s="24" t="s">
        <v>967</v>
      </c>
      <c r="D318" s="149" t="s">
        <v>926</v>
      </c>
      <c r="E318" s="17" t="s">
        <v>1200</v>
      </c>
    </row>
    <row r="319" spans="1:5">
      <c r="A319" s="79"/>
      <c r="B319" s="79"/>
      <c r="C319" s="24" t="s">
        <v>927</v>
      </c>
      <c r="D319" s="24"/>
    </row>
    <row r="320" spans="1:5">
      <c r="A320" s="79"/>
      <c r="B320" s="79"/>
      <c r="C320" s="24" t="s">
        <v>928</v>
      </c>
      <c r="D320" s="24"/>
    </row>
    <row r="321" spans="1:5">
      <c r="A321" s="79"/>
      <c r="B321" s="79"/>
      <c r="C321" s="24" t="s">
        <v>874</v>
      </c>
      <c r="D321" s="24"/>
    </row>
    <row r="322" spans="1:5">
      <c r="A322" s="79"/>
      <c r="B322" s="79"/>
      <c r="C322" s="24" t="s">
        <v>875</v>
      </c>
      <c r="D322" s="24"/>
    </row>
    <row r="323" spans="1:5">
      <c r="A323" s="79"/>
      <c r="B323" s="79"/>
      <c r="C323" s="24" t="s">
        <v>929</v>
      </c>
      <c r="D323" s="24"/>
    </row>
    <row r="324" spans="1:5">
      <c r="A324" s="79"/>
      <c r="B324" s="79"/>
      <c r="C324" s="24" t="s">
        <v>876</v>
      </c>
      <c r="D324" s="24"/>
    </row>
    <row r="325" spans="1:5">
      <c r="A325" s="79"/>
      <c r="B325" s="79"/>
      <c r="C325" s="24" t="s">
        <v>930</v>
      </c>
      <c r="D325" s="24"/>
    </row>
    <row r="326" spans="1:5">
      <c r="A326" s="79"/>
      <c r="B326" s="79"/>
      <c r="C326" s="24" t="s">
        <v>931</v>
      </c>
      <c r="D326" s="24"/>
    </row>
    <row r="327" spans="1:5">
      <c r="A327" s="79"/>
      <c r="B327" s="79"/>
      <c r="C327" s="24" t="s">
        <v>130</v>
      </c>
      <c r="D327" s="24"/>
    </row>
    <row r="328" spans="1:5">
      <c r="A328" s="96"/>
      <c r="B328" s="86" t="s">
        <v>300</v>
      </c>
      <c r="C328" s="70" t="s">
        <v>979</v>
      </c>
      <c r="D328" s="70"/>
      <c r="E328" s="17" t="s">
        <v>1200</v>
      </c>
    </row>
    <row r="329" spans="1:5">
      <c r="A329" s="97"/>
      <c r="B329" s="87"/>
      <c r="C329" s="70" t="s">
        <v>1069</v>
      </c>
      <c r="D329" s="70"/>
      <c r="E329" s="17" t="s">
        <v>1200</v>
      </c>
    </row>
    <row r="330" spans="1:5">
      <c r="A330" s="97"/>
      <c r="B330" s="87"/>
      <c r="C330" s="151" t="s">
        <v>1070</v>
      </c>
      <c r="D330" s="70"/>
      <c r="E330" s="17" t="s">
        <v>1200</v>
      </c>
    </row>
    <row r="331" spans="1:5">
      <c r="A331" s="97"/>
      <c r="B331" s="87"/>
      <c r="C331" s="150" t="s">
        <v>980</v>
      </c>
      <c r="D331" s="70"/>
      <c r="E331" s="17" t="s">
        <v>1200</v>
      </c>
    </row>
    <row r="332" spans="1:5">
      <c r="A332" s="97"/>
      <c r="B332" s="87"/>
      <c r="C332" s="150" t="s">
        <v>1061</v>
      </c>
      <c r="D332" s="70"/>
      <c r="E332" s="17" t="s">
        <v>1200</v>
      </c>
    </row>
    <row r="333" spans="1:5">
      <c r="A333" s="97"/>
      <c r="B333" s="87"/>
      <c r="C333" s="150" t="s">
        <v>981</v>
      </c>
      <c r="D333" s="70"/>
      <c r="E333" s="17" t="s">
        <v>1200</v>
      </c>
    </row>
    <row r="334" spans="1:5">
      <c r="A334" s="97"/>
      <c r="B334" s="87"/>
      <c r="C334" s="150" t="s">
        <v>982</v>
      </c>
      <c r="D334" s="70"/>
      <c r="E334" s="17" t="s">
        <v>1200</v>
      </c>
    </row>
    <row r="335" spans="1:5">
      <c r="A335" s="97"/>
      <c r="B335" s="87"/>
      <c r="C335" s="70" t="s">
        <v>1062</v>
      </c>
      <c r="D335" s="70"/>
      <c r="E335" s="17" t="s">
        <v>1200</v>
      </c>
    </row>
    <row r="336" spans="1:5">
      <c r="A336" s="97"/>
      <c r="B336" s="87"/>
      <c r="C336" s="70" t="s">
        <v>1063</v>
      </c>
      <c r="D336" s="70"/>
      <c r="E336" s="17" t="s">
        <v>1200</v>
      </c>
    </row>
    <row r="337" spans="1:5">
      <c r="A337" s="97"/>
      <c r="B337" s="87"/>
      <c r="C337" s="70" t="s">
        <v>1064</v>
      </c>
      <c r="D337" s="70"/>
      <c r="E337" s="17" t="s">
        <v>1200</v>
      </c>
    </row>
    <row r="338" spans="1:5">
      <c r="A338" s="97"/>
      <c r="B338" s="87"/>
      <c r="C338" s="70" t="s">
        <v>1065</v>
      </c>
      <c r="D338" s="70"/>
      <c r="E338" s="17" t="s">
        <v>1200</v>
      </c>
    </row>
    <row r="339" spans="1:5">
      <c r="A339" s="97"/>
      <c r="B339" s="87"/>
      <c r="C339" s="70" t="s">
        <v>1066</v>
      </c>
      <c r="D339" s="70"/>
      <c r="E339" s="17" t="s">
        <v>1200</v>
      </c>
    </row>
    <row r="340" spans="1:5">
      <c r="A340" s="97"/>
      <c r="B340" s="87"/>
      <c r="C340" s="70" t="s">
        <v>1067</v>
      </c>
      <c r="D340" s="70"/>
      <c r="E340" s="17" t="s">
        <v>1200</v>
      </c>
    </row>
    <row r="341" spans="1:5">
      <c r="A341" s="97"/>
      <c r="B341" s="87"/>
      <c r="C341" s="70" t="s">
        <v>1068</v>
      </c>
      <c r="D341" s="70"/>
      <c r="E341" s="17" t="s">
        <v>1200</v>
      </c>
    </row>
    <row r="342" spans="1:5">
      <c r="A342" s="97"/>
      <c r="B342" s="87"/>
      <c r="C342" s="70" t="s">
        <v>1071</v>
      </c>
      <c r="D342" s="70"/>
      <c r="E342" s="17" t="s">
        <v>1200</v>
      </c>
    </row>
    <row r="343" spans="1:5">
      <c r="A343" s="97"/>
      <c r="B343" s="87"/>
      <c r="C343" s="70" t="s">
        <v>1072</v>
      </c>
      <c r="D343" s="70"/>
      <c r="E343" s="17" t="s">
        <v>1200</v>
      </c>
    </row>
    <row r="344" spans="1:5">
      <c r="A344" s="97"/>
      <c r="B344" s="87"/>
      <c r="C344" s="70" t="s">
        <v>1073</v>
      </c>
      <c r="D344" s="70"/>
      <c r="E344" s="17" t="s">
        <v>1200</v>
      </c>
    </row>
    <row r="345" spans="1:5">
      <c r="A345" s="97"/>
      <c r="B345" s="87"/>
      <c r="C345" s="70" t="s">
        <v>1074</v>
      </c>
      <c r="D345" s="70"/>
      <c r="E345" s="17" t="s">
        <v>1200</v>
      </c>
    </row>
    <row r="346" spans="1:5">
      <c r="A346" s="97"/>
      <c r="B346" s="87"/>
      <c r="C346" s="70" t="s">
        <v>1075</v>
      </c>
      <c r="D346" s="70"/>
      <c r="E346" s="17" t="s">
        <v>1200</v>
      </c>
    </row>
    <row r="347" spans="1:5">
      <c r="A347" s="97"/>
      <c r="B347" s="87"/>
      <c r="C347" s="70" t="s">
        <v>1076</v>
      </c>
      <c r="D347" s="70"/>
      <c r="E347" s="17" t="s">
        <v>1200</v>
      </c>
    </row>
    <row r="348" spans="1:5">
      <c r="A348" s="97"/>
      <c r="B348" s="87"/>
      <c r="C348" s="70" t="s">
        <v>1077</v>
      </c>
      <c r="D348" s="70"/>
      <c r="E348" s="17" t="s">
        <v>1200</v>
      </c>
    </row>
    <row r="349" spans="1:5">
      <c r="A349" s="97"/>
      <c r="B349" s="87"/>
      <c r="C349" s="70" t="s">
        <v>1078</v>
      </c>
      <c r="D349" s="70"/>
      <c r="E349" s="17" t="s">
        <v>1200</v>
      </c>
    </row>
    <row r="350" spans="1:5">
      <c r="A350" s="97"/>
      <c r="B350" s="87"/>
      <c r="C350" s="70" t="s">
        <v>1079</v>
      </c>
      <c r="D350" s="70"/>
      <c r="E350" s="17" t="s">
        <v>1200</v>
      </c>
    </row>
    <row r="351" spans="1:5">
      <c r="A351" s="97"/>
      <c r="B351" s="87"/>
      <c r="C351" s="70" t="s">
        <v>1080</v>
      </c>
      <c r="D351" s="70"/>
      <c r="E351" s="17" t="s">
        <v>1200</v>
      </c>
    </row>
    <row r="352" spans="1:5">
      <c r="A352" s="97"/>
      <c r="B352" s="87"/>
      <c r="C352" s="70" t="s">
        <v>1081</v>
      </c>
      <c r="D352" s="70"/>
      <c r="E352" s="17" t="s">
        <v>1200</v>
      </c>
    </row>
    <row r="353" spans="1:5">
      <c r="A353" s="97"/>
      <c r="B353" s="87"/>
      <c r="C353" s="70" t="s">
        <v>1082</v>
      </c>
      <c r="D353" s="70"/>
      <c r="E353" s="17" t="s">
        <v>1200</v>
      </c>
    </row>
    <row r="354" spans="1:5">
      <c r="A354" s="97"/>
      <c r="B354" s="87"/>
      <c r="C354" s="70" t="s">
        <v>1083</v>
      </c>
      <c r="D354" s="70"/>
      <c r="E354" s="17" t="s">
        <v>1200</v>
      </c>
    </row>
    <row r="355" spans="1:5">
      <c r="A355" s="97"/>
      <c r="B355" s="87"/>
      <c r="C355" s="70" t="s">
        <v>1084</v>
      </c>
      <c r="D355" s="70"/>
      <c r="E355" s="17" t="s">
        <v>1200</v>
      </c>
    </row>
    <row r="356" spans="1:5">
      <c r="A356" s="97"/>
      <c r="B356" s="87"/>
      <c r="C356" s="70" t="s">
        <v>1085</v>
      </c>
      <c r="D356" s="70"/>
      <c r="E356" s="17" t="s">
        <v>1200</v>
      </c>
    </row>
    <row r="357" spans="1:5">
      <c r="A357" s="97"/>
      <c r="B357" s="87"/>
      <c r="C357" s="70" t="s">
        <v>1086</v>
      </c>
      <c r="D357" s="70"/>
      <c r="E357" s="17" t="s">
        <v>1200</v>
      </c>
    </row>
    <row r="358" spans="1:5">
      <c r="A358" s="97"/>
      <c r="B358" s="87"/>
      <c r="C358" s="70" t="s">
        <v>1087</v>
      </c>
      <c r="D358" s="70"/>
      <c r="E358" s="17" t="s">
        <v>1200</v>
      </c>
    </row>
    <row r="359" spans="1:5">
      <c r="A359" s="97"/>
      <c r="B359" s="87"/>
      <c r="C359" s="70" t="s">
        <v>1088</v>
      </c>
      <c r="D359" s="70"/>
      <c r="E359" s="17" t="s">
        <v>1200</v>
      </c>
    </row>
    <row r="360" spans="1:5">
      <c r="A360" s="97"/>
      <c r="B360" s="87"/>
      <c r="C360" s="70" t="s">
        <v>1089</v>
      </c>
      <c r="D360" s="70"/>
      <c r="E360" s="17" t="s">
        <v>1200</v>
      </c>
    </row>
    <row r="361" spans="1:5">
      <c r="A361" s="97"/>
      <c r="B361" s="87"/>
      <c r="C361" s="70" t="s">
        <v>1090</v>
      </c>
      <c r="D361" s="70"/>
      <c r="E361" s="17" t="s">
        <v>1200</v>
      </c>
    </row>
    <row r="362" spans="1:5">
      <c r="A362" s="97"/>
      <c r="B362" s="87"/>
      <c r="C362" s="70" t="s">
        <v>1091</v>
      </c>
      <c r="D362" s="70"/>
      <c r="E362" s="17" t="s">
        <v>1200</v>
      </c>
    </row>
    <row r="363" spans="1:5">
      <c r="A363" s="97"/>
      <c r="B363" s="87"/>
      <c r="C363" s="70" t="s">
        <v>1092</v>
      </c>
      <c r="D363" s="70"/>
      <c r="E363" s="17" t="s">
        <v>1200</v>
      </c>
    </row>
    <row r="364" spans="1:5">
      <c r="A364" s="97"/>
      <c r="B364" s="87"/>
      <c r="C364" s="70" t="s">
        <v>1093</v>
      </c>
      <c r="D364" s="70"/>
      <c r="E364" s="17" t="s">
        <v>1200</v>
      </c>
    </row>
    <row r="365" spans="1:5">
      <c r="A365" s="97"/>
      <c r="B365" s="87"/>
      <c r="C365" s="70" t="s">
        <v>1094</v>
      </c>
      <c r="D365" s="70"/>
      <c r="E365" s="17" t="s">
        <v>1200</v>
      </c>
    </row>
    <row r="366" spans="1:5">
      <c r="A366" s="97"/>
      <c r="B366" s="87"/>
      <c r="C366" s="70" t="s">
        <v>1095</v>
      </c>
      <c r="D366" s="70"/>
      <c r="E366" s="17" t="s">
        <v>1200</v>
      </c>
    </row>
    <row r="367" spans="1:5">
      <c r="A367" s="97"/>
      <c r="B367" s="87"/>
      <c r="C367" s="70" t="s">
        <v>1096</v>
      </c>
      <c r="D367" s="70"/>
      <c r="E367" s="17" t="s">
        <v>1200</v>
      </c>
    </row>
    <row r="368" spans="1:5">
      <c r="A368" s="97"/>
      <c r="B368" s="87"/>
      <c r="C368" s="70" t="s">
        <v>1097</v>
      </c>
      <c r="D368" s="70"/>
      <c r="E368" s="17" t="s">
        <v>1200</v>
      </c>
    </row>
    <row r="369" spans="1:5">
      <c r="A369" s="97"/>
      <c r="B369" s="87"/>
      <c r="C369" s="70" t="s">
        <v>1098</v>
      </c>
      <c r="D369" s="70"/>
      <c r="E369" s="17" t="s">
        <v>1200</v>
      </c>
    </row>
    <row r="370" spans="1:5">
      <c r="A370" s="97"/>
      <c r="B370" s="87"/>
      <c r="C370" s="70" t="s">
        <v>1099</v>
      </c>
      <c r="D370" s="70"/>
      <c r="E370" s="17" t="s">
        <v>1200</v>
      </c>
    </row>
    <row r="371" spans="1:5">
      <c r="A371" s="97"/>
      <c r="B371" s="87"/>
      <c r="C371" s="70" t="s">
        <v>983</v>
      </c>
      <c r="D371" s="70"/>
      <c r="E371" s="17" t="s">
        <v>1200</v>
      </c>
    </row>
    <row r="372" spans="1:5">
      <c r="A372" s="97"/>
      <c r="B372" s="87"/>
      <c r="C372" s="70" t="s">
        <v>984</v>
      </c>
      <c r="D372" s="70"/>
      <c r="E372" s="17" t="s">
        <v>1200</v>
      </c>
    </row>
    <row r="373" spans="1:5">
      <c r="A373" s="97"/>
      <c r="B373" s="87"/>
      <c r="C373" s="70" t="s">
        <v>985</v>
      </c>
      <c r="D373" s="70"/>
      <c r="E373" s="17" t="s">
        <v>1200</v>
      </c>
    </row>
    <row r="374" spans="1:5">
      <c r="A374" s="97"/>
      <c r="B374" s="87"/>
      <c r="C374" s="70" t="s">
        <v>986</v>
      </c>
      <c r="D374" s="70"/>
      <c r="E374" s="17" t="s">
        <v>1200</v>
      </c>
    </row>
    <row r="375" spans="1:5">
      <c r="A375" s="97"/>
      <c r="B375" s="87"/>
      <c r="C375" s="70" t="s">
        <v>987</v>
      </c>
      <c r="D375" s="70"/>
      <c r="E375" s="17" t="s">
        <v>1200</v>
      </c>
    </row>
    <row r="376" spans="1:5">
      <c r="A376" s="97"/>
      <c r="B376" s="87"/>
      <c r="C376" s="70" t="s">
        <v>988</v>
      </c>
      <c r="D376" s="70"/>
      <c r="E376" s="17" t="s">
        <v>1200</v>
      </c>
    </row>
    <row r="377" spans="1:5">
      <c r="A377" s="97"/>
      <c r="B377" s="87"/>
      <c r="C377" s="70" t="s">
        <v>989</v>
      </c>
      <c r="D377" s="70"/>
      <c r="E377" s="17" t="s">
        <v>1200</v>
      </c>
    </row>
    <row r="378" spans="1:5">
      <c r="A378" s="97"/>
      <c r="B378" s="87"/>
      <c r="C378" s="70" t="s">
        <v>990</v>
      </c>
      <c r="D378" s="70"/>
      <c r="E378" s="17" t="s">
        <v>1200</v>
      </c>
    </row>
    <row r="379" spans="1:5">
      <c r="A379" s="97"/>
      <c r="B379" s="87"/>
      <c r="C379" s="70" t="s">
        <v>991</v>
      </c>
      <c r="D379" s="70"/>
      <c r="E379" s="17" t="s">
        <v>1200</v>
      </c>
    </row>
    <row r="380" spans="1:5">
      <c r="A380" s="97"/>
      <c r="B380" s="87"/>
      <c r="C380" s="70" t="s">
        <v>992</v>
      </c>
      <c r="D380" s="70"/>
      <c r="E380" s="17" t="s">
        <v>1200</v>
      </c>
    </row>
    <row r="381" spans="1:5">
      <c r="A381" s="97"/>
      <c r="B381" s="87"/>
      <c r="C381" s="70" t="s">
        <v>993</v>
      </c>
      <c r="D381" s="70"/>
      <c r="E381" s="17" t="s">
        <v>1200</v>
      </c>
    </row>
    <row r="382" spans="1:5">
      <c r="A382" s="97"/>
      <c r="B382" s="87"/>
      <c r="C382" s="70" t="s">
        <v>994</v>
      </c>
      <c r="D382" s="70"/>
      <c r="E382" s="17" t="s">
        <v>1200</v>
      </c>
    </row>
    <row r="383" spans="1:5">
      <c r="A383" s="97"/>
      <c r="B383" s="87"/>
      <c r="C383" s="70" t="s">
        <v>995</v>
      </c>
      <c r="D383" s="70"/>
      <c r="E383" s="17" t="s">
        <v>1200</v>
      </c>
    </row>
    <row r="384" spans="1:5">
      <c r="A384" s="97"/>
      <c r="B384" s="87"/>
      <c r="C384" s="70" t="s">
        <v>996</v>
      </c>
      <c r="D384" s="70"/>
      <c r="E384" s="17" t="s">
        <v>1200</v>
      </c>
    </row>
    <row r="385" spans="1:5">
      <c r="A385" s="97"/>
      <c r="B385" s="87"/>
      <c r="C385" s="70" t="s">
        <v>997</v>
      </c>
      <c r="D385" s="70"/>
      <c r="E385" s="17" t="s">
        <v>1200</v>
      </c>
    </row>
    <row r="386" spans="1:5">
      <c r="A386" s="97"/>
      <c r="B386" s="87"/>
      <c r="C386" s="70" t="s">
        <v>998</v>
      </c>
      <c r="D386" s="70"/>
      <c r="E386" s="17" t="s">
        <v>1200</v>
      </c>
    </row>
    <row r="387" spans="1:5">
      <c r="A387" s="97"/>
      <c r="B387" s="87"/>
      <c r="C387" s="70" t="s">
        <v>999</v>
      </c>
      <c r="D387" s="70"/>
      <c r="E387" s="17" t="s">
        <v>1200</v>
      </c>
    </row>
    <row r="388" spans="1:5">
      <c r="A388" s="97"/>
      <c r="B388" s="87"/>
      <c r="C388" s="70" t="s">
        <v>1000</v>
      </c>
      <c r="D388" s="70"/>
      <c r="E388" s="17" t="s">
        <v>1200</v>
      </c>
    </row>
    <row r="389" spans="1:5">
      <c r="A389" s="97"/>
      <c r="B389" s="87"/>
      <c r="C389" s="70" t="s">
        <v>1001</v>
      </c>
      <c r="D389" s="70"/>
      <c r="E389" s="17" t="s">
        <v>1200</v>
      </c>
    </row>
    <row r="390" spans="1:5">
      <c r="A390" s="97"/>
      <c r="B390" s="87"/>
      <c r="C390" s="70" t="s">
        <v>1002</v>
      </c>
      <c r="D390" s="70"/>
      <c r="E390" s="17" t="s">
        <v>1200</v>
      </c>
    </row>
    <row r="391" spans="1:5">
      <c r="A391" s="97"/>
      <c r="B391" s="87"/>
      <c r="C391" s="70" t="s">
        <v>1003</v>
      </c>
      <c r="D391" s="70"/>
      <c r="E391" s="17" t="s">
        <v>1200</v>
      </c>
    </row>
    <row r="392" spans="1:5">
      <c r="A392" s="97"/>
      <c r="B392" s="87"/>
      <c r="C392" s="70" t="s">
        <v>1004</v>
      </c>
      <c r="D392" s="70"/>
      <c r="E392" s="17" t="s">
        <v>1200</v>
      </c>
    </row>
    <row r="393" spans="1:5">
      <c r="A393" s="97"/>
      <c r="B393" s="87"/>
      <c r="C393" s="70" t="s">
        <v>1005</v>
      </c>
      <c r="D393" s="70"/>
      <c r="E393" s="17" t="s">
        <v>1200</v>
      </c>
    </row>
    <row r="394" spans="1:5">
      <c r="A394" s="97"/>
      <c r="B394" s="87"/>
      <c r="C394" s="70" t="s">
        <v>1006</v>
      </c>
      <c r="D394" s="70"/>
      <c r="E394" s="17" t="s">
        <v>1200</v>
      </c>
    </row>
    <row r="395" spans="1:5">
      <c r="A395" s="97"/>
      <c r="B395" s="87"/>
      <c r="C395" s="70" t="s">
        <v>1007</v>
      </c>
      <c r="D395" s="70"/>
      <c r="E395" s="17" t="s">
        <v>1200</v>
      </c>
    </row>
    <row r="396" spans="1:5">
      <c r="A396" s="97"/>
      <c r="B396" s="87"/>
      <c r="C396" s="70" t="s">
        <v>1008</v>
      </c>
      <c r="D396" s="70"/>
      <c r="E396" s="17" t="s">
        <v>1200</v>
      </c>
    </row>
    <row r="397" spans="1:5">
      <c r="A397" s="97"/>
      <c r="B397" s="87"/>
      <c r="C397" s="70" t="s">
        <v>1009</v>
      </c>
      <c r="D397" s="70"/>
      <c r="E397" s="17" t="s">
        <v>1200</v>
      </c>
    </row>
    <row r="398" spans="1:5">
      <c r="A398" s="97"/>
      <c r="B398" s="87"/>
      <c r="C398" s="70" t="s">
        <v>1010</v>
      </c>
      <c r="D398" s="70"/>
      <c r="E398" s="17" t="s">
        <v>1200</v>
      </c>
    </row>
    <row r="399" spans="1:5">
      <c r="A399" s="97"/>
      <c r="B399" s="87"/>
      <c r="C399" s="70" t="s">
        <v>1011</v>
      </c>
      <c r="D399" s="70"/>
      <c r="E399" s="17" t="s">
        <v>1200</v>
      </c>
    </row>
    <row r="400" spans="1:5">
      <c r="A400" s="97"/>
      <c r="B400" s="87"/>
      <c r="C400" s="70" t="s">
        <v>1012</v>
      </c>
      <c r="D400" s="70"/>
      <c r="E400" s="17" t="s">
        <v>1200</v>
      </c>
    </row>
    <row r="401" spans="1:5">
      <c r="A401" s="97"/>
      <c r="B401" s="87"/>
      <c r="C401" s="70" t="s">
        <v>1013</v>
      </c>
      <c r="D401" s="70"/>
      <c r="E401" s="17" t="s">
        <v>1200</v>
      </c>
    </row>
    <row r="402" spans="1:5">
      <c r="A402" s="97"/>
      <c r="B402" s="87"/>
      <c r="C402" s="70" t="s">
        <v>1014</v>
      </c>
      <c r="D402" s="70"/>
      <c r="E402" s="17" t="s">
        <v>1200</v>
      </c>
    </row>
    <row r="403" spans="1:5">
      <c r="A403" s="97"/>
      <c r="B403" s="87"/>
      <c r="C403" s="70" t="s">
        <v>1015</v>
      </c>
      <c r="D403" s="70"/>
      <c r="E403" s="17" t="s">
        <v>1200</v>
      </c>
    </row>
    <row r="404" spans="1:5">
      <c r="A404" s="97"/>
      <c r="B404" s="87"/>
      <c r="C404" s="70" t="s">
        <v>1016</v>
      </c>
      <c r="D404" s="70"/>
      <c r="E404" s="17" t="s">
        <v>1200</v>
      </c>
    </row>
    <row r="405" spans="1:5">
      <c r="A405" s="97"/>
      <c r="B405" s="87"/>
      <c r="C405" s="70" t="s">
        <v>1017</v>
      </c>
      <c r="D405" s="70"/>
      <c r="E405" s="17" t="s">
        <v>1200</v>
      </c>
    </row>
    <row r="406" spans="1:5">
      <c r="A406" s="97"/>
      <c r="B406" s="87"/>
      <c r="C406" s="70" t="s">
        <v>1018</v>
      </c>
      <c r="D406" s="70"/>
      <c r="E406" s="17" t="s">
        <v>1200</v>
      </c>
    </row>
    <row r="407" spans="1:5">
      <c r="A407" s="97"/>
      <c r="B407" s="87"/>
      <c r="C407" s="70" t="s">
        <v>1019</v>
      </c>
      <c r="D407" s="70"/>
      <c r="E407" s="17" t="s">
        <v>1200</v>
      </c>
    </row>
    <row r="408" spans="1:5">
      <c r="A408" s="97"/>
      <c r="B408" s="87"/>
      <c r="C408" s="70" t="s">
        <v>1020</v>
      </c>
      <c r="D408" s="70"/>
      <c r="E408" s="17" t="s">
        <v>1200</v>
      </c>
    </row>
    <row r="409" spans="1:5">
      <c r="A409" s="97"/>
      <c r="B409" s="87"/>
      <c r="C409" s="70" t="s">
        <v>1021</v>
      </c>
      <c r="D409" s="70"/>
      <c r="E409" s="17" t="s">
        <v>1200</v>
      </c>
    </row>
    <row r="410" spans="1:5">
      <c r="A410" s="97"/>
      <c r="B410" s="87"/>
      <c r="C410" s="70" t="s">
        <v>1022</v>
      </c>
      <c r="D410" s="70"/>
      <c r="E410" s="17" t="s">
        <v>1200</v>
      </c>
    </row>
    <row r="411" spans="1:5">
      <c r="A411" s="97"/>
      <c r="B411" s="87"/>
      <c r="C411" s="70" t="s">
        <v>1023</v>
      </c>
      <c r="D411" s="70"/>
      <c r="E411" s="17" t="s">
        <v>1200</v>
      </c>
    </row>
    <row r="412" spans="1:5">
      <c r="A412" s="97"/>
      <c r="B412" s="87"/>
      <c r="C412" s="70" t="s">
        <v>1024</v>
      </c>
      <c r="D412" s="70"/>
      <c r="E412" s="17" t="s">
        <v>1200</v>
      </c>
    </row>
    <row r="413" spans="1:5">
      <c r="A413" s="97"/>
      <c r="B413" s="87"/>
      <c r="C413" s="70" t="s">
        <v>1025</v>
      </c>
      <c r="D413" s="70"/>
      <c r="E413" s="17" t="s">
        <v>1200</v>
      </c>
    </row>
    <row r="414" spans="1:5">
      <c r="A414" s="97"/>
      <c r="B414" s="87"/>
      <c r="C414" s="70" t="s">
        <v>1026</v>
      </c>
      <c r="D414" s="70"/>
      <c r="E414" s="17" t="s">
        <v>1200</v>
      </c>
    </row>
    <row r="415" spans="1:5">
      <c r="A415" s="97"/>
      <c r="B415" s="87"/>
      <c r="C415" s="70" t="s">
        <v>1027</v>
      </c>
      <c r="D415" s="70"/>
      <c r="E415" s="17" t="s">
        <v>1200</v>
      </c>
    </row>
    <row r="416" spans="1:5">
      <c r="A416" s="97"/>
      <c r="B416" s="87"/>
      <c r="C416" s="70" t="s">
        <v>1028</v>
      </c>
      <c r="D416" s="70"/>
      <c r="E416" s="17" t="s">
        <v>1200</v>
      </c>
    </row>
    <row r="417" spans="1:5">
      <c r="A417" s="97"/>
      <c r="B417" s="87"/>
      <c r="C417" s="70" t="s">
        <v>1029</v>
      </c>
      <c r="D417" s="70"/>
      <c r="E417" s="17" t="s">
        <v>1200</v>
      </c>
    </row>
    <row r="418" spans="1:5">
      <c r="A418" s="97"/>
      <c r="B418" s="87"/>
      <c r="C418" s="70" t="s">
        <v>1030</v>
      </c>
      <c r="D418" s="70"/>
      <c r="E418" s="17" t="s">
        <v>1200</v>
      </c>
    </row>
    <row r="419" spans="1:5">
      <c r="A419" s="97"/>
      <c r="B419" s="87"/>
      <c r="C419" s="70" t="s">
        <v>1031</v>
      </c>
      <c r="D419" s="70"/>
      <c r="E419" s="17" t="s">
        <v>1200</v>
      </c>
    </row>
    <row r="420" spans="1:5">
      <c r="A420" s="97"/>
      <c r="B420" s="87"/>
      <c r="C420" s="70" t="s">
        <v>1032</v>
      </c>
      <c r="D420" s="70"/>
      <c r="E420" s="17" t="s">
        <v>1200</v>
      </c>
    </row>
    <row r="421" spans="1:5">
      <c r="A421" s="97"/>
      <c r="B421" s="87"/>
      <c r="C421" s="70" t="s">
        <v>1033</v>
      </c>
      <c r="D421" s="70"/>
      <c r="E421" s="17" t="s">
        <v>1200</v>
      </c>
    </row>
    <row r="422" spans="1:5">
      <c r="A422" s="97"/>
      <c r="B422" s="87"/>
      <c r="C422" s="70" t="s">
        <v>1034</v>
      </c>
      <c r="D422" s="70"/>
      <c r="E422" s="17" t="s">
        <v>1200</v>
      </c>
    </row>
    <row r="423" spans="1:5">
      <c r="A423" s="97"/>
      <c r="B423" s="87"/>
      <c r="C423" s="70" t="s">
        <v>1035</v>
      </c>
      <c r="D423" s="70"/>
      <c r="E423" s="17" t="s">
        <v>1200</v>
      </c>
    </row>
    <row r="424" spans="1:5">
      <c r="A424" s="97"/>
      <c r="B424" s="87"/>
      <c r="C424" s="70" t="s">
        <v>1036</v>
      </c>
      <c r="D424" s="70"/>
      <c r="E424" s="17" t="s">
        <v>1200</v>
      </c>
    </row>
    <row r="425" spans="1:5">
      <c r="A425" s="97"/>
      <c r="B425" s="87"/>
      <c r="C425" s="70" t="s">
        <v>1037</v>
      </c>
      <c r="D425" s="70"/>
      <c r="E425" s="17" t="s">
        <v>1200</v>
      </c>
    </row>
    <row r="426" spans="1:5">
      <c r="A426" s="97"/>
      <c r="B426" s="87"/>
      <c r="C426" s="70" t="s">
        <v>1038</v>
      </c>
      <c r="D426" s="70"/>
      <c r="E426" s="17" t="s">
        <v>1200</v>
      </c>
    </row>
    <row r="427" spans="1:5">
      <c r="A427" s="97"/>
      <c r="B427" s="87"/>
      <c r="C427" s="70" t="s">
        <v>1039</v>
      </c>
      <c r="D427" s="70"/>
      <c r="E427" s="17" t="s">
        <v>1200</v>
      </c>
    </row>
    <row r="428" spans="1:5">
      <c r="A428" s="97"/>
      <c r="B428" s="87"/>
      <c r="C428" s="70" t="s">
        <v>1040</v>
      </c>
      <c r="D428" s="70"/>
      <c r="E428" s="17" t="s">
        <v>1200</v>
      </c>
    </row>
    <row r="429" spans="1:5">
      <c r="A429" s="97"/>
      <c r="B429" s="87"/>
      <c r="C429" s="70" t="s">
        <v>1041</v>
      </c>
      <c r="D429" s="70"/>
      <c r="E429" s="17" t="s">
        <v>1200</v>
      </c>
    </row>
    <row r="430" spans="1:5">
      <c r="A430" s="97"/>
      <c r="B430" s="87"/>
      <c r="C430" s="70" t="s">
        <v>1042</v>
      </c>
      <c r="D430" s="70"/>
      <c r="E430" s="17" t="s">
        <v>1200</v>
      </c>
    </row>
    <row r="431" spans="1:5">
      <c r="A431" s="97"/>
      <c r="B431" s="87"/>
      <c r="C431" s="70" t="s">
        <v>1043</v>
      </c>
      <c r="D431" s="70"/>
      <c r="E431" s="17" t="s">
        <v>1200</v>
      </c>
    </row>
    <row r="432" spans="1:5">
      <c r="A432" s="97"/>
      <c r="B432" s="87"/>
      <c r="C432" s="70" t="s">
        <v>1044</v>
      </c>
      <c r="D432" s="70"/>
      <c r="E432" s="17" t="s">
        <v>1200</v>
      </c>
    </row>
    <row r="433" spans="1:5">
      <c r="A433" s="97"/>
      <c r="B433" s="87"/>
      <c r="C433" s="70" t="s">
        <v>1100</v>
      </c>
      <c r="D433" s="70"/>
      <c r="E433" s="17" t="s">
        <v>1200</v>
      </c>
    </row>
    <row r="434" spans="1:5">
      <c r="A434" s="97"/>
      <c r="B434" s="87"/>
      <c r="C434" s="70" t="s">
        <v>1101</v>
      </c>
      <c r="D434" s="70"/>
      <c r="E434" s="17" t="s">
        <v>1200</v>
      </c>
    </row>
    <row r="435" spans="1:5">
      <c r="A435" s="97"/>
      <c r="B435" s="87"/>
      <c r="C435" s="70" t="s">
        <v>1102</v>
      </c>
      <c r="D435" s="70"/>
      <c r="E435" s="17" t="s">
        <v>1200</v>
      </c>
    </row>
    <row r="436" spans="1:5">
      <c r="A436" s="97"/>
      <c r="B436" s="87"/>
      <c r="C436" s="70" t="s">
        <v>1103</v>
      </c>
      <c r="D436" s="70"/>
      <c r="E436" s="17" t="s">
        <v>1200</v>
      </c>
    </row>
    <row r="437" spans="1:5">
      <c r="A437" s="97"/>
      <c r="B437" s="87"/>
      <c r="C437" s="70" t="s">
        <v>1104</v>
      </c>
      <c r="D437" s="70"/>
      <c r="E437" s="17" t="s">
        <v>1200</v>
      </c>
    </row>
    <row r="438" spans="1:5">
      <c r="A438" s="97"/>
      <c r="B438" s="87"/>
      <c r="C438" s="70" t="s">
        <v>1105</v>
      </c>
      <c r="D438" s="70"/>
      <c r="E438" s="17" t="s">
        <v>1200</v>
      </c>
    </row>
    <row r="439" spans="1:5">
      <c r="A439" s="97"/>
      <c r="B439" s="87"/>
      <c r="C439" s="70" t="s">
        <v>1106</v>
      </c>
      <c r="D439" s="70"/>
      <c r="E439" s="17" t="s">
        <v>1200</v>
      </c>
    </row>
    <row r="440" spans="1:5">
      <c r="A440" s="97"/>
      <c r="B440" s="87"/>
      <c r="C440" s="70" t="s">
        <v>1107</v>
      </c>
      <c r="D440" s="70"/>
      <c r="E440" s="17" t="s">
        <v>1200</v>
      </c>
    </row>
    <row r="441" spans="1:5">
      <c r="A441" s="97"/>
      <c r="B441" s="87"/>
      <c r="C441" s="70" t="s">
        <v>1045</v>
      </c>
      <c r="D441" s="70"/>
      <c r="E441" s="17" t="s">
        <v>1200</v>
      </c>
    </row>
    <row r="442" spans="1:5">
      <c r="A442" s="97"/>
      <c r="B442" s="87"/>
      <c r="C442" s="70" t="s">
        <v>1046</v>
      </c>
      <c r="D442" s="70"/>
      <c r="E442" s="17" t="s">
        <v>1200</v>
      </c>
    </row>
    <row r="443" spans="1:5">
      <c r="A443" s="97"/>
      <c r="B443" s="87"/>
      <c r="C443" s="70" t="s">
        <v>1047</v>
      </c>
      <c r="D443" s="70"/>
      <c r="E443" s="17" t="s">
        <v>1200</v>
      </c>
    </row>
    <row r="444" spans="1:5">
      <c r="A444" s="97"/>
      <c r="B444" s="87"/>
      <c r="C444" s="70" t="s">
        <v>1048</v>
      </c>
      <c r="D444" s="70"/>
      <c r="E444" s="17" t="s">
        <v>1200</v>
      </c>
    </row>
    <row r="445" spans="1:5">
      <c r="A445" s="97"/>
      <c r="B445" s="87"/>
      <c r="C445" s="70" t="s">
        <v>1049</v>
      </c>
      <c r="D445" s="70"/>
      <c r="E445" s="17" t="s">
        <v>1200</v>
      </c>
    </row>
    <row r="446" spans="1:5">
      <c r="A446" s="97"/>
      <c r="B446" s="87"/>
      <c r="C446" s="70" t="s">
        <v>1050</v>
      </c>
      <c r="D446" s="70"/>
      <c r="E446" s="17" t="s">
        <v>1200</v>
      </c>
    </row>
    <row r="447" spans="1:5">
      <c r="A447" s="97"/>
      <c r="B447" s="87"/>
      <c r="C447" s="70" t="s">
        <v>1051</v>
      </c>
      <c r="D447" s="70"/>
      <c r="E447" s="17" t="s">
        <v>1200</v>
      </c>
    </row>
    <row r="448" spans="1:5">
      <c r="A448" s="97"/>
      <c r="B448" s="87"/>
      <c r="C448" s="70" t="s">
        <v>1052</v>
      </c>
      <c r="D448" s="70"/>
      <c r="E448" s="17" t="s">
        <v>1200</v>
      </c>
    </row>
    <row r="449" spans="1:5">
      <c r="A449" s="97"/>
      <c r="B449" s="87"/>
      <c r="C449" s="70" t="s">
        <v>1108</v>
      </c>
      <c r="D449" s="70"/>
      <c r="E449" s="17" t="s">
        <v>1200</v>
      </c>
    </row>
    <row r="450" spans="1:5">
      <c r="A450" s="97"/>
      <c r="B450" s="87"/>
      <c r="C450" s="70" t="s">
        <v>1109</v>
      </c>
      <c r="D450" s="70"/>
      <c r="E450" s="17" t="s">
        <v>1200</v>
      </c>
    </row>
    <row r="451" spans="1:5">
      <c r="A451" s="97"/>
      <c r="B451" s="87"/>
      <c r="C451" s="70" t="s">
        <v>1110</v>
      </c>
      <c r="D451" s="70"/>
      <c r="E451" s="17" t="s">
        <v>1200</v>
      </c>
    </row>
    <row r="452" spans="1:5">
      <c r="A452" s="97"/>
      <c r="B452" s="87"/>
      <c r="C452" s="70" t="s">
        <v>1111</v>
      </c>
      <c r="D452" s="70"/>
      <c r="E452" s="17" t="s">
        <v>1200</v>
      </c>
    </row>
    <row r="453" spans="1:5">
      <c r="A453" s="97"/>
      <c r="B453" s="87"/>
      <c r="C453" s="70" t="s">
        <v>1112</v>
      </c>
      <c r="D453" s="70"/>
      <c r="E453" s="17" t="s">
        <v>1200</v>
      </c>
    </row>
    <row r="454" spans="1:5">
      <c r="A454" s="97"/>
      <c r="B454" s="87"/>
      <c r="C454" s="70" t="s">
        <v>1113</v>
      </c>
      <c r="D454" s="70"/>
      <c r="E454" s="17" t="s">
        <v>1200</v>
      </c>
    </row>
    <row r="455" spans="1:5">
      <c r="A455" s="97"/>
      <c r="B455" s="87"/>
      <c r="C455" s="70" t="s">
        <v>1114</v>
      </c>
      <c r="D455" s="70"/>
      <c r="E455" s="17" t="s">
        <v>1200</v>
      </c>
    </row>
    <row r="456" spans="1:5">
      <c r="A456" s="97"/>
      <c r="B456" s="87"/>
      <c r="C456" s="70" t="s">
        <v>1115</v>
      </c>
      <c r="D456" s="70"/>
      <c r="E456" s="17" t="s">
        <v>1200</v>
      </c>
    </row>
    <row r="457" spans="1:5">
      <c r="A457" s="97"/>
      <c r="B457" s="87"/>
      <c r="C457" s="70" t="s">
        <v>1116</v>
      </c>
      <c r="D457" s="70"/>
      <c r="E457" s="17" t="s">
        <v>1200</v>
      </c>
    </row>
    <row r="458" spans="1:5">
      <c r="A458" s="97"/>
      <c r="B458" s="87"/>
      <c r="C458" s="70" t="s">
        <v>1117</v>
      </c>
      <c r="D458" s="70"/>
      <c r="E458" s="17" t="s">
        <v>1200</v>
      </c>
    </row>
    <row r="459" spans="1:5">
      <c r="A459" s="97"/>
      <c r="B459" s="87"/>
      <c r="C459" s="70" t="s">
        <v>1118</v>
      </c>
      <c r="D459" s="70"/>
      <c r="E459" s="17" t="s">
        <v>1200</v>
      </c>
    </row>
    <row r="460" spans="1:5">
      <c r="A460" s="97"/>
      <c r="B460" s="87"/>
      <c r="C460" s="70" t="s">
        <v>1119</v>
      </c>
      <c r="D460" s="70"/>
      <c r="E460" s="17" t="s">
        <v>1200</v>
      </c>
    </row>
    <row r="461" spans="1:5">
      <c r="A461" s="97"/>
      <c r="B461" s="87"/>
      <c r="C461" s="70" t="s">
        <v>1120</v>
      </c>
      <c r="D461" s="70"/>
      <c r="E461" s="17" t="s">
        <v>1200</v>
      </c>
    </row>
    <row r="462" spans="1:5">
      <c r="A462" s="97"/>
      <c r="B462" s="87"/>
      <c r="C462" s="70" t="s">
        <v>1121</v>
      </c>
      <c r="D462" s="70"/>
      <c r="E462" s="17" t="s">
        <v>1200</v>
      </c>
    </row>
    <row r="463" spans="1:5">
      <c r="A463" s="97"/>
      <c r="B463" s="87"/>
      <c r="C463" s="70" t="s">
        <v>1122</v>
      </c>
      <c r="D463" s="70"/>
      <c r="E463" s="17" t="s">
        <v>1200</v>
      </c>
    </row>
    <row r="464" spans="1:5">
      <c r="A464" s="97"/>
      <c r="B464" s="87"/>
      <c r="C464" s="70" t="s">
        <v>1123</v>
      </c>
      <c r="D464" s="70"/>
      <c r="E464" s="17" t="s">
        <v>1200</v>
      </c>
    </row>
    <row r="465" spans="1:5">
      <c r="A465" s="97"/>
      <c r="B465" s="87"/>
      <c r="C465" s="70" t="s">
        <v>1124</v>
      </c>
      <c r="D465" s="70"/>
      <c r="E465" s="17" t="s">
        <v>1200</v>
      </c>
    </row>
    <row r="466" spans="1:5">
      <c r="A466" s="97"/>
      <c r="B466" s="87"/>
      <c r="C466" s="70" t="s">
        <v>1125</v>
      </c>
      <c r="D466" s="70"/>
      <c r="E466" s="17" t="s">
        <v>1200</v>
      </c>
    </row>
    <row r="467" spans="1:5">
      <c r="A467" s="97"/>
      <c r="B467" s="87"/>
      <c r="C467" s="70" t="s">
        <v>1126</v>
      </c>
      <c r="D467" s="70"/>
      <c r="E467" s="17" t="s">
        <v>1200</v>
      </c>
    </row>
    <row r="468" spans="1:5">
      <c r="A468" s="97"/>
      <c r="B468" s="87"/>
      <c r="C468" s="70" t="s">
        <v>1127</v>
      </c>
      <c r="D468" s="70"/>
      <c r="E468" s="17" t="s">
        <v>1200</v>
      </c>
    </row>
    <row r="469" spans="1:5">
      <c r="A469" s="97"/>
      <c r="B469" s="87"/>
      <c r="C469" s="70" t="s">
        <v>1128</v>
      </c>
      <c r="D469" s="70"/>
      <c r="E469" s="17" t="s">
        <v>1200</v>
      </c>
    </row>
    <row r="470" spans="1:5">
      <c r="A470" s="97"/>
      <c r="B470" s="87"/>
      <c r="C470" s="70" t="s">
        <v>1129</v>
      </c>
      <c r="D470" s="70"/>
      <c r="E470" s="17" t="s">
        <v>1200</v>
      </c>
    </row>
    <row r="471" spans="1:5">
      <c r="A471" s="97"/>
      <c r="B471" s="87"/>
      <c r="C471" s="70" t="s">
        <v>1130</v>
      </c>
      <c r="D471" s="70"/>
      <c r="E471" s="17" t="s">
        <v>1200</v>
      </c>
    </row>
    <row r="472" spans="1:5">
      <c r="A472" s="97"/>
      <c r="B472" s="87"/>
      <c r="C472" s="70" t="s">
        <v>1131</v>
      </c>
      <c r="D472" s="70"/>
      <c r="E472" s="17" t="s">
        <v>1200</v>
      </c>
    </row>
    <row r="473" spans="1:5">
      <c r="A473" s="97"/>
      <c r="B473" s="87"/>
      <c r="C473" s="70" t="s">
        <v>1132</v>
      </c>
      <c r="D473" s="70"/>
      <c r="E473" s="17" t="s">
        <v>1200</v>
      </c>
    </row>
    <row r="474" spans="1:5">
      <c r="A474" s="97"/>
      <c r="B474" s="87"/>
      <c r="C474" s="70" t="s">
        <v>1133</v>
      </c>
      <c r="D474" s="70"/>
      <c r="E474" s="17" t="s">
        <v>1200</v>
      </c>
    </row>
    <row r="475" spans="1:5">
      <c r="A475" s="97"/>
      <c r="B475" s="87"/>
      <c r="C475" s="70" t="s">
        <v>1134</v>
      </c>
      <c r="D475" s="70"/>
      <c r="E475" s="17" t="s">
        <v>1200</v>
      </c>
    </row>
    <row r="476" spans="1:5">
      <c r="A476" s="97"/>
      <c r="B476" s="87"/>
      <c r="C476" s="70" t="s">
        <v>1135</v>
      </c>
      <c r="D476" s="70"/>
      <c r="E476" s="17" t="s">
        <v>1200</v>
      </c>
    </row>
    <row r="477" spans="1:5">
      <c r="A477" s="97"/>
      <c r="B477" s="87"/>
      <c r="C477" s="70" t="s">
        <v>1136</v>
      </c>
      <c r="D477" s="70"/>
      <c r="E477" s="17" t="s">
        <v>1200</v>
      </c>
    </row>
    <row r="478" spans="1:5">
      <c r="A478" s="97"/>
      <c r="B478" s="87"/>
      <c r="C478" s="70" t="s">
        <v>1137</v>
      </c>
      <c r="D478" s="70"/>
      <c r="E478" s="17" t="s">
        <v>1200</v>
      </c>
    </row>
    <row r="479" spans="1:5">
      <c r="A479" s="97"/>
      <c r="B479" s="87"/>
      <c r="C479" s="70" t="s">
        <v>1138</v>
      </c>
      <c r="D479" s="70"/>
      <c r="E479" s="17" t="s">
        <v>1200</v>
      </c>
    </row>
    <row r="480" spans="1:5">
      <c r="A480" s="97"/>
      <c r="B480" s="87"/>
      <c r="C480" s="70" t="s">
        <v>1139</v>
      </c>
      <c r="D480" s="70"/>
      <c r="E480" s="17" t="s">
        <v>1200</v>
      </c>
    </row>
    <row r="481" spans="1:5">
      <c r="A481" s="97"/>
      <c r="B481" s="87"/>
      <c r="C481" s="70" t="s">
        <v>1053</v>
      </c>
      <c r="D481" s="70"/>
      <c r="E481" s="17" t="s">
        <v>1200</v>
      </c>
    </row>
    <row r="482" spans="1:5">
      <c r="A482" s="97"/>
      <c r="B482" s="87"/>
      <c r="C482" s="70" t="s">
        <v>1054</v>
      </c>
      <c r="D482" s="70"/>
      <c r="E482" s="17" t="s">
        <v>1200</v>
      </c>
    </row>
    <row r="483" spans="1:5">
      <c r="A483" s="97"/>
      <c r="B483" s="87"/>
      <c r="C483" s="70" t="s">
        <v>1055</v>
      </c>
      <c r="D483" s="70"/>
      <c r="E483" s="17" t="s">
        <v>1200</v>
      </c>
    </row>
    <row r="484" spans="1:5">
      <c r="A484" s="97"/>
      <c r="B484" s="87"/>
      <c r="C484" s="70" t="s">
        <v>1056</v>
      </c>
      <c r="D484" s="70"/>
      <c r="E484" s="17" t="s">
        <v>1200</v>
      </c>
    </row>
    <row r="485" spans="1:5">
      <c r="A485" s="97"/>
      <c r="B485" s="87"/>
      <c r="C485" s="70" t="s">
        <v>1057</v>
      </c>
      <c r="D485" s="70"/>
      <c r="E485" s="17" t="s">
        <v>1200</v>
      </c>
    </row>
    <row r="486" spans="1:5">
      <c r="A486" s="97"/>
      <c r="B486" s="87"/>
      <c r="C486" s="70" t="s">
        <v>1058</v>
      </c>
      <c r="D486" s="70"/>
      <c r="E486" s="17" t="s">
        <v>1200</v>
      </c>
    </row>
    <row r="487" spans="1:5">
      <c r="A487" s="97"/>
      <c r="B487" s="87"/>
      <c r="C487" s="70" t="s">
        <v>1059</v>
      </c>
      <c r="D487" s="70"/>
      <c r="E487" s="17" t="s">
        <v>1200</v>
      </c>
    </row>
    <row r="488" spans="1:5">
      <c r="A488" s="97"/>
      <c r="B488" s="87"/>
      <c r="C488" s="70" t="s">
        <v>1060</v>
      </c>
      <c r="D488" s="70"/>
      <c r="E488" s="17" t="s">
        <v>1200</v>
      </c>
    </row>
    <row r="489" spans="1:5">
      <c r="A489" s="97"/>
      <c r="B489" s="87"/>
      <c r="C489" s="70" t="s">
        <v>102</v>
      </c>
      <c r="D489" s="70"/>
    </row>
    <row r="490" spans="1:5">
      <c r="A490" s="97"/>
      <c r="B490" s="87"/>
      <c r="C490" s="70" t="s">
        <v>780</v>
      </c>
      <c r="D490" s="70"/>
    </row>
    <row r="491" spans="1:5">
      <c r="A491" s="97"/>
      <c r="B491" s="87"/>
      <c r="C491" s="70" t="s">
        <v>776</v>
      </c>
      <c r="D491" s="70"/>
    </row>
    <row r="492" spans="1:5">
      <c r="A492" s="97"/>
      <c r="B492" s="87"/>
      <c r="C492" s="70" t="s">
        <v>777</v>
      </c>
      <c r="D492" s="70"/>
    </row>
    <row r="493" spans="1:5">
      <c r="A493" s="97"/>
      <c r="B493" s="87"/>
      <c r="C493" s="70" t="s">
        <v>778</v>
      </c>
      <c r="D493" s="70"/>
    </row>
    <row r="494" spans="1:5">
      <c r="A494" s="97"/>
      <c r="B494" s="87"/>
      <c r="C494" s="70" t="s">
        <v>775</v>
      </c>
      <c r="D494" s="70"/>
    </row>
    <row r="495" spans="1:5">
      <c r="A495" s="97"/>
      <c r="B495" s="87"/>
      <c r="C495" s="70" t="s">
        <v>781</v>
      </c>
      <c r="D495" s="70"/>
    </row>
    <row r="496" spans="1:5">
      <c r="A496" s="97"/>
      <c r="B496" s="87"/>
      <c r="C496" s="70" t="s">
        <v>782</v>
      </c>
      <c r="D496" s="70"/>
    </row>
    <row r="497" spans="1:4">
      <c r="A497" s="97"/>
      <c r="B497" s="87"/>
      <c r="C497" s="70" t="s">
        <v>779</v>
      </c>
      <c r="D497" s="70"/>
    </row>
    <row r="498" spans="1:4">
      <c r="A498" s="98"/>
      <c r="B498" s="88"/>
      <c r="C498" s="70" t="s">
        <v>130</v>
      </c>
      <c r="D498" s="70"/>
    </row>
    <row r="499" spans="1:4">
      <c r="A499" s="133"/>
      <c r="B499" s="138" t="s">
        <v>642</v>
      </c>
      <c r="C499" s="67" t="s">
        <v>156</v>
      </c>
      <c r="D499" s="67"/>
    </row>
    <row r="500" spans="1:4">
      <c r="A500" s="79"/>
      <c r="B500" s="138"/>
      <c r="C500" s="67" t="s">
        <v>681</v>
      </c>
      <c r="D500" s="67"/>
    </row>
    <row r="501" spans="1:4">
      <c r="A501" s="79"/>
      <c r="B501" s="138"/>
      <c r="C501" s="67" t="s">
        <v>680</v>
      </c>
      <c r="D501" s="67"/>
    </row>
    <row r="502" spans="1:4">
      <c r="A502" s="79"/>
      <c r="B502" s="138"/>
      <c r="C502" s="67" t="s">
        <v>379</v>
      </c>
      <c r="D502" s="67"/>
    </row>
    <row r="503" spans="1:4">
      <c r="A503" s="79"/>
      <c r="B503" s="138"/>
      <c r="C503" s="67" t="s">
        <v>380</v>
      </c>
      <c r="D503" s="67"/>
    </row>
    <row r="504" spans="1:4">
      <c r="A504" s="79"/>
      <c r="B504" s="138"/>
      <c r="C504" s="67" t="s">
        <v>79</v>
      </c>
      <c r="D504" s="67"/>
    </row>
    <row r="505" spans="1:4">
      <c r="A505" s="79"/>
      <c r="B505" s="138"/>
      <c r="C505" s="67" t="s">
        <v>381</v>
      </c>
      <c r="D505" s="67"/>
    </row>
    <row r="506" spans="1:4">
      <c r="A506" s="79"/>
      <c r="B506" s="138"/>
      <c r="C506" s="67" t="s">
        <v>72</v>
      </c>
      <c r="D506" s="67"/>
    </row>
    <row r="507" spans="1:4">
      <c r="A507" s="79"/>
      <c r="B507" s="138"/>
      <c r="C507" s="67" t="s">
        <v>97</v>
      </c>
      <c r="D507" s="67"/>
    </row>
    <row r="508" spans="1:4">
      <c r="A508" s="79"/>
      <c r="B508" s="138"/>
      <c r="C508" s="67" t="s">
        <v>98</v>
      </c>
      <c r="D508" s="67"/>
    </row>
    <row r="509" spans="1:4">
      <c r="A509" s="79"/>
      <c r="B509" s="138"/>
      <c r="C509" s="67" t="s">
        <v>377</v>
      </c>
      <c r="D509" s="67"/>
    </row>
    <row r="510" spans="1:4">
      <c r="A510" s="79"/>
      <c r="B510" s="138"/>
      <c r="C510" s="67" t="s">
        <v>378</v>
      </c>
      <c r="D510" s="67"/>
    </row>
    <row r="511" spans="1:4">
      <c r="A511" s="79"/>
      <c r="B511" s="138"/>
      <c r="C511" s="67" t="s">
        <v>382</v>
      </c>
      <c r="D511" s="67"/>
    </row>
    <row r="512" spans="1:4">
      <c r="A512" s="79"/>
      <c r="B512" s="138"/>
      <c r="C512" s="67" t="s">
        <v>163</v>
      </c>
      <c r="D512" s="67"/>
    </row>
    <row r="513" spans="1:4">
      <c r="A513" s="79"/>
      <c r="B513" s="138"/>
      <c r="C513" s="67" t="s">
        <v>102</v>
      </c>
      <c r="D513" s="67"/>
    </row>
    <row r="514" spans="1:4">
      <c r="A514" s="97"/>
      <c r="B514" s="83" t="s">
        <v>639</v>
      </c>
      <c r="C514" s="70" t="s">
        <v>55</v>
      </c>
      <c r="D514" s="70"/>
    </row>
    <row r="515" spans="1:4">
      <c r="A515" s="98"/>
      <c r="B515" s="85"/>
      <c r="C515" s="70" t="s">
        <v>62</v>
      </c>
      <c r="D515" s="70"/>
    </row>
    <row r="516" spans="1:4">
      <c r="A516" s="79"/>
      <c r="B516" s="138" t="s">
        <v>282</v>
      </c>
      <c r="C516" s="67" t="s">
        <v>283</v>
      </c>
      <c r="D516" s="67"/>
    </row>
    <row r="517" spans="1:4">
      <c r="A517" s="79"/>
      <c r="B517" s="138"/>
      <c r="C517" s="67" t="s">
        <v>229</v>
      </c>
      <c r="D517" s="67"/>
    </row>
    <row r="518" spans="1:4">
      <c r="A518" s="79"/>
      <c r="B518" s="138"/>
      <c r="C518" s="67" t="s">
        <v>230</v>
      </c>
      <c r="D518" s="67"/>
    </row>
    <row r="519" spans="1:4">
      <c r="A519" s="79"/>
      <c r="B519" s="138"/>
      <c r="C519" s="67" t="s">
        <v>231</v>
      </c>
      <c r="D519" s="67"/>
    </row>
    <row r="520" spans="1:4">
      <c r="A520" s="136"/>
      <c r="B520" s="83" t="s">
        <v>20</v>
      </c>
      <c r="C520" s="70" t="s">
        <v>610</v>
      </c>
      <c r="D520" s="70"/>
    </row>
    <row r="521" spans="1:4">
      <c r="A521" s="95"/>
      <c r="B521" s="84"/>
      <c r="C521" s="70" t="s">
        <v>611</v>
      </c>
      <c r="D521" s="70"/>
    </row>
    <row r="522" spans="1:4">
      <c r="A522" s="95"/>
      <c r="B522" s="84"/>
      <c r="C522" s="70" t="s">
        <v>427</v>
      </c>
      <c r="D522" s="70"/>
    </row>
    <row r="523" spans="1:4">
      <c r="A523" s="95"/>
      <c r="B523" s="84"/>
      <c r="C523" s="70" t="s">
        <v>428</v>
      </c>
      <c r="D523" s="70"/>
    </row>
    <row r="524" spans="1:4">
      <c r="A524" s="95"/>
      <c r="B524" s="84"/>
      <c r="C524" s="70" t="s">
        <v>91</v>
      </c>
      <c r="D524" s="70"/>
    </row>
    <row r="525" spans="1:4">
      <c r="A525" s="95"/>
      <c r="B525" s="84"/>
      <c r="C525" s="70" t="s">
        <v>80</v>
      </c>
      <c r="D525" s="70"/>
    </row>
    <row r="526" spans="1:4">
      <c r="A526" s="95"/>
      <c r="B526" s="84"/>
      <c r="C526" s="70" t="s">
        <v>108</v>
      </c>
      <c r="D526" s="70"/>
    </row>
    <row r="527" spans="1:4">
      <c r="A527" s="95"/>
      <c r="B527" s="84"/>
      <c r="C527" s="70" t="s">
        <v>612</v>
      </c>
      <c r="D527" s="70"/>
    </row>
    <row r="528" spans="1:4">
      <c r="A528" s="95"/>
      <c r="B528" s="84"/>
      <c r="C528" s="70" t="s">
        <v>465</v>
      </c>
      <c r="D528" s="70"/>
    </row>
    <row r="529" spans="1:4">
      <c r="A529" s="95"/>
      <c r="B529" s="84"/>
      <c r="C529" s="70" t="s">
        <v>98</v>
      </c>
      <c r="D529" s="70"/>
    </row>
    <row r="530" spans="1:4">
      <c r="B530" s="84"/>
      <c r="C530" s="70" t="s">
        <v>425</v>
      </c>
      <c r="D530" s="70"/>
    </row>
    <row r="531" spans="1:4">
      <c r="A531" s="95"/>
      <c r="B531" s="84"/>
      <c r="C531" s="70" t="s">
        <v>630</v>
      </c>
      <c r="D531" s="70" t="s">
        <v>936</v>
      </c>
    </row>
    <row r="532" spans="1:4">
      <c r="A532" s="95"/>
      <c r="B532" s="84"/>
      <c r="C532" s="70" t="s">
        <v>631</v>
      </c>
      <c r="D532" s="70" t="s">
        <v>936</v>
      </c>
    </row>
    <row r="533" spans="1:4">
      <c r="A533" s="95"/>
      <c r="B533" s="84"/>
      <c r="C533" s="70" t="s">
        <v>632</v>
      </c>
      <c r="D533" s="70" t="s">
        <v>936</v>
      </c>
    </row>
    <row r="534" spans="1:4">
      <c r="A534" s="95"/>
      <c r="B534" s="84"/>
      <c r="C534" s="70" t="s">
        <v>58</v>
      </c>
      <c r="D534" s="70"/>
    </row>
    <row r="535" spans="1:4">
      <c r="A535" s="95"/>
      <c r="B535" s="84"/>
      <c r="C535" s="70" t="s">
        <v>103</v>
      </c>
      <c r="D535" s="70"/>
    </row>
    <row r="536" spans="1:4">
      <c r="A536" s="95"/>
      <c r="B536" s="84"/>
      <c r="C536" s="70" t="s">
        <v>45</v>
      </c>
      <c r="D536" s="70"/>
    </row>
    <row r="537" spans="1:4">
      <c r="A537" s="95"/>
      <c r="B537" s="84"/>
      <c r="C537" s="70" t="s">
        <v>426</v>
      </c>
      <c r="D537" s="70"/>
    </row>
    <row r="538" spans="1:4">
      <c r="A538" s="95"/>
      <c r="B538" s="84"/>
      <c r="C538" s="70" t="s">
        <v>760</v>
      </c>
      <c r="D538" s="70"/>
    </row>
    <row r="539" spans="1:4">
      <c r="A539" s="95"/>
      <c r="B539" s="84"/>
      <c r="C539" s="70" t="s">
        <v>86</v>
      </c>
      <c r="D539" s="70"/>
    </row>
    <row r="540" spans="1:4">
      <c r="A540" s="95"/>
      <c r="B540" s="84"/>
      <c r="C540" s="70" t="s">
        <v>693</v>
      </c>
      <c r="D540" s="70"/>
    </row>
    <row r="541" spans="1:4">
      <c r="A541" s="95"/>
      <c r="B541" s="84"/>
      <c r="C541" s="70" t="s">
        <v>759</v>
      </c>
      <c r="D541" s="70"/>
    </row>
    <row r="542" spans="1:4">
      <c r="A542" s="95"/>
      <c r="B542" s="84"/>
      <c r="C542" s="70" t="s">
        <v>163</v>
      </c>
      <c r="D542" s="70"/>
    </row>
    <row r="543" spans="1:4">
      <c r="A543" s="95"/>
      <c r="B543" s="84"/>
      <c r="C543" s="70" t="s">
        <v>102</v>
      </c>
      <c r="D543" s="71"/>
    </row>
    <row r="544" spans="1:4">
      <c r="A544" s="101"/>
      <c r="B544" s="72" t="s">
        <v>866</v>
      </c>
      <c r="C544" s="67" t="s">
        <v>55</v>
      </c>
      <c r="D544" s="67"/>
    </row>
    <row r="545" spans="1:4">
      <c r="A545" s="102"/>
      <c r="B545" s="137"/>
      <c r="C545" s="67" t="s">
        <v>62</v>
      </c>
      <c r="D545" s="67"/>
    </row>
    <row r="546" spans="1:4">
      <c r="A546" s="95"/>
      <c r="B546" s="83" t="s">
        <v>420</v>
      </c>
      <c r="C546" s="70" t="s">
        <v>444</v>
      </c>
      <c r="D546" s="70"/>
    </row>
    <row r="547" spans="1:4">
      <c r="A547" s="95"/>
      <c r="B547" s="84"/>
      <c r="C547" s="70" t="s">
        <v>439</v>
      </c>
      <c r="D547" s="70"/>
    </row>
    <row r="548" spans="1:4">
      <c r="A548" s="95"/>
      <c r="B548" s="84"/>
      <c r="C548" s="70" t="s">
        <v>423</v>
      </c>
      <c r="D548" s="70"/>
    </row>
    <row r="549" spans="1:4">
      <c r="A549" s="95"/>
      <c r="B549" s="84"/>
      <c r="C549" s="70" t="s">
        <v>422</v>
      </c>
      <c r="D549" s="70"/>
    </row>
    <row r="550" spans="1:4">
      <c r="A550" s="95"/>
      <c r="B550" s="84"/>
      <c r="C550" s="70" t="s">
        <v>424</v>
      </c>
      <c r="D550" s="70"/>
    </row>
    <row r="551" spans="1:4">
      <c r="A551" s="101"/>
      <c r="B551" s="72" t="s">
        <v>690</v>
      </c>
      <c r="C551" s="67" t="s">
        <v>55</v>
      </c>
      <c r="D551" s="67"/>
    </row>
    <row r="552" spans="1:4">
      <c r="A552" s="102"/>
      <c r="B552" s="137"/>
      <c r="C552" s="67" t="s">
        <v>62</v>
      </c>
      <c r="D552" s="67"/>
    </row>
    <row r="553" spans="1:4">
      <c r="A553" s="80"/>
      <c r="B553" s="83" t="s">
        <v>833</v>
      </c>
      <c r="C553" s="70" t="s">
        <v>834</v>
      </c>
      <c r="D553" s="70"/>
    </row>
    <row r="554" spans="1:4">
      <c r="A554" s="81"/>
      <c r="B554" s="81"/>
      <c r="C554" s="70" t="s">
        <v>835</v>
      </c>
      <c r="D554" s="70"/>
    </row>
    <row r="555" spans="1:4">
      <c r="A555" s="81"/>
      <c r="B555" s="81"/>
      <c r="C555" s="70" t="s">
        <v>836</v>
      </c>
      <c r="D555" s="70"/>
    </row>
    <row r="556" spans="1:4">
      <c r="A556" s="81"/>
      <c r="B556" s="81"/>
      <c r="C556" s="70" t="s">
        <v>837</v>
      </c>
      <c r="D556" s="70"/>
    </row>
    <row r="557" spans="1:4">
      <c r="A557" s="81"/>
      <c r="B557" s="81"/>
      <c r="C557" s="70" t="s">
        <v>838</v>
      </c>
      <c r="D557" s="70"/>
    </row>
    <row r="558" spans="1:4">
      <c r="A558" s="81"/>
      <c r="B558" s="81"/>
      <c r="C558" s="70" t="s">
        <v>839</v>
      </c>
      <c r="D558" s="70"/>
    </row>
    <row r="559" spans="1:4">
      <c r="A559" s="81"/>
      <c r="B559" s="81"/>
      <c r="C559" s="70" t="s">
        <v>840</v>
      </c>
      <c r="D559" s="70"/>
    </row>
    <row r="560" spans="1:4">
      <c r="A560" s="81"/>
      <c r="B560" s="81"/>
      <c r="C560" s="70" t="s">
        <v>841</v>
      </c>
      <c r="D560" s="70"/>
    </row>
    <row r="561" spans="1:4">
      <c r="A561" s="81"/>
      <c r="B561" s="81"/>
      <c r="C561" s="70" t="s">
        <v>842</v>
      </c>
      <c r="D561" s="70"/>
    </row>
    <row r="562" spans="1:4">
      <c r="A562" s="81"/>
      <c r="B562" s="81"/>
      <c r="C562" s="70" t="s">
        <v>843</v>
      </c>
      <c r="D562" s="70"/>
    </row>
    <row r="563" spans="1:4">
      <c r="A563" s="81"/>
      <c r="B563" s="81"/>
      <c r="C563" s="70" t="s">
        <v>844</v>
      </c>
      <c r="D563" s="70"/>
    </row>
    <row r="564" spans="1:4">
      <c r="A564" s="81"/>
      <c r="B564" s="81"/>
      <c r="C564" s="70" t="s">
        <v>845</v>
      </c>
      <c r="D564" s="70"/>
    </row>
    <row r="565" spans="1:4">
      <c r="A565" s="81"/>
      <c r="B565" s="81"/>
      <c r="C565" s="70" t="s">
        <v>846</v>
      </c>
      <c r="D565" s="70"/>
    </row>
    <row r="566" spans="1:4">
      <c r="A566" s="81"/>
      <c r="B566" s="81"/>
      <c r="C566" s="70" t="s">
        <v>847</v>
      </c>
      <c r="D566" s="70"/>
    </row>
    <row r="567" spans="1:4">
      <c r="A567" s="81"/>
      <c r="B567" s="81"/>
      <c r="C567" s="70" t="s">
        <v>848</v>
      </c>
      <c r="D567" s="70"/>
    </row>
    <row r="568" spans="1:4">
      <c r="A568" s="81"/>
      <c r="B568" s="81"/>
      <c r="C568" s="70" t="s">
        <v>849</v>
      </c>
      <c r="D568" s="70"/>
    </row>
    <row r="569" spans="1:4">
      <c r="A569" s="81"/>
      <c r="B569" s="81"/>
      <c r="C569" s="70" t="s">
        <v>850</v>
      </c>
      <c r="D569" s="70"/>
    </row>
    <row r="570" spans="1:4">
      <c r="A570" s="81"/>
      <c r="B570" s="81"/>
      <c r="C570" s="70" t="s">
        <v>851</v>
      </c>
      <c r="D570" s="70"/>
    </row>
    <row r="571" spans="1:4">
      <c r="A571" s="81"/>
      <c r="B571" s="81"/>
      <c r="C571" s="70" t="s">
        <v>852</v>
      </c>
      <c r="D571" s="70"/>
    </row>
    <row r="572" spans="1:4">
      <c r="A572" s="81"/>
      <c r="B572" s="81"/>
      <c r="C572" s="70" t="s">
        <v>853</v>
      </c>
      <c r="D572" s="70"/>
    </row>
    <row r="573" spans="1:4">
      <c r="A573" s="81"/>
      <c r="B573" s="81"/>
      <c r="C573" s="70" t="s">
        <v>854</v>
      </c>
      <c r="D573" s="70"/>
    </row>
    <row r="574" spans="1:4">
      <c r="A574" s="81"/>
      <c r="B574" s="81"/>
      <c r="C574" s="70" t="s">
        <v>855</v>
      </c>
      <c r="D574" s="70"/>
    </row>
    <row r="575" spans="1:4">
      <c r="A575" s="81"/>
      <c r="B575" s="81"/>
      <c r="C575" s="70" t="s">
        <v>856</v>
      </c>
      <c r="D575" s="70"/>
    </row>
    <row r="576" spans="1:4">
      <c r="A576" s="81"/>
      <c r="B576" s="81"/>
      <c r="C576" s="70" t="s">
        <v>857</v>
      </c>
      <c r="D576" s="70"/>
    </row>
    <row r="577" spans="1:5">
      <c r="A577" s="81"/>
      <c r="B577" s="81"/>
      <c r="C577" s="70" t="s">
        <v>858</v>
      </c>
      <c r="D577" s="70"/>
    </row>
    <row r="578" spans="1:5">
      <c r="A578" s="81"/>
      <c r="B578" s="81"/>
      <c r="C578" s="70" t="s">
        <v>859</v>
      </c>
      <c r="D578" s="70"/>
    </row>
    <row r="579" spans="1:5">
      <c r="A579" s="81"/>
      <c r="B579" s="81"/>
      <c r="C579" s="70" t="s">
        <v>860</v>
      </c>
      <c r="D579" s="70"/>
    </row>
    <row r="580" spans="1:5">
      <c r="A580" s="81"/>
      <c r="B580" s="81"/>
      <c r="C580" s="70" t="s">
        <v>1202</v>
      </c>
      <c r="D580" s="70"/>
      <c r="E580" s="17" t="s">
        <v>1200</v>
      </c>
    </row>
    <row r="581" spans="1:5">
      <c r="A581" s="81"/>
      <c r="B581" s="81"/>
      <c r="C581" s="70" t="s">
        <v>1203</v>
      </c>
      <c r="D581" s="70"/>
      <c r="E581" s="17" t="s">
        <v>1200</v>
      </c>
    </row>
    <row r="582" spans="1:5">
      <c r="A582" s="81"/>
      <c r="B582" s="81"/>
      <c r="C582" s="70" t="s">
        <v>867</v>
      </c>
      <c r="D582" s="70"/>
    </row>
    <row r="583" spans="1:5">
      <c r="A583" s="81"/>
      <c r="B583" s="81"/>
      <c r="C583" s="70" t="s">
        <v>868</v>
      </c>
      <c r="D583" s="70"/>
    </row>
    <row r="584" spans="1:5">
      <c r="A584" s="81"/>
      <c r="B584" s="81"/>
      <c r="C584" s="70" t="s">
        <v>869</v>
      </c>
      <c r="D584" s="70"/>
    </row>
    <row r="585" spans="1:5">
      <c r="A585" s="81"/>
      <c r="B585" s="81"/>
      <c r="C585" s="70" t="s">
        <v>870</v>
      </c>
      <c r="D585" s="70"/>
    </row>
    <row r="586" spans="1:5">
      <c r="A586" s="81"/>
      <c r="B586" s="81"/>
      <c r="C586" s="70" t="s">
        <v>871</v>
      </c>
      <c r="D586" s="70"/>
    </row>
    <row r="587" spans="1:5">
      <c r="A587" s="81"/>
      <c r="B587" s="81"/>
      <c r="C587" s="70" t="s">
        <v>861</v>
      </c>
      <c r="D587" s="70"/>
    </row>
    <row r="588" spans="1:5">
      <c r="A588" s="81"/>
      <c r="B588" s="81"/>
      <c r="C588" s="70" t="s">
        <v>862</v>
      </c>
      <c r="D588" s="70"/>
    </row>
    <row r="589" spans="1:5">
      <c r="A589" s="81"/>
      <c r="B589" s="81"/>
      <c r="C589" s="70" t="s">
        <v>863</v>
      </c>
      <c r="D589" s="70"/>
    </row>
    <row r="590" spans="1:5">
      <c r="A590" s="81"/>
      <c r="B590" s="81"/>
      <c r="C590" s="70" t="s">
        <v>864</v>
      </c>
      <c r="D590" s="70"/>
    </row>
    <row r="591" spans="1:5">
      <c r="A591" s="82"/>
      <c r="B591" s="82"/>
      <c r="C591" s="70" t="s">
        <v>865</v>
      </c>
      <c r="D591" s="70"/>
    </row>
    <row r="592" spans="1:5">
      <c r="A592" s="79"/>
      <c r="B592" s="138" t="s">
        <v>440</v>
      </c>
      <c r="C592" s="67" t="s">
        <v>441</v>
      </c>
      <c r="D592" s="67"/>
    </row>
    <row r="593" spans="1:5">
      <c r="A593" s="79"/>
      <c r="B593" s="138"/>
      <c r="C593" s="67" t="s">
        <v>442</v>
      </c>
      <c r="D593" s="67"/>
    </row>
    <row r="594" spans="1:5">
      <c r="A594" s="79"/>
      <c r="B594" s="138"/>
      <c r="C594" s="67" t="s">
        <v>102</v>
      </c>
      <c r="D594" s="67"/>
    </row>
    <row r="595" spans="1:5">
      <c r="A595" s="83"/>
      <c r="B595" s="89" t="s">
        <v>685</v>
      </c>
      <c r="C595" s="70" t="s">
        <v>55</v>
      </c>
      <c r="D595" s="70"/>
      <c r="E595" s="145"/>
    </row>
    <row r="596" spans="1:5">
      <c r="A596" s="139"/>
      <c r="B596" s="141"/>
      <c r="C596" s="140" t="s">
        <v>62</v>
      </c>
      <c r="D596" s="70"/>
    </row>
    <row r="597" spans="1:5">
      <c r="A597" s="133"/>
      <c r="B597" s="133" t="s">
        <v>289</v>
      </c>
      <c r="C597" s="67" t="s">
        <v>273</v>
      </c>
      <c r="D597" s="67"/>
    </row>
    <row r="598" spans="1:5">
      <c r="A598" s="79"/>
      <c r="B598" s="79"/>
      <c r="C598" s="67" t="s">
        <v>445</v>
      </c>
      <c r="D598" s="67"/>
    </row>
    <row r="599" spans="1:5">
      <c r="A599" s="79"/>
      <c r="B599" s="79"/>
      <c r="C599" s="67" t="s">
        <v>271</v>
      </c>
      <c r="D599" s="67"/>
    </row>
    <row r="600" spans="1:5">
      <c r="A600" s="79"/>
      <c r="B600" s="79"/>
      <c r="C600" s="67" t="s">
        <v>272</v>
      </c>
      <c r="D600" s="67"/>
    </row>
    <row r="601" spans="1:5">
      <c r="A601" s="79"/>
      <c r="B601" s="79"/>
      <c r="C601" s="67" t="s">
        <v>383</v>
      </c>
      <c r="D601" s="67"/>
    </row>
    <row r="602" spans="1:5">
      <c r="A602" s="79"/>
      <c r="B602" s="79"/>
      <c r="C602" s="67" t="s">
        <v>384</v>
      </c>
      <c r="D602" s="67"/>
    </row>
    <row r="603" spans="1:5">
      <c r="A603" s="79"/>
      <c r="B603" s="79"/>
      <c r="C603" s="67" t="s">
        <v>385</v>
      </c>
      <c r="D603" s="67"/>
    </row>
    <row r="604" spans="1:5">
      <c r="A604" s="79"/>
      <c r="B604" s="79"/>
      <c r="C604" s="67" t="s">
        <v>386</v>
      </c>
      <c r="D604" s="67"/>
    </row>
    <row r="605" spans="1:5">
      <c r="A605" s="79"/>
      <c r="B605" s="79"/>
      <c r="C605" s="67" t="s">
        <v>274</v>
      </c>
      <c r="D605" s="67"/>
    </row>
    <row r="606" spans="1:5">
      <c r="A606" s="79"/>
      <c r="B606" s="79"/>
      <c r="C606" s="67" t="s">
        <v>387</v>
      </c>
      <c r="D606" s="67"/>
    </row>
    <row r="607" spans="1:5">
      <c r="A607" s="79"/>
      <c r="B607" s="79"/>
      <c r="C607" s="67" t="s">
        <v>388</v>
      </c>
      <c r="D607" s="67"/>
    </row>
    <row r="608" spans="1:5">
      <c r="A608" s="79"/>
      <c r="B608" s="79"/>
      <c r="C608" s="67" t="s">
        <v>389</v>
      </c>
      <c r="D608" s="67"/>
    </row>
    <row r="609" spans="1:5">
      <c r="A609" s="79"/>
      <c r="B609" s="79"/>
      <c r="C609" s="67" t="s">
        <v>390</v>
      </c>
      <c r="D609" s="67"/>
    </row>
    <row r="610" spans="1:5">
      <c r="A610" s="79"/>
      <c r="B610" s="79"/>
      <c r="C610" s="67" t="s">
        <v>391</v>
      </c>
      <c r="D610" s="67"/>
    </row>
    <row r="611" spans="1:5">
      <c r="A611" s="79"/>
      <c r="B611" s="79"/>
      <c r="C611" s="67" t="s">
        <v>275</v>
      </c>
      <c r="D611" s="67"/>
    </row>
    <row r="612" spans="1:5">
      <c r="A612" s="79"/>
      <c r="B612" s="79"/>
      <c r="C612" s="67" t="s">
        <v>392</v>
      </c>
      <c r="D612" s="67"/>
    </row>
    <row r="613" spans="1:5">
      <c r="A613" s="79"/>
      <c r="B613" s="79"/>
      <c r="C613" s="67" t="s">
        <v>276</v>
      </c>
      <c r="D613" s="67"/>
    </row>
    <row r="614" spans="1:5">
      <c r="A614" s="79"/>
      <c r="B614" s="79"/>
      <c r="C614" s="67" t="s">
        <v>277</v>
      </c>
      <c r="D614" s="67"/>
    </row>
    <row r="615" spans="1:5">
      <c r="A615" s="79"/>
      <c r="B615" s="79"/>
      <c r="C615" s="67" t="s">
        <v>393</v>
      </c>
      <c r="D615" s="67"/>
    </row>
    <row r="616" spans="1:5">
      <c r="A616" s="79"/>
      <c r="B616" s="79"/>
      <c r="C616" s="67" t="s">
        <v>394</v>
      </c>
      <c r="D616" s="67"/>
    </row>
    <row r="617" spans="1:5">
      <c r="A617" s="79"/>
      <c r="B617" s="79"/>
      <c r="C617" s="67" t="s">
        <v>395</v>
      </c>
      <c r="D617" s="67"/>
    </row>
    <row r="618" spans="1:5">
      <c r="A618" s="79"/>
      <c r="B618" s="79"/>
      <c r="C618" s="67" t="s">
        <v>278</v>
      </c>
      <c r="D618" s="67"/>
    </row>
    <row r="619" spans="1:5">
      <c r="A619" s="79"/>
      <c r="B619" s="79"/>
      <c r="C619" s="67" t="s">
        <v>279</v>
      </c>
      <c r="D619" s="67"/>
    </row>
    <row r="620" spans="1:5">
      <c r="A620" s="79"/>
      <c r="B620" s="79"/>
      <c r="C620" s="67" t="s">
        <v>130</v>
      </c>
      <c r="D620" s="67"/>
    </row>
    <row r="621" spans="1:5">
      <c r="A621" s="79"/>
      <c r="B621" s="79"/>
      <c r="C621" s="67" t="s">
        <v>1162</v>
      </c>
      <c r="D621" s="67"/>
      <c r="E621" s="17" t="s">
        <v>1200</v>
      </c>
    </row>
    <row r="622" spans="1:5">
      <c r="A622" s="83"/>
      <c r="B622" s="83" t="s">
        <v>24</v>
      </c>
      <c r="C622" s="70" t="s">
        <v>446</v>
      </c>
      <c r="D622" s="70"/>
    </row>
    <row r="623" spans="1:5">
      <c r="A623" s="84"/>
      <c r="B623" s="84"/>
      <c r="C623" s="70" t="s">
        <v>112</v>
      </c>
      <c r="D623" s="70"/>
    </row>
    <row r="624" spans="1:5">
      <c r="A624" s="84"/>
      <c r="B624" s="84"/>
      <c r="C624" s="70" t="s">
        <v>105</v>
      </c>
      <c r="D624" s="70"/>
    </row>
    <row r="625" spans="1:5">
      <c r="A625" s="84"/>
      <c r="B625" s="84"/>
      <c r="C625" s="70" t="s">
        <v>87</v>
      </c>
      <c r="D625" s="70"/>
    </row>
    <row r="626" spans="1:5">
      <c r="A626" s="84"/>
      <c r="B626" s="84"/>
      <c r="C626" s="70" t="s">
        <v>1181</v>
      </c>
      <c r="D626" s="70"/>
      <c r="E626" s="17" t="s">
        <v>1200</v>
      </c>
    </row>
    <row r="627" spans="1:5">
      <c r="A627" s="84"/>
      <c r="B627" s="84"/>
      <c r="C627" s="70" t="s">
        <v>60</v>
      </c>
      <c r="D627" s="70"/>
    </row>
    <row r="628" spans="1:5">
      <c r="A628" s="84"/>
      <c r="B628" s="84"/>
      <c r="C628" s="70" t="s">
        <v>93</v>
      </c>
      <c r="D628" s="70"/>
    </row>
    <row r="629" spans="1:5">
      <c r="A629" s="84"/>
      <c r="B629" s="84"/>
      <c r="C629" s="70" t="s">
        <v>75</v>
      </c>
      <c r="D629" s="70"/>
    </row>
    <row r="630" spans="1:5">
      <c r="A630" s="84"/>
      <c r="B630" s="84"/>
      <c r="C630" s="70" t="s">
        <v>68</v>
      </c>
      <c r="D630" s="70"/>
    </row>
    <row r="631" spans="1:5">
      <c r="A631" s="84"/>
      <c r="B631" s="84"/>
      <c r="C631" s="70" t="s">
        <v>82</v>
      </c>
      <c r="D631" s="70"/>
    </row>
    <row r="632" spans="1:5">
      <c r="A632" s="84"/>
      <c r="B632" s="84"/>
      <c r="C632" s="70" t="s">
        <v>397</v>
      </c>
      <c r="D632" s="70"/>
    </row>
    <row r="633" spans="1:5">
      <c r="A633" s="85"/>
      <c r="B633" s="85"/>
      <c r="C633" s="70" t="s">
        <v>102</v>
      </c>
      <c r="D633" s="70"/>
    </row>
    <row r="634" spans="1:5">
      <c r="A634" s="79"/>
      <c r="B634" s="138" t="s">
        <v>286</v>
      </c>
      <c r="C634" s="67" t="s">
        <v>616</v>
      </c>
      <c r="D634" s="67" t="s">
        <v>1180</v>
      </c>
    </row>
    <row r="635" spans="1:5">
      <c r="A635" s="79"/>
      <c r="B635" s="138"/>
      <c r="C635" s="67" t="s">
        <v>294</v>
      </c>
      <c r="D635" s="67" t="s">
        <v>336</v>
      </c>
    </row>
    <row r="636" spans="1:5">
      <c r="A636" s="79"/>
      <c r="B636" s="138"/>
      <c r="C636" s="67" t="s">
        <v>295</v>
      </c>
      <c r="D636" s="67" t="s">
        <v>337</v>
      </c>
    </row>
    <row r="637" spans="1:5">
      <c r="A637" s="79"/>
      <c r="B637" s="138"/>
      <c r="C637" s="67" t="s">
        <v>296</v>
      </c>
      <c r="D637" s="67" t="s">
        <v>338</v>
      </c>
    </row>
    <row r="638" spans="1:5">
      <c r="A638" s="79"/>
      <c r="B638" s="138"/>
      <c r="C638" s="67" t="s">
        <v>284</v>
      </c>
      <c r="D638" s="67" t="s">
        <v>292</v>
      </c>
    </row>
    <row r="639" spans="1:5">
      <c r="A639" s="79"/>
      <c r="B639" s="138"/>
      <c r="C639" s="67" t="s">
        <v>285</v>
      </c>
      <c r="D639" s="67" t="s">
        <v>293</v>
      </c>
    </row>
    <row r="640" spans="1:5">
      <c r="A640" s="79"/>
      <c r="B640" s="138"/>
      <c r="C640" s="67" t="s">
        <v>617</v>
      </c>
      <c r="D640" s="67" t="s">
        <v>618</v>
      </c>
    </row>
    <row r="641" spans="1:4">
      <c r="A641" s="79"/>
      <c r="B641" s="138"/>
      <c r="C641" s="67" t="s">
        <v>287</v>
      </c>
      <c r="D641" s="67" t="s">
        <v>287</v>
      </c>
    </row>
    <row r="642" spans="1:4">
      <c r="A642" s="79"/>
      <c r="B642" s="138"/>
      <c r="C642" s="67" t="s">
        <v>102</v>
      </c>
      <c r="D642" s="67"/>
    </row>
    <row r="643" spans="1:4">
      <c r="A643" s="86"/>
      <c r="B643" s="86" t="s">
        <v>288</v>
      </c>
      <c r="C643" s="70" t="s">
        <v>447</v>
      </c>
      <c r="D643" s="70" t="s">
        <v>448</v>
      </c>
    </row>
    <row r="644" spans="1:4">
      <c r="A644" s="87"/>
      <c r="B644" s="87"/>
      <c r="C644" s="70" t="s">
        <v>450</v>
      </c>
      <c r="D644" s="70" t="s">
        <v>449</v>
      </c>
    </row>
    <row r="645" spans="1:4">
      <c r="A645" s="87"/>
      <c r="B645" s="87"/>
      <c r="C645" s="70" t="s">
        <v>452</v>
      </c>
      <c r="D645" s="70" t="s">
        <v>451</v>
      </c>
    </row>
    <row r="646" spans="1:4">
      <c r="A646" s="87"/>
      <c r="B646" s="87"/>
      <c r="C646" s="70" t="s">
        <v>454</v>
      </c>
      <c r="D646" s="70" t="s">
        <v>453</v>
      </c>
    </row>
    <row r="647" spans="1:4">
      <c r="A647" s="87"/>
      <c r="B647" s="87"/>
      <c r="C647" s="70" t="s">
        <v>958</v>
      </c>
      <c r="D647" s="70"/>
    </row>
    <row r="648" spans="1:4">
      <c r="A648" s="88"/>
      <c r="B648" s="88"/>
      <c r="C648" s="70" t="s">
        <v>102</v>
      </c>
      <c r="D648" s="70"/>
    </row>
    <row r="649" spans="1:4">
      <c r="A649" s="79"/>
      <c r="B649" s="138" t="s">
        <v>933</v>
      </c>
      <c r="C649" s="67" t="s">
        <v>302</v>
      </c>
      <c r="D649" s="67"/>
    </row>
    <row r="650" spans="1:4">
      <c r="A650" s="79"/>
      <c r="B650" s="138"/>
      <c r="C650" s="67" t="s">
        <v>303</v>
      </c>
      <c r="D650" s="67"/>
    </row>
    <row r="651" spans="1:4">
      <c r="A651" s="79"/>
      <c r="B651" s="138"/>
      <c r="C651" s="67" t="s">
        <v>791</v>
      </c>
      <c r="D651" s="67"/>
    </row>
    <row r="652" spans="1:4">
      <c r="A652" s="79"/>
      <c r="B652" s="138"/>
      <c r="C652" s="67" t="s">
        <v>301</v>
      </c>
      <c r="D652" s="67"/>
    </row>
    <row r="653" spans="1:4">
      <c r="A653" s="79"/>
      <c r="B653" s="138"/>
      <c r="C653" s="67" t="s">
        <v>102</v>
      </c>
      <c r="D653" s="67"/>
    </row>
    <row r="654" spans="1:4">
      <c r="A654" s="86"/>
      <c r="B654" s="86" t="s">
        <v>372</v>
      </c>
      <c r="C654" s="70" t="s">
        <v>304</v>
      </c>
      <c r="D654" s="70"/>
    </row>
    <row r="655" spans="1:4">
      <c r="A655" s="87"/>
      <c r="B655" s="87"/>
      <c r="C655" s="70" t="s">
        <v>305</v>
      </c>
      <c r="D655" s="70"/>
    </row>
    <row r="656" spans="1:4">
      <c r="A656" s="79"/>
      <c r="B656" s="138" t="s">
        <v>26</v>
      </c>
      <c r="C656" s="67" t="s">
        <v>17</v>
      </c>
      <c r="D656" s="67"/>
    </row>
    <row r="657" spans="1:6">
      <c r="A657" s="79"/>
      <c r="B657" s="138"/>
      <c r="C657" s="67" t="s">
        <v>27</v>
      </c>
      <c r="D657" s="67"/>
    </row>
    <row r="658" spans="1:6">
      <c r="A658" s="86"/>
      <c r="B658" s="86" t="s">
        <v>628</v>
      </c>
      <c r="C658" s="70" t="s">
        <v>356</v>
      </c>
      <c r="D658" s="70"/>
    </row>
    <row r="659" spans="1:6">
      <c r="A659" s="87"/>
      <c r="B659" s="87"/>
      <c r="C659" s="70" t="s">
        <v>357</v>
      </c>
      <c r="D659" s="70"/>
    </row>
    <row r="660" spans="1:6">
      <c r="A660" s="87"/>
      <c r="B660" s="87"/>
      <c r="C660" s="70" t="s">
        <v>358</v>
      </c>
      <c r="D660" s="70"/>
    </row>
    <row r="661" spans="1:6">
      <c r="A661" s="87"/>
      <c r="B661" s="87"/>
      <c r="C661" s="70" t="s">
        <v>359</v>
      </c>
      <c r="D661" s="70"/>
    </row>
    <row r="662" spans="1:6">
      <c r="A662" s="87"/>
      <c r="B662" s="87"/>
      <c r="C662" s="70" t="s">
        <v>360</v>
      </c>
      <c r="D662" s="70"/>
    </row>
    <row r="663" spans="1:6">
      <c r="A663" s="87"/>
      <c r="B663" s="87"/>
      <c r="C663" s="70" t="s">
        <v>361</v>
      </c>
      <c r="D663" s="70"/>
    </row>
    <row r="664" spans="1:6">
      <c r="A664" s="87"/>
      <c r="B664" s="87"/>
      <c r="C664" s="70" t="s">
        <v>102</v>
      </c>
      <c r="D664" s="70"/>
    </row>
    <row r="665" spans="1:6">
      <c r="A665" s="88"/>
      <c r="B665" s="88"/>
      <c r="C665" s="70" t="s">
        <v>362</v>
      </c>
      <c r="D665" s="70"/>
    </row>
    <row r="666" spans="1:6">
      <c r="A666" s="79"/>
      <c r="B666" s="138" t="s">
        <v>308</v>
      </c>
      <c r="C666" s="67" t="s">
        <v>363</v>
      </c>
      <c r="D666" s="67"/>
    </row>
    <row r="667" spans="1:6">
      <c r="A667" s="79"/>
      <c r="B667" s="138"/>
      <c r="C667" s="67" t="s">
        <v>370</v>
      </c>
      <c r="D667" s="67"/>
      <c r="F667" s="9"/>
    </row>
    <row r="668" spans="1:6">
      <c r="A668" s="86"/>
      <c r="B668" s="86" t="s">
        <v>309</v>
      </c>
      <c r="C668" s="70" t="s">
        <v>701</v>
      </c>
      <c r="D668" s="70"/>
    </row>
    <row r="669" spans="1:6">
      <c r="A669" s="87"/>
      <c r="B669" s="87"/>
      <c r="C669" s="70" t="s">
        <v>702</v>
      </c>
      <c r="D669" s="70"/>
    </row>
    <row r="670" spans="1:6">
      <c r="A670" s="87"/>
      <c r="B670" s="87"/>
      <c r="C670" s="70" t="s">
        <v>319</v>
      </c>
      <c r="D670" s="70"/>
    </row>
    <row r="671" spans="1:6">
      <c r="A671" s="87"/>
      <c r="B671" s="87"/>
      <c r="C671" s="70" t="s">
        <v>324</v>
      </c>
      <c r="D671" s="70"/>
    </row>
    <row r="672" spans="1:6">
      <c r="A672" s="87"/>
      <c r="B672" s="87"/>
      <c r="C672" s="70" t="s">
        <v>321</v>
      </c>
      <c r="D672" s="70"/>
    </row>
    <row r="673" spans="1:4">
      <c r="A673" s="87"/>
      <c r="B673" s="87"/>
      <c r="C673" s="70" t="s">
        <v>320</v>
      </c>
      <c r="D673" s="70"/>
    </row>
    <row r="674" spans="1:4">
      <c r="A674" s="87"/>
      <c r="B674" s="87"/>
      <c r="C674" s="70" t="s">
        <v>325</v>
      </c>
      <c r="D674" s="70"/>
    </row>
    <row r="675" spans="1:4">
      <c r="A675" s="87"/>
      <c r="B675" s="87"/>
      <c r="C675" s="70" t="s">
        <v>322</v>
      </c>
      <c r="D675" s="70"/>
    </row>
    <row r="676" spans="1:4">
      <c r="A676" s="87"/>
      <c r="B676" s="87"/>
      <c r="C676" s="70" t="s">
        <v>443</v>
      </c>
      <c r="D676" s="70"/>
    </row>
    <row r="677" spans="1:4">
      <c r="A677" s="87"/>
      <c r="B677" s="87"/>
      <c r="C677" s="70" t="s">
        <v>323</v>
      </c>
      <c r="D677" s="70"/>
    </row>
    <row r="678" spans="1:4">
      <c r="A678" s="87"/>
      <c r="B678" s="87"/>
      <c r="C678" s="70" t="s">
        <v>130</v>
      </c>
      <c r="D678" s="70"/>
    </row>
    <row r="679" spans="1:4">
      <c r="A679" s="88"/>
      <c r="B679" s="88"/>
      <c r="C679" s="70" t="s">
        <v>362</v>
      </c>
      <c r="D679" s="70"/>
    </row>
    <row r="680" spans="1:4">
      <c r="A680" s="108"/>
      <c r="B680" s="108" t="s">
        <v>310</v>
      </c>
      <c r="C680" s="67" t="s">
        <v>356</v>
      </c>
      <c r="D680" s="67"/>
    </row>
    <row r="681" spans="1:4">
      <c r="A681" s="110"/>
      <c r="B681" s="110"/>
      <c r="C681" s="67" t="s">
        <v>357</v>
      </c>
      <c r="D681" s="67"/>
    </row>
    <row r="682" spans="1:4">
      <c r="A682" s="110"/>
      <c r="B682" s="110"/>
      <c r="C682" s="67" t="s">
        <v>358</v>
      </c>
      <c r="D682" s="67"/>
    </row>
    <row r="683" spans="1:4">
      <c r="A683" s="110"/>
      <c r="B683" s="110"/>
      <c r="C683" s="67" t="s">
        <v>359</v>
      </c>
      <c r="D683" s="67"/>
    </row>
    <row r="684" spans="1:4">
      <c r="A684" s="110"/>
      <c r="B684" s="110"/>
      <c r="C684" s="67" t="s">
        <v>360</v>
      </c>
      <c r="D684" s="67"/>
    </row>
    <row r="685" spans="1:4">
      <c r="A685" s="110"/>
      <c r="B685" s="110"/>
      <c r="C685" s="67" t="s">
        <v>361</v>
      </c>
      <c r="D685" s="67"/>
    </row>
    <row r="686" spans="1:4">
      <c r="A686" s="110"/>
      <c r="B686" s="110"/>
      <c r="C686" s="67" t="s">
        <v>102</v>
      </c>
      <c r="D686" s="67"/>
    </row>
    <row r="687" spans="1:4">
      <c r="A687" s="110"/>
      <c r="B687" s="110"/>
      <c r="C687" s="67" t="s">
        <v>362</v>
      </c>
      <c r="D687" s="67"/>
    </row>
    <row r="688" spans="1:4">
      <c r="A688" s="86"/>
      <c r="B688" s="83" t="s">
        <v>369</v>
      </c>
      <c r="C688" s="70" t="s">
        <v>339</v>
      </c>
      <c r="D688" s="70"/>
    </row>
    <row r="689" spans="1:4">
      <c r="A689" s="87"/>
      <c r="B689" s="85"/>
      <c r="C689" s="70" t="s">
        <v>340</v>
      </c>
      <c r="D689" s="70"/>
    </row>
    <row r="690" spans="1:4">
      <c r="A690" s="108"/>
      <c r="B690" s="108" t="s">
        <v>753</v>
      </c>
      <c r="C690" s="67" t="s">
        <v>341</v>
      </c>
      <c r="D690" s="67"/>
    </row>
    <row r="691" spans="1:4">
      <c r="A691" s="110"/>
      <c r="B691" s="110"/>
      <c r="C691" s="67" t="s">
        <v>342</v>
      </c>
      <c r="D691" s="67"/>
    </row>
    <row r="692" spans="1:4">
      <c r="A692" s="86"/>
      <c r="B692" s="86" t="s">
        <v>343</v>
      </c>
      <c r="C692" s="70" t="s">
        <v>398</v>
      </c>
      <c r="D692" s="70"/>
    </row>
    <row r="693" spans="1:4">
      <c r="A693" s="87"/>
      <c r="B693" s="87"/>
      <c r="C693" s="70" t="s">
        <v>381</v>
      </c>
      <c r="D693" s="70"/>
    </row>
    <row r="694" spans="1:4">
      <c r="A694" s="87"/>
      <c r="B694" s="87"/>
      <c r="C694" s="70" t="s">
        <v>376</v>
      </c>
      <c r="D694" s="70"/>
    </row>
    <row r="695" spans="1:4">
      <c r="A695" s="87"/>
      <c r="B695" s="87"/>
      <c r="C695" s="70" t="s">
        <v>333</v>
      </c>
      <c r="D695" s="70"/>
    </row>
    <row r="696" spans="1:4">
      <c r="A696" s="87"/>
      <c r="B696" s="87"/>
      <c r="C696" s="70" t="s">
        <v>73</v>
      </c>
      <c r="D696" s="70"/>
    </row>
    <row r="697" spans="1:4">
      <c r="A697" s="87"/>
      <c r="B697" s="87"/>
      <c r="C697" s="70" t="s">
        <v>9</v>
      </c>
      <c r="D697" s="70"/>
    </row>
    <row r="698" spans="1:4">
      <c r="A698" s="87"/>
      <c r="B698" s="87"/>
      <c r="C698" s="70" t="s">
        <v>344</v>
      </c>
      <c r="D698" s="70"/>
    </row>
    <row r="699" spans="1:4">
      <c r="A699" s="87"/>
      <c r="B699" s="87"/>
      <c r="C699" s="70" t="s">
        <v>332</v>
      </c>
      <c r="D699" s="70"/>
    </row>
    <row r="700" spans="1:4">
      <c r="A700" s="87"/>
      <c r="B700" s="87"/>
      <c r="C700" s="70" t="s">
        <v>102</v>
      </c>
      <c r="D700" s="70"/>
    </row>
    <row r="701" spans="1:4">
      <c r="A701" s="108"/>
      <c r="B701" s="108" t="s">
        <v>463</v>
      </c>
      <c r="C701" s="67" t="s">
        <v>414</v>
      </c>
      <c r="D701" s="67"/>
    </row>
    <row r="702" spans="1:4">
      <c r="A702" s="110"/>
      <c r="B702" s="110"/>
      <c r="C702" s="67" t="s">
        <v>262</v>
      </c>
      <c r="D702" s="67"/>
    </row>
    <row r="703" spans="1:4">
      <c r="A703" s="110"/>
      <c r="B703" s="110"/>
      <c r="C703" s="67" t="s">
        <v>172</v>
      </c>
      <c r="D703" s="67"/>
    </row>
    <row r="704" spans="1:4">
      <c r="A704" s="110"/>
      <c r="B704" s="110"/>
      <c r="C704" s="67" t="s">
        <v>653</v>
      </c>
      <c r="D704" s="67"/>
    </row>
    <row r="705" spans="1:5">
      <c r="A705" s="110"/>
      <c r="B705" s="110"/>
      <c r="C705" s="67" t="s">
        <v>156</v>
      </c>
      <c r="D705" s="67"/>
    </row>
    <row r="706" spans="1:5">
      <c r="A706" s="110"/>
      <c r="B706" s="110"/>
      <c r="C706" s="67" t="s">
        <v>647</v>
      </c>
      <c r="D706" s="67"/>
    </row>
    <row r="707" spans="1:5">
      <c r="A707" s="110"/>
      <c r="B707" s="110"/>
      <c r="C707" s="67" t="s">
        <v>649</v>
      </c>
      <c r="D707" s="67"/>
    </row>
    <row r="708" spans="1:5">
      <c r="A708" s="110"/>
      <c r="B708" s="110"/>
      <c r="C708" s="67" t="s">
        <v>66</v>
      </c>
      <c r="D708" s="67"/>
    </row>
    <row r="709" spans="1:5">
      <c r="A709" s="110"/>
      <c r="B709" s="110"/>
      <c r="C709" s="67" t="s">
        <v>269</v>
      </c>
      <c r="D709" s="67"/>
    </row>
    <row r="710" spans="1:5">
      <c r="A710" s="110"/>
      <c r="B710" s="110"/>
      <c r="C710" s="67" t="s">
        <v>654</v>
      </c>
      <c r="D710" s="67"/>
    </row>
    <row r="711" spans="1:5">
      <c r="A711" s="110"/>
      <c r="B711" s="110"/>
      <c r="C711" s="67" t="s">
        <v>140</v>
      </c>
      <c r="D711" s="67"/>
    </row>
    <row r="712" spans="1:5">
      <c r="A712" s="110"/>
      <c r="B712" s="110"/>
      <c r="C712" s="67" t="s">
        <v>256</v>
      </c>
      <c r="D712" s="67"/>
    </row>
    <row r="713" spans="1:5">
      <c r="A713" s="110"/>
      <c r="B713" s="110"/>
      <c r="C713" s="67" t="s">
        <v>122</v>
      </c>
      <c r="D713" s="67"/>
    </row>
    <row r="714" spans="1:5">
      <c r="A714" s="110"/>
      <c r="B714" s="110"/>
      <c r="C714" s="67" t="s">
        <v>270</v>
      </c>
      <c r="D714" s="67"/>
    </row>
    <row r="715" spans="1:5">
      <c r="A715" s="110"/>
      <c r="B715" s="110"/>
      <c r="C715" s="67" t="s">
        <v>708</v>
      </c>
      <c r="D715" s="67"/>
    </row>
    <row r="716" spans="1:5">
      <c r="A716" s="110"/>
      <c r="B716" s="110"/>
      <c r="C716" s="67" t="s">
        <v>1170</v>
      </c>
      <c r="D716" s="67" t="s">
        <v>655</v>
      </c>
      <c r="E716" s="17" t="s">
        <v>1200</v>
      </c>
    </row>
    <row r="717" spans="1:5">
      <c r="A717" s="110"/>
      <c r="B717" s="110"/>
      <c r="C717" s="67" t="s">
        <v>267</v>
      </c>
      <c r="D717" s="67"/>
    </row>
    <row r="718" spans="1:5">
      <c r="A718" s="110"/>
      <c r="B718" s="110"/>
      <c r="C718" s="67" t="s">
        <v>264</v>
      </c>
      <c r="D718" s="67"/>
    </row>
    <row r="719" spans="1:5">
      <c r="A719" s="110"/>
      <c r="B719" s="110"/>
      <c r="C719" s="67" t="s">
        <v>265</v>
      </c>
      <c r="D719" s="67"/>
    </row>
    <row r="720" spans="1:5">
      <c r="A720" s="110"/>
      <c r="B720" s="110"/>
      <c r="C720" s="67" t="s">
        <v>167</v>
      </c>
      <c r="D720" s="67"/>
    </row>
    <row r="721" spans="1:4">
      <c r="A721" s="110"/>
      <c r="B721" s="110"/>
      <c r="C721" s="67" t="s">
        <v>254</v>
      </c>
      <c r="D721" s="67"/>
    </row>
    <row r="722" spans="1:4">
      <c r="A722" s="110"/>
      <c r="B722" s="110"/>
      <c r="C722" s="67" t="s">
        <v>261</v>
      </c>
      <c r="D722" s="67"/>
    </row>
    <row r="723" spans="1:4">
      <c r="A723" s="110"/>
      <c r="B723" s="110"/>
      <c r="C723" s="67" t="s">
        <v>71</v>
      </c>
      <c r="D723" s="67"/>
    </row>
    <row r="724" spans="1:4">
      <c r="A724" s="110"/>
      <c r="B724" s="110"/>
      <c r="C724" s="67" t="s">
        <v>259</v>
      </c>
      <c r="D724" s="67"/>
    </row>
    <row r="725" spans="1:4">
      <c r="A725" s="110"/>
      <c r="B725" s="110"/>
      <c r="C725" s="67" t="s">
        <v>75</v>
      </c>
      <c r="D725" s="67"/>
    </row>
    <row r="726" spans="1:4">
      <c r="A726" s="110"/>
      <c r="B726" s="110"/>
      <c r="C726" s="67" t="s">
        <v>263</v>
      </c>
      <c r="D726" s="67"/>
    </row>
    <row r="727" spans="1:4">
      <c r="A727" s="110"/>
      <c r="B727" s="110"/>
      <c r="C727" s="67" t="s">
        <v>651</v>
      </c>
      <c r="D727" s="67"/>
    </row>
    <row r="728" spans="1:4">
      <c r="A728" s="110"/>
      <c r="B728" s="110"/>
      <c r="C728" s="67" t="s">
        <v>652</v>
      </c>
      <c r="D728" s="67"/>
    </row>
    <row r="729" spans="1:4">
      <c r="A729" s="110"/>
      <c r="B729" s="110"/>
      <c r="C729" s="67" t="s">
        <v>266</v>
      </c>
      <c r="D729" s="67"/>
    </row>
    <row r="730" spans="1:4">
      <c r="A730" s="110"/>
      <c r="B730" s="110"/>
      <c r="C730" s="67" t="s">
        <v>85</v>
      </c>
      <c r="D730" s="67"/>
    </row>
    <row r="731" spans="1:4">
      <c r="A731" s="110"/>
      <c r="B731" s="110"/>
      <c r="C731" s="67" t="s">
        <v>648</v>
      </c>
      <c r="D731" s="67"/>
    </row>
    <row r="732" spans="1:4">
      <c r="A732" s="110"/>
      <c r="B732" s="110"/>
      <c r="C732" s="67" t="s">
        <v>646</v>
      </c>
      <c r="D732" s="67"/>
    </row>
    <row r="733" spans="1:4">
      <c r="A733" s="110"/>
      <c r="B733" s="110"/>
      <c r="C733" s="67" t="s">
        <v>656</v>
      </c>
      <c r="D733" s="67"/>
    </row>
    <row r="734" spans="1:4">
      <c r="A734" s="110"/>
      <c r="B734" s="110"/>
      <c r="C734" s="67" t="s">
        <v>255</v>
      </c>
      <c r="D734" s="67"/>
    </row>
    <row r="735" spans="1:4">
      <c r="A735" s="110"/>
      <c r="B735" s="110"/>
      <c r="C735" s="67" t="s">
        <v>738</v>
      </c>
      <c r="D735" s="67"/>
    </row>
    <row r="736" spans="1:4">
      <c r="A736" s="110"/>
      <c r="B736" s="110"/>
      <c r="C736" s="67" t="s">
        <v>34</v>
      </c>
      <c r="D736" s="67"/>
    </row>
    <row r="737" spans="1:4">
      <c r="A737" s="110"/>
      <c r="B737" s="110"/>
      <c r="C737" s="67" t="s">
        <v>645</v>
      </c>
      <c r="D737" s="67"/>
    </row>
    <row r="738" spans="1:4">
      <c r="A738" s="110"/>
      <c r="B738" s="110"/>
      <c r="C738" s="67" t="s">
        <v>268</v>
      </c>
      <c r="D738" s="67"/>
    </row>
    <row r="739" spans="1:4">
      <c r="A739" s="110"/>
      <c r="B739" s="110"/>
      <c r="C739" s="67" t="s">
        <v>650</v>
      </c>
      <c r="D739" s="67"/>
    </row>
    <row r="740" spans="1:4">
      <c r="A740" s="110"/>
      <c r="B740" s="110"/>
      <c r="C740" s="67" t="s">
        <v>252</v>
      </c>
      <c r="D740" s="67"/>
    </row>
    <row r="741" spans="1:4">
      <c r="A741" s="110"/>
      <c r="B741" s="110"/>
      <c r="C741" s="67" t="s">
        <v>258</v>
      </c>
      <c r="D741" s="67"/>
    </row>
    <row r="742" spans="1:4">
      <c r="A742" s="110"/>
      <c r="B742" s="110"/>
      <c r="C742" s="67" t="s">
        <v>257</v>
      </c>
      <c r="D742" s="67"/>
    </row>
    <row r="743" spans="1:4">
      <c r="A743" s="110"/>
      <c r="B743" s="110"/>
      <c r="C743" s="67" t="s">
        <v>174</v>
      </c>
      <c r="D743" s="67"/>
    </row>
    <row r="744" spans="1:4">
      <c r="A744" s="110"/>
      <c r="B744" s="110"/>
      <c r="C744" s="67" t="s">
        <v>253</v>
      </c>
      <c r="D744" s="67"/>
    </row>
    <row r="745" spans="1:4">
      <c r="A745" s="110"/>
      <c r="B745" s="110"/>
      <c r="C745" s="67" t="s">
        <v>169</v>
      </c>
      <c r="D745" s="67"/>
    </row>
    <row r="746" spans="1:4">
      <c r="A746" s="110"/>
      <c r="B746" s="110"/>
      <c r="C746" s="67" t="s">
        <v>170</v>
      </c>
      <c r="D746" s="67"/>
    </row>
    <row r="747" spans="1:4">
      <c r="A747" s="110"/>
      <c r="B747" s="110"/>
      <c r="C747" s="67" t="s">
        <v>165</v>
      </c>
      <c r="D747" s="67"/>
    </row>
    <row r="748" spans="1:4">
      <c r="A748" s="110"/>
      <c r="B748" s="110"/>
      <c r="C748" s="67" t="s">
        <v>260</v>
      </c>
      <c r="D748" s="67"/>
    </row>
    <row r="749" spans="1:4">
      <c r="A749" s="110"/>
      <c r="B749" s="110"/>
      <c r="C749" s="67" t="s">
        <v>163</v>
      </c>
      <c r="D749" s="67"/>
    </row>
    <row r="750" spans="1:4">
      <c r="A750" s="110"/>
      <c r="B750" s="110"/>
      <c r="C750" s="67" t="s">
        <v>53</v>
      </c>
      <c r="D750" s="67"/>
    </row>
    <row r="751" spans="1:4">
      <c r="A751" s="110"/>
      <c r="B751" s="110"/>
      <c r="C751" s="67" t="s">
        <v>59</v>
      </c>
      <c r="D751" s="67"/>
    </row>
    <row r="752" spans="1:4">
      <c r="A752" s="110"/>
      <c r="B752" s="110"/>
      <c r="C752" s="67" t="s">
        <v>67</v>
      </c>
      <c r="D752" s="67"/>
    </row>
    <row r="753" spans="1:4">
      <c r="A753" s="110"/>
      <c r="B753" s="110"/>
      <c r="C753" s="67" t="s">
        <v>74</v>
      </c>
      <c r="D753" s="67"/>
    </row>
    <row r="754" spans="1:4">
      <c r="A754" s="110"/>
      <c r="B754" s="110"/>
      <c r="C754" s="67" t="s">
        <v>81</v>
      </c>
      <c r="D754" s="67"/>
    </row>
    <row r="755" spans="1:4">
      <c r="A755" s="110"/>
      <c r="B755" s="110"/>
      <c r="C755" s="67" t="s">
        <v>946</v>
      </c>
      <c r="D755" s="67"/>
    </row>
    <row r="756" spans="1:4">
      <c r="A756" s="110"/>
      <c r="B756" s="110"/>
      <c r="C756" s="67" t="s">
        <v>92</v>
      </c>
      <c r="D756" s="67"/>
    </row>
    <row r="757" spans="1:4">
      <c r="A757" s="110"/>
      <c r="B757" s="110"/>
      <c r="C757" s="67" t="s">
        <v>977</v>
      </c>
      <c r="D757" s="67"/>
    </row>
    <row r="758" spans="1:4">
      <c r="A758" s="110"/>
      <c r="B758" s="110"/>
      <c r="C758" s="67" t="s">
        <v>978</v>
      </c>
      <c r="D758" s="67"/>
    </row>
    <row r="759" spans="1:4">
      <c r="A759" s="110"/>
      <c r="B759" s="110"/>
      <c r="C759" s="67" t="s">
        <v>104</v>
      </c>
      <c r="D759" s="67"/>
    </row>
    <row r="760" spans="1:4">
      <c r="A760" s="110"/>
      <c r="B760" s="110"/>
      <c r="C760" s="67" t="s">
        <v>109</v>
      </c>
      <c r="D760" s="67"/>
    </row>
    <row r="761" spans="1:4">
      <c r="A761" s="110"/>
      <c r="B761" s="110"/>
      <c r="C761" s="67" t="s">
        <v>111</v>
      </c>
      <c r="D761" s="67"/>
    </row>
    <row r="762" spans="1:4">
      <c r="A762" s="110"/>
      <c r="B762" s="110"/>
      <c r="C762" s="67" t="s">
        <v>114</v>
      </c>
      <c r="D762" s="67"/>
    </row>
    <row r="763" spans="1:4">
      <c r="A763" s="110"/>
      <c r="B763" s="110"/>
      <c r="C763" s="67" t="s">
        <v>117</v>
      </c>
      <c r="D763" s="67"/>
    </row>
    <row r="764" spans="1:4">
      <c r="A764" s="110"/>
      <c r="B764" s="110"/>
      <c r="C764" s="67" t="s">
        <v>120</v>
      </c>
      <c r="D764" s="67"/>
    </row>
    <row r="765" spans="1:4">
      <c r="A765" s="110"/>
      <c r="B765" s="110"/>
      <c r="C765" s="67" t="s">
        <v>123</v>
      </c>
      <c r="D765" s="67"/>
    </row>
    <row r="766" spans="1:4">
      <c r="A766" s="110"/>
      <c r="B766" s="110"/>
      <c r="C766" s="67" t="s">
        <v>125</v>
      </c>
      <c r="D766" s="67"/>
    </row>
    <row r="767" spans="1:4">
      <c r="A767" s="110"/>
      <c r="B767" s="110"/>
      <c r="C767" s="67" t="s">
        <v>314</v>
      </c>
      <c r="D767" s="67"/>
    </row>
    <row r="768" spans="1:4">
      <c r="A768" s="110"/>
      <c r="B768" s="110"/>
      <c r="C768" s="67" t="s">
        <v>128</v>
      </c>
      <c r="D768" s="67"/>
    </row>
    <row r="769" spans="1:5">
      <c r="A769" s="110"/>
      <c r="B769" s="110"/>
      <c r="C769" s="67" t="s">
        <v>131</v>
      </c>
      <c r="D769" s="67"/>
    </row>
    <row r="770" spans="1:5">
      <c r="A770" s="110"/>
      <c r="B770" s="110"/>
      <c r="C770" s="67" t="s">
        <v>132</v>
      </c>
      <c r="D770" s="67"/>
    </row>
    <row r="771" spans="1:5">
      <c r="A771" s="110"/>
      <c r="B771" s="110"/>
      <c r="C771" s="67" t="s">
        <v>134</v>
      </c>
      <c r="D771" s="67"/>
    </row>
    <row r="772" spans="1:5">
      <c r="A772" s="110"/>
      <c r="B772" s="110"/>
      <c r="C772" s="67" t="s">
        <v>136</v>
      </c>
      <c r="D772" s="67"/>
    </row>
    <row r="773" spans="1:5">
      <c r="A773" s="110"/>
      <c r="B773" s="110"/>
      <c r="C773" s="67" t="s">
        <v>138</v>
      </c>
      <c r="D773" s="67"/>
    </row>
    <row r="774" spans="1:5">
      <c r="A774" s="110"/>
      <c r="B774" s="110"/>
      <c r="C774" s="67" t="s">
        <v>141</v>
      </c>
      <c r="D774" s="67"/>
    </row>
    <row r="775" spans="1:5">
      <c r="A775" s="110"/>
      <c r="B775" s="110"/>
      <c r="C775" s="67" t="s">
        <v>143</v>
      </c>
      <c r="D775" s="67"/>
    </row>
    <row r="776" spans="1:5">
      <c r="A776" s="110"/>
      <c r="B776" s="110"/>
      <c r="C776" s="67" t="s">
        <v>315</v>
      </c>
      <c r="D776" s="67"/>
    </row>
    <row r="777" spans="1:5">
      <c r="A777" s="110"/>
      <c r="B777" s="110"/>
      <c r="C777" s="67" t="s">
        <v>145</v>
      </c>
      <c r="D777" s="67"/>
    </row>
    <row r="778" spans="1:5">
      <c r="A778" s="110"/>
      <c r="B778" s="110"/>
      <c r="C778" s="67" t="s">
        <v>147</v>
      </c>
      <c r="D778" s="67"/>
    </row>
    <row r="779" spans="1:5">
      <c r="A779" s="110"/>
      <c r="B779" s="110"/>
      <c r="C779" s="67" t="s">
        <v>149</v>
      </c>
      <c r="D779" s="67"/>
    </row>
    <row r="780" spans="1:5">
      <c r="A780" s="110"/>
      <c r="B780" s="110"/>
      <c r="C780" s="67" t="s">
        <v>151</v>
      </c>
      <c r="D780" s="67"/>
    </row>
    <row r="781" spans="1:5">
      <c r="A781" s="110"/>
      <c r="B781" s="110"/>
      <c r="C781" s="67" t="s">
        <v>153</v>
      </c>
      <c r="D781" s="67"/>
    </row>
    <row r="782" spans="1:5">
      <c r="A782" s="110"/>
      <c r="B782" s="110"/>
      <c r="C782" s="67" t="s">
        <v>1141</v>
      </c>
      <c r="D782" s="67"/>
      <c r="E782" s="17" t="s">
        <v>1200</v>
      </c>
    </row>
    <row r="783" spans="1:5">
      <c r="A783" s="110"/>
      <c r="B783" s="110"/>
      <c r="C783" s="67" t="s">
        <v>1140</v>
      </c>
      <c r="D783" s="67"/>
      <c r="E783" s="17" t="s">
        <v>1200</v>
      </c>
    </row>
    <row r="784" spans="1:5">
      <c r="A784" s="110"/>
      <c r="B784" s="110"/>
      <c r="C784" s="67" t="s">
        <v>971</v>
      </c>
      <c r="D784" s="67"/>
      <c r="E784" s="17" t="s">
        <v>1200</v>
      </c>
    </row>
    <row r="785" spans="1:5">
      <c r="A785" s="110"/>
      <c r="B785" s="110"/>
      <c r="C785" s="67" t="s">
        <v>157</v>
      </c>
      <c r="D785" s="67"/>
    </row>
    <row r="786" spans="1:5">
      <c r="A786" s="110"/>
      <c r="B786" s="110"/>
      <c r="C786" s="67" t="s">
        <v>158</v>
      </c>
      <c r="D786" s="67"/>
    </row>
    <row r="787" spans="1:5">
      <c r="A787" s="110"/>
      <c r="B787" s="110"/>
      <c r="C787" s="67" t="s">
        <v>159</v>
      </c>
      <c r="D787" s="67"/>
    </row>
    <row r="788" spans="1:5">
      <c r="A788" s="110"/>
      <c r="B788" s="110"/>
      <c r="C788" s="67" t="s">
        <v>160</v>
      </c>
      <c r="D788" s="67"/>
    </row>
    <row r="789" spans="1:5">
      <c r="A789" s="110"/>
      <c r="B789" s="110"/>
      <c r="C789" s="67" t="s">
        <v>161</v>
      </c>
      <c r="D789" s="67"/>
    </row>
    <row r="790" spans="1:5">
      <c r="A790" s="110"/>
      <c r="B790" s="110"/>
      <c r="C790" s="67" t="s">
        <v>973</v>
      </c>
      <c r="D790" s="67"/>
      <c r="E790" s="17" t="s">
        <v>1200</v>
      </c>
    </row>
    <row r="791" spans="1:5">
      <c r="A791" s="110"/>
      <c r="B791" s="110"/>
      <c r="C791" s="67" t="s">
        <v>164</v>
      </c>
      <c r="D791" s="67"/>
    </row>
    <row r="792" spans="1:5">
      <c r="A792" s="110"/>
      <c r="B792" s="110"/>
      <c r="C792" s="67" t="s">
        <v>166</v>
      </c>
      <c r="D792" s="67"/>
    </row>
    <row r="793" spans="1:5">
      <c r="A793" s="110"/>
      <c r="B793" s="110"/>
      <c r="C793" s="67" t="s">
        <v>168</v>
      </c>
      <c r="D793" s="67"/>
    </row>
    <row r="794" spans="1:5">
      <c r="A794" s="110"/>
      <c r="B794" s="110"/>
      <c r="C794" s="67" t="s">
        <v>171</v>
      </c>
      <c r="D794" s="67"/>
    </row>
    <row r="795" spans="1:5">
      <c r="A795" s="110"/>
      <c r="B795" s="110"/>
      <c r="C795" s="67" t="s">
        <v>173</v>
      </c>
      <c r="D795" s="67"/>
    </row>
    <row r="796" spans="1:5">
      <c r="A796" s="110"/>
      <c r="B796" s="110"/>
      <c r="C796" s="67" t="s">
        <v>175</v>
      </c>
      <c r="D796" s="67"/>
    </row>
    <row r="797" spans="1:5">
      <c r="A797" s="110"/>
      <c r="B797" s="110"/>
      <c r="C797" s="67" t="s">
        <v>177</v>
      </c>
      <c r="D797" s="67"/>
    </row>
    <row r="798" spans="1:5">
      <c r="A798" s="110"/>
      <c r="B798" s="110"/>
      <c r="C798" s="67" t="s">
        <v>178</v>
      </c>
      <c r="D798" s="67"/>
    </row>
    <row r="799" spans="1:5">
      <c r="A799" s="110"/>
      <c r="B799" s="110"/>
      <c r="C799" s="67" t="s">
        <v>179</v>
      </c>
      <c r="D799" s="67"/>
    </row>
    <row r="800" spans="1:5">
      <c r="A800" s="110"/>
      <c r="B800" s="110"/>
      <c r="C800" s="67" t="s">
        <v>180</v>
      </c>
      <c r="D800" s="67"/>
    </row>
    <row r="801" spans="1:5">
      <c r="A801" s="110"/>
      <c r="B801" s="110"/>
      <c r="C801" s="67" t="s">
        <v>181</v>
      </c>
      <c r="D801" s="67"/>
    </row>
    <row r="802" spans="1:5">
      <c r="A802" s="110"/>
      <c r="B802" s="110"/>
      <c r="C802" s="67" t="s">
        <v>182</v>
      </c>
      <c r="D802" s="67"/>
    </row>
    <row r="803" spans="1:5">
      <c r="A803" s="110"/>
      <c r="B803" s="110"/>
      <c r="C803" s="67" t="s">
        <v>183</v>
      </c>
      <c r="D803" s="67"/>
    </row>
    <row r="804" spans="1:5">
      <c r="A804" s="110"/>
      <c r="B804" s="110"/>
      <c r="C804" s="67" t="s">
        <v>510</v>
      </c>
      <c r="D804" s="67"/>
    </row>
    <row r="805" spans="1:5">
      <c r="A805" s="110"/>
      <c r="B805" s="110"/>
      <c r="C805" s="67" t="s">
        <v>184</v>
      </c>
      <c r="D805" s="67"/>
    </row>
    <row r="806" spans="1:5">
      <c r="A806" s="110"/>
      <c r="B806" s="110"/>
      <c r="C806" s="67" t="s">
        <v>185</v>
      </c>
      <c r="D806" s="67"/>
    </row>
    <row r="807" spans="1:5">
      <c r="A807" s="110"/>
      <c r="B807" s="110"/>
      <c r="C807" s="67" t="s">
        <v>186</v>
      </c>
      <c r="D807" s="67"/>
    </row>
    <row r="808" spans="1:5">
      <c r="A808" s="110"/>
      <c r="B808" s="110"/>
      <c r="C808" s="67" t="s">
        <v>187</v>
      </c>
      <c r="D808" s="67"/>
    </row>
    <row r="809" spans="1:5">
      <c r="A809" s="110"/>
      <c r="B809" s="110"/>
      <c r="C809" s="67" t="s">
        <v>972</v>
      </c>
      <c r="D809" s="67"/>
      <c r="E809" s="17" t="s">
        <v>1200</v>
      </c>
    </row>
    <row r="810" spans="1:5">
      <c r="A810" s="110"/>
      <c r="B810" s="110"/>
      <c r="C810" s="67" t="s">
        <v>188</v>
      </c>
      <c r="D810" s="67"/>
    </row>
    <row r="811" spans="1:5">
      <c r="A811" s="110"/>
      <c r="B811" s="110"/>
      <c r="C811" s="67" t="s">
        <v>189</v>
      </c>
      <c r="D811" s="67"/>
    </row>
    <row r="812" spans="1:5">
      <c r="A812" s="110"/>
      <c r="B812" s="110"/>
      <c r="C812" s="67" t="s">
        <v>190</v>
      </c>
      <c r="D812" s="67"/>
    </row>
    <row r="813" spans="1:5">
      <c r="A813" s="110"/>
      <c r="B813" s="110"/>
      <c r="C813" s="67" t="s">
        <v>191</v>
      </c>
      <c r="D813" s="67"/>
    </row>
    <row r="814" spans="1:5">
      <c r="A814" s="110"/>
      <c r="B814" s="110"/>
      <c r="C814" s="67" t="s">
        <v>192</v>
      </c>
      <c r="D814" s="67"/>
    </row>
    <row r="815" spans="1:5">
      <c r="A815" s="110"/>
      <c r="B815" s="110"/>
      <c r="C815" s="67" t="s">
        <v>193</v>
      </c>
      <c r="D815" s="67"/>
    </row>
    <row r="816" spans="1:5">
      <c r="A816" s="110"/>
      <c r="B816" s="110"/>
      <c r="C816" s="67" t="s">
        <v>194</v>
      </c>
      <c r="D816" s="67"/>
    </row>
    <row r="817" spans="1:6">
      <c r="A817" s="110"/>
      <c r="B817" s="110"/>
      <c r="C817" s="67" t="s">
        <v>196</v>
      </c>
      <c r="D817" s="67"/>
    </row>
    <row r="818" spans="1:6">
      <c r="A818" s="110"/>
      <c r="B818" s="110"/>
      <c r="C818" s="67" t="s">
        <v>197</v>
      </c>
      <c r="D818" s="67"/>
    </row>
    <row r="819" spans="1:6">
      <c r="A819" s="110"/>
      <c r="B819" s="110"/>
      <c r="C819" s="67" t="s">
        <v>198</v>
      </c>
      <c r="D819" s="67"/>
    </row>
    <row r="820" spans="1:6">
      <c r="A820" s="110"/>
      <c r="B820" s="110"/>
      <c r="C820" s="67" t="s">
        <v>199</v>
      </c>
      <c r="D820" s="67"/>
    </row>
    <row r="821" spans="1:6">
      <c r="A821" s="110"/>
      <c r="B821" s="110"/>
      <c r="C821" s="67" t="s">
        <v>200</v>
      </c>
      <c r="D821" s="67"/>
    </row>
    <row r="822" spans="1:6">
      <c r="A822" s="110"/>
      <c r="B822" s="110"/>
      <c r="C822" s="67" t="s">
        <v>201</v>
      </c>
      <c r="D822" s="67"/>
    </row>
    <row r="823" spans="1:6">
      <c r="A823" s="110"/>
      <c r="B823" s="110"/>
      <c r="C823" s="67" t="s">
        <v>203</v>
      </c>
      <c r="D823" s="67"/>
    </row>
    <row r="824" spans="1:6">
      <c r="A824" s="110"/>
      <c r="B824" s="110"/>
      <c r="C824" s="67" t="s">
        <v>204</v>
      </c>
      <c r="D824" s="67"/>
    </row>
    <row r="825" spans="1:6">
      <c r="A825" s="110"/>
      <c r="B825" s="110"/>
      <c r="C825" s="67" t="s">
        <v>205</v>
      </c>
      <c r="D825" s="67"/>
    </row>
    <row r="826" spans="1:6">
      <c r="A826" s="110"/>
      <c r="B826" s="110"/>
      <c r="C826" s="67" t="s">
        <v>206</v>
      </c>
      <c r="D826" s="67"/>
    </row>
    <row r="827" spans="1:6">
      <c r="A827" s="110"/>
      <c r="B827" s="110"/>
      <c r="C827" s="67" t="s">
        <v>207</v>
      </c>
      <c r="D827" s="67"/>
    </row>
    <row r="828" spans="1:6">
      <c r="A828" s="110"/>
      <c r="B828" s="110"/>
      <c r="C828" s="67" t="s">
        <v>208</v>
      </c>
      <c r="D828" s="67"/>
    </row>
    <row r="829" spans="1:6">
      <c r="A829" s="110"/>
      <c r="B829" s="110"/>
      <c r="C829" s="67" t="s">
        <v>209</v>
      </c>
      <c r="D829" s="67"/>
    </row>
    <row r="830" spans="1:6">
      <c r="A830" s="110"/>
      <c r="B830" s="110"/>
      <c r="C830" s="67" t="s">
        <v>210</v>
      </c>
      <c r="D830" s="67"/>
    </row>
    <row r="831" spans="1:6">
      <c r="A831" s="110"/>
      <c r="B831" s="110"/>
      <c r="C831" s="67" t="s">
        <v>1194</v>
      </c>
      <c r="D831" s="147" t="s">
        <v>1193</v>
      </c>
      <c r="F831"/>
    </row>
    <row r="832" spans="1:6">
      <c r="A832" s="110"/>
      <c r="B832" s="110"/>
      <c r="C832" s="67" t="s">
        <v>1195</v>
      </c>
      <c r="D832" s="147" t="s">
        <v>963</v>
      </c>
      <c r="F832"/>
    </row>
    <row r="833" spans="1:6">
      <c r="A833" s="110"/>
      <c r="B833" s="110"/>
      <c r="C833" s="67" t="s">
        <v>1196</v>
      </c>
      <c r="D833" s="147" t="s">
        <v>963</v>
      </c>
      <c r="F833"/>
    </row>
    <row r="834" spans="1:6">
      <c r="A834" s="110"/>
      <c r="B834" s="110"/>
      <c r="C834" s="67" t="s">
        <v>959</v>
      </c>
      <c r="D834" s="144"/>
      <c r="F834"/>
    </row>
    <row r="835" spans="1:6">
      <c r="A835" s="110"/>
      <c r="B835" s="110"/>
      <c r="C835" s="67" t="s">
        <v>317</v>
      </c>
      <c r="D835" s="67"/>
      <c r="F835"/>
    </row>
    <row r="836" spans="1:6">
      <c r="A836" s="110"/>
      <c r="B836" s="110"/>
      <c r="C836" s="67" t="s">
        <v>947</v>
      </c>
      <c r="D836" s="67"/>
      <c r="F836"/>
    </row>
    <row r="837" spans="1:6">
      <c r="A837" s="110"/>
      <c r="B837" s="110"/>
      <c r="C837" s="67" t="s">
        <v>948</v>
      </c>
      <c r="D837" s="67"/>
      <c r="F837"/>
    </row>
    <row r="838" spans="1:6">
      <c r="A838" s="110"/>
      <c r="B838" s="110"/>
      <c r="C838" s="67" t="s">
        <v>316</v>
      </c>
      <c r="D838" s="67"/>
      <c r="F838"/>
    </row>
    <row r="839" spans="1:6">
      <c r="A839" s="110"/>
      <c r="B839" s="110"/>
      <c r="C839" s="67" t="s">
        <v>313</v>
      </c>
      <c r="D839" s="67"/>
      <c r="F839"/>
    </row>
    <row r="840" spans="1:6">
      <c r="A840" s="110"/>
      <c r="B840" s="110"/>
      <c r="C840" s="67" t="s">
        <v>318</v>
      </c>
      <c r="D840" s="67"/>
      <c r="F840"/>
    </row>
    <row r="841" spans="1:6">
      <c r="A841" s="110"/>
      <c r="B841" s="110"/>
      <c r="C841" s="67" t="s">
        <v>949</v>
      </c>
      <c r="D841" s="67"/>
      <c r="F841"/>
    </row>
    <row r="842" spans="1:6">
      <c r="A842" s="110"/>
      <c r="B842" s="110"/>
      <c r="C842" s="67" t="s">
        <v>704</v>
      </c>
      <c r="D842" s="67"/>
      <c r="F842"/>
    </row>
    <row r="843" spans="1:6">
      <c r="A843" s="110"/>
      <c r="B843" s="110"/>
      <c r="C843" s="67" t="s">
        <v>705</v>
      </c>
      <c r="D843" s="67"/>
      <c r="F843"/>
    </row>
    <row r="844" spans="1:6">
      <c r="A844" s="110"/>
      <c r="B844" s="110"/>
      <c r="C844" s="67" t="s">
        <v>707</v>
      </c>
      <c r="D844" s="67"/>
      <c r="F844"/>
    </row>
    <row r="845" spans="1:6">
      <c r="A845" s="110"/>
      <c r="B845" s="110"/>
      <c r="C845" s="67" t="s">
        <v>706</v>
      </c>
      <c r="D845" s="67"/>
    </row>
    <row r="846" spans="1:6">
      <c r="A846" s="110"/>
      <c r="B846" s="110"/>
      <c r="C846" s="67" t="s">
        <v>703</v>
      </c>
      <c r="D846" s="67"/>
    </row>
    <row r="847" spans="1:6">
      <c r="A847" s="110"/>
      <c r="B847" s="110"/>
      <c r="C847" s="67" t="s">
        <v>455</v>
      </c>
      <c r="D847" s="67"/>
    </row>
    <row r="848" spans="1:6">
      <c r="A848" s="110"/>
      <c r="B848" s="110"/>
      <c r="C848" s="67" t="s">
        <v>456</v>
      </c>
      <c r="D848" s="67"/>
    </row>
    <row r="849" spans="1:4">
      <c r="A849" s="110"/>
      <c r="B849" s="110"/>
      <c r="C849" s="67" t="s">
        <v>457</v>
      </c>
      <c r="D849" s="67"/>
    </row>
    <row r="850" spans="1:4">
      <c r="A850" s="110"/>
      <c r="B850" s="110"/>
      <c r="C850" s="67" t="s">
        <v>102</v>
      </c>
      <c r="D850" s="67"/>
    </row>
    <row r="851" spans="1:4">
      <c r="A851" s="83" t="s">
        <v>364</v>
      </c>
      <c r="B851" s="83"/>
      <c r="C851" s="70" t="s">
        <v>55</v>
      </c>
      <c r="D851" s="70"/>
    </row>
    <row r="852" spans="1:4">
      <c r="A852" s="84"/>
      <c r="B852" s="84"/>
      <c r="C852" s="70" t="s">
        <v>62</v>
      </c>
      <c r="D852" s="70"/>
    </row>
    <row r="853" spans="1:4">
      <c r="A853" s="110" t="s">
        <v>31</v>
      </c>
      <c r="B853" s="110" t="s">
        <v>1</v>
      </c>
      <c r="C853" s="67" t="s">
        <v>213</v>
      </c>
      <c r="D853" s="67"/>
    </row>
    <row r="854" spans="1:4">
      <c r="A854" s="110"/>
      <c r="B854" s="110"/>
      <c r="C854" s="67" t="s">
        <v>220</v>
      </c>
      <c r="D854" s="67"/>
    </row>
    <row r="855" spans="1:4">
      <c r="A855" s="110"/>
      <c r="B855" s="110"/>
      <c r="C855" s="67" t="s">
        <v>218</v>
      </c>
      <c r="D855" s="67"/>
    </row>
    <row r="856" spans="1:4">
      <c r="A856" s="110"/>
      <c r="B856" s="110"/>
      <c r="C856" s="67" t="s">
        <v>219</v>
      </c>
      <c r="D856" s="67"/>
    </row>
    <row r="857" spans="1:4">
      <c r="A857" s="110"/>
      <c r="B857" s="110"/>
      <c r="C857" s="67" t="s">
        <v>214</v>
      </c>
      <c r="D857" s="67"/>
    </row>
    <row r="858" spans="1:4">
      <c r="A858" s="110"/>
      <c r="B858" s="110"/>
      <c r="C858" s="67" t="s">
        <v>217</v>
      </c>
      <c r="D858" s="67"/>
    </row>
    <row r="859" spans="1:4">
      <c r="A859" s="110"/>
      <c r="B859" s="110"/>
      <c r="C859" s="67" t="s">
        <v>215</v>
      </c>
      <c r="D859" s="67"/>
    </row>
    <row r="860" spans="1:4">
      <c r="A860" s="110"/>
      <c r="B860" s="110"/>
      <c r="C860" s="67" t="s">
        <v>216</v>
      </c>
      <c r="D860" s="67"/>
    </row>
    <row r="861" spans="1:4">
      <c r="A861" s="110"/>
      <c r="B861" s="110"/>
      <c r="C861" s="67" t="s">
        <v>505</v>
      </c>
      <c r="D861" s="67"/>
    </row>
    <row r="862" spans="1:4">
      <c r="A862" s="83" t="s">
        <v>40</v>
      </c>
      <c r="B862" s="83" t="s">
        <v>1</v>
      </c>
      <c r="C862" s="70" t="s">
        <v>221</v>
      </c>
      <c r="D862" s="70"/>
    </row>
    <row r="863" spans="1:4">
      <c r="A863" s="84"/>
      <c r="B863" s="84"/>
      <c r="C863" s="70" t="s">
        <v>222</v>
      </c>
      <c r="D863" s="70"/>
    </row>
    <row r="864" spans="1:4">
      <c r="A864" s="84"/>
      <c r="B864" s="84"/>
      <c r="C864" s="70" t="s">
        <v>223</v>
      </c>
      <c r="D864" s="70"/>
    </row>
    <row r="865" spans="1:4">
      <c r="A865" s="84"/>
      <c r="B865" s="84"/>
      <c r="C865" s="70" t="s">
        <v>224</v>
      </c>
      <c r="D865" s="70"/>
    </row>
    <row r="866" spans="1:4">
      <c r="A866" s="84"/>
      <c r="B866" s="84"/>
      <c r="C866" s="70" t="s">
        <v>225</v>
      </c>
      <c r="D866" s="70"/>
    </row>
    <row r="867" spans="1:4">
      <c r="A867" s="84"/>
      <c r="B867" s="84"/>
      <c r="C867" s="70" t="s">
        <v>226</v>
      </c>
      <c r="D867" s="70"/>
    </row>
    <row r="868" spans="1:4">
      <c r="A868" s="84"/>
      <c r="B868" s="84"/>
      <c r="C868" s="70" t="s">
        <v>227</v>
      </c>
      <c r="D868" s="70"/>
    </row>
    <row r="869" spans="1:4">
      <c r="A869" s="84"/>
      <c r="B869" s="84"/>
      <c r="C869" s="70" t="s">
        <v>246</v>
      </c>
      <c r="D869" s="70"/>
    </row>
    <row r="870" spans="1:4">
      <c r="A870" s="110" t="s">
        <v>32</v>
      </c>
      <c r="B870" s="110" t="s">
        <v>1</v>
      </c>
      <c r="C870" s="67" t="s">
        <v>221</v>
      </c>
      <c r="D870" s="67"/>
    </row>
    <row r="871" spans="1:4">
      <c r="A871" s="110"/>
      <c r="B871" s="110"/>
      <c r="C871" s="67" t="s">
        <v>223</v>
      </c>
      <c r="D871" s="67"/>
    </row>
    <row r="872" spans="1:4">
      <c r="A872" s="110"/>
      <c r="B872" s="110"/>
      <c r="C872" s="67" t="s">
        <v>225</v>
      </c>
      <c r="D872" s="67"/>
    </row>
    <row r="873" spans="1:4">
      <c r="A873" s="110"/>
      <c r="B873" s="110"/>
      <c r="C873" s="67" t="s">
        <v>102</v>
      </c>
      <c r="D873" s="67"/>
    </row>
    <row r="874" spans="1:4">
      <c r="A874" s="83" t="s">
        <v>33</v>
      </c>
      <c r="B874" s="83" t="s">
        <v>1</v>
      </c>
      <c r="C874" s="70" t="s">
        <v>228</v>
      </c>
      <c r="D874" s="70"/>
    </row>
    <row r="875" spans="1:4">
      <c r="A875" s="84"/>
      <c r="B875" s="84"/>
      <c r="C875" s="70" t="s">
        <v>229</v>
      </c>
      <c r="D875" s="70"/>
    </row>
    <row r="876" spans="1:4">
      <c r="A876" s="84"/>
      <c r="B876" s="84"/>
      <c r="C876" s="70" t="s">
        <v>230</v>
      </c>
      <c r="D876" s="70"/>
    </row>
    <row r="877" spans="1:4">
      <c r="A877" s="84"/>
      <c r="B877" s="84"/>
      <c r="C877" s="70" t="s">
        <v>231</v>
      </c>
      <c r="D877" s="70"/>
    </row>
    <row r="878" spans="1:4">
      <c r="A878" s="84"/>
      <c r="B878" s="84"/>
      <c r="C878" s="70" t="s">
        <v>623</v>
      </c>
      <c r="D878" s="70"/>
    </row>
    <row r="879" spans="1:4">
      <c r="A879" s="84"/>
      <c r="B879" s="84"/>
      <c r="C879" s="70" t="s">
        <v>306</v>
      </c>
      <c r="D879" s="70"/>
    </row>
    <row r="880" spans="1:4">
      <c r="A880" s="84"/>
      <c r="B880" s="84"/>
      <c r="C880" s="70" t="s">
        <v>307</v>
      </c>
      <c r="D880" s="70"/>
    </row>
    <row r="881" spans="1:5">
      <c r="A881" s="84"/>
      <c r="B881" s="84"/>
      <c r="C881" s="70" t="s">
        <v>291</v>
      </c>
      <c r="D881" s="70"/>
    </row>
    <row r="882" spans="1:5">
      <c r="A882" s="84"/>
      <c r="B882" s="84"/>
      <c r="C882" s="70" t="s">
        <v>785</v>
      </c>
      <c r="D882" s="70" t="s">
        <v>785</v>
      </c>
      <c r="E882" s="17" t="s">
        <v>1200</v>
      </c>
    </row>
    <row r="883" spans="1:5">
      <c r="A883" s="85"/>
      <c r="B883" s="85"/>
      <c r="C883" s="70" t="s">
        <v>102</v>
      </c>
      <c r="D883" s="70"/>
    </row>
    <row r="884" spans="1:5">
      <c r="A884" s="99" t="s">
        <v>459</v>
      </c>
      <c r="B884" s="99" t="s">
        <v>1</v>
      </c>
      <c r="C884" s="67" t="s">
        <v>73</v>
      </c>
      <c r="D884" s="67"/>
    </row>
    <row r="885" spans="1:5">
      <c r="A885" s="100"/>
      <c r="B885" s="100"/>
      <c r="C885" s="67" t="s">
        <v>232</v>
      </c>
      <c r="D885" s="67"/>
    </row>
    <row r="886" spans="1:5">
      <c r="A886" s="100"/>
      <c r="B886" s="100"/>
      <c r="C886" s="67" t="s">
        <v>460</v>
      </c>
      <c r="D886" s="67"/>
    </row>
    <row r="887" spans="1:5">
      <c r="A887" s="100"/>
      <c r="B887" s="100"/>
      <c r="C887" s="67" t="s">
        <v>162</v>
      </c>
      <c r="D887" s="67"/>
    </row>
    <row r="888" spans="1:5">
      <c r="A888" s="100"/>
      <c r="B888" s="100"/>
      <c r="C888" s="67" t="s">
        <v>951</v>
      </c>
      <c r="D888" s="67"/>
    </row>
    <row r="889" spans="1:5">
      <c r="A889" s="100"/>
      <c r="B889" s="100"/>
      <c r="C889" s="67" t="s">
        <v>416</v>
      </c>
      <c r="D889" s="67" t="s">
        <v>417</v>
      </c>
    </row>
    <row r="890" spans="1:5">
      <c r="A890" s="100"/>
      <c r="B890" s="100"/>
      <c r="C890" s="67" t="s">
        <v>233</v>
      </c>
      <c r="D890" s="67"/>
    </row>
    <row r="891" spans="1:5">
      <c r="A891" s="83" t="s">
        <v>34</v>
      </c>
      <c r="B891" s="83" t="s">
        <v>1</v>
      </c>
      <c r="C891" s="70" t="s">
        <v>234</v>
      </c>
      <c r="D891" s="70"/>
    </row>
    <row r="892" spans="1:5">
      <c r="A892" s="84"/>
      <c r="B892" s="84"/>
      <c r="C892" s="70" t="s">
        <v>235</v>
      </c>
      <c r="D892" s="70"/>
    </row>
    <row r="893" spans="1:5">
      <c r="A893" s="84"/>
      <c r="B893" s="84"/>
      <c r="C893" s="70" t="s">
        <v>236</v>
      </c>
      <c r="D893" s="70"/>
    </row>
    <row r="894" spans="1:5">
      <c r="A894" s="84"/>
      <c r="B894" s="84"/>
      <c r="C894" s="70" t="s">
        <v>237</v>
      </c>
      <c r="D894" s="70"/>
    </row>
    <row r="895" spans="1:5">
      <c r="A895" s="84"/>
      <c r="B895" s="84"/>
      <c r="C895" s="70" t="s">
        <v>238</v>
      </c>
      <c r="D895" s="70"/>
    </row>
    <row r="896" spans="1:5">
      <c r="A896" s="84"/>
      <c r="B896" s="84"/>
      <c r="C896" s="70" t="s">
        <v>102</v>
      </c>
      <c r="D896" s="70"/>
    </row>
    <row r="897" spans="1:4">
      <c r="A897" s="99" t="s">
        <v>35</v>
      </c>
      <c r="B897" s="99" t="s">
        <v>1</v>
      </c>
      <c r="C897" s="67" t="s">
        <v>211</v>
      </c>
      <c r="D897" s="67"/>
    </row>
    <row r="898" spans="1:4">
      <c r="A898" s="100"/>
      <c r="B898" s="100"/>
      <c r="C898" s="67" t="s">
        <v>212</v>
      </c>
      <c r="D898" s="67"/>
    </row>
    <row r="899" spans="1:4">
      <c r="A899" s="100"/>
      <c r="B899" s="100"/>
      <c r="C899" s="67" t="s">
        <v>73</v>
      </c>
      <c r="D899" s="67"/>
    </row>
    <row r="900" spans="1:4">
      <c r="A900" s="100"/>
      <c r="B900" s="100"/>
      <c r="C900" s="67" t="s">
        <v>102</v>
      </c>
      <c r="D900" s="67"/>
    </row>
    <row r="901" spans="1:4">
      <c r="A901" s="83" t="s">
        <v>37</v>
      </c>
      <c r="B901" s="83" t="s">
        <v>1</v>
      </c>
      <c r="C901" s="70" t="s">
        <v>657</v>
      </c>
      <c r="D901" s="70"/>
    </row>
    <row r="902" spans="1:4">
      <c r="A902" s="84"/>
      <c r="B902" s="84"/>
      <c r="C902" s="70" t="s">
        <v>658</v>
      </c>
      <c r="D902" s="70"/>
    </row>
    <row r="903" spans="1:4">
      <c r="A903" s="84"/>
      <c r="B903" s="84"/>
      <c r="C903" s="70" t="s">
        <v>72</v>
      </c>
      <c r="D903" s="70"/>
    </row>
    <row r="904" spans="1:4">
      <c r="A904" s="84"/>
      <c r="B904" s="84"/>
      <c r="C904" s="70" t="s">
        <v>659</v>
      </c>
      <c r="D904" s="70"/>
    </row>
    <row r="905" spans="1:4">
      <c r="A905" s="84"/>
      <c r="B905" s="84"/>
      <c r="C905" s="70" t="s">
        <v>660</v>
      </c>
      <c r="D905" s="70"/>
    </row>
    <row r="906" spans="1:4">
      <c r="A906" s="109" t="s">
        <v>39</v>
      </c>
      <c r="B906" s="109" t="s">
        <v>1</v>
      </c>
      <c r="C906" s="73" t="s">
        <v>239</v>
      </c>
      <c r="D906" s="73"/>
    </row>
    <row r="907" spans="1:4">
      <c r="A907" s="110"/>
      <c r="B907" s="110"/>
      <c r="C907" s="73" t="s">
        <v>240</v>
      </c>
      <c r="D907" s="73"/>
    </row>
    <row r="908" spans="1:4">
      <c r="A908" s="110"/>
      <c r="B908" s="110"/>
      <c r="C908" s="67" t="s">
        <v>676</v>
      </c>
      <c r="D908" s="67"/>
    </row>
    <row r="909" spans="1:4">
      <c r="A909" s="110"/>
      <c r="B909" s="110"/>
      <c r="C909" s="67" t="s">
        <v>677</v>
      </c>
      <c r="D909" s="67"/>
    </row>
    <row r="910" spans="1:4">
      <c r="A910" s="110"/>
      <c r="B910" s="110"/>
      <c r="C910" s="67" t="s">
        <v>678</v>
      </c>
      <c r="D910" s="67"/>
    </row>
    <row r="911" spans="1:4">
      <c r="A911" s="110"/>
      <c r="B911" s="110"/>
      <c r="C911" s="67" t="s">
        <v>679</v>
      </c>
      <c r="D911" s="67"/>
    </row>
    <row r="912" spans="1:4">
      <c r="A912" s="105" t="s">
        <v>41</v>
      </c>
      <c r="B912" s="105" t="s">
        <v>1</v>
      </c>
      <c r="C912" s="75" t="s">
        <v>221</v>
      </c>
      <c r="D912" s="75"/>
    </row>
    <row r="913" spans="1:5">
      <c r="A913" s="87"/>
      <c r="B913" s="87"/>
      <c r="C913" s="75" t="s">
        <v>222</v>
      </c>
      <c r="D913" s="75"/>
    </row>
    <row r="914" spans="1:5">
      <c r="A914" s="87"/>
      <c r="B914" s="87"/>
      <c r="C914" s="70" t="s">
        <v>223</v>
      </c>
      <c r="D914" s="70"/>
    </row>
    <row r="915" spans="1:5">
      <c r="A915" s="87"/>
      <c r="B915" s="87"/>
      <c r="C915" s="70" t="s">
        <v>224</v>
      </c>
      <c r="D915" s="70"/>
    </row>
    <row r="916" spans="1:5">
      <c r="A916" s="87"/>
      <c r="B916" s="87"/>
      <c r="C916" s="70" t="s">
        <v>225</v>
      </c>
      <c r="D916" s="70"/>
    </row>
    <row r="917" spans="1:5">
      <c r="A917" s="87"/>
      <c r="B917" s="87"/>
      <c r="C917" s="70" t="s">
        <v>226</v>
      </c>
      <c r="D917" s="70"/>
    </row>
    <row r="918" spans="1:5">
      <c r="A918" s="87"/>
      <c r="B918" s="87"/>
      <c r="C918" s="75" t="s">
        <v>227</v>
      </c>
      <c r="D918" s="75"/>
    </row>
    <row r="919" spans="1:5">
      <c r="A919" s="87"/>
      <c r="B919" s="87"/>
      <c r="C919" s="75" t="s">
        <v>246</v>
      </c>
      <c r="D919" s="75"/>
    </row>
    <row r="920" spans="1:5">
      <c r="A920" s="109" t="s">
        <v>42</v>
      </c>
      <c r="B920" s="109" t="s">
        <v>1</v>
      </c>
      <c r="C920" s="73" t="s">
        <v>626</v>
      </c>
      <c r="D920" s="73"/>
      <c r="E920" s="74"/>
    </row>
    <row r="921" spans="1:5">
      <c r="A921" s="110"/>
      <c r="B921" s="110"/>
      <c r="C921" s="73" t="s">
        <v>664</v>
      </c>
      <c r="D921" s="73"/>
      <c r="E921" s="74"/>
    </row>
    <row r="922" spans="1:5">
      <c r="A922" s="110"/>
      <c r="B922" s="110"/>
      <c r="C922" s="67" t="s">
        <v>665</v>
      </c>
      <c r="D922" s="67"/>
      <c r="E922" s="74"/>
    </row>
    <row r="923" spans="1:5">
      <c r="A923" s="110"/>
      <c r="B923" s="110"/>
      <c r="C923" s="67" t="s">
        <v>666</v>
      </c>
      <c r="D923" s="67"/>
      <c r="E923" s="74"/>
    </row>
    <row r="924" spans="1:5">
      <c r="A924" s="110"/>
      <c r="B924" s="110"/>
      <c r="C924" s="67" t="s">
        <v>627</v>
      </c>
      <c r="D924" s="67"/>
      <c r="E924" s="74"/>
    </row>
    <row r="925" spans="1:5">
      <c r="A925" s="110"/>
      <c r="B925" s="110"/>
      <c r="C925" s="67" t="s">
        <v>102</v>
      </c>
      <c r="D925" s="67"/>
    </row>
    <row r="926" spans="1:5">
      <c r="A926" s="105" t="s">
        <v>683</v>
      </c>
      <c r="B926" s="105" t="s">
        <v>1</v>
      </c>
      <c r="C926" s="70" t="s">
        <v>945</v>
      </c>
      <c r="D926" s="70"/>
    </row>
    <row r="927" spans="1:5">
      <c r="A927" s="87"/>
      <c r="B927" s="87"/>
      <c r="C927" s="70" t="s">
        <v>688</v>
      </c>
      <c r="D927" s="70"/>
    </row>
    <row r="928" spans="1:5">
      <c r="A928" s="87"/>
      <c r="B928" s="87"/>
      <c r="C928" s="70" t="s">
        <v>687</v>
      </c>
      <c r="D928" s="70"/>
    </row>
    <row r="929" spans="1:5">
      <c r="A929" s="106" t="s">
        <v>43</v>
      </c>
      <c r="B929" s="106" t="s">
        <v>1</v>
      </c>
      <c r="C929" s="73" t="s">
        <v>312</v>
      </c>
      <c r="D929" s="73"/>
    </row>
    <row r="930" spans="1:5">
      <c r="A930" s="107"/>
      <c r="B930" s="107"/>
      <c r="C930" s="73" t="s">
        <v>229</v>
      </c>
      <c r="D930" s="73"/>
    </row>
    <row r="931" spans="1:5">
      <c r="A931" s="107"/>
      <c r="B931" s="107"/>
      <c r="C931" s="67" t="s">
        <v>228</v>
      </c>
      <c r="D931" s="67"/>
    </row>
    <row r="932" spans="1:5">
      <c r="A932" s="107"/>
      <c r="B932" s="107"/>
      <c r="C932" s="67" t="s">
        <v>230</v>
      </c>
      <c r="D932" s="67"/>
    </row>
    <row r="933" spans="1:5">
      <c r="A933" s="107"/>
      <c r="B933" s="107"/>
      <c r="C933" s="67" t="s">
        <v>102</v>
      </c>
      <c r="D933" s="67"/>
    </row>
    <row r="934" spans="1:5">
      <c r="A934" s="113" t="s">
        <v>44</v>
      </c>
      <c r="B934" s="113" t="s">
        <v>1</v>
      </c>
      <c r="C934" s="75" t="s">
        <v>228</v>
      </c>
      <c r="D934" s="75"/>
    </row>
    <row r="935" spans="1:5">
      <c r="A935" s="114"/>
      <c r="B935" s="114"/>
      <c r="C935" s="75" t="s">
        <v>229</v>
      </c>
      <c r="D935" s="75"/>
    </row>
    <row r="936" spans="1:5">
      <c r="A936" s="114"/>
      <c r="B936" s="114"/>
      <c r="C936" s="70" t="s">
        <v>230</v>
      </c>
      <c r="D936" s="70"/>
    </row>
    <row r="937" spans="1:5">
      <c r="A937" s="114"/>
      <c r="B937" s="114"/>
      <c r="C937" s="70" t="s">
        <v>231</v>
      </c>
      <c r="D937" s="70"/>
    </row>
    <row r="938" spans="1:5">
      <c r="A938" s="114"/>
      <c r="B938" s="114"/>
      <c r="C938" s="70" t="s">
        <v>290</v>
      </c>
      <c r="D938" s="70"/>
    </row>
    <row r="939" spans="1:5">
      <c r="A939" s="114"/>
      <c r="B939" s="114"/>
      <c r="C939" s="75" t="s">
        <v>290</v>
      </c>
      <c r="D939" s="75"/>
    </row>
    <row r="940" spans="1:5">
      <c r="A940" s="114"/>
      <c r="B940" s="114"/>
      <c r="C940" s="75" t="s">
        <v>306</v>
      </c>
      <c r="D940" s="75"/>
    </row>
    <row r="941" spans="1:5">
      <c r="A941" s="114"/>
      <c r="B941" s="114"/>
      <c r="C941" s="70" t="s">
        <v>307</v>
      </c>
      <c r="D941" s="70"/>
    </row>
    <row r="942" spans="1:5">
      <c r="A942" s="114"/>
      <c r="B942" s="114"/>
      <c r="C942" s="75" t="s">
        <v>291</v>
      </c>
      <c r="D942" s="75"/>
    </row>
    <row r="943" spans="1:5">
      <c r="A943" s="114"/>
      <c r="B943" s="114"/>
      <c r="C943" s="75" t="s">
        <v>312</v>
      </c>
      <c r="D943" s="75"/>
    </row>
    <row r="944" spans="1:5">
      <c r="A944" s="114"/>
      <c r="B944" s="114"/>
      <c r="C944" s="70" t="s">
        <v>786</v>
      </c>
      <c r="D944" s="70" t="s">
        <v>786</v>
      </c>
      <c r="E944" s="17" t="s">
        <v>1200</v>
      </c>
    </row>
    <row r="945" spans="1:4">
      <c r="A945" s="142"/>
      <c r="B945" s="142"/>
      <c r="C945" s="70" t="s">
        <v>102</v>
      </c>
      <c r="D945" s="70"/>
    </row>
    <row r="946" spans="1:4" ht="14.25" customHeight="1">
      <c r="A946" s="106" t="s">
        <v>462</v>
      </c>
      <c r="B946" s="106" t="s">
        <v>1</v>
      </c>
      <c r="C946" s="73" t="s">
        <v>467</v>
      </c>
      <c r="D946" s="73"/>
    </row>
    <row r="947" spans="1:4">
      <c r="A947" s="107"/>
      <c r="B947" s="107"/>
      <c r="C947" s="73" t="s">
        <v>468</v>
      </c>
      <c r="D947" s="73"/>
    </row>
    <row r="948" spans="1:4">
      <c r="A948" s="107"/>
      <c r="B948" s="107"/>
      <c r="C948" s="67" t="s">
        <v>469</v>
      </c>
      <c r="D948" s="67"/>
    </row>
    <row r="949" spans="1:4">
      <c r="A949" s="107"/>
      <c r="B949" s="107"/>
      <c r="C949" s="67" t="s">
        <v>471</v>
      </c>
      <c r="D949" s="67"/>
    </row>
    <row r="950" spans="1:4">
      <c r="A950" s="107"/>
      <c r="B950" s="107"/>
      <c r="C950" s="67" t="s">
        <v>466</v>
      </c>
      <c r="D950" s="67"/>
    </row>
    <row r="951" spans="1:4">
      <c r="A951" s="107"/>
      <c r="B951" s="107"/>
      <c r="C951" s="73" t="s">
        <v>465</v>
      </c>
      <c r="D951" s="73"/>
    </row>
    <row r="952" spans="1:4">
      <c r="A952" s="107"/>
      <c r="B952" s="107"/>
      <c r="C952" s="73" t="s">
        <v>312</v>
      </c>
      <c r="D952" s="73"/>
    </row>
    <row r="953" spans="1:4">
      <c r="A953" s="107"/>
      <c r="B953" s="107"/>
      <c r="C953" s="67" t="s">
        <v>474</v>
      </c>
      <c r="D953" s="67" t="s">
        <v>640</v>
      </c>
    </row>
    <row r="954" spans="1:4">
      <c r="A954" s="107"/>
      <c r="B954" s="107"/>
      <c r="C954" s="67" t="s">
        <v>416</v>
      </c>
      <c r="D954" s="67" t="s">
        <v>417</v>
      </c>
    </row>
    <row r="955" spans="1:4">
      <c r="A955" s="107"/>
      <c r="B955" s="107"/>
      <c r="C955" s="67" t="s">
        <v>102</v>
      </c>
      <c r="D955" s="67"/>
    </row>
    <row r="956" spans="1:4">
      <c r="A956" s="113" t="s">
        <v>45</v>
      </c>
      <c r="B956" s="113" t="s">
        <v>1</v>
      </c>
      <c r="C956" s="70" t="s">
        <v>766</v>
      </c>
      <c r="D956" s="70"/>
    </row>
    <row r="957" spans="1:4">
      <c r="A957" s="114"/>
      <c r="B957" s="114"/>
      <c r="C957" s="70" t="s">
        <v>765</v>
      </c>
      <c r="D957" s="70"/>
    </row>
    <row r="958" spans="1:4">
      <c r="A958" s="114"/>
      <c r="B958" s="114"/>
      <c r="C958" s="70" t="s">
        <v>242</v>
      </c>
      <c r="D958" s="70"/>
    </row>
    <row r="959" spans="1:4">
      <c r="A959" s="114"/>
      <c r="B959" s="114"/>
      <c r="C959" s="70" t="s">
        <v>281</v>
      </c>
      <c r="D959" s="70"/>
    </row>
    <row r="960" spans="1:4">
      <c r="A960" s="114"/>
      <c r="B960" s="114"/>
      <c r="C960" s="70" t="s">
        <v>280</v>
      </c>
      <c r="D960" s="70"/>
    </row>
    <row r="961" spans="1:5">
      <c r="A961" s="114"/>
      <c r="B961" s="114"/>
      <c r="C961" s="70" t="s">
        <v>241</v>
      </c>
      <c r="D961" s="70"/>
    </row>
    <row r="962" spans="1:5">
      <c r="A962" s="114"/>
      <c r="B962" s="114"/>
      <c r="C962" s="70" t="s">
        <v>943</v>
      </c>
      <c r="D962" s="70"/>
    </row>
    <row r="963" spans="1:5">
      <c r="A963" s="114"/>
      <c r="B963" s="114"/>
      <c r="C963" s="70" t="s">
        <v>1162</v>
      </c>
      <c r="D963" s="70"/>
      <c r="E963" s="17" t="s">
        <v>1200</v>
      </c>
    </row>
    <row r="964" spans="1:5">
      <c r="A964" s="115" t="s">
        <v>47</v>
      </c>
      <c r="B964" s="106" t="s">
        <v>1</v>
      </c>
      <c r="C964" s="67" t="s">
        <v>657</v>
      </c>
      <c r="D964" s="67"/>
    </row>
    <row r="965" spans="1:5">
      <c r="A965" s="116"/>
      <c r="B965" s="107"/>
      <c r="C965" s="67" t="s">
        <v>658</v>
      </c>
      <c r="D965" s="67"/>
    </row>
    <row r="966" spans="1:5">
      <c r="A966" s="116"/>
      <c r="B966" s="107"/>
      <c r="C966" s="67" t="s">
        <v>72</v>
      </c>
      <c r="D966" s="67"/>
    </row>
    <row r="967" spans="1:5">
      <c r="A967" s="116"/>
      <c r="B967" s="107"/>
      <c r="C967" s="67" t="s">
        <v>659</v>
      </c>
      <c r="D967" s="67"/>
    </row>
    <row r="968" spans="1:5">
      <c r="A968" s="116"/>
      <c r="B968" s="107"/>
      <c r="C968" s="67" t="s">
        <v>660</v>
      </c>
      <c r="D968" s="67"/>
    </row>
    <row r="969" spans="1:5">
      <c r="A969" s="116"/>
      <c r="B969" s="107"/>
      <c r="C969" s="67" t="s">
        <v>974</v>
      </c>
      <c r="D969" s="67"/>
      <c r="E969" s="17" t="s">
        <v>1200</v>
      </c>
    </row>
    <row r="970" spans="1:5">
      <c r="A970" s="117" t="s">
        <v>48</v>
      </c>
      <c r="B970" s="113" t="s">
        <v>1</v>
      </c>
      <c r="C970" s="70" t="s">
        <v>470</v>
      </c>
      <c r="D970" s="70"/>
    </row>
    <row r="971" spans="1:5">
      <c r="A971" s="118"/>
      <c r="B971" s="114"/>
      <c r="C971" s="70" t="s">
        <v>643</v>
      </c>
      <c r="D971" s="70"/>
    </row>
    <row r="972" spans="1:5">
      <c r="A972" s="118"/>
      <c r="B972" s="114"/>
      <c r="C972" s="70" t="s">
        <v>243</v>
      </c>
      <c r="D972" s="70"/>
    </row>
    <row r="973" spans="1:5">
      <c r="A973" s="118"/>
      <c r="B973" s="114"/>
      <c r="C973" s="70" t="s">
        <v>244</v>
      </c>
      <c r="D973" s="70"/>
    </row>
    <row r="974" spans="1:5">
      <c r="A974" s="118"/>
      <c r="B974" s="114"/>
      <c r="C974" s="70" t="s">
        <v>644</v>
      </c>
      <c r="D974" s="70"/>
    </row>
    <row r="975" spans="1:5">
      <c r="A975" s="118"/>
      <c r="B975" s="114"/>
      <c r="C975" s="70" t="s">
        <v>245</v>
      </c>
      <c r="D975" s="70"/>
    </row>
    <row r="976" spans="1:5">
      <c r="A976" s="143"/>
      <c r="B976" s="142"/>
      <c r="C976" s="70" t="s">
        <v>102</v>
      </c>
      <c r="D976" s="70"/>
    </row>
    <row r="977" spans="1:5">
      <c r="A977" s="106" t="s">
        <v>461</v>
      </c>
      <c r="B977" s="106" t="s">
        <v>1</v>
      </c>
      <c r="C977" s="67" t="s">
        <v>350</v>
      </c>
      <c r="D977" s="67"/>
      <c r="E977" s="17" t="s">
        <v>1201</v>
      </c>
    </row>
    <row r="978" spans="1:5">
      <c r="A978" s="107"/>
      <c r="B978" s="107"/>
      <c r="C978" s="67" t="s">
        <v>351</v>
      </c>
      <c r="D978" s="67"/>
    </row>
    <row r="979" spans="1:5">
      <c r="A979" s="107"/>
      <c r="B979" s="107"/>
      <c r="C979" s="67" t="s">
        <v>352</v>
      </c>
      <c r="D979" s="67"/>
    </row>
    <row r="980" spans="1:5">
      <c r="A980" s="107"/>
      <c r="B980" s="107"/>
      <c r="C980" s="67" t="s">
        <v>353</v>
      </c>
      <c r="D980" s="67"/>
    </row>
    <row r="981" spans="1:5">
      <c r="A981" s="107"/>
      <c r="B981" s="107"/>
      <c r="C981" s="67" t="s">
        <v>354</v>
      </c>
      <c r="D981" s="67"/>
    </row>
    <row r="982" spans="1:5">
      <c r="A982" s="107"/>
      <c r="B982" s="107"/>
      <c r="C982" s="67" t="s">
        <v>355</v>
      </c>
      <c r="D982" s="67"/>
    </row>
    <row r="983" spans="1:5">
      <c r="A983" s="107"/>
      <c r="B983" s="107"/>
      <c r="C983" s="67" t="s">
        <v>399</v>
      </c>
      <c r="D983" s="67"/>
    </row>
    <row r="984" spans="1:5">
      <c r="A984" s="107"/>
      <c r="B984" s="107"/>
      <c r="C984" s="67" t="s">
        <v>400</v>
      </c>
      <c r="D984" s="67"/>
    </row>
    <row r="985" spans="1:5">
      <c r="A985" s="107"/>
      <c r="B985" s="107"/>
      <c r="C985" s="67" t="s">
        <v>1144</v>
      </c>
      <c r="D985" s="67" t="s">
        <v>1169</v>
      </c>
      <c r="E985" s="17" t="s">
        <v>1200</v>
      </c>
    </row>
    <row r="986" spans="1:5">
      <c r="A986" s="117" t="s">
        <v>49</v>
      </c>
      <c r="B986" s="113" t="s">
        <v>1</v>
      </c>
      <c r="C986" s="70" t="s">
        <v>239</v>
      </c>
      <c r="D986" s="70"/>
    </row>
    <row r="987" spans="1:5">
      <c r="A987" s="118"/>
      <c r="B987" s="114"/>
      <c r="C987" s="70" t="s">
        <v>240</v>
      </c>
      <c r="D987" s="70"/>
    </row>
    <row r="988" spans="1:5">
      <c r="A988" s="118"/>
      <c r="B988" s="114"/>
      <c r="C988" s="70" t="s">
        <v>661</v>
      </c>
      <c r="D988" s="70"/>
    </row>
    <row r="989" spans="1:5">
      <c r="A989" s="118"/>
      <c r="B989" s="114"/>
      <c r="C989" s="70" t="s">
        <v>662</v>
      </c>
      <c r="D989" s="70"/>
    </row>
    <row r="990" spans="1:5">
      <c r="A990" s="118"/>
      <c r="B990" s="114"/>
      <c r="C990" s="70" t="s">
        <v>663</v>
      </c>
      <c r="D990" s="70"/>
    </row>
    <row r="991" spans="1:5">
      <c r="A991" s="118"/>
      <c r="B991" s="114"/>
      <c r="C991" s="70" t="s">
        <v>684</v>
      </c>
      <c r="D991" s="70"/>
    </row>
    <row r="992" spans="1:5">
      <c r="A992" s="106" t="s">
        <v>50</v>
      </c>
      <c r="B992" s="106" t="s">
        <v>1</v>
      </c>
      <c r="C992" s="67" t="s">
        <v>229</v>
      </c>
      <c r="D992" s="67"/>
    </row>
    <row r="993" spans="1:5">
      <c r="A993" s="107"/>
      <c r="B993" s="107"/>
      <c r="C993" s="67" t="s">
        <v>228</v>
      </c>
      <c r="D993" s="67"/>
    </row>
    <row r="994" spans="1:5">
      <c r="A994" s="107"/>
      <c r="B994" s="107"/>
      <c r="C994" s="67" t="s">
        <v>246</v>
      </c>
      <c r="D994" s="67"/>
    </row>
    <row r="995" spans="1:5">
      <c r="A995" s="107"/>
      <c r="B995" s="107"/>
      <c r="C995" s="67" t="s">
        <v>230</v>
      </c>
      <c r="D995" s="67"/>
    </row>
    <row r="996" spans="1:5">
      <c r="A996" s="107"/>
      <c r="B996" s="107"/>
      <c r="C996" s="67" t="s">
        <v>247</v>
      </c>
      <c r="D996" s="67" t="s">
        <v>700</v>
      </c>
    </row>
    <row r="997" spans="1:5">
      <c r="A997" s="107"/>
      <c r="B997" s="107"/>
      <c r="C997" s="67" t="s">
        <v>102</v>
      </c>
      <c r="D997" s="67"/>
    </row>
    <row r="998" spans="1:5">
      <c r="A998" s="113" t="s">
        <v>51</v>
      </c>
      <c r="B998" s="113" t="s">
        <v>1</v>
      </c>
      <c r="C998" s="70" t="s">
        <v>750</v>
      </c>
      <c r="D998" s="70"/>
      <c r="E998" s="17" t="s">
        <v>1201</v>
      </c>
    </row>
    <row r="999" spans="1:5">
      <c r="A999" s="114"/>
      <c r="B999" s="114"/>
      <c r="C999" s="70" t="s">
        <v>751</v>
      </c>
      <c r="D999" s="70"/>
    </row>
    <row r="1000" spans="1:5">
      <c r="A1000" s="106" t="s">
        <v>52</v>
      </c>
      <c r="B1000" s="106" t="s">
        <v>1</v>
      </c>
      <c r="C1000" s="67" t="s">
        <v>709</v>
      </c>
      <c r="D1000" s="67"/>
    </row>
    <row r="1001" spans="1:5">
      <c r="A1001" s="107"/>
      <c r="B1001" s="107"/>
      <c r="C1001" s="67" t="s">
        <v>710</v>
      </c>
      <c r="D1001" s="67"/>
    </row>
    <row r="1002" spans="1:5">
      <c r="A1002" s="107"/>
      <c r="B1002" s="107"/>
      <c r="C1002" s="67" t="s">
        <v>711</v>
      </c>
      <c r="D1002" s="67"/>
    </row>
    <row r="1003" spans="1:5">
      <c r="A1003" s="107"/>
      <c r="B1003" s="107"/>
      <c r="C1003" s="67" t="s">
        <v>1198</v>
      </c>
      <c r="D1003" s="67"/>
      <c r="E1003" s="17" t="s">
        <v>1200</v>
      </c>
    </row>
    <row r="1004" spans="1:5">
      <c r="A1004" s="107"/>
      <c r="B1004" s="107"/>
      <c r="C1004" s="67" t="s">
        <v>712</v>
      </c>
      <c r="D1004" s="67"/>
    </row>
    <row r="1005" spans="1:5">
      <c r="A1005" s="107"/>
      <c r="B1005" s="107"/>
      <c r="C1005" s="67" t="s">
        <v>713</v>
      </c>
      <c r="D1005" s="67"/>
    </row>
    <row r="1006" spans="1:5">
      <c r="A1006" s="107"/>
      <c r="B1006" s="107"/>
      <c r="C1006" s="67" t="s">
        <v>1197</v>
      </c>
      <c r="D1006" s="67"/>
      <c r="E1006" s="17" t="s">
        <v>1200</v>
      </c>
    </row>
    <row r="1007" spans="1:5">
      <c r="A1007" s="107"/>
      <c r="B1007" s="107"/>
      <c r="C1007" s="67" t="s">
        <v>714</v>
      </c>
      <c r="D1007" s="67"/>
    </row>
    <row r="1008" spans="1:5">
      <c r="A1008" s="107"/>
      <c r="B1008" s="107"/>
      <c r="C1008" s="67" t="s">
        <v>715</v>
      </c>
      <c r="D1008" s="67"/>
    </row>
    <row r="1009" spans="1:4">
      <c r="A1009" s="107"/>
      <c r="B1009" s="107"/>
      <c r="C1009" s="67" t="s">
        <v>716</v>
      </c>
      <c r="D1009" s="67"/>
    </row>
    <row r="1010" spans="1:4">
      <c r="A1010" s="107"/>
      <c r="B1010" s="107"/>
      <c r="C1010" s="67" t="s">
        <v>717</v>
      </c>
      <c r="D1010" s="67"/>
    </row>
    <row r="1011" spans="1:4">
      <c r="A1011" s="107"/>
      <c r="B1011" s="107"/>
      <c r="C1011" s="67" t="s">
        <v>718</v>
      </c>
      <c r="D1011" s="67"/>
    </row>
    <row r="1012" spans="1:4">
      <c r="A1012" s="107"/>
      <c r="B1012" s="107"/>
      <c r="C1012" s="67" t="s">
        <v>1199</v>
      </c>
      <c r="D1012" s="67"/>
    </row>
    <row r="1013" spans="1:4">
      <c r="A1013" s="107"/>
      <c r="B1013" s="107"/>
      <c r="C1013" s="67" t="s">
        <v>719</v>
      </c>
      <c r="D1013" s="67"/>
    </row>
    <row r="1014" spans="1:4">
      <c r="A1014" s="107"/>
      <c r="B1014" s="107"/>
      <c r="C1014" s="67" t="s">
        <v>720</v>
      </c>
      <c r="D1014" s="67"/>
    </row>
    <row r="1015" spans="1:4">
      <c r="A1015" s="107"/>
      <c r="B1015" s="107"/>
      <c r="C1015" s="67" t="s">
        <v>721</v>
      </c>
      <c r="D1015" s="67"/>
    </row>
    <row r="1016" spans="1:4">
      <c r="A1016" s="107"/>
      <c r="B1016" s="107"/>
      <c r="C1016" s="67" t="s">
        <v>722</v>
      </c>
      <c r="D1016" s="67"/>
    </row>
    <row r="1017" spans="1:4">
      <c r="A1017" s="107"/>
      <c r="B1017" s="107"/>
      <c r="C1017" s="67" t="s">
        <v>723</v>
      </c>
      <c r="D1017" s="67"/>
    </row>
    <row r="1018" spans="1:4">
      <c r="A1018" s="107"/>
      <c r="B1018" s="107"/>
      <c r="C1018" s="67" t="s">
        <v>724</v>
      </c>
      <c r="D1018" s="67"/>
    </row>
    <row r="1019" spans="1:4">
      <c r="A1019" s="107"/>
      <c r="B1019" s="107"/>
      <c r="C1019" s="67" t="s">
        <v>725</v>
      </c>
      <c r="D1019" s="67"/>
    </row>
    <row r="1020" spans="1:4">
      <c r="A1020" s="107"/>
      <c r="B1020" s="107"/>
      <c r="C1020" s="67" t="s">
        <v>726</v>
      </c>
      <c r="D1020" s="67"/>
    </row>
    <row r="1021" spans="1:4">
      <c r="A1021" s="107"/>
      <c r="B1021" s="107"/>
      <c r="C1021" s="67" t="s">
        <v>727</v>
      </c>
      <c r="D1021" s="67"/>
    </row>
    <row r="1022" spans="1:4">
      <c r="A1022" s="107"/>
      <c r="B1022" s="107"/>
      <c r="C1022" s="67" t="s">
        <v>935</v>
      </c>
      <c r="D1022" s="67"/>
    </row>
    <row r="1023" spans="1:4">
      <c r="A1023" s="107"/>
      <c r="B1023" s="107"/>
      <c r="C1023" s="67" t="s">
        <v>728</v>
      </c>
      <c r="D1023" s="67"/>
    </row>
    <row r="1024" spans="1:4">
      <c r="A1024" s="107"/>
      <c r="B1024" s="107"/>
      <c r="C1024" s="67" t="s">
        <v>729</v>
      </c>
      <c r="D1024" s="67"/>
    </row>
    <row r="1025" spans="1:5">
      <c r="A1025" s="107"/>
      <c r="B1025" s="107"/>
      <c r="C1025" s="67" t="s">
        <v>730</v>
      </c>
      <c r="D1025" s="67"/>
    </row>
    <row r="1026" spans="1:5">
      <c r="A1026" s="107"/>
      <c r="B1026" s="107"/>
      <c r="C1026" s="67" t="s">
        <v>731</v>
      </c>
      <c r="D1026" s="67"/>
    </row>
    <row r="1027" spans="1:5">
      <c r="A1027" s="107"/>
      <c r="B1027" s="107"/>
      <c r="C1027" s="67" t="s">
        <v>732</v>
      </c>
      <c r="D1027" s="67"/>
    </row>
    <row r="1028" spans="1:5">
      <c r="A1028" s="107"/>
      <c r="B1028" s="107"/>
      <c r="C1028" s="67" t="s">
        <v>733</v>
      </c>
      <c r="D1028" s="67"/>
    </row>
    <row r="1029" spans="1:5">
      <c r="A1029" s="107"/>
      <c r="B1029" s="107"/>
      <c r="C1029" s="67" t="s">
        <v>734</v>
      </c>
      <c r="D1029" s="67"/>
    </row>
    <row r="1030" spans="1:5">
      <c r="A1030" s="107"/>
      <c r="B1030" s="107"/>
      <c r="C1030" s="67" t="s">
        <v>735</v>
      </c>
      <c r="D1030" s="67"/>
    </row>
    <row r="1031" spans="1:5">
      <c r="A1031" s="107"/>
      <c r="B1031" s="107"/>
      <c r="C1031" s="153" t="s">
        <v>736</v>
      </c>
      <c r="D1031" s="67"/>
      <c r="E1031" s="17" t="s">
        <v>1200</v>
      </c>
    </row>
    <row r="1032" spans="1:5">
      <c r="A1032" s="107"/>
      <c r="B1032" s="107"/>
      <c r="C1032" s="67" t="s">
        <v>737</v>
      </c>
      <c r="D1032" s="67"/>
    </row>
    <row r="1033" spans="1:5">
      <c r="A1033" s="107"/>
      <c r="B1033" s="107"/>
      <c r="C1033" s="67" t="s">
        <v>102</v>
      </c>
      <c r="D1033" s="67"/>
    </row>
    <row r="1034" spans="1:5">
      <c r="A1034" s="83" t="s">
        <v>506</v>
      </c>
      <c r="B1034" s="83" t="s">
        <v>1</v>
      </c>
      <c r="C1034" s="70" t="s">
        <v>472</v>
      </c>
      <c r="D1034" s="70"/>
      <c r="E1034" s="17" t="s">
        <v>1201</v>
      </c>
    </row>
    <row r="1035" spans="1:5">
      <c r="A1035" s="84"/>
      <c r="B1035" s="84"/>
      <c r="C1035" s="70" t="s">
        <v>473</v>
      </c>
      <c r="D1035" s="70"/>
    </row>
    <row r="1036" spans="1:5">
      <c r="A1036" s="84"/>
      <c r="B1036" s="84"/>
      <c r="C1036" s="70" t="s">
        <v>102</v>
      </c>
      <c r="D1036" s="70"/>
    </row>
    <row r="1037" spans="1:5">
      <c r="A1037" s="106" t="s">
        <v>790</v>
      </c>
      <c r="B1037" s="106" t="s">
        <v>1</v>
      </c>
      <c r="C1037" s="67" t="s">
        <v>248</v>
      </c>
      <c r="D1037" s="67"/>
    </row>
    <row r="1038" spans="1:5">
      <c r="A1038" s="107"/>
      <c r="B1038" s="107"/>
      <c r="C1038" s="67" t="s">
        <v>670</v>
      </c>
      <c r="D1038" s="67" t="s">
        <v>671</v>
      </c>
    </row>
    <row r="1039" spans="1:5">
      <c r="A1039" s="107"/>
      <c r="B1039" s="107"/>
      <c r="C1039" s="67" t="s">
        <v>668</v>
      </c>
      <c r="D1039" s="67" t="s">
        <v>673</v>
      </c>
    </row>
    <row r="1040" spans="1:5">
      <c r="A1040" s="107"/>
      <c r="B1040" s="107"/>
      <c r="C1040" s="67" t="s">
        <v>669</v>
      </c>
      <c r="D1040" s="67" t="s">
        <v>672</v>
      </c>
    </row>
    <row r="1044" spans="4:4">
      <c r="D1044" s="69"/>
    </row>
    <row r="1045" spans="4:4">
      <c r="D1045" s="69"/>
    </row>
    <row r="1046" spans="4:4">
      <c r="D1046" s="69"/>
    </row>
    <row r="1047" spans="4:4">
      <c r="D1047" s="69"/>
    </row>
    <row r="1065" spans="1:4">
      <c r="D1065" s="41"/>
    </row>
    <row r="1070" spans="1:4">
      <c r="A1070" s="41"/>
    </row>
    <row r="1072" spans="1:4">
      <c r="C1072" s="17"/>
    </row>
    <row r="1073" spans="1:8" s="12" customFormat="1">
      <c r="B1073" s="17"/>
      <c r="C1073" s="17"/>
      <c r="E1073" s="17"/>
      <c r="F1073" s="17"/>
      <c r="G1073" s="17"/>
      <c r="H1073" s="17"/>
    </row>
    <row r="1074" spans="1:8" s="12" customFormat="1">
      <c r="A1074" s="54"/>
      <c r="B1074" s="17"/>
      <c r="C1074" s="17"/>
      <c r="E1074" s="17"/>
      <c r="F1074" s="17"/>
      <c r="G1074" s="17"/>
      <c r="H1074" s="17"/>
    </row>
    <row r="1075" spans="1:8" s="12" customFormat="1">
      <c r="B1075" s="17"/>
      <c r="C1075" s="69"/>
      <c r="E1075" s="17"/>
      <c r="F1075" s="17"/>
      <c r="G1075" s="17"/>
      <c r="H1075" s="17"/>
    </row>
    <row r="1076" spans="1:8" s="12" customFormat="1">
      <c r="B1076" s="17"/>
      <c r="C1076" s="69" t="s">
        <v>429</v>
      </c>
      <c r="E1076" s="17"/>
      <c r="F1076" s="17"/>
      <c r="G1076" s="17"/>
      <c r="H1076" s="17"/>
    </row>
    <row r="1077" spans="1:8" s="12" customFormat="1">
      <c r="B1077" s="17"/>
      <c r="C1077" s="69" t="s">
        <v>2</v>
      </c>
      <c r="E1077" s="17"/>
      <c r="F1077" s="17"/>
      <c r="G1077" s="17"/>
      <c r="H1077" s="17"/>
    </row>
    <row r="1078" spans="1:8" s="12" customFormat="1">
      <c r="B1078" s="17"/>
      <c r="C1078" s="69" t="s">
        <v>432</v>
      </c>
      <c r="E1078" s="17"/>
      <c r="F1078" s="17"/>
      <c r="G1078" s="17"/>
      <c r="H1078" s="17"/>
    </row>
    <row r="1079" spans="1:8" s="12" customFormat="1">
      <c r="B1079" s="17"/>
      <c r="C1079" s="69" t="s">
        <v>430</v>
      </c>
      <c r="E1079" s="17"/>
      <c r="F1079" s="17"/>
      <c r="G1079" s="17"/>
      <c r="H1079" s="17"/>
    </row>
    <row r="1080" spans="1:8" s="12" customFormat="1">
      <c r="B1080" s="17"/>
      <c r="C1080" s="69"/>
      <c r="E1080" s="17"/>
      <c r="F1080" s="17"/>
      <c r="G1080" s="17"/>
      <c r="H1080" s="17"/>
    </row>
    <row r="1081" spans="1:8" s="12" customFormat="1">
      <c r="B1081" s="17"/>
      <c r="C1081" s="69" t="s">
        <v>429</v>
      </c>
      <c r="E1081" s="17"/>
      <c r="F1081" s="17"/>
      <c r="G1081" s="17"/>
      <c r="H1081" s="17"/>
    </row>
    <row r="1082" spans="1:8" s="12" customFormat="1">
      <c r="B1082" s="17"/>
      <c r="C1082" s="69" t="s">
        <v>2</v>
      </c>
      <c r="E1082" s="17"/>
      <c r="F1082" s="17"/>
      <c r="G1082" s="17"/>
      <c r="H1082" s="17"/>
    </row>
    <row r="1083" spans="1:8" s="12" customFormat="1">
      <c r="B1083" s="17"/>
      <c r="C1083" s="69" t="s">
        <v>432</v>
      </c>
      <c r="E1083" s="17"/>
      <c r="F1083" s="17"/>
      <c r="G1083" s="17"/>
      <c r="H1083" s="17"/>
    </row>
    <row r="1084" spans="1:8" s="12" customFormat="1">
      <c r="B1084" s="17"/>
      <c r="C1084" s="69" t="s">
        <v>430</v>
      </c>
      <c r="E1084" s="17"/>
      <c r="F1084" s="17"/>
      <c r="G1084" s="17"/>
      <c r="H1084" s="17"/>
    </row>
    <row r="1085" spans="1:8" s="12" customFormat="1">
      <c r="B1085" s="17"/>
      <c r="C1085" s="69" t="s">
        <v>783</v>
      </c>
      <c r="E1085" s="17"/>
      <c r="F1085" s="17"/>
      <c r="G1085" s="17"/>
      <c r="H1085" s="17"/>
    </row>
    <row r="1086" spans="1:8" s="12" customFormat="1">
      <c r="B1086" s="17"/>
      <c r="C1086" s="69"/>
      <c r="E1086" s="17"/>
      <c r="F1086" s="17"/>
      <c r="G1086" s="17"/>
      <c r="H1086" s="17"/>
    </row>
    <row r="1087" spans="1:8" s="12" customFormat="1">
      <c r="A1087" s="41"/>
      <c r="B1087" s="17"/>
      <c r="C1087" s="69" t="s">
        <v>429</v>
      </c>
      <c r="E1087" s="17"/>
      <c r="F1087" s="17"/>
      <c r="G1087" s="17"/>
      <c r="H1087" s="17"/>
    </row>
    <row r="1088" spans="1:8" s="12" customFormat="1">
      <c r="B1088" s="17"/>
      <c r="C1088" s="69" t="s">
        <v>2</v>
      </c>
      <c r="E1088" s="17"/>
      <c r="F1088" s="17"/>
      <c r="G1088" s="17"/>
      <c r="H1088" s="17"/>
    </row>
    <row r="1089" spans="2:8" s="12" customFormat="1">
      <c r="B1089" s="17"/>
      <c r="C1089" s="69" t="s">
        <v>430</v>
      </c>
      <c r="E1089" s="17"/>
      <c r="F1089" s="17"/>
      <c r="G1089" s="17"/>
      <c r="H1089" s="17"/>
    </row>
    <row r="1090" spans="2:8" s="12" customFormat="1">
      <c r="B1090" s="17"/>
      <c r="C1090" s="69"/>
      <c r="E1090" s="17"/>
      <c r="F1090" s="17"/>
      <c r="G1090" s="17"/>
      <c r="H1090" s="17"/>
    </row>
    <row r="1091" spans="2:8" s="12" customFormat="1">
      <c r="B1091" s="17"/>
      <c r="C1091" s="69" t="s">
        <v>791</v>
      </c>
      <c r="E1091" s="17"/>
      <c r="F1091" s="17"/>
      <c r="G1091" s="17"/>
      <c r="H1091" s="17"/>
    </row>
    <row r="1092" spans="2:8" s="12" customFormat="1">
      <c r="B1092" s="17"/>
      <c r="C1092" s="69" t="s">
        <v>102</v>
      </c>
      <c r="E1092" s="17"/>
      <c r="F1092" s="17"/>
      <c r="G1092" s="17"/>
      <c r="H1092" s="17"/>
    </row>
    <row r="1093" spans="2:8" s="12" customFormat="1">
      <c r="B1093" s="17"/>
      <c r="C1093" s="69"/>
      <c r="E1093" s="17"/>
      <c r="F1093" s="17"/>
      <c r="G1093" s="17"/>
      <c r="H1093" s="17"/>
    </row>
    <row r="1094" spans="2:8" s="12" customFormat="1">
      <c r="B1094" s="17"/>
      <c r="C1094" s="69" t="s">
        <v>156</v>
      </c>
      <c r="E1094" s="17"/>
      <c r="F1094" s="17"/>
      <c r="G1094" s="17"/>
      <c r="H1094" s="17"/>
    </row>
    <row r="1095" spans="2:8" s="12" customFormat="1">
      <c r="B1095" s="17"/>
      <c r="C1095" s="69" t="s">
        <v>681</v>
      </c>
      <c r="E1095" s="17"/>
      <c r="F1095" s="17"/>
      <c r="G1095" s="17"/>
      <c r="H1095" s="17"/>
    </row>
    <row r="1096" spans="2:8" s="12" customFormat="1">
      <c r="B1096" s="17"/>
      <c r="C1096" s="69" t="s">
        <v>680</v>
      </c>
      <c r="E1096" s="17"/>
      <c r="F1096" s="17"/>
      <c r="G1096" s="17"/>
      <c r="H1096" s="17"/>
    </row>
    <row r="1097" spans="2:8" s="12" customFormat="1">
      <c r="B1097" s="17"/>
      <c r="C1097" s="69" t="s">
        <v>79</v>
      </c>
      <c r="E1097" s="17"/>
      <c r="F1097" s="17"/>
      <c r="G1097" s="17"/>
      <c r="H1097" s="17"/>
    </row>
    <row r="1098" spans="2:8" s="12" customFormat="1">
      <c r="B1098" s="17"/>
      <c r="C1098" s="69" t="s">
        <v>381</v>
      </c>
      <c r="E1098" s="17"/>
      <c r="F1098" s="17"/>
      <c r="G1098" s="17"/>
      <c r="H1098" s="17"/>
    </row>
    <row r="1099" spans="2:8" s="12" customFormat="1">
      <c r="B1099" s="17"/>
      <c r="C1099" s="69" t="s">
        <v>72</v>
      </c>
      <c r="E1099" s="17"/>
      <c r="F1099" s="17"/>
      <c r="G1099" s="17"/>
      <c r="H1099" s="17"/>
    </row>
    <row r="1100" spans="2:8" s="12" customFormat="1">
      <c r="B1100" s="17"/>
      <c r="C1100" s="69" t="s">
        <v>97</v>
      </c>
      <c r="E1100" s="17"/>
      <c r="F1100" s="17"/>
      <c r="G1100" s="17"/>
      <c r="H1100" s="17"/>
    </row>
    <row r="1101" spans="2:8" s="12" customFormat="1">
      <c r="B1101" s="17"/>
      <c r="C1101" s="69" t="s">
        <v>98</v>
      </c>
      <c r="E1101" s="17"/>
      <c r="F1101" s="17"/>
      <c r="G1101" s="17"/>
      <c r="H1101" s="17"/>
    </row>
    <row r="1102" spans="2:8" s="12" customFormat="1">
      <c r="B1102" s="17"/>
      <c r="C1102" s="69" t="s">
        <v>377</v>
      </c>
      <c r="E1102" s="17"/>
      <c r="F1102" s="17"/>
      <c r="G1102" s="17"/>
      <c r="H1102" s="17"/>
    </row>
    <row r="1103" spans="2:8" s="12" customFormat="1">
      <c r="B1103" s="17"/>
      <c r="C1103" s="69" t="s">
        <v>382</v>
      </c>
      <c r="E1103" s="17"/>
      <c r="F1103" s="17"/>
      <c r="G1103" s="17"/>
      <c r="H1103" s="17"/>
    </row>
    <row r="1104" spans="2:8" s="12" customFormat="1">
      <c r="B1104" s="17"/>
      <c r="C1104" s="69" t="s">
        <v>163</v>
      </c>
      <c r="E1104" s="17"/>
      <c r="F1104" s="17"/>
      <c r="G1104" s="17"/>
      <c r="H1104" s="17"/>
    </row>
    <row r="1105" spans="2:8" s="12" customFormat="1">
      <c r="B1105" s="17"/>
      <c r="C1105" s="69" t="s">
        <v>102</v>
      </c>
      <c r="E1105" s="17"/>
      <c r="F1105" s="17"/>
      <c r="G1105" s="17"/>
      <c r="H1105" s="17"/>
    </row>
    <row r="1106" spans="2:8" s="12" customFormat="1">
      <c r="B1106" s="17"/>
      <c r="C1106" s="69"/>
      <c r="E1106" s="17"/>
      <c r="F1106" s="17"/>
      <c r="G1106" s="17"/>
      <c r="H1106" s="17"/>
    </row>
    <row r="1107" spans="2:8" s="12" customFormat="1">
      <c r="B1107" s="17"/>
      <c r="C1107" s="69"/>
      <c r="E1107" s="17"/>
      <c r="F1107" s="17"/>
      <c r="G1107" s="17"/>
      <c r="H1107" s="17"/>
    </row>
    <row r="1108" spans="2:8">
      <c r="C1108" s="69" t="s">
        <v>302</v>
      </c>
    </row>
    <row r="1109" spans="2:8" s="12" customFormat="1">
      <c r="B1109" s="17"/>
      <c r="C1109" s="69" t="s">
        <v>303</v>
      </c>
      <c r="E1109" s="17"/>
      <c r="F1109" s="17"/>
      <c r="G1109" s="17"/>
      <c r="H1109" s="17"/>
    </row>
    <row r="1110" spans="2:8" s="12" customFormat="1">
      <c r="B1110" s="17"/>
      <c r="C1110" s="69" t="s">
        <v>301</v>
      </c>
      <c r="E1110" s="17"/>
      <c r="F1110" s="17"/>
      <c r="G1110" s="17"/>
      <c r="H1110" s="17"/>
    </row>
    <row r="1111" spans="2:8" s="12" customFormat="1">
      <c r="B1111" s="17"/>
      <c r="C1111" s="69" t="s">
        <v>102</v>
      </c>
      <c r="E1111" s="17"/>
      <c r="F1111" s="17"/>
      <c r="G1111" s="17"/>
      <c r="H1111" s="17"/>
    </row>
    <row r="1112" spans="2:8" s="12" customFormat="1">
      <c r="B1112" s="17"/>
      <c r="C1112" s="69"/>
      <c r="E1112" s="17"/>
      <c r="F1112" s="17"/>
      <c r="G1112" s="17"/>
      <c r="H1112" s="17"/>
    </row>
    <row r="1113" spans="2:8" s="12" customFormat="1">
      <c r="B1113" s="17"/>
      <c r="C1113" s="69" t="s">
        <v>76</v>
      </c>
      <c r="E1113" s="17"/>
      <c r="F1113" s="17"/>
      <c r="G1113" s="17"/>
      <c r="H1113" s="17"/>
    </row>
    <row r="1114" spans="2:8" s="12" customFormat="1">
      <c r="B1114" s="17"/>
      <c r="C1114" s="69" t="s">
        <v>88</v>
      </c>
      <c r="E1114" s="17"/>
      <c r="F1114" s="17"/>
      <c r="G1114" s="17"/>
      <c r="H1114" s="17"/>
    </row>
    <row r="1115" spans="2:8" s="12" customFormat="1">
      <c r="B1115" s="17"/>
      <c r="C1115" s="69" t="s">
        <v>78</v>
      </c>
      <c r="E1115" s="17"/>
      <c r="F1115" s="17"/>
      <c r="G1115" s="17"/>
      <c r="H1115" s="17"/>
    </row>
    <row r="1116" spans="2:8" s="12" customFormat="1">
      <c r="B1116" s="17"/>
      <c r="C1116" s="69" t="s">
        <v>102</v>
      </c>
      <c r="E1116" s="17"/>
      <c r="F1116" s="17"/>
      <c r="G1116" s="17"/>
      <c r="H1116" s="17"/>
    </row>
    <row r="1117" spans="2:8" s="12" customFormat="1">
      <c r="B1117" s="17"/>
      <c r="C1117" s="69"/>
      <c r="E1117" s="17"/>
      <c r="F1117" s="17"/>
      <c r="G1117" s="17"/>
      <c r="H1117" s="17"/>
    </row>
    <row r="1118" spans="2:8" s="12" customFormat="1">
      <c r="B1118" s="17"/>
      <c r="C1118" s="69" t="s">
        <v>821</v>
      </c>
      <c r="E1118" s="17"/>
      <c r="F1118" s="17"/>
      <c r="G1118" s="17"/>
      <c r="H1118" s="17"/>
    </row>
    <row r="1119" spans="2:8" s="12" customFormat="1">
      <c r="B1119" s="17"/>
      <c r="C1119" s="69" t="s">
        <v>822</v>
      </c>
      <c r="E1119" s="17"/>
      <c r="F1119" s="17"/>
      <c r="G1119" s="17"/>
      <c r="H1119" s="17"/>
    </row>
    <row r="1120" spans="2:8" s="12" customFormat="1">
      <c r="B1120" s="17"/>
      <c r="C1120" s="69"/>
      <c r="E1120" s="17"/>
      <c r="F1120" s="17"/>
      <c r="G1120" s="17"/>
      <c r="H1120" s="17"/>
    </row>
    <row r="1121" spans="2:8">
      <c r="C1121" s="69" t="s">
        <v>821</v>
      </c>
    </row>
    <row r="1122" spans="2:8" s="12" customFormat="1">
      <c r="B1122" s="17"/>
      <c r="C1122" s="69" t="s">
        <v>54</v>
      </c>
      <c r="E1122" s="17"/>
      <c r="F1122" s="17"/>
      <c r="G1122" s="17"/>
      <c r="H1122" s="17"/>
    </row>
    <row r="1123" spans="2:8" s="12" customFormat="1">
      <c r="B1123" s="17"/>
      <c r="C1123" s="69" t="s">
        <v>69</v>
      </c>
      <c r="E1123" s="17"/>
      <c r="F1123" s="17"/>
      <c r="G1123" s="17"/>
      <c r="H1123" s="17"/>
    </row>
    <row r="1124" spans="2:8" s="12" customFormat="1">
      <c r="B1124" s="17"/>
      <c r="C1124" s="69" t="s">
        <v>624</v>
      </c>
      <c r="E1124" s="17"/>
      <c r="F1124" s="17"/>
      <c r="G1124" s="17"/>
      <c r="H1124" s="17"/>
    </row>
    <row r="1125" spans="2:8">
      <c r="C1125" s="69" t="s">
        <v>956</v>
      </c>
    </row>
    <row r="1126" spans="2:8">
      <c r="C1126" s="69" t="s">
        <v>102</v>
      </c>
    </row>
    <row r="1129" spans="2:8">
      <c r="C1129" s="69" t="s">
        <v>414</v>
      </c>
    </row>
    <row r="1130" spans="2:8">
      <c r="C1130" s="69" t="s">
        <v>262</v>
      </c>
    </row>
    <row r="1131" spans="2:8">
      <c r="C1131" s="69" t="s">
        <v>653</v>
      </c>
    </row>
    <row r="1132" spans="2:8">
      <c r="C1132" s="69" t="s">
        <v>156</v>
      </c>
    </row>
    <row r="1133" spans="2:8">
      <c r="C1133" s="69" t="s">
        <v>647</v>
      </c>
    </row>
    <row r="1134" spans="2:8">
      <c r="C1134" s="69" t="s">
        <v>649</v>
      </c>
    </row>
    <row r="1135" spans="2:8">
      <c r="C1135" s="69" t="s">
        <v>66</v>
      </c>
    </row>
    <row r="1136" spans="2:8">
      <c r="C1136" s="69" t="s">
        <v>269</v>
      </c>
    </row>
    <row r="1137" spans="3:3">
      <c r="C1137" s="69" t="s">
        <v>654</v>
      </c>
    </row>
    <row r="1138" spans="3:3">
      <c r="C1138" s="69" t="s">
        <v>140</v>
      </c>
    </row>
    <row r="1139" spans="3:3">
      <c r="C1139" s="69" t="s">
        <v>256</v>
      </c>
    </row>
    <row r="1140" spans="3:3">
      <c r="C1140" s="69" t="s">
        <v>122</v>
      </c>
    </row>
    <row r="1141" spans="3:3">
      <c r="C1141" s="69" t="s">
        <v>270</v>
      </c>
    </row>
    <row r="1142" spans="3:3">
      <c r="C1142" s="69" t="s">
        <v>708</v>
      </c>
    </row>
    <row r="1143" spans="3:3">
      <c r="C1143" s="69" t="s">
        <v>1170</v>
      </c>
    </row>
    <row r="1144" spans="3:3">
      <c r="C1144" s="69" t="s">
        <v>267</v>
      </c>
    </row>
    <row r="1145" spans="3:3">
      <c r="C1145" s="69" t="s">
        <v>264</v>
      </c>
    </row>
    <row r="1146" spans="3:3">
      <c r="C1146" s="69" t="s">
        <v>265</v>
      </c>
    </row>
    <row r="1147" spans="3:3">
      <c r="C1147" s="69" t="s">
        <v>254</v>
      </c>
    </row>
    <row r="1148" spans="3:3">
      <c r="C1148" s="69" t="s">
        <v>261</v>
      </c>
    </row>
    <row r="1149" spans="3:3">
      <c r="C1149" s="69" t="s">
        <v>71</v>
      </c>
    </row>
    <row r="1150" spans="3:3">
      <c r="C1150" s="69" t="s">
        <v>259</v>
      </c>
    </row>
    <row r="1151" spans="3:3">
      <c r="C1151" s="69" t="s">
        <v>75</v>
      </c>
    </row>
    <row r="1152" spans="3:3">
      <c r="C1152" s="69" t="s">
        <v>263</v>
      </c>
    </row>
    <row r="1153" spans="3:3">
      <c r="C1153" s="69" t="s">
        <v>651</v>
      </c>
    </row>
    <row r="1154" spans="3:3">
      <c r="C1154" s="69" t="s">
        <v>652</v>
      </c>
    </row>
    <row r="1155" spans="3:3">
      <c r="C1155" s="69" t="s">
        <v>266</v>
      </c>
    </row>
    <row r="1156" spans="3:3">
      <c r="C1156" s="69" t="s">
        <v>85</v>
      </c>
    </row>
    <row r="1157" spans="3:3">
      <c r="C1157" s="69" t="s">
        <v>648</v>
      </c>
    </row>
    <row r="1158" spans="3:3">
      <c r="C1158" s="69" t="s">
        <v>646</v>
      </c>
    </row>
    <row r="1159" spans="3:3">
      <c r="C1159" s="69" t="s">
        <v>656</v>
      </c>
    </row>
    <row r="1160" spans="3:3">
      <c r="C1160" s="69" t="s">
        <v>255</v>
      </c>
    </row>
    <row r="1161" spans="3:3">
      <c r="C1161" s="69" t="s">
        <v>738</v>
      </c>
    </row>
    <row r="1162" spans="3:3">
      <c r="C1162" s="69" t="s">
        <v>34</v>
      </c>
    </row>
    <row r="1163" spans="3:3" ht="14.45" customHeight="1">
      <c r="C1163" s="69" t="s">
        <v>645</v>
      </c>
    </row>
    <row r="1164" spans="3:3">
      <c r="C1164" s="69" t="s">
        <v>650</v>
      </c>
    </row>
    <row r="1165" spans="3:3">
      <c r="C1165" s="69" t="s">
        <v>252</v>
      </c>
    </row>
    <row r="1166" spans="3:3">
      <c r="C1166" s="69" t="s">
        <v>258</v>
      </c>
    </row>
    <row r="1167" spans="3:3">
      <c r="C1167" s="69" t="s">
        <v>257</v>
      </c>
    </row>
    <row r="1168" spans="3:3">
      <c r="C1168" s="69" t="s">
        <v>253</v>
      </c>
    </row>
    <row r="1169" spans="3:3">
      <c r="C1169" s="69" t="s">
        <v>260</v>
      </c>
    </row>
    <row r="1170" spans="3:3">
      <c r="C1170" s="69" t="s">
        <v>102</v>
      </c>
    </row>
    <row r="1171" spans="3:3">
      <c r="C1171" s="69" t="s">
        <v>878</v>
      </c>
    </row>
    <row r="1172" spans="3:3">
      <c r="C1172" s="69" t="s">
        <v>879</v>
      </c>
    </row>
    <row r="1173" spans="3:3">
      <c r="C1173" s="69" t="s">
        <v>880</v>
      </c>
    </row>
    <row r="1174" spans="3:3">
      <c r="C1174" s="69" t="s">
        <v>881</v>
      </c>
    </row>
    <row r="1175" spans="3:3">
      <c r="C1175" s="69" t="s">
        <v>882</v>
      </c>
    </row>
    <row r="1176" spans="3:3">
      <c r="C1176" s="69" t="s">
        <v>883</v>
      </c>
    </row>
    <row r="1177" spans="3:3">
      <c r="C1177" s="69" t="s">
        <v>884</v>
      </c>
    </row>
    <row r="1178" spans="3:3">
      <c r="C1178" s="69" t="s">
        <v>885</v>
      </c>
    </row>
    <row r="1179" spans="3:3">
      <c r="C1179" s="69" t="s">
        <v>886</v>
      </c>
    </row>
    <row r="1180" spans="3:3">
      <c r="C1180" s="69" t="s">
        <v>887</v>
      </c>
    </row>
    <row r="1181" spans="3:3">
      <c r="C1181" s="69" t="s">
        <v>888</v>
      </c>
    </row>
    <row r="1182" spans="3:3">
      <c r="C1182" s="69" t="s">
        <v>889</v>
      </c>
    </row>
    <row r="1183" spans="3:3">
      <c r="C1183" s="69" t="s">
        <v>890</v>
      </c>
    </row>
    <row r="1184" spans="3:3">
      <c r="C1184" s="69" t="s">
        <v>891</v>
      </c>
    </row>
    <row r="1185" spans="3:3">
      <c r="C1185" s="69" t="s">
        <v>892</v>
      </c>
    </row>
    <row r="1186" spans="3:3">
      <c r="C1186" s="69" t="s">
        <v>893</v>
      </c>
    </row>
    <row r="1187" spans="3:3">
      <c r="C1187" s="69" t="s">
        <v>877</v>
      </c>
    </row>
    <row r="1188" spans="3:3">
      <c r="C1188" s="69" t="s">
        <v>1146</v>
      </c>
    </row>
    <row r="1189" spans="3:3">
      <c r="C1189" s="69" t="s">
        <v>1148</v>
      </c>
    </row>
    <row r="1190" spans="3:3">
      <c r="C1190" s="69" t="s">
        <v>1150</v>
      </c>
    </row>
    <row r="1191" spans="3:3">
      <c r="C1191" s="69" t="s">
        <v>894</v>
      </c>
    </row>
    <row r="1192" spans="3:3">
      <c r="C1192" s="152" t="s">
        <v>1152</v>
      </c>
    </row>
    <row r="1193" spans="3:3">
      <c r="C1193" s="69" t="s">
        <v>895</v>
      </c>
    </row>
    <row r="1194" spans="3:3">
      <c r="C1194" s="69" t="s">
        <v>896</v>
      </c>
    </row>
    <row r="1195" spans="3:3">
      <c r="C1195" s="69" t="s">
        <v>897</v>
      </c>
    </row>
    <row r="1196" spans="3:3">
      <c r="C1196" s="69" t="s">
        <v>898</v>
      </c>
    </row>
    <row r="1197" spans="3:3">
      <c r="C1197" s="69" t="s">
        <v>899</v>
      </c>
    </row>
    <row r="1198" spans="3:3">
      <c r="C1198" s="69" t="s">
        <v>900</v>
      </c>
    </row>
    <row r="1199" spans="3:3">
      <c r="C1199" s="69" t="s">
        <v>873</v>
      </c>
    </row>
    <row r="1200" spans="3:3">
      <c r="C1200" s="69" t="s">
        <v>1154</v>
      </c>
    </row>
    <row r="1201" spans="3:3">
      <c r="C1201" s="69" t="s">
        <v>901</v>
      </c>
    </row>
    <row r="1202" spans="3:3">
      <c r="C1202" s="69" t="s">
        <v>1156</v>
      </c>
    </row>
    <row r="1203" spans="3:3">
      <c r="C1203" s="69" t="s">
        <v>902</v>
      </c>
    </row>
    <row r="1204" spans="3:3">
      <c r="C1204" s="69" t="s">
        <v>903</v>
      </c>
    </row>
    <row r="1205" spans="3:3">
      <c r="C1205" s="69" t="s">
        <v>904</v>
      </c>
    </row>
    <row r="1206" spans="3:3">
      <c r="C1206" s="69" t="s">
        <v>905</v>
      </c>
    </row>
    <row r="1207" spans="3:3">
      <c r="C1207" s="69" t="s">
        <v>1158</v>
      </c>
    </row>
    <row r="1208" spans="3:3">
      <c r="C1208" s="69" t="s">
        <v>906</v>
      </c>
    </row>
    <row r="1209" spans="3:3">
      <c r="C1209" s="69" t="s">
        <v>907</v>
      </c>
    </row>
    <row r="1210" spans="3:3">
      <c r="C1210" s="69" t="s">
        <v>908</v>
      </c>
    </row>
    <row r="1211" spans="3:3">
      <c r="C1211" s="69" t="s">
        <v>909</v>
      </c>
    </row>
    <row r="1212" spans="3:3">
      <c r="C1212" s="69" t="s">
        <v>910</v>
      </c>
    </row>
    <row r="1213" spans="3:3">
      <c r="C1213" s="69" t="s">
        <v>911</v>
      </c>
    </row>
    <row r="1214" spans="3:3">
      <c r="C1214" s="69" t="s">
        <v>195</v>
      </c>
    </row>
    <row r="1215" spans="3:3">
      <c r="C1215" s="69" t="s">
        <v>1159</v>
      </c>
    </row>
    <row r="1216" spans="3:3">
      <c r="C1216" s="69" t="s">
        <v>912</v>
      </c>
    </row>
    <row r="1217" spans="3:3">
      <c r="C1217" s="69" t="s">
        <v>913</v>
      </c>
    </row>
    <row r="1218" spans="3:3">
      <c r="C1218" s="69" t="s">
        <v>1161</v>
      </c>
    </row>
    <row r="1219" spans="3:3">
      <c r="C1219" s="69" t="s">
        <v>249</v>
      </c>
    </row>
    <row r="1220" spans="3:3">
      <c r="C1220" s="69" t="s">
        <v>914</v>
      </c>
    </row>
    <row r="1221" spans="3:3">
      <c r="C1221" s="69" t="s">
        <v>915</v>
      </c>
    </row>
    <row r="1222" spans="3:3">
      <c r="C1222" s="69" t="s">
        <v>916</v>
      </c>
    </row>
    <row r="1223" spans="3:3">
      <c r="C1223" s="69" t="s">
        <v>917</v>
      </c>
    </row>
    <row r="1224" spans="3:3">
      <c r="C1224" s="69" t="s">
        <v>918</v>
      </c>
    </row>
    <row r="1225" spans="3:3">
      <c r="C1225" s="69" t="s">
        <v>202</v>
      </c>
    </row>
    <row r="1226" spans="3:3">
      <c r="C1226" s="69" t="s">
        <v>919</v>
      </c>
    </row>
    <row r="1227" spans="3:3">
      <c r="C1227" s="69" t="s">
        <v>920</v>
      </c>
    </row>
    <row r="1228" spans="3:3">
      <c r="C1228" s="69" t="s">
        <v>968</v>
      </c>
    </row>
    <row r="1229" spans="3:3">
      <c r="C1229" s="69" t="s">
        <v>969</v>
      </c>
    </row>
    <row r="1230" spans="3:3">
      <c r="C1230" s="69" t="s">
        <v>970</v>
      </c>
    </row>
    <row r="1231" spans="3:3">
      <c r="C1231" s="69" t="s">
        <v>921</v>
      </c>
    </row>
    <row r="1232" spans="3:3">
      <c r="C1232" s="69" t="s">
        <v>922</v>
      </c>
    </row>
    <row r="1233" spans="3:3">
      <c r="C1233" s="69" t="s">
        <v>923</v>
      </c>
    </row>
    <row r="1234" spans="3:3">
      <c r="C1234" s="69" t="s">
        <v>924</v>
      </c>
    </row>
    <row r="1235" spans="3:3">
      <c r="C1235" s="69" t="s">
        <v>925</v>
      </c>
    </row>
    <row r="1236" spans="3:3">
      <c r="C1236" s="69" t="s">
        <v>967</v>
      </c>
    </row>
    <row r="1237" spans="3:3">
      <c r="C1237" s="69" t="s">
        <v>927</v>
      </c>
    </row>
    <row r="1238" spans="3:3">
      <c r="C1238" s="69" t="s">
        <v>928</v>
      </c>
    </row>
    <row r="1239" spans="3:3">
      <c r="C1239" s="69" t="s">
        <v>874</v>
      </c>
    </row>
    <row r="1240" spans="3:3">
      <c r="C1240" s="69" t="s">
        <v>875</v>
      </c>
    </row>
    <row r="1241" spans="3:3">
      <c r="C1241" s="69" t="s">
        <v>929</v>
      </c>
    </row>
    <row r="1242" spans="3:3">
      <c r="C1242" s="69" t="s">
        <v>876</v>
      </c>
    </row>
    <row r="1243" spans="3:3">
      <c r="C1243" s="69" t="s">
        <v>930</v>
      </c>
    </row>
    <row r="1244" spans="3:3">
      <c r="C1244" s="69" t="s">
        <v>931</v>
      </c>
    </row>
    <row r="1245" spans="3:3">
      <c r="C1245" s="69" t="s">
        <v>130</v>
      </c>
    </row>
    <row r="1248" spans="3:3">
      <c r="C1248" s="69" t="s">
        <v>975</v>
      </c>
    </row>
    <row r="1249" spans="3:3">
      <c r="C1249" s="69" t="s">
        <v>54</v>
      </c>
    </row>
    <row r="1250" spans="3:3">
      <c r="C1250" s="69" t="s">
        <v>69</v>
      </c>
    </row>
    <row r="1251" spans="3:3">
      <c r="C1251" s="69" t="s">
        <v>694</v>
      </c>
    </row>
    <row r="1252" spans="3:3">
      <c r="C1252" s="69" t="s">
        <v>696</v>
      </c>
    </row>
    <row r="1253" spans="3:3">
      <c r="C1253" s="69" t="s">
        <v>102</v>
      </c>
    </row>
    <row r="1255" spans="3:3">
      <c r="C1255" s="69" t="s">
        <v>975</v>
      </c>
    </row>
    <row r="1256" spans="3:3">
      <c r="C1256" s="69" t="s">
        <v>624</v>
      </c>
    </row>
    <row r="1257" spans="3:3">
      <c r="C1257" s="69" t="s">
        <v>956</v>
      </c>
    </row>
    <row r="1258" spans="3:3">
      <c r="C1258" s="69" t="s">
        <v>54</v>
      </c>
    </row>
    <row r="1259" spans="3:3">
      <c r="C1259" s="69" t="s">
        <v>102</v>
      </c>
    </row>
    <row r="1261" spans="3:3">
      <c r="C1261" s="69" t="s">
        <v>821</v>
      </c>
    </row>
    <row r="1262" spans="3:3">
      <c r="C1262" s="69" t="s">
        <v>54</v>
      </c>
    </row>
    <row r="1263" spans="3:3">
      <c r="C1263" s="69" t="s">
        <v>696</v>
      </c>
    </row>
    <row r="1264" spans="3:3">
      <c r="C1264" s="69" t="s">
        <v>694</v>
      </c>
    </row>
    <row r="1265" spans="3:3">
      <c r="C1265" s="69" t="s">
        <v>102</v>
      </c>
    </row>
    <row r="1267" spans="3:3">
      <c r="C1267" s="69" t="s">
        <v>975</v>
      </c>
    </row>
    <row r="1268" spans="3:3">
      <c r="C1268" s="69" t="s">
        <v>54</v>
      </c>
    </row>
    <row r="1269" spans="3:3">
      <c r="C1269" s="69" t="s">
        <v>102</v>
      </c>
    </row>
    <row r="1272" spans="3:3">
      <c r="C1272" s="69" t="s">
        <v>821</v>
      </c>
    </row>
    <row r="1273" spans="3:3">
      <c r="C1273" s="69" t="s">
        <v>54</v>
      </c>
    </row>
    <row r="1274" spans="3:3">
      <c r="C1274" s="69" t="s">
        <v>69</v>
      </c>
    </row>
    <row r="1275" spans="3:3">
      <c r="C1275" s="69" t="s">
        <v>624</v>
      </c>
    </row>
    <row r="1276" spans="3:3">
      <c r="C1276" s="69" t="s">
        <v>694</v>
      </c>
    </row>
    <row r="1277" spans="3:3">
      <c r="C1277" s="69" t="s">
        <v>695</v>
      </c>
    </row>
    <row r="1278" spans="3:3">
      <c r="C1278" s="69" t="s">
        <v>696</v>
      </c>
    </row>
    <row r="1279" spans="3:3">
      <c r="C1279" s="69" t="s">
        <v>697</v>
      </c>
    </row>
    <row r="1280" spans="3:3">
      <c r="C1280" s="69" t="s">
        <v>956</v>
      </c>
    </row>
    <row r="1281" spans="3:3">
      <c r="C1281" s="69" t="s">
        <v>102</v>
      </c>
    </row>
    <row r="1283" spans="3:3">
      <c r="C1283" s="69" t="s">
        <v>311</v>
      </c>
    </row>
    <row r="1284" spans="3:3">
      <c r="C1284" s="69" t="s">
        <v>944</v>
      </c>
    </row>
    <row r="1285" spans="3:3">
      <c r="C1285" s="69" t="s">
        <v>476</v>
      </c>
    </row>
    <row r="1286" spans="3:3">
      <c r="C1286" s="69" t="s">
        <v>479</v>
      </c>
    </row>
    <row r="1287" spans="3:3">
      <c r="C1287" s="69" t="s">
        <v>480</v>
      </c>
    </row>
    <row r="1288" spans="3:3">
      <c r="C1288" s="69" t="s">
        <v>477</v>
      </c>
    </row>
    <row r="1289" spans="3:3">
      <c r="C1289" s="69" t="s">
        <v>481</v>
      </c>
    </row>
    <row r="1290" spans="3:3">
      <c r="C1290" s="69" t="s">
        <v>478</v>
      </c>
    </row>
    <row r="1291" spans="3:3">
      <c r="C1291" s="69" t="s">
        <v>482</v>
      </c>
    </row>
    <row r="1292" spans="3:3">
      <c r="C1292" s="69" t="s">
        <v>483</v>
      </c>
    </row>
    <row r="1293" spans="3:3">
      <c r="C1293" s="69" t="s">
        <v>485</v>
      </c>
    </row>
    <row r="1294" spans="3:3">
      <c r="C1294" s="69" t="s">
        <v>484</v>
      </c>
    </row>
    <row r="1295" spans="3:3">
      <c r="C1295" s="69" t="s">
        <v>486</v>
      </c>
    </row>
    <row r="1296" spans="3:3">
      <c r="C1296" s="69" t="s">
        <v>487</v>
      </c>
    </row>
    <row r="1297" spans="3:3">
      <c r="C1297" s="69" t="s">
        <v>488</v>
      </c>
    </row>
    <row r="1298" spans="3:3">
      <c r="C1298" s="69" t="s">
        <v>489</v>
      </c>
    </row>
    <row r="1299" spans="3:3">
      <c r="C1299" s="69" t="s">
        <v>490</v>
      </c>
    </row>
    <row r="1300" spans="3:3">
      <c r="C1300" s="69" t="s">
        <v>491</v>
      </c>
    </row>
    <row r="1301" spans="3:3">
      <c r="C1301" s="69" t="s">
        <v>492</v>
      </c>
    </row>
    <row r="1302" spans="3:3">
      <c r="C1302" s="69" t="s">
        <v>493</v>
      </c>
    </row>
    <row r="1303" spans="3:3">
      <c r="C1303" s="69" t="s">
        <v>494</v>
      </c>
    </row>
    <row r="1304" spans="3:3">
      <c r="C1304" s="69" t="s">
        <v>495</v>
      </c>
    </row>
    <row r="1305" spans="3:3">
      <c r="C1305" s="69" t="s">
        <v>609</v>
      </c>
    </row>
    <row r="1306" spans="3:3">
      <c r="C1306" s="69" t="s">
        <v>496</v>
      </c>
    </row>
    <row r="1307" spans="3:3">
      <c r="C1307" s="69" t="s">
        <v>497</v>
      </c>
    </row>
    <row r="1308" spans="3:3">
      <c r="C1308" s="69" t="s">
        <v>498</v>
      </c>
    </row>
    <row r="1309" spans="3:3">
      <c r="C1309" s="69" t="s">
        <v>499</v>
      </c>
    </row>
    <row r="1310" spans="3:3">
      <c r="C1310" s="69" t="s">
        <v>500</v>
      </c>
    </row>
    <row r="1311" spans="3:3">
      <c r="C1311" s="69" t="s">
        <v>501</v>
      </c>
    </row>
    <row r="1312" spans="3:3">
      <c r="C1312" s="69" t="s">
        <v>502</v>
      </c>
    </row>
    <row r="1313" spans="3:3">
      <c r="C1313" s="69" t="s">
        <v>503</v>
      </c>
    </row>
    <row r="1314" spans="3:3">
      <c r="C1314" s="69" t="s">
        <v>504</v>
      </c>
    </row>
    <row r="1315" spans="3:3">
      <c r="C1315" s="69" t="s">
        <v>102</v>
      </c>
    </row>
  </sheetData>
  <autoFilter ref="A1:D1040" xr:uid="{00000000-0009-0000-0000-00001F000000}"/>
  <sortState ref="C81:C84">
    <sortCondition ref="C81"/>
  </sortState>
  <pageMargins left="0.70866141732283472" right="0.70866141732283472" top="0.74803149606299213" bottom="0.74803149606299213" header="0.31496062992125984" footer="0.31496062992125984"/>
  <pageSetup paperSize="9" scale="60" orientation="landscape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32"/>
  <dimension ref="A1:E795"/>
  <sheetViews>
    <sheetView showGridLines="0" rightToLeft="1" workbookViewId="0">
      <pane ySplit="1" topLeftCell="A2" activePane="bottomLeft" state="frozen"/>
      <selection pane="bottomLeft"/>
    </sheetView>
  </sheetViews>
  <sheetFormatPr defaultRowHeight="15" outlineLevelRow="1"/>
  <cols>
    <col min="1" max="1" width="25.5703125" style="74" customWidth="1"/>
    <col min="2" max="2" width="48.7109375" style="74" customWidth="1"/>
    <col min="3" max="3" width="12" customWidth="1"/>
    <col min="4" max="4" width="23.42578125" style="1" customWidth="1"/>
    <col min="5" max="5" width="14.28515625" customWidth="1"/>
  </cols>
  <sheetData>
    <row r="1" spans="1:5" ht="15.75">
      <c r="A1" s="128" t="s">
        <v>805</v>
      </c>
      <c r="B1" s="129" t="s">
        <v>806</v>
      </c>
      <c r="C1" s="129" t="s">
        <v>816</v>
      </c>
      <c r="D1" s="130" t="s">
        <v>964</v>
      </c>
      <c r="E1" s="146"/>
    </row>
    <row r="2" spans="1:5" ht="15.75" outlineLevel="1">
      <c r="A2" s="49" t="s">
        <v>31</v>
      </c>
      <c r="B2" s="50" t="s">
        <v>667</v>
      </c>
      <c r="C2" s="49">
        <v>5.0999999999999996</v>
      </c>
      <c r="D2" s="132"/>
    </row>
    <row r="3" spans="1:5" ht="15.75" outlineLevel="1">
      <c r="A3" s="49" t="s">
        <v>31</v>
      </c>
      <c r="B3" s="50" t="s">
        <v>0</v>
      </c>
      <c r="C3" s="49">
        <v>5.2</v>
      </c>
      <c r="D3" s="132"/>
    </row>
    <row r="4" spans="1:5" ht="15.75" outlineLevel="1">
      <c r="A4" s="49" t="s">
        <v>31</v>
      </c>
      <c r="B4" s="50" t="s">
        <v>739</v>
      </c>
      <c r="C4" s="49">
        <v>5.4</v>
      </c>
      <c r="D4" s="132"/>
    </row>
    <row r="5" spans="1:5" ht="15.75" outlineLevel="1">
      <c r="A5" s="49" t="s">
        <v>31</v>
      </c>
      <c r="B5" s="50" t="s">
        <v>757</v>
      </c>
      <c r="C5" s="49">
        <v>5.7</v>
      </c>
      <c r="D5" s="132"/>
    </row>
    <row r="6" spans="1:5" ht="15.75" outlineLevel="1">
      <c r="A6" s="49" t="s">
        <v>31</v>
      </c>
      <c r="B6" s="50" t="s">
        <v>758</v>
      </c>
      <c r="C6" s="49">
        <v>5.1100000000000003</v>
      </c>
      <c r="D6" s="132"/>
    </row>
    <row r="7" spans="1:5" ht="15.75" outlineLevel="1">
      <c r="A7" s="49" t="s">
        <v>31</v>
      </c>
      <c r="B7" s="50" t="s">
        <v>1</v>
      </c>
      <c r="C7" s="49">
        <v>5.26</v>
      </c>
      <c r="D7" s="132"/>
    </row>
    <row r="8" spans="1:5" ht="15.75" outlineLevel="1">
      <c r="A8" s="49" t="s">
        <v>31</v>
      </c>
      <c r="B8" s="50" t="s">
        <v>620</v>
      </c>
      <c r="C8" s="49">
        <v>5.27</v>
      </c>
      <c r="D8" s="132"/>
    </row>
    <row r="9" spans="1:5" ht="15.75" outlineLevel="1">
      <c r="A9" s="49" t="s">
        <v>31</v>
      </c>
      <c r="B9" s="50" t="s">
        <v>622</v>
      </c>
      <c r="C9" s="49">
        <v>5.36</v>
      </c>
      <c r="D9" s="132"/>
    </row>
    <row r="10" spans="1:5" ht="15.75" outlineLevel="1">
      <c r="A10" s="49" t="s">
        <v>31</v>
      </c>
      <c r="B10" s="50" t="s">
        <v>788</v>
      </c>
      <c r="C10" s="51">
        <v>5.5</v>
      </c>
      <c r="D10" s="132"/>
    </row>
    <row r="11" spans="1:5" ht="15.75" outlineLevel="1">
      <c r="A11" s="49" t="s">
        <v>31</v>
      </c>
      <c r="B11" s="50" t="s">
        <v>8</v>
      </c>
      <c r="C11" s="49">
        <v>5.51</v>
      </c>
      <c r="D11" s="132"/>
    </row>
    <row r="12" spans="1:5" ht="15.75" outlineLevel="1">
      <c r="A12" s="49" t="s">
        <v>31</v>
      </c>
      <c r="B12" s="50" t="s">
        <v>396</v>
      </c>
      <c r="C12" s="49">
        <v>5.53</v>
      </c>
      <c r="D12" s="132"/>
    </row>
    <row r="13" spans="1:5" ht="15.75" outlineLevel="1">
      <c r="A13" s="49" t="s">
        <v>31</v>
      </c>
      <c r="B13" s="50" t="s">
        <v>938</v>
      </c>
      <c r="C13" s="49">
        <v>5.59</v>
      </c>
      <c r="D13" s="132"/>
    </row>
    <row r="14" spans="1:5" ht="15.75" outlineLevel="1">
      <c r="A14" s="49" t="s">
        <v>31</v>
      </c>
      <c r="B14" s="50" t="s">
        <v>11</v>
      </c>
      <c r="C14" s="49">
        <v>5.54</v>
      </c>
      <c r="D14" s="132"/>
    </row>
    <row r="15" spans="1:5" ht="15.75" outlineLevel="1">
      <c r="A15" s="49" t="s">
        <v>31</v>
      </c>
      <c r="B15" s="50" t="s">
        <v>14</v>
      </c>
      <c r="C15" s="51">
        <v>5.7</v>
      </c>
      <c r="D15" s="131" t="s">
        <v>952</v>
      </c>
    </row>
    <row r="16" spans="1:5" ht="15.75" outlineLevel="1">
      <c r="A16" s="49" t="s">
        <v>31</v>
      </c>
      <c r="B16" s="50" t="s">
        <v>1171</v>
      </c>
      <c r="C16" s="49">
        <v>5.63</v>
      </c>
      <c r="D16" s="132"/>
    </row>
    <row r="17" spans="1:4" ht="15.75" outlineLevel="1">
      <c r="A17" s="49" t="s">
        <v>31</v>
      </c>
      <c r="B17" s="50" t="s">
        <v>19</v>
      </c>
      <c r="C17" s="49">
        <v>5.47</v>
      </c>
      <c r="D17" s="132"/>
    </row>
    <row r="18" spans="1:4" ht="15.75" outlineLevel="1">
      <c r="A18" s="49" t="s">
        <v>31</v>
      </c>
      <c r="B18" s="50" t="s">
        <v>30</v>
      </c>
      <c r="C18" s="49">
        <v>5.48</v>
      </c>
      <c r="D18" s="132"/>
    </row>
    <row r="19" spans="1:4" ht="15.75">
      <c r="A19" s="56" t="s">
        <v>31</v>
      </c>
      <c r="B19" s="50"/>
      <c r="C19" s="49"/>
      <c r="D19" s="132"/>
    </row>
    <row r="20" spans="1:4" ht="15.75" outlineLevel="1">
      <c r="A20" s="49" t="s">
        <v>40</v>
      </c>
      <c r="B20" s="50" t="s">
        <v>667</v>
      </c>
      <c r="C20" s="49">
        <v>5.0999999999999996</v>
      </c>
      <c r="D20" s="132"/>
    </row>
    <row r="21" spans="1:4" ht="15.75" outlineLevel="1">
      <c r="A21" s="49" t="s">
        <v>40</v>
      </c>
      <c r="B21" s="50" t="s">
        <v>0</v>
      </c>
      <c r="C21" s="49">
        <v>5.2</v>
      </c>
      <c r="D21" s="132"/>
    </row>
    <row r="22" spans="1:4" ht="15.75" outlineLevel="1">
      <c r="A22" s="49" t="s">
        <v>40</v>
      </c>
      <c r="B22" s="50" t="s">
        <v>740</v>
      </c>
      <c r="C22" s="49">
        <v>5.3</v>
      </c>
      <c r="D22" s="132"/>
    </row>
    <row r="23" spans="1:4" ht="15.75" outlineLevel="1">
      <c r="A23" s="49" t="s">
        <v>40</v>
      </c>
      <c r="B23" s="50" t="s">
        <v>3</v>
      </c>
      <c r="C23" s="49">
        <v>5.14</v>
      </c>
      <c r="D23" s="132"/>
    </row>
    <row r="24" spans="1:4" ht="15.75" outlineLevel="1">
      <c r="A24" s="49" t="s">
        <v>40</v>
      </c>
      <c r="B24" s="50" t="s">
        <v>29</v>
      </c>
      <c r="C24" s="49">
        <v>5.19</v>
      </c>
      <c r="D24" s="132"/>
    </row>
    <row r="25" spans="1:4" ht="15.75" outlineLevel="1">
      <c r="A25" s="49" t="s">
        <v>40</v>
      </c>
      <c r="B25" s="50" t="s">
        <v>1</v>
      </c>
      <c r="C25" s="49">
        <v>5.26</v>
      </c>
      <c r="D25" s="132"/>
    </row>
    <row r="26" spans="1:4" ht="15.75" outlineLevel="1">
      <c r="A26" s="49" t="s">
        <v>40</v>
      </c>
      <c r="B26" s="50" t="s">
        <v>620</v>
      </c>
      <c r="C26" s="49">
        <v>5.27</v>
      </c>
      <c r="D26" s="132"/>
    </row>
    <row r="27" spans="1:4" ht="15.75" outlineLevel="1">
      <c r="A27" s="49" t="s">
        <v>40</v>
      </c>
      <c r="B27" s="50" t="s">
        <v>621</v>
      </c>
      <c r="C27" s="49">
        <v>5.28</v>
      </c>
      <c r="D27" s="132"/>
    </row>
    <row r="28" spans="1:4" ht="15.75" outlineLevel="1">
      <c r="A28" s="49" t="s">
        <v>40</v>
      </c>
      <c r="B28" s="50" t="s">
        <v>5</v>
      </c>
      <c r="C28" s="51">
        <v>5.3</v>
      </c>
      <c r="D28" s="132"/>
    </row>
    <row r="29" spans="1:4" ht="15.75" outlineLevel="1">
      <c r="A29" s="49" t="s">
        <v>40</v>
      </c>
      <c r="B29" s="50" t="s">
        <v>6</v>
      </c>
      <c r="C29" s="49">
        <v>5.49</v>
      </c>
      <c r="D29" s="132"/>
    </row>
    <row r="30" spans="1:4" ht="15.75" outlineLevel="1">
      <c r="A30" s="49" t="s">
        <v>40</v>
      </c>
      <c r="B30" s="50" t="s">
        <v>8</v>
      </c>
      <c r="C30" s="49">
        <v>5.51</v>
      </c>
      <c r="D30" s="132"/>
    </row>
    <row r="31" spans="1:4" ht="15.75" outlineLevel="1">
      <c r="A31" s="49" t="s">
        <v>40</v>
      </c>
      <c r="B31" s="50" t="s">
        <v>396</v>
      </c>
      <c r="C31" s="49">
        <v>5.53</v>
      </c>
      <c r="D31" s="132"/>
    </row>
    <row r="32" spans="1:4" ht="15.75" outlineLevel="1">
      <c r="A32" s="49" t="s">
        <v>40</v>
      </c>
      <c r="B32" s="50" t="s">
        <v>13</v>
      </c>
      <c r="C32" s="49">
        <v>5.69</v>
      </c>
      <c r="D32" s="132"/>
    </row>
    <row r="33" spans="1:4" ht="15.75" outlineLevel="1">
      <c r="A33" s="49" t="s">
        <v>40</v>
      </c>
      <c r="B33" s="50" t="s">
        <v>421</v>
      </c>
      <c r="C33" s="49">
        <v>5.75</v>
      </c>
      <c r="D33" s="132"/>
    </row>
    <row r="34" spans="1:4" ht="15.75" outlineLevel="1">
      <c r="A34" s="49" t="s">
        <v>40</v>
      </c>
      <c r="B34" s="50" t="s">
        <v>14</v>
      </c>
      <c r="C34" s="51">
        <v>5.7</v>
      </c>
      <c r="D34" s="132"/>
    </row>
    <row r="35" spans="1:4" ht="15.75" outlineLevel="1">
      <c r="A35" s="49" t="s">
        <v>40</v>
      </c>
      <c r="B35" s="50" t="s">
        <v>637</v>
      </c>
      <c r="C35" s="49">
        <v>5.74</v>
      </c>
      <c r="D35" s="132"/>
    </row>
    <row r="36" spans="1:4" ht="15.75" outlineLevel="1">
      <c r="A36" s="49" t="s">
        <v>40</v>
      </c>
      <c r="B36" s="50" t="s">
        <v>955</v>
      </c>
      <c r="C36" s="49">
        <v>5.62</v>
      </c>
      <c r="D36" s="132"/>
    </row>
    <row r="37" spans="1:4" ht="15.75" outlineLevel="1">
      <c r="A37" s="49" t="s">
        <v>40</v>
      </c>
      <c r="B37" s="50" t="s">
        <v>789</v>
      </c>
      <c r="C37" s="49">
        <v>5.58</v>
      </c>
      <c r="D37" s="132"/>
    </row>
    <row r="38" spans="1:4" ht="15.75" outlineLevel="1">
      <c r="A38" s="49" t="s">
        <v>40</v>
      </c>
      <c r="B38" s="50" t="s">
        <v>11</v>
      </c>
      <c r="C38" s="49">
        <v>5.54</v>
      </c>
      <c r="D38" s="132"/>
    </row>
    <row r="39" spans="1:4" ht="15.75" outlineLevel="1">
      <c r="A39" s="49" t="s">
        <v>40</v>
      </c>
      <c r="B39" s="50" t="s">
        <v>15</v>
      </c>
      <c r="C39" s="49">
        <v>5.55</v>
      </c>
      <c r="D39" s="132"/>
    </row>
    <row r="40" spans="1:4" ht="15.75" outlineLevel="1">
      <c r="A40" s="49" t="s">
        <v>40</v>
      </c>
      <c r="B40" s="50" t="s">
        <v>1171</v>
      </c>
      <c r="C40" s="49">
        <v>5.63</v>
      </c>
      <c r="D40" s="132"/>
    </row>
    <row r="41" spans="1:4" ht="15.75" outlineLevel="1">
      <c r="A41" s="49" t="s">
        <v>40</v>
      </c>
      <c r="B41" s="50" t="s">
        <v>1172</v>
      </c>
      <c r="C41" s="49">
        <v>5.65</v>
      </c>
      <c r="D41" s="132"/>
    </row>
    <row r="42" spans="1:4" ht="15.75" outlineLevel="1">
      <c r="A42" s="49" t="s">
        <v>40</v>
      </c>
      <c r="B42" s="50" t="s">
        <v>26</v>
      </c>
      <c r="C42" s="49">
        <v>5.68</v>
      </c>
      <c r="D42" s="132"/>
    </row>
    <row r="43" spans="1:4" ht="15.75" outlineLevel="1">
      <c r="A43" s="49" t="s">
        <v>40</v>
      </c>
      <c r="B43" s="50" t="s">
        <v>18</v>
      </c>
      <c r="C43" s="49">
        <v>5.45</v>
      </c>
      <c r="D43" s="132"/>
    </row>
    <row r="44" spans="1:4" ht="15.75" outlineLevel="1">
      <c r="A44" s="49" t="s">
        <v>40</v>
      </c>
      <c r="B44" s="50" t="s">
        <v>19</v>
      </c>
      <c r="C44" s="49">
        <v>5.47</v>
      </c>
      <c r="D44" s="132"/>
    </row>
    <row r="45" spans="1:4" ht="15.75" outlineLevel="1">
      <c r="A45" s="49" t="s">
        <v>40</v>
      </c>
      <c r="B45" s="50" t="s">
        <v>30</v>
      </c>
      <c r="C45" s="49">
        <v>5.48</v>
      </c>
      <c r="D45" s="132"/>
    </row>
    <row r="46" spans="1:4" ht="15.75">
      <c r="A46" s="56" t="s">
        <v>40</v>
      </c>
      <c r="B46" s="50"/>
      <c r="C46" s="49"/>
      <c r="D46" s="132"/>
    </row>
    <row r="47" spans="1:4" ht="15.75" outlineLevel="1">
      <c r="A47" s="49" t="s">
        <v>32</v>
      </c>
      <c r="B47" s="50" t="s">
        <v>667</v>
      </c>
      <c r="C47" s="49">
        <v>5.0999999999999996</v>
      </c>
      <c r="D47" s="132"/>
    </row>
    <row r="48" spans="1:4" ht="15.75" outlineLevel="1">
      <c r="A48" s="49" t="s">
        <v>32</v>
      </c>
      <c r="B48" s="50" t="s">
        <v>0</v>
      </c>
      <c r="C48" s="49">
        <v>5.2</v>
      </c>
      <c r="D48" s="132"/>
    </row>
    <row r="49" spans="1:4" ht="15.75" outlineLevel="1">
      <c r="A49" s="49" t="s">
        <v>32</v>
      </c>
      <c r="B49" s="50" t="s">
        <v>740</v>
      </c>
      <c r="C49" s="49">
        <v>5.3</v>
      </c>
      <c r="D49" s="132"/>
    </row>
    <row r="50" spans="1:4" ht="15.75" outlineLevel="1">
      <c r="A50" s="49" t="s">
        <v>32</v>
      </c>
      <c r="B50" s="50" t="s">
        <v>2</v>
      </c>
      <c r="C50" s="49">
        <v>5.6</v>
      </c>
      <c r="D50" s="132"/>
    </row>
    <row r="51" spans="1:4" ht="15.75" outlineLevel="1">
      <c r="A51" s="49" t="s">
        <v>32</v>
      </c>
      <c r="B51" s="50" t="s">
        <v>746</v>
      </c>
      <c r="C51" s="51">
        <v>5.0999999999999996</v>
      </c>
      <c r="D51" s="132"/>
    </row>
    <row r="52" spans="1:4" ht="15.75" outlineLevel="1">
      <c r="A52" s="49" t="s">
        <v>32</v>
      </c>
      <c r="B52" s="50" t="s">
        <v>3</v>
      </c>
      <c r="C52" s="49">
        <v>5.14</v>
      </c>
      <c r="D52" s="132"/>
    </row>
    <row r="53" spans="1:4" ht="15.75" outlineLevel="1">
      <c r="A53" s="49" t="s">
        <v>32</v>
      </c>
      <c r="B53" s="50" t="s">
        <v>29</v>
      </c>
      <c r="C53" s="49">
        <v>5.19</v>
      </c>
      <c r="D53" s="132"/>
    </row>
    <row r="54" spans="1:4" ht="15.75" outlineLevel="1">
      <c r="A54" s="49" t="s">
        <v>32</v>
      </c>
      <c r="B54" s="50" t="s">
        <v>28</v>
      </c>
      <c r="C54" s="49">
        <v>5.24</v>
      </c>
      <c r="D54" s="132"/>
    </row>
    <row r="55" spans="1:4" ht="15.75" outlineLevel="1">
      <c r="A55" s="49" t="s">
        <v>32</v>
      </c>
      <c r="B55" s="50" t="s">
        <v>1</v>
      </c>
      <c r="C55" s="49">
        <v>5.26</v>
      </c>
      <c r="D55" s="132"/>
    </row>
    <row r="56" spans="1:4" ht="15.75" outlineLevel="1">
      <c r="A56" s="49" t="s">
        <v>32</v>
      </c>
      <c r="B56" s="50" t="s">
        <v>620</v>
      </c>
      <c r="C56" s="49">
        <v>5.27</v>
      </c>
      <c r="D56" s="132"/>
    </row>
    <row r="57" spans="1:4" ht="15.75" outlineLevel="1">
      <c r="A57" s="49" t="s">
        <v>32</v>
      </c>
      <c r="B57" s="50" t="s">
        <v>621</v>
      </c>
      <c r="C57" s="49">
        <v>5.28</v>
      </c>
      <c r="D57" s="132"/>
    </row>
    <row r="58" spans="1:4" ht="15.75" outlineLevel="1">
      <c r="A58" s="49" t="s">
        <v>32</v>
      </c>
      <c r="B58" s="50" t="s">
        <v>5</v>
      </c>
      <c r="C58" s="51">
        <v>5.3</v>
      </c>
      <c r="D58" s="132"/>
    </row>
    <row r="59" spans="1:4" ht="15.75" outlineLevel="1">
      <c r="A59" s="49" t="s">
        <v>32</v>
      </c>
      <c r="B59" s="50" t="s">
        <v>9</v>
      </c>
      <c r="C59" s="49">
        <v>5.31</v>
      </c>
      <c r="D59" s="132"/>
    </row>
    <row r="60" spans="1:4" ht="15.75" outlineLevel="1">
      <c r="A60" s="49" t="s">
        <v>32</v>
      </c>
      <c r="B60" s="50" t="s">
        <v>622</v>
      </c>
      <c r="C60" s="49">
        <v>5.36</v>
      </c>
      <c r="D60" s="132"/>
    </row>
    <row r="61" spans="1:4" ht="15.75" outlineLevel="1">
      <c r="A61" s="49" t="s">
        <v>32</v>
      </c>
      <c r="B61" s="50" t="s">
        <v>6</v>
      </c>
      <c r="C61" s="49">
        <v>5.49</v>
      </c>
      <c r="D61" s="132"/>
    </row>
    <row r="62" spans="1:4" ht="15.75" outlineLevel="1">
      <c r="A62" s="49" t="s">
        <v>32</v>
      </c>
      <c r="B62" s="50" t="s">
        <v>8</v>
      </c>
      <c r="C62" s="49">
        <v>5.51</v>
      </c>
      <c r="D62" s="132"/>
    </row>
    <row r="63" spans="1:4" ht="15.75" outlineLevel="1">
      <c r="A63" s="49" t="s">
        <v>32</v>
      </c>
      <c r="B63" s="50" t="s">
        <v>7</v>
      </c>
      <c r="C63" s="49">
        <v>5.52</v>
      </c>
      <c r="D63" s="132"/>
    </row>
    <row r="64" spans="1:4" ht="15.75" outlineLevel="1">
      <c r="A64" s="49" t="s">
        <v>32</v>
      </c>
      <c r="B64" s="50" t="s">
        <v>396</v>
      </c>
      <c r="C64" s="49">
        <v>5.53</v>
      </c>
      <c r="D64" s="132"/>
    </row>
    <row r="65" spans="1:4" ht="15.75" outlineLevel="1">
      <c r="A65" s="49" t="s">
        <v>32</v>
      </c>
      <c r="B65" s="50" t="s">
        <v>13</v>
      </c>
      <c r="C65" s="49">
        <v>5.69</v>
      </c>
      <c r="D65" s="132"/>
    </row>
    <row r="66" spans="1:4" ht="15.75" outlineLevel="1">
      <c r="A66" s="49" t="s">
        <v>32</v>
      </c>
      <c r="B66" s="50" t="s">
        <v>309</v>
      </c>
      <c r="C66" s="51">
        <v>5.72</v>
      </c>
      <c r="D66" s="132"/>
    </row>
    <row r="67" spans="1:4" ht="15.75" outlineLevel="1">
      <c r="A67" s="49" t="s">
        <v>32</v>
      </c>
      <c r="B67" s="50" t="s">
        <v>421</v>
      </c>
      <c r="C67" s="49">
        <v>5.75</v>
      </c>
      <c r="D67" s="132"/>
    </row>
    <row r="68" spans="1:4" ht="15.75" outlineLevel="1">
      <c r="A68" s="49" t="s">
        <v>32</v>
      </c>
      <c r="B68" s="50" t="s">
        <v>14</v>
      </c>
      <c r="C68" s="51">
        <v>5.7</v>
      </c>
      <c r="D68" s="132"/>
    </row>
    <row r="69" spans="1:4" ht="15.75" outlineLevel="1">
      <c r="A69" s="49" t="s">
        <v>32</v>
      </c>
      <c r="B69" s="50" t="s">
        <v>637</v>
      </c>
      <c r="C69" s="49">
        <v>5.74</v>
      </c>
      <c r="D69" s="132"/>
    </row>
    <row r="70" spans="1:4" ht="15.75" outlineLevel="1">
      <c r="A70" s="49" t="s">
        <v>32</v>
      </c>
      <c r="B70" s="50" t="s">
        <v>942</v>
      </c>
      <c r="C70" s="49">
        <v>5.76</v>
      </c>
      <c r="D70" s="132"/>
    </row>
    <row r="71" spans="1:4" ht="15.75" outlineLevel="1">
      <c r="A71" s="49" t="s">
        <v>32</v>
      </c>
      <c r="B71" s="50" t="s">
        <v>685</v>
      </c>
      <c r="C71" s="49">
        <v>5.89</v>
      </c>
      <c r="D71" s="131" t="s">
        <v>952</v>
      </c>
    </row>
    <row r="72" spans="1:4" ht="15.75" outlineLevel="1">
      <c r="A72" s="49" t="s">
        <v>32</v>
      </c>
      <c r="B72" s="50" t="s">
        <v>789</v>
      </c>
      <c r="C72" s="49">
        <v>5.58</v>
      </c>
      <c r="D72" s="132"/>
    </row>
    <row r="73" spans="1:4" ht="15.75" outlineLevel="1">
      <c r="A73" s="49" t="s">
        <v>32</v>
      </c>
      <c r="B73" s="50" t="s">
        <v>955</v>
      </c>
      <c r="C73" s="49">
        <v>5.62</v>
      </c>
      <c r="D73" s="132"/>
    </row>
    <row r="74" spans="1:4" ht="15.75" outlineLevel="1">
      <c r="A74" s="49" t="s">
        <v>32</v>
      </c>
      <c r="B74" s="50" t="s">
        <v>11</v>
      </c>
      <c r="C74" s="49">
        <v>5.54</v>
      </c>
      <c r="D74" s="132"/>
    </row>
    <row r="75" spans="1:4" ht="15.75" outlineLevel="1">
      <c r="A75" s="49" t="s">
        <v>32</v>
      </c>
      <c r="B75" s="50" t="s">
        <v>15</v>
      </c>
      <c r="C75" s="49">
        <v>5.55</v>
      </c>
      <c r="D75" s="132"/>
    </row>
    <row r="76" spans="1:4" ht="15.75" outlineLevel="1">
      <c r="A76" s="49" t="s">
        <v>32</v>
      </c>
      <c r="B76" s="50" t="s">
        <v>1171</v>
      </c>
      <c r="C76" s="49">
        <v>5.63</v>
      </c>
      <c r="D76" s="132"/>
    </row>
    <row r="77" spans="1:4" ht="15.75" outlineLevel="1">
      <c r="A77" s="49" t="s">
        <v>32</v>
      </c>
      <c r="B77" s="50" t="s">
        <v>1172</v>
      </c>
      <c r="C77" s="49">
        <v>5.65</v>
      </c>
      <c r="D77" s="132"/>
    </row>
    <row r="78" spans="1:4" ht="15.75" outlineLevel="1">
      <c r="A78" s="49" t="s">
        <v>32</v>
      </c>
      <c r="B78" s="50" t="s">
        <v>804</v>
      </c>
      <c r="C78" s="49">
        <v>5.66</v>
      </c>
      <c r="D78" s="132"/>
    </row>
    <row r="79" spans="1:4" ht="15.75" outlineLevel="1">
      <c r="A79" s="49" t="s">
        <v>32</v>
      </c>
      <c r="B79" s="50" t="s">
        <v>26</v>
      </c>
      <c r="C79" s="49">
        <v>5.68</v>
      </c>
      <c r="D79" s="132"/>
    </row>
    <row r="80" spans="1:4" ht="15.75" outlineLevel="1">
      <c r="A80" s="49" t="s">
        <v>32</v>
      </c>
      <c r="B80" s="50" t="s">
        <v>18</v>
      </c>
      <c r="C80" s="49">
        <v>5.45</v>
      </c>
      <c r="D80" s="132"/>
    </row>
    <row r="81" spans="1:4" ht="15.75" outlineLevel="1">
      <c r="A81" s="49" t="s">
        <v>32</v>
      </c>
      <c r="B81" s="50" t="s">
        <v>19</v>
      </c>
      <c r="C81" s="49">
        <v>5.47</v>
      </c>
      <c r="D81" s="132"/>
    </row>
    <row r="82" spans="1:4" ht="15.75" outlineLevel="1">
      <c r="A82" s="49" t="s">
        <v>32</v>
      </c>
      <c r="B82" s="50" t="s">
        <v>30</v>
      </c>
      <c r="C82" s="49">
        <v>5.48</v>
      </c>
      <c r="D82" s="132"/>
    </row>
    <row r="83" spans="1:4" ht="15.75">
      <c r="A83" s="56" t="s">
        <v>32</v>
      </c>
      <c r="B83" s="50"/>
      <c r="C83" s="49"/>
      <c r="D83" s="132"/>
    </row>
    <row r="84" spans="1:4" ht="15.75" outlineLevel="1">
      <c r="A84" s="49" t="s">
        <v>33</v>
      </c>
      <c r="B84" s="50" t="s">
        <v>667</v>
      </c>
      <c r="C84" s="49">
        <v>5.0999999999999996</v>
      </c>
      <c r="D84" s="132"/>
    </row>
    <row r="85" spans="1:4" ht="15.75" outlineLevel="1">
      <c r="A85" s="49" t="s">
        <v>33</v>
      </c>
      <c r="B85" s="50" t="s">
        <v>0</v>
      </c>
      <c r="C85" s="49">
        <v>5.2</v>
      </c>
      <c r="D85" s="132"/>
    </row>
    <row r="86" spans="1:4" ht="15.75" outlineLevel="1">
      <c r="A86" s="49" t="s">
        <v>33</v>
      </c>
      <c r="B86" s="50" t="s">
        <v>740</v>
      </c>
      <c r="C86" s="49">
        <v>5.3</v>
      </c>
      <c r="D86" s="132"/>
    </row>
    <row r="87" spans="1:4" ht="15.75" outlineLevel="1">
      <c r="A87" s="49" t="s">
        <v>33</v>
      </c>
      <c r="B87" s="50" t="s">
        <v>2</v>
      </c>
      <c r="C87" s="49">
        <v>5.6</v>
      </c>
      <c r="D87" s="132"/>
    </row>
    <row r="88" spans="1:4" ht="15.75" outlineLevel="1">
      <c r="A88" s="49" t="s">
        <v>33</v>
      </c>
      <c r="B88" s="50" t="s">
        <v>746</v>
      </c>
      <c r="C88" s="51">
        <v>5.0999999999999996</v>
      </c>
      <c r="D88" s="132"/>
    </row>
    <row r="89" spans="1:4" ht="15.75" outlineLevel="1">
      <c r="A89" s="49" t="s">
        <v>33</v>
      </c>
      <c r="B89" s="50" t="s">
        <v>3</v>
      </c>
      <c r="C89" s="49">
        <v>5.14</v>
      </c>
      <c r="D89" s="132"/>
    </row>
    <row r="90" spans="1:4" ht="15.75" outlineLevel="1">
      <c r="A90" s="49" t="s">
        <v>33</v>
      </c>
      <c r="B90" s="50" t="s">
        <v>29</v>
      </c>
      <c r="C90" s="49">
        <v>5.19</v>
      </c>
      <c r="D90" s="132"/>
    </row>
    <row r="91" spans="1:4" ht="15.75" outlineLevel="1">
      <c r="A91" s="49" t="s">
        <v>33</v>
      </c>
      <c r="B91" s="50" t="s">
        <v>28</v>
      </c>
      <c r="C91" s="49">
        <v>5.24</v>
      </c>
      <c r="D91" s="132"/>
    </row>
    <row r="92" spans="1:4" ht="15.75" outlineLevel="1">
      <c r="A92" s="49" t="s">
        <v>33</v>
      </c>
      <c r="B92" s="50" t="s">
        <v>1</v>
      </c>
      <c r="C92" s="49">
        <v>5.26</v>
      </c>
      <c r="D92" s="132"/>
    </row>
    <row r="93" spans="1:4" ht="15.75" outlineLevel="1">
      <c r="A93" s="49" t="s">
        <v>33</v>
      </c>
      <c r="B93" s="50" t="s">
        <v>620</v>
      </c>
      <c r="C93" s="49">
        <v>5.27</v>
      </c>
      <c r="D93" s="132"/>
    </row>
    <row r="94" spans="1:4" ht="15.75" outlineLevel="1">
      <c r="A94" s="49" t="s">
        <v>33</v>
      </c>
      <c r="B94" s="50" t="s">
        <v>621</v>
      </c>
      <c r="C94" s="49">
        <v>5.28</v>
      </c>
      <c r="D94" s="132"/>
    </row>
    <row r="95" spans="1:4" ht="15.75" outlineLevel="1">
      <c r="A95" s="49" t="s">
        <v>33</v>
      </c>
      <c r="B95" s="50" t="s">
        <v>625</v>
      </c>
      <c r="C95" s="49">
        <v>5.29</v>
      </c>
      <c r="D95" s="132"/>
    </row>
    <row r="96" spans="1:4" ht="15.75" outlineLevel="1">
      <c r="A96" s="49" t="s">
        <v>33</v>
      </c>
      <c r="B96" s="50" t="s">
        <v>5</v>
      </c>
      <c r="C96" s="51">
        <v>5.3</v>
      </c>
      <c r="D96" s="132"/>
    </row>
    <row r="97" spans="1:4" ht="15.75" outlineLevel="1">
      <c r="A97" s="49" t="s">
        <v>33</v>
      </c>
      <c r="B97" s="50" t="s">
        <v>9</v>
      </c>
      <c r="C97" s="49">
        <v>5.31</v>
      </c>
      <c r="D97" s="132"/>
    </row>
    <row r="98" spans="1:4" ht="15.75" outlineLevel="1">
      <c r="A98" s="49" t="s">
        <v>33</v>
      </c>
      <c r="B98" s="50" t="s">
        <v>622</v>
      </c>
      <c r="C98" s="49">
        <v>5.36</v>
      </c>
      <c r="D98" s="132"/>
    </row>
    <row r="99" spans="1:4" ht="15.75" outlineLevel="1">
      <c r="A99" s="49" t="s">
        <v>33</v>
      </c>
      <c r="B99" s="50" t="s">
        <v>6</v>
      </c>
      <c r="C99" s="49">
        <v>5.49</v>
      </c>
      <c r="D99" s="132"/>
    </row>
    <row r="100" spans="1:4" ht="15.75" outlineLevel="1">
      <c r="A100" s="49" t="s">
        <v>33</v>
      </c>
      <c r="B100" s="50" t="s">
        <v>8</v>
      </c>
      <c r="C100" s="49">
        <v>5.51</v>
      </c>
      <c r="D100" s="132"/>
    </row>
    <row r="101" spans="1:4" ht="15.75" outlineLevel="1">
      <c r="A101" s="49" t="s">
        <v>33</v>
      </c>
      <c r="B101" s="50" t="s">
        <v>7</v>
      </c>
      <c r="C101" s="49">
        <v>5.52</v>
      </c>
      <c r="D101" s="132"/>
    </row>
    <row r="102" spans="1:4" ht="15.75" outlineLevel="1">
      <c r="A102" s="49" t="s">
        <v>33</v>
      </c>
      <c r="B102" s="50" t="s">
        <v>396</v>
      </c>
      <c r="C102" s="49">
        <v>5.53</v>
      </c>
      <c r="D102" s="132"/>
    </row>
    <row r="103" spans="1:4" ht="15.75" outlineLevel="1">
      <c r="A103" s="49" t="s">
        <v>33</v>
      </c>
      <c r="B103" s="50" t="s">
        <v>13</v>
      </c>
      <c r="C103" s="49">
        <v>5.69</v>
      </c>
      <c r="D103" s="132"/>
    </row>
    <row r="104" spans="1:4" ht="15.75" outlineLevel="1">
      <c r="A104" s="49" t="s">
        <v>33</v>
      </c>
      <c r="B104" s="50" t="s">
        <v>421</v>
      </c>
      <c r="C104" s="49">
        <v>5.75</v>
      </c>
      <c r="D104" s="132"/>
    </row>
    <row r="105" spans="1:4" ht="15.75" outlineLevel="1">
      <c r="A105" s="49" t="s">
        <v>33</v>
      </c>
      <c r="B105" s="50" t="s">
        <v>14</v>
      </c>
      <c r="C105" s="51">
        <v>5.7</v>
      </c>
      <c r="D105" s="132"/>
    </row>
    <row r="106" spans="1:4" ht="15.75" outlineLevel="1">
      <c r="A106" s="49" t="s">
        <v>33</v>
      </c>
      <c r="B106" s="50" t="s">
        <v>637</v>
      </c>
      <c r="C106" s="49">
        <v>5.74</v>
      </c>
      <c r="D106" s="132"/>
    </row>
    <row r="107" spans="1:4" ht="15.75" outlineLevel="1">
      <c r="A107" s="49" t="s">
        <v>33</v>
      </c>
      <c r="B107" s="50" t="s">
        <v>942</v>
      </c>
      <c r="C107" s="49">
        <v>5.76</v>
      </c>
      <c r="D107" s="132"/>
    </row>
    <row r="108" spans="1:4" ht="15.75" outlineLevel="1">
      <c r="A108" s="49" t="s">
        <v>33</v>
      </c>
      <c r="B108" s="50" t="s">
        <v>685</v>
      </c>
      <c r="C108" s="49">
        <v>5.89</v>
      </c>
      <c r="D108" s="131" t="s">
        <v>952</v>
      </c>
    </row>
    <row r="109" spans="1:4" ht="15.75" outlineLevel="1">
      <c r="A109" s="49" t="s">
        <v>33</v>
      </c>
      <c r="B109" s="50" t="s">
        <v>789</v>
      </c>
      <c r="C109" s="49">
        <v>5.58</v>
      </c>
      <c r="D109" s="132"/>
    </row>
    <row r="110" spans="1:4" ht="15.75" outlineLevel="1">
      <c r="A110" s="49" t="s">
        <v>33</v>
      </c>
      <c r="B110" s="50" t="s">
        <v>955</v>
      </c>
      <c r="C110" s="49">
        <v>5.62</v>
      </c>
      <c r="D110" s="132"/>
    </row>
    <row r="111" spans="1:4" ht="15.75" outlineLevel="1">
      <c r="A111" s="49" t="s">
        <v>33</v>
      </c>
      <c r="B111" s="50" t="s">
        <v>11</v>
      </c>
      <c r="C111" s="49">
        <v>5.54</v>
      </c>
      <c r="D111" s="132"/>
    </row>
    <row r="112" spans="1:4" ht="15.75" outlineLevel="1">
      <c r="A112" s="49" t="s">
        <v>33</v>
      </c>
      <c r="B112" s="50" t="s">
        <v>15</v>
      </c>
      <c r="C112" s="49">
        <v>5.55</v>
      </c>
      <c r="D112" s="132"/>
    </row>
    <row r="113" spans="1:4" ht="15.75" outlineLevel="1">
      <c r="A113" s="49" t="s">
        <v>33</v>
      </c>
      <c r="B113" s="50" t="s">
        <v>1172</v>
      </c>
      <c r="C113" s="49">
        <v>5.65</v>
      </c>
      <c r="D113" s="132"/>
    </row>
    <row r="114" spans="1:4" ht="15.75" outlineLevel="1">
      <c r="A114" s="49" t="s">
        <v>33</v>
      </c>
      <c r="B114" s="50" t="s">
        <v>804</v>
      </c>
      <c r="C114" s="49">
        <v>5.66</v>
      </c>
      <c r="D114" s="132"/>
    </row>
    <row r="115" spans="1:4" ht="15.75" outlineLevel="1">
      <c r="A115" s="49" t="s">
        <v>33</v>
      </c>
      <c r="B115" s="50" t="s">
        <v>26</v>
      </c>
      <c r="C115" s="49">
        <v>5.68</v>
      </c>
      <c r="D115" s="132"/>
    </row>
    <row r="116" spans="1:4" ht="15.75" outlineLevel="1">
      <c r="A116" s="49" t="s">
        <v>33</v>
      </c>
      <c r="B116" s="50" t="s">
        <v>18</v>
      </c>
      <c r="C116" s="49">
        <v>5.45</v>
      </c>
      <c r="D116" s="132"/>
    </row>
    <row r="117" spans="1:4" ht="15.75" outlineLevel="1">
      <c r="A117" s="49" t="s">
        <v>33</v>
      </c>
      <c r="B117" s="50" t="s">
        <v>19</v>
      </c>
      <c r="C117" s="49">
        <v>5.47</v>
      </c>
      <c r="D117" s="132"/>
    </row>
    <row r="118" spans="1:4" ht="15.75" outlineLevel="1">
      <c r="A118" s="49" t="s">
        <v>33</v>
      </c>
      <c r="B118" s="50" t="s">
        <v>30</v>
      </c>
      <c r="C118" s="49">
        <v>5.48</v>
      </c>
      <c r="D118" s="132"/>
    </row>
    <row r="119" spans="1:4" ht="15.75">
      <c r="A119" s="56" t="s">
        <v>33</v>
      </c>
      <c r="B119" s="50"/>
      <c r="C119" s="49"/>
      <c r="D119" s="132"/>
    </row>
    <row r="120" spans="1:4" ht="15.75" outlineLevel="1">
      <c r="A120" s="49" t="s">
        <v>807</v>
      </c>
      <c r="B120" s="50" t="s">
        <v>667</v>
      </c>
      <c r="C120" s="49">
        <v>5.0999999999999996</v>
      </c>
      <c r="D120" s="132"/>
    </row>
    <row r="121" spans="1:4" ht="15.75" outlineLevel="1">
      <c r="A121" s="49" t="s">
        <v>807</v>
      </c>
      <c r="B121" s="50" t="s">
        <v>0</v>
      </c>
      <c r="C121" s="49">
        <v>5.2</v>
      </c>
      <c r="D121" s="132"/>
    </row>
    <row r="122" spans="1:4" ht="15.75" outlineLevel="1">
      <c r="A122" s="49" t="s">
        <v>807</v>
      </c>
      <c r="B122" s="50" t="s">
        <v>740</v>
      </c>
      <c r="C122" s="49">
        <v>5.3</v>
      </c>
      <c r="D122" s="132"/>
    </row>
    <row r="123" spans="1:4" ht="15.75" outlineLevel="1">
      <c r="A123" s="49" t="s">
        <v>807</v>
      </c>
      <c r="B123" s="50" t="s">
        <v>2</v>
      </c>
      <c r="C123" s="49">
        <v>5.6</v>
      </c>
      <c r="D123" s="132"/>
    </row>
    <row r="124" spans="1:4" ht="15.75" outlineLevel="1">
      <c r="A124" s="49" t="s">
        <v>807</v>
      </c>
      <c r="B124" s="50" t="s">
        <v>746</v>
      </c>
      <c r="C124" s="51">
        <v>5.0999999999999996</v>
      </c>
      <c r="D124" s="132"/>
    </row>
    <row r="125" spans="1:4" ht="15.75" outlineLevel="1">
      <c r="A125" s="49" t="s">
        <v>807</v>
      </c>
      <c r="B125" s="50" t="s">
        <v>3</v>
      </c>
      <c r="C125" s="49">
        <v>5.14</v>
      </c>
      <c r="D125" s="132"/>
    </row>
    <row r="126" spans="1:4" ht="15.75" outlineLevel="1">
      <c r="A126" s="49" t="s">
        <v>807</v>
      </c>
      <c r="B126" s="50" t="s">
        <v>29</v>
      </c>
      <c r="C126" s="49">
        <v>5.19</v>
      </c>
      <c r="D126" s="132"/>
    </row>
    <row r="127" spans="1:4" ht="15.75" outlineLevel="1">
      <c r="A127" s="49" t="s">
        <v>807</v>
      </c>
      <c r="B127" s="50" t="s">
        <v>28</v>
      </c>
      <c r="C127" s="49">
        <v>5.24</v>
      </c>
      <c r="D127" s="132"/>
    </row>
    <row r="128" spans="1:4" ht="15.75" outlineLevel="1">
      <c r="A128" s="49" t="s">
        <v>807</v>
      </c>
      <c r="B128" s="50" t="s">
        <v>1</v>
      </c>
      <c r="C128" s="49">
        <v>5.26</v>
      </c>
      <c r="D128" s="132"/>
    </row>
    <row r="129" spans="1:4" ht="15.75" outlineLevel="1">
      <c r="A129" s="49" t="s">
        <v>807</v>
      </c>
      <c r="B129" s="50" t="s">
        <v>620</v>
      </c>
      <c r="C129" s="49">
        <v>5.27</v>
      </c>
      <c r="D129" s="132"/>
    </row>
    <row r="130" spans="1:4" ht="15.75" outlineLevel="1">
      <c r="A130" s="49" t="s">
        <v>807</v>
      </c>
      <c r="B130" s="50" t="s">
        <v>621</v>
      </c>
      <c r="C130" s="49">
        <v>5.28</v>
      </c>
      <c r="D130" s="132"/>
    </row>
    <row r="131" spans="1:4" ht="15.75" outlineLevel="1">
      <c r="A131" s="49" t="s">
        <v>807</v>
      </c>
      <c r="B131" s="50" t="s">
        <v>625</v>
      </c>
      <c r="C131" s="49">
        <v>5.29</v>
      </c>
      <c r="D131" s="132"/>
    </row>
    <row r="132" spans="1:4" ht="15.75" outlineLevel="1">
      <c r="A132" s="49" t="s">
        <v>807</v>
      </c>
      <c r="B132" s="50" t="s">
        <v>5</v>
      </c>
      <c r="C132" s="51">
        <v>5.3</v>
      </c>
      <c r="D132" s="132"/>
    </row>
    <row r="133" spans="1:4" ht="15.75" outlineLevel="1">
      <c r="A133" s="49" t="s">
        <v>807</v>
      </c>
      <c r="B133" s="50" t="s">
        <v>9</v>
      </c>
      <c r="C133" s="49">
        <v>5.31</v>
      </c>
      <c r="D133" s="132"/>
    </row>
    <row r="134" spans="1:4" ht="15.75" outlineLevel="1">
      <c r="A134" s="49" t="s">
        <v>807</v>
      </c>
      <c r="B134" s="50" t="s">
        <v>622</v>
      </c>
      <c r="C134" s="49">
        <v>5.36</v>
      </c>
      <c r="D134" s="132"/>
    </row>
    <row r="135" spans="1:4" ht="15.75" outlineLevel="1">
      <c r="A135" s="49" t="s">
        <v>807</v>
      </c>
      <c r="B135" s="50" t="s">
        <v>396</v>
      </c>
      <c r="C135" s="49">
        <v>5.53</v>
      </c>
      <c r="D135" s="132"/>
    </row>
    <row r="136" spans="1:4" ht="15.75" outlineLevel="1">
      <c r="A136" s="49" t="s">
        <v>807</v>
      </c>
      <c r="B136" s="50" t="s">
        <v>789</v>
      </c>
      <c r="C136" s="49">
        <v>5.58</v>
      </c>
      <c r="D136" s="132"/>
    </row>
    <row r="137" spans="1:4" ht="15.75" outlineLevel="1">
      <c r="A137" s="49" t="s">
        <v>807</v>
      </c>
      <c r="B137" s="50" t="s">
        <v>955</v>
      </c>
      <c r="C137" s="49">
        <v>5.62</v>
      </c>
      <c r="D137" s="132"/>
    </row>
    <row r="138" spans="1:4" ht="15.75" outlineLevel="1">
      <c r="A138" s="49" t="s">
        <v>807</v>
      </c>
      <c r="B138" s="50" t="s">
        <v>11</v>
      </c>
      <c r="C138" s="49">
        <v>5.54</v>
      </c>
      <c r="D138" s="132"/>
    </row>
    <row r="139" spans="1:4" ht="15.75" outlineLevel="1">
      <c r="A139" s="49" t="s">
        <v>807</v>
      </c>
      <c r="B139" s="50" t="s">
        <v>15</v>
      </c>
      <c r="C139" s="49">
        <v>5.55</v>
      </c>
      <c r="D139" s="132"/>
    </row>
    <row r="140" spans="1:4" ht="15.75" outlineLevel="1">
      <c r="A140" s="49" t="s">
        <v>807</v>
      </c>
      <c r="B140" s="50" t="s">
        <v>1171</v>
      </c>
      <c r="C140" s="49">
        <v>5.63</v>
      </c>
      <c r="D140" s="132"/>
    </row>
    <row r="141" spans="1:4" ht="15.75" outlineLevel="1">
      <c r="A141" s="49" t="s">
        <v>807</v>
      </c>
      <c r="B141" s="50" t="s">
        <v>18</v>
      </c>
      <c r="C141" s="49">
        <v>5.45</v>
      </c>
      <c r="D141" s="132"/>
    </row>
    <row r="142" spans="1:4" ht="15.75" outlineLevel="1">
      <c r="A142" s="49" t="s">
        <v>807</v>
      </c>
      <c r="B142" s="50" t="s">
        <v>19</v>
      </c>
      <c r="C142" s="49">
        <v>5.47</v>
      </c>
      <c r="D142" s="132"/>
    </row>
    <row r="143" spans="1:4" ht="15.75" outlineLevel="1">
      <c r="A143" s="49" t="s">
        <v>807</v>
      </c>
      <c r="B143" s="50" t="s">
        <v>30</v>
      </c>
      <c r="C143" s="49">
        <v>5.48</v>
      </c>
      <c r="D143" s="132"/>
    </row>
    <row r="144" spans="1:4" ht="15.75">
      <c r="A144" s="56" t="s">
        <v>807</v>
      </c>
      <c r="B144" s="50"/>
      <c r="C144" s="49"/>
      <c r="D144" s="132"/>
    </row>
    <row r="145" spans="1:4" ht="15.75" outlineLevel="1">
      <c r="A145" s="49" t="s">
        <v>34</v>
      </c>
      <c r="B145" s="50" t="s">
        <v>667</v>
      </c>
      <c r="C145" s="49">
        <v>5.0999999999999996</v>
      </c>
      <c r="D145" s="132"/>
    </row>
    <row r="146" spans="1:4" ht="15.75" outlineLevel="1">
      <c r="A146" s="49" t="s">
        <v>34</v>
      </c>
      <c r="B146" s="50" t="s">
        <v>0</v>
      </c>
      <c r="C146" s="49">
        <v>5.2</v>
      </c>
      <c r="D146" s="132"/>
    </row>
    <row r="147" spans="1:4" ht="15.75" outlineLevel="1">
      <c r="A147" s="49" t="s">
        <v>34</v>
      </c>
      <c r="B147" s="50" t="s">
        <v>740</v>
      </c>
      <c r="C147" s="49">
        <v>5.3</v>
      </c>
      <c r="D147" s="132"/>
    </row>
    <row r="148" spans="1:4" ht="15.75" outlineLevel="1">
      <c r="A148" s="49" t="s">
        <v>34</v>
      </c>
      <c r="B148" s="50" t="s">
        <v>2</v>
      </c>
      <c r="C148" s="49">
        <v>5.6</v>
      </c>
      <c r="D148" s="132"/>
    </row>
    <row r="149" spans="1:4" ht="15.75" outlineLevel="1">
      <c r="A149" s="49" t="s">
        <v>34</v>
      </c>
      <c r="B149" s="50" t="s">
        <v>746</v>
      </c>
      <c r="C149" s="51">
        <v>5.0999999999999996</v>
      </c>
      <c r="D149" s="132"/>
    </row>
    <row r="150" spans="1:4" ht="15.75" outlineLevel="1">
      <c r="A150" s="49" t="s">
        <v>34</v>
      </c>
      <c r="B150" s="50" t="s">
        <v>3</v>
      </c>
      <c r="C150" s="49">
        <v>5.14</v>
      </c>
      <c r="D150" s="132"/>
    </row>
    <row r="151" spans="1:4" ht="15.75" outlineLevel="1">
      <c r="A151" s="49" t="s">
        <v>34</v>
      </c>
      <c r="B151" s="50" t="s">
        <v>29</v>
      </c>
      <c r="C151" s="49">
        <v>5.19</v>
      </c>
      <c r="D151" s="132"/>
    </row>
    <row r="152" spans="1:4" ht="15.75" outlineLevel="1">
      <c r="A152" s="49" t="s">
        <v>34</v>
      </c>
      <c r="B152" s="50" t="s">
        <v>28</v>
      </c>
      <c r="C152" s="49">
        <v>5.24</v>
      </c>
      <c r="D152" s="132"/>
    </row>
    <row r="153" spans="1:4" ht="15.75" outlineLevel="1">
      <c r="A153" s="49" t="s">
        <v>34</v>
      </c>
      <c r="B153" s="50" t="s">
        <v>1</v>
      </c>
      <c r="C153" s="49">
        <v>5.26</v>
      </c>
      <c r="D153" s="132"/>
    </row>
    <row r="154" spans="1:4" ht="15.75" outlineLevel="1">
      <c r="A154" s="49" t="s">
        <v>34</v>
      </c>
      <c r="B154" s="50" t="s">
        <v>620</v>
      </c>
      <c r="C154" s="49">
        <v>5.27</v>
      </c>
      <c r="D154" s="132"/>
    </row>
    <row r="155" spans="1:4" ht="15.75" outlineLevel="1">
      <c r="A155" s="49" t="s">
        <v>34</v>
      </c>
      <c r="B155" s="50" t="s">
        <v>621</v>
      </c>
      <c r="C155" s="49">
        <v>5.28</v>
      </c>
      <c r="D155" s="132"/>
    </row>
    <row r="156" spans="1:4" ht="15.75" outlineLevel="1">
      <c r="A156" s="49" t="s">
        <v>34</v>
      </c>
      <c r="B156" s="50" t="s">
        <v>5</v>
      </c>
      <c r="C156" s="51">
        <v>5.3</v>
      </c>
      <c r="D156" s="132"/>
    </row>
    <row r="157" spans="1:4" ht="15.75" outlineLevel="1">
      <c r="A157" s="49" t="s">
        <v>34</v>
      </c>
      <c r="B157" s="50" t="s">
        <v>300</v>
      </c>
      <c r="C157" s="49">
        <v>5.32</v>
      </c>
      <c r="D157" s="132"/>
    </row>
    <row r="158" spans="1:4" ht="15.75" outlineLevel="1">
      <c r="A158" s="49" t="s">
        <v>34</v>
      </c>
      <c r="B158" s="50" t="s">
        <v>622</v>
      </c>
      <c r="C158" s="49">
        <v>5.36</v>
      </c>
      <c r="D158" s="132"/>
    </row>
    <row r="159" spans="1:4" ht="15.75" outlineLevel="1">
      <c r="A159" s="49" t="s">
        <v>34</v>
      </c>
      <c r="B159" s="50" t="s">
        <v>396</v>
      </c>
      <c r="C159" s="49">
        <v>5.53</v>
      </c>
      <c r="D159" s="132"/>
    </row>
    <row r="160" spans="1:4" ht="15.75" outlineLevel="1">
      <c r="A160" s="49" t="s">
        <v>34</v>
      </c>
      <c r="B160" s="50" t="s">
        <v>789</v>
      </c>
      <c r="C160" s="49">
        <v>5.58</v>
      </c>
      <c r="D160" s="132"/>
    </row>
    <row r="161" spans="1:5" ht="15.75" outlineLevel="1">
      <c r="A161" s="49" t="s">
        <v>34</v>
      </c>
      <c r="B161" s="50" t="s">
        <v>11</v>
      </c>
      <c r="C161" s="49">
        <v>5.54</v>
      </c>
      <c r="D161" s="132"/>
    </row>
    <row r="162" spans="1:5" ht="15.75" outlineLevel="1">
      <c r="A162" s="49" t="s">
        <v>34</v>
      </c>
      <c r="B162" s="50" t="s">
        <v>15</v>
      </c>
      <c r="C162" s="49">
        <v>5.55</v>
      </c>
      <c r="D162" s="132"/>
    </row>
    <row r="163" spans="1:5" ht="15.75" outlineLevel="1">
      <c r="A163" s="49" t="s">
        <v>34</v>
      </c>
      <c r="B163" s="50" t="s">
        <v>955</v>
      </c>
      <c r="C163" s="49">
        <v>5.62</v>
      </c>
      <c r="D163" s="132"/>
      <c r="E163" t="s">
        <v>1143</v>
      </c>
    </row>
    <row r="164" spans="1:5" ht="15.75" outlineLevel="1">
      <c r="A164" s="49" t="s">
        <v>34</v>
      </c>
      <c r="B164" s="50" t="s">
        <v>1171</v>
      </c>
      <c r="C164" s="49">
        <v>5.63</v>
      </c>
      <c r="D164" s="132"/>
    </row>
    <row r="165" spans="1:5" ht="15.75" outlineLevel="1">
      <c r="A165" s="49" t="s">
        <v>34</v>
      </c>
      <c r="B165" s="50" t="s">
        <v>18</v>
      </c>
      <c r="C165" s="49">
        <v>5.45</v>
      </c>
      <c r="D165" s="132"/>
    </row>
    <row r="166" spans="1:5" ht="15.75" outlineLevel="1">
      <c r="A166" s="49" t="s">
        <v>34</v>
      </c>
      <c r="B166" s="50" t="s">
        <v>19</v>
      </c>
      <c r="C166" s="49">
        <v>5.47</v>
      </c>
      <c r="D166" s="132"/>
    </row>
    <row r="167" spans="1:5" ht="15.75" outlineLevel="1">
      <c r="A167" s="49" t="s">
        <v>34</v>
      </c>
      <c r="B167" s="50" t="s">
        <v>30</v>
      </c>
      <c r="C167" s="49">
        <v>5.48</v>
      </c>
      <c r="D167" s="132"/>
    </row>
    <row r="168" spans="1:5" ht="15.75">
      <c r="A168" s="56" t="s">
        <v>34</v>
      </c>
      <c r="B168" s="50"/>
      <c r="C168" s="49"/>
      <c r="D168" s="132"/>
    </row>
    <row r="169" spans="1:5" ht="15.75" outlineLevel="1">
      <c r="A169" s="49" t="s">
        <v>35</v>
      </c>
      <c r="B169" s="50" t="s">
        <v>667</v>
      </c>
      <c r="C169" s="49">
        <v>5.0999999999999996</v>
      </c>
      <c r="D169" s="132"/>
    </row>
    <row r="170" spans="1:5" ht="15.75" outlineLevel="1">
      <c r="A170" s="49" t="s">
        <v>35</v>
      </c>
      <c r="B170" s="50" t="s">
        <v>0</v>
      </c>
      <c r="C170" s="49">
        <v>5.2</v>
      </c>
      <c r="D170" s="132"/>
    </row>
    <row r="171" spans="1:5" ht="15.75" outlineLevel="1">
      <c r="A171" s="49" t="s">
        <v>35</v>
      </c>
      <c r="B171" s="50" t="s">
        <v>740</v>
      </c>
      <c r="C171" s="49">
        <v>5.3</v>
      </c>
      <c r="D171" s="132"/>
    </row>
    <row r="172" spans="1:5" ht="15.75" outlineLevel="1">
      <c r="A172" s="49" t="s">
        <v>35</v>
      </c>
      <c r="B172" s="50" t="s">
        <v>2</v>
      </c>
      <c r="C172" s="49">
        <v>5.6</v>
      </c>
      <c r="D172" s="132"/>
    </row>
    <row r="173" spans="1:5" ht="15.75" outlineLevel="1">
      <c r="A173" s="49" t="s">
        <v>35</v>
      </c>
      <c r="B173" s="50" t="s">
        <v>746</v>
      </c>
      <c r="C173" s="51">
        <v>5.0999999999999996</v>
      </c>
      <c r="D173" s="132"/>
    </row>
    <row r="174" spans="1:5" ht="15.75" outlineLevel="1">
      <c r="A174" s="49" t="s">
        <v>35</v>
      </c>
      <c r="B174" s="50" t="s">
        <v>3</v>
      </c>
      <c r="C174" s="49">
        <v>5.14</v>
      </c>
      <c r="D174" s="132"/>
    </row>
    <row r="175" spans="1:5" ht="15.75" outlineLevel="1">
      <c r="A175" s="49" t="s">
        <v>35</v>
      </c>
      <c r="B175" s="50" t="s">
        <v>29</v>
      </c>
      <c r="C175" s="49">
        <v>5.19</v>
      </c>
      <c r="D175" s="132"/>
    </row>
    <row r="176" spans="1:5" ht="15.75" outlineLevel="1">
      <c r="A176" s="49" t="s">
        <v>35</v>
      </c>
      <c r="B176" s="50" t="s">
        <v>28</v>
      </c>
      <c r="C176" s="49">
        <v>5.24</v>
      </c>
      <c r="D176" s="132"/>
    </row>
    <row r="177" spans="1:4" ht="15.75" outlineLevel="1">
      <c r="A177" s="49" t="s">
        <v>35</v>
      </c>
      <c r="B177" s="50" t="s">
        <v>1</v>
      </c>
      <c r="C177" s="49">
        <v>5.26</v>
      </c>
      <c r="D177" s="132"/>
    </row>
    <row r="178" spans="1:4" ht="15.75" outlineLevel="1">
      <c r="A178" s="49" t="s">
        <v>35</v>
      </c>
      <c r="B178" s="50" t="s">
        <v>620</v>
      </c>
      <c r="C178" s="49">
        <v>5.27</v>
      </c>
      <c r="D178" s="132"/>
    </row>
    <row r="179" spans="1:4" ht="15.75" outlineLevel="1">
      <c r="A179" s="49" t="s">
        <v>35</v>
      </c>
      <c r="B179" s="50" t="s">
        <v>621</v>
      </c>
      <c r="C179" s="49">
        <v>5.28</v>
      </c>
      <c r="D179" s="132"/>
    </row>
    <row r="180" spans="1:4" ht="15.75" outlineLevel="1">
      <c r="A180" s="49" t="s">
        <v>35</v>
      </c>
      <c r="B180" s="50" t="s">
        <v>625</v>
      </c>
      <c r="C180" s="49">
        <v>5.29</v>
      </c>
      <c r="D180" s="132"/>
    </row>
    <row r="181" spans="1:4" ht="15.75" outlineLevel="1">
      <c r="A181" s="49" t="s">
        <v>35</v>
      </c>
      <c r="B181" s="50" t="s">
        <v>5</v>
      </c>
      <c r="C181" s="51">
        <v>5.3</v>
      </c>
      <c r="D181" s="132"/>
    </row>
    <row r="182" spans="1:4" ht="15.75" outlineLevel="1">
      <c r="A182" s="49" t="s">
        <v>35</v>
      </c>
      <c r="B182" s="50" t="s">
        <v>300</v>
      </c>
      <c r="C182" s="49">
        <v>5.32</v>
      </c>
      <c r="D182" s="132"/>
    </row>
    <row r="183" spans="1:4" ht="15.75" outlineLevel="1">
      <c r="A183" s="49" t="s">
        <v>35</v>
      </c>
      <c r="B183" s="50" t="s">
        <v>622</v>
      </c>
      <c r="C183" s="49">
        <v>5.36</v>
      </c>
      <c r="D183" s="132"/>
    </row>
    <row r="184" spans="1:4" ht="15.75" outlineLevel="1">
      <c r="A184" s="49" t="s">
        <v>35</v>
      </c>
      <c r="B184" s="50" t="s">
        <v>396</v>
      </c>
      <c r="C184" s="49">
        <v>5.53</v>
      </c>
      <c r="D184" s="132"/>
    </row>
    <row r="185" spans="1:4" ht="15.75" outlineLevel="1">
      <c r="A185" s="49" t="s">
        <v>35</v>
      </c>
      <c r="B185" s="50" t="s">
        <v>789</v>
      </c>
      <c r="C185" s="49">
        <v>5.58</v>
      </c>
      <c r="D185" s="132"/>
    </row>
    <row r="186" spans="1:4" ht="15.75" outlineLevel="1">
      <c r="A186" s="49" t="s">
        <v>35</v>
      </c>
      <c r="B186" s="50" t="s">
        <v>11</v>
      </c>
      <c r="C186" s="49">
        <v>5.54</v>
      </c>
      <c r="D186" s="132"/>
    </row>
    <row r="187" spans="1:4" ht="15.75" outlineLevel="1">
      <c r="A187" s="49" t="s">
        <v>35</v>
      </c>
      <c r="B187" s="50" t="s">
        <v>15</v>
      </c>
      <c r="C187" s="49">
        <v>5.55</v>
      </c>
      <c r="D187" s="132"/>
    </row>
    <row r="188" spans="1:4" ht="15.75" outlineLevel="1">
      <c r="A188" s="49" t="s">
        <v>35</v>
      </c>
      <c r="B188" s="50" t="s">
        <v>1171</v>
      </c>
      <c r="C188" s="49">
        <v>5.63</v>
      </c>
      <c r="D188" s="132"/>
    </row>
    <row r="189" spans="1:4" ht="15.75" outlineLevel="1">
      <c r="A189" s="49" t="s">
        <v>35</v>
      </c>
      <c r="B189" s="50" t="s">
        <v>18</v>
      </c>
      <c r="C189" s="49">
        <v>5.45</v>
      </c>
      <c r="D189" s="132"/>
    </row>
    <row r="190" spans="1:4" ht="15.75" outlineLevel="1">
      <c r="A190" s="49" t="s">
        <v>35</v>
      </c>
      <c r="B190" s="50" t="s">
        <v>19</v>
      </c>
      <c r="C190" s="49">
        <v>5.47</v>
      </c>
      <c r="D190" s="132"/>
    </row>
    <row r="191" spans="1:4" ht="15.75" outlineLevel="1">
      <c r="A191" s="49" t="s">
        <v>35</v>
      </c>
      <c r="B191" s="50" t="s">
        <v>30</v>
      </c>
      <c r="C191" s="49">
        <v>5.48</v>
      </c>
      <c r="D191" s="132"/>
    </row>
    <row r="192" spans="1:4" ht="15.75">
      <c r="A192" s="56" t="s">
        <v>35</v>
      </c>
      <c r="B192" s="50"/>
      <c r="C192" s="49"/>
      <c r="D192" s="132"/>
    </row>
    <row r="193" spans="1:4" ht="15.75" outlineLevel="1">
      <c r="A193" s="49" t="s">
        <v>36</v>
      </c>
      <c r="B193" s="50" t="s">
        <v>667</v>
      </c>
      <c r="C193" s="49">
        <v>5.0999999999999996</v>
      </c>
      <c r="D193" s="132"/>
    </row>
    <row r="194" spans="1:4" ht="15.75" outlineLevel="1">
      <c r="A194" s="49" t="s">
        <v>36</v>
      </c>
      <c r="B194" s="50" t="s">
        <v>0</v>
      </c>
      <c r="C194" s="49">
        <v>5.2</v>
      </c>
      <c r="D194" s="132"/>
    </row>
    <row r="195" spans="1:4" ht="15.75" outlineLevel="1">
      <c r="A195" s="49" t="s">
        <v>36</v>
      </c>
      <c r="B195" s="50" t="s">
        <v>740</v>
      </c>
      <c r="C195" s="49">
        <v>5.3</v>
      </c>
      <c r="D195" s="132"/>
    </row>
    <row r="196" spans="1:4" ht="15.75" outlineLevel="1">
      <c r="A196" s="49" t="s">
        <v>36</v>
      </c>
      <c r="B196" s="50" t="s">
        <v>2</v>
      </c>
      <c r="C196" s="49">
        <v>5.6</v>
      </c>
      <c r="D196" s="132"/>
    </row>
    <row r="197" spans="1:4" ht="15.75" outlineLevel="1">
      <c r="A197" s="49" t="s">
        <v>36</v>
      </c>
      <c r="B197" s="50" t="s">
        <v>746</v>
      </c>
      <c r="C197" s="51">
        <v>5.0999999999999996</v>
      </c>
      <c r="D197" s="132"/>
    </row>
    <row r="198" spans="1:4" ht="15.75" outlineLevel="1">
      <c r="A198" s="49" t="s">
        <v>36</v>
      </c>
      <c r="B198" s="50" t="s">
        <v>3</v>
      </c>
      <c r="C198" s="49">
        <v>5.14</v>
      </c>
      <c r="D198" s="132"/>
    </row>
    <row r="199" spans="1:4" ht="15.75" outlineLevel="1">
      <c r="A199" s="49" t="s">
        <v>36</v>
      </c>
      <c r="B199" s="50" t="s">
        <v>29</v>
      </c>
      <c r="C199" s="49">
        <v>5.19</v>
      </c>
      <c r="D199" s="132"/>
    </row>
    <row r="200" spans="1:4" ht="15.75" outlineLevel="1">
      <c r="A200" s="49" t="s">
        <v>36</v>
      </c>
      <c r="B200" s="50" t="s">
        <v>28</v>
      </c>
      <c r="C200" s="49">
        <v>5.24</v>
      </c>
      <c r="D200" s="132"/>
    </row>
    <row r="201" spans="1:4" ht="15.75" outlineLevel="1">
      <c r="A201" s="49" t="s">
        <v>36</v>
      </c>
      <c r="B201" s="50" t="s">
        <v>620</v>
      </c>
      <c r="C201" s="49">
        <v>5.27</v>
      </c>
      <c r="D201" s="132"/>
    </row>
    <row r="202" spans="1:4" ht="15.75" outlineLevel="1">
      <c r="A202" s="49" t="s">
        <v>36</v>
      </c>
      <c r="B202" s="50" t="s">
        <v>621</v>
      </c>
      <c r="C202" s="49">
        <v>5.28</v>
      </c>
      <c r="D202" s="132"/>
    </row>
    <row r="203" spans="1:4" ht="15.75" outlineLevel="1">
      <c r="A203" s="49" t="s">
        <v>36</v>
      </c>
      <c r="B203" s="50" t="s">
        <v>625</v>
      </c>
      <c r="C203" s="49">
        <v>5.29</v>
      </c>
      <c r="D203" s="132"/>
    </row>
    <row r="204" spans="1:4" ht="15.75" outlineLevel="1">
      <c r="A204" s="49" t="s">
        <v>36</v>
      </c>
      <c r="B204" s="50" t="s">
        <v>5</v>
      </c>
      <c r="C204" s="51">
        <v>5.3</v>
      </c>
      <c r="D204" s="132"/>
    </row>
    <row r="205" spans="1:4" ht="15.75" outlineLevel="1">
      <c r="A205" s="49" t="s">
        <v>36</v>
      </c>
      <c r="B205" s="50" t="s">
        <v>754</v>
      </c>
      <c r="C205" s="49">
        <v>5.34</v>
      </c>
      <c r="D205" s="132"/>
    </row>
    <row r="206" spans="1:4" ht="15.75" outlineLevel="1">
      <c r="A206" s="49" t="s">
        <v>36</v>
      </c>
      <c r="B206" s="50" t="s">
        <v>9</v>
      </c>
      <c r="C206" s="49">
        <v>5.31</v>
      </c>
      <c r="D206" s="132"/>
    </row>
    <row r="207" spans="1:4" ht="15.75" outlineLevel="1">
      <c r="A207" s="49" t="s">
        <v>36</v>
      </c>
      <c r="B207" s="50" t="s">
        <v>682</v>
      </c>
      <c r="C207" s="49">
        <v>5.101</v>
      </c>
      <c r="D207" s="132"/>
    </row>
    <row r="208" spans="1:4" ht="15.75" outlineLevel="1">
      <c r="A208" s="49" t="s">
        <v>36</v>
      </c>
      <c r="B208" s="50" t="s">
        <v>622</v>
      </c>
      <c r="C208" s="49">
        <v>5.36</v>
      </c>
      <c r="D208" s="132"/>
    </row>
    <row r="209" spans="1:4" ht="15.75" outlineLevel="1">
      <c r="A209" s="49" t="s">
        <v>36</v>
      </c>
      <c r="B209" s="50" t="s">
        <v>396</v>
      </c>
      <c r="C209" s="49">
        <v>5.53</v>
      </c>
      <c r="D209" s="132"/>
    </row>
    <row r="210" spans="1:4" ht="15.75" outlineLevel="1">
      <c r="A210" s="49" t="s">
        <v>36</v>
      </c>
      <c r="B210" s="50" t="s">
        <v>23</v>
      </c>
      <c r="C210" s="49">
        <v>5.1020000000000003</v>
      </c>
      <c r="D210" s="132"/>
    </row>
    <row r="211" spans="1:4" ht="15.75" outlineLevel="1">
      <c r="A211" s="49" t="s">
        <v>36</v>
      </c>
      <c r="B211" s="50" t="s">
        <v>629</v>
      </c>
      <c r="C211" s="52">
        <v>5.0999999999999996</v>
      </c>
      <c r="D211" s="132"/>
    </row>
    <row r="212" spans="1:4" ht="15.75" outlineLevel="1">
      <c r="A212" s="49" t="s">
        <v>36</v>
      </c>
      <c r="B212" s="50" t="s">
        <v>789</v>
      </c>
      <c r="C212" s="49">
        <v>5.58</v>
      </c>
      <c r="D212" s="132"/>
    </row>
    <row r="213" spans="1:4" ht="15.75" outlineLevel="1">
      <c r="A213" s="49" t="s">
        <v>36</v>
      </c>
      <c r="B213" s="50" t="s">
        <v>11</v>
      </c>
      <c r="C213" s="49">
        <v>5.54</v>
      </c>
      <c r="D213" s="132"/>
    </row>
    <row r="214" spans="1:4" ht="15.75" outlineLevel="1">
      <c r="A214" s="49" t="s">
        <v>36</v>
      </c>
      <c r="B214" s="50" t="s">
        <v>15</v>
      </c>
      <c r="C214" s="49">
        <v>5.55</v>
      </c>
      <c r="D214" s="132"/>
    </row>
    <row r="215" spans="1:4" ht="15.75" outlineLevel="1">
      <c r="A215" s="49" t="s">
        <v>36</v>
      </c>
      <c r="B215" s="50" t="s">
        <v>1171</v>
      </c>
      <c r="C215" s="49">
        <v>5.63</v>
      </c>
      <c r="D215" s="132"/>
    </row>
    <row r="216" spans="1:4" ht="15.75" outlineLevel="1">
      <c r="A216" s="49" t="s">
        <v>36</v>
      </c>
      <c r="B216" s="50" t="s">
        <v>19</v>
      </c>
      <c r="C216" s="49">
        <v>5.47</v>
      </c>
      <c r="D216" s="132"/>
    </row>
    <row r="217" spans="1:4" ht="15.75" outlineLevel="1">
      <c r="A217" s="49" t="s">
        <v>36</v>
      </c>
      <c r="B217" s="50" t="s">
        <v>30</v>
      </c>
      <c r="C217" s="49">
        <v>5.48</v>
      </c>
      <c r="D217" s="132"/>
    </row>
    <row r="218" spans="1:4" ht="15.75">
      <c r="A218" s="56" t="s">
        <v>36</v>
      </c>
      <c r="B218" s="50"/>
      <c r="C218" s="49"/>
      <c r="D218" s="132"/>
    </row>
    <row r="219" spans="1:4" ht="15.75" outlineLevel="1">
      <c r="A219" s="49" t="s">
        <v>37</v>
      </c>
      <c r="B219" s="50" t="s">
        <v>667</v>
      </c>
      <c r="C219" s="49">
        <v>5.0999999999999996</v>
      </c>
      <c r="D219" s="132"/>
    </row>
    <row r="220" spans="1:4" ht="15.75" outlineLevel="1">
      <c r="A220" s="49" t="s">
        <v>37</v>
      </c>
      <c r="B220" s="50" t="s">
        <v>0</v>
      </c>
      <c r="C220" s="49">
        <v>5.2</v>
      </c>
      <c r="D220" s="132"/>
    </row>
    <row r="221" spans="1:4" ht="15.75" outlineLevel="1">
      <c r="A221" s="49" t="s">
        <v>37</v>
      </c>
      <c r="B221" s="50" t="s">
        <v>740</v>
      </c>
      <c r="C221" s="49">
        <v>5.3</v>
      </c>
      <c r="D221" s="132"/>
    </row>
    <row r="222" spans="1:4" ht="15.75" outlineLevel="1">
      <c r="A222" s="49" t="s">
        <v>37</v>
      </c>
      <c r="B222" s="50" t="s">
        <v>2</v>
      </c>
      <c r="C222" s="49">
        <v>5.6</v>
      </c>
      <c r="D222" s="132"/>
    </row>
    <row r="223" spans="1:4" ht="15.75" outlineLevel="1">
      <c r="A223" s="49" t="s">
        <v>37</v>
      </c>
      <c r="B223" s="50" t="s">
        <v>746</v>
      </c>
      <c r="C223" s="51">
        <v>5.0999999999999996</v>
      </c>
      <c r="D223" s="132"/>
    </row>
    <row r="224" spans="1:4" ht="15.75" outlineLevel="1">
      <c r="A224" s="49" t="s">
        <v>37</v>
      </c>
      <c r="B224" s="50" t="s">
        <v>3</v>
      </c>
      <c r="C224" s="49">
        <v>5.14</v>
      </c>
      <c r="D224" s="132"/>
    </row>
    <row r="225" spans="1:4" ht="15.75" outlineLevel="1">
      <c r="A225" s="49" t="s">
        <v>37</v>
      </c>
      <c r="B225" s="50" t="s">
        <v>29</v>
      </c>
      <c r="C225" s="49">
        <v>5.19</v>
      </c>
      <c r="D225" s="132"/>
    </row>
    <row r="226" spans="1:4" ht="15.75" outlineLevel="1">
      <c r="A226" s="49" t="s">
        <v>37</v>
      </c>
      <c r="B226" s="50" t="s">
        <v>28</v>
      </c>
      <c r="C226" s="49">
        <v>5.24</v>
      </c>
      <c r="D226" s="132"/>
    </row>
    <row r="227" spans="1:4" ht="15.75" outlineLevel="1">
      <c r="A227" s="49" t="s">
        <v>37</v>
      </c>
      <c r="B227" s="50" t="s">
        <v>1</v>
      </c>
      <c r="C227" s="49">
        <v>5.26</v>
      </c>
      <c r="D227" s="132"/>
    </row>
    <row r="228" spans="1:4" ht="15.75" outlineLevel="1">
      <c r="A228" s="49" t="s">
        <v>37</v>
      </c>
      <c r="B228" s="50" t="s">
        <v>620</v>
      </c>
      <c r="C228" s="49">
        <v>5.27</v>
      </c>
      <c r="D228" s="132"/>
    </row>
    <row r="229" spans="1:4" ht="15.75" outlineLevel="1">
      <c r="A229" s="49" t="s">
        <v>37</v>
      </c>
      <c r="B229" s="50" t="s">
        <v>621</v>
      </c>
      <c r="C229" s="49">
        <v>5.28</v>
      </c>
      <c r="D229" s="132"/>
    </row>
    <row r="230" spans="1:4" ht="15.75" outlineLevel="1">
      <c r="A230" s="49" t="s">
        <v>37</v>
      </c>
      <c r="B230" s="50" t="s">
        <v>625</v>
      </c>
      <c r="C230" s="49">
        <v>5.29</v>
      </c>
      <c r="D230" s="132"/>
    </row>
    <row r="231" spans="1:4" ht="15.75" outlineLevel="1">
      <c r="A231" s="49" t="s">
        <v>37</v>
      </c>
      <c r="B231" s="50" t="s">
        <v>5</v>
      </c>
      <c r="C231" s="51">
        <v>5.3</v>
      </c>
      <c r="D231" s="132"/>
    </row>
    <row r="232" spans="1:4" ht="15.75" outlineLevel="1">
      <c r="A232" s="49" t="s">
        <v>37</v>
      </c>
      <c r="B232" s="50" t="s">
        <v>9</v>
      </c>
      <c r="C232" s="49">
        <v>5.31</v>
      </c>
      <c r="D232" s="132"/>
    </row>
    <row r="233" spans="1:4" ht="15.75" outlineLevel="1">
      <c r="A233" s="49" t="s">
        <v>37</v>
      </c>
      <c r="B233" s="50" t="s">
        <v>10</v>
      </c>
      <c r="C233" s="49">
        <v>5.33</v>
      </c>
      <c r="D233" s="132"/>
    </row>
    <row r="234" spans="1:4" ht="15.75" outlineLevel="1">
      <c r="A234" s="49" t="s">
        <v>37</v>
      </c>
      <c r="B234" s="50" t="s">
        <v>682</v>
      </c>
      <c r="C234" s="49">
        <v>5.101</v>
      </c>
      <c r="D234" s="132"/>
    </row>
    <row r="235" spans="1:4" ht="15.75" outlineLevel="1">
      <c r="A235" s="49" t="s">
        <v>37</v>
      </c>
      <c r="B235" s="50" t="s">
        <v>622</v>
      </c>
      <c r="C235" s="49">
        <v>5.36</v>
      </c>
      <c r="D235" s="132"/>
    </row>
    <row r="236" spans="1:4" ht="15.75" outlineLevel="1">
      <c r="A236" s="49" t="s">
        <v>37</v>
      </c>
      <c r="B236" s="50" t="s">
        <v>396</v>
      </c>
      <c r="C236" s="49">
        <v>5.53</v>
      </c>
      <c r="D236" s="132"/>
    </row>
    <row r="237" spans="1:4" ht="15.75" outlineLevel="1">
      <c r="A237" s="49" t="s">
        <v>37</v>
      </c>
      <c r="B237" s="50" t="s">
        <v>23</v>
      </c>
      <c r="C237" s="49">
        <v>5.1020000000000003</v>
      </c>
      <c r="D237" s="132"/>
    </row>
    <row r="238" spans="1:4" ht="15.75" outlineLevel="1">
      <c r="A238" s="49" t="s">
        <v>37</v>
      </c>
      <c r="B238" s="50" t="s">
        <v>789</v>
      </c>
      <c r="C238" s="49">
        <v>5.58</v>
      </c>
      <c r="D238" s="132"/>
    </row>
    <row r="239" spans="1:4" ht="15.75" outlineLevel="1">
      <c r="A239" s="49" t="s">
        <v>37</v>
      </c>
      <c r="B239" s="50" t="s">
        <v>11</v>
      </c>
      <c r="C239" s="49">
        <v>5.54</v>
      </c>
      <c r="D239" s="132"/>
    </row>
    <row r="240" spans="1:4" ht="15.75" outlineLevel="1">
      <c r="A240" s="49" t="s">
        <v>37</v>
      </c>
      <c r="B240" s="50" t="s">
        <v>15</v>
      </c>
      <c r="C240" s="49">
        <v>5.55</v>
      </c>
      <c r="D240" s="132"/>
    </row>
    <row r="241" spans="1:4" ht="15.75" outlineLevel="1">
      <c r="A241" s="49" t="s">
        <v>37</v>
      </c>
      <c r="B241" s="50" t="s">
        <v>1171</v>
      </c>
      <c r="C241" s="49">
        <v>5.63</v>
      </c>
      <c r="D241" s="132"/>
    </row>
    <row r="242" spans="1:4" ht="15.75" outlineLevel="1">
      <c r="A242" s="49" t="s">
        <v>37</v>
      </c>
      <c r="B242" s="50" t="s">
        <v>19</v>
      </c>
      <c r="C242" s="49">
        <v>5.47</v>
      </c>
      <c r="D242" s="132"/>
    </row>
    <row r="243" spans="1:4" ht="15.75" outlineLevel="1">
      <c r="A243" s="49" t="s">
        <v>37</v>
      </c>
      <c r="B243" s="50" t="s">
        <v>30</v>
      </c>
      <c r="C243" s="49">
        <v>5.48</v>
      </c>
      <c r="D243" s="132"/>
    </row>
    <row r="244" spans="1:4" ht="15.75">
      <c r="A244" s="56" t="s">
        <v>37</v>
      </c>
      <c r="B244" s="50"/>
      <c r="C244" s="49"/>
      <c r="D244" s="132"/>
    </row>
    <row r="245" spans="1:4" ht="15.75" outlineLevel="1">
      <c r="A245" s="49" t="s">
        <v>38</v>
      </c>
      <c r="B245" s="50" t="s">
        <v>667</v>
      </c>
      <c r="C245" s="49">
        <v>5.0999999999999996</v>
      </c>
      <c r="D245" s="132"/>
    </row>
    <row r="246" spans="1:4" ht="15.75" outlineLevel="1">
      <c r="A246" s="49" t="s">
        <v>38</v>
      </c>
      <c r="B246" s="50" t="s">
        <v>0</v>
      </c>
      <c r="C246" s="49">
        <v>5.2</v>
      </c>
      <c r="D246" s="132"/>
    </row>
    <row r="247" spans="1:4" ht="15.75" outlineLevel="1">
      <c r="A247" s="49" t="s">
        <v>38</v>
      </c>
      <c r="B247" s="50" t="s">
        <v>740</v>
      </c>
      <c r="C247" s="49">
        <v>5.3</v>
      </c>
      <c r="D247" s="132"/>
    </row>
    <row r="248" spans="1:4" ht="15.75" outlineLevel="1">
      <c r="A248" s="49" t="s">
        <v>38</v>
      </c>
      <c r="B248" s="50" t="s">
        <v>2</v>
      </c>
      <c r="C248" s="49">
        <v>5.6</v>
      </c>
      <c r="D248" s="132"/>
    </row>
    <row r="249" spans="1:4" ht="15.75" outlineLevel="1">
      <c r="A249" s="49" t="s">
        <v>38</v>
      </c>
      <c r="B249" s="50" t="s">
        <v>746</v>
      </c>
      <c r="C249" s="51">
        <v>5.0999999999999996</v>
      </c>
      <c r="D249" s="132"/>
    </row>
    <row r="250" spans="1:4" ht="15.75" outlineLevel="1">
      <c r="A250" s="49" t="s">
        <v>38</v>
      </c>
      <c r="B250" s="50" t="s">
        <v>3</v>
      </c>
      <c r="C250" s="49">
        <v>5.14</v>
      </c>
      <c r="D250" s="132"/>
    </row>
    <row r="251" spans="1:4" ht="15.75" outlineLevel="1">
      <c r="A251" s="49" t="s">
        <v>38</v>
      </c>
      <c r="B251" s="50" t="s">
        <v>29</v>
      </c>
      <c r="C251" s="49">
        <v>5.19</v>
      </c>
      <c r="D251" s="132"/>
    </row>
    <row r="252" spans="1:4" ht="15.75" outlineLevel="1">
      <c r="A252" s="49" t="s">
        <v>38</v>
      </c>
      <c r="B252" s="50" t="s">
        <v>28</v>
      </c>
      <c r="C252" s="49">
        <v>5.24</v>
      </c>
      <c r="D252" s="132"/>
    </row>
    <row r="253" spans="1:4" ht="15.75" outlineLevel="1">
      <c r="A253" s="49" t="s">
        <v>38</v>
      </c>
      <c r="B253" s="50" t="s">
        <v>620</v>
      </c>
      <c r="C253" s="49">
        <v>5.27</v>
      </c>
      <c r="D253" s="132"/>
    </row>
    <row r="254" spans="1:4" ht="15.75" outlineLevel="1">
      <c r="A254" s="49" t="s">
        <v>38</v>
      </c>
      <c r="B254" s="50" t="s">
        <v>621</v>
      </c>
      <c r="C254" s="49">
        <v>5.28</v>
      </c>
      <c r="D254" s="132"/>
    </row>
    <row r="255" spans="1:4" ht="15.75" outlineLevel="1">
      <c r="A255" s="49" t="s">
        <v>38</v>
      </c>
      <c r="B255" s="50" t="s">
        <v>5</v>
      </c>
      <c r="C255" s="51">
        <v>5.3</v>
      </c>
      <c r="D255" s="132"/>
    </row>
    <row r="256" spans="1:4" ht="15.75" outlineLevel="1">
      <c r="A256" s="49" t="s">
        <v>38</v>
      </c>
      <c r="B256" s="50" t="s">
        <v>10</v>
      </c>
      <c r="C256" s="49">
        <v>5.33</v>
      </c>
      <c r="D256" s="132"/>
    </row>
    <row r="257" spans="1:4" ht="15.75" outlineLevel="1">
      <c r="A257" s="49" t="s">
        <v>38</v>
      </c>
      <c r="B257" s="50" t="s">
        <v>622</v>
      </c>
      <c r="C257" s="49">
        <v>5.36</v>
      </c>
      <c r="D257" s="132"/>
    </row>
    <row r="258" spans="1:4" ht="15.75" outlineLevel="1">
      <c r="A258" s="49" t="s">
        <v>38</v>
      </c>
      <c r="B258" s="50" t="s">
        <v>396</v>
      </c>
      <c r="C258" s="49">
        <v>5.53</v>
      </c>
      <c r="D258" s="132"/>
    </row>
    <row r="259" spans="1:4" ht="15.75" outlineLevel="1">
      <c r="A259" s="49" t="s">
        <v>38</v>
      </c>
      <c r="B259" s="50" t="s">
        <v>789</v>
      </c>
      <c r="C259" s="49">
        <v>5.58</v>
      </c>
      <c r="D259" s="132"/>
    </row>
    <row r="260" spans="1:4" ht="15.75" outlineLevel="1">
      <c r="A260" s="49" t="s">
        <v>38</v>
      </c>
      <c r="B260" s="50" t="s">
        <v>11</v>
      </c>
      <c r="C260" s="49">
        <v>5.54</v>
      </c>
      <c r="D260" s="132"/>
    </row>
    <row r="261" spans="1:4" ht="15.75" outlineLevel="1">
      <c r="A261" s="49" t="s">
        <v>38</v>
      </c>
      <c r="B261" s="50" t="s">
        <v>15</v>
      </c>
      <c r="C261" s="49">
        <v>5.55</v>
      </c>
      <c r="D261" s="132"/>
    </row>
    <row r="262" spans="1:4" ht="15.75" outlineLevel="1">
      <c r="A262" s="49" t="s">
        <v>38</v>
      </c>
      <c r="B262" s="50" t="s">
        <v>1171</v>
      </c>
      <c r="C262" s="49">
        <v>5.63</v>
      </c>
      <c r="D262" s="132"/>
    </row>
    <row r="263" spans="1:4" ht="15.75" outlineLevel="1">
      <c r="A263" s="49" t="s">
        <v>38</v>
      </c>
      <c r="B263" s="50" t="s">
        <v>19</v>
      </c>
      <c r="C263" s="49">
        <v>5.47</v>
      </c>
      <c r="D263" s="132"/>
    </row>
    <row r="264" spans="1:4" ht="15.75" outlineLevel="1">
      <c r="A264" s="49" t="s">
        <v>38</v>
      </c>
      <c r="B264" s="50" t="s">
        <v>30</v>
      </c>
      <c r="C264" s="49">
        <v>5.48</v>
      </c>
      <c r="D264" s="132"/>
    </row>
    <row r="265" spans="1:4" ht="15.75">
      <c r="A265" s="56" t="s">
        <v>38</v>
      </c>
      <c r="B265" s="50"/>
      <c r="C265" s="49"/>
      <c r="D265" s="132"/>
    </row>
    <row r="266" spans="1:4" ht="15.75" outlineLevel="1">
      <c r="A266" s="49" t="s">
        <v>39</v>
      </c>
      <c r="B266" s="50" t="s">
        <v>667</v>
      </c>
      <c r="C266" s="49">
        <v>5.0999999999999996</v>
      </c>
      <c r="D266" s="132"/>
    </row>
    <row r="267" spans="1:4" ht="15.75" outlineLevel="1">
      <c r="A267" s="49" t="s">
        <v>39</v>
      </c>
      <c r="B267" s="50" t="s">
        <v>0</v>
      </c>
      <c r="C267" s="49">
        <v>5.2</v>
      </c>
      <c r="D267" s="132"/>
    </row>
    <row r="268" spans="1:4" ht="15.75" outlineLevel="1">
      <c r="A268" s="49" t="s">
        <v>39</v>
      </c>
      <c r="B268" s="50" t="s">
        <v>740</v>
      </c>
      <c r="C268" s="49">
        <v>5.3</v>
      </c>
      <c r="D268" s="132"/>
    </row>
    <row r="269" spans="1:4" ht="15.75" outlineLevel="1">
      <c r="A269" s="49" t="s">
        <v>39</v>
      </c>
      <c r="B269" s="50" t="s">
        <v>2</v>
      </c>
      <c r="C269" s="49">
        <v>5.6</v>
      </c>
      <c r="D269" s="132"/>
    </row>
    <row r="270" spans="1:4" ht="15.75" outlineLevel="1">
      <c r="A270" s="49" t="s">
        <v>39</v>
      </c>
      <c r="B270" s="50" t="s">
        <v>746</v>
      </c>
      <c r="C270" s="51">
        <v>5.0999999999999996</v>
      </c>
      <c r="D270" s="132"/>
    </row>
    <row r="271" spans="1:4" ht="15.75" outlineLevel="1">
      <c r="A271" s="49" t="s">
        <v>39</v>
      </c>
      <c r="B271" s="50" t="s">
        <v>3</v>
      </c>
      <c r="C271" s="49">
        <v>5.14</v>
      </c>
      <c r="D271" s="132"/>
    </row>
    <row r="272" spans="1:4" ht="15.75" outlineLevel="1">
      <c r="A272" s="49" t="s">
        <v>39</v>
      </c>
      <c r="B272" s="50" t="s">
        <v>29</v>
      </c>
      <c r="C272" s="49">
        <v>5.19</v>
      </c>
      <c r="D272" s="132"/>
    </row>
    <row r="273" spans="1:4" ht="15.75" outlineLevel="1">
      <c r="A273" s="49" t="s">
        <v>39</v>
      </c>
      <c r="B273" s="50" t="s">
        <v>28</v>
      </c>
      <c r="C273" s="49">
        <v>5.24</v>
      </c>
      <c r="D273" s="132"/>
    </row>
    <row r="274" spans="1:4" ht="15.75" outlineLevel="1">
      <c r="A274" s="49" t="s">
        <v>39</v>
      </c>
      <c r="B274" s="50" t="s">
        <v>1</v>
      </c>
      <c r="C274" s="49">
        <v>5.26</v>
      </c>
      <c r="D274" s="132"/>
    </row>
    <row r="275" spans="1:4" ht="15.75" outlineLevel="1">
      <c r="A275" s="49" t="s">
        <v>39</v>
      </c>
      <c r="B275" s="50" t="s">
        <v>620</v>
      </c>
      <c r="C275" s="49">
        <v>5.27</v>
      </c>
      <c r="D275" s="132"/>
    </row>
    <row r="276" spans="1:4" ht="15.75" outlineLevel="1">
      <c r="A276" s="49" t="s">
        <v>39</v>
      </c>
      <c r="B276" s="50" t="s">
        <v>621</v>
      </c>
      <c r="C276" s="49">
        <v>5.28</v>
      </c>
      <c r="D276" s="132"/>
    </row>
    <row r="277" spans="1:4" ht="15.75" outlineLevel="1">
      <c r="A277" s="49" t="s">
        <v>39</v>
      </c>
      <c r="B277" s="50" t="s">
        <v>625</v>
      </c>
      <c r="C277" s="49">
        <v>5.29</v>
      </c>
      <c r="D277" s="132"/>
    </row>
    <row r="278" spans="1:4" ht="15.75" outlineLevel="1">
      <c r="A278" s="49" t="s">
        <v>39</v>
      </c>
      <c r="B278" s="50" t="s">
        <v>5</v>
      </c>
      <c r="C278" s="51">
        <v>5.3</v>
      </c>
      <c r="D278" s="132"/>
    </row>
    <row r="279" spans="1:4" ht="15.75" outlineLevel="1">
      <c r="A279" s="49" t="s">
        <v>39</v>
      </c>
      <c r="B279" s="50" t="s">
        <v>10</v>
      </c>
      <c r="C279" s="49">
        <v>5.33</v>
      </c>
      <c r="D279" s="132"/>
    </row>
    <row r="280" spans="1:4" ht="15.75" outlineLevel="1">
      <c r="A280" s="49" t="s">
        <v>39</v>
      </c>
      <c r="B280" s="50" t="s">
        <v>622</v>
      </c>
      <c r="C280" s="49">
        <v>5.36</v>
      </c>
      <c r="D280" s="132"/>
    </row>
    <row r="281" spans="1:4" ht="15.75" outlineLevel="1">
      <c r="A281" s="49" t="s">
        <v>39</v>
      </c>
      <c r="B281" s="50" t="s">
        <v>13</v>
      </c>
      <c r="C281" s="49">
        <v>5.69</v>
      </c>
      <c r="D281" s="132"/>
    </row>
    <row r="282" spans="1:4" ht="15.75" outlineLevel="1">
      <c r="A282" s="49" t="s">
        <v>39</v>
      </c>
      <c r="B282" s="50" t="s">
        <v>14</v>
      </c>
      <c r="C282" s="51">
        <v>5.7</v>
      </c>
      <c r="D282" s="132"/>
    </row>
    <row r="283" spans="1:4" ht="15.75" outlineLevel="1">
      <c r="A283" s="49" t="s">
        <v>39</v>
      </c>
      <c r="B283" s="50" t="s">
        <v>637</v>
      </c>
      <c r="C283" s="49">
        <v>5.74</v>
      </c>
      <c r="D283" s="132"/>
    </row>
    <row r="284" spans="1:4" ht="15.75" outlineLevel="1">
      <c r="A284" s="49" t="s">
        <v>39</v>
      </c>
      <c r="B284" s="50" t="s">
        <v>6</v>
      </c>
      <c r="C284" s="49">
        <v>5.49</v>
      </c>
      <c r="D284" s="132"/>
    </row>
    <row r="285" spans="1:4" ht="15.75" outlineLevel="1">
      <c r="A285" s="49" t="s">
        <v>39</v>
      </c>
      <c r="B285" s="50" t="s">
        <v>8</v>
      </c>
      <c r="C285" s="49">
        <v>5.51</v>
      </c>
      <c r="D285" s="132"/>
    </row>
    <row r="286" spans="1:4" ht="15.75" outlineLevel="1">
      <c r="A286" s="49" t="s">
        <v>39</v>
      </c>
      <c r="B286" s="50" t="s">
        <v>7</v>
      </c>
      <c r="C286" s="49">
        <v>5.52</v>
      </c>
      <c r="D286" s="132"/>
    </row>
    <row r="287" spans="1:4" ht="15.75" outlineLevel="1">
      <c r="A287" s="49" t="s">
        <v>39</v>
      </c>
      <c r="B287" s="50" t="s">
        <v>396</v>
      </c>
      <c r="C287" s="49">
        <v>5.53</v>
      </c>
      <c r="D287" s="132"/>
    </row>
    <row r="288" spans="1:4" ht="15.75" outlineLevel="1">
      <c r="A288" s="49" t="s">
        <v>39</v>
      </c>
      <c r="B288" s="50" t="s">
        <v>789</v>
      </c>
      <c r="C288" s="49">
        <v>5.58</v>
      </c>
      <c r="D288" s="132"/>
    </row>
    <row r="289" spans="1:4" ht="15.75" outlineLevel="1">
      <c r="A289" s="49" t="s">
        <v>39</v>
      </c>
      <c r="B289" s="50" t="s">
        <v>11</v>
      </c>
      <c r="C289" s="49">
        <v>5.54</v>
      </c>
      <c r="D289" s="132"/>
    </row>
    <row r="290" spans="1:4" ht="15.75" outlineLevel="1">
      <c r="A290" s="49" t="s">
        <v>39</v>
      </c>
      <c r="B290" s="50" t="s">
        <v>15</v>
      </c>
      <c r="C290" s="49">
        <v>5.55</v>
      </c>
      <c r="D290" s="132"/>
    </row>
    <row r="291" spans="1:4" ht="15.75" outlineLevel="1">
      <c r="A291" s="49" t="s">
        <v>39</v>
      </c>
      <c r="B291" s="50" t="s">
        <v>1171</v>
      </c>
      <c r="C291" s="49">
        <v>5.63</v>
      </c>
      <c r="D291" s="132"/>
    </row>
    <row r="292" spans="1:4" ht="15.75" outlineLevel="1">
      <c r="A292" s="49" t="s">
        <v>39</v>
      </c>
      <c r="B292" s="50" t="s">
        <v>19</v>
      </c>
      <c r="C292" s="49">
        <v>5.47</v>
      </c>
      <c r="D292" s="132"/>
    </row>
    <row r="293" spans="1:4" ht="15.75" outlineLevel="1">
      <c r="A293" s="49" t="s">
        <v>39</v>
      </c>
      <c r="B293" s="50" t="s">
        <v>30</v>
      </c>
      <c r="C293" s="49">
        <v>5.48</v>
      </c>
      <c r="D293" s="132"/>
    </row>
    <row r="294" spans="1:4" ht="15.75">
      <c r="A294" s="56" t="s">
        <v>39</v>
      </c>
      <c r="B294" s="50"/>
      <c r="C294" s="49"/>
      <c r="D294" s="132"/>
    </row>
    <row r="295" spans="1:4" ht="31.5" outlineLevel="1">
      <c r="A295" s="49" t="s">
        <v>41</v>
      </c>
      <c r="B295" s="50" t="s">
        <v>667</v>
      </c>
      <c r="C295" s="49">
        <v>5.0999999999999996</v>
      </c>
      <c r="D295" s="132"/>
    </row>
    <row r="296" spans="1:4" ht="31.5" outlineLevel="1">
      <c r="A296" s="49" t="s">
        <v>41</v>
      </c>
      <c r="B296" s="50" t="s">
        <v>0</v>
      </c>
      <c r="C296" s="49">
        <v>5.2</v>
      </c>
      <c r="D296" s="132"/>
    </row>
    <row r="297" spans="1:4" ht="31.5" outlineLevel="1">
      <c r="A297" s="49" t="s">
        <v>41</v>
      </c>
      <c r="B297" s="50" t="s">
        <v>740</v>
      </c>
      <c r="C297" s="49">
        <v>5.3</v>
      </c>
      <c r="D297" s="132"/>
    </row>
    <row r="298" spans="1:4" ht="31.5" outlineLevel="1">
      <c r="A298" s="49" t="s">
        <v>41</v>
      </c>
      <c r="B298" s="50" t="s">
        <v>3</v>
      </c>
      <c r="C298" s="49">
        <v>5.14</v>
      </c>
      <c r="D298" s="132"/>
    </row>
    <row r="299" spans="1:4" ht="31.5" outlineLevel="1">
      <c r="A299" s="49" t="s">
        <v>41</v>
      </c>
      <c r="B299" s="50" t="s">
        <v>29</v>
      </c>
      <c r="C299" s="49">
        <v>5.19</v>
      </c>
      <c r="D299" s="132"/>
    </row>
    <row r="300" spans="1:4" ht="31.5" outlineLevel="1">
      <c r="A300" s="49" t="s">
        <v>41</v>
      </c>
      <c r="B300" s="50" t="s">
        <v>28</v>
      </c>
      <c r="C300" s="49">
        <v>5.24</v>
      </c>
      <c r="D300" s="132"/>
    </row>
    <row r="301" spans="1:4" ht="31.5" outlineLevel="1">
      <c r="A301" s="49" t="s">
        <v>41</v>
      </c>
      <c r="B301" s="50" t="s">
        <v>1</v>
      </c>
      <c r="C301" s="49">
        <v>5.26</v>
      </c>
      <c r="D301" s="132"/>
    </row>
    <row r="302" spans="1:4" ht="31.5" outlineLevel="1">
      <c r="A302" s="49" t="s">
        <v>41</v>
      </c>
      <c r="B302" s="50" t="s">
        <v>620</v>
      </c>
      <c r="C302" s="49">
        <v>5.27</v>
      </c>
      <c r="D302" s="132"/>
    </row>
    <row r="303" spans="1:4" ht="31.5" outlineLevel="1">
      <c r="A303" s="49" t="s">
        <v>41</v>
      </c>
      <c r="B303" s="50" t="s">
        <v>621</v>
      </c>
      <c r="C303" s="49">
        <v>5.28</v>
      </c>
      <c r="D303" s="132"/>
    </row>
    <row r="304" spans="1:4" ht="31.5" outlineLevel="1">
      <c r="A304" s="49" t="s">
        <v>41</v>
      </c>
      <c r="B304" s="50" t="s">
        <v>12</v>
      </c>
      <c r="C304" s="49">
        <v>5.37</v>
      </c>
      <c r="D304" s="132"/>
    </row>
    <row r="305" spans="1:4" ht="31.5" outlineLevel="1">
      <c r="A305" s="49" t="s">
        <v>41</v>
      </c>
      <c r="B305" s="50" t="s">
        <v>6</v>
      </c>
      <c r="C305" s="49">
        <v>5.49</v>
      </c>
      <c r="D305" s="132"/>
    </row>
    <row r="306" spans="1:4" ht="31.5" outlineLevel="1">
      <c r="A306" s="49" t="s">
        <v>41</v>
      </c>
      <c r="B306" s="50" t="s">
        <v>8</v>
      </c>
      <c r="C306" s="49">
        <v>5.51</v>
      </c>
      <c r="D306" s="132"/>
    </row>
    <row r="307" spans="1:4" ht="31.5" outlineLevel="1">
      <c r="A307" s="49" t="s">
        <v>41</v>
      </c>
      <c r="B307" s="50" t="s">
        <v>396</v>
      </c>
      <c r="C307" s="49">
        <v>5.53</v>
      </c>
      <c r="D307" s="132"/>
    </row>
    <row r="308" spans="1:4" ht="31.5" outlineLevel="1">
      <c r="A308" s="49" t="s">
        <v>41</v>
      </c>
      <c r="B308" s="50" t="s">
        <v>13</v>
      </c>
      <c r="C308" s="49">
        <v>5.69</v>
      </c>
      <c r="D308" s="132"/>
    </row>
    <row r="309" spans="1:4" ht="31.5" outlineLevel="1">
      <c r="A309" s="49" t="s">
        <v>41</v>
      </c>
      <c r="B309" s="50" t="s">
        <v>421</v>
      </c>
      <c r="C309" s="49">
        <v>5.75</v>
      </c>
      <c r="D309" s="132"/>
    </row>
    <row r="310" spans="1:4" ht="31.5" outlineLevel="1">
      <c r="A310" s="49" t="s">
        <v>41</v>
      </c>
      <c r="B310" s="50" t="s">
        <v>14</v>
      </c>
      <c r="C310" s="51">
        <v>5.7</v>
      </c>
      <c r="D310" s="132"/>
    </row>
    <row r="311" spans="1:4" ht="31.5" outlineLevel="1">
      <c r="A311" s="49" t="s">
        <v>41</v>
      </c>
      <c r="B311" s="50" t="s">
        <v>637</v>
      </c>
      <c r="C311" s="49">
        <v>5.74</v>
      </c>
      <c r="D311" s="132"/>
    </row>
    <row r="312" spans="1:4" ht="31.5" outlineLevel="1">
      <c r="A312" s="49" t="s">
        <v>41</v>
      </c>
      <c r="B312" s="50" t="s">
        <v>789</v>
      </c>
      <c r="C312" s="49">
        <v>5.58</v>
      </c>
      <c r="D312" s="132"/>
    </row>
    <row r="313" spans="1:4" ht="31.5" outlineLevel="1">
      <c r="A313" s="49" t="s">
        <v>41</v>
      </c>
      <c r="B313" s="50" t="s">
        <v>11</v>
      </c>
      <c r="C313" s="49">
        <v>5.54</v>
      </c>
      <c r="D313" s="132"/>
    </row>
    <row r="314" spans="1:4" ht="31.5" outlineLevel="1">
      <c r="A314" s="49" t="s">
        <v>41</v>
      </c>
      <c r="B314" s="50" t="s">
        <v>15</v>
      </c>
      <c r="C314" s="49">
        <v>5.55</v>
      </c>
      <c r="D314" s="132"/>
    </row>
    <row r="315" spans="1:4" ht="31.5" outlineLevel="1">
      <c r="A315" s="49" t="s">
        <v>41</v>
      </c>
      <c r="B315" s="50" t="s">
        <v>1171</v>
      </c>
      <c r="C315" s="49">
        <v>5.63</v>
      </c>
      <c r="D315" s="132"/>
    </row>
    <row r="316" spans="1:4" ht="31.5" outlineLevel="1">
      <c r="A316" s="49" t="s">
        <v>41</v>
      </c>
      <c r="B316" s="50" t="s">
        <v>1172</v>
      </c>
      <c r="C316" s="49">
        <v>5.65</v>
      </c>
      <c r="D316" s="132"/>
    </row>
    <row r="317" spans="1:4" ht="31.5" outlineLevel="1">
      <c r="A317" s="49" t="s">
        <v>41</v>
      </c>
      <c r="B317" s="50" t="s">
        <v>26</v>
      </c>
      <c r="C317" s="49">
        <v>5.68</v>
      </c>
      <c r="D317" s="132"/>
    </row>
    <row r="318" spans="1:4" ht="31.5" outlineLevel="1">
      <c r="A318" s="49" t="s">
        <v>41</v>
      </c>
      <c r="B318" s="50" t="s">
        <v>19</v>
      </c>
      <c r="C318" s="49">
        <v>5.47</v>
      </c>
      <c r="D318" s="132"/>
    </row>
    <row r="319" spans="1:4" ht="31.5" outlineLevel="1">
      <c r="A319" s="49" t="s">
        <v>41</v>
      </c>
      <c r="B319" s="50" t="s">
        <v>30</v>
      </c>
      <c r="C319" s="49">
        <v>5.48</v>
      </c>
      <c r="D319" s="132"/>
    </row>
    <row r="320" spans="1:4" ht="31.5">
      <c r="A320" s="56" t="s">
        <v>41</v>
      </c>
      <c r="B320" s="50"/>
      <c r="C320" s="49"/>
      <c r="D320" s="132"/>
    </row>
    <row r="321" spans="1:4" ht="31.5" outlineLevel="1">
      <c r="A321" s="49" t="s">
        <v>42</v>
      </c>
      <c r="B321" s="50" t="s">
        <v>667</v>
      </c>
      <c r="C321" s="49">
        <v>5.0999999999999996</v>
      </c>
      <c r="D321" s="132"/>
    </row>
    <row r="322" spans="1:4" ht="31.5" outlineLevel="1">
      <c r="A322" s="49" t="s">
        <v>42</v>
      </c>
      <c r="B322" s="50" t="s">
        <v>0</v>
      </c>
      <c r="C322" s="49">
        <v>5.2</v>
      </c>
      <c r="D322" s="132"/>
    </row>
    <row r="323" spans="1:4" ht="31.5" outlineLevel="1">
      <c r="A323" s="49" t="s">
        <v>42</v>
      </c>
      <c r="B323" s="50" t="s">
        <v>1</v>
      </c>
      <c r="C323" s="49">
        <v>5.26</v>
      </c>
      <c r="D323" s="132"/>
    </row>
    <row r="324" spans="1:4" ht="31.5" outlineLevel="1">
      <c r="A324" s="49" t="s">
        <v>42</v>
      </c>
      <c r="B324" s="50" t="s">
        <v>3</v>
      </c>
      <c r="C324" s="49">
        <v>5.14</v>
      </c>
      <c r="D324" s="132"/>
    </row>
    <row r="325" spans="1:4" ht="31.5" outlineLevel="1">
      <c r="A325" s="49" t="s">
        <v>42</v>
      </c>
      <c r="B325" s="50" t="s">
        <v>29</v>
      </c>
      <c r="C325" s="49">
        <v>5.19</v>
      </c>
      <c r="D325" s="132"/>
    </row>
    <row r="326" spans="1:4" ht="31.5" outlineLevel="1">
      <c r="A326" s="49" t="s">
        <v>42</v>
      </c>
      <c r="B326" s="50" t="s">
        <v>12</v>
      </c>
      <c r="C326" s="49">
        <v>5.37</v>
      </c>
      <c r="D326" s="132"/>
    </row>
    <row r="327" spans="1:4" ht="31.5" outlineLevel="1">
      <c r="A327" s="49" t="s">
        <v>42</v>
      </c>
      <c r="B327" s="50" t="s">
        <v>13</v>
      </c>
      <c r="C327" s="49">
        <v>5.69</v>
      </c>
      <c r="D327" s="132"/>
    </row>
    <row r="328" spans="1:4" ht="31.5" outlineLevel="1">
      <c r="A328" s="49" t="s">
        <v>42</v>
      </c>
      <c r="B328" s="50" t="s">
        <v>282</v>
      </c>
      <c r="C328" s="51">
        <v>5.8</v>
      </c>
      <c r="D328" s="132"/>
    </row>
    <row r="329" spans="1:4" ht="31.5" outlineLevel="1">
      <c r="A329" s="49" t="s">
        <v>42</v>
      </c>
      <c r="B329" s="50" t="s">
        <v>421</v>
      </c>
      <c r="C329" s="49">
        <v>5.75</v>
      </c>
      <c r="D329" s="132"/>
    </row>
    <row r="330" spans="1:4" ht="31.5" outlineLevel="1">
      <c r="A330" s="49" t="s">
        <v>42</v>
      </c>
      <c r="B330" s="50" t="s">
        <v>14</v>
      </c>
      <c r="C330" s="51">
        <v>5.7</v>
      </c>
      <c r="D330" s="132"/>
    </row>
    <row r="331" spans="1:4" ht="31.5" outlineLevel="1">
      <c r="A331" s="49" t="s">
        <v>42</v>
      </c>
      <c r="B331" s="50" t="s">
        <v>637</v>
      </c>
      <c r="C331" s="49">
        <v>5.74</v>
      </c>
      <c r="D331" s="132"/>
    </row>
    <row r="332" spans="1:4" ht="31.5" outlineLevel="1">
      <c r="A332" s="49" t="s">
        <v>42</v>
      </c>
      <c r="B332" s="50" t="s">
        <v>789</v>
      </c>
      <c r="C332" s="49">
        <v>5.58</v>
      </c>
      <c r="D332" s="132"/>
    </row>
    <row r="333" spans="1:4" ht="31.5" outlineLevel="1">
      <c r="A333" s="49" t="s">
        <v>42</v>
      </c>
      <c r="B333" s="50" t="s">
        <v>15</v>
      </c>
      <c r="C333" s="49">
        <v>5.55</v>
      </c>
      <c r="D333" s="132"/>
    </row>
    <row r="334" spans="1:4" ht="31.5" outlineLevel="1">
      <c r="A334" s="49" t="s">
        <v>42</v>
      </c>
      <c r="B334" s="50" t="s">
        <v>1171</v>
      </c>
      <c r="C334" s="49">
        <v>5.63</v>
      </c>
      <c r="D334" s="132"/>
    </row>
    <row r="335" spans="1:4" ht="31.5" outlineLevel="1">
      <c r="A335" s="49" t="s">
        <v>42</v>
      </c>
      <c r="B335" s="50" t="s">
        <v>1172</v>
      </c>
      <c r="C335" s="49">
        <v>5.65</v>
      </c>
      <c r="D335" s="132"/>
    </row>
    <row r="336" spans="1:4" ht="31.5" outlineLevel="1">
      <c r="A336" s="49" t="s">
        <v>42</v>
      </c>
      <c r="B336" s="50" t="s">
        <v>26</v>
      </c>
      <c r="C336" s="49">
        <v>5.68</v>
      </c>
      <c r="D336" s="132"/>
    </row>
    <row r="337" spans="1:4" ht="31.5" outlineLevel="1">
      <c r="A337" s="49" t="s">
        <v>42</v>
      </c>
      <c r="B337" s="50" t="s">
        <v>19</v>
      </c>
      <c r="C337" s="49">
        <v>5.47</v>
      </c>
      <c r="D337" s="132"/>
    </row>
    <row r="338" spans="1:4" ht="31.5" outlineLevel="1">
      <c r="A338" s="49" t="s">
        <v>42</v>
      </c>
      <c r="B338" s="50" t="s">
        <v>30</v>
      </c>
      <c r="C338" s="49">
        <v>5.48</v>
      </c>
      <c r="D338" s="132"/>
    </row>
    <row r="339" spans="1:4" ht="31.5">
      <c r="A339" s="56" t="s">
        <v>42</v>
      </c>
      <c r="B339" s="50"/>
      <c r="C339" s="49"/>
      <c r="D339" s="132"/>
    </row>
    <row r="340" spans="1:4" ht="15.75" outlineLevel="1">
      <c r="A340" s="49" t="s">
        <v>683</v>
      </c>
      <c r="B340" s="50" t="s">
        <v>800</v>
      </c>
      <c r="C340" s="49">
        <v>5.0999999999999996</v>
      </c>
      <c r="D340" s="132"/>
    </row>
    <row r="341" spans="1:4" ht="15.75" outlineLevel="1">
      <c r="A341" s="49" t="s">
        <v>683</v>
      </c>
      <c r="B341" s="50" t="s">
        <v>0</v>
      </c>
      <c r="C341" s="49">
        <v>5.2</v>
      </c>
      <c r="D341" s="132"/>
    </row>
    <row r="342" spans="1:4" ht="15.75" outlineLevel="1">
      <c r="A342" s="49" t="s">
        <v>683</v>
      </c>
      <c r="B342" s="50" t="s">
        <v>1</v>
      </c>
      <c r="C342" s="49">
        <v>5.26</v>
      </c>
      <c r="D342" s="132"/>
    </row>
    <row r="343" spans="1:4" ht="15.75" outlineLevel="1">
      <c r="A343" s="49" t="s">
        <v>683</v>
      </c>
      <c r="B343" s="50" t="s">
        <v>774</v>
      </c>
      <c r="C343" s="49">
        <v>5.38</v>
      </c>
      <c r="D343" s="132"/>
    </row>
    <row r="344" spans="1:4" ht="15.75" outlineLevel="1">
      <c r="A344" s="49" t="s">
        <v>683</v>
      </c>
      <c r="B344" s="50" t="s">
        <v>773</v>
      </c>
      <c r="C344" s="49">
        <v>5.39</v>
      </c>
      <c r="D344" s="132"/>
    </row>
    <row r="345" spans="1:4" ht="15.75" outlineLevel="1">
      <c r="A345" s="49" t="s">
        <v>683</v>
      </c>
      <c r="B345" s="50" t="s">
        <v>1179</v>
      </c>
      <c r="C345" s="51">
        <v>5.6</v>
      </c>
      <c r="D345" s="132"/>
    </row>
    <row r="346" spans="1:4" ht="15.75" outlineLevel="1">
      <c r="A346" s="49" t="s">
        <v>683</v>
      </c>
      <c r="B346" s="50" t="s">
        <v>30</v>
      </c>
      <c r="C346" s="49">
        <v>5.48</v>
      </c>
      <c r="D346" s="132"/>
    </row>
    <row r="347" spans="1:4" ht="31.5">
      <c r="A347" s="56" t="s">
        <v>683</v>
      </c>
      <c r="B347" s="50"/>
      <c r="C347" s="49"/>
      <c r="D347" s="132"/>
    </row>
    <row r="348" spans="1:4" ht="31.5" outlineLevel="1">
      <c r="A348" s="49" t="s">
        <v>43</v>
      </c>
      <c r="B348" s="50" t="s">
        <v>667</v>
      </c>
      <c r="C348" s="49">
        <v>5.0999999999999996</v>
      </c>
      <c r="D348" s="132"/>
    </row>
    <row r="349" spans="1:4" ht="31.5" outlineLevel="1">
      <c r="A349" s="49" t="s">
        <v>43</v>
      </c>
      <c r="B349" s="50" t="s">
        <v>0</v>
      </c>
      <c r="C349" s="49">
        <v>5.2</v>
      </c>
      <c r="D349" s="132"/>
    </row>
    <row r="350" spans="1:4" ht="31.5" outlineLevel="1">
      <c r="A350" s="49" t="s">
        <v>43</v>
      </c>
      <c r="B350" s="50" t="s">
        <v>740</v>
      </c>
      <c r="C350" s="49">
        <v>5.3</v>
      </c>
      <c r="D350" s="132"/>
    </row>
    <row r="351" spans="1:4" ht="31.5" outlineLevel="1">
      <c r="A351" s="49" t="s">
        <v>43</v>
      </c>
      <c r="B351" s="50" t="s">
        <v>2</v>
      </c>
      <c r="C351" s="49">
        <v>5.6</v>
      </c>
      <c r="D351" s="132"/>
    </row>
    <row r="352" spans="1:4" ht="31.5" outlineLevel="1">
      <c r="A352" s="49" t="s">
        <v>43</v>
      </c>
      <c r="B352" s="50" t="s">
        <v>746</v>
      </c>
      <c r="C352" s="51">
        <v>5.0999999999999996</v>
      </c>
      <c r="D352" s="132"/>
    </row>
    <row r="353" spans="1:4" ht="31.5" outlineLevel="1">
      <c r="A353" s="49" t="s">
        <v>43</v>
      </c>
      <c r="B353" s="50" t="s">
        <v>3</v>
      </c>
      <c r="C353" s="49">
        <v>5.14</v>
      </c>
      <c r="D353" s="132"/>
    </row>
    <row r="354" spans="1:4" ht="31.5" outlineLevel="1">
      <c r="A354" s="49" t="s">
        <v>43</v>
      </c>
      <c r="B354" s="50" t="s">
        <v>29</v>
      </c>
      <c r="C354" s="49">
        <v>5.19</v>
      </c>
      <c r="D354" s="132"/>
    </row>
    <row r="355" spans="1:4" ht="31.5" outlineLevel="1">
      <c r="A355" s="49" t="s">
        <v>43</v>
      </c>
      <c r="B355" s="50" t="s">
        <v>28</v>
      </c>
      <c r="C355" s="49">
        <v>5.24</v>
      </c>
      <c r="D355" s="132"/>
    </row>
    <row r="356" spans="1:4" ht="31.5" outlineLevel="1">
      <c r="A356" s="49" t="s">
        <v>43</v>
      </c>
      <c r="B356" s="50" t="s">
        <v>1</v>
      </c>
      <c r="C356" s="49">
        <v>5.26</v>
      </c>
      <c r="D356" s="132"/>
    </row>
    <row r="357" spans="1:4" ht="31.5" outlineLevel="1">
      <c r="A357" s="49" t="s">
        <v>43</v>
      </c>
      <c r="B357" s="50" t="s">
        <v>620</v>
      </c>
      <c r="C357" s="49">
        <v>5.27</v>
      </c>
      <c r="D357" s="132"/>
    </row>
    <row r="358" spans="1:4" ht="31.5" outlineLevel="1">
      <c r="A358" s="49" t="s">
        <v>43</v>
      </c>
      <c r="B358" s="50" t="s">
        <v>621</v>
      </c>
      <c r="C358" s="49">
        <v>5.28</v>
      </c>
      <c r="D358" s="132"/>
    </row>
    <row r="359" spans="1:4" ht="31.5" outlineLevel="1">
      <c r="A359" s="49" t="s">
        <v>43</v>
      </c>
      <c r="B359" s="50" t="s">
        <v>9</v>
      </c>
      <c r="C359" s="49">
        <v>5.31</v>
      </c>
      <c r="D359" s="132"/>
    </row>
    <row r="360" spans="1:4" ht="31.5" outlineLevel="1">
      <c r="A360" s="49" t="s">
        <v>43</v>
      </c>
      <c r="B360" s="50" t="s">
        <v>622</v>
      </c>
      <c r="C360" s="49">
        <v>5.36</v>
      </c>
      <c r="D360" s="132"/>
    </row>
    <row r="361" spans="1:4" ht="31.5" outlineLevel="1">
      <c r="A361" s="49" t="s">
        <v>43</v>
      </c>
      <c r="B361" s="50" t="s">
        <v>12</v>
      </c>
      <c r="C361" s="49">
        <v>5.37</v>
      </c>
      <c r="D361" s="132"/>
    </row>
    <row r="362" spans="1:4" ht="31.5" outlineLevel="1">
      <c r="A362" s="49" t="s">
        <v>43</v>
      </c>
      <c r="B362" s="50" t="s">
        <v>6</v>
      </c>
      <c r="C362" s="49">
        <v>5.49</v>
      </c>
      <c r="D362" s="132"/>
    </row>
    <row r="363" spans="1:4" ht="31.5" outlineLevel="1">
      <c r="A363" s="49" t="s">
        <v>43</v>
      </c>
      <c r="B363" s="50" t="s">
        <v>8</v>
      </c>
      <c r="C363" s="49">
        <v>5.51</v>
      </c>
      <c r="D363" s="132"/>
    </row>
    <row r="364" spans="1:4" ht="31.5" outlineLevel="1">
      <c r="A364" s="49" t="s">
        <v>43</v>
      </c>
      <c r="B364" s="50" t="s">
        <v>7</v>
      </c>
      <c r="C364" s="49">
        <v>5.52</v>
      </c>
      <c r="D364" s="132"/>
    </row>
    <row r="365" spans="1:4" ht="31.5" outlineLevel="1">
      <c r="A365" s="49" t="s">
        <v>43</v>
      </c>
      <c r="B365" s="50" t="s">
        <v>396</v>
      </c>
      <c r="C365" s="49">
        <v>5.53</v>
      </c>
      <c r="D365" s="132"/>
    </row>
    <row r="366" spans="1:4" ht="31.5" outlineLevel="1">
      <c r="A366" s="49" t="s">
        <v>43</v>
      </c>
      <c r="B366" s="50" t="s">
        <v>13</v>
      </c>
      <c r="C366" s="49">
        <v>5.69</v>
      </c>
      <c r="D366" s="132"/>
    </row>
    <row r="367" spans="1:4" ht="31.5" outlineLevel="1">
      <c r="A367" s="49" t="s">
        <v>43</v>
      </c>
      <c r="B367" s="50" t="s">
        <v>282</v>
      </c>
      <c r="C367" s="51">
        <v>5.8</v>
      </c>
      <c r="D367" s="132"/>
    </row>
    <row r="368" spans="1:4" ht="31.5" outlineLevel="1">
      <c r="A368" s="49" t="s">
        <v>43</v>
      </c>
      <c r="B368" s="50" t="s">
        <v>309</v>
      </c>
      <c r="C368" s="51">
        <v>5.72</v>
      </c>
      <c r="D368" s="132"/>
    </row>
    <row r="369" spans="1:4" ht="31.5" outlineLevel="1">
      <c r="A369" s="49" t="s">
        <v>43</v>
      </c>
      <c r="B369" s="50" t="s">
        <v>421</v>
      </c>
      <c r="C369" s="49">
        <v>5.75</v>
      </c>
      <c r="D369" s="132"/>
    </row>
    <row r="370" spans="1:4" ht="31.5" outlineLevel="1">
      <c r="A370" s="49" t="s">
        <v>43</v>
      </c>
      <c r="B370" s="50" t="s">
        <v>14</v>
      </c>
      <c r="C370" s="51">
        <v>5.7</v>
      </c>
      <c r="D370" s="132"/>
    </row>
    <row r="371" spans="1:4" ht="31.5" outlineLevel="1">
      <c r="A371" s="49" t="s">
        <v>43</v>
      </c>
      <c r="B371" s="50" t="s">
        <v>637</v>
      </c>
      <c r="C371" s="49">
        <v>5.74</v>
      </c>
      <c r="D371" s="132"/>
    </row>
    <row r="372" spans="1:4" ht="31.5" outlineLevel="1">
      <c r="A372" s="49" t="s">
        <v>43</v>
      </c>
      <c r="B372" s="50" t="s">
        <v>942</v>
      </c>
      <c r="C372" s="49">
        <v>5.76</v>
      </c>
      <c r="D372" s="132"/>
    </row>
    <row r="373" spans="1:4" ht="31.5" outlineLevel="1">
      <c r="A373" s="49" t="s">
        <v>43</v>
      </c>
      <c r="B373" s="50" t="s">
        <v>685</v>
      </c>
      <c r="C373" s="49">
        <v>5.89</v>
      </c>
      <c r="D373" s="131" t="s">
        <v>952</v>
      </c>
    </row>
    <row r="374" spans="1:4" ht="31.5" outlineLevel="1">
      <c r="A374" s="49" t="s">
        <v>43</v>
      </c>
      <c r="B374" s="50" t="s">
        <v>933</v>
      </c>
      <c r="C374" s="49">
        <v>5.109</v>
      </c>
      <c r="D374" s="131"/>
    </row>
    <row r="375" spans="1:4" ht="31.5" outlineLevel="1">
      <c r="A375" s="49" t="s">
        <v>43</v>
      </c>
      <c r="B375" s="50" t="s">
        <v>372</v>
      </c>
      <c r="C375" s="49">
        <v>5.1109999999999998</v>
      </c>
      <c r="D375" s="132"/>
    </row>
    <row r="376" spans="1:4" ht="31.5" outlineLevel="1">
      <c r="A376" s="49" t="s">
        <v>43</v>
      </c>
      <c r="B376" s="50" t="s">
        <v>16</v>
      </c>
      <c r="C376" s="49">
        <v>5.1120000000000001</v>
      </c>
      <c r="D376" s="132"/>
    </row>
    <row r="377" spans="1:4" ht="31.5" outlineLevel="1">
      <c r="A377" s="49" t="s">
        <v>43</v>
      </c>
      <c r="B377" s="53" t="s">
        <v>475</v>
      </c>
      <c r="C377" s="49">
        <v>5.1130000000000004</v>
      </c>
      <c r="D377" s="132"/>
    </row>
    <row r="378" spans="1:4" ht="31.5" outlineLevel="1">
      <c r="A378" s="49" t="s">
        <v>43</v>
      </c>
      <c r="B378" s="50" t="s">
        <v>789</v>
      </c>
      <c r="C378" s="49">
        <v>5.58</v>
      </c>
      <c r="D378" s="132"/>
    </row>
    <row r="379" spans="1:4" ht="31.5" outlineLevel="1">
      <c r="A379" s="49" t="s">
        <v>43</v>
      </c>
      <c r="B379" s="50" t="s">
        <v>11</v>
      </c>
      <c r="C379" s="49">
        <v>5.54</v>
      </c>
      <c r="D379" s="132"/>
    </row>
    <row r="380" spans="1:4" ht="31.5" outlineLevel="1">
      <c r="A380" s="49" t="s">
        <v>43</v>
      </c>
      <c r="B380" s="50" t="s">
        <v>15</v>
      </c>
      <c r="C380" s="49">
        <v>5.55</v>
      </c>
      <c r="D380" s="132"/>
    </row>
    <row r="381" spans="1:4" ht="31.5" outlineLevel="1">
      <c r="A381" s="49" t="s">
        <v>43</v>
      </c>
      <c r="B381" s="50" t="s">
        <v>1171</v>
      </c>
      <c r="C381" s="49">
        <v>5.63</v>
      </c>
      <c r="D381" s="132"/>
    </row>
    <row r="382" spans="1:4" ht="31.5" outlineLevel="1">
      <c r="A382" s="49" t="s">
        <v>43</v>
      </c>
      <c r="B382" s="50" t="s">
        <v>1172</v>
      </c>
      <c r="C382" s="49">
        <v>5.65</v>
      </c>
      <c r="D382" s="132"/>
    </row>
    <row r="383" spans="1:4" ht="31.5" outlineLevel="1">
      <c r="A383" s="49" t="s">
        <v>43</v>
      </c>
      <c r="B383" s="50" t="s">
        <v>804</v>
      </c>
      <c r="C383" s="49">
        <v>5.66</v>
      </c>
      <c r="D383" s="132"/>
    </row>
    <row r="384" spans="1:4" ht="31.5" outlineLevel="1">
      <c r="A384" s="49" t="s">
        <v>43</v>
      </c>
      <c r="B384" s="50" t="s">
        <v>26</v>
      </c>
      <c r="C384" s="49">
        <v>5.68</v>
      </c>
      <c r="D384" s="132"/>
    </row>
    <row r="385" spans="1:4" ht="31.5" outlineLevel="1">
      <c r="A385" s="49" t="s">
        <v>43</v>
      </c>
      <c r="B385" s="50" t="s">
        <v>19</v>
      </c>
      <c r="C385" s="49">
        <v>5.47</v>
      </c>
      <c r="D385" s="132"/>
    </row>
    <row r="386" spans="1:4" ht="31.5" outlineLevel="1">
      <c r="A386" s="49" t="s">
        <v>43</v>
      </c>
      <c r="B386" s="50" t="s">
        <v>30</v>
      </c>
      <c r="C386" s="49">
        <v>5.48</v>
      </c>
      <c r="D386" s="132"/>
    </row>
    <row r="387" spans="1:4" ht="31.5">
      <c r="A387" s="56" t="s">
        <v>43</v>
      </c>
      <c r="B387" s="50"/>
      <c r="C387" s="49"/>
      <c r="D387" s="132"/>
    </row>
    <row r="388" spans="1:4" ht="15.75" outlineLevel="1">
      <c r="A388" s="49" t="s">
        <v>44</v>
      </c>
      <c r="B388" s="50" t="s">
        <v>667</v>
      </c>
      <c r="C388" s="49">
        <v>5.0999999999999996</v>
      </c>
      <c r="D388" s="132"/>
    </row>
    <row r="389" spans="1:4" ht="15.75" outlineLevel="1">
      <c r="A389" s="49" t="s">
        <v>44</v>
      </c>
      <c r="B389" s="50" t="s">
        <v>0</v>
      </c>
      <c r="C389" s="49">
        <v>5.2</v>
      </c>
      <c r="D389" s="132"/>
    </row>
    <row r="390" spans="1:4" ht="15.75" outlineLevel="1">
      <c r="A390" s="49" t="s">
        <v>44</v>
      </c>
      <c r="B390" s="50" t="s">
        <v>740</v>
      </c>
      <c r="C390" s="49">
        <v>5.3</v>
      </c>
      <c r="D390" s="132"/>
    </row>
    <row r="391" spans="1:4" ht="15.75" outlineLevel="1">
      <c r="A391" s="49" t="s">
        <v>44</v>
      </c>
      <c r="B391" s="50" t="s">
        <v>2</v>
      </c>
      <c r="C391" s="49">
        <v>5.6</v>
      </c>
      <c r="D391" s="132"/>
    </row>
    <row r="392" spans="1:4" ht="15.75" outlineLevel="1">
      <c r="A392" s="49" t="s">
        <v>44</v>
      </c>
      <c r="B392" s="50" t="s">
        <v>746</v>
      </c>
      <c r="C392" s="51">
        <v>5.0999999999999996</v>
      </c>
      <c r="D392" s="132"/>
    </row>
    <row r="393" spans="1:4" ht="15.75" outlineLevel="1">
      <c r="A393" s="49" t="s">
        <v>44</v>
      </c>
      <c r="B393" s="50" t="s">
        <v>3</v>
      </c>
      <c r="C393" s="49">
        <v>5.14</v>
      </c>
      <c r="D393" s="132"/>
    </row>
    <row r="394" spans="1:4" ht="15.75" outlineLevel="1">
      <c r="A394" s="49" t="s">
        <v>44</v>
      </c>
      <c r="B394" s="50" t="s">
        <v>29</v>
      </c>
      <c r="C394" s="49">
        <v>5.19</v>
      </c>
      <c r="D394" s="132"/>
    </row>
    <row r="395" spans="1:4" ht="15.75" outlineLevel="1">
      <c r="A395" s="49" t="s">
        <v>44</v>
      </c>
      <c r="B395" s="50" t="s">
        <v>28</v>
      </c>
      <c r="C395" s="49">
        <v>5.24</v>
      </c>
      <c r="D395" s="132"/>
    </row>
    <row r="396" spans="1:4" ht="15.75" outlineLevel="1">
      <c r="A396" s="49" t="s">
        <v>44</v>
      </c>
      <c r="B396" s="50" t="s">
        <v>1</v>
      </c>
      <c r="C396" s="49">
        <v>5.26</v>
      </c>
      <c r="D396" s="132"/>
    </row>
    <row r="397" spans="1:4" ht="15.75" outlineLevel="1">
      <c r="A397" s="49" t="s">
        <v>44</v>
      </c>
      <c r="B397" s="50" t="s">
        <v>620</v>
      </c>
      <c r="C397" s="49">
        <v>5.27</v>
      </c>
      <c r="D397" s="132"/>
    </row>
    <row r="398" spans="1:4" ht="15.75" outlineLevel="1">
      <c r="A398" s="49" t="s">
        <v>44</v>
      </c>
      <c r="B398" s="50" t="s">
        <v>621</v>
      </c>
      <c r="C398" s="49">
        <v>5.28</v>
      </c>
      <c r="D398" s="132"/>
    </row>
    <row r="399" spans="1:4" ht="15.75" outlineLevel="1">
      <c r="A399" s="49" t="s">
        <v>44</v>
      </c>
      <c r="B399" s="50" t="s">
        <v>625</v>
      </c>
      <c r="C399" s="49">
        <v>5.29</v>
      </c>
      <c r="D399" s="132"/>
    </row>
    <row r="400" spans="1:4" ht="15.75" outlineLevel="1">
      <c r="A400" s="49" t="s">
        <v>44</v>
      </c>
      <c r="B400" s="50" t="s">
        <v>9</v>
      </c>
      <c r="C400" s="49">
        <v>5.31</v>
      </c>
      <c r="D400" s="132"/>
    </row>
    <row r="401" spans="1:4" ht="15.75" outlineLevel="1">
      <c r="A401" s="49" t="s">
        <v>44</v>
      </c>
      <c r="B401" s="50" t="s">
        <v>622</v>
      </c>
      <c r="C401" s="49">
        <v>5.36</v>
      </c>
      <c r="D401" s="132"/>
    </row>
    <row r="402" spans="1:4" ht="15.75" outlineLevel="1">
      <c r="A402" s="49" t="s">
        <v>44</v>
      </c>
      <c r="B402" s="50" t="s">
        <v>12</v>
      </c>
      <c r="C402" s="49">
        <v>5.37</v>
      </c>
      <c r="D402" s="132"/>
    </row>
    <row r="403" spans="1:4" ht="15.75" outlineLevel="1">
      <c r="A403" s="49" t="s">
        <v>44</v>
      </c>
      <c r="B403" s="50" t="s">
        <v>6</v>
      </c>
      <c r="C403" s="49">
        <v>5.49</v>
      </c>
      <c r="D403" s="132"/>
    </row>
    <row r="404" spans="1:4" ht="15.75" outlineLevel="1">
      <c r="A404" s="49" t="s">
        <v>44</v>
      </c>
      <c r="B404" s="50" t="s">
        <v>8</v>
      </c>
      <c r="C404" s="49">
        <v>5.51</v>
      </c>
      <c r="D404" s="132"/>
    </row>
    <row r="405" spans="1:4" ht="15.75" outlineLevel="1">
      <c r="A405" s="49" t="s">
        <v>44</v>
      </c>
      <c r="B405" s="50" t="s">
        <v>7</v>
      </c>
      <c r="C405" s="49">
        <v>5.52</v>
      </c>
      <c r="D405" s="132"/>
    </row>
    <row r="406" spans="1:4" ht="15.75" outlineLevel="1">
      <c r="A406" s="49" t="s">
        <v>44</v>
      </c>
      <c r="B406" s="50" t="s">
        <v>396</v>
      </c>
      <c r="C406" s="49">
        <v>5.53</v>
      </c>
      <c r="D406" s="132"/>
    </row>
    <row r="407" spans="1:4" ht="15.75" outlineLevel="1">
      <c r="A407" s="49" t="s">
        <v>44</v>
      </c>
      <c r="B407" s="50" t="s">
        <v>13</v>
      </c>
      <c r="C407" s="49">
        <v>5.69</v>
      </c>
      <c r="D407" s="132"/>
    </row>
    <row r="408" spans="1:4" ht="15.75" outlineLevel="1">
      <c r="A408" s="49" t="s">
        <v>44</v>
      </c>
      <c r="B408" s="50" t="s">
        <v>421</v>
      </c>
      <c r="C408" s="49">
        <v>5.75</v>
      </c>
      <c r="D408" s="132"/>
    </row>
    <row r="409" spans="1:4" ht="15.75" outlineLevel="1">
      <c r="A409" s="49" t="s">
        <v>44</v>
      </c>
      <c r="B409" s="50" t="s">
        <v>637</v>
      </c>
      <c r="C409" s="49">
        <v>5.74</v>
      </c>
      <c r="D409" s="132"/>
    </row>
    <row r="410" spans="1:4" ht="15.75" outlineLevel="1">
      <c r="A410" s="49" t="s">
        <v>44</v>
      </c>
      <c r="B410" s="50" t="s">
        <v>14</v>
      </c>
      <c r="C410" s="51">
        <v>5.7</v>
      </c>
      <c r="D410" s="132"/>
    </row>
    <row r="411" spans="1:4" ht="15.75" outlineLevel="1">
      <c r="A411" s="49" t="s">
        <v>44</v>
      </c>
      <c r="B411" s="50" t="s">
        <v>942</v>
      </c>
      <c r="C411" s="49">
        <v>5.76</v>
      </c>
      <c r="D411" s="132"/>
    </row>
    <row r="412" spans="1:4" ht="15.75" outlineLevel="1">
      <c r="A412" s="49" t="s">
        <v>44</v>
      </c>
      <c r="B412" s="50" t="s">
        <v>685</v>
      </c>
      <c r="C412" s="49">
        <v>5.89</v>
      </c>
      <c r="D412" s="131" t="s">
        <v>952</v>
      </c>
    </row>
    <row r="413" spans="1:4" ht="15.75" outlineLevel="1">
      <c r="A413" s="49" t="s">
        <v>44</v>
      </c>
      <c r="B413" s="50" t="s">
        <v>933</v>
      </c>
      <c r="C413" s="49">
        <v>5.109</v>
      </c>
      <c r="D413" s="132"/>
    </row>
    <row r="414" spans="1:4" ht="15.75" outlineLevel="1">
      <c r="A414" s="49" t="s">
        <v>44</v>
      </c>
      <c r="B414" s="50" t="s">
        <v>372</v>
      </c>
      <c r="C414" s="49">
        <v>5.1109999999999998</v>
      </c>
      <c r="D414" s="132"/>
    </row>
    <row r="415" spans="1:4" ht="15.75" outlineLevel="1">
      <c r="A415" s="49" t="s">
        <v>44</v>
      </c>
      <c r="B415" s="50" t="s">
        <v>16</v>
      </c>
      <c r="C415" s="49">
        <v>5.1120000000000001</v>
      </c>
      <c r="D415" s="132"/>
    </row>
    <row r="416" spans="1:4" ht="15.75" outlineLevel="1">
      <c r="A416" s="49" t="s">
        <v>44</v>
      </c>
      <c r="B416" s="53" t="s">
        <v>475</v>
      </c>
      <c r="C416" s="49">
        <v>5.1130000000000004</v>
      </c>
      <c r="D416" s="132"/>
    </row>
    <row r="417" spans="1:4" ht="15.75" outlineLevel="1">
      <c r="A417" s="49" t="s">
        <v>44</v>
      </c>
      <c r="B417" s="50" t="s">
        <v>789</v>
      </c>
      <c r="C417" s="49">
        <v>5.58</v>
      </c>
      <c r="D417" s="132"/>
    </row>
    <row r="418" spans="1:4" ht="15.75" outlineLevel="1">
      <c r="A418" s="49" t="s">
        <v>44</v>
      </c>
      <c r="B418" s="50" t="s">
        <v>11</v>
      </c>
      <c r="C418" s="49">
        <v>5.54</v>
      </c>
      <c r="D418" s="132"/>
    </row>
    <row r="419" spans="1:4" ht="15.75" outlineLevel="1">
      <c r="A419" s="49" t="s">
        <v>44</v>
      </c>
      <c r="B419" s="50" t="s">
        <v>15</v>
      </c>
      <c r="C419" s="49">
        <v>5.55</v>
      </c>
      <c r="D419" s="132"/>
    </row>
    <row r="420" spans="1:4" ht="15.75" outlineLevel="1">
      <c r="A420" s="49" t="s">
        <v>44</v>
      </c>
      <c r="B420" s="50" t="s">
        <v>1171</v>
      </c>
      <c r="C420" s="49">
        <v>5.63</v>
      </c>
      <c r="D420" s="132"/>
    </row>
    <row r="421" spans="1:4" ht="15.75" outlineLevel="1">
      <c r="A421" s="49" t="s">
        <v>44</v>
      </c>
      <c r="B421" s="50" t="s">
        <v>1172</v>
      </c>
      <c r="C421" s="49">
        <v>5.65</v>
      </c>
      <c r="D421" s="132"/>
    </row>
    <row r="422" spans="1:4" ht="15.75" outlineLevel="1">
      <c r="A422" s="49" t="s">
        <v>44</v>
      </c>
      <c r="B422" s="50" t="s">
        <v>804</v>
      </c>
      <c r="C422" s="49">
        <v>5.66</v>
      </c>
      <c r="D422" s="132"/>
    </row>
    <row r="423" spans="1:4" ht="15.75" outlineLevel="1">
      <c r="A423" s="49" t="s">
        <v>44</v>
      </c>
      <c r="B423" s="50" t="s">
        <v>26</v>
      </c>
      <c r="C423" s="49">
        <v>5.68</v>
      </c>
      <c r="D423" s="132"/>
    </row>
    <row r="424" spans="1:4" ht="15.75" outlineLevel="1">
      <c r="A424" s="49" t="s">
        <v>44</v>
      </c>
      <c r="B424" s="50" t="s">
        <v>19</v>
      </c>
      <c r="C424" s="49">
        <v>5.47</v>
      </c>
      <c r="D424" s="132"/>
    </row>
    <row r="425" spans="1:4" ht="15.75" outlineLevel="1">
      <c r="A425" s="49" t="s">
        <v>44</v>
      </c>
      <c r="B425" s="50" t="s">
        <v>30</v>
      </c>
      <c r="C425" s="49">
        <v>5.48</v>
      </c>
      <c r="D425" s="132"/>
    </row>
    <row r="426" spans="1:4" ht="15.75">
      <c r="A426" s="56" t="s">
        <v>44</v>
      </c>
      <c r="B426" s="50"/>
      <c r="C426" s="49"/>
      <c r="D426" s="132"/>
    </row>
    <row r="427" spans="1:4" ht="15.75" outlineLevel="1">
      <c r="A427" s="49" t="s">
        <v>808</v>
      </c>
      <c r="B427" s="50" t="s">
        <v>667</v>
      </c>
      <c r="C427" s="49">
        <v>5.0999999999999996</v>
      </c>
      <c r="D427" s="132"/>
    </row>
    <row r="428" spans="1:4" ht="15.75" outlineLevel="1">
      <c r="A428" s="49" t="s">
        <v>808</v>
      </c>
      <c r="B428" s="50" t="s">
        <v>0</v>
      </c>
      <c r="C428" s="49">
        <v>5.2</v>
      </c>
      <c r="D428" s="132"/>
    </row>
    <row r="429" spans="1:4" ht="15.75" outlineLevel="1">
      <c r="A429" s="49" t="s">
        <v>808</v>
      </c>
      <c r="B429" s="50" t="s">
        <v>740</v>
      </c>
      <c r="C429" s="49">
        <v>5.3</v>
      </c>
      <c r="D429" s="132"/>
    </row>
    <row r="430" spans="1:4" ht="15.75" outlineLevel="1">
      <c r="A430" s="49" t="s">
        <v>808</v>
      </c>
      <c r="B430" s="50" t="s">
        <v>2</v>
      </c>
      <c r="C430" s="49">
        <v>5.6</v>
      </c>
      <c r="D430" s="132"/>
    </row>
    <row r="431" spans="1:4" ht="15.75" outlineLevel="1">
      <c r="A431" s="49" t="s">
        <v>808</v>
      </c>
      <c r="B431" s="50" t="s">
        <v>746</v>
      </c>
      <c r="C431" s="51">
        <v>5.0999999999999996</v>
      </c>
      <c r="D431" s="132"/>
    </row>
    <row r="432" spans="1:4" ht="15.75" outlineLevel="1">
      <c r="A432" s="49" t="s">
        <v>808</v>
      </c>
      <c r="B432" s="50" t="s">
        <v>3</v>
      </c>
      <c r="C432" s="49">
        <v>5.14</v>
      </c>
      <c r="D432" s="132"/>
    </row>
    <row r="433" spans="1:4" ht="15.75" outlineLevel="1">
      <c r="A433" s="49" t="s">
        <v>808</v>
      </c>
      <c r="B433" s="50" t="s">
        <v>29</v>
      </c>
      <c r="C433" s="49">
        <v>5.19</v>
      </c>
      <c r="D433" s="132"/>
    </row>
    <row r="434" spans="1:4" ht="15.75" outlineLevel="1">
      <c r="A434" s="49" t="s">
        <v>808</v>
      </c>
      <c r="B434" s="50" t="s">
        <v>28</v>
      </c>
      <c r="C434" s="49">
        <v>5.24</v>
      </c>
      <c r="D434" s="132"/>
    </row>
    <row r="435" spans="1:4" ht="15.75" outlineLevel="1">
      <c r="A435" s="49" t="s">
        <v>808</v>
      </c>
      <c r="B435" s="50" t="s">
        <v>1</v>
      </c>
      <c r="C435" s="49">
        <v>5.26</v>
      </c>
      <c r="D435" s="132"/>
    </row>
    <row r="436" spans="1:4" ht="15.75" outlineLevel="1">
      <c r="A436" s="49" t="s">
        <v>808</v>
      </c>
      <c r="B436" s="50" t="s">
        <v>620</v>
      </c>
      <c r="C436" s="49">
        <v>5.27</v>
      </c>
      <c r="D436" s="132"/>
    </row>
    <row r="437" spans="1:4" ht="15.75" outlineLevel="1">
      <c r="A437" s="49" t="s">
        <v>808</v>
      </c>
      <c r="B437" s="50" t="s">
        <v>621</v>
      </c>
      <c r="C437" s="49">
        <v>5.28</v>
      </c>
      <c r="D437" s="132"/>
    </row>
    <row r="438" spans="1:4" ht="15.75" outlineLevel="1">
      <c r="A438" s="49" t="s">
        <v>808</v>
      </c>
      <c r="B438" s="50" t="s">
        <v>625</v>
      </c>
      <c r="C438" s="49">
        <v>5.29</v>
      </c>
      <c r="D438" s="132"/>
    </row>
    <row r="439" spans="1:4" ht="15.75" outlineLevel="1">
      <c r="A439" s="49" t="s">
        <v>808</v>
      </c>
      <c r="B439" s="50" t="s">
        <v>9</v>
      </c>
      <c r="C439" s="49">
        <v>5.31</v>
      </c>
      <c r="D439" s="132"/>
    </row>
    <row r="440" spans="1:4" ht="15.75" outlineLevel="1">
      <c r="A440" s="49" t="s">
        <v>808</v>
      </c>
      <c r="B440" s="50" t="s">
        <v>622</v>
      </c>
      <c r="C440" s="49">
        <v>5.36</v>
      </c>
      <c r="D440" s="132"/>
    </row>
    <row r="441" spans="1:4" ht="15.75" outlineLevel="1">
      <c r="A441" s="49" t="s">
        <v>808</v>
      </c>
      <c r="B441" s="50" t="s">
        <v>12</v>
      </c>
      <c r="C441" s="49">
        <v>5.37</v>
      </c>
      <c r="D441" s="132"/>
    </row>
    <row r="442" spans="1:4" ht="15.75" outlineLevel="1">
      <c r="A442" s="49" t="s">
        <v>808</v>
      </c>
      <c r="B442" s="50" t="s">
        <v>396</v>
      </c>
      <c r="C442" s="49">
        <v>5.53</v>
      </c>
      <c r="D442" s="132"/>
    </row>
    <row r="443" spans="1:4" ht="15.75" outlineLevel="1">
      <c r="A443" s="49" t="s">
        <v>808</v>
      </c>
      <c r="B443" s="50" t="s">
        <v>933</v>
      </c>
      <c r="C443" s="49">
        <v>5.109</v>
      </c>
      <c r="D443" s="132"/>
    </row>
    <row r="444" spans="1:4" ht="15.75" outlineLevel="1">
      <c r="A444" s="49" t="s">
        <v>808</v>
      </c>
      <c r="B444" s="50" t="s">
        <v>372</v>
      </c>
      <c r="C444" s="49">
        <v>5.1109999999999998</v>
      </c>
      <c r="D444" s="132"/>
    </row>
    <row r="445" spans="1:4" ht="15.75" outlineLevel="1">
      <c r="A445" s="49" t="s">
        <v>808</v>
      </c>
      <c r="B445" s="50" t="s">
        <v>16</v>
      </c>
      <c r="C445" s="49">
        <v>5.1120000000000001</v>
      </c>
      <c r="D445" s="132"/>
    </row>
    <row r="446" spans="1:4" ht="15.75" outlineLevel="1">
      <c r="A446" s="49" t="s">
        <v>808</v>
      </c>
      <c r="B446" s="53" t="s">
        <v>475</v>
      </c>
      <c r="C446" s="49">
        <v>5.1130000000000004</v>
      </c>
      <c r="D446" s="132"/>
    </row>
    <row r="447" spans="1:4" ht="15.75" outlineLevel="1">
      <c r="A447" s="49" t="s">
        <v>808</v>
      </c>
      <c r="B447" s="50" t="s">
        <v>789</v>
      </c>
      <c r="C447" s="49">
        <v>5.58</v>
      </c>
      <c r="D447" s="132"/>
    </row>
    <row r="448" spans="1:4" ht="15.75" outlineLevel="1">
      <c r="A448" s="49" t="s">
        <v>808</v>
      </c>
      <c r="B448" s="50" t="s">
        <v>11</v>
      </c>
      <c r="C448" s="49">
        <v>5.54</v>
      </c>
      <c r="D448" s="132"/>
    </row>
    <row r="449" spans="1:4" ht="15.75" outlineLevel="1">
      <c r="A449" s="49" t="s">
        <v>808</v>
      </c>
      <c r="B449" s="50" t="s">
        <v>15</v>
      </c>
      <c r="C449" s="49">
        <v>5.55</v>
      </c>
      <c r="D449" s="132"/>
    </row>
    <row r="450" spans="1:4" ht="15.75" outlineLevel="1">
      <c r="A450" s="49" t="s">
        <v>808</v>
      </c>
      <c r="B450" s="50" t="s">
        <v>1171</v>
      </c>
      <c r="C450" s="49">
        <v>5.63</v>
      </c>
      <c r="D450" s="132"/>
    </row>
    <row r="451" spans="1:4" ht="15.75" outlineLevel="1">
      <c r="A451" s="49" t="s">
        <v>808</v>
      </c>
      <c r="B451" s="50" t="s">
        <v>19</v>
      </c>
      <c r="C451" s="49">
        <v>5.47</v>
      </c>
      <c r="D451" s="132"/>
    </row>
    <row r="452" spans="1:4" ht="15.75" outlineLevel="1">
      <c r="A452" s="49" t="s">
        <v>808</v>
      </c>
      <c r="B452" s="50" t="s">
        <v>30</v>
      </c>
      <c r="C452" s="49">
        <v>5.48</v>
      </c>
      <c r="D452" s="132"/>
    </row>
    <row r="453" spans="1:4" ht="31.5">
      <c r="A453" s="56" t="s">
        <v>808</v>
      </c>
      <c r="B453" s="50"/>
      <c r="C453" s="49"/>
      <c r="D453" s="132"/>
    </row>
    <row r="454" spans="1:4" ht="15.75" outlineLevel="1">
      <c r="A454" s="49" t="s">
        <v>45</v>
      </c>
      <c r="B454" s="50" t="s">
        <v>667</v>
      </c>
      <c r="C454" s="49">
        <v>5.0999999999999996</v>
      </c>
      <c r="D454" s="132"/>
    </row>
    <row r="455" spans="1:4" ht="15.75" outlineLevel="1">
      <c r="A455" s="49" t="s">
        <v>45</v>
      </c>
      <c r="B455" s="50" t="s">
        <v>0</v>
      </c>
      <c r="C455" s="49">
        <v>5.2</v>
      </c>
      <c r="D455" s="132"/>
    </row>
    <row r="456" spans="1:4" ht="15.75" outlineLevel="1">
      <c r="A456" s="49" t="s">
        <v>45</v>
      </c>
      <c r="B456" s="50" t="s">
        <v>796</v>
      </c>
      <c r="C456" s="49">
        <v>5.5</v>
      </c>
      <c r="D456" s="132"/>
    </row>
    <row r="457" spans="1:4" ht="15.75" outlineLevel="1">
      <c r="A457" s="49" t="s">
        <v>45</v>
      </c>
      <c r="B457" s="50" t="s">
        <v>809</v>
      </c>
      <c r="C457" s="49">
        <v>5.8</v>
      </c>
      <c r="D457" s="131" t="s">
        <v>952</v>
      </c>
    </row>
    <row r="458" spans="1:4" ht="15.75" outlineLevel="1">
      <c r="A458" s="49" t="s">
        <v>45</v>
      </c>
      <c r="B458" s="50" t="s">
        <v>797</v>
      </c>
      <c r="C458" s="49">
        <v>5.12</v>
      </c>
      <c r="D458" s="131" t="s">
        <v>952</v>
      </c>
    </row>
    <row r="459" spans="1:4" ht="15.75" outlineLevel="1">
      <c r="A459" s="49" t="s">
        <v>45</v>
      </c>
      <c r="B459" s="50" t="s">
        <v>763</v>
      </c>
      <c r="C459" s="49">
        <v>5.15</v>
      </c>
      <c r="D459" s="132"/>
    </row>
    <row r="460" spans="1:4" ht="15.75" outlineLevel="1">
      <c r="A460" s="49" t="s">
        <v>45</v>
      </c>
      <c r="B460" s="50" t="s">
        <v>762</v>
      </c>
      <c r="C460" s="51">
        <v>5.2</v>
      </c>
      <c r="D460" s="131"/>
    </row>
    <row r="461" spans="1:4" ht="15.75" outlineLevel="1">
      <c r="A461" s="49" t="s">
        <v>45</v>
      </c>
      <c r="B461" s="50" t="s">
        <v>767</v>
      </c>
      <c r="C461" s="49">
        <v>5.25</v>
      </c>
      <c r="D461" s="132"/>
    </row>
    <row r="462" spans="1:4" ht="15.75" outlineLevel="1">
      <c r="A462" s="49" t="s">
        <v>45</v>
      </c>
      <c r="B462" s="50" t="s">
        <v>1</v>
      </c>
      <c r="C462" s="49">
        <v>5.26</v>
      </c>
      <c r="D462" s="132"/>
    </row>
    <row r="463" spans="1:4" ht="15.75" outlineLevel="1">
      <c r="A463" s="49" t="s">
        <v>45</v>
      </c>
      <c r="B463" s="50" t="s">
        <v>289</v>
      </c>
      <c r="C463" s="49">
        <v>5.1139999999999999</v>
      </c>
      <c r="D463" s="131" t="s">
        <v>952</v>
      </c>
    </row>
    <row r="464" spans="1:4" ht="15.75" outlineLevel="1">
      <c r="A464" s="49" t="s">
        <v>45</v>
      </c>
      <c r="B464" s="50" t="s">
        <v>620</v>
      </c>
      <c r="C464" s="49">
        <v>5.27</v>
      </c>
      <c r="D464" s="132"/>
    </row>
    <row r="465" spans="1:4" ht="15.75" outlineLevel="1">
      <c r="A465" s="49" t="s">
        <v>45</v>
      </c>
      <c r="B465" s="50" t="s">
        <v>755</v>
      </c>
      <c r="C465" s="49">
        <v>5.1150000000000002</v>
      </c>
      <c r="D465" s="131" t="s">
        <v>952</v>
      </c>
    </row>
    <row r="466" spans="1:4" ht="15.75" outlineLevel="1">
      <c r="A466" s="49" t="s">
        <v>45</v>
      </c>
      <c r="B466" s="50" t="s">
        <v>770</v>
      </c>
      <c r="C466" s="49">
        <v>5.1159999999999997</v>
      </c>
      <c r="D466" s="131" t="s">
        <v>952</v>
      </c>
    </row>
    <row r="467" spans="1:4" ht="15.75" outlineLevel="1">
      <c r="A467" s="49" t="s">
        <v>45</v>
      </c>
      <c r="B467" s="50" t="s">
        <v>621</v>
      </c>
      <c r="C467" s="49">
        <v>5.28</v>
      </c>
      <c r="D467" s="132"/>
    </row>
    <row r="468" spans="1:4" ht="15.75" outlineLevel="1">
      <c r="A468" s="49" t="s">
        <v>45</v>
      </c>
      <c r="B468" s="50" t="s">
        <v>622</v>
      </c>
      <c r="C468" s="49">
        <v>5.36</v>
      </c>
      <c r="D468" s="132"/>
    </row>
    <row r="469" spans="1:4" ht="15.75" outlineLevel="1">
      <c r="A469" s="49" t="s">
        <v>45</v>
      </c>
      <c r="B469" s="50" t="s">
        <v>12</v>
      </c>
      <c r="C469" s="49">
        <v>5.37</v>
      </c>
      <c r="D469" s="132"/>
    </row>
    <row r="470" spans="1:4" ht="15.75" outlineLevel="1">
      <c r="A470" s="49" t="s">
        <v>45</v>
      </c>
      <c r="B470" s="50" t="s">
        <v>396</v>
      </c>
      <c r="C470" s="49">
        <v>5.53</v>
      </c>
      <c r="D470" s="132"/>
    </row>
    <row r="471" spans="1:4" ht="15.75" outlineLevel="1">
      <c r="A471" s="49" t="s">
        <v>45</v>
      </c>
      <c r="B471" s="50" t="s">
        <v>933</v>
      </c>
      <c r="C471" s="49">
        <v>5.109</v>
      </c>
      <c r="D471" s="132"/>
    </row>
    <row r="472" spans="1:4" ht="15.75" outlineLevel="1">
      <c r="A472" s="49" t="s">
        <v>45</v>
      </c>
      <c r="B472" s="50" t="s">
        <v>372</v>
      </c>
      <c r="C472" s="49">
        <v>5.1109999999999998</v>
      </c>
      <c r="D472" s="132"/>
    </row>
    <row r="473" spans="1:4" ht="15.75" outlineLevel="1">
      <c r="A473" s="49" t="s">
        <v>45</v>
      </c>
      <c r="B473" s="50" t="s">
        <v>16</v>
      </c>
      <c r="C473" s="49">
        <v>5.1120000000000001</v>
      </c>
      <c r="D473" s="132"/>
    </row>
    <row r="474" spans="1:4" ht="15.75" outlineLevel="1">
      <c r="A474" s="49" t="s">
        <v>45</v>
      </c>
      <c r="B474" s="50" t="s">
        <v>11</v>
      </c>
      <c r="C474" s="49">
        <v>5.54</v>
      </c>
      <c r="D474" s="132"/>
    </row>
    <row r="475" spans="1:4" ht="15.75" outlineLevel="1">
      <c r="A475" s="49" t="s">
        <v>45</v>
      </c>
      <c r="B475" s="50" t="s">
        <v>953</v>
      </c>
      <c r="C475" s="49">
        <v>5.61</v>
      </c>
      <c r="D475" s="132"/>
    </row>
    <row r="476" spans="1:4" ht="15.75" outlineLevel="1">
      <c r="A476" s="49" t="s">
        <v>45</v>
      </c>
      <c r="B476" s="50" t="s">
        <v>1171</v>
      </c>
      <c r="C476" s="49">
        <v>5.63</v>
      </c>
      <c r="D476" s="132"/>
    </row>
    <row r="477" spans="1:4" ht="15.75" outlineLevel="1">
      <c r="A477" s="49" t="s">
        <v>45</v>
      </c>
      <c r="B477" s="50" t="s">
        <v>752</v>
      </c>
      <c r="C477" s="49">
        <v>5.46</v>
      </c>
      <c r="D477" s="132"/>
    </row>
    <row r="478" spans="1:4" ht="15.75" outlineLevel="1">
      <c r="A478" s="49" t="s">
        <v>45</v>
      </c>
      <c r="B478" s="50" t="s">
        <v>19</v>
      </c>
      <c r="C478" s="49">
        <v>5.47</v>
      </c>
      <c r="D478" s="132"/>
    </row>
    <row r="479" spans="1:4" ht="15.75" outlineLevel="1">
      <c r="A479" s="49" t="s">
        <v>45</v>
      </c>
      <c r="B479" s="50" t="s">
        <v>30</v>
      </c>
      <c r="C479" s="49">
        <v>5.48</v>
      </c>
      <c r="D479" s="132"/>
    </row>
    <row r="480" spans="1:4" ht="15.75">
      <c r="A480" s="56" t="s">
        <v>45</v>
      </c>
      <c r="B480" s="50"/>
      <c r="C480" s="49"/>
      <c r="D480" s="132"/>
    </row>
    <row r="481" spans="1:4" ht="15.75" outlineLevel="1">
      <c r="A481" s="49" t="s">
        <v>46</v>
      </c>
      <c r="B481" s="50" t="s">
        <v>667</v>
      </c>
      <c r="C481" s="49">
        <v>5.0999999999999996</v>
      </c>
      <c r="D481" s="132"/>
    </row>
    <row r="482" spans="1:4" ht="15.75" outlineLevel="1">
      <c r="A482" s="49" t="s">
        <v>46</v>
      </c>
      <c r="B482" s="50" t="s">
        <v>0</v>
      </c>
      <c r="C482" s="49">
        <v>5.2</v>
      </c>
      <c r="D482" s="132"/>
    </row>
    <row r="483" spans="1:4" ht="15.75" outlineLevel="1">
      <c r="A483" s="49" t="s">
        <v>46</v>
      </c>
      <c r="B483" s="50" t="s">
        <v>740</v>
      </c>
      <c r="C483" s="49">
        <v>5.3</v>
      </c>
      <c r="D483" s="132"/>
    </row>
    <row r="484" spans="1:4" ht="15.75" outlineLevel="1">
      <c r="A484" s="49" t="s">
        <v>46</v>
      </c>
      <c r="B484" s="50" t="s">
        <v>2</v>
      </c>
      <c r="C484" s="49">
        <v>5.6</v>
      </c>
      <c r="D484" s="132"/>
    </row>
    <row r="485" spans="1:4" ht="15.75" outlineLevel="1">
      <c r="A485" s="49" t="s">
        <v>46</v>
      </c>
      <c r="B485" s="50" t="s">
        <v>746</v>
      </c>
      <c r="C485" s="51">
        <v>5.0999999999999996</v>
      </c>
      <c r="D485" s="132"/>
    </row>
    <row r="486" spans="1:4" ht="15.75" outlineLevel="1">
      <c r="A486" s="49" t="s">
        <v>46</v>
      </c>
      <c r="B486" s="50" t="s">
        <v>3</v>
      </c>
      <c r="C486" s="49">
        <v>5.14</v>
      </c>
      <c r="D486" s="132"/>
    </row>
    <row r="487" spans="1:4" ht="15.75" outlineLevel="1">
      <c r="A487" s="49" t="s">
        <v>46</v>
      </c>
      <c r="B487" s="50" t="s">
        <v>29</v>
      </c>
      <c r="C487" s="49">
        <v>5.19</v>
      </c>
      <c r="D487" s="132"/>
    </row>
    <row r="488" spans="1:4" ht="15.75" outlineLevel="1">
      <c r="A488" s="49" t="s">
        <v>46</v>
      </c>
      <c r="B488" s="50" t="s">
        <v>28</v>
      </c>
      <c r="C488" s="49">
        <v>5.24</v>
      </c>
      <c r="D488" s="132"/>
    </row>
    <row r="489" spans="1:4" ht="15.75" outlineLevel="1">
      <c r="A489" s="49" t="s">
        <v>46</v>
      </c>
      <c r="B489" s="50" t="s">
        <v>620</v>
      </c>
      <c r="C489" s="49">
        <v>5.27</v>
      </c>
      <c r="D489" s="132"/>
    </row>
    <row r="490" spans="1:4" ht="15.75" outlineLevel="1">
      <c r="A490" s="49" t="s">
        <v>46</v>
      </c>
      <c r="B490" s="50" t="s">
        <v>621</v>
      </c>
      <c r="C490" s="49">
        <v>5.28</v>
      </c>
      <c r="D490" s="132"/>
    </row>
    <row r="491" spans="1:4" ht="15.75" outlineLevel="1">
      <c r="A491" s="49" t="s">
        <v>46</v>
      </c>
      <c r="B491" s="50" t="s">
        <v>625</v>
      </c>
      <c r="C491" s="49">
        <v>5.29</v>
      </c>
      <c r="D491" s="132"/>
    </row>
    <row r="492" spans="1:4" ht="15.75" outlineLevel="1">
      <c r="A492" s="49" t="s">
        <v>46</v>
      </c>
      <c r="B492" s="50" t="s">
        <v>754</v>
      </c>
      <c r="C492" s="49">
        <v>5.34</v>
      </c>
      <c r="D492" s="132"/>
    </row>
    <row r="493" spans="1:4" ht="15.75" outlineLevel="1">
      <c r="A493" s="49" t="s">
        <v>46</v>
      </c>
      <c r="B493" s="50" t="s">
        <v>9</v>
      </c>
      <c r="C493" s="49">
        <v>5.31</v>
      </c>
      <c r="D493" s="132"/>
    </row>
    <row r="494" spans="1:4" ht="15.75" outlineLevel="1">
      <c r="A494" s="49" t="s">
        <v>46</v>
      </c>
      <c r="B494" s="50" t="s">
        <v>682</v>
      </c>
      <c r="C494" s="49">
        <v>5.101</v>
      </c>
      <c r="D494" s="132"/>
    </row>
    <row r="495" spans="1:4" ht="15.75" outlineLevel="1">
      <c r="A495" s="49" t="s">
        <v>46</v>
      </c>
      <c r="B495" s="50" t="s">
        <v>622</v>
      </c>
      <c r="C495" s="49">
        <v>5.36</v>
      </c>
      <c r="D495" s="132"/>
    </row>
    <row r="496" spans="1:4" ht="15.75" outlineLevel="1">
      <c r="A496" s="49" t="s">
        <v>46</v>
      </c>
      <c r="B496" s="50" t="s">
        <v>12</v>
      </c>
      <c r="C496" s="49">
        <v>5.37</v>
      </c>
      <c r="D496" s="132"/>
    </row>
    <row r="497" spans="1:4" ht="15.75" outlineLevel="1">
      <c r="A497" s="49" t="s">
        <v>46</v>
      </c>
      <c r="B497" s="50" t="s">
        <v>396</v>
      </c>
      <c r="C497" s="49">
        <v>5.53</v>
      </c>
      <c r="D497" s="132"/>
    </row>
    <row r="498" spans="1:4" ht="15.75" outlineLevel="1">
      <c r="A498" s="49" t="s">
        <v>46</v>
      </c>
      <c r="B498" s="50" t="s">
        <v>933</v>
      </c>
      <c r="C498" s="49">
        <v>5.109</v>
      </c>
      <c r="D498" s="132"/>
    </row>
    <row r="499" spans="1:4" ht="15.75" outlineLevel="1">
      <c r="A499" s="49" t="s">
        <v>46</v>
      </c>
      <c r="B499" s="50" t="s">
        <v>372</v>
      </c>
      <c r="C499" s="49">
        <v>5.1109999999999998</v>
      </c>
      <c r="D499" s="132"/>
    </row>
    <row r="500" spans="1:4" ht="15.75" outlineLevel="1">
      <c r="A500" s="49" t="s">
        <v>46</v>
      </c>
      <c r="B500" s="50" t="s">
        <v>16</v>
      </c>
      <c r="C500" s="49">
        <v>5.1120000000000001</v>
      </c>
      <c r="D500" s="132"/>
    </row>
    <row r="501" spans="1:4" ht="15.75" outlineLevel="1">
      <c r="A501" s="49" t="s">
        <v>46</v>
      </c>
      <c r="B501" s="50" t="s">
        <v>23</v>
      </c>
      <c r="C501" s="49">
        <v>5.1020000000000003</v>
      </c>
      <c r="D501" s="132"/>
    </row>
    <row r="502" spans="1:4" ht="15.75" outlineLevel="1">
      <c r="A502" s="49" t="s">
        <v>46</v>
      </c>
      <c r="B502" s="50" t="s">
        <v>629</v>
      </c>
      <c r="C502" s="52">
        <v>5.0999999999999996</v>
      </c>
      <c r="D502" s="132"/>
    </row>
    <row r="503" spans="1:4" ht="15.75" outlineLevel="1">
      <c r="A503" s="49" t="s">
        <v>46</v>
      </c>
      <c r="B503" s="50" t="s">
        <v>789</v>
      </c>
      <c r="C503" s="49">
        <v>5.58</v>
      </c>
      <c r="D503" s="132"/>
    </row>
    <row r="504" spans="1:4" ht="15.75" outlineLevel="1">
      <c r="A504" s="49" t="s">
        <v>46</v>
      </c>
      <c r="B504" s="50" t="s">
        <v>15</v>
      </c>
      <c r="C504" s="49">
        <v>5.55</v>
      </c>
      <c r="D504" s="132"/>
    </row>
    <row r="505" spans="1:4" ht="15.75" outlineLevel="1">
      <c r="A505" s="49" t="s">
        <v>46</v>
      </c>
      <c r="B505" s="50" t="s">
        <v>11</v>
      </c>
      <c r="C505" s="49">
        <v>5.54</v>
      </c>
      <c r="D505" s="132"/>
    </row>
    <row r="506" spans="1:4" ht="15.75" outlineLevel="1">
      <c r="A506" s="49" t="s">
        <v>46</v>
      </c>
      <c r="B506" s="50" t="s">
        <v>1171</v>
      </c>
      <c r="C506" s="49">
        <v>5.63</v>
      </c>
      <c r="D506" s="132"/>
    </row>
    <row r="507" spans="1:4" ht="15.75" outlineLevel="1">
      <c r="A507" s="49" t="s">
        <v>46</v>
      </c>
      <c r="B507" s="50" t="s">
        <v>19</v>
      </c>
      <c r="C507" s="49">
        <v>5.47</v>
      </c>
      <c r="D507" s="132"/>
    </row>
    <row r="508" spans="1:4" ht="15.75" outlineLevel="1">
      <c r="A508" s="49" t="s">
        <v>46</v>
      </c>
      <c r="B508" s="50" t="s">
        <v>30</v>
      </c>
      <c r="C508" s="49">
        <v>5.48</v>
      </c>
      <c r="D508" s="132"/>
    </row>
    <row r="509" spans="1:4" ht="15.75">
      <c r="A509" s="56" t="s">
        <v>46</v>
      </c>
      <c r="B509" s="50"/>
      <c r="C509" s="49"/>
      <c r="D509" s="132"/>
    </row>
    <row r="510" spans="1:4" ht="15.75" outlineLevel="1">
      <c r="A510" s="49" t="s">
        <v>47</v>
      </c>
      <c r="B510" s="50" t="s">
        <v>667</v>
      </c>
      <c r="C510" s="49">
        <v>5.0999999999999996</v>
      </c>
      <c r="D510" s="132"/>
    </row>
    <row r="511" spans="1:4" ht="15.75" outlineLevel="1">
      <c r="A511" s="49" t="s">
        <v>47</v>
      </c>
      <c r="B511" s="50" t="s">
        <v>0</v>
      </c>
      <c r="C511" s="49">
        <v>5.2</v>
      </c>
      <c r="D511" s="132"/>
    </row>
    <row r="512" spans="1:4" ht="15.75" outlineLevel="1">
      <c r="A512" s="49" t="s">
        <v>47</v>
      </c>
      <c r="B512" s="50" t="s">
        <v>740</v>
      </c>
      <c r="C512" s="49">
        <v>5.3</v>
      </c>
      <c r="D512" s="132"/>
    </row>
    <row r="513" spans="1:4" ht="15.75" outlineLevel="1">
      <c r="A513" s="49" t="s">
        <v>47</v>
      </c>
      <c r="B513" s="50" t="s">
        <v>2</v>
      </c>
      <c r="C513" s="49">
        <v>5.6</v>
      </c>
      <c r="D513" s="132"/>
    </row>
    <row r="514" spans="1:4" ht="15.75" outlineLevel="1">
      <c r="A514" s="49" t="s">
        <v>47</v>
      </c>
      <c r="B514" s="50" t="s">
        <v>746</v>
      </c>
      <c r="C514" s="51">
        <v>5.0999999999999996</v>
      </c>
      <c r="D514" s="132"/>
    </row>
    <row r="515" spans="1:4" ht="15.75" outlineLevel="1">
      <c r="A515" s="49" t="s">
        <v>47</v>
      </c>
      <c r="B515" s="50" t="s">
        <v>3</v>
      </c>
      <c r="C515" s="49">
        <v>5.14</v>
      </c>
      <c r="D515" s="132"/>
    </row>
    <row r="516" spans="1:4" ht="15.75" outlineLevel="1">
      <c r="A516" s="49" t="s">
        <v>47</v>
      </c>
      <c r="B516" s="50" t="s">
        <v>29</v>
      </c>
      <c r="C516" s="49">
        <v>5.19</v>
      </c>
      <c r="D516" s="132"/>
    </row>
    <row r="517" spans="1:4" ht="15.75" outlineLevel="1">
      <c r="A517" s="49" t="s">
        <v>47</v>
      </c>
      <c r="B517" s="50" t="s">
        <v>28</v>
      </c>
      <c r="C517" s="49">
        <v>5.24</v>
      </c>
      <c r="D517" s="132"/>
    </row>
    <row r="518" spans="1:4" ht="15.75" outlineLevel="1">
      <c r="A518" s="49" t="s">
        <v>47</v>
      </c>
      <c r="B518" s="50" t="s">
        <v>1</v>
      </c>
      <c r="C518" s="49">
        <v>5.26</v>
      </c>
      <c r="D518" s="132"/>
    </row>
    <row r="519" spans="1:4" ht="15.75" outlineLevel="1">
      <c r="A519" s="49" t="s">
        <v>47</v>
      </c>
      <c r="B519" s="50" t="s">
        <v>620</v>
      </c>
      <c r="C519" s="49">
        <v>5.27</v>
      </c>
      <c r="D519" s="132"/>
    </row>
    <row r="520" spans="1:4" ht="15.75" outlineLevel="1">
      <c r="A520" s="49" t="s">
        <v>47</v>
      </c>
      <c r="B520" s="50" t="s">
        <v>621</v>
      </c>
      <c r="C520" s="49">
        <v>5.28</v>
      </c>
      <c r="D520" s="132"/>
    </row>
    <row r="521" spans="1:4" ht="15.75" outlineLevel="1">
      <c r="A521" s="49" t="s">
        <v>47</v>
      </c>
      <c r="B521" s="50" t="s">
        <v>9</v>
      </c>
      <c r="C521" s="49">
        <v>5.31</v>
      </c>
      <c r="D521" s="132"/>
    </row>
    <row r="522" spans="1:4" ht="15.75" outlineLevel="1">
      <c r="A522" s="49" t="s">
        <v>47</v>
      </c>
      <c r="B522" s="50" t="s">
        <v>10</v>
      </c>
      <c r="C522" s="49">
        <v>5.33</v>
      </c>
      <c r="D522" s="132"/>
    </row>
    <row r="523" spans="1:4" ht="15.75" outlineLevel="1">
      <c r="A523" s="49" t="s">
        <v>47</v>
      </c>
      <c r="B523" s="50" t="s">
        <v>682</v>
      </c>
      <c r="C523" s="49">
        <v>5.101</v>
      </c>
      <c r="D523" s="132"/>
    </row>
    <row r="524" spans="1:4" ht="15.75" outlineLevel="1">
      <c r="A524" s="49" t="s">
        <v>47</v>
      </c>
      <c r="B524" s="50" t="s">
        <v>622</v>
      </c>
      <c r="C524" s="49">
        <v>5.36</v>
      </c>
      <c r="D524" s="132"/>
    </row>
    <row r="525" spans="1:4" ht="15.75" outlineLevel="1">
      <c r="A525" s="49" t="s">
        <v>47</v>
      </c>
      <c r="B525" s="50" t="s">
        <v>12</v>
      </c>
      <c r="C525" s="49">
        <v>5.37</v>
      </c>
      <c r="D525" s="132"/>
    </row>
    <row r="526" spans="1:4" ht="15.75" outlineLevel="1">
      <c r="A526" s="49" t="s">
        <v>47</v>
      </c>
      <c r="B526" s="50" t="s">
        <v>396</v>
      </c>
      <c r="C526" s="49">
        <v>5.53</v>
      </c>
      <c r="D526" s="132"/>
    </row>
    <row r="527" spans="1:4" ht="15.75" outlineLevel="1">
      <c r="A527" s="49" t="s">
        <v>47</v>
      </c>
      <c r="B527" s="50" t="s">
        <v>933</v>
      </c>
      <c r="C527" s="49">
        <v>5.109</v>
      </c>
      <c r="D527" s="132"/>
    </row>
    <row r="528" spans="1:4" ht="15.75" outlineLevel="1">
      <c r="A528" s="49" t="s">
        <v>47</v>
      </c>
      <c r="B528" s="50" t="s">
        <v>372</v>
      </c>
      <c r="C528" s="49">
        <v>5.1109999999999998</v>
      </c>
      <c r="D528" s="132"/>
    </row>
    <row r="529" spans="1:4" ht="15.75" outlineLevel="1">
      <c r="A529" s="49" t="s">
        <v>47</v>
      </c>
      <c r="B529" s="50" t="s">
        <v>16</v>
      </c>
      <c r="C529" s="49">
        <v>5.1120000000000001</v>
      </c>
      <c r="D529" s="132"/>
    </row>
    <row r="530" spans="1:4" ht="15.75" outlineLevel="1">
      <c r="A530" s="49" t="s">
        <v>47</v>
      </c>
      <c r="B530" s="50" t="s">
        <v>23</v>
      </c>
      <c r="C530" s="49">
        <v>5.1020000000000003</v>
      </c>
      <c r="D530" s="132"/>
    </row>
    <row r="531" spans="1:4" ht="15.75" outlineLevel="1">
      <c r="A531" s="49" t="s">
        <v>47</v>
      </c>
      <c r="B531" s="50" t="s">
        <v>629</v>
      </c>
      <c r="C531" s="52">
        <v>5.0999999999999996</v>
      </c>
      <c r="D531" s="132"/>
    </row>
    <row r="532" spans="1:4" ht="15.75" outlineLevel="1">
      <c r="A532" s="49" t="s">
        <v>47</v>
      </c>
      <c r="B532" s="50" t="s">
        <v>789</v>
      </c>
      <c r="C532" s="49">
        <v>5.58</v>
      </c>
      <c r="D532" s="132"/>
    </row>
    <row r="533" spans="1:4" ht="15.75" outlineLevel="1">
      <c r="A533" s="49" t="s">
        <v>47</v>
      </c>
      <c r="B533" s="50" t="s">
        <v>15</v>
      </c>
      <c r="C533" s="49">
        <v>5.55</v>
      </c>
      <c r="D533" s="132"/>
    </row>
    <row r="534" spans="1:4" ht="15.75" outlineLevel="1">
      <c r="A534" s="49" t="s">
        <v>47</v>
      </c>
      <c r="B534" s="50" t="s">
        <v>11</v>
      </c>
      <c r="C534" s="49">
        <v>5.54</v>
      </c>
      <c r="D534" s="132"/>
    </row>
    <row r="535" spans="1:4" ht="15.75" outlineLevel="1">
      <c r="A535" s="49" t="s">
        <v>47</v>
      </c>
      <c r="B535" s="50" t="s">
        <v>1171</v>
      </c>
      <c r="C535" s="49">
        <v>5.63</v>
      </c>
      <c r="D535" s="132"/>
    </row>
    <row r="536" spans="1:4" ht="15.75" outlineLevel="1">
      <c r="A536" s="49" t="s">
        <v>47</v>
      </c>
      <c r="B536" s="50" t="s">
        <v>19</v>
      </c>
      <c r="C536" s="49">
        <v>5.47</v>
      </c>
      <c r="D536" s="132"/>
    </row>
    <row r="537" spans="1:4" ht="15.75" outlineLevel="1">
      <c r="A537" s="49" t="s">
        <v>47</v>
      </c>
      <c r="B537" s="50" t="s">
        <v>30</v>
      </c>
      <c r="C537" s="49">
        <v>5.48</v>
      </c>
      <c r="D537" s="132"/>
    </row>
    <row r="538" spans="1:4" ht="15.75">
      <c r="A538" s="56" t="s">
        <v>47</v>
      </c>
      <c r="B538" s="50"/>
      <c r="C538" s="49"/>
      <c r="D538" s="132"/>
    </row>
    <row r="539" spans="1:4" ht="15.75" outlineLevel="1">
      <c r="A539" s="49" t="s">
        <v>461</v>
      </c>
      <c r="B539" s="50" t="s">
        <v>667</v>
      </c>
      <c r="C539" s="49">
        <v>5.0999999999999996</v>
      </c>
      <c r="D539" s="132"/>
    </row>
    <row r="540" spans="1:4" ht="15.75" outlineLevel="1">
      <c r="A540" s="49" t="s">
        <v>461</v>
      </c>
      <c r="B540" s="50" t="s">
        <v>0</v>
      </c>
      <c r="C540" s="49">
        <v>5.2</v>
      </c>
      <c r="D540" s="132"/>
    </row>
    <row r="541" spans="1:4" ht="15.75" outlineLevel="1">
      <c r="A541" s="49" t="s">
        <v>461</v>
      </c>
      <c r="B541" s="50" t="s">
        <v>1</v>
      </c>
      <c r="C541" s="49">
        <v>5.26</v>
      </c>
      <c r="D541" s="132"/>
    </row>
    <row r="542" spans="1:4" ht="15.75" outlineLevel="1">
      <c r="A542" s="49" t="s">
        <v>461</v>
      </c>
      <c r="B542" s="50" t="s">
        <v>418</v>
      </c>
      <c r="C542" s="49">
        <v>5.21</v>
      </c>
      <c r="D542" s="132"/>
    </row>
    <row r="543" spans="1:4" ht="15.75" outlineLevel="1">
      <c r="A543" s="49" t="s">
        <v>461</v>
      </c>
      <c r="B543" s="50" t="s">
        <v>814</v>
      </c>
      <c r="C543" s="49">
        <v>5.53</v>
      </c>
      <c r="D543" s="132"/>
    </row>
    <row r="544" spans="1:4" ht="15.75" outlineLevel="1">
      <c r="A544" s="49" t="s">
        <v>461</v>
      </c>
      <c r="B544" s="50" t="s">
        <v>11</v>
      </c>
      <c r="C544" s="49">
        <v>5.54</v>
      </c>
      <c r="D544" s="132"/>
    </row>
    <row r="545" spans="1:4" ht="15.75" outlineLevel="1">
      <c r="A545" s="49" t="s">
        <v>461</v>
      </c>
      <c r="B545" s="50" t="s">
        <v>326</v>
      </c>
      <c r="C545" s="49">
        <v>5.58</v>
      </c>
      <c r="D545" s="132"/>
    </row>
    <row r="546" spans="1:4" ht="15.75" outlineLevel="1">
      <c r="A546" s="49" t="s">
        <v>461</v>
      </c>
      <c r="B546" s="50" t="s">
        <v>330</v>
      </c>
      <c r="C546" s="49">
        <v>5.1180000000000003</v>
      </c>
      <c r="D546" s="132"/>
    </row>
    <row r="547" spans="1:4" ht="15.75" outlineLevel="1">
      <c r="A547" s="49" t="s">
        <v>461</v>
      </c>
      <c r="B547" s="53" t="s">
        <v>328</v>
      </c>
      <c r="C547" s="49">
        <v>5.47</v>
      </c>
      <c r="D547" s="132"/>
    </row>
    <row r="548" spans="1:4" ht="15.75" outlineLevel="1">
      <c r="A548" s="49" t="s">
        <v>461</v>
      </c>
      <c r="B548" s="50" t="s">
        <v>329</v>
      </c>
      <c r="C548" s="49">
        <v>5.48</v>
      </c>
      <c r="D548" s="132"/>
    </row>
    <row r="549" spans="1:4" ht="15.75" outlineLevel="1">
      <c r="A549" s="49" t="s">
        <v>461</v>
      </c>
      <c r="B549" s="50" t="s">
        <v>419</v>
      </c>
      <c r="C549" s="49">
        <v>5.21</v>
      </c>
      <c r="D549" s="132"/>
    </row>
    <row r="550" spans="1:4" ht="15.75" outlineLevel="1">
      <c r="A550" s="49" t="s">
        <v>461</v>
      </c>
      <c r="B550" s="50" t="s">
        <v>815</v>
      </c>
      <c r="C550" s="49">
        <v>5.53</v>
      </c>
      <c r="D550" s="132"/>
    </row>
    <row r="551" spans="1:4" ht="15.75" outlineLevel="1">
      <c r="A551" s="49" t="s">
        <v>461</v>
      </c>
      <c r="B551" s="50" t="s">
        <v>11</v>
      </c>
      <c r="C551" s="49">
        <v>5.54</v>
      </c>
      <c r="D551" s="132"/>
    </row>
    <row r="552" spans="1:4" ht="15.75" outlineLevel="1">
      <c r="A552" s="49" t="s">
        <v>461</v>
      </c>
      <c r="B552" s="50" t="s">
        <v>327</v>
      </c>
      <c r="C552" s="49">
        <v>5.58</v>
      </c>
      <c r="D552" s="132"/>
    </row>
    <row r="553" spans="1:4" ht="15.75" outlineLevel="1">
      <c r="A553" s="49" t="s">
        <v>461</v>
      </c>
      <c r="B553" s="50" t="s">
        <v>331</v>
      </c>
      <c r="C553" s="49">
        <v>5.1180000000000003</v>
      </c>
      <c r="D553" s="132"/>
    </row>
    <row r="554" spans="1:4" ht="15.75" outlineLevel="1">
      <c r="A554" s="49" t="s">
        <v>461</v>
      </c>
      <c r="B554" s="50" t="s">
        <v>961</v>
      </c>
      <c r="C554" s="49">
        <v>5.47</v>
      </c>
      <c r="D554" s="132"/>
    </row>
    <row r="555" spans="1:4" ht="15.75" outlineLevel="1">
      <c r="A555" s="49" t="s">
        <v>461</v>
      </c>
      <c r="B555" s="50" t="s">
        <v>962</v>
      </c>
      <c r="C555" s="49">
        <v>5.48</v>
      </c>
      <c r="D555" s="132"/>
    </row>
    <row r="556" spans="1:4" ht="15.75" outlineLevel="1">
      <c r="A556" s="49" t="s">
        <v>461</v>
      </c>
      <c r="B556" s="50" t="s">
        <v>1178</v>
      </c>
      <c r="C556" s="49">
        <v>5.63</v>
      </c>
      <c r="D556" s="132"/>
    </row>
    <row r="557" spans="1:4" ht="15.75" outlineLevel="1">
      <c r="A557" s="49" t="s">
        <v>461</v>
      </c>
      <c r="B557" s="50" t="s">
        <v>620</v>
      </c>
      <c r="C557" s="49">
        <v>5.27</v>
      </c>
      <c r="D557" s="132"/>
    </row>
    <row r="558" spans="1:4" ht="15.75" outlineLevel="1">
      <c r="A558" s="49" t="s">
        <v>461</v>
      </c>
      <c r="B558" s="50" t="s">
        <v>621</v>
      </c>
      <c r="C558" s="49">
        <v>5.28</v>
      </c>
      <c r="D558" s="132"/>
    </row>
    <row r="559" spans="1:4" ht="15.75" outlineLevel="1">
      <c r="A559" s="49" t="s">
        <v>461</v>
      </c>
      <c r="B559" s="50" t="s">
        <v>464</v>
      </c>
      <c r="C559" s="49">
        <v>5.35</v>
      </c>
      <c r="D559" s="132"/>
    </row>
    <row r="560" spans="1:4" ht="15.75" outlineLevel="1">
      <c r="A560" s="49" t="s">
        <v>461</v>
      </c>
      <c r="B560" s="50" t="s">
        <v>343</v>
      </c>
      <c r="C560" s="49">
        <v>5.1189999999999998</v>
      </c>
      <c r="D560" s="132"/>
    </row>
    <row r="561" spans="1:4" ht="15.75" outlineLevel="1">
      <c r="A561" s="49" t="s">
        <v>461</v>
      </c>
      <c r="B561" s="50" t="s">
        <v>463</v>
      </c>
      <c r="C561" s="52">
        <v>5.12</v>
      </c>
      <c r="D561" s="132"/>
    </row>
    <row r="562" spans="1:4" ht="15.75" outlineLevel="1">
      <c r="A562" s="49" t="s">
        <v>461</v>
      </c>
      <c r="B562" s="50" t="s">
        <v>99</v>
      </c>
      <c r="C562" s="49">
        <v>5.1210000000000004</v>
      </c>
      <c r="D562" s="132"/>
    </row>
    <row r="563" spans="1:4" ht="15.75" outlineLevel="1">
      <c r="A563" s="49" t="s">
        <v>461</v>
      </c>
      <c r="B563" s="50" t="s">
        <v>622</v>
      </c>
      <c r="C563" s="49">
        <v>5.36</v>
      </c>
      <c r="D563" s="132"/>
    </row>
    <row r="564" spans="1:4" ht="15.75" outlineLevel="1">
      <c r="A564" s="49" t="s">
        <v>461</v>
      </c>
      <c r="B564" s="50" t="s">
        <v>365</v>
      </c>
      <c r="C564" s="49">
        <v>5.1219999999999999</v>
      </c>
      <c r="D564" s="132"/>
    </row>
    <row r="565" spans="1:4" ht="15.75" outlineLevel="1">
      <c r="A565" s="49" t="s">
        <v>461</v>
      </c>
      <c r="B565" s="50" t="s">
        <v>366</v>
      </c>
      <c r="C565" s="49">
        <v>5.1230000000000002</v>
      </c>
      <c r="D565" s="132"/>
    </row>
    <row r="566" spans="1:4" ht="15.75" outlineLevel="1">
      <c r="A566" s="49" t="s">
        <v>461</v>
      </c>
      <c r="B566" s="50" t="s">
        <v>628</v>
      </c>
      <c r="C566" s="49">
        <v>5.1239999999999997</v>
      </c>
      <c r="D566" s="132"/>
    </row>
    <row r="567" spans="1:4" ht="15.75" outlineLevel="1">
      <c r="A567" s="49" t="s">
        <v>461</v>
      </c>
      <c r="B567" s="50" t="s">
        <v>308</v>
      </c>
      <c r="C567" s="49">
        <v>5.125</v>
      </c>
      <c r="D567" s="132"/>
    </row>
    <row r="568" spans="1:4" ht="15.75" outlineLevel="1">
      <c r="A568" s="49" t="s">
        <v>461</v>
      </c>
      <c r="B568" s="50" t="s">
        <v>368</v>
      </c>
      <c r="C568" s="49">
        <v>5.1260000000000003</v>
      </c>
      <c r="D568" s="132"/>
    </row>
    <row r="569" spans="1:4" ht="15.75" outlineLevel="1">
      <c r="A569" s="49" t="s">
        <v>461</v>
      </c>
      <c r="B569" s="50" t="s">
        <v>753</v>
      </c>
      <c r="C569" s="49">
        <v>5.1269999999999998</v>
      </c>
      <c r="D569" s="132"/>
    </row>
    <row r="570" spans="1:4" ht="15.75" outlineLevel="1">
      <c r="A570" s="49" t="s">
        <v>461</v>
      </c>
      <c r="B570" s="50" t="s">
        <v>309</v>
      </c>
      <c r="C570" s="51">
        <v>5.72</v>
      </c>
      <c r="D570" s="132"/>
    </row>
    <row r="571" spans="1:4" ht="15.75" outlineLevel="1">
      <c r="A571" s="49" t="s">
        <v>461</v>
      </c>
      <c r="B571" s="50" t="s">
        <v>310</v>
      </c>
      <c r="C571" s="49">
        <v>5.1280000000000001</v>
      </c>
      <c r="D571" s="132"/>
    </row>
    <row r="572" spans="1:4" ht="15.75" outlineLevel="1">
      <c r="A572" s="49" t="s">
        <v>461</v>
      </c>
      <c r="B572" s="50" t="s">
        <v>349</v>
      </c>
      <c r="C572" s="49">
        <v>5.1289999999999996</v>
      </c>
      <c r="D572" s="131" t="s">
        <v>952</v>
      </c>
    </row>
    <row r="573" spans="1:4" ht="15.75" outlineLevel="1">
      <c r="A573" s="49" t="s">
        <v>461</v>
      </c>
      <c r="B573" s="50" t="s">
        <v>367</v>
      </c>
      <c r="C573" s="49">
        <v>5.1310000000000002</v>
      </c>
      <c r="D573" s="132"/>
    </row>
    <row r="574" spans="1:4" ht="15.75" outlineLevel="1">
      <c r="A574" s="49" t="s">
        <v>461</v>
      </c>
      <c r="B574" s="50" t="s">
        <v>633</v>
      </c>
      <c r="C574" s="49">
        <v>5.1319999999999997</v>
      </c>
      <c r="D574" s="131" t="s">
        <v>952</v>
      </c>
    </row>
    <row r="575" spans="1:4" ht="15.75" outlineLevel="1">
      <c r="A575" s="49" t="s">
        <v>461</v>
      </c>
      <c r="B575" s="50" t="s">
        <v>364</v>
      </c>
      <c r="C575" s="49">
        <v>5.133</v>
      </c>
      <c r="D575" s="131" t="s">
        <v>952</v>
      </c>
    </row>
    <row r="576" spans="1:4" ht="15.75" outlineLevel="1">
      <c r="A576" s="49" t="s">
        <v>461</v>
      </c>
      <c r="B576" s="50" t="s">
        <v>458</v>
      </c>
      <c r="C576" s="49">
        <v>5.1340000000000003</v>
      </c>
      <c r="D576" s="131" t="s">
        <v>952</v>
      </c>
    </row>
    <row r="577" spans="1:4" ht="15.75" outlineLevel="1">
      <c r="A577" s="49" t="s">
        <v>461</v>
      </c>
      <c r="B577" s="50" t="s">
        <v>436</v>
      </c>
      <c r="C577" s="52">
        <v>5.13</v>
      </c>
      <c r="D577" s="132"/>
    </row>
    <row r="578" spans="1:4" ht="15.75" outlineLevel="1">
      <c r="A578" s="49" t="s">
        <v>461</v>
      </c>
      <c r="B578" s="50" t="s">
        <v>19</v>
      </c>
      <c r="C578" s="49">
        <v>5.47</v>
      </c>
      <c r="D578" s="132"/>
    </row>
    <row r="579" spans="1:4" ht="15.75" outlineLevel="1">
      <c r="A579" s="49" t="s">
        <v>461</v>
      </c>
      <c r="B579" s="50" t="s">
        <v>30</v>
      </c>
      <c r="C579" s="49">
        <v>5.48</v>
      </c>
      <c r="D579" s="132"/>
    </row>
    <row r="580" spans="1:4" ht="15.75">
      <c r="A580" s="56" t="s">
        <v>461</v>
      </c>
      <c r="B580" s="50"/>
      <c r="C580" s="49"/>
      <c r="D580" s="132"/>
    </row>
    <row r="581" spans="1:4" ht="15.75" outlineLevel="1">
      <c r="A581" s="49" t="s">
        <v>48</v>
      </c>
      <c r="B581" s="50" t="s">
        <v>667</v>
      </c>
      <c r="C581" s="49">
        <v>5.0999999999999996</v>
      </c>
      <c r="D581" s="132"/>
    </row>
    <row r="582" spans="1:4" ht="15.75" outlineLevel="1">
      <c r="A582" s="49" t="s">
        <v>48</v>
      </c>
      <c r="B582" s="50" t="s">
        <v>0</v>
      </c>
      <c r="C582" s="49">
        <v>5.2</v>
      </c>
      <c r="D582" s="132"/>
    </row>
    <row r="583" spans="1:4" ht="15.75" outlineLevel="1">
      <c r="A583" s="49" t="s">
        <v>48</v>
      </c>
      <c r="B583" s="50" t="s">
        <v>741</v>
      </c>
      <c r="C583" s="49">
        <v>5.9</v>
      </c>
      <c r="D583" s="131" t="s">
        <v>952</v>
      </c>
    </row>
    <row r="584" spans="1:4" ht="15.75" outlineLevel="1">
      <c r="A584" s="49" t="s">
        <v>48</v>
      </c>
      <c r="B584" s="50" t="s">
        <v>742</v>
      </c>
      <c r="C584" s="49">
        <v>5.13</v>
      </c>
      <c r="D584" s="131" t="s">
        <v>952</v>
      </c>
    </row>
    <row r="585" spans="1:4" ht="15.75" outlineLevel="1">
      <c r="A585" s="49" t="s">
        <v>48</v>
      </c>
      <c r="B585" s="50" t="s">
        <v>743</v>
      </c>
      <c r="C585" s="49">
        <v>5.16</v>
      </c>
      <c r="D585" s="131" t="s">
        <v>952</v>
      </c>
    </row>
    <row r="586" spans="1:4" ht="15.75" outlineLevel="1">
      <c r="A586" s="49" t="s">
        <v>48</v>
      </c>
      <c r="B586" s="50" t="s">
        <v>744</v>
      </c>
      <c r="C586" s="49">
        <v>5.22</v>
      </c>
      <c r="D586" s="131"/>
    </row>
    <row r="587" spans="1:4" ht="15.75" outlineLevel="1">
      <c r="A587" s="49" t="s">
        <v>48</v>
      </c>
      <c r="B587" s="50" t="s">
        <v>1</v>
      </c>
      <c r="C587" s="49">
        <v>5.26</v>
      </c>
      <c r="D587" s="132"/>
    </row>
    <row r="588" spans="1:4" ht="15.75" outlineLevel="1">
      <c r="A588" s="49" t="s">
        <v>48</v>
      </c>
      <c r="B588" s="50" t="s">
        <v>932</v>
      </c>
      <c r="C588" s="49">
        <v>5.77</v>
      </c>
      <c r="D588" s="132"/>
    </row>
    <row r="589" spans="1:4" ht="15.75" outlineLevel="1">
      <c r="A589" s="49" t="s">
        <v>48</v>
      </c>
      <c r="B589" s="50" t="s">
        <v>620</v>
      </c>
      <c r="C589" s="49">
        <v>5.27</v>
      </c>
      <c r="D589" s="132"/>
    </row>
    <row r="590" spans="1:4" ht="15.75" outlineLevel="1">
      <c r="A590" s="49" t="s">
        <v>48</v>
      </c>
      <c r="B590" s="50" t="s">
        <v>621</v>
      </c>
      <c r="C590" s="49">
        <v>5.28</v>
      </c>
      <c r="D590" s="131" t="s">
        <v>952</v>
      </c>
    </row>
    <row r="591" spans="1:4" ht="15.75" outlineLevel="1">
      <c r="A591" s="49" t="s">
        <v>48</v>
      </c>
      <c r="B591" s="50" t="s">
        <v>9</v>
      </c>
      <c r="C591" s="49">
        <v>5.31</v>
      </c>
      <c r="D591" s="132"/>
    </row>
    <row r="592" spans="1:4" ht="15.75" outlineLevel="1">
      <c r="A592" s="49" t="s">
        <v>48</v>
      </c>
      <c r="B592" s="50" t="s">
        <v>622</v>
      </c>
      <c r="C592" s="49">
        <v>5.36</v>
      </c>
      <c r="D592" s="132"/>
    </row>
    <row r="593" spans="1:4" ht="15.75" outlineLevel="1">
      <c r="A593" s="49" t="s">
        <v>48</v>
      </c>
      <c r="B593" s="50" t="s">
        <v>297</v>
      </c>
      <c r="C593" s="49">
        <v>5.78</v>
      </c>
      <c r="D593" s="132"/>
    </row>
    <row r="594" spans="1:4" ht="15.75" outlineLevel="1">
      <c r="A594" s="49" t="s">
        <v>48</v>
      </c>
      <c r="B594" s="50" t="s">
        <v>608</v>
      </c>
      <c r="C594" s="49">
        <v>5.79</v>
      </c>
      <c r="D594" s="131" t="s">
        <v>952</v>
      </c>
    </row>
    <row r="595" spans="1:4" ht="15.75" outlineLevel="1">
      <c r="A595" s="49" t="s">
        <v>48</v>
      </c>
      <c r="B595" s="50" t="s">
        <v>748</v>
      </c>
      <c r="C595" s="49">
        <v>5.41</v>
      </c>
      <c r="D595" s="132"/>
    </row>
    <row r="596" spans="1:4" ht="15.75" outlineLevel="1">
      <c r="A596" s="49" t="s">
        <v>48</v>
      </c>
      <c r="B596" s="50" t="s">
        <v>6</v>
      </c>
      <c r="C596" s="49">
        <v>5.49</v>
      </c>
      <c r="D596" s="132"/>
    </row>
    <row r="597" spans="1:4" ht="15.75" outlineLevel="1">
      <c r="A597" s="49" t="s">
        <v>48</v>
      </c>
      <c r="B597" s="50" t="s">
        <v>8</v>
      </c>
      <c r="C597" s="49">
        <v>5.51</v>
      </c>
      <c r="D597" s="132"/>
    </row>
    <row r="598" spans="1:4" ht="15.75" outlineLevel="1">
      <c r="A598" s="49" t="s">
        <v>48</v>
      </c>
      <c r="B598" s="50" t="s">
        <v>793</v>
      </c>
      <c r="C598" s="49">
        <v>5.52</v>
      </c>
      <c r="D598" s="132"/>
    </row>
    <row r="599" spans="1:4" ht="15.75" outlineLevel="1">
      <c r="A599" s="49" t="s">
        <v>48</v>
      </c>
      <c r="B599" s="50" t="s">
        <v>396</v>
      </c>
      <c r="C599" s="49">
        <v>5.53</v>
      </c>
      <c r="D599" s="132"/>
    </row>
    <row r="600" spans="1:4" ht="15.75" outlineLevel="1">
      <c r="A600" s="49" t="s">
        <v>48</v>
      </c>
      <c r="B600" s="50" t="s">
        <v>13</v>
      </c>
      <c r="C600" s="49">
        <v>5.69</v>
      </c>
      <c r="D600" s="132"/>
    </row>
    <row r="601" spans="1:4" ht="15.75" outlineLevel="1">
      <c r="A601" s="49" t="s">
        <v>48</v>
      </c>
      <c r="B601" s="50" t="s">
        <v>440</v>
      </c>
      <c r="C601" s="49">
        <v>5.71</v>
      </c>
      <c r="D601" s="132"/>
    </row>
    <row r="602" spans="1:4" ht="15.75" outlineLevel="1">
      <c r="A602" s="49" t="s">
        <v>48</v>
      </c>
      <c r="B602" s="50" t="s">
        <v>14</v>
      </c>
      <c r="C602" s="51">
        <v>5.7</v>
      </c>
      <c r="D602" s="132"/>
    </row>
    <row r="603" spans="1:4" ht="15.75" outlineLevel="1">
      <c r="A603" s="49" t="s">
        <v>48</v>
      </c>
      <c r="B603" s="50" t="s">
        <v>282</v>
      </c>
      <c r="C603" s="51">
        <v>5.8</v>
      </c>
      <c r="D603" s="131" t="s">
        <v>952</v>
      </c>
    </row>
    <row r="604" spans="1:4" ht="15.75" outlineLevel="1">
      <c r="A604" s="49" t="s">
        <v>48</v>
      </c>
      <c r="B604" s="50" t="s">
        <v>309</v>
      </c>
      <c r="C604" s="51">
        <v>5.72</v>
      </c>
      <c r="D604" s="131" t="s">
        <v>952</v>
      </c>
    </row>
    <row r="605" spans="1:4" ht="15.75" outlineLevel="1">
      <c r="A605" s="49" t="s">
        <v>48</v>
      </c>
      <c r="B605" s="50" t="s">
        <v>689</v>
      </c>
      <c r="C605" s="49">
        <v>5.73</v>
      </c>
      <c r="D605" s="131" t="s">
        <v>952</v>
      </c>
    </row>
    <row r="606" spans="1:4" ht="15.75" outlineLevel="1">
      <c r="A606" s="49" t="s">
        <v>48</v>
      </c>
      <c r="B606" s="50" t="s">
        <v>637</v>
      </c>
      <c r="C606" s="49">
        <v>5.74</v>
      </c>
      <c r="D606" s="132"/>
    </row>
    <row r="607" spans="1:4" ht="15.75" outlineLevel="1">
      <c r="A607" s="49" t="s">
        <v>48</v>
      </c>
      <c r="B607" s="50" t="s">
        <v>421</v>
      </c>
      <c r="C607" s="49">
        <v>5.75</v>
      </c>
      <c r="D607" s="132"/>
    </row>
    <row r="608" spans="1:4" ht="15.75" outlineLevel="1">
      <c r="A608" s="49" t="s">
        <v>48</v>
      </c>
      <c r="B608" s="50" t="s">
        <v>942</v>
      </c>
      <c r="C608" s="49">
        <v>5.76</v>
      </c>
      <c r="D608" s="132"/>
    </row>
    <row r="609" spans="1:4" ht="15.75" outlineLevel="1">
      <c r="A609" s="49" t="s">
        <v>48</v>
      </c>
      <c r="B609" s="50" t="s">
        <v>20</v>
      </c>
      <c r="C609" s="49">
        <v>5.81</v>
      </c>
      <c r="D609" s="131" t="s">
        <v>952</v>
      </c>
    </row>
    <row r="610" spans="1:4" ht="15.75" outlineLevel="1">
      <c r="A610" s="49" t="s">
        <v>48</v>
      </c>
      <c r="B610" s="50" t="s">
        <v>784</v>
      </c>
      <c r="C610" s="49">
        <v>5.82</v>
      </c>
      <c r="D610" s="131" t="s">
        <v>952</v>
      </c>
    </row>
    <row r="611" spans="1:4" ht="15.75" outlineLevel="1">
      <c r="A611" s="49" t="s">
        <v>48</v>
      </c>
      <c r="B611" s="50" t="s">
        <v>674</v>
      </c>
      <c r="C611" s="49">
        <v>5.83</v>
      </c>
      <c r="D611" s="131" t="s">
        <v>952</v>
      </c>
    </row>
    <row r="612" spans="1:4" ht="15.75" outlineLevel="1">
      <c r="A612" s="49" t="s">
        <v>48</v>
      </c>
      <c r="B612" s="50" t="s">
        <v>675</v>
      </c>
      <c r="C612" s="49">
        <v>5.84</v>
      </c>
      <c r="D612" s="132"/>
    </row>
    <row r="613" spans="1:4" ht="15.75" outlineLevel="1">
      <c r="A613" s="49" t="s">
        <v>48</v>
      </c>
      <c r="B613" s="50" t="s">
        <v>866</v>
      </c>
      <c r="C613" s="49">
        <v>5.85</v>
      </c>
      <c r="D613" s="131" t="s">
        <v>952</v>
      </c>
    </row>
    <row r="614" spans="1:4" ht="15.75" outlineLevel="1">
      <c r="A614" s="49" t="s">
        <v>48</v>
      </c>
      <c r="B614" s="50" t="s">
        <v>420</v>
      </c>
      <c r="C614" s="49">
        <v>5.86</v>
      </c>
      <c r="D614" s="131" t="s">
        <v>952</v>
      </c>
    </row>
    <row r="615" spans="1:4" ht="15.75" outlineLevel="1">
      <c r="A615" s="49" t="s">
        <v>48</v>
      </c>
      <c r="B615" s="50" t="s">
        <v>21</v>
      </c>
      <c r="C615" s="49">
        <v>5.88</v>
      </c>
      <c r="D615" s="131" t="s">
        <v>952</v>
      </c>
    </row>
    <row r="616" spans="1:4" ht="15.75" outlineLevel="1">
      <c r="A616" s="49" t="s">
        <v>48</v>
      </c>
      <c r="B616" s="50" t="s">
        <v>690</v>
      </c>
      <c r="C616" s="49">
        <v>5.87</v>
      </c>
      <c r="D616" s="132"/>
    </row>
    <row r="617" spans="1:4" ht="15.75" outlineLevel="1">
      <c r="A617" s="49" t="s">
        <v>48</v>
      </c>
      <c r="B617" s="50" t="s">
        <v>933</v>
      </c>
      <c r="C617" s="49">
        <v>5.109</v>
      </c>
      <c r="D617" s="132"/>
    </row>
    <row r="618" spans="1:4" ht="15.75" outlineLevel="1">
      <c r="A618" s="49" t="s">
        <v>48</v>
      </c>
      <c r="B618" s="50" t="s">
        <v>747</v>
      </c>
      <c r="C618" s="52">
        <v>5.1100000000000003</v>
      </c>
      <c r="D618" s="131" t="s">
        <v>952</v>
      </c>
    </row>
    <row r="619" spans="1:4" ht="15.75" outlineLevel="1">
      <c r="A619" s="49" t="s">
        <v>48</v>
      </c>
      <c r="B619" s="50" t="s">
        <v>372</v>
      </c>
      <c r="C619" s="49">
        <v>5.1109999999999998</v>
      </c>
      <c r="D619" s="132"/>
    </row>
    <row r="620" spans="1:4" ht="15.75" outlineLevel="1">
      <c r="A620" s="49" t="s">
        <v>48</v>
      </c>
      <c r="B620" s="50" t="s">
        <v>16</v>
      </c>
      <c r="C620" s="49">
        <v>5.1120000000000001</v>
      </c>
      <c r="D620" s="132"/>
    </row>
    <row r="621" spans="1:4" ht="15.75" outlineLevel="1">
      <c r="A621" s="49" t="s">
        <v>48</v>
      </c>
      <c r="B621" s="50" t="s">
        <v>475</v>
      </c>
      <c r="C621" s="49">
        <v>5.1130000000000004</v>
      </c>
      <c r="D621" s="132"/>
    </row>
    <row r="622" spans="1:4" ht="15.75" outlineLevel="1">
      <c r="A622" s="49" t="s">
        <v>48</v>
      </c>
      <c r="B622" s="50" t="s">
        <v>638</v>
      </c>
      <c r="C622" s="49">
        <v>5.99</v>
      </c>
      <c r="D622" s="131" t="s">
        <v>952</v>
      </c>
    </row>
    <row r="623" spans="1:4" ht="15.75" outlineLevel="1">
      <c r="A623" s="49" t="s">
        <v>48</v>
      </c>
      <c r="B623" s="50" t="s">
        <v>965</v>
      </c>
      <c r="C623" s="49">
        <v>5.58</v>
      </c>
      <c r="D623" s="131"/>
    </row>
    <row r="624" spans="1:4" ht="15.75" outlineLevel="1">
      <c r="A624" s="49" t="s">
        <v>48</v>
      </c>
      <c r="B624" s="50" t="s">
        <v>11</v>
      </c>
      <c r="C624" s="49">
        <v>5.54</v>
      </c>
      <c r="D624" s="132"/>
    </row>
    <row r="625" spans="1:4" ht="15.75" outlineLevel="1">
      <c r="A625" s="49" t="s">
        <v>48</v>
      </c>
      <c r="B625" s="50" t="s">
        <v>745</v>
      </c>
      <c r="C625" s="49">
        <v>5.56</v>
      </c>
      <c r="D625" s="132"/>
    </row>
    <row r="626" spans="1:4" ht="15.75" outlineLevel="1">
      <c r="A626" s="49" t="s">
        <v>48</v>
      </c>
      <c r="B626" s="50" t="s">
        <v>1171</v>
      </c>
      <c r="C626" s="49">
        <v>5.63</v>
      </c>
      <c r="D626" s="132"/>
    </row>
    <row r="627" spans="1:4" ht="15.75" outlineLevel="1">
      <c r="A627" s="49" t="s">
        <v>48</v>
      </c>
      <c r="B627" s="50" t="s">
        <v>803</v>
      </c>
      <c r="C627" s="49">
        <v>5.64</v>
      </c>
      <c r="D627" s="132"/>
    </row>
    <row r="628" spans="1:4" ht="15.75" outlineLevel="1">
      <c r="A628" s="49" t="s">
        <v>48</v>
      </c>
      <c r="B628" s="50" t="s">
        <v>1172</v>
      </c>
      <c r="C628" s="49">
        <v>5.65</v>
      </c>
      <c r="D628" s="132"/>
    </row>
    <row r="629" spans="1:4" ht="15.75" outlineLevel="1">
      <c r="A629" s="49" t="s">
        <v>48</v>
      </c>
      <c r="B629" s="50" t="s">
        <v>804</v>
      </c>
      <c r="C629" s="49">
        <v>5.66</v>
      </c>
      <c r="D629" s="132"/>
    </row>
    <row r="630" spans="1:4" ht="15.75" outlineLevel="1">
      <c r="A630" s="49" t="s">
        <v>48</v>
      </c>
      <c r="B630" s="50" t="s">
        <v>685</v>
      </c>
      <c r="C630" s="49">
        <v>5.89</v>
      </c>
      <c r="D630" s="131" t="s">
        <v>952</v>
      </c>
    </row>
    <row r="631" spans="1:4" ht="15.75" outlineLevel="1">
      <c r="A631" s="49" t="s">
        <v>48</v>
      </c>
      <c r="B631" s="50" t="s">
        <v>26</v>
      </c>
      <c r="C631" s="49">
        <v>5.68</v>
      </c>
      <c r="D631" s="132"/>
    </row>
    <row r="632" spans="1:4" ht="15.75" outlineLevel="1">
      <c r="A632" s="49" t="s">
        <v>48</v>
      </c>
      <c r="B632" s="50" t="s">
        <v>19</v>
      </c>
      <c r="C632" s="49">
        <v>5.47</v>
      </c>
      <c r="D632" s="132"/>
    </row>
    <row r="633" spans="1:4" ht="15.75" outlineLevel="1">
      <c r="A633" s="49" t="s">
        <v>48</v>
      </c>
      <c r="B633" s="50" t="s">
        <v>30</v>
      </c>
      <c r="C633" s="49">
        <v>5.48</v>
      </c>
      <c r="D633" s="132"/>
    </row>
    <row r="634" spans="1:4" ht="15.75">
      <c r="A634" s="56" t="s">
        <v>48</v>
      </c>
      <c r="B634" s="50"/>
      <c r="C634" s="49"/>
      <c r="D634" s="132"/>
    </row>
    <row r="635" spans="1:4" ht="15.75" outlineLevel="1">
      <c r="A635" s="49" t="s">
        <v>49</v>
      </c>
      <c r="B635" s="50" t="s">
        <v>667</v>
      </c>
      <c r="C635" s="49">
        <v>5.0999999999999996</v>
      </c>
      <c r="D635" s="132"/>
    </row>
    <row r="636" spans="1:4" ht="15.75" outlineLevel="1">
      <c r="A636" s="49" t="s">
        <v>49</v>
      </c>
      <c r="B636" s="50" t="s">
        <v>0</v>
      </c>
      <c r="C636" s="49">
        <v>5.2</v>
      </c>
      <c r="D636" s="132"/>
    </row>
    <row r="637" spans="1:4" ht="15.75" outlineLevel="1">
      <c r="A637" s="49" t="s">
        <v>49</v>
      </c>
      <c r="B637" s="50" t="s">
        <v>740</v>
      </c>
      <c r="C637" s="49">
        <v>5.3</v>
      </c>
      <c r="D637" s="132"/>
    </row>
    <row r="638" spans="1:4" ht="15.75" outlineLevel="1">
      <c r="A638" s="49" t="s">
        <v>49</v>
      </c>
      <c r="B638" s="50" t="s">
        <v>2</v>
      </c>
      <c r="C638" s="49">
        <v>5.6</v>
      </c>
      <c r="D638" s="132"/>
    </row>
    <row r="639" spans="1:4" ht="15.75" outlineLevel="1">
      <c r="A639" s="49" t="s">
        <v>49</v>
      </c>
      <c r="B639" s="50" t="s">
        <v>746</v>
      </c>
      <c r="C639" s="51">
        <v>5.0999999999999996</v>
      </c>
      <c r="D639" s="132"/>
    </row>
    <row r="640" spans="1:4" ht="15.75" outlineLevel="1">
      <c r="A640" s="49" t="s">
        <v>49</v>
      </c>
      <c r="B640" s="50" t="s">
        <v>3</v>
      </c>
      <c r="C640" s="49">
        <v>5.14</v>
      </c>
      <c r="D640" s="132"/>
    </row>
    <row r="641" spans="1:4" ht="15.75" outlineLevel="1">
      <c r="A641" s="49" t="s">
        <v>49</v>
      </c>
      <c r="B641" s="50" t="s">
        <v>29</v>
      </c>
      <c r="C641" s="49">
        <v>5.19</v>
      </c>
      <c r="D641" s="132"/>
    </row>
    <row r="642" spans="1:4" ht="15.75" outlineLevel="1">
      <c r="A642" s="49" t="s">
        <v>49</v>
      </c>
      <c r="B642" s="50" t="s">
        <v>28</v>
      </c>
      <c r="C642" s="49">
        <v>5.24</v>
      </c>
      <c r="D642" s="132"/>
    </row>
    <row r="643" spans="1:4" ht="15.75" outlineLevel="1">
      <c r="A643" s="49" t="s">
        <v>49</v>
      </c>
      <c r="B643" s="50" t="s">
        <v>1</v>
      </c>
      <c r="C643" s="49">
        <v>5.26</v>
      </c>
      <c r="D643" s="132"/>
    </row>
    <row r="644" spans="1:4" ht="15.75" outlineLevel="1">
      <c r="A644" s="49" t="s">
        <v>49</v>
      </c>
      <c r="B644" s="50" t="s">
        <v>620</v>
      </c>
      <c r="C644" s="49">
        <v>5.27</v>
      </c>
      <c r="D644" s="132"/>
    </row>
    <row r="645" spans="1:4" ht="15.75" outlineLevel="1">
      <c r="A645" s="49" t="s">
        <v>49</v>
      </c>
      <c r="B645" s="50" t="s">
        <v>621</v>
      </c>
      <c r="C645" s="49">
        <v>5.28</v>
      </c>
      <c r="D645" s="132"/>
    </row>
    <row r="646" spans="1:4" ht="15.75" outlineLevel="1">
      <c r="A646" s="49" t="s">
        <v>49</v>
      </c>
      <c r="B646" s="50" t="s">
        <v>622</v>
      </c>
      <c r="C646" s="49">
        <v>5.36</v>
      </c>
      <c r="D646" s="132"/>
    </row>
    <row r="647" spans="1:4" ht="15.75" outlineLevel="1">
      <c r="A647" s="49" t="s">
        <v>49</v>
      </c>
      <c r="B647" s="50" t="s">
        <v>10</v>
      </c>
      <c r="C647" s="49">
        <v>5.33</v>
      </c>
      <c r="D647" s="132"/>
    </row>
    <row r="648" spans="1:4" ht="15.75" outlineLevel="1">
      <c r="A648" s="49" t="s">
        <v>49</v>
      </c>
      <c r="B648" s="50" t="s">
        <v>12</v>
      </c>
      <c r="C648" s="49">
        <v>5.37</v>
      </c>
      <c r="D648" s="132"/>
    </row>
    <row r="649" spans="1:4" ht="15.75" outlineLevel="1">
      <c r="A649" s="49" t="s">
        <v>49</v>
      </c>
      <c r="B649" s="50" t="s">
        <v>6</v>
      </c>
      <c r="C649" s="49">
        <v>5.49</v>
      </c>
      <c r="D649" s="132"/>
    </row>
    <row r="650" spans="1:4" ht="15.75" outlineLevel="1">
      <c r="A650" s="49" t="s">
        <v>49</v>
      </c>
      <c r="B650" s="50" t="s">
        <v>8</v>
      </c>
      <c r="C650" s="49">
        <v>5.51</v>
      </c>
      <c r="D650" s="132"/>
    </row>
    <row r="651" spans="1:4" ht="15.75" outlineLevel="1">
      <c r="A651" s="49" t="s">
        <v>49</v>
      </c>
      <c r="B651" s="50" t="s">
        <v>7</v>
      </c>
      <c r="C651" s="49">
        <v>5.52</v>
      </c>
      <c r="D651" s="132"/>
    </row>
    <row r="652" spans="1:4" ht="15.75" outlineLevel="1">
      <c r="A652" s="49" t="s">
        <v>49</v>
      </c>
      <c r="B652" s="50" t="s">
        <v>396</v>
      </c>
      <c r="C652" s="49">
        <v>5.53</v>
      </c>
      <c r="D652" s="132"/>
    </row>
    <row r="653" spans="1:4" ht="15.75" outlineLevel="1">
      <c r="A653" s="49" t="s">
        <v>49</v>
      </c>
      <c r="B653" s="50" t="s">
        <v>13</v>
      </c>
      <c r="C653" s="49">
        <v>5.69</v>
      </c>
      <c r="D653" s="132"/>
    </row>
    <row r="654" spans="1:4" ht="15.75" outlineLevel="1">
      <c r="A654" s="49" t="s">
        <v>49</v>
      </c>
      <c r="B654" s="50" t="s">
        <v>14</v>
      </c>
      <c r="C654" s="51">
        <v>5.7</v>
      </c>
      <c r="D654" s="132"/>
    </row>
    <row r="655" spans="1:4" ht="15.75" outlineLevel="1">
      <c r="A655" s="49" t="s">
        <v>49</v>
      </c>
      <c r="B655" s="50" t="s">
        <v>637</v>
      </c>
      <c r="C655" s="49">
        <v>5.74</v>
      </c>
      <c r="D655" s="132"/>
    </row>
    <row r="656" spans="1:4" ht="15.75" outlineLevel="1">
      <c r="A656" s="49" t="s">
        <v>49</v>
      </c>
      <c r="B656" s="50" t="s">
        <v>933</v>
      </c>
      <c r="C656" s="49">
        <v>5.109</v>
      </c>
      <c r="D656" s="132"/>
    </row>
    <row r="657" spans="1:4" ht="15.75" outlineLevel="1">
      <c r="A657" s="49" t="s">
        <v>49</v>
      </c>
      <c r="B657" s="50" t="s">
        <v>372</v>
      </c>
      <c r="C657" s="49">
        <v>5.1109999999999998</v>
      </c>
      <c r="D657" s="132"/>
    </row>
    <row r="658" spans="1:4" ht="15.75" outlineLevel="1">
      <c r="A658" s="49" t="s">
        <v>49</v>
      </c>
      <c r="B658" s="50" t="s">
        <v>16</v>
      </c>
      <c r="C658" s="49">
        <v>5.1120000000000001</v>
      </c>
      <c r="D658" s="132"/>
    </row>
    <row r="659" spans="1:4" ht="15.75" outlineLevel="1">
      <c r="A659" s="49" t="s">
        <v>49</v>
      </c>
      <c r="B659" s="50" t="s">
        <v>789</v>
      </c>
      <c r="C659" s="49">
        <v>5.58</v>
      </c>
      <c r="D659" s="132"/>
    </row>
    <row r="660" spans="1:4" ht="15.75" outlineLevel="1">
      <c r="A660" s="49" t="s">
        <v>49</v>
      </c>
      <c r="B660" s="50" t="s">
        <v>11</v>
      </c>
      <c r="C660" s="49">
        <v>5.54</v>
      </c>
      <c r="D660" s="132"/>
    </row>
    <row r="661" spans="1:4" ht="15.75" outlineLevel="1">
      <c r="A661" s="49" t="s">
        <v>49</v>
      </c>
      <c r="B661" s="50" t="s">
        <v>15</v>
      </c>
      <c r="C661" s="49">
        <v>5.55</v>
      </c>
      <c r="D661" s="132"/>
    </row>
    <row r="662" spans="1:4" ht="15.75" outlineLevel="1">
      <c r="A662" s="49" t="s">
        <v>49</v>
      </c>
      <c r="B662" s="50" t="s">
        <v>1171</v>
      </c>
      <c r="C662" s="49">
        <v>5.63</v>
      </c>
      <c r="D662" s="132"/>
    </row>
    <row r="663" spans="1:4" ht="15.75" outlineLevel="1">
      <c r="A663" s="49" t="s">
        <v>49</v>
      </c>
      <c r="B663" s="50" t="s">
        <v>19</v>
      </c>
      <c r="C663" s="49">
        <v>5.47</v>
      </c>
      <c r="D663" s="132"/>
    </row>
    <row r="664" spans="1:4" ht="15.75" outlineLevel="1">
      <c r="A664" s="49" t="s">
        <v>49</v>
      </c>
      <c r="B664" s="50" t="s">
        <v>30</v>
      </c>
      <c r="C664" s="49">
        <v>5.48</v>
      </c>
      <c r="D664" s="132"/>
    </row>
    <row r="665" spans="1:4" ht="15.75">
      <c r="A665" s="56" t="s">
        <v>49</v>
      </c>
      <c r="B665" s="50"/>
      <c r="C665" s="49"/>
      <c r="D665" s="132"/>
    </row>
    <row r="666" spans="1:4" ht="15.75" outlineLevel="1">
      <c r="A666" s="49" t="s">
        <v>50</v>
      </c>
      <c r="B666" s="50" t="s">
        <v>667</v>
      </c>
      <c r="C666" s="49">
        <v>5.0999999999999996</v>
      </c>
      <c r="D666" s="132"/>
    </row>
    <row r="667" spans="1:4" ht="15.75" outlineLevel="1">
      <c r="A667" s="49" t="s">
        <v>50</v>
      </c>
      <c r="B667" s="50" t="s">
        <v>0</v>
      </c>
      <c r="C667" s="49">
        <v>5.2</v>
      </c>
      <c r="D667" s="132"/>
    </row>
    <row r="668" spans="1:4" ht="15.75" outlineLevel="1">
      <c r="A668" s="49" t="s">
        <v>50</v>
      </c>
      <c r="B668" s="50" t="s">
        <v>739</v>
      </c>
      <c r="C668" s="49">
        <v>5.4</v>
      </c>
      <c r="D668" s="132"/>
    </row>
    <row r="669" spans="1:4" ht="15.75" outlineLevel="1">
      <c r="A669" s="49" t="s">
        <v>50</v>
      </c>
      <c r="B669" s="50" t="s">
        <v>757</v>
      </c>
      <c r="C669" s="49">
        <v>5.7</v>
      </c>
      <c r="D669" s="132"/>
    </row>
    <row r="670" spans="1:4" ht="15.75" outlineLevel="1">
      <c r="A670" s="49" t="s">
        <v>50</v>
      </c>
      <c r="B670" s="50" t="s">
        <v>758</v>
      </c>
      <c r="C670" s="49">
        <v>5.1100000000000003</v>
      </c>
      <c r="D670" s="132"/>
    </row>
    <row r="671" spans="1:4" ht="15.75" outlineLevel="1">
      <c r="A671" s="49" t="s">
        <v>50</v>
      </c>
      <c r="B671" s="50" t="s">
        <v>1</v>
      </c>
      <c r="C671" s="49">
        <v>5.26</v>
      </c>
      <c r="D671" s="132"/>
    </row>
    <row r="672" spans="1:4" ht="15.75" outlineLevel="1">
      <c r="A672" s="49" t="s">
        <v>50</v>
      </c>
      <c r="B672" s="50" t="s">
        <v>641</v>
      </c>
      <c r="C672" s="49">
        <v>5.43</v>
      </c>
      <c r="D672" s="132"/>
    </row>
    <row r="673" spans="1:4" ht="15.75" outlineLevel="1">
      <c r="A673" s="49" t="s">
        <v>50</v>
      </c>
      <c r="B673" s="50" t="s">
        <v>620</v>
      </c>
      <c r="C673" s="49">
        <v>5.27</v>
      </c>
      <c r="D673" s="132"/>
    </row>
    <row r="674" spans="1:4" ht="15.75" outlineLevel="1">
      <c r="A674" s="49" t="s">
        <v>50</v>
      </c>
      <c r="B674" s="50" t="s">
        <v>621</v>
      </c>
      <c r="C674" s="49">
        <v>5.28</v>
      </c>
      <c r="D674" s="132"/>
    </row>
    <row r="675" spans="1:4" ht="15.75" outlineLevel="1">
      <c r="A675" s="49" t="s">
        <v>50</v>
      </c>
      <c r="B675" s="50" t="s">
        <v>622</v>
      </c>
      <c r="C675" s="49">
        <v>5.36</v>
      </c>
      <c r="D675" s="132"/>
    </row>
    <row r="676" spans="1:4" ht="15.75" outlineLevel="1">
      <c r="A676" s="49" t="s">
        <v>50</v>
      </c>
      <c r="B676" s="50" t="s">
        <v>788</v>
      </c>
      <c r="C676" s="51">
        <v>5.5</v>
      </c>
      <c r="D676" s="132"/>
    </row>
    <row r="677" spans="1:4" ht="15.75" outlineLevel="1">
      <c r="A677" s="49" t="s">
        <v>50</v>
      </c>
      <c r="B677" s="50" t="s">
        <v>8</v>
      </c>
      <c r="C677" s="49">
        <v>5.51</v>
      </c>
      <c r="D677" s="132"/>
    </row>
    <row r="678" spans="1:4" ht="15.75" outlineLevel="1">
      <c r="A678" s="49" t="s">
        <v>50</v>
      </c>
      <c r="B678" s="50" t="s">
        <v>396</v>
      </c>
      <c r="C678" s="49">
        <v>5.53</v>
      </c>
      <c r="D678" s="132"/>
    </row>
    <row r="679" spans="1:4" ht="15.75" outlineLevel="1">
      <c r="A679" s="49" t="s">
        <v>50</v>
      </c>
      <c r="B679" s="50" t="s">
        <v>13</v>
      </c>
      <c r="C679" s="49">
        <v>5.69</v>
      </c>
      <c r="D679" s="132"/>
    </row>
    <row r="680" spans="1:4" ht="15.75" outlineLevel="1">
      <c r="A680" s="49" t="s">
        <v>50</v>
      </c>
      <c r="B680" s="50" t="s">
        <v>14</v>
      </c>
      <c r="C680" s="51">
        <v>5.7</v>
      </c>
      <c r="D680" s="131" t="s">
        <v>952</v>
      </c>
    </row>
    <row r="681" spans="1:4" ht="15.75" outlineLevel="1">
      <c r="A681" s="49" t="s">
        <v>50</v>
      </c>
      <c r="B681" s="50" t="s">
        <v>637</v>
      </c>
      <c r="C681" s="49">
        <v>5.74</v>
      </c>
      <c r="D681" s="132"/>
    </row>
    <row r="682" spans="1:4" ht="15.75" outlineLevel="1">
      <c r="A682" s="49" t="s">
        <v>50</v>
      </c>
      <c r="B682" s="50" t="s">
        <v>938</v>
      </c>
      <c r="C682" s="49">
        <v>5.59</v>
      </c>
      <c r="D682" s="132"/>
    </row>
    <row r="683" spans="1:4" ht="15.75" outlineLevel="1">
      <c r="A683" s="49" t="s">
        <v>50</v>
      </c>
      <c r="B683" s="50" t="s">
        <v>11</v>
      </c>
      <c r="C683" s="49">
        <v>5.54</v>
      </c>
      <c r="D683" s="132"/>
    </row>
    <row r="684" spans="1:4" ht="15.75" outlineLevel="1">
      <c r="A684" s="49" t="s">
        <v>50</v>
      </c>
      <c r="B684" s="50" t="s">
        <v>811</v>
      </c>
      <c r="C684" s="49">
        <v>5.57</v>
      </c>
      <c r="D684" s="132"/>
    </row>
    <row r="685" spans="1:4" ht="15.75" outlineLevel="1">
      <c r="A685" s="49" t="s">
        <v>50</v>
      </c>
      <c r="B685" s="50" t="s">
        <v>1171</v>
      </c>
      <c r="C685" s="49">
        <v>5.63</v>
      </c>
      <c r="D685" s="132"/>
    </row>
    <row r="686" spans="1:4" ht="15.75" outlineLevel="1">
      <c r="A686" s="49" t="s">
        <v>50</v>
      </c>
      <c r="B686" s="50" t="s">
        <v>19</v>
      </c>
      <c r="C686" s="49">
        <v>5.47</v>
      </c>
      <c r="D686" s="132"/>
    </row>
    <row r="687" spans="1:4" ht="15.75" outlineLevel="1">
      <c r="A687" s="49" t="s">
        <v>50</v>
      </c>
      <c r="B687" s="50" t="s">
        <v>30</v>
      </c>
      <c r="C687" s="49">
        <v>5.48</v>
      </c>
      <c r="D687" s="132"/>
    </row>
    <row r="688" spans="1:4" ht="15.75">
      <c r="A688" s="56" t="s">
        <v>50</v>
      </c>
      <c r="B688" s="50"/>
      <c r="C688" s="49"/>
      <c r="D688" s="132"/>
    </row>
    <row r="689" spans="1:4" ht="15.75" outlineLevel="1">
      <c r="A689" s="49" t="s">
        <v>51</v>
      </c>
      <c r="B689" s="50" t="s">
        <v>667</v>
      </c>
      <c r="C689" s="49">
        <v>5.0999999999999996</v>
      </c>
      <c r="D689" s="132"/>
    </row>
    <row r="690" spans="1:4" ht="15.75" outlineLevel="1">
      <c r="A690" s="49" t="s">
        <v>51</v>
      </c>
      <c r="B690" s="50" t="s">
        <v>0</v>
      </c>
      <c r="C690" s="49">
        <v>5.2</v>
      </c>
      <c r="D690" s="132"/>
    </row>
    <row r="691" spans="1:4" ht="15.75" outlineLevel="1">
      <c r="A691" s="49" t="s">
        <v>51</v>
      </c>
      <c r="B691" s="50" t="s">
        <v>299</v>
      </c>
      <c r="C691" s="49">
        <v>5.17</v>
      </c>
      <c r="D691" s="132"/>
    </row>
    <row r="692" spans="1:4" ht="15.75" outlineLevel="1">
      <c r="A692" s="49" t="s">
        <v>51</v>
      </c>
      <c r="B692" s="50" t="s">
        <v>1</v>
      </c>
      <c r="C692" s="49">
        <v>5.26</v>
      </c>
      <c r="D692" s="132"/>
    </row>
    <row r="693" spans="1:4" ht="15.75" outlineLevel="1">
      <c r="A693" s="49" t="s">
        <v>51</v>
      </c>
      <c r="B693" s="50" t="s">
        <v>798</v>
      </c>
      <c r="C693" s="49">
        <v>5.1029999999999998</v>
      </c>
      <c r="D693" s="132"/>
    </row>
    <row r="694" spans="1:4" ht="15.75" outlineLevel="1">
      <c r="A694" s="49" t="s">
        <v>51</v>
      </c>
      <c r="B694" s="50" t="s">
        <v>622</v>
      </c>
      <c r="C694" s="49">
        <v>5.36</v>
      </c>
      <c r="D694" s="132"/>
    </row>
    <row r="695" spans="1:4" ht="15.75" outlineLevel="1">
      <c r="A695" s="49" t="s">
        <v>51</v>
      </c>
      <c r="B695" s="50" t="s">
        <v>12</v>
      </c>
      <c r="C695" s="49">
        <v>5.37</v>
      </c>
      <c r="D695" s="132"/>
    </row>
    <row r="696" spans="1:4" ht="15.75" outlineLevel="1">
      <c r="A696" s="49" t="s">
        <v>51</v>
      </c>
      <c r="B696" s="50" t="s">
        <v>24</v>
      </c>
      <c r="C696" s="49">
        <v>5.1040000000000001</v>
      </c>
      <c r="D696" s="132"/>
    </row>
    <row r="697" spans="1:4" ht="15.75" outlineLevel="1">
      <c r="A697" s="49" t="s">
        <v>51</v>
      </c>
      <c r="B697" s="50" t="s">
        <v>286</v>
      </c>
      <c r="C697" s="49">
        <v>5.1050000000000004</v>
      </c>
      <c r="D697" s="132"/>
    </row>
    <row r="698" spans="1:4" ht="15.75" outlineLevel="1">
      <c r="A698" s="49" t="s">
        <v>51</v>
      </c>
      <c r="B698" s="50" t="s">
        <v>25</v>
      </c>
      <c r="C698" s="49">
        <v>5.1059999999999999</v>
      </c>
      <c r="D698" s="132"/>
    </row>
    <row r="699" spans="1:4" ht="15.75" outlineLevel="1">
      <c r="A699" s="49" t="s">
        <v>51</v>
      </c>
      <c r="B699" s="50" t="s">
        <v>966</v>
      </c>
      <c r="C699" s="49">
        <v>5.1070000000000002</v>
      </c>
      <c r="D699" s="132"/>
    </row>
    <row r="700" spans="1:4" ht="15.75" outlineLevel="1">
      <c r="A700" s="49" t="s">
        <v>51</v>
      </c>
      <c r="B700" s="50" t="s">
        <v>288</v>
      </c>
      <c r="C700" s="49">
        <v>5.1079999999999997</v>
      </c>
      <c r="D700" s="131" t="s">
        <v>952</v>
      </c>
    </row>
    <row r="701" spans="1:4" ht="15.75" outlineLevel="1">
      <c r="A701" s="49" t="s">
        <v>51</v>
      </c>
      <c r="B701" s="50" t="s">
        <v>933</v>
      </c>
      <c r="C701" s="49">
        <v>5.109</v>
      </c>
      <c r="D701" s="132"/>
    </row>
    <row r="702" spans="1:4" ht="15.75" outlineLevel="1">
      <c r="A702" s="49" t="s">
        <v>51</v>
      </c>
      <c r="B702" s="50" t="s">
        <v>747</v>
      </c>
      <c r="C702" s="52">
        <v>5.1100000000000003</v>
      </c>
      <c r="D702" s="131" t="s">
        <v>952</v>
      </c>
    </row>
    <row r="703" spans="1:4" ht="15.75" outlineLevel="1">
      <c r="A703" s="49" t="s">
        <v>51</v>
      </c>
      <c r="B703" s="50" t="s">
        <v>372</v>
      </c>
      <c r="C703" s="49">
        <v>5.1109999999999998</v>
      </c>
      <c r="D703" s="132"/>
    </row>
    <row r="704" spans="1:4" ht="15.75" outlineLevel="1">
      <c r="A704" s="49" t="s">
        <v>51</v>
      </c>
      <c r="B704" s="50" t="s">
        <v>16</v>
      </c>
      <c r="C704" s="49">
        <v>5.1120000000000001</v>
      </c>
      <c r="D704" s="132"/>
    </row>
    <row r="705" spans="1:4" ht="15.75" outlineLevel="1">
      <c r="A705" s="49" t="s">
        <v>51</v>
      </c>
      <c r="B705" s="50" t="s">
        <v>396</v>
      </c>
      <c r="C705" s="49">
        <v>5.53</v>
      </c>
      <c r="D705" s="132"/>
    </row>
    <row r="706" spans="1:4" ht="15.75" outlineLevel="1">
      <c r="A706" s="49" t="s">
        <v>51</v>
      </c>
      <c r="B706" s="50" t="s">
        <v>803</v>
      </c>
      <c r="C706" s="49">
        <v>5.64</v>
      </c>
      <c r="D706" s="132"/>
    </row>
    <row r="707" spans="1:4" ht="15.75" outlineLevel="1">
      <c r="A707" s="49" t="s">
        <v>51</v>
      </c>
      <c r="B707" s="50" t="s">
        <v>1171</v>
      </c>
      <c r="C707" s="49">
        <v>5.63</v>
      </c>
      <c r="D707" s="132"/>
    </row>
    <row r="708" spans="1:4" ht="15.75" outlineLevel="1">
      <c r="A708" s="49" t="s">
        <v>51</v>
      </c>
      <c r="B708" s="50" t="s">
        <v>1172</v>
      </c>
      <c r="C708" s="49">
        <v>5.65</v>
      </c>
      <c r="D708" s="132"/>
    </row>
    <row r="709" spans="1:4" ht="15.75" outlineLevel="1">
      <c r="A709" s="49" t="s">
        <v>51</v>
      </c>
      <c r="B709" s="50" t="s">
        <v>804</v>
      </c>
      <c r="C709" s="49">
        <v>5.66</v>
      </c>
      <c r="D709" s="132"/>
    </row>
    <row r="710" spans="1:4" ht="15.75" outlineLevel="1">
      <c r="A710" s="49" t="s">
        <v>51</v>
      </c>
      <c r="B710" s="50" t="s">
        <v>26</v>
      </c>
      <c r="C710" s="49">
        <v>5.68</v>
      </c>
      <c r="D710" s="132"/>
    </row>
    <row r="711" spans="1:4" ht="15.75" outlineLevel="1">
      <c r="A711" s="49" t="s">
        <v>51</v>
      </c>
      <c r="B711" s="50" t="s">
        <v>19</v>
      </c>
      <c r="C711" s="49">
        <v>5.47</v>
      </c>
      <c r="D711" s="132"/>
    </row>
    <row r="712" spans="1:4" ht="15.75" outlineLevel="1">
      <c r="A712" s="49" t="s">
        <v>51</v>
      </c>
      <c r="B712" s="50" t="s">
        <v>30</v>
      </c>
      <c r="C712" s="49">
        <v>5.48</v>
      </c>
      <c r="D712" s="132"/>
    </row>
    <row r="713" spans="1:4" ht="15.75">
      <c r="A713" s="56" t="s">
        <v>51</v>
      </c>
      <c r="B713" s="50"/>
      <c r="C713" s="49"/>
      <c r="D713" s="132"/>
    </row>
    <row r="714" spans="1:4" ht="15.75" outlineLevel="1">
      <c r="A714" s="49" t="s">
        <v>954</v>
      </c>
      <c r="B714" s="50" t="s">
        <v>667</v>
      </c>
      <c r="C714" s="49">
        <v>5.0999999999999996</v>
      </c>
      <c r="D714" s="132"/>
    </row>
    <row r="715" spans="1:4" ht="15.75" outlineLevel="1">
      <c r="A715" s="49" t="s">
        <v>954</v>
      </c>
      <c r="B715" s="50" t="s">
        <v>0</v>
      </c>
      <c r="C715" s="49">
        <v>5.2</v>
      </c>
      <c r="D715" s="132"/>
    </row>
    <row r="716" spans="1:4" ht="15.75" outlineLevel="1">
      <c r="A716" s="49" t="s">
        <v>954</v>
      </c>
      <c r="B716" s="50" t="s">
        <v>740</v>
      </c>
      <c r="C716" s="49">
        <v>5.3</v>
      </c>
      <c r="D716" s="132"/>
    </row>
    <row r="717" spans="1:4" ht="15.75" outlineLevel="1">
      <c r="A717" s="49" t="s">
        <v>954</v>
      </c>
      <c r="B717" s="50" t="s">
        <v>2</v>
      </c>
      <c r="C717" s="49">
        <v>5.6</v>
      </c>
      <c r="D717" s="132"/>
    </row>
    <row r="718" spans="1:4" ht="15.75" outlineLevel="1">
      <c r="A718" s="49" t="s">
        <v>954</v>
      </c>
      <c r="B718" s="50" t="s">
        <v>746</v>
      </c>
      <c r="C718" s="51">
        <v>5.0999999999999996</v>
      </c>
      <c r="D718" s="132"/>
    </row>
    <row r="719" spans="1:4" ht="15.75" outlineLevel="1">
      <c r="A719" s="49" t="s">
        <v>954</v>
      </c>
      <c r="B719" s="50" t="s">
        <v>3</v>
      </c>
      <c r="C719" s="49">
        <v>5.14</v>
      </c>
      <c r="D719" s="132"/>
    </row>
    <row r="720" spans="1:4" ht="15.75" outlineLevel="1">
      <c r="A720" s="49" t="s">
        <v>954</v>
      </c>
      <c r="B720" s="50" t="s">
        <v>29</v>
      </c>
      <c r="C720" s="49">
        <v>5.19</v>
      </c>
      <c r="D720" s="132"/>
    </row>
    <row r="721" spans="1:4" ht="15.75" outlineLevel="1">
      <c r="A721" s="49" t="s">
        <v>954</v>
      </c>
      <c r="B721" s="50" t="s">
        <v>28</v>
      </c>
      <c r="C721" s="49">
        <v>5.24</v>
      </c>
      <c r="D721" s="132"/>
    </row>
    <row r="722" spans="1:4" ht="15.75" outlineLevel="1">
      <c r="A722" s="49" t="s">
        <v>954</v>
      </c>
      <c r="B722" s="50" t="s">
        <v>1</v>
      </c>
      <c r="C722" s="49">
        <v>5.26</v>
      </c>
      <c r="D722" s="132"/>
    </row>
    <row r="723" spans="1:4" ht="15.75" outlineLevel="1">
      <c r="A723" s="49" t="s">
        <v>954</v>
      </c>
      <c r="B723" s="50" t="s">
        <v>620</v>
      </c>
      <c r="C723" s="49">
        <v>5.27</v>
      </c>
      <c r="D723" s="132"/>
    </row>
    <row r="724" spans="1:4" ht="15.75" outlineLevel="1">
      <c r="A724" s="49" t="s">
        <v>954</v>
      </c>
      <c r="B724" s="50" t="s">
        <v>621</v>
      </c>
      <c r="C724" s="49">
        <v>5.28</v>
      </c>
      <c r="D724" s="132"/>
    </row>
    <row r="725" spans="1:4" ht="15.75" outlineLevel="1">
      <c r="A725" s="49" t="s">
        <v>954</v>
      </c>
      <c r="B725" s="50" t="s">
        <v>9</v>
      </c>
      <c r="C725" s="49">
        <v>5.31</v>
      </c>
      <c r="D725" s="132"/>
    </row>
    <row r="726" spans="1:4" ht="15.75" outlineLevel="1">
      <c r="A726" s="49" t="s">
        <v>954</v>
      </c>
      <c r="B726" s="50" t="s">
        <v>622</v>
      </c>
      <c r="C726" s="49">
        <v>5.36</v>
      </c>
      <c r="D726" s="132"/>
    </row>
    <row r="727" spans="1:4" ht="15.75" outlineLevel="1">
      <c r="A727" s="49" t="s">
        <v>954</v>
      </c>
      <c r="B727" s="50" t="s">
        <v>396</v>
      </c>
      <c r="C727" s="49">
        <v>5.53</v>
      </c>
      <c r="D727" s="132"/>
    </row>
    <row r="728" spans="1:4" ht="15.75" outlineLevel="1">
      <c r="A728" s="49" t="s">
        <v>954</v>
      </c>
      <c r="B728" s="50" t="s">
        <v>933</v>
      </c>
      <c r="C728" s="49">
        <v>5.109</v>
      </c>
      <c r="D728" s="132"/>
    </row>
    <row r="729" spans="1:4" ht="15.75" outlineLevel="1">
      <c r="A729" s="49" t="s">
        <v>954</v>
      </c>
      <c r="B729" s="50" t="s">
        <v>372</v>
      </c>
      <c r="C729" s="49">
        <v>5.1109999999999998</v>
      </c>
      <c r="D729" s="132"/>
    </row>
    <row r="730" spans="1:4" ht="15.75" outlineLevel="1">
      <c r="A730" s="49" t="s">
        <v>954</v>
      </c>
      <c r="B730" s="50" t="s">
        <v>16</v>
      </c>
      <c r="C730" s="49">
        <v>5.1120000000000001</v>
      </c>
      <c r="D730" s="132"/>
    </row>
    <row r="731" spans="1:4" ht="15.75" outlineLevel="1">
      <c r="A731" s="49" t="s">
        <v>954</v>
      </c>
      <c r="B731" s="50" t="s">
        <v>475</v>
      </c>
      <c r="C731" s="49">
        <v>5.1130000000000004</v>
      </c>
      <c r="D731" s="132"/>
    </row>
    <row r="732" spans="1:4" ht="15.75" outlineLevel="1">
      <c r="A732" s="49" t="s">
        <v>954</v>
      </c>
      <c r="B732" s="50" t="s">
        <v>634</v>
      </c>
      <c r="C732" s="49">
        <v>5.117</v>
      </c>
      <c r="D732" s="132"/>
    </row>
    <row r="733" spans="1:4" ht="15.75" outlineLevel="1">
      <c r="A733" s="49" t="s">
        <v>954</v>
      </c>
      <c r="B733" s="50" t="s">
        <v>1174</v>
      </c>
      <c r="C733" s="49">
        <v>5.67</v>
      </c>
      <c r="D733" s="132"/>
    </row>
    <row r="734" spans="1:4" ht="15.75" outlineLevel="1">
      <c r="A734" s="49" t="s">
        <v>954</v>
      </c>
      <c r="B734" s="50" t="s">
        <v>1171</v>
      </c>
      <c r="C734" s="49">
        <v>5.63</v>
      </c>
      <c r="D734" s="132"/>
    </row>
    <row r="735" spans="1:4" ht="15.75" outlineLevel="1">
      <c r="A735" s="49" t="s">
        <v>954</v>
      </c>
      <c r="B735" s="50" t="s">
        <v>19</v>
      </c>
      <c r="C735" s="49">
        <v>5.47</v>
      </c>
      <c r="D735" s="132"/>
    </row>
    <row r="736" spans="1:4" ht="15.75" outlineLevel="1">
      <c r="A736" s="49" t="s">
        <v>954</v>
      </c>
      <c r="B736" s="50" t="s">
        <v>30</v>
      </c>
      <c r="C736" s="49">
        <v>5.48</v>
      </c>
      <c r="D736" s="132"/>
    </row>
    <row r="737" spans="1:4" ht="15.75">
      <c r="A737" s="56" t="s">
        <v>976</v>
      </c>
      <c r="B737" s="50"/>
      <c r="C737" s="49"/>
      <c r="D737" s="132"/>
    </row>
    <row r="738" spans="1:4" ht="15.75" outlineLevel="1">
      <c r="A738" s="49" t="s">
        <v>52</v>
      </c>
      <c r="B738" s="50" t="s">
        <v>667</v>
      </c>
      <c r="C738" s="49">
        <v>5.0999999999999996</v>
      </c>
      <c r="D738" s="132"/>
    </row>
    <row r="739" spans="1:4" ht="15.75" outlineLevel="1">
      <c r="A739" s="49" t="s">
        <v>52</v>
      </c>
      <c r="B739" s="50" t="s">
        <v>0</v>
      </c>
      <c r="C739" s="49">
        <v>5.2</v>
      </c>
      <c r="D739" s="132"/>
    </row>
    <row r="740" spans="1:4" ht="15.75" outlineLevel="1">
      <c r="A740" s="49" t="s">
        <v>52</v>
      </c>
      <c r="B740" s="50" t="s">
        <v>801</v>
      </c>
      <c r="C740" s="49">
        <v>5.18</v>
      </c>
      <c r="D740" s="132"/>
    </row>
    <row r="741" spans="1:4" ht="15.75" outlineLevel="1">
      <c r="A741" s="49" t="s">
        <v>52</v>
      </c>
      <c r="B741" s="50" t="s">
        <v>802</v>
      </c>
      <c r="C741" s="49">
        <v>5.23</v>
      </c>
      <c r="D741" s="132"/>
    </row>
    <row r="742" spans="1:4" ht="15.75" outlineLevel="1">
      <c r="A742" s="49" t="s">
        <v>52</v>
      </c>
      <c r="B742" s="50" t="s">
        <v>1</v>
      </c>
      <c r="C742" s="49">
        <v>5.26</v>
      </c>
      <c r="D742" s="132"/>
    </row>
    <row r="743" spans="1:4" ht="15.75" outlineLevel="1">
      <c r="A743" s="49" t="s">
        <v>52</v>
      </c>
      <c r="B743" s="50" t="s">
        <v>620</v>
      </c>
      <c r="C743" s="49">
        <v>5.27</v>
      </c>
      <c r="D743" s="132"/>
    </row>
    <row r="744" spans="1:4" ht="15.75" outlineLevel="1">
      <c r="A744" s="49" t="s">
        <v>52</v>
      </c>
      <c r="B744" s="50" t="s">
        <v>621</v>
      </c>
      <c r="C744" s="49">
        <v>5.28</v>
      </c>
      <c r="D744" s="132"/>
    </row>
    <row r="745" spans="1:4" ht="15.75" outlineLevel="1">
      <c r="A745" s="49" t="s">
        <v>52</v>
      </c>
      <c r="B745" s="50" t="s">
        <v>622</v>
      </c>
      <c r="C745" s="49">
        <v>5.36</v>
      </c>
      <c r="D745" s="132"/>
    </row>
    <row r="746" spans="1:4" ht="15.75" outlineLevel="1">
      <c r="A746" s="49" t="s">
        <v>52</v>
      </c>
      <c r="B746" s="50" t="s">
        <v>810</v>
      </c>
      <c r="C746" s="49">
        <v>5.44</v>
      </c>
      <c r="D746" s="132"/>
    </row>
    <row r="747" spans="1:4" ht="15.75" outlineLevel="1">
      <c r="A747" s="49" t="s">
        <v>52</v>
      </c>
      <c r="B747" s="50" t="s">
        <v>396</v>
      </c>
      <c r="C747" s="49">
        <v>5.53</v>
      </c>
      <c r="D747" s="132"/>
    </row>
    <row r="748" spans="1:4" ht="15.75" outlineLevel="1">
      <c r="A748" s="49" t="s">
        <v>52</v>
      </c>
      <c r="B748" s="50" t="s">
        <v>16</v>
      </c>
      <c r="C748" s="49">
        <v>5.1120000000000001</v>
      </c>
      <c r="D748" s="132"/>
    </row>
    <row r="749" spans="1:4" ht="15.75" outlineLevel="1">
      <c r="A749" s="49" t="s">
        <v>52</v>
      </c>
      <c r="B749" s="50" t="s">
        <v>938</v>
      </c>
      <c r="C749" s="49">
        <v>5.59</v>
      </c>
      <c r="D749" s="132"/>
    </row>
    <row r="750" spans="1:4" ht="15.75" outlineLevel="1">
      <c r="A750" s="49" t="s">
        <v>52</v>
      </c>
      <c r="B750" s="50" t="s">
        <v>11</v>
      </c>
      <c r="C750" s="49">
        <v>5.54</v>
      </c>
      <c r="D750" s="132"/>
    </row>
    <row r="751" spans="1:4" ht="15.75" outlineLevel="1">
      <c r="A751" s="49" t="s">
        <v>52</v>
      </c>
      <c r="B751" s="50" t="s">
        <v>1171</v>
      </c>
      <c r="C751" s="49">
        <v>5.63</v>
      </c>
      <c r="D751" s="132"/>
    </row>
    <row r="752" spans="1:4" ht="15.75" outlineLevel="1">
      <c r="A752" s="49" t="s">
        <v>52</v>
      </c>
      <c r="B752" s="50" t="s">
        <v>1172</v>
      </c>
      <c r="C752" s="49">
        <v>5.65</v>
      </c>
      <c r="D752" s="132"/>
    </row>
    <row r="753" spans="1:4" ht="15.75" outlineLevel="1">
      <c r="A753" s="49" t="s">
        <v>52</v>
      </c>
      <c r="B753" s="50" t="s">
        <v>26</v>
      </c>
      <c r="C753" s="49">
        <v>5.68</v>
      </c>
      <c r="D753" s="132"/>
    </row>
    <row r="754" spans="1:4" ht="15.75" outlineLevel="1">
      <c r="A754" s="49" t="s">
        <v>52</v>
      </c>
      <c r="B754" s="50" t="s">
        <v>19</v>
      </c>
      <c r="C754" s="49">
        <v>5.47</v>
      </c>
      <c r="D754" s="132"/>
    </row>
    <row r="755" spans="1:4" ht="15.75" outlineLevel="1">
      <c r="A755" s="49" t="s">
        <v>52</v>
      </c>
      <c r="B755" s="50" t="s">
        <v>30</v>
      </c>
      <c r="C755" s="49">
        <v>5.48</v>
      </c>
      <c r="D755" s="132"/>
    </row>
    <row r="756" spans="1:4" ht="15.75">
      <c r="A756" s="56" t="s">
        <v>52</v>
      </c>
      <c r="B756" s="50"/>
      <c r="C756" s="49"/>
      <c r="D756" s="132"/>
    </row>
    <row r="757" spans="1:4" ht="15.75" outlineLevel="1">
      <c r="A757" s="49" t="s">
        <v>771</v>
      </c>
      <c r="B757" s="50" t="s">
        <v>667</v>
      </c>
      <c r="C757" s="49">
        <v>5.0999999999999996</v>
      </c>
      <c r="D757" s="132"/>
    </row>
    <row r="758" spans="1:4" ht="15.75" outlineLevel="1">
      <c r="A758" s="49" t="s">
        <v>771</v>
      </c>
      <c r="B758" s="50" t="s">
        <v>0</v>
      </c>
      <c r="C758" s="49">
        <v>5.2</v>
      </c>
      <c r="D758" s="132"/>
    </row>
    <row r="759" spans="1:4" ht="15.75" outlineLevel="1">
      <c r="A759" s="49" t="s">
        <v>771</v>
      </c>
      <c r="B759" s="50" t="s">
        <v>741</v>
      </c>
      <c r="C759" s="49">
        <v>5.9</v>
      </c>
      <c r="D759" s="131" t="s">
        <v>952</v>
      </c>
    </row>
    <row r="760" spans="1:4" ht="15.75" outlineLevel="1">
      <c r="A760" s="49" t="s">
        <v>771</v>
      </c>
      <c r="B760" s="50" t="s">
        <v>742</v>
      </c>
      <c r="C760" s="49">
        <v>5.13</v>
      </c>
      <c r="D760" s="132"/>
    </row>
    <row r="761" spans="1:4" ht="15.75" outlineLevel="1">
      <c r="A761" s="49" t="s">
        <v>771</v>
      </c>
      <c r="B761" s="50" t="s">
        <v>743</v>
      </c>
      <c r="C761" s="49">
        <v>5.16</v>
      </c>
      <c r="D761" s="131" t="s">
        <v>952</v>
      </c>
    </row>
    <row r="762" spans="1:4" ht="15.75" outlineLevel="1">
      <c r="A762" s="49" t="s">
        <v>771</v>
      </c>
      <c r="B762" s="50" t="s">
        <v>744</v>
      </c>
      <c r="C762" s="49">
        <v>5.22</v>
      </c>
      <c r="D762" s="131"/>
    </row>
    <row r="763" spans="1:4" ht="15.75" outlineLevel="1">
      <c r="A763" s="49" t="s">
        <v>771</v>
      </c>
      <c r="B763" s="50" t="s">
        <v>749</v>
      </c>
      <c r="C763" s="49">
        <v>5.42</v>
      </c>
      <c r="D763" s="132"/>
    </row>
    <row r="764" spans="1:4" ht="15.75" outlineLevel="1">
      <c r="A764" s="49" t="s">
        <v>771</v>
      </c>
      <c r="B764" s="50" t="s">
        <v>620</v>
      </c>
      <c r="C764" s="49">
        <v>5.27</v>
      </c>
      <c r="D764" s="132"/>
    </row>
    <row r="765" spans="1:4" ht="15.75" outlineLevel="1">
      <c r="A765" s="49" t="s">
        <v>771</v>
      </c>
      <c r="B765" s="50" t="s">
        <v>621</v>
      </c>
      <c r="C765" s="49">
        <v>5.28</v>
      </c>
      <c r="D765" s="131" t="s">
        <v>952</v>
      </c>
    </row>
    <row r="766" spans="1:4" ht="15.75" outlineLevel="1">
      <c r="A766" s="49" t="s">
        <v>771</v>
      </c>
      <c r="B766" s="50" t="s">
        <v>622</v>
      </c>
      <c r="C766" s="49">
        <v>5.36</v>
      </c>
      <c r="D766" s="132"/>
    </row>
    <row r="767" spans="1:4" ht="15.75" outlineLevel="1">
      <c r="A767" s="49" t="s">
        <v>771</v>
      </c>
      <c r="B767" s="50" t="s">
        <v>6</v>
      </c>
      <c r="C767" s="49">
        <v>5.49</v>
      </c>
      <c r="D767" s="132"/>
    </row>
    <row r="768" spans="1:4" ht="15.75" outlineLevel="1">
      <c r="A768" s="49" t="s">
        <v>771</v>
      </c>
      <c r="B768" s="50" t="s">
        <v>8</v>
      </c>
      <c r="C768" s="49">
        <v>5.51</v>
      </c>
      <c r="D768" s="132"/>
    </row>
    <row r="769" spans="1:4" ht="15.75" outlineLevel="1">
      <c r="A769" s="49" t="s">
        <v>771</v>
      </c>
      <c r="B769" s="50" t="s">
        <v>793</v>
      </c>
      <c r="C769" s="49">
        <v>5.52</v>
      </c>
      <c r="D769" s="132"/>
    </row>
    <row r="770" spans="1:4" ht="15.75" outlineLevel="1">
      <c r="A770" s="49" t="s">
        <v>771</v>
      </c>
      <c r="B770" s="50" t="s">
        <v>396</v>
      </c>
      <c r="C770" s="49">
        <v>5.53</v>
      </c>
      <c r="D770" s="132"/>
    </row>
    <row r="771" spans="1:4" ht="15.75" outlineLevel="1">
      <c r="A771" s="49" t="s">
        <v>771</v>
      </c>
      <c r="B771" s="50" t="s">
        <v>11</v>
      </c>
      <c r="C771" s="49">
        <v>5.54</v>
      </c>
      <c r="D771" s="132"/>
    </row>
    <row r="772" spans="1:4" ht="15.75" outlineLevel="1">
      <c r="A772" s="49" t="s">
        <v>771</v>
      </c>
      <c r="B772" s="50" t="s">
        <v>14</v>
      </c>
      <c r="C772" s="51">
        <v>5.7</v>
      </c>
      <c r="D772" s="132"/>
    </row>
    <row r="773" spans="1:4" ht="15.75" outlineLevel="1">
      <c r="A773" s="49" t="s">
        <v>771</v>
      </c>
      <c r="B773" s="50" t="s">
        <v>440</v>
      </c>
      <c r="C773" s="49">
        <v>5.71</v>
      </c>
      <c r="D773" s="132"/>
    </row>
    <row r="774" spans="1:4" ht="15.75" outlineLevel="1">
      <c r="A774" s="49" t="s">
        <v>771</v>
      </c>
      <c r="B774" s="50" t="s">
        <v>812</v>
      </c>
      <c r="C774" s="51">
        <v>5.9</v>
      </c>
      <c r="D774" s="132"/>
    </row>
    <row r="775" spans="1:4" ht="15.75" outlineLevel="1">
      <c r="A775" s="49" t="s">
        <v>771</v>
      </c>
      <c r="B775" s="50" t="s">
        <v>1175</v>
      </c>
      <c r="C775" s="49">
        <v>5.91</v>
      </c>
      <c r="D775" s="132"/>
    </row>
    <row r="776" spans="1:4" ht="15.75" outlineLevel="1">
      <c r="A776" s="49" t="s">
        <v>771</v>
      </c>
      <c r="B776" s="50" t="s">
        <v>764</v>
      </c>
      <c r="C776" s="49">
        <v>5.97</v>
      </c>
      <c r="D776" s="132"/>
    </row>
    <row r="777" spans="1:4" ht="15.75">
      <c r="A777" s="56" t="s">
        <v>771</v>
      </c>
      <c r="B777" s="50"/>
      <c r="C777" s="49"/>
      <c r="D777" s="132"/>
    </row>
    <row r="778" spans="1:4" ht="15.75" outlineLevel="1">
      <c r="A778" s="49" t="s">
        <v>790</v>
      </c>
      <c r="B778" s="50" t="s">
        <v>667</v>
      </c>
      <c r="C778" s="49">
        <v>5.0999999999999996</v>
      </c>
      <c r="D778" s="132"/>
    </row>
    <row r="779" spans="1:4" ht="15.75" outlineLevel="1">
      <c r="A779" s="49" t="s">
        <v>790</v>
      </c>
      <c r="B779" s="50" t="s">
        <v>0</v>
      </c>
      <c r="C779" s="49">
        <v>5.2</v>
      </c>
      <c r="D779" s="132"/>
    </row>
    <row r="780" spans="1:4" ht="15.75" outlineLevel="1">
      <c r="A780" s="49" t="s">
        <v>790</v>
      </c>
      <c r="B780" s="50" t="s">
        <v>1</v>
      </c>
      <c r="C780" s="49">
        <v>5.26</v>
      </c>
      <c r="D780" s="132"/>
    </row>
    <row r="781" spans="1:4" ht="15.75" outlineLevel="1">
      <c r="A781" s="49" t="s">
        <v>790</v>
      </c>
      <c r="B781" s="50" t="s">
        <v>796</v>
      </c>
      <c r="C781" s="49">
        <v>5.5</v>
      </c>
      <c r="D781" s="132"/>
    </row>
    <row r="782" spans="1:4" ht="15.75" outlineLevel="1">
      <c r="A782" s="49" t="s">
        <v>790</v>
      </c>
      <c r="B782" s="50" t="s">
        <v>809</v>
      </c>
      <c r="C782" s="49">
        <v>5.8</v>
      </c>
      <c r="D782" s="131" t="s">
        <v>952</v>
      </c>
    </row>
    <row r="783" spans="1:4" ht="15.75" outlineLevel="1">
      <c r="A783" s="49" t="s">
        <v>790</v>
      </c>
      <c r="B783" s="50" t="s">
        <v>797</v>
      </c>
      <c r="C783" s="49">
        <v>5.12</v>
      </c>
      <c r="D783" s="49"/>
    </row>
    <row r="784" spans="1:4" ht="15.75" outlineLevel="1">
      <c r="A784" s="49" t="s">
        <v>790</v>
      </c>
      <c r="B784" s="50" t="s">
        <v>763</v>
      </c>
      <c r="C784" s="49">
        <v>5.15</v>
      </c>
      <c r="D784" s="49"/>
    </row>
    <row r="785" spans="1:4" ht="15.75" outlineLevel="1">
      <c r="A785" s="49" t="s">
        <v>790</v>
      </c>
      <c r="B785" s="50" t="s">
        <v>762</v>
      </c>
      <c r="C785" s="51">
        <v>5.2</v>
      </c>
      <c r="D785" s="131"/>
    </row>
    <row r="786" spans="1:4" ht="15.75" outlineLevel="1">
      <c r="A786" s="49" t="s">
        <v>790</v>
      </c>
      <c r="B786" s="50" t="s">
        <v>767</v>
      </c>
      <c r="C786" s="49">
        <v>5.25</v>
      </c>
      <c r="D786" s="49"/>
    </row>
    <row r="787" spans="1:4" ht="15.75" outlineLevel="1">
      <c r="A787" s="49" t="s">
        <v>790</v>
      </c>
      <c r="B787" s="50" t="s">
        <v>396</v>
      </c>
      <c r="C787" s="49">
        <v>5.53</v>
      </c>
      <c r="D787" s="49"/>
    </row>
    <row r="788" spans="1:4" ht="15.75" outlineLevel="1">
      <c r="A788" s="49" t="s">
        <v>790</v>
      </c>
      <c r="B788" s="50" t="s">
        <v>761</v>
      </c>
      <c r="C788" s="51">
        <v>5.4</v>
      </c>
      <c r="D788" s="49"/>
    </row>
    <row r="789" spans="1:4" ht="31.5" outlineLevel="1">
      <c r="A789" s="49" t="s">
        <v>790</v>
      </c>
      <c r="B789" s="50" t="s">
        <v>940</v>
      </c>
      <c r="C789" s="49">
        <v>5.92</v>
      </c>
      <c r="D789" s="49"/>
    </row>
    <row r="790" spans="1:4" ht="15.75" outlineLevel="1">
      <c r="A790" s="49" t="s">
        <v>790</v>
      </c>
      <c r="B790" s="50" t="s">
        <v>1176</v>
      </c>
      <c r="C790" s="49">
        <v>5.93</v>
      </c>
      <c r="D790" s="49"/>
    </row>
    <row r="791" spans="1:4" ht="31.5" outlineLevel="1">
      <c r="A791" s="49" t="s">
        <v>790</v>
      </c>
      <c r="B791" s="50" t="s">
        <v>941</v>
      </c>
      <c r="C791" s="49">
        <v>5.94</v>
      </c>
      <c r="D791" s="49"/>
    </row>
    <row r="792" spans="1:4" ht="15.75" outlineLevel="1">
      <c r="A792" s="49" t="s">
        <v>790</v>
      </c>
      <c r="B792" s="50" t="s">
        <v>1177</v>
      </c>
      <c r="C792" s="49">
        <v>5.95</v>
      </c>
      <c r="D792" s="49"/>
    </row>
    <row r="793" spans="1:4" ht="15.75" outlineLevel="1">
      <c r="A793" s="49" t="s">
        <v>790</v>
      </c>
      <c r="B793" s="50" t="s">
        <v>22</v>
      </c>
      <c r="C793" s="49">
        <v>5.98</v>
      </c>
      <c r="D793" s="49"/>
    </row>
    <row r="794" spans="1:4" ht="15.75" outlineLevel="1">
      <c r="A794" s="49" t="s">
        <v>790</v>
      </c>
      <c r="B794" s="50" t="s">
        <v>813</v>
      </c>
      <c r="C794" s="49">
        <v>5.96</v>
      </c>
      <c r="D794" s="49"/>
    </row>
    <row r="795" spans="1:4" ht="15.75">
      <c r="A795" s="56" t="s">
        <v>790</v>
      </c>
      <c r="B795" s="50"/>
      <c r="C795" s="49"/>
      <c r="D795" s="49"/>
    </row>
  </sheetData>
  <autoFilter ref="A1:D795" xr:uid="{00000000-0009-0000-0000-000020000000}"/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38"/>
  <dimension ref="A2:B121"/>
  <sheetViews>
    <sheetView rightToLeft="1" workbookViewId="0"/>
  </sheetViews>
  <sheetFormatPr defaultRowHeight="15"/>
  <cols>
    <col min="1" max="1" width="63.28515625" bestFit="1" customWidth="1"/>
    <col min="2" max="2" width="13.7109375" customWidth="1"/>
  </cols>
  <sheetData>
    <row r="2" spans="1:2">
      <c r="A2" s="26" t="s">
        <v>831</v>
      </c>
    </row>
    <row r="3" spans="1:2">
      <c r="A3" t="s">
        <v>827</v>
      </c>
      <c r="B3" t="s">
        <v>817</v>
      </c>
    </row>
    <row r="4" spans="1:2">
      <c r="A4" t="s">
        <v>823</v>
      </c>
      <c r="B4" t="s">
        <v>830</v>
      </c>
    </row>
    <row r="5" spans="1:2">
      <c r="A5" t="s">
        <v>824</v>
      </c>
      <c r="B5" t="s">
        <v>829</v>
      </c>
    </row>
    <row r="6" spans="1:2">
      <c r="A6" t="s">
        <v>825</v>
      </c>
      <c r="B6" t="s">
        <v>818</v>
      </c>
    </row>
    <row r="7" spans="1:2">
      <c r="A7" t="s">
        <v>826</v>
      </c>
      <c r="B7" t="s">
        <v>691</v>
      </c>
    </row>
    <row r="8" spans="1:2">
      <c r="A8" t="s">
        <v>828</v>
      </c>
      <c r="B8" t="s">
        <v>692</v>
      </c>
    </row>
    <row r="10" spans="1:2">
      <c r="A10" s="26" t="s">
        <v>832</v>
      </c>
    </row>
    <row r="11" spans="1:2">
      <c r="A11" t="s">
        <v>614</v>
      </c>
    </row>
    <row r="12" spans="1:2">
      <c r="A12" t="s">
        <v>615</v>
      </c>
      <c r="B12" t="s">
        <v>511</v>
      </c>
    </row>
    <row r="14" spans="1:2">
      <c r="A14" s="40"/>
    </row>
    <row r="15" spans="1:2">
      <c r="A15" s="26" t="s">
        <v>513</v>
      </c>
    </row>
    <row r="16" spans="1:2">
      <c r="A16" s="38" t="s">
        <v>514</v>
      </c>
    </row>
    <row r="17" spans="1:2">
      <c r="A17" s="38" t="s">
        <v>515</v>
      </c>
    </row>
    <row r="18" spans="1:2">
      <c r="A18" s="38" t="s">
        <v>516</v>
      </c>
    </row>
    <row r="19" spans="1:2">
      <c r="A19" s="38" t="s">
        <v>517</v>
      </c>
    </row>
    <row r="21" spans="1:2">
      <c r="A21" s="39" t="s">
        <v>512</v>
      </c>
    </row>
    <row r="22" spans="1:2">
      <c r="A22">
        <v>2022</v>
      </c>
      <c r="B22">
        <v>22</v>
      </c>
    </row>
    <row r="23" spans="1:2">
      <c r="A23">
        <v>2023</v>
      </c>
      <c r="B23">
        <v>23</v>
      </c>
    </row>
    <row r="24" spans="1:2">
      <c r="A24">
        <v>2024</v>
      </c>
      <c r="B24">
        <v>24</v>
      </c>
    </row>
    <row r="25" spans="1:2">
      <c r="A25">
        <v>2025</v>
      </c>
      <c r="B25">
        <v>25</v>
      </c>
    </row>
    <row r="26" spans="1:2">
      <c r="A26">
        <v>2026</v>
      </c>
      <c r="B26">
        <v>26</v>
      </c>
    </row>
    <row r="27" spans="1:2">
      <c r="A27">
        <v>2027</v>
      </c>
      <c r="B27">
        <v>27</v>
      </c>
    </row>
    <row r="28" spans="1:2">
      <c r="A28">
        <v>2028</v>
      </c>
      <c r="B28">
        <v>28</v>
      </c>
    </row>
    <row r="29" spans="1:2">
      <c r="A29">
        <v>2029</v>
      </c>
      <c r="B29">
        <v>29</v>
      </c>
    </row>
    <row r="30" spans="1:2">
      <c r="A30">
        <v>2030</v>
      </c>
      <c r="B30">
        <v>30</v>
      </c>
    </row>
    <row r="31" spans="1:2">
      <c r="A31">
        <v>2031</v>
      </c>
      <c r="B31">
        <v>31</v>
      </c>
    </row>
    <row r="34" spans="1:2">
      <c r="A34" s="26" t="s">
        <v>580</v>
      </c>
      <c r="B34" s="26" t="s">
        <v>429</v>
      </c>
    </row>
    <row r="35" spans="1:2">
      <c r="A35" s="34" t="s">
        <v>603</v>
      </c>
      <c r="B35" s="55">
        <v>512310509</v>
      </c>
    </row>
    <row r="36" spans="1:2">
      <c r="A36" t="s">
        <v>588</v>
      </c>
      <c r="B36" s="55">
        <v>513910703</v>
      </c>
    </row>
    <row r="37" spans="1:2">
      <c r="A37" t="s">
        <v>599</v>
      </c>
      <c r="B37" s="55">
        <v>512304882</v>
      </c>
    </row>
    <row r="38" spans="1:2">
      <c r="A38" t="s">
        <v>585</v>
      </c>
      <c r="B38" s="55">
        <v>520030677</v>
      </c>
    </row>
    <row r="39" spans="1:2">
      <c r="A39" t="s">
        <v>819</v>
      </c>
      <c r="B39" s="55">
        <v>513621110</v>
      </c>
    </row>
    <row r="40" spans="1:2">
      <c r="A40" t="s">
        <v>534</v>
      </c>
      <c r="B40" s="76">
        <v>513173393</v>
      </c>
    </row>
    <row r="41" spans="1:2">
      <c r="A41" t="s">
        <v>568</v>
      </c>
      <c r="B41" s="76">
        <v>511880460</v>
      </c>
    </row>
    <row r="42" spans="1:2">
      <c r="A42" t="s">
        <v>557</v>
      </c>
      <c r="B42" s="76">
        <v>510773922</v>
      </c>
    </row>
    <row r="43" spans="1:2">
      <c r="A43" t="s">
        <v>598</v>
      </c>
      <c r="B43">
        <v>520021916</v>
      </c>
    </row>
    <row r="44" spans="1:2">
      <c r="A44" t="s">
        <v>590</v>
      </c>
      <c r="B44">
        <v>520044025</v>
      </c>
    </row>
    <row r="45" spans="1:2">
      <c r="A45" t="s">
        <v>591</v>
      </c>
      <c r="B45">
        <v>570003152</v>
      </c>
    </row>
    <row r="46" spans="1:2">
      <c r="A46" t="s">
        <v>573</v>
      </c>
      <c r="B46" s="76">
        <v>520023094</v>
      </c>
    </row>
    <row r="47" spans="1:2">
      <c r="A47" t="s">
        <v>600</v>
      </c>
      <c r="B47" s="76">
        <v>512711409</v>
      </c>
    </row>
    <row r="48" spans="1:2">
      <c r="A48" t="s">
        <v>592</v>
      </c>
      <c r="B48">
        <v>515859379</v>
      </c>
    </row>
    <row r="49" spans="1:2">
      <c r="A49" t="s">
        <v>556</v>
      </c>
      <c r="B49" s="76">
        <v>520030990</v>
      </c>
    </row>
    <row r="50" spans="1:2">
      <c r="A50" t="s">
        <v>578</v>
      </c>
      <c r="B50" s="76">
        <v>520028812</v>
      </c>
    </row>
    <row r="51" spans="1:2">
      <c r="A51" t="s">
        <v>519</v>
      </c>
      <c r="B51" s="76">
        <v>520034968</v>
      </c>
    </row>
    <row r="52" spans="1:2">
      <c r="A52" t="s">
        <v>562</v>
      </c>
      <c r="B52" s="76">
        <v>520031824</v>
      </c>
    </row>
    <row r="53" spans="1:2">
      <c r="A53" t="s">
        <v>542</v>
      </c>
      <c r="B53" s="76">
        <v>520005497</v>
      </c>
    </row>
    <row r="54" spans="1:2">
      <c r="A54" t="s">
        <v>522</v>
      </c>
      <c r="B54" s="76">
        <v>520022518</v>
      </c>
    </row>
    <row r="55" spans="1:2">
      <c r="A55" t="s">
        <v>552</v>
      </c>
      <c r="B55" s="76">
        <v>520028556</v>
      </c>
    </row>
    <row r="56" spans="1:2">
      <c r="A56" t="s">
        <v>567</v>
      </c>
      <c r="B56" s="76">
        <v>520032269</v>
      </c>
    </row>
    <row r="57" spans="1:2">
      <c r="A57" t="s">
        <v>559</v>
      </c>
      <c r="B57" s="76">
        <v>520027954</v>
      </c>
    </row>
    <row r="58" spans="1:2">
      <c r="A58" t="s">
        <v>607</v>
      </c>
      <c r="B58" s="48">
        <v>520029620</v>
      </c>
    </row>
    <row r="59" spans="1:2">
      <c r="A59" t="s">
        <v>558</v>
      </c>
      <c r="B59" s="76">
        <v>520028861</v>
      </c>
    </row>
    <row r="60" spans="1:2">
      <c r="A60" t="s">
        <v>520</v>
      </c>
      <c r="B60" s="76">
        <v>520030743</v>
      </c>
    </row>
    <row r="61" spans="1:2">
      <c r="A61" t="s">
        <v>586</v>
      </c>
      <c r="B61">
        <v>520042177</v>
      </c>
    </row>
    <row r="62" spans="1:2">
      <c r="A62" t="s">
        <v>572</v>
      </c>
      <c r="B62" s="76">
        <v>515447035</v>
      </c>
    </row>
    <row r="63" spans="1:2">
      <c r="A63" t="s">
        <v>553</v>
      </c>
      <c r="B63" s="76">
        <v>520042607</v>
      </c>
    </row>
    <row r="64" spans="1:2">
      <c r="A64" t="s">
        <v>531</v>
      </c>
      <c r="B64" s="76">
        <v>513026484</v>
      </c>
    </row>
    <row r="65" spans="1:2">
      <c r="A65" t="s">
        <v>583</v>
      </c>
      <c r="B65">
        <v>520023185</v>
      </c>
    </row>
    <row r="66" spans="1:2">
      <c r="A66" t="s">
        <v>589</v>
      </c>
      <c r="B66">
        <v>520004078</v>
      </c>
    </row>
    <row r="67" spans="1:2">
      <c r="A67" t="s">
        <v>554</v>
      </c>
      <c r="B67" s="76">
        <v>512267592</v>
      </c>
    </row>
    <row r="68" spans="1:2">
      <c r="A68" t="s">
        <v>593</v>
      </c>
      <c r="B68">
        <v>515764868</v>
      </c>
    </row>
    <row r="69" spans="1:2">
      <c r="A69" t="s">
        <v>545</v>
      </c>
      <c r="B69" s="76">
        <v>513452003</v>
      </c>
    </row>
    <row r="70" spans="1:2">
      <c r="A70" t="s">
        <v>579</v>
      </c>
      <c r="B70" s="76">
        <v>510142789</v>
      </c>
    </row>
    <row r="71" spans="1:2">
      <c r="A71" t="s">
        <v>548</v>
      </c>
      <c r="B71" s="76">
        <v>510960586</v>
      </c>
    </row>
    <row r="72" spans="1:2">
      <c r="A72" t="s">
        <v>563</v>
      </c>
      <c r="B72" s="76">
        <v>510930670</v>
      </c>
    </row>
    <row r="73" spans="1:2">
      <c r="A73" t="s">
        <v>523</v>
      </c>
      <c r="B73" s="76">
        <v>510927536</v>
      </c>
    </row>
    <row r="74" spans="1:2">
      <c r="A74" t="s">
        <v>546</v>
      </c>
      <c r="B74" s="76">
        <v>510930654</v>
      </c>
    </row>
    <row r="75" spans="1:2">
      <c r="A75" t="s">
        <v>570</v>
      </c>
      <c r="B75" s="76">
        <v>520032566</v>
      </c>
    </row>
    <row r="76" spans="1:2">
      <c r="A76" t="s">
        <v>533</v>
      </c>
      <c r="B76" s="76">
        <v>513611509</v>
      </c>
    </row>
    <row r="77" spans="1:2">
      <c r="A77" t="s">
        <v>594</v>
      </c>
      <c r="B77">
        <v>510888985</v>
      </c>
    </row>
    <row r="78" spans="1:2">
      <c r="A78" t="s">
        <v>584</v>
      </c>
      <c r="B78">
        <v>520024647</v>
      </c>
    </row>
    <row r="79" spans="1:2">
      <c r="A79" t="s">
        <v>529</v>
      </c>
      <c r="B79" s="76">
        <v>512244146</v>
      </c>
    </row>
    <row r="80" spans="1:2">
      <c r="A80" t="s">
        <v>560</v>
      </c>
      <c r="B80" s="76">
        <v>510694821</v>
      </c>
    </row>
    <row r="81" spans="1:2">
      <c r="A81" t="s">
        <v>595</v>
      </c>
      <c r="B81">
        <v>515761625</v>
      </c>
    </row>
    <row r="82" spans="1:2">
      <c r="A82" t="s">
        <v>571</v>
      </c>
      <c r="B82" s="76">
        <v>511423048</v>
      </c>
    </row>
    <row r="83" spans="1:2">
      <c r="A83" t="s">
        <v>526</v>
      </c>
      <c r="B83" s="76">
        <v>520019688</v>
      </c>
    </row>
    <row r="84" spans="1:2">
      <c r="A84" t="s">
        <v>587</v>
      </c>
      <c r="B84">
        <v>520004896</v>
      </c>
    </row>
    <row r="85" spans="1:2">
      <c r="A85" t="s">
        <v>536</v>
      </c>
      <c r="B85" s="76">
        <v>512237744</v>
      </c>
    </row>
    <row r="86" spans="1:2">
      <c r="A86" t="s">
        <v>820</v>
      </c>
      <c r="B86" s="76">
        <v>514956465</v>
      </c>
    </row>
    <row r="87" spans="1:2">
      <c r="A87" t="s">
        <v>538</v>
      </c>
      <c r="B87" s="76">
        <v>512362914</v>
      </c>
    </row>
    <row r="88" spans="1:2">
      <c r="A88" t="s">
        <v>537</v>
      </c>
      <c r="B88" s="76">
        <v>520042615</v>
      </c>
    </row>
    <row r="89" spans="1:2">
      <c r="A89" t="s">
        <v>535</v>
      </c>
      <c r="B89" s="76">
        <v>512065202</v>
      </c>
    </row>
    <row r="90" spans="1:2">
      <c r="A90" t="s">
        <v>582</v>
      </c>
      <c r="B90">
        <v>520042540</v>
      </c>
    </row>
    <row r="91" spans="1:2">
      <c r="A91" t="s">
        <v>541</v>
      </c>
      <c r="B91" s="76">
        <v>520027715</v>
      </c>
    </row>
    <row r="92" spans="1:2">
      <c r="A92" t="s">
        <v>540</v>
      </c>
      <c r="B92" s="76">
        <v>512245812</v>
      </c>
    </row>
    <row r="93" spans="1:2">
      <c r="A93" t="s">
        <v>574</v>
      </c>
      <c r="B93" s="76">
        <v>520022351</v>
      </c>
    </row>
    <row r="94" spans="1:2">
      <c r="A94" t="s">
        <v>543</v>
      </c>
      <c r="B94" s="76">
        <v>514767490</v>
      </c>
    </row>
    <row r="95" spans="1:2">
      <c r="A95" t="s">
        <v>532</v>
      </c>
      <c r="B95" s="76">
        <v>520024985</v>
      </c>
    </row>
    <row r="96" spans="1:2">
      <c r="A96" t="s">
        <v>566</v>
      </c>
      <c r="B96" s="76">
        <v>520042573</v>
      </c>
    </row>
    <row r="97" spans="1:2">
      <c r="A97" t="s">
        <v>561</v>
      </c>
      <c r="B97" s="76">
        <v>570009449</v>
      </c>
    </row>
    <row r="98" spans="1:2">
      <c r="A98" t="s">
        <v>521</v>
      </c>
      <c r="B98" s="76">
        <v>520031659</v>
      </c>
    </row>
    <row r="99" spans="1:2">
      <c r="A99" t="s">
        <v>565</v>
      </c>
      <c r="B99" s="76">
        <v>520042581</v>
      </c>
    </row>
    <row r="100" spans="1:2">
      <c r="A100" t="s">
        <v>596</v>
      </c>
      <c r="B100">
        <v>520031030</v>
      </c>
    </row>
    <row r="101" spans="1:2">
      <c r="A101" t="s">
        <v>547</v>
      </c>
      <c r="B101" s="76">
        <v>520030941</v>
      </c>
    </row>
    <row r="102" spans="1:2">
      <c r="A102" t="s">
        <v>564</v>
      </c>
      <c r="B102" s="76">
        <v>512008335</v>
      </c>
    </row>
    <row r="103" spans="1:2">
      <c r="A103" t="s">
        <v>575</v>
      </c>
      <c r="B103" s="76">
        <v>520022963</v>
      </c>
    </row>
    <row r="104" spans="1:2">
      <c r="A104" t="s">
        <v>530</v>
      </c>
      <c r="B104" s="76">
        <v>570011767</v>
      </c>
    </row>
    <row r="105" spans="1:2">
      <c r="A105" t="s">
        <v>569</v>
      </c>
      <c r="B105" s="76">
        <v>570014928</v>
      </c>
    </row>
    <row r="106" spans="1:2">
      <c r="A106" t="s">
        <v>549</v>
      </c>
      <c r="B106" s="76">
        <v>570005959</v>
      </c>
    </row>
    <row r="107" spans="1:2">
      <c r="A107" t="s">
        <v>518</v>
      </c>
      <c r="B107" s="76">
        <v>510800402</v>
      </c>
    </row>
    <row r="108" spans="1:2">
      <c r="A108" t="s">
        <v>525</v>
      </c>
      <c r="B108" s="76">
        <v>570007476</v>
      </c>
    </row>
    <row r="109" spans="1:2">
      <c r="A109" t="s">
        <v>524</v>
      </c>
      <c r="B109" s="76">
        <v>570005850</v>
      </c>
    </row>
    <row r="110" spans="1:2">
      <c r="A110" t="s">
        <v>576</v>
      </c>
      <c r="B110" s="76">
        <v>520020504</v>
      </c>
    </row>
    <row r="111" spans="1:2">
      <c r="A111" t="s">
        <v>577</v>
      </c>
      <c r="B111" s="76">
        <v>520020447</v>
      </c>
    </row>
    <row r="112" spans="1:2">
      <c r="A112" t="s">
        <v>555</v>
      </c>
      <c r="B112" s="76">
        <v>511033060</v>
      </c>
    </row>
    <row r="113" spans="1:2">
      <c r="A113" t="s">
        <v>604</v>
      </c>
      <c r="B113">
        <v>520027848</v>
      </c>
    </row>
    <row r="114" spans="1:2">
      <c r="A114" t="s">
        <v>527</v>
      </c>
      <c r="B114" s="76">
        <v>570009852</v>
      </c>
    </row>
    <row r="115" spans="1:2">
      <c r="A115" t="s">
        <v>550</v>
      </c>
      <c r="B115" s="76">
        <v>520027251</v>
      </c>
    </row>
    <row r="116" spans="1:2">
      <c r="A116" t="s">
        <v>551</v>
      </c>
      <c r="B116" s="76">
        <v>520028390</v>
      </c>
    </row>
    <row r="117" spans="1:2">
      <c r="A117" t="s">
        <v>528</v>
      </c>
      <c r="B117" s="76">
        <v>510806870</v>
      </c>
    </row>
    <row r="118" spans="1:2">
      <c r="A118" t="s">
        <v>605</v>
      </c>
      <c r="B118">
        <v>513879189</v>
      </c>
    </row>
    <row r="119" spans="1:2">
      <c r="A119" t="s">
        <v>597</v>
      </c>
      <c r="B119">
        <v>510015951</v>
      </c>
    </row>
    <row r="120" spans="1:2">
      <c r="A120" t="s">
        <v>539</v>
      </c>
      <c r="B120" s="76">
        <v>520030693</v>
      </c>
    </row>
    <row r="121" spans="1:2">
      <c r="A121" t="s">
        <v>544</v>
      </c>
      <c r="B121" s="76">
        <v>570002618</v>
      </c>
    </row>
  </sheetData>
  <sortState ref="A34:B124">
    <sortCondition ref="A34:A124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34</vt:i4>
      </vt:variant>
      <vt:variant>
        <vt:lpstr>Named Ranges</vt:lpstr>
      </vt:variant>
      <vt:variant>
        <vt:i4>77</vt:i4>
      </vt:variant>
    </vt:vector>
  </HeadingPairs>
  <TitlesOfParts>
    <vt:vector size="111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Issuer_Number_Type_2</vt:lpstr>
      <vt:lpstr>Issuer_Number_Type_3</vt:lpstr>
      <vt:lpstr>'אפשרויות בחירה'!Issuer_Number_Type_V2</vt:lpstr>
      <vt:lpstr>Issuer_Type_TFunds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Security_ID_Number_Type</vt:lpstr>
      <vt:lpstr>'אפשרויות בחירה'!Security_Number_Loans</vt:lpstr>
      <vt:lpstr>Stock_Exchange</vt:lpstr>
      <vt:lpstr>Stock_Exchange_Gov_Bonds</vt:lpstr>
      <vt:lpstr>Subordination_Risk</vt:lpstr>
      <vt:lpstr>Tradeable_Status</vt:lpstr>
      <vt:lpstr>Tradeable_Status_All</vt:lpstr>
      <vt:lpstr>tradeable_status_bonds</vt:lpstr>
      <vt:lpstr>tradeable_status_funds</vt:lpstr>
      <vt:lpstr>tradeable_status_stock</vt:lpstr>
      <vt:lpstr>Tradeable_Status_v2</vt:lpstr>
      <vt:lpstr>tradeable_status_warrants</vt:lpstr>
      <vt:lpstr>tradeable_status_warrants_v2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Underlying_Asset_Structured</vt:lpstr>
      <vt:lpstr>Underlying_Interest_Rates</vt:lpstr>
      <vt:lpstr>'אפשרויות בחירה'!Underlying_Interest_Rates_Der</vt:lpstr>
      <vt:lpstr>Valuation</vt:lpstr>
      <vt:lpstr>Valuation_Loans</vt:lpstr>
      <vt:lpstr>Valuation_Method</vt:lpstr>
      <vt:lpstr>Valuation_Realestate</vt:lpstr>
      <vt:lpstr>What_is_rated</vt:lpstr>
      <vt:lpstr>what_is_rated_loans</vt:lpstr>
      <vt:lpstr>YEAR</vt:lpstr>
      <vt:lpstr>Yes_No_Bad_Debt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עדכון 4.12.2023</dc:title>
  <dc:creator>נירית שימרון</dc:creator>
  <cp:lastModifiedBy>Miri Roller Dror</cp:lastModifiedBy>
  <cp:lastPrinted>2022-08-08T09:16:18Z</cp:lastPrinted>
  <dcterms:created xsi:type="dcterms:W3CDTF">2021-05-03T04:41:48Z</dcterms:created>
  <dcterms:modified xsi:type="dcterms:W3CDTF">2024-11-25T07:57:48Z</dcterms:modified>
</cp:coreProperties>
</file>