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0839FB0C-50C1-4BF4-B0DC-D20E963CE7A2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9" i="2" l="1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<sst xmlns="http://schemas.openxmlformats.org/spreadsheetml/2006/main" count="5372" uniqueCount="1409">
  <si>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</si>
  <si>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</si>
  <si>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</si>
  <si>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</si>
  <si>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</si>
  <si>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</si>
  <si>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</si>
  <si>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</si>
  <si>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</si>
  <si>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</si>
  <si>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</si>
  <si>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</si>
  <si>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</si>
  <si>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</si>
  <si>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</si>
  <si>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</si>
  <si>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</si>
  <si>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</si>
  <si>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</si>
  <si>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</si>
  <si>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</si>
  <si>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</si>
  <si>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</si>
  <si>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</si>
  <si>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</si>
  <si>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</si>
  <si>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</si>
  <si>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</si>
  <si>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</si>
  <si>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</si>
  <si>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</si>
  <si>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</si>
  <si>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</si>
  <si>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</si>
  <si>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</si>
  <si>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</si>
  <si>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</si>
  <si>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</si>
  <si>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</si>
  <si>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</si>
  <si>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</si>
  <si>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</si>
  <si>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</si>
  <si>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</si>
  <si>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</si>
  <si>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</si>
  <si>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</si>
  <si>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</si>
  <si>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</si>
  <si>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</si>
  <si>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</si>
  <si>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</si>
  <si>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</si>
  <si>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</si>
  <si>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</si>
  <si>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</si>
  <si>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</si>
  <si>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</si>
  <si>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</si>
  <si>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</si>
  <si>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</si>
  <si>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</si>
  <si>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</si>
  <si>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</si>
  <si>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</si>
  <si>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</si>
  <si>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</si>
  <si>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</si>
  <si>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</si>
  <si>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</si>
  <si>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</si>
  <si>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</si>
  <si>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</si>
  <si>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</si>
  <si>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</si>
  <si>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</si>
  <si>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</si>
  <si>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</si>
  <si>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</si>
  <si>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</si>
  <si>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</si>
  <si>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</si>
  <si>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</si>
  <si>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</si>
  <si>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</si>
  <si>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</si>
  <si>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</si>
  <si>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</si>
  <si>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</si>
  <si>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</si>
  <si>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</si>
  <si>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</si>
  <si>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</si>
  <si>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</si>
  <si>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</si>
  <si>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</si>
  <si>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</si>
  <si>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</si>
  <si>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</si>
  <si>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</si>
  <si>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</si>
  <si>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</si>
  <si>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</si>
  <si>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</si>
  <si>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</si>
  <si>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</si>
  <si>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</si>
  <si>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</si>
  <si>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</si>
  <si>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</si>
  <si>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</si>
  <si>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</si>
  <si>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</si>
  <si>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</si>
  <si>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</si>
  <si>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</si>
  <si>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</si>
  <si>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</si>
  <si>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</si>
  <si>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</si>
  <si>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</si>
  <si>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</si>
  <si>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</si>
  <si>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</si>
  <si>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</si>
  <si>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</si>
  <si>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</si>
  <si>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</si>
  <si>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</si>
  <si>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</si>
  <si>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</si>
  <si>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</si>
  <si>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</si>
  <si>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</si>
  <si>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</si>
  <si>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</si>
  <si>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</si>
  <si>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</si>
  <si>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</si>
  <si>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</si>
  <si>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</si>
  <si>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</si>
  <si>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</si>
  <si>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</si>
  <si>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</si>
  <si>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</si>
  <si>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</si>
  <si>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</si>
  <si>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</si>
  <si>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</si>
  <si>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</si>
  <si>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</si>
  <si>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</si>
  <si>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</si>
  <si>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</si>
  <si>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</si>
  <si>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</si>
  <si>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</si>
  <si>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</si>
  <si>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</si>
  <si>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</si>
  <si>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</si>
  <si>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</si>
  <si>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</si>
  <si>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</si>
  <si>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</si>
  <si>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</si>
  <si>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</si>
  <si>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</si>
  <si>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</si>
  <si>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</si>
  <si>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</si>
  <si>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</si>
  <si>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</si>
  <si>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</si>
  <si>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</si>
  <si>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</si>
  <si>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</si>
  <si>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</si>
  <si>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</si>
  <si>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</si>
  <si>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</si>
  <si>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</si>
  <si>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</si>
  <si>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</si>
  <si>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</si>
  <si>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</si>
  <si>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</si>
  <si>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</si>
  <si>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</si>
  <si>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</si>
  <si>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</si>
  <si>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</si>
  <si>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</si>
  <si>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</si>
  <si>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</si>
  <si>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</si>
  <si>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</si>
  <si>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</si>
  <si>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</si>
  <si>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</si>
  <si>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</si>
  <si>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</si>
  <si>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</si>
  <si>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</si>
  <si>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</si>
  <si>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</si>
  <si>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</si>
  <si>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</si>
  <si>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</si>
  <si>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</si>
  <si>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</si>
  <si>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</si>
  <si>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</si>
  <si>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</si>
  <si>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</si>
  <si>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</si>
  <si>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</si>
  <si>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</si>
  <si>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</si>
  <si>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</si>
  <si>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</si>
  <si>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</si>
  <si>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</si>
  <si>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</si>
  <si>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</si>
  <si>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</si>
  <si>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</si>
  <si>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</si>
  <si>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</si>
  <si>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</si>
  <si>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</si>
  <si>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</si>
  <si>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</si>
  <si>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</si>
  <si>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</si>
  <si>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</si>
  <si>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</si>
  <si>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</si>
  <si>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</si>
  <si>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</si>
  <si>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</si>
  <si>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</si>
  <si>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</si>
  <si>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</si>
  <si>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</si>
  <si>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</si>
  <si>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</si>
  <si>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</si>
  <si>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</si>
  <si>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</si>
  <si>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</si>
  <si>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</si>
  <si>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</si>
  <si>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</si>
  <si>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</si>
  <si>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</si>
  <si>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</si>
  <si>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</si>
  <si>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</si>
  <si>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</si>
  <si>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</si>
  <si>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</si>
  <si>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</si>
  <si>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</si>
  <si>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</si>
  <si>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</si>
  <si>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</si>
  <si>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</si>
  <si>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</si>
  <si>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</si>
  <si>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</si>
  <si>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</si>
  <si>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</si>
  <si>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</si>
  <si>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</si>
  <si>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</si>
  <si>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</si>
  <si>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</si>
  <si>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</si>
  <si>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</si>
  <si>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</si>
  <si>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</si>
  <si>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</si>
  <si>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</si>
  <si>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</si>
  <si>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</si>
  <si>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</si>
  <si>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</si>
  <si>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</si>
  <si>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</si>
  <si>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</si>
  <si>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</si>
  <si>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</si>
  <si>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</si>
  <si>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</si>
  <si>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</si>
  <si>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</si>
  <si>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</si>
  <si>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</si>
  <si>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</si>
  <si>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</si>
  <si>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</si>
  <si>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</si>
  <si>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</si>
  <si>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</si>
  <si>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</si>
  <si>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</si>
  <si>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</si>
  <si>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</si>
  <si>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</si>
  <si>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</si>
  <si>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</si>
  <si>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</si>
  <si>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</si>
  <si>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</si>
  <si>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</si>
  <si>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</si>
  <si>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</si>
  <si>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</si>
  <si>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</si>
  <si>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</si>
  <si>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</si>
  <si>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</si>
  <si>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</si>
  <si>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</si>
  <si>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</si>
  <si>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</si>
  <si>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</si>
  <si>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</si>
  <si>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</si>
  <si>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</si>
  <si>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</si>
  <si>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</si>
  <si>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</si>
  <si>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</si>
  <si>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</si>
  <si>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</si>
  <si>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</si>
  <si>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</si>
  <si>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</si>
  <si>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</si>
  <si>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</si>
  <si>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</si>
  <si>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</si>
  <si>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</si>
  <si>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</si>
  <si>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</si>
  <si>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</si>
  <si>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</si>
  <si>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</si>
  <si>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</si>
  <si>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</si>
  <si>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</si>
  <si>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</si>
  <si>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</si>
  <si>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</si>
  <si>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</si>
  <si>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</si>
  <si>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</si>
  <si>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</si>
  <si>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</si>
  <si>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</si>
  <si>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</si>
  <si>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</si>
  <si>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</si>
  <si>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</si>
  <si>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</si>
  <si>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</si>
  <si>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</si>
  <si>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</si>
  <si>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</si>
  <si>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</si>
  <si>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</si>
  <si>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</si>
  <si>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</si>
  <si>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</si>
  <si>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</si>
  <si>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</si>
  <si>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</si>
  <si>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</si>
  <si>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</si>
  <si>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</si>
  <si>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</si>
  <si>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</si>
  <si>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</si>
  <si>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</si>
  <si>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</si>
  <si>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</si>
  <si>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</si>
  <si>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</si>
  <si>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</si>
  <si>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</si>
  <si>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</si>
  <si>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</si>
  <si>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</si>
  <si>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</si>
  <si>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</si>
  <si>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</si>
  <si>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</si>
  <si>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</si>
  <si>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</si>
  <si>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</si>
  <si>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</si>
  <si>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</si>
  <si>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</si>
  <si>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</si>
  <si>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</si>
  <si>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</si>
  <si>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</si>
  <si>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</si>
  <si>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</si>
  <si>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</si>
  <si>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</si>
  <si>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</si>
  <si>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</si>
  <si>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</si>
  <si>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</si>
  <si>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</si>
  <si>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</si>
  <si>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</si>
  <si>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</si>
  <si>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</si>
  <si>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</si>
  <si>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</si>
  <si>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</si>
  <si>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</si>
  <si>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</si>
  <si>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</si>
  <si>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</si>
  <si>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</si>
  <si>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</si>
  <si>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</si>
  <si>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</si>
  <si>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</si>
  <si>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</si>
  <si>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</si>
  <si>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</si>
  <si>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</si>
  <si>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</si>
  <si>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</si>
  <si>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</si>
  <si>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</si>
  <si>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</si>
  <si>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</si>
  <si>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</si>
  <si>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</si>
  <si>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</si>
  <si>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</si>
  <si>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</si>
  <si>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</si>
  <si>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</si>
  <si>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</si>
  <si>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</si>
  <si>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</si>
  <si>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</si>
  <si>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</si>
  <si>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</si>
  <si>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</si>
  <si>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</si>
  <si>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</si>
  <si>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</si>
  <si>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</si>
  <si>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</si>
  <si>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</si>
  <si>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</si>
  <si>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</si>
  <si>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</si>
  <si>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</si>
  <si>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</si>
  <si>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</si>
  <si>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</si>
  <si>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</si>
  <si>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</si>
  <si>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</si>
  <si>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</si>
  <si>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</si>
  <si>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</si>
  <si>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</si>
  <si>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</si>
  <si>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</si>
  <si>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</si>
  <si>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</si>
  <si>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</si>
  <si>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</si>
  <si>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</si>
  <si>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</si>
  <si>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</si>
  <si>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</si>
  <si>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</si>
  <si>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</si>
  <si>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</si>
  <si>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</si>
  <si>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</si>
  <si>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</si>
  <si>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</si>
  <si>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</si>
  <si>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</si>
  <si>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</si>
  <si>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</si>
  <si>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</si>
  <si>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</si>
  <si>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</si>
  <si>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</si>
  <si>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</si>
  <si>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</si>
  <si>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</si>
  <si>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</si>
  <si>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</si>
  <si>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</si>
  <si>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</si>
  <si>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</si>
  <si>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</si>
  <si>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</si>
  <si>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</si>
  <si>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</si>
  <si>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</si>
  <si>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</si>
  <si>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</si>
  <si>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</si>
  <si>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</si>
  <si>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</si>
  <si>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</si>
  <si>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</si>
  <si>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</si>
  <si>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</si>
  <si>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</si>
  <si>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</si>
  <si>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</si>
  <si>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</si>
  <si>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</si>
  <si>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</si>
  <si>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</si>
  <si>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</si>
  <si>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</si>
  <si>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</si>
  <si>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</si>
  <si>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</si>
  <si>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</si>
  <si>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</si>
  <si>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</si>
  <si>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</si>
  <si>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</si>
  <si>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</si>
  <si>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</si>
  <si>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</si>
  <si>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</si>
  <si>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</si>
  <si>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</si>
  <si>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</si>
  <si>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</si>
  <si>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</si>
  <si>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</si>
  <si>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</si>
  <si>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</si>
  <si>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</si>
  <si>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</si>
  <si>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</si>
  <si>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</si>
  <si>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</si>
  <si>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</si>
  <si>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</si>
  <si>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</si>
  <si>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</si>
  <si>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</si>
  <si>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</si>
  <si>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</si>
  <si>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</si>
  <si>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</si>
  <si>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</si>
  <si>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</si>
  <si>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</si>
  <si>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</si>
  <si>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</si>
  <si>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</si>
  <si>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</si>
  <si>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</si>
  <si>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</si>
  <si>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</si>
  <si>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</si>
  <si>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</si>
  <si>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</si>
  <si>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</si>
  <si>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</si>
  <si>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</si>
  <si>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</si>
  <si>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</si>
  <si>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</si>
  <si>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</si>
  <si>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</si>
  <si>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</si>
  <si>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</si>
  <si>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</si>
  <si>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</si>
  <si>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</si>
  <si>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</si>
  <si>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</si>
  <si>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</si>
  <si>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</si>
  <si>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</si>
  <si>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</si>
  <si>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</si>
  <si>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</si>
  <si>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</si>
  <si>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</si>
  <si>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</si>
  <si>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</si>
  <si>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</si>
  <si>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</si>
  <si>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</si>
  <si>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</si>
  <si>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</si>
  <si>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</si>
  <si>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</si>
  <si>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</si>
  <si>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</si>
  <si>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</si>
  <si>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</si>
  <si>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</si>
  <si>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</si>
  <si>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</si>
  <si>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</si>
  <si>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</si>
  <si>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</si>
  <si>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</si>
  <si>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</si>
  <si>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</si>
  <si>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</si>
  <si>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</si>
  <si>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</si>
  <si>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</si>
  <si>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</si>
  <si>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</si>
  <si>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</si>
  <si>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</si>
  <si>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</si>
  <si>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</si>
  <si>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</si>
  <si>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</si>
  <si>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</si>
  <si>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</si>
  <si>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</si>
  <si>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</si>
  <si>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</si>
  <si>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</si>
  <si>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</si>
  <si>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</si>
  <si>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</si>
  <si>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</si>
  <si>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</si>
  <si>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</si>
  <si>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</si>
  <si>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</si>
  <si>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</si>
  <si>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</si>
  <si>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</si>
  <si>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</si>
  <si>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</si>
  <si>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</si>
  <si>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</si>
  <si>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</si>
  <si>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</si>
  <si>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</si>
  <si>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</si>
  <si>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</si>
  <si>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</si>
  <si>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</si>
  <si>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</si>
  <si>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</si>
  <si>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</si>
  <si>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</si>
  <si>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</si>
  <si>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</si>
  <si>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</si>
  <si>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</si>
  <si>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</si>
  <si>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</si>
  <si>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</si>
  <si>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</si>
  <si>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</si>
  <si>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</si>
  <si>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</si>
  <si>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</si>
  <si>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</si>
  <si>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</si>
  <si>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</si>
  <si>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</si>
  <si>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</si>
  <si>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</si>
  <si>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</si>
  <si>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</si>
  <si>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</si>
  <si>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</si>
  <si>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</si>
  <si>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</si>
  <si>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</si>
  <si>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</si>
  <si>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</si>
  <si>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</si>
  <si>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</si>
  <si>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</si>
  <si>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</si>
  <si>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</si>
  <si>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</si>
  <si>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</si>
  <si>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</si>
  <si>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</si>
  <si>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</si>
  <si>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</si>
  <si>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</si>
  <si>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</si>
  <si>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</si>
  <si>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</si>
  <si>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</si>
  <si>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</si>
  <si>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</si>
  <si>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</si>
  <si>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</si>
  <si>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</si>
  <si>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</si>
  <si>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</si>
  <si>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</si>
  <si>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</si>
  <si>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</si>
  <si>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</si>
  <si>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</si>
  <si>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</si>
  <si>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</si>
  <si>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</si>
  <si>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</si>
  <si>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</si>
  <si>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</si>
  <si>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</si>
  <si>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</si>
  <si>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</si>
  <si>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</si>
  <si>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</si>
  <si>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</si>
  <si>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</si>
  <si>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</si>
  <si>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</si>
  <si>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</si>
  <si>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</si>
  <si>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</si>
  <si>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</si>
  <si>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</si>
  <si>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</si>
  <si>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</si>
  <si>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</si>
  <si>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</si>
  <si>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</si>
  <si>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</si>
  <si>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</si>
  <si>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</si>
  <si>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</si>
  <si>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</si>
  <si>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</si>
  <si>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</si>
  <si>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</si>
  <si>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</si>
  <si>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</si>
  <si>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</si>
  <si>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</si>
  <si>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</si>
  <si>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</si>
  <si>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</si>
  <si>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</si>
  <si>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</si>
  <si>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</si>
  <si>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</si>
  <si>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</si>
  <si>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</si>
  <si>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</si>
  <si>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</si>
  <si>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</si>
  <si>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</si>
  <si>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</si>
  <si>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</si>
  <si>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</si>
  <si>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</si>
  <si>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</si>
  <si>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</si>
  <si>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</si>
  <si>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</si>
  <si>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</si>
  <si>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</si>
  <si>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</si>
  <si>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</si>
  <si>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</si>
  <si>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</si>
  <si>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</si>
  <si>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</si>
  <si>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</si>
  <si>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</si>
  <si>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</si>
  <si>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</si>
  <si>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</si>
  <si>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</si>
  <si>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</si>
  <si>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</si>
  <si>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</si>
  <si>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</si>
  <si>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</si>
  <si>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</si>
  <si>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</si>
  <si>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</si>
  <si>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</si>
  <si>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</si>
  <si>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</si>
  <si>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</si>
  <si>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</si>
  <si>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</si>
  <si>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</si>
  <si>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</si>
  <si>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</si>
  <si>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</si>
  <si>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</si>
  <si>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</si>
  <si>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</si>
  <si>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</si>
  <si>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</si>
  <si>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</si>
  <si>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</si>
  <si>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</si>
  <si>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</si>
  <si>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</si>
  <si>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</si>
  <si>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</si>
  <si>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</si>
  <si>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</si>
  <si>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</si>
  <si>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</si>
  <si>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</si>
  <si>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</si>
  <si>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</si>
  <si>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</si>
  <si>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</si>
  <si>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</si>
  <si>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</si>
  <si>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</si>
  <si>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</si>
  <si>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</si>
  <si>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</si>
  <si>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</si>
  <si>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</si>
  <si>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</si>
  <si>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</si>
  <si>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</si>
  <si>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</si>
  <si>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</si>
  <si>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</si>
  <si>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</si>
  <si>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</si>
  <si>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</si>
  <si>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</si>
  <si>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</si>
  <si>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</si>
  <si>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</si>
  <si>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</si>
  <si>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</si>
  <si>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</si>
  <si>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</si>
  <si>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</si>
  <si>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</si>
  <si>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</si>
  <si>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</si>
  <si>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</si>
  <si>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</si>
  <si>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</si>
  <si>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</si>
  <si>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</si>
  <si>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</si>
  <si>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</si>
  <si>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</si>
  <si>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</si>
  <si>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</si>
  <si>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</si>
  <si>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</si>
  <si>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</si>
  <si>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</si>
  <si>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</si>
  <si>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</si>
  <si>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</si>
  <si>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</si>
  <si>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</si>
  <si>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</si>
  <si>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</si>
  <si>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</si>
  <si>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</si>
  <si>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</si>
  <si>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</si>
  <si>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</si>
  <si>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</si>
  <si>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</si>
  <si>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</si>
  <si>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</si>
  <si>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</si>
  <si>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</si>
  <si>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</si>
  <si>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</si>
  <si>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</si>
  <si>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</si>
  <si>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</si>
  <si>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</si>
  <si>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</si>
  <si>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</si>
  <si>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</si>
  <si>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</si>
  <si>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</si>
  <si>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</si>
  <si>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</si>
  <si>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</si>
  <si>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</si>
  <si>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</si>
  <si>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</si>
  <si>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</si>
  <si>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</si>
  <si>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</si>
  <si>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</si>
  <si>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</si>
  <si>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</si>
  <si>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</si>
  <si>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</si>
  <si>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</si>
  <si>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</si>
  <si>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</si>
  <si>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</si>
  <si>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</si>
  <si>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</si>
  <si>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</si>
  <si>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</si>
  <si>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</si>
  <si>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</si>
  <si>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</si>
  <si>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</si>
  <si>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</si>
  <si>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</si>
  <si>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</si>
  <si>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</si>
  <si>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</si>
  <si>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</si>
  <si>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</si>
  <si>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</si>
  <si>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</si>
  <si>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</si>
  <si>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</si>
  <si>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</si>
  <si>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</si>
  <si>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</si>
  <si>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</si>
  <si>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</si>
  <si>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</si>
  <si>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</si>
  <si>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</si>
  <si>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</si>
  <si>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</si>
  <si>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</si>
  <si>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</si>
  <si>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</si>
  <si>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</si>
  <si>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</si>
  <si>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</si>
  <si>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</si>
  <si>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</si>
  <si>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</si>
  <si>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</si>
  <si>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</si>
  <si>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</si>
  <si>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</si>
  <si>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</si>
  <si>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</si>
  <si>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</si>
  <si>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</si>
  <si>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</si>
  <si>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</si>
  <si>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</si>
  <si>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</si>
  <si>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</si>
  <si>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</si>
  <si>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</si>
  <si>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</si>
  <si>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</si>
  <si>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</si>
  <si>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</si>
  <si>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</si>
  <si>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</si>
  <si>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</si>
  <si>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</si>
  <si>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</si>
  <si>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</si>
  <si>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</si>
  <si>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</si>
  <si>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</si>
  <si>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</si>
  <si>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</si>
  <si>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</si>
  <si>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</si>
  <si>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</si>
  <si>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</si>
  <si>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</si>
  <si>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</si>
  <si>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</si>
  <si>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</si>
  <si>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</si>
  <si>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</si>
  <si>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</si>
  <si>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</si>
  <si>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</si>
  <si>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</si>
  <si>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</si>
  <si>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</si>
  <si>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</si>
  <si>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</si>
  <si>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</si>
  <si>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</si>
  <si>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</si>
  <si>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</si>
  <si>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</si>
  <si>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</si>
  <si>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</si>
  <si>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</si>
  <si>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</si>
  <si>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</si>
  <si>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</si>
  <si>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</si>
  <si>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</si>
  <si>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</si>
  <si>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</si>
  <si>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</si>
  <si>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</si>
  <si>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</si>
  <si>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</si>
  <si>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</si>
  <si>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</si>
  <si>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</si>
  <si>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</si>
  <si>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</si>
  <si>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</si>
  <si>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</si>
  <si>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</si>
  <si>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</si>
  <si>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</si>
  <si>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</si>
  <si>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</si>
  <si>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</si>
  <si>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</si>
  <si>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</si>
  <si>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</si>
  <si>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</si>
  <si>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</si>
  <si>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</si>
  <si>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</si>
  <si>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</si>
  <si>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</si>
  <si>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</si>
  <si>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</si>
  <si>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</si>
  <si>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</si>
  <si>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</si>
  <si>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</si>
  <si>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</si>
  <si>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</si>
  <si>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</si>
  <si>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</si>
  <si>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</si>
  <si>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</si>
  <si>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</si>
  <si>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</si>
  <si>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</si>
  <si>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</si>
  <si>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</si>
  <si>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</si>
  <si>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</si>
  <si>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</si>
  <si>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</si>
  <si>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</si>
  <si>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</si>
  <si>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</si>
  <si>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</si>
  <si>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</si>
  <si>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</si>
  <si>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</si>
  <si>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</si>
  <si>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</si>
  <si>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</si>
  <si>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</si>
  <si>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</si>
  <si>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</si>
  <si>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</si>
  <si>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</si>
  <si>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</si>
  <si>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</si>
  <si>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</si>
  <si>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</si>
  <si>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</si>
  <si>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</si>
  <si>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</si>
  <si>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</si>
  <si>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</si>
  <si>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</si>
  <si>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</si>
  <si>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</si>
  <si>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</si>
  <si>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</si>
  <si>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</si>
  <si>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</si>
  <si>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</si>
  <si>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</si>
  <si>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</si>
  <si>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</si>
  <si>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</si>
  <si>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</si>
  <si>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</si>
  <si>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</si>
  <si>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</si>
  <si>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</si>
  <si>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</si>
  <si>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</si>
  <si>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</si>
  <si>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</si>
  <si>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</si>
  <si>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</si>
  <si>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</si>
  <si>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</si>
  <si>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</si>
  <si>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</si>
  <si>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</si>
  <si>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</si>
  <si>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</si>
  <si>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</si>
  <si>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</si>
  <si>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</si>
  <si>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</si>
  <si>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</si>
  <si>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</si>
  <si>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</si>
  <si>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</si>
  <si>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</si>
  <si>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</si>
  <si>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</si>
  <si>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</si>
  <si>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</si>
  <si>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</si>
  <si>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</si>
  <si>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</si>
  <si>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</si>
  <si>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</si>
  <si>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</si>
  <si>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</si>
  <si>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</si>
  <si>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</si>
  <si>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</si>
  <si>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</si>
  <si>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</si>
  <si>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</si>
  <si>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</si>
  <si>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</si>
  <si>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</si>
  <si>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</si>
  <si>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</si>
  <si>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</si>
  <si>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</si>
  <si>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</si>
  <si>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</si>
  <si>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</si>
  <si>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</si>
  <si>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</si>
  <si>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</si>
  <si>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</si>
  <si>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</si>
  <si>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</si>
  <si>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</si>
  <si>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</si>
  <si>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</si>
  <si>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</si>
  <si>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</si>
  <si>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</si>
  <si>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</si>
  <si>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</si>
  <si>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</si>
  <si>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</si>
  <si>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</si>
  <si>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</si>
  <si>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</si>
  <si>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</si>
  <si>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</si>
  <si>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</si>
  <si>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</si>
  <si>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</si>
  <si>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</si>
  <si>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</si>
  <si>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</si>
  <si>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</si>
  <si>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</si>
  <si>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</si>
  <si>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</si>
  <si>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</si>
  <si>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</si>
  <si>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</si>
  <si>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</si>
  <si>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</si>
  <si>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</si>
  <si>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</si>
  <si>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</si>
  <si>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</si>
  <si>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</si>
  <si>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</si>
  <si>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</si>
  <si>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</si>
  <si>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יו-בנק</t>
  </si>
  <si>
    <t>26-273</t>
  </si>
  <si>
    <t>ILS</t>
  </si>
  <si>
    <t>בנק הפועלים</t>
  </si>
  <si>
    <t>12-600</t>
  </si>
  <si>
    <t>ilAAA</t>
  </si>
  <si>
    <t>בנק מזרחי</t>
  </si>
  <si>
    <t>20-21</t>
  </si>
  <si>
    <t>בנק לאומי</t>
  </si>
  <si>
    <t>10-800</t>
  </si>
  <si>
    <t>EUR</t>
  </si>
  <si>
    <t>USD</t>
  </si>
  <si>
    <t>ממשלת ישראל</t>
  </si>
  <si>
    <t>ממשלתי שקלי 347</t>
  </si>
  <si>
    <t>IL0011401937</t>
  </si>
  <si>
    <t>ilRF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</si>
  <si>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</si>
  <si>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</si>
  <si>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</si>
  <si>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</si>
  <si>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</si>
  <si>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</si>
  <si>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שקלי 1152</t>
  </si>
  <si>
    <t>IL0011840761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</si>
  <si>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</si>
  <si>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</si>
  <si>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</si>
  <si>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</si>
  <si>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</si>
  <si>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</si>
  <si>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</si>
  <si>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</si>
  <si>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</si>
  <si>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</si>
  <si>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צמוד  1151</t>
  </si>
  <si>
    <t>IL0011683013</t>
  </si>
  <si>
    <t>ממשלתי צמוד 0536</t>
  </si>
  <si>
    <t>IL0010977085</t>
  </si>
  <si>
    <t>בינלאומי הנפקות</t>
  </si>
  <si>
    <t>בינל הנפק אגח י</t>
  </si>
  <si>
    <t>IL0011602906</t>
  </si>
  <si>
    <t>בזק החברה הישראלית לתקשורת בע"מ</t>
  </si>
  <si>
    <t>בזק 9</t>
  </si>
  <si>
    <t>IL0023001766</t>
  </si>
  <si>
    <t>Aa2.il</t>
  </si>
  <si>
    <t>חברת החשמל לישראל בע"מ</t>
  </si>
  <si>
    <t>חשמל אגח 27</t>
  </si>
  <si>
    <t>IL0060002107</t>
  </si>
  <si>
    <t>AA</t>
  </si>
  <si>
    <t>מזרחי טפחות הנפקות</t>
  </si>
  <si>
    <t>מזרחי  טפחות הנפקות  52</t>
  </si>
  <si>
    <t>IL0023103810</t>
  </si>
  <si>
    <t>מימון ישיר</t>
  </si>
  <si>
    <t>מימון ישיר אגח ד</t>
  </si>
  <si>
    <t>IL0011756603</t>
  </si>
  <si>
    <t>A1.il</t>
  </si>
  <si>
    <t>מזרחי  טפחות הנפקות 64</t>
  </si>
  <si>
    <t>IL0023105559</t>
  </si>
  <si>
    <t>מזרחי טפ הנ אגח 68</t>
  </si>
  <si>
    <t>IL0012021429</t>
  </si>
  <si>
    <t>לאומי</t>
  </si>
  <si>
    <t>לאומי 186</t>
  </si>
  <si>
    <t>IL0012018391</t>
  </si>
  <si>
    <t>דיסקונט מנפיקים בע"מ</t>
  </si>
  <si>
    <t>דיסקונט מנפיקים אגח טו</t>
  </si>
  <si>
    <t>IL0074803045</t>
  </si>
  <si>
    <t>לאומי אגח 182</t>
  </si>
  <si>
    <t>IL0060405391</t>
  </si>
  <si>
    <t>פועלים אגח 203</t>
  </si>
  <si>
    <t>IL0011998684</t>
  </si>
  <si>
    <t>נתיבי הגז הטבעי לישראל בע"מ</t>
  </si>
  <si>
    <t>נתיבי גז אגח ד</t>
  </si>
  <si>
    <t>IL0011475030</t>
  </si>
  <si>
    <t>Aa1.il</t>
  </si>
  <si>
    <t>לאומי 183</t>
  </si>
  <si>
    <t>IL0060405474</t>
  </si>
  <si>
    <t>הפחתה בגין קניה בהנפקה מימון ישיר ו 12.9.23</t>
  </si>
  <si>
    <t>IL0011916595</t>
  </si>
  <si>
    <t>קבוצת עזריאלי בע"מ</t>
  </si>
  <si>
    <t>עזריאלי אגח ה</t>
  </si>
  <si>
    <t>IL0011566036</t>
  </si>
  <si>
    <t>מז טפ הנ אגח 66</t>
  </si>
  <si>
    <t>IL0011916678</t>
  </si>
  <si>
    <t>פועלים התח נד ז</t>
  </si>
  <si>
    <t>IL0011913295</t>
  </si>
  <si>
    <t>ilAA-</t>
  </si>
  <si>
    <t>מקורות חברת מים בע"מ</t>
  </si>
  <si>
    <t>מקורות סדרה 11</t>
  </si>
  <si>
    <t>IL0011584765</t>
  </si>
  <si>
    <t>מימון ישיר קבוצה ו</t>
  </si>
  <si>
    <t>מזרחי טפחות הנפקות אגח 62</t>
  </si>
  <si>
    <t>IL0023104982</t>
  </si>
  <si>
    <t>פועלים אגח 201</t>
  </si>
  <si>
    <t>IL0011913451</t>
  </si>
  <si>
    <t>חשמל אגח 33</t>
  </si>
  <si>
    <t>IL0060003923</t>
  </si>
  <si>
    <t>מזרחי טפחות הנפקות 46</t>
  </si>
  <si>
    <t>IL0023102259</t>
  </si>
  <si>
    <t>חשמל 31</t>
  </si>
  <si>
    <t>IL0060002859</t>
  </si>
  <si>
    <t>פועלים 200</t>
  </si>
  <si>
    <t>IL0066204962</t>
  </si>
  <si>
    <t>מקורות סדרה 10</t>
  </si>
  <si>
    <t>IL0011584682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</si>
  <si>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</si>
  <si>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</si>
  <si>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</si>
  <si>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</si>
  <si>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תא 35</t>
  </si>
  <si>
    <t>IL0011437006</t>
  </si>
  <si>
    <t>מגדל קרנות נאמנות בע"מ</t>
  </si>
  <si>
    <t>MTF סל תל בונד 60</t>
  </si>
  <si>
    <t>IL0011499964</t>
  </si>
  <si>
    <t>הראל סל תלבונד 40</t>
  </si>
  <si>
    <t>IL0011504995</t>
  </si>
  <si>
    <t>אי.בי.אי - קרנות נאמנות בע"מ</t>
  </si>
  <si>
    <t>אי.בי.אי. (פסגות לשעבר) ETF תלבונד 40</t>
  </si>
  <si>
    <t>IL0011479743</t>
  </si>
  <si>
    <t>קסם קרנות נאמנות בע"מ</t>
  </si>
  <si>
    <t>קסם ETF תלבונד 40</t>
  </si>
  <si>
    <t>IL0011462160</t>
  </si>
  <si>
    <t>MTF סל תל בונד שקלי 50</t>
  </si>
  <si>
    <t>IL0011501686</t>
  </si>
  <si>
    <t>תכלית סל (00) תל בונד 40</t>
  </si>
  <si>
    <t>IL0011450934</t>
  </si>
  <si>
    <t>MTF סל (4A) ת"א 35</t>
  </si>
  <si>
    <t>IL0011501843</t>
  </si>
  <si>
    <t>הראל סל תא 35</t>
  </si>
  <si>
    <t>IL0011489072</t>
  </si>
  <si>
    <t>קסם ETF תלבונד 20</t>
  </si>
  <si>
    <t>IL0011459604</t>
  </si>
  <si>
    <t>קסם ETF תא 35</t>
  </si>
  <si>
    <t>IL0011465700</t>
  </si>
  <si>
    <t>קסם תל בונד שקלי 50</t>
  </si>
  <si>
    <t>IL0011507626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</si>
  <si>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</si>
  <si>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</si>
  <si>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</si>
  <si>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</si>
  <si>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</si>
  <si>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</si>
  <si>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AUEM FP AMUNDI MSCI EME</t>
  </si>
  <si>
    <t>LU1681045453</t>
  </si>
  <si>
    <t>ISHARES</t>
  </si>
  <si>
    <t>549300LRIF3NWCU26A80</t>
  </si>
  <si>
    <t>SDIG LN SHORT DUR CORP</t>
  </si>
  <si>
    <t>IE00BCRY5Y77</t>
  </si>
  <si>
    <t>IWDA LN iShares MSCI World</t>
  </si>
  <si>
    <t>IE00B4L5Y983</t>
  </si>
  <si>
    <t>State Street</t>
  </si>
  <si>
    <t>549300ZFEEJ2IP5VME73</t>
  </si>
  <si>
    <t>SWRD LN  MSCI World SPDR</t>
  </si>
  <si>
    <t>IE00BFY0GT14</t>
  </si>
  <si>
    <t>U127 Amundi MSCI EM</t>
  </si>
  <si>
    <t>LU2573966905</t>
  </si>
  <si>
    <t>FLOT LN</t>
  </si>
  <si>
    <t>IE00BZ048462</t>
  </si>
  <si>
    <t>ערד 8825 01.04.30 4.8%</t>
  </si>
  <si>
    <t>ערד 8898 01.06.36 4.8%</t>
  </si>
  <si>
    <t>ערד 8822 1.1.30 4.8%</t>
  </si>
  <si>
    <t>ערד 8859 01.02.33 4.8%</t>
  </si>
  <si>
    <t>ערד 8810 01.1.29 4.8%</t>
  </si>
  <si>
    <t>ערד 8894 01.02.36 4.8%</t>
  </si>
  <si>
    <t>ערד 8823 01.02.30 4.8%</t>
  </si>
  <si>
    <t>ערד 8883 02.02.35 4.8%</t>
  </si>
  <si>
    <t>ערד 8808 01.11.28 4.8%</t>
  </si>
  <si>
    <t>ערד 8814 01.5.29 4.8%</t>
  </si>
  <si>
    <t>ערד 8847 1.2.32 4.8%</t>
  </si>
  <si>
    <t>ערד 8860 01.03.33 4.8%</t>
  </si>
  <si>
    <t>ערד 8893 01.01.36 4.8%</t>
  </si>
  <si>
    <t>ערד 8774 02.01.26 4.8%</t>
  </si>
  <si>
    <t>ערד 8897 02.05.36 4.8%</t>
  </si>
  <si>
    <t>ערד 8835 01.02.31 4.8%</t>
  </si>
  <si>
    <t>ערד 8799 01.02.28 4.8%</t>
  </si>
  <si>
    <t>ערד 8811 02.2.29 4.8%</t>
  </si>
  <si>
    <t>ערד 8824 01.03.30 4.8%</t>
  </si>
  <si>
    <t>מקורות סדרה ו</t>
  </si>
  <si>
    <t>מקורות 8 4.1% 2048</t>
  </si>
  <si>
    <t>נתיבי גז ג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</si>
  <si>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</si>
  <si>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</si>
  <si>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</si>
  <si>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</si>
  <si>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</si>
  <si>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</si>
  <si>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</si>
  <si>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</si>
  <si>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</si>
  <si>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</si>
  <si>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</si>
  <si>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</si>
  <si>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</si>
  <si>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</si>
  <si>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</si>
  <si>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</si>
  <si>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</si>
  <si>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</si>
  <si>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התח.ממש.אי העלאת ג.פרישה נשים</t>
  </si>
  <si>
    <t>חקלאים ס.מ.ישיר 30.06.24</t>
  </si>
  <si>
    <t>570007476_pn_p_0324.xlsx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</si>
</sst>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B5" sqref="B5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3" t="s">
        <v>1408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2" sqref="B32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51472.92347999999</v>
      </c>
      <c r="C3" s="114"/>
      <c r="D3" s="115"/>
      <c r="E3" s="112">
        <f>IFERROR(B3/$B$30,0)</f>
        <v>1.8290525524828165E-2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184195.53560999999</v>
      </c>
      <c r="C4" s="114"/>
      <c r="D4" s="115"/>
      <c r="E4" s="112">
        <f t="shared" ref="E4:E29" si="0">IFERROR(B4/$B$30,0)</f>
        <v>6.5452531503153333E-2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57412.860679999998</v>
      </c>
      <c r="C6" s="114"/>
      <c r="D6" s="115"/>
      <c r="E6" s="112">
        <f t="shared" si="0"/>
        <v>2.0401238607109001E-2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344259.39881000004</v>
      </c>
      <c r="C8" s="114"/>
      <c r="D8" s="115"/>
      <c r="E8" s="112">
        <f t="shared" si="0"/>
        <v>0.12233005035245194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381659.34848999989</v>
      </c>
      <c r="C15" s="114"/>
      <c r="D15" s="115"/>
      <c r="E15" s="112">
        <f t="shared" si="0"/>
        <v>0.13561984793923798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4170.4914799999997</v>
      </c>
      <c r="C18" s="114"/>
      <c r="D18" s="115"/>
      <c r="E18" s="112">
        <f t="shared" si="0"/>
        <v>1.4819535341849676E-3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1.3489999999999997E-3</v>
      </c>
      <c r="C19" s="114"/>
      <c r="D19" s="115"/>
      <c r="E19" s="112">
        <f t="shared" si="0"/>
        <v>4.7935724774949564E-10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1791014.48963</v>
      </c>
      <c r="C29" s="114"/>
      <c r="D29" s="115"/>
      <c r="E29" s="112">
        <f t="shared" si="0"/>
        <v>0.63642385205967722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2814185.0495290002</v>
      </c>
      <c r="C30" s="116"/>
      <c r="D30" s="116"/>
      <c r="E30" s="113">
        <f t="shared" si="1"/>
        <v>0.99999999999999978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H14" sqref="H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307</v>
      </c>
      <c r="B2" s="119">
        <v>307</v>
      </c>
      <c r="C2" s="118" t="s">
        <v>1209</v>
      </c>
      <c r="D2" s="118" t="s">
        <v>1210</v>
      </c>
      <c r="E2" s="118" t="s">
        <v>314</v>
      </c>
      <c r="F2" s="118" t="s">
        <v>939</v>
      </c>
      <c r="G2" s="118" t="s">
        <v>203</v>
      </c>
      <c r="H2" s="118" t="s">
        <v>338</v>
      </c>
      <c r="I2" s="118" t="s">
        <v>1214</v>
      </c>
      <c r="J2" s="118" t="s">
        <v>412</v>
      </c>
      <c r="K2" s="118" t="s">
        <v>1211</v>
      </c>
      <c r="L2" s="120">
        <v>22010.459019999998</v>
      </c>
      <c r="M2" s="120">
        <v>1</v>
      </c>
      <c r="N2" s="121"/>
      <c r="O2" s="120">
        <v>22010.459019999998</v>
      </c>
      <c r="P2" s="121">
        <v>0.42761199999999999</v>
      </c>
      <c r="Q2" s="121">
        <v>7.8209999999999998E-3</v>
      </c>
    </row>
    <row r="3" spans="1:26" ht="15" customHeight="1">
      <c r="A3" s="119">
        <v>307</v>
      </c>
      <c r="B3" s="119">
        <v>307</v>
      </c>
      <c r="C3" s="118" t="s">
        <v>1212</v>
      </c>
      <c r="D3" s="118" t="s">
        <v>1213</v>
      </c>
      <c r="E3" s="118" t="s">
        <v>314</v>
      </c>
      <c r="F3" s="118" t="s">
        <v>935</v>
      </c>
      <c r="G3" s="118" t="s">
        <v>203</v>
      </c>
      <c r="H3" s="118" t="s">
        <v>338</v>
      </c>
      <c r="I3" s="118" t="s">
        <v>1214</v>
      </c>
      <c r="J3" s="118" t="s">
        <v>412</v>
      </c>
      <c r="K3" s="118" t="s">
        <v>1211</v>
      </c>
      <c r="L3" s="120">
        <v>12601.459279999999</v>
      </c>
      <c r="M3" s="120">
        <v>1</v>
      </c>
      <c r="N3" s="121"/>
      <c r="O3" s="120">
        <v>12601.459279999999</v>
      </c>
      <c r="P3" s="121">
        <v>0.244815</v>
      </c>
      <c r="Q3" s="121">
        <v>4.4770000000000001E-3</v>
      </c>
    </row>
    <row r="4" spans="1:26" ht="15" customHeight="1">
      <c r="A4" s="119">
        <v>307</v>
      </c>
      <c r="B4" s="119">
        <v>307</v>
      </c>
      <c r="C4" s="118" t="s">
        <v>1215</v>
      </c>
      <c r="D4" s="118" t="s">
        <v>1216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1214</v>
      </c>
      <c r="J4" s="118" t="s">
        <v>412</v>
      </c>
      <c r="K4" s="118" t="s">
        <v>1211</v>
      </c>
      <c r="L4" s="120">
        <v>12595.90076</v>
      </c>
      <c r="M4" s="120">
        <v>1</v>
      </c>
      <c r="N4" s="121"/>
      <c r="O4" s="120">
        <v>12595.90076</v>
      </c>
      <c r="P4" s="121">
        <v>0.24470900000000001</v>
      </c>
      <c r="Q4" s="121">
        <v>4.4749999999999998E-3</v>
      </c>
    </row>
    <row r="5" spans="1:26" ht="15" customHeight="1">
      <c r="A5" s="119">
        <v>307</v>
      </c>
      <c r="B5" s="119">
        <v>307</v>
      </c>
      <c r="C5" s="118" t="s">
        <v>1217</v>
      </c>
      <c r="D5" s="118" t="s">
        <v>1218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1214</v>
      </c>
      <c r="J5" s="118" t="s">
        <v>412</v>
      </c>
      <c r="K5" s="118" t="s">
        <v>1211</v>
      </c>
      <c r="L5" s="120">
        <v>1836.0730000000001</v>
      </c>
      <c r="M5" s="120">
        <v>1</v>
      </c>
      <c r="N5" s="121"/>
      <c r="O5" s="120">
        <v>1836.0730000000001</v>
      </c>
      <c r="P5" s="121">
        <v>3.567E-2</v>
      </c>
      <c r="Q5" s="121">
        <v>6.5200000000000002E-4</v>
      </c>
    </row>
    <row r="6" spans="1:26" ht="15" customHeight="1">
      <c r="A6" s="119">
        <v>307</v>
      </c>
      <c r="B6" s="119">
        <v>307</v>
      </c>
      <c r="C6" s="118" t="s">
        <v>1217</v>
      </c>
      <c r="D6" s="118" t="s">
        <v>1218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1214</v>
      </c>
      <c r="J6" s="118" t="s">
        <v>412</v>
      </c>
      <c r="K6" s="118" t="s">
        <v>1219</v>
      </c>
      <c r="L6" s="120">
        <v>27.998619999999999</v>
      </c>
      <c r="M6" s="120">
        <v>4.1524000000000001</v>
      </c>
      <c r="N6" s="121"/>
      <c r="O6" s="120">
        <v>116.26147</v>
      </c>
      <c r="P6" s="121">
        <v>2.258E-3</v>
      </c>
      <c r="Q6" s="121">
        <v>4.1E-5</v>
      </c>
    </row>
    <row r="7" spans="1:26" ht="15" customHeight="1">
      <c r="A7" s="119">
        <v>307</v>
      </c>
      <c r="B7" s="119">
        <v>307</v>
      </c>
      <c r="C7" s="118" t="s">
        <v>1215</v>
      </c>
      <c r="D7" s="118" t="s">
        <v>1216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1214</v>
      </c>
      <c r="J7" s="118" t="s">
        <v>412</v>
      </c>
      <c r="K7" s="118" t="s">
        <v>1211</v>
      </c>
      <c r="L7" s="120">
        <v>3.0081899999999999</v>
      </c>
      <c r="M7" s="120">
        <v>1</v>
      </c>
      <c r="N7" s="121"/>
      <c r="O7" s="120">
        <v>3.0081899999999999</v>
      </c>
      <c r="P7" s="121">
        <v>5.8E-5</v>
      </c>
      <c r="Q7" s="121">
        <v>9.9999999999999995E-7</v>
      </c>
    </row>
    <row r="8" spans="1:26" ht="15" customHeight="1">
      <c r="A8" s="119">
        <v>307</v>
      </c>
      <c r="B8" s="119">
        <v>307</v>
      </c>
      <c r="C8" s="118" t="s">
        <v>1215</v>
      </c>
      <c r="D8" s="118" t="s">
        <v>1216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1214</v>
      </c>
      <c r="J8" s="118" t="s">
        <v>412</v>
      </c>
      <c r="K8" s="118" t="s">
        <v>1220</v>
      </c>
      <c r="L8" s="120">
        <v>126.37997</v>
      </c>
      <c r="M8" s="120">
        <v>3.71</v>
      </c>
      <c r="N8" s="121"/>
      <c r="O8" s="120">
        <v>468.86968999999999</v>
      </c>
      <c r="P8" s="121">
        <v>9.1090000000000008E-3</v>
      </c>
      <c r="Q8" s="121">
        <v>1.66E-4</v>
      </c>
    </row>
    <row r="9" spans="1:26" ht="15" customHeight="1">
      <c r="A9" s="119">
        <v>307</v>
      </c>
      <c r="B9" s="119">
        <v>307</v>
      </c>
      <c r="C9" s="118" t="s">
        <v>1217</v>
      </c>
      <c r="D9" s="118" t="s">
        <v>1218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1214</v>
      </c>
      <c r="J9" s="118" t="s">
        <v>412</v>
      </c>
      <c r="K9" s="118" t="s">
        <v>1220</v>
      </c>
      <c r="L9" s="120">
        <v>377.06772000000001</v>
      </c>
      <c r="M9" s="120">
        <v>3.71</v>
      </c>
      <c r="N9" s="121"/>
      <c r="O9" s="120">
        <v>1398.9212399999999</v>
      </c>
      <c r="P9" s="121">
        <v>2.7177E-2</v>
      </c>
      <c r="Q9" s="121">
        <v>4.9700000000000005E-4</v>
      </c>
    </row>
    <row r="10" spans="1:26" ht="15" customHeight="1">
      <c r="A10" s="119">
        <v>307</v>
      </c>
      <c r="B10" s="119">
        <v>307</v>
      </c>
      <c r="C10" s="118" t="s">
        <v>1209</v>
      </c>
      <c r="D10" s="118" t="s">
        <v>1210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1214</v>
      </c>
      <c r="J10" s="118" t="s">
        <v>412</v>
      </c>
      <c r="K10" s="118" t="s">
        <v>1211</v>
      </c>
      <c r="L10" s="120">
        <v>441.97082999999998</v>
      </c>
      <c r="M10" s="120">
        <v>1</v>
      </c>
      <c r="N10" s="118"/>
      <c r="O10" s="120">
        <v>441.97082999999998</v>
      </c>
      <c r="P10" s="121">
        <v>8.5859999999999999E-3</v>
      </c>
      <c r="Q10" s="121">
        <v>1.5699999999999999E-4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E1" workbookViewId="0">
      <selection activeCell="Y22" sqref="Y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1221</v>
      </c>
      <c r="D2" s="118" t="s">
        <v>1222</v>
      </c>
      <c r="E2" s="119" t="s">
        <v>1223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1211</v>
      </c>
      <c r="M2" s="120">
        <v>14.32</v>
      </c>
      <c r="N2" s="122">
        <v>53782</v>
      </c>
      <c r="O2" s="121">
        <v>3.7499999999999999E-2</v>
      </c>
      <c r="P2" s="121">
        <v>5.33E-2</v>
      </c>
      <c r="Q2" s="120"/>
      <c r="R2" s="120">
        <v>7596454</v>
      </c>
      <c r="S2" s="120">
        <v>1</v>
      </c>
      <c r="T2" s="120">
        <v>81.36</v>
      </c>
      <c r="U2" s="120">
        <v>6180.4749700000002</v>
      </c>
      <c r="V2" s="120"/>
      <c r="W2" s="118"/>
      <c r="X2" s="121">
        <v>2.8899999999999998E-4</v>
      </c>
      <c r="Y2" s="121">
        <v>3.3552999999999999E-2</v>
      </c>
      <c r="Z2" s="121">
        <v>2.196E-3</v>
      </c>
    </row>
    <row r="3" spans="1:26" ht="15" customHeight="1">
      <c r="A3" s="119">
        <v>307</v>
      </c>
      <c r="B3" s="119">
        <v>307</v>
      </c>
      <c r="C3" s="118" t="s">
        <v>1221</v>
      </c>
      <c r="D3" s="118" t="s">
        <v>1225</v>
      </c>
      <c r="E3" s="119" t="s">
        <v>1226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1211</v>
      </c>
      <c r="M3" s="120">
        <v>7.14</v>
      </c>
      <c r="N3" s="122">
        <v>48182</v>
      </c>
      <c r="O3" s="121">
        <v>1E-3</v>
      </c>
      <c r="P3" s="121">
        <v>1.9900000000000001E-2</v>
      </c>
      <c r="Q3" s="118"/>
      <c r="R3" s="120">
        <v>34380719</v>
      </c>
      <c r="S3" s="120">
        <v>1</v>
      </c>
      <c r="T3" s="120">
        <v>101.1</v>
      </c>
      <c r="U3" s="120">
        <v>34758.906909999998</v>
      </c>
      <c r="V3" s="118"/>
      <c r="W3" s="118"/>
      <c r="X3" s="121">
        <v>1.119E-3</v>
      </c>
      <c r="Y3" s="121">
        <v>0.18870600000000001</v>
      </c>
      <c r="Z3" s="121">
        <v>1.2351000000000001E-2</v>
      </c>
    </row>
    <row r="4" spans="1:26" ht="15" customHeight="1">
      <c r="A4" s="119">
        <v>307</v>
      </c>
      <c r="B4" s="119">
        <v>307</v>
      </c>
      <c r="C4" s="118" t="s">
        <v>1221</v>
      </c>
      <c r="D4" s="118" t="s">
        <v>1227</v>
      </c>
      <c r="E4" s="119" t="s">
        <v>1228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1211</v>
      </c>
      <c r="M4" s="120">
        <v>11.32</v>
      </c>
      <c r="N4" s="122">
        <v>51897</v>
      </c>
      <c r="O4" s="121">
        <v>5.5E-2</v>
      </c>
      <c r="P4" s="121">
        <v>5.1700000000000003E-2</v>
      </c>
      <c r="Q4" s="118"/>
      <c r="R4" s="120">
        <v>924856</v>
      </c>
      <c r="S4" s="120">
        <v>1</v>
      </c>
      <c r="T4" s="120">
        <v>107.34</v>
      </c>
      <c r="U4" s="120">
        <v>992.74042999999995</v>
      </c>
      <c r="V4" s="118"/>
      <c r="W4" s="118"/>
      <c r="X4" s="121">
        <v>4.1E-5</v>
      </c>
      <c r="Y4" s="121">
        <v>5.3889999999999997E-3</v>
      </c>
      <c r="Z4" s="121">
        <v>3.5199999999999999E-4</v>
      </c>
    </row>
    <row r="5" spans="1:26" ht="15" customHeight="1">
      <c r="A5" s="119">
        <v>307</v>
      </c>
      <c r="B5" s="119">
        <v>307</v>
      </c>
      <c r="C5" s="118" t="s">
        <v>1221</v>
      </c>
      <c r="D5" s="118" t="s">
        <v>1229</v>
      </c>
      <c r="E5" s="119" t="s">
        <v>1230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1211</v>
      </c>
      <c r="M5" s="120">
        <v>0.57999999999999996</v>
      </c>
      <c r="N5" s="122">
        <v>45777</v>
      </c>
      <c r="O5" s="121">
        <v>5.0000000000000001E-3</v>
      </c>
      <c r="P5" s="121">
        <v>3.9600000000000003E-2</v>
      </c>
      <c r="Q5" s="118"/>
      <c r="R5" s="120">
        <v>904856</v>
      </c>
      <c r="S5" s="120">
        <v>1</v>
      </c>
      <c r="T5" s="120">
        <v>98.27</v>
      </c>
      <c r="U5" s="120">
        <v>889.20199000000002</v>
      </c>
      <c r="V5" s="118"/>
      <c r="W5" s="118"/>
      <c r="X5" s="121">
        <v>5.7000000000000003E-5</v>
      </c>
      <c r="Y5" s="121">
        <v>4.8269999999999997E-3</v>
      </c>
      <c r="Z5" s="121">
        <v>3.1500000000000001E-4</v>
      </c>
    </row>
    <row r="6" spans="1:26" ht="15" customHeight="1">
      <c r="A6" s="119">
        <v>307</v>
      </c>
      <c r="B6" s="119">
        <v>307</v>
      </c>
      <c r="C6" s="118" t="s">
        <v>1221</v>
      </c>
      <c r="D6" s="118" t="s">
        <v>1231</v>
      </c>
      <c r="E6" s="119" t="s">
        <v>1232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1211</v>
      </c>
      <c r="M6" s="120">
        <v>16.71</v>
      </c>
      <c r="N6" s="122">
        <v>55852</v>
      </c>
      <c r="O6" s="121">
        <v>2.8000000000000001E-2</v>
      </c>
      <c r="P6" s="121">
        <v>5.4399999999999997E-2</v>
      </c>
      <c r="Q6" s="118"/>
      <c r="R6" s="120">
        <v>10140132</v>
      </c>
      <c r="S6" s="120">
        <v>1</v>
      </c>
      <c r="T6" s="120">
        <v>64.7</v>
      </c>
      <c r="U6" s="120">
        <v>6560.6653999999999</v>
      </c>
      <c r="V6" s="118"/>
      <c r="W6" s="118"/>
      <c r="X6" s="121">
        <v>5.71E-4</v>
      </c>
      <c r="Y6" s="121">
        <v>3.5617000000000003E-2</v>
      </c>
      <c r="Z6" s="121">
        <v>2.3310000000000002E-3</v>
      </c>
    </row>
    <row r="7" spans="1:26" ht="15" customHeight="1">
      <c r="A7" s="119">
        <v>307</v>
      </c>
      <c r="B7" s="119">
        <v>307</v>
      </c>
      <c r="C7" s="118" t="s">
        <v>1221</v>
      </c>
      <c r="D7" s="118" t="s">
        <v>1233</v>
      </c>
      <c r="E7" s="119" t="s">
        <v>1234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1211</v>
      </c>
      <c r="M7" s="120">
        <v>5.33</v>
      </c>
      <c r="N7" s="122">
        <v>47573</v>
      </c>
      <c r="O7" s="121">
        <v>0.01</v>
      </c>
      <c r="P7" s="121">
        <v>4.6300000000000001E-2</v>
      </c>
      <c r="Q7" s="118"/>
      <c r="R7" s="120">
        <v>4361049</v>
      </c>
      <c r="S7" s="120">
        <v>1</v>
      </c>
      <c r="T7" s="120">
        <v>83.24</v>
      </c>
      <c r="U7" s="120">
        <v>3630.1371899999999</v>
      </c>
      <c r="V7" s="118"/>
      <c r="W7" s="118"/>
      <c r="X7" s="121">
        <v>1.15E-4</v>
      </c>
      <c r="Y7" s="121">
        <v>1.9708E-2</v>
      </c>
      <c r="Z7" s="121">
        <v>1.289E-3</v>
      </c>
    </row>
    <row r="8" spans="1:26" ht="15" customHeight="1">
      <c r="A8" s="119">
        <v>307</v>
      </c>
      <c r="B8" s="119">
        <v>307</v>
      </c>
      <c r="C8" s="118" t="s">
        <v>1221</v>
      </c>
      <c r="D8" s="118" t="s">
        <v>1235</v>
      </c>
      <c r="E8" s="119" t="s">
        <v>1236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1224</v>
      </c>
      <c r="K8" s="118" t="s">
        <v>412</v>
      </c>
      <c r="L8" s="118" t="s">
        <v>1211</v>
      </c>
      <c r="M8" s="120">
        <v>13.85</v>
      </c>
      <c r="N8" s="122">
        <v>51744</v>
      </c>
      <c r="O8" s="121">
        <v>2.75E-2</v>
      </c>
      <c r="P8" s="121">
        <v>2.24E-2</v>
      </c>
      <c r="Q8" s="118"/>
      <c r="R8" s="120">
        <v>71124863</v>
      </c>
      <c r="S8" s="120">
        <v>1</v>
      </c>
      <c r="T8" s="120">
        <v>132.61000000000001</v>
      </c>
      <c r="U8" s="120">
        <v>94318.680819999994</v>
      </c>
      <c r="V8" s="118"/>
      <c r="W8" s="118"/>
      <c r="X8" s="121">
        <v>3.6749999999999999E-3</v>
      </c>
      <c r="Y8" s="121">
        <v>0.51205699999999998</v>
      </c>
      <c r="Z8" s="121">
        <v>3.3515000000000003E-2</v>
      </c>
    </row>
    <row r="9" spans="1:26" ht="15" customHeight="1">
      <c r="A9" s="119">
        <v>307</v>
      </c>
      <c r="B9" s="119">
        <v>307</v>
      </c>
      <c r="C9" s="118" t="s">
        <v>1221</v>
      </c>
      <c r="D9" s="118" t="s">
        <v>1237</v>
      </c>
      <c r="E9" s="119" t="s">
        <v>1238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1224</v>
      </c>
      <c r="K9" s="118" t="s">
        <v>412</v>
      </c>
      <c r="L9" s="118" t="s">
        <v>1211</v>
      </c>
      <c r="M9" s="120">
        <v>3.86</v>
      </c>
      <c r="N9" s="122">
        <v>47024</v>
      </c>
      <c r="O9" s="121">
        <v>2.2499999999999999E-2</v>
      </c>
      <c r="P9" s="121">
        <v>4.5100000000000001E-2</v>
      </c>
      <c r="Q9" s="118"/>
      <c r="R9" s="120">
        <v>1374384</v>
      </c>
      <c r="S9" s="120">
        <v>1</v>
      </c>
      <c r="T9" s="120">
        <v>91.9</v>
      </c>
      <c r="U9" s="120">
        <v>1263.0589</v>
      </c>
      <c r="V9" s="118"/>
      <c r="W9" s="118"/>
      <c r="X9" s="121">
        <v>4.1E-5</v>
      </c>
      <c r="Y9" s="121">
        <v>6.8570000000000002E-3</v>
      </c>
      <c r="Z9" s="121">
        <v>4.4799999999999999E-4</v>
      </c>
    </row>
    <row r="10" spans="1:26" ht="15" customHeight="1">
      <c r="A10" s="119">
        <v>307</v>
      </c>
      <c r="B10" s="119">
        <v>307</v>
      </c>
      <c r="C10" s="118" t="s">
        <v>1221</v>
      </c>
      <c r="D10" s="118" t="s">
        <v>1239</v>
      </c>
      <c r="E10" s="119" t="s">
        <v>1240</v>
      </c>
      <c r="F10" s="118" t="s">
        <v>947</v>
      </c>
      <c r="G10" s="118" t="s">
        <v>203</v>
      </c>
      <c r="H10" s="118" t="s">
        <v>203</v>
      </c>
      <c r="I10" s="118" t="s">
        <v>339</v>
      </c>
      <c r="J10" s="118" t="s">
        <v>1224</v>
      </c>
      <c r="K10" s="118" t="s">
        <v>412</v>
      </c>
      <c r="L10" s="118" t="s">
        <v>1211</v>
      </c>
      <c r="M10" s="120">
        <v>1</v>
      </c>
      <c r="N10" s="122">
        <v>46173</v>
      </c>
      <c r="O10" s="121">
        <v>0</v>
      </c>
      <c r="P10" s="121">
        <v>4.6199999999999998E-2</v>
      </c>
      <c r="Q10" s="118"/>
      <c r="R10" s="120">
        <v>144967</v>
      </c>
      <c r="S10" s="120">
        <v>1</v>
      </c>
      <c r="T10" s="120">
        <v>99.82</v>
      </c>
      <c r="U10" s="120">
        <v>144.70606000000001</v>
      </c>
      <c r="V10" s="118"/>
      <c r="W10" s="118"/>
      <c r="X10" s="121">
        <v>6.0000000000000002E-6</v>
      </c>
      <c r="Y10" s="121">
        <v>7.85E-4</v>
      </c>
      <c r="Z10" s="121">
        <v>5.1E-5</v>
      </c>
    </row>
    <row r="11" spans="1:26" ht="15" customHeight="1">
      <c r="A11" s="119">
        <v>307</v>
      </c>
      <c r="B11" s="119">
        <v>307</v>
      </c>
      <c r="C11" s="118" t="s">
        <v>1221</v>
      </c>
      <c r="D11" s="118" t="s">
        <v>1241</v>
      </c>
      <c r="E11" s="119" t="s">
        <v>1242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1224</v>
      </c>
      <c r="K11" s="118" t="s">
        <v>412</v>
      </c>
      <c r="L11" s="118" t="s">
        <v>1211</v>
      </c>
      <c r="M11" s="120">
        <v>18.41</v>
      </c>
      <c r="N11" s="122">
        <v>53113</v>
      </c>
      <c r="O11" s="121">
        <v>0.01</v>
      </c>
      <c r="P11" s="121">
        <v>2.2700000000000001E-2</v>
      </c>
      <c r="Q11" s="118"/>
      <c r="R11" s="120">
        <v>4949443</v>
      </c>
      <c r="S11" s="120">
        <v>1</v>
      </c>
      <c r="T11" s="120">
        <v>92.5</v>
      </c>
      <c r="U11" s="120">
        <v>4578.2347799999998</v>
      </c>
      <c r="V11" s="118"/>
      <c r="W11" s="118"/>
      <c r="X11" s="121">
        <v>2.5500000000000002E-4</v>
      </c>
      <c r="Y11" s="121">
        <v>2.4854999999999999E-2</v>
      </c>
      <c r="Z11" s="121">
        <v>1.6260000000000001E-3</v>
      </c>
    </row>
    <row r="12" spans="1:26" ht="15" customHeight="1">
      <c r="A12" s="119">
        <v>307</v>
      </c>
      <c r="B12" s="119">
        <v>307</v>
      </c>
      <c r="C12" s="118" t="s">
        <v>1221</v>
      </c>
      <c r="D12" s="118" t="s">
        <v>1243</v>
      </c>
      <c r="E12" s="119" t="s">
        <v>1244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1224</v>
      </c>
      <c r="K12" s="118" t="s">
        <v>412</v>
      </c>
      <c r="L12" s="118" t="s">
        <v>1211</v>
      </c>
      <c r="M12" s="120">
        <v>24.74</v>
      </c>
      <c r="N12" s="122">
        <v>55487</v>
      </c>
      <c r="O12" s="121">
        <v>5.0000000000000001E-3</v>
      </c>
      <c r="P12" s="121">
        <v>2.3400000000000001E-2</v>
      </c>
      <c r="Q12" s="118"/>
      <c r="R12" s="120">
        <v>4935731</v>
      </c>
      <c r="S12" s="120">
        <v>1</v>
      </c>
      <c r="T12" s="120">
        <v>73.53</v>
      </c>
      <c r="U12" s="120">
        <v>3629.2429999999999</v>
      </c>
      <c r="V12" s="118"/>
      <c r="W12" s="118"/>
      <c r="X12" s="121">
        <v>2.12E-4</v>
      </c>
      <c r="Y12" s="121">
        <v>1.9702999999999998E-2</v>
      </c>
      <c r="Z12" s="121">
        <v>1.289E-3</v>
      </c>
    </row>
    <row r="13" spans="1:26" ht="15" customHeight="1">
      <c r="A13" s="119">
        <v>307</v>
      </c>
      <c r="B13" s="119">
        <v>307</v>
      </c>
      <c r="C13" s="118" t="s">
        <v>1221</v>
      </c>
      <c r="D13" s="118" t="s">
        <v>1245</v>
      </c>
      <c r="E13" s="119" t="s">
        <v>1246</v>
      </c>
      <c r="F13" s="118" t="s">
        <v>944</v>
      </c>
      <c r="G13" s="118" t="s">
        <v>203</v>
      </c>
      <c r="H13" s="118" t="s">
        <v>203</v>
      </c>
      <c r="I13" s="118" t="s">
        <v>339</v>
      </c>
      <c r="J13" s="118" t="s">
        <v>1224</v>
      </c>
      <c r="K13" s="118" t="s">
        <v>412</v>
      </c>
      <c r="L13" s="118" t="s">
        <v>1211</v>
      </c>
      <c r="M13" s="120">
        <v>9.65</v>
      </c>
      <c r="N13" s="122">
        <v>49825</v>
      </c>
      <c r="O13" s="121">
        <v>0.04</v>
      </c>
      <c r="P13" s="121">
        <v>2.1700000000000001E-2</v>
      </c>
      <c r="Q13" s="118"/>
      <c r="R13" s="120">
        <v>16551956</v>
      </c>
      <c r="S13" s="120">
        <v>1</v>
      </c>
      <c r="T13" s="120">
        <v>164.63</v>
      </c>
      <c r="U13" s="120">
        <v>27249.48516</v>
      </c>
      <c r="V13" s="118"/>
      <c r="W13" s="118"/>
      <c r="X13" s="121">
        <v>1.0380000000000001E-3</v>
      </c>
      <c r="Y13" s="121">
        <v>0.14793700000000001</v>
      </c>
      <c r="Z13" s="121">
        <v>9.6819999999999996E-3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G1" workbookViewId="0">
      <selection activeCell="Y27" sqref="Y2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307</v>
      </c>
      <c r="B2" s="119">
        <v>307</v>
      </c>
      <c r="C2" s="118" t="s">
        <v>1247</v>
      </c>
      <c r="D2" s="119">
        <v>513141879</v>
      </c>
      <c r="E2" s="118" t="s">
        <v>308</v>
      </c>
      <c r="F2" s="118" t="s">
        <v>1248</v>
      </c>
      <c r="G2" s="119" t="s">
        <v>1249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1214</v>
      </c>
      <c r="Q2" s="118" t="s">
        <v>412</v>
      </c>
      <c r="R2" s="118" t="s">
        <v>406</v>
      </c>
      <c r="S2" s="118" t="s">
        <v>1211</v>
      </c>
      <c r="T2" s="120">
        <v>0.94</v>
      </c>
      <c r="U2" s="122">
        <v>45910</v>
      </c>
      <c r="V2" s="121">
        <v>1E-3</v>
      </c>
      <c r="W2" s="121">
        <v>1.9699999999999999E-2</v>
      </c>
      <c r="X2" s="118" t="s">
        <v>411</v>
      </c>
      <c r="Y2" s="118"/>
      <c r="Z2" s="120">
        <v>554000</v>
      </c>
      <c r="AA2" s="120">
        <v>1</v>
      </c>
      <c r="AB2" s="120">
        <v>112.67</v>
      </c>
      <c r="AC2" s="120"/>
      <c r="AD2" s="120">
        <v>624.19179999999994</v>
      </c>
      <c r="AE2" s="120"/>
      <c r="AF2" s="120"/>
      <c r="AG2" s="118"/>
      <c r="AH2" s="121">
        <v>3.6900000000000002E-4</v>
      </c>
      <c r="AI2" s="121">
        <v>1.0871E-2</v>
      </c>
      <c r="AJ2" s="121">
        <v>2.2100000000000001E-4</v>
      </c>
    </row>
    <row r="3" spans="1:36" ht="15" customHeight="1">
      <c r="A3" s="119">
        <v>307</v>
      </c>
      <c r="B3" s="119">
        <v>307</v>
      </c>
      <c r="C3" s="118" t="s">
        <v>1250</v>
      </c>
      <c r="D3" s="119">
        <v>520031931</v>
      </c>
      <c r="E3" s="118" t="s">
        <v>308</v>
      </c>
      <c r="F3" s="118" t="s">
        <v>1251</v>
      </c>
      <c r="G3" s="119" t="s">
        <v>1252</v>
      </c>
      <c r="H3" s="118" t="s">
        <v>320</v>
      </c>
      <c r="I3" s="118" t="s">
        <v>952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483</v>
      </c>
      <c r="O3" s="118" t="s">
        <v>338</v>
      </c>
      <c r="P3" s="118" t="s">
        <v>1253</v>
      </c>
      <c r="Q3" s="118" t="s">
        <v>414</v>
      </c>
      <c r="R3" s="118" t="s">
        <v>406</v>
      </c>
      <c r="S3" s="118" t="s">
        <v>1211</v>
      </c>
      <c r="T3" s="120">
        <v>0.65</v>
      </c>
      <c r="U3" s="122">
        <v>45992</v>
      </c>
      <c r="V3" s="121">
        <v>3.6499999999999998E-2</v>
      </c>
      <c r="W3" s="121">
        <v>5.0500000000000003E-2</v>
      </c>
      <c r="X3" s="118" t="s">
        <v>411</v>
      </c>
      <c r="Y3" s="118"/>
      <c r="Z3" s="120">
        <v>518088.91</v>
      </c>
      <c r="AA3" s="120">
        <v>1</v>
      </c>
      <c r="AB3" s="120">
        <v>100.35</v>
      </c>
      <c r="AC3" s="120"/>
      <c r="AD3" s="120">
        <v>519.90222000000006</v>
      </c>
      <c r="AE3" s="118"/>
      <c r="AF3" s="118"/>
      <c r="AG3" s="118"/>
      <c r="AH3" s="121">
        <v>4.86E-4</v>
      </c>
      <c r="AI3" s="121">
        <v>9.0550000000000005E-3</v>
      </c>
      <c r="AJ3" s="121">
        <v>1.84E-4</v>
      </c>
    </row>
    <row r="4" spans="1:36" ht="15" customHeight="1">
      <c r="A4" s="119">
        <v>307</v>
      </c>
      <c r="B4" s="119">
        <v>307</v>
      </c>
      <c r="C4" s="118" t="s">
        <v>1254</v>
      </c>
      <c r="D4" s="119">
        <v>520000472</v>
      </c>
      <c r="E4" s="118" t="s">
        <v>308</v>
      </c>
      <c r="F4" s="118" t="s">
        <v>1255</v>
      </c>
      <c r="G4" s="119" t="s">
        <v>1256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439</v>
      </c>
      <c r="O4" s="118" t="s">
        <v>338</v>
      </c>
      <c r="P4" s="118" t="s">
        <v>1257</v>
      </c>
      <c r="Q4" s="118" t="s">
        <v>311</v>
      </c>
      <c r="R4" s="118" t="s">
        <v>406</v>
      </c>
      <c r="S4" s="118" t="s">
        <v>1211</v>
      </c>
      <c r="T4" s="120">
        <v>3.44</v>
      </c>
      <c r="U4" s="122">
        <v>47220</v>
      </c>
      <c r="V4" s="121">
        <v>3.85E-2</v>
      </c>
      <c r="W4" s="121">
        <v>2.5700000000000001E-2</v>
      </c>
      <c r="X4" s="118" t="s">
        <v>411</v>
      </c>
      <c r="Y4" s="118"/>
      <c r="Z4" s="120">
        <v>861109.47</v>
      </c>
      <c r="AA4" s="120">
        <v>1</v>
      </c>
      <c r="AB4" s="120">
        <v>121.2</v>
      </c>
      <c r="AC4" s="120">
        <v>19.250689999999999</v>
      </c>
      <c r="AD4" s="120">
        <v>1062.9153699999999</v>
      </c>
      <c r="AE4" s="118"/>
      <c r="AF4" s="118"/>
      <c r="AG4" s="118"/>
      <c r="AH4" s="121">
        <v>3.3700000000000001E-4</v>
      </c>
      <c r="AI4" s="121">
        <v>1.8513000000000002E-2</v>
      </c>
      <c r="AJ4" s="121">
        <v>3.7599999999999998E-4</v>
      </c>
    </row>
    <row r="5" spans="1:36" ht="15" customHeight="1">
      <c r="A5" s="119">
        <v>307</v>
      </c>
      <c r="B5" s="119">
        <v>307</v>
      </c>
      <c r="C5" s="118" t="s">
        <v>1258</v>
      </c>
      <c r="D5" s="119">
        <v>520032046</v>
      </c>
      <c r="E5" s="118" t="s">
        <v>308</v>
      </c>
      <c r="F5" s="118" t="s">
        <v>1259</v>
      </c>
      <c r="G5" s="119" t="s">
        <v>1260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1214</v>
      </c>
      <c r="Q5" s="118" t="s">
        <v>412</v>
      </c>
      <c r="R5" s="118" t="s">
        <v>406</v>
      </c>
      <c r="S5" s="118" t="s">
        <v>1211</v>
      </c>
      <c r="T5" s="120">
        <v>5.72</v>
      </c>
      <c r="U5" s="122">
        <v>47665</v>
      </c>
      <c r="V5" s="121">
        <v>2E-3</v>
      </c>
      <c r="W5" s="121">
        <v>2.6200000000000001E-2</v>
      </c>
      <c r="X5" s="118" t="s">
        <v>411</v>
      </c>
      <c r="Y5" s="118"/>
      <c r="Z5" s="120">
        <v>3351500</v>
      </c>
      <c r="AA5" s="120">
        <v>1</v>
      </c>
      <c r="AB5" s="120">
        <v>100.79</v>
      </c>
      <c r="AC5" s="118"/>
      <c r="AD5" s="120">
        <v>3377.97685</v>
      </c>
      <c r="AE5" s="118"/>
      <c r="AF5" s="118"/>
      <c r="AG5" s="118"/>
      <c r="AH5" s="121">
        <v>3.496E-3</v>
      </c>
      <c r="AI5" s="121">
        <v>5.8835999999999999E-2</v>
      </c>
      <c r="AJ5" s="121">
        <v>1.1999999999999999E-3</v>
      </c>
    </row>
    <row r="6" spans="1:36" ht="15" customHeight="1">
      <c r="A6" s="119">
        <v>307</v>
      </c>
      <c r="B6" s="119">
        <v>307</v>
      </c>
      <c r="C6" s="118" t="s">
        <v>1261</v>
      </c>
      <c r="D6" s="119">
        <v>513893123</v>
      </c>
      <c r="E6" s="118" t="s">
        <v>308</v>
      </c>
      <c r="F6" s="118" t="s">
        <v>1262</v>
      </c>
      <c r="G6" s="119" t="s">
        <v>1263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442</v>
      </c>
      <c r="O6" s="118" t="s">
        <v>338</v>
      </c>
      <c r="P6" s="118" t="s">
        <v>1264</v>
      </c>
      <c r="Q6" s="118" t="s">
        <v>414</v>
      </c>
      <c r="R6" s="118" t="s">
        <v>406</v>
      </c>
      <c r="S6" s="118" t="s">
        <v>1211</v>
      </c>
      <c r="T6" s="120">
        <v>0.66</v>
      </c>
      <c r="U6" s="122">
        <v>46054</v>
      </c>
      <c r="V6" s="121">
        <v>0.01</v>
      </c>
      <c r="W6" s="121">
        <v>2.7099999999999999E-2</v>
      </c>
      <c r="X6" s="118" t="s">
        <v>411</v>
      </c>
      <c r="Y6" s="118"/>
      <c r="Z6" s="120">
        <v>205275.43</v>
      </c>
      <c r="AA6" s="120">
        <v>1</v>
      </c>
      <c r="AB6" s="120">
        <v>113.12</v>
      </c>
      <c r="AC6" s="118"/>
      <c r="AD6" s="120">
        <v>232.20757</v>
      </c>
      <c r="AE6" s="118"/>
      <c r="AF6" s="118"/>
      <c r="AG6" s="118"/>
      <c r="AH6" s="121">
        <v>6.7400000000000001E-4</v>
      </c>
      <c r="AI6" s="121">
        <v>4.0439999999999999E-3</v>
      </c>
      <c r="AJ6" s="121">
        <v>8.2000000000000001E-5</v>
      </c>
    </row>
    <row r="7" spans="1:36" ht="15" customHeight="1">
      <c r="A7" s="119">
        <v>307</v>
      </c>
      <c r="B7" s="119">
        <v>307</v>
      </c>
      <c r="C7" s="118" t="s">
        <v>1258</v>
      </c>
      <c r="D7" s="119">
        <v>520032046</v>
      </c>
      <c r="E7" s="118" t="s">
        <v>308</v>
      </c>
      <c r="F7" s="118" t="s">
        <v>1265</v>
      </c>
      <c r="G7" s="119" t="s">
        <v>1266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1214</v>
      </c>
      <c r="Q7" s="118" t="s">
        <v>412</v>
      </c>
      <c r="R7" s="118" t="s">
        <v>406</v>
      </c>
      <c r="S7" s="118" t="s">
        <v>1211</v>
      </c>
      <c r="T7" s="120">
        <v>3.43</v>
      </c>
      <c r="U7" s="122">
        <v>47950</v>
      </c>
      <c r="V7" s="121">
        <v>1E-3</v>
      </c>
      <c r="W7" s="121">
        <v>2.4799999999999999E-2</v>
      </c>
      <c r="X7" s="118" t="s">
        <v>411</v>
      </c>
      <c r="Y7" s="118"/>
      <c r="Z7" s="120">
        <v>420012</v>
      </c>
      <c r="AA7" s="120">
        <v>1</v>
      </c>
      <c r="AB7" s="120">
        <v>102.63</v>
      </c>
      <c r="AC7" s="118"/>
      <c r="AD7" s="120">
        <v>431.05831999999998</v>
      </c>
      <c r="AE7" s="118"/>
      <c r="AF7" s="118"/>
      <c r="AG7" s="118"/>
      <c r="AH7" s="121">
        <v>1.6100000000000001E-4</v>
      </c>
      <c r="AI7" s="121">
        <v>7.5079999999999999E-3</v>
      </c>
      <c r="AJ7" s="121">
        <v>1.5300000000000001E-4</v>
      </c>
    </row>
    <row r="8" spans="1:36" ht="15" customHeight="1">
      <c r="A8" s="119">
        <v>307</v>
      </c>
      <c r="B8" s="119">
        <v>307</v>
      </c>
      <c r="C8" s="118" t="s">
        <v>1258</v>
      </c>
      <c r="D8" s="119">
        <v>520032046</v>
      </c>
      <c r="E8" s="118" t="s">
        <v>308</v>
      </c>
      <c r="F8" s="118" t="s">
        <v>1267</v>
      </c>
      <c r="G8" s="119" t="s">
        <v>1268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1214</v>
      </c>
      <c r="Q8" s="118" t="s">
        <v>412</v>
      </c>
      <c r="R8" s="118" t="s">
        <v>406</v>
      </c>
      <c r="S8" s="118" t="s">
        <v>1211</v>
      </c>
      <c r="T8" s="120">
        <v>4.38</v>
      </c>
      <c r="U8" s="122">
        <v>48938</v>
      </c>
      <c r="V8" s="121">
        <v>1.9900000000000001E-2</v>
      </c>
      <c r="W8" s="121">
        <v>2.5700000000000001E-2</v>
      </c>
      <c r="X8" s="118" t="s">
        <v>411</v>
      </c>
      <c r="Y8" s="118"/>
      <c r="Z8" s="120">
        <v>4800000</v>
      </c>
      <c r="AA8" s="120">
        <v>1</v>
      </c>
      <c r="AB8" s="120">
        <v>102.5</v>
      </c>
      <c r="AC8" s="118"/>
      <c r="AD8" s="120">
        <v>4920</v>
      </c>
      <c r="AE8" s="118"/>
      <c r="AF8" s="118"/>
      <c r="AG8" s="118"/>
      <c r="AH8" s="121">
        <v>1.7769999999999999E-3</v>
      </c>
      <c r="AI8" s="121">
        <v>8.5694999999999993E-2</v>
      </c>
      <c r="AJ8" s="121">
        <v>1.748E-3</v>
      </c>
    </row>
    <row r="9" spans="1:36" ht="15" customHeight="1">
      <c r="A9" s="119">
        <v>307</v>
      </c>
      <c r="B9" s="119">
        <v>307</v>
      </c>
      <c r="C9" s="118" t="s">
        <v>1269</v>
      </c>
      <c r="D9" s="119">
        <v>520018078</v>
      </c>
      <c r="E9" s="118" t="s">
        <v>308</v>
      </c>
      <c r="F9" s="118" t="s">
        <v>1270</v>
      </c>
      <c r="G9" s="119" t="s">
        <v>1271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1214</v>
      </c>
      <c r="Q9" s="118" t="s">
        <v>412</v>
      </c>
      <c r="R9" s="118" t="s">
        <v>406</v>
      </c>
      <c r="S9" s="118" t="s">
        <v>1211</v>
      </c>
      <c r="T9" s="120">
        <v>5.04</v>
      </c>
      <c r="U9" s="122">
        <v>48913</v>
      </c>
      <c r="V9" s="121">
        <v>2.0199999999999999E-2</v>
      </c>
      <c r="W9" s="121">
        <v>2.5899999999999999E-2</v>
      </c>
      <c r="X9" s="118" t="s">
        <v>411</v>
      </c>
      <c r="Y9" s="118"/>
      <c r="Z9" s="120">
        <v>4800000</v>
      </c>
      <c r="AA9" s="120">
        <v>1</v>
      </c>
      <c r="AB9" s="120">
        <v>101.35</v>
      </c>
      <c r="AC9" s="118"/>
      <c r="AD9" s="120">
        <v>4864.8</v>
      </c>
      <c r="AE9" s="118"/>
      <c r="AF9" s="118"/>
      <c r="AG9" s="118"/>
      <c r="AH9" s="121">
        <v>1.3450000000000001E-3</v>
      </c>
      <c r="AI9" s="121">
        <v>8.4733000000000003E-2</v>
      </c>
      <c r="AJ9" s="121">
        <v>1.7279999999999999E-3</v>
      </c>
    </row>
    <row r="10" spans="1:36" ht="15" customHeight="1">
      <c r="A10" s="119">
        <v>307</v>
      </c>
      <c r="B10" s="119">
        <v>307</v>
      </c>
      <c r="C10" s="118" t="s">
        <v>1272</v>
      </c>
      <c r="D10" s="119">
        <v>520029935</v>
      </c>
      <c r="E10" s="118" t="s">
        <v>308</v>
      </c>
      <c r="F10" s="118" t="s">
        <v>1273</v>
      </c>
      <c r="G10" s="119" t="s">
        <v>1274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1214</v>
      </c>
      <c r="Q10" s="118" t="s">
        <v>412</v>
      </c>
      <c r="R10" s="118" t="s">
        <v>406</v>
      </c>
      <c r="S10" s="118" t="s">
        <v>1211</v>
      </c>
      <c r="T10" s="120">
        <v>3.98</v>
      </c>
      <c r="U10" s="122">
        <v>48441</v>
      </c>
      <c r="V10" s="121">
        <v>2E-3</v>
      </c>
      <c r="W10" s="121">
        <v>2.52E-2</v>
      </c>
      <c r="X10" s="118" t="s">
        <v>411</v>
      </c>
      <c r="Y10" s="118"/>
      <c r="Z10" s="120">
        <v>1431128.42</v>
      </c>
      <c r="AA10" s="120">
        <v>1</v>
      </c>
      <c r="AB10" s="120">
        <v>102.6</v>
      </c>
      <c r="AC10" s="118"/>
      <c r="AD10" s="120">
        <v>1468.3377599999999</v>
      </c>
      <c r="AE10" s="118"/>
      <c r="AF10" s="118"/>
      <c r="AG10" s="118"/>
      <c r="AH10" s="121">
        <v>3.9300000000000001E-4</v>
      </c>
      <c r="AI10" s="121">
        <v>2.5575000000000001E-2</v>
      </c>
      <c r="AJ10" s="121">
        <v>5.2099999999999998E-4</v>
      </c>
    </row>
    <row r="11" spans="1:36" ht="15" customHeight="1">
      <c r="A11" s="119">
        <v>307</v>
      </c>
      <c r="B11" s="119">
        <v>307</v>
      </c>
      <c r="C11" s="118" t="s">
        <v>1269</v>
      </c>
      <c r="D11" s="119">
        <v>520018078</v>
      </c>
      <c r="E11" s="118" t="s">
        <v>308</v>
      </c>
      <c r="F11" s="118" t="s">
        <v>1275</v>
      </c>
      <c r="G11" s="119" t="s">
        <v>1276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1214</v>
      </c>
      <c r="Q11" s="118" t="s">
        <v>412</v>
      </c>
      <c r="R11" s="118" t="s">
        <v>406</v>
      </c>
      <c r="S11" s="118" t="s">
        <v>1211</v>
      </c>
      <c r="T11" s="120">
        <v>3.14</v>
      </c>
      <c r="U11" s="122">
        <v>46716</v>
      </c>
      <c r="V11" s="121">
        <v>1E-3</v>
      </c>
      <c r="W11" s="121">
        <v>2.3099999999999999E-2</v>
      </c>
      <c r="X11" s="118" t="s">
        <v>411</v>
      </c>
      <c r="Y11" s="118"/>
      <c r="Z11" s="120">
        <v>428000</v>
      </c>
      <c r="AA11" s="120">
        <v>1</v>
      </c>
      <c r="AB11" s="120">
        <v>105.15</v>
      </c>
      <c r="AC11" s="118"/>
      <c r="AD11" s="120">
        <v>450.04199999999997</v>
      </c>
      <c r="AE11" s="118"/>
      <c r="AF11" s="118"/>
      <c r="AG11" s="118"/>
      <c r="AH11" s="121">
        <v>1.36E-4</v>
      </c>
      <c r="AI11" s="121">
        <v>7.8379999999999995E-3</v>
      </c>
      <c r="AJ11" s="121">
        <v>1.5899999999999999E-4</v>
      </c>
    </row>
    <row r="12" spans="1:36" ht="15" customHeight="1">
      <c r="A12" s="119">
        <v>307</v>
      </c>
      <c r="B12" s="119">
        <v>307</v>
      </c>
      <c r="C12" s="118" t="s">
        <v>1212</v>
      </c>
      <c r="D12" s="119">
        <v>520000118</v>
      </c>
      <c r="E12" s="118" t="s">
        <v>308</v>
      </c>
      <c r="F12" s="118" t="s">
        <v>1277</v>
      </c>
      <c r="G12" s="119" t="s">
        <v>1278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447</v>
      </c>
      <c r="O12" s="118" t="s">
        <v>338</v>
      </c>
      <c r="P12" s="118" t="s">
        <v>1214</v>
      </c>
      <c r="Q12" s="118" t="s">
        <v>412</v>
      </c>
      <c r="R12" s="118" t="s">
        <v>406</v>
      </c>
      <c r="S12" s="118" t="s">
        <v>1211</v>
      </c>
      <c r="T12" s="120">
        <v>3.01</v>
      </c>
      <c r="U12" s="122">
        <v>47819</v>
      </c>
      <c r="V12" s="121">
        <v>1.7500000000000002E-2</v>
      </c>
      <c r="W12" s="121">
        <v>2.35E-2</v>
      </c>
      <c r="X12" s="118" t="s">
        <v>411</v>
      </c>
      <c r="Y12" s="118"/>
      <c r="Z12" s="120">
        <v>366566.71</v>
      </c>
      <c r="AA12" s="120">
        <v>1</v>
      </c>
      <c r="AB12" s="120">
        <v>114.28</v>
      </c>
      <c r="AC12" s="118"/>
      <c r="AD12" s="120">
        <v>418.91244</v>
      </c>
      <c r="AE12" s="118"/>
      <c r="AF12" s="118"/>
      <c r="AG12" s="118"/>
      <c r="AH12" s="121">
        <v>1.3999999999999999E-4</v>
      </c>
      <c r="AI12" s="121">
        <v>7.2960000000000004E-3</v>
      </c>
      <c r="AJ12" s="121">
        <v>1.4799999999999999E-4</v>
      </c>
    </row>
    <row r="13" spans="1:36" ht="15" customHeight="1">
      <c r="A13" s="119">
        <v>307</v>
      </c>
      <c r="B13" s="119">
        <v>307</v>
      </c>
      <c r="C13" s="118" t="s">
        <v>1279</v>
      </c>
      <c r="D13" s="119">
        <v>513436394</v>
      </c>
      <c r="E13" s="118" t="s">
        <v>308</v>
      </c>
      <c r="F13" s="118" t="s">
        <v>1280</v>
      </c>
      <c r="G13" s="119" t="s">
        <v>1281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476</v>
      </c>
      <c r="O13" s="118" t="s">
        <v>338</v>
      </c>
      <c r="P13" s="118" t="s">
        <v>1282</v>
      </c>
      <c r="Q13" s="118" t="s">
        <v>414</v>
      </c>
      <c r="R13" s="118" t="s">
        <v>406</v>
      </c>
      <c r="S13" s="118" t="s">
        <v>1211</v>
      </c>
      <c r="T13" s="120">
        <v>5.47</v>
      </c>
      <c r="U13" s="122">
        <v>48760</v>
      </c>
      <c r="V13" s="121">
        <v>2.9499999999999998E-2</v>
      </c>
      <c r="W13" s="121">
        <v>2.7400000000000001E-2</v>
      </c>
      <c r="X13" s="118" t="s">
        <v>411</v>
      </c>
      <c r="Y13" s="118"/>
      <c r="Z13" s="120">
        <v>2018896.79</v>
      </c>
      <c r="AA13" s="120">
        <v>1</v>
      </c>
      <c r="AB13" s="120">
        <v>116.33</v>
      </c>
      <c r="AC13" s="118"/>
      <c r="AD13" s="120">
        <v>2348.5826400000001</v>
      </c>
      <c r="AE13" s="118"/>
      <c r="AF13" s="118"/>
      <c r="AG13" s="118"/>
      <c r="AH13" s="121">
        <v>1.371E-3</v>
      </c>
      <c r="AI13" s="121">
        <v>4.0905999999999998E-2</v>
      </c>
      <c r="AJ13" s="121">
        <v>8.34E-4</v>
      </c>
    </row>
    <row r="14" spans="1:36" ht="15" customHeight="1">
      <c r="A14" s="119">
        <v>307</v>
      </c>
      <c r="B14" s="119">
        <v>307</v>
      </c>
      <c r="C14" s="118" t="s">
        <v>1269</v>
      </c>
      <c r="D14" s="119">
        <v>520018078</v>
      </c>
      <c r="E14" s="118" t="s">
        <v>308</v>
      </c>
      <c r="F14" s="118" t="s">
        <v>1283</v>
      </c>
      <c r="G14" s="119" t="s">
        <v>1284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447</v>
      </c>
      <c r="O14" s="118" t="s">
        <v>338</v>
      </c>
      <c r="P14" s="118" t="s">
        <v>1214</v>
      </c>
      <c r="Q14" s="118" t="s">
        <v>412</v>
      </c>
      <c r="R14" s="118" t="s">
        <v>406</v>
      </c>
      <c r="S14" s="118" t="s">
        <v>1211</v>
      </c>
      <c r="T14" s="120">
        <v>5.14</v>
      </c>
      <c r="U14" s="122">
        <v>47447</v>
      </c>
      <c r="V14" s="121">
        <v>1E-3</v>
      </c>
      <c r="W14" s="121">
        <v>2.6200000000000001E-2</v>
      </c>
      <c r="X14" s="118" t="s">
        <v>411</v>
      </c>
      <c r="Y14" s="118"/>
      <c r="Z14" s="120">
        <v>907509</v>
      </c>
      <c r="AA14" s="120">
        <v>1</v>
      </c>
      <c r="AB14" s="120">
        <v>99.1</v>
      </c>
      <c r="AC14" s="118"/>
      <c r="AD14" s="120">
        <v>899.34141999999997</v>
      </c>
      <c r="AE14" s="118"/>
      <c r="AF14" s="118"/>
      <c r="AG14" s="118"/>
      <c r="AH14" s="121">
        <v>3.6400000000000001E-4</v>
      </c>
      <c r="AI14" s="121">
        <v>1.5664000000000001E-2</v>
      </c>
      <c r="AJ14" s="121">
        <v>3.19E-4</v>
      </c>
    </row>
    <row r="15" spans="1:36" ht="15" customHeight="1">
      <c r="A15" s="119">
        <v>307</v>
      </c>
      <c r="B15" s="119">
        <v>307</v>
      </c>
      <c r="C15" s="118" t="s">
        <v>1261</v>
      </c>
      <c r="D15" s="119">
        <v>513893123</v>
      </c>
      <c r="E15" s="118" t="s">
        <v>308</v>
      </c>
      <c r="F15" s="118" t="s">
        <v>1285</v>
      </c>
      <c r="G15" s="119" t="s">
        <v>1286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442</v>
      </c>
      <c r="O15" s="118" t="s">
        <v>338</v>
      </c>
      <c r="P15" s="118" t="s">
        <v>1264</v>
      </c>
      <c r="Q15" s="118" t="s">
        <v>414</v>
      </c>
      <c r="R15" s="118" t="s">
        <v>406</v>
      </c>
      <c r="S15" s="118" t="s">
        <v>1211</v>
      </c>
      <c r="T15" s="120">
        <v>1.64</v>
      </c>
      <c r="U15" s="122">
        <v>46477</v>
      </c>
      <c r="V15" s="121">
        <v>3.5400000000000001E-2</v>
      </c>
      <c r="W15" s="121">
        <v>7.9600000000000004E-2</v>
      </c>
      <c r="X15" s="118" t="s">
        <v>411</v>
      </c>
      <c r="Y15" s="118"/>
      <c r="Z15" s="120">
        <v>-2502.48</v>
      </c>
      <c r="AA15" s="120">
        <v>1</v>
      </c>
      <c r="AB15" s="120">
        <v>100</v>
      </c>
      <c r="AC15" s="118"/>
      <c r="AD15" s="120">
        <v>-2.5024799999999998</v>
      </c>
      <c r="AE15" s="118"/>
      <c r="AF15" s="118"/>
      <c r="AG15" s="118"/>
      <c r="AH15" s="121">
        <v>-1.9999999999999999E-6</v>
      </c>
      <c r="AI15" s="121">
        <v>-4.3000000000000002E-5</v>
      </c>
      <c r="AJ15" s="121">
        <v>0</v>
      </c>
    </row>
    <row r="16" spans="1:36" ht="15" customHeight="1">
      <c r="A16" s="119">
        <v>307</v>
      </c>
      <c r="B16" s="119">
        <v>307</v>
      </c>
      <c r="C16" s="118" t="s">
        <v>1287</v>
      </c>
      <c r="D16" s="119">
        <v>510960719</v>
      </c>
      <c r="E16" s="118" t="s">
        <v>308</v>
      </c>
      <c r="F16" s="118" t="s">
        <v>1288</v>
      </c>
      <c r="G16" s="119" t="s">
        <v>1289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463</v>
      </c>
      <c r="O16" s="118" t="s">
        <v>338</v>
      </c>
      <c r="P16" s="118" t="s">
        <v>1282</v>
      </c>
      <c r="Q16" s="118" t="s">
        <v>414</v>
      </c>
      <c r="R16" s="118" t="s">
        <v>406</v>
      </c>
      <c r="S16" s="118" t="s">
        <v>1211</v>
      </c>
      <c r="T16" s="120">
        <v>2.5499999999999998</v>
      </c>
      <c r="U16" s="122">
        <v>46934</v>
      </c>
      <c r="V16" s="121">
        <v>1.77E-2</v>
      </c>
      <c r="W16" s="121">
        <v>2.7099999999999999E-2</v>
      </c>
      <c r="X16" s="118" t="s">
        <v>411</v>
      </c>
      <c r="Y16" s="118"/>
      <c r="Z16" s="120">
        <v>476000</v>
      </c>
      <c r="AA16" s="120">
        <v>1</v>
      </c>
      <c r="AB16" s="120">
        <v>113.19</v>
      </c>
      <c r="AC16" s="118"/>
      <c r="AD16" s="120">
        <v>538.78440000000001</v>
      </c>
      <c r="AE16" s="118"/>
      <c r="AF16" s="118"/>
      <c r="AG16" s="118"/>
      <c r="AH16" s="121">
        <v>1.83E-4</v>
      </c>
      <c r="AI16" s="121">
        <v>9.384E-3</v>
      </c>
      <c r="AJ16" s="121">
        <v>1.9100000000000001E-4</v>
      </c>
    </row>
    <row r="17" spans="1:36" ht="15" customHeight="1">
      <c r="A17" s="119">
        <v>307</v>
      </c>
      <c r="B17" s="119">
        <v>307</v>
      </c>
      <c r="C17" s="118" t="s">
        <v>1258</v>
      </c>
      <c r="D17" s="119">
        <v>520032046</v>
      </c>
      <c r="E17" s="118" t="s">
        <v>308</v>
      </c>
      <c r="F17" s="118" t="s">
        <v>1290</v>
      </c>
      <c r="G17" s="119" t="s">
        <v>1291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1214</v>
      </c>
      <c r="Q17" s="118" t="s">
        <v>412</v>
      </c>
      <c r="R17" s="118" t="s">
        <v>406</v>
      </c>
      <c r="S17" s="118" t="s">
        <v>1211</v>
      </c>
      <c r="T17" s="120">
        <v>3.48</v>
      </c>
      <c r="U17" s="122">
        <v>48190</v>
      </c>
      <c r="V17" s="121">
        <v>1.6400000000000001E-2</v>
      </c>
      <c r="W17" s="121">
        <v>2.4500000000000001E-2</v>
      </c>
      <c r="X17" s="118" t="s">
        <v>411</v>
      </c>
      <c r="Y17" s="118"/>
      <c r="Z17" s="120">
        <v>981345.6</v>
      </c>
      <c r="AA17" s="120">
        <v>1</v>
      </c>
      <c r="AB17" s="120">
        <v>105.53</v>
      </c>
      <c r="AC17" s="118"/>
      <c r="AD17" s="120">
        <v>1035.61401</v>
      </c>
      <c r="AE17" s="118"/>
      <c r="AF17" s="118"/>
      <c r="AG17" s="118"/>
      <c r="AH17" s="121">
        <v>9.1200000000000005E-4</v>
      </c>
      <c r="AI17" s="121">
        <v>1.8037999999999998E-2</v>
      </c>
      <c r="AJ17" s="121">
        <v>3.6699999999999998E-4</v>
      </c>
    </row>
    <row r="18" spans="1:36" ht="15" customHeight="1">
      <c r="A18" s="119">
        <v>307</v>
      </c>
      <c r="B18" s="119">
        <v>307</v>
      </c>
      <c r="C18" s="118" t="s">
        <v>1212</v>
      </c>
      <c r="D18" s="119">
        <v>520000118</v>
      </c>
      <c r="E18" s="118" t="s">
        <v>308</v>
      </c>
      <c r="F18" s="118" t="s">
        <v>1292</v>
      </c>
      <c r="G18" s="119" t="s">
        <v>1293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1294</v>
      </c>
      <c r="Q18" s="118" t="s">
        <v>412</v>
      </c>
      <c r="R18" s="118" t="s">
        <v>406</v>
      </c>
      <c r="S18" s="118" t="s">
        <v>1211</v>
      </c>
      <c r="T18" s="120">
        <v>3.87</v>
      </c>
      <c r="U18" s="122">
        <v>47086</v>
      </c>
      <c r="V18" s="121">
        <v>3.09E-2</v>
      </c>
      <c r="W18" s="121">
        <v>3.0499999999999999E-2</v>
      </c>
      <c r="X18" s="118" t="s">
        <v>410</v>
      </c>
      <c r="Y18" s="118"/>
      <c r="Z18" s="120">
        <v>350000</v>
      </c>
      <c r="AA18" s="120">
        <v>1</v>
      </c>
      <c r="AB18" s="120">
        <v>110.02</v>
      </c>
      <c r="AC18" s="118"/>
      <c r="AD18" s="120">
        <v>385.07</v>
      </c>
      <c r="AE18" s="118"/>
      <c r="AF18" s="118"/>
      <c r="AG18" s="118"/>
      <c r="AH18" s="121">
        <v>3.68E-4</v>
      </c>
      <c r="AI18" s="121">
        <v>6.7070000000000003E-3</v>
      </c>
      <c r="AJ18" s="121">
        <v>1.36E-4</v>
      </c>
    </row>
    <row r="19" spans="1:36" ht="15" customHeight="1">
      <c r="A19" s="119">
        <v>307</v>
      </c>
      <c r="B19" s="119">
        <v>307</v>
      </c>
      <c r="C19" s="118" t="s">
        <v>1295</v>
      </c>
      <c r="D19" s="119">
        <v>520010869</v>
      </c>
      <c r="E19" s="118" t="s">
        <v>308</v>
      </c>
      <c r="F19" s="118" t="s">
        <v>1296</v>
      </c>
      <c r="G19" s="119" t="s">
        <v>1297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476</v>
      </c>
      <c r="O19" s="118" t="s">
        <v>338</v>
      </c>
      <c r="P19" s="118" t="s">
        <v>1257</v>
      </c>
      <c r="Q19" s="118" t="s">
        <v>311</v>
      </c>
      <c r="R19" s="118" t="s">
        <v>406</v>
      </c>
      <c r="S19" s="118" t="s">
        <v>1211</v>
      </c>
      <c r="T19" s="120">
        <v>11.44</v>
      </c>
      <c r="U19" s="122">
        <v>56249</v>
      </c>
      <c r="V19" s="121">
        <v>2.07E-2</v>
      </c>
      <c r="W19" s="121">
        <v>3.2899999999999999E-2</v>
      </c>
      <c r="X19" s="118" t="s">
        <v>411</v>
      </c>
      <c r="Y19" s="118"/>
      <c r="Z19" s="120">
        <v>6417225.9000000004</v>
      </c>
      <c r="AA19" s="120">
        <v>1</v>
      </c>
      <c r="AB19" s="120">
        <v>99.37</v>
      </c>
      <c r="AC19" s="118"/>
      <c r="AD19" s="120">
        <v>6376.79738</v>
      </c>
      <c r="AE19" s="118"/>
      <c r="AF19" s="118"/>
      <c r="AG19" s="118"/>
      <c r="AH19" s="121">
        <v>1.4090000000000001E-3</v>
      </c>
      <c r="AI19" s="121">
        <v>0.111069</v>
      </c>
      <c r="AJ19" s="121">
        <v>2.2650000000000001E-3</v>
      </c>
    </row>
    <row r="20" spans="1:36" ht="15" customHeight="1">
      <c r="A20" s="119">
        <v>307</v>
      </c>
      <c r="B20" s="119">
        <v>307</v>
      </c>
      <c r="C20" s="118" t="s">
        <v>1261</v>
      </c>
      <c r="D20" s="119">
        <v>513893123</v>
      </c>
      <c r="E20" s="118" t="s">
        <v>308</v>
      </c>
      <c r="F20" s="118" t="s">
        <v>1298</v>
      </c>
      <c r="G20" s="119" t="s">
        <v>1286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442</v>
      </c>
      <c r="O20" s="118" t="s">
        <v>338</v>
      </c>
      <c r="P20" s="118" t="s">
        <v>1264</v>
      </c>
      <c r="Q20" s="118" t="s">
        <v>414</v>
      </c>
      <c r="R20" s="118" t="s">
        <v>406</v>
      </c>
      <c r="S20" s="118" t="s">
        <v>1211</v>
      </c>
      <c r="T20" s="120">
        <v>1.66</v>
      </c>
      <c r="U20" s="122">
        <v>46477</v>
      </c>
      <c r="V20" s="121">
        <v>3.5400000000000001E-2</v>
      </c>
      <c r="W20" s="121">
        <v>3.2199999999999999E-2</v>
      </c>
      <c r="X20" s="118" t="s">
        <v>411</v>
      </c>
      <c r="Y20" s="118"/>
      <c r="Z20" s="120">
        <v>713657</v>
      </c>
      <c r="AA20" s="120">
        <v>1</v>
      </c>
      <c r="AB20" s="120">
        <v>107.7</v>
      </c>
      <c r="AC20" s="118"/>
      <c r="AD20" s="120">
        <v>768.60859000000005</v>
      </c>
      <c r="AE20" s="118"/>
      <c r="AF20" s="118"/>
      <c r="AG20" s="118"/>
      <c r="AH20" s="121">
        <v>6.38E-4</v>
      </c>
      <c r="AI20" s="121">
        <v>1.3387E-2</v>
      </c>
      <c r="AJ20" s="121">
        <v>2.7300000000000002E-4</v>
      </c>
    </row>
    <row r="21" spans="1:36" ht="15" customHeight="1">
      <c r="A21" s="119">
        <v>307</v>
      </c>
      <c r="B21" s="119">
        <v>307</v>
      </c>
      <c r="C21" s="118" t="s">
        <v>1258</v>
      </c>
      <c r="D21" s="119">
        <v>520032046</v>
      </c>
      <c r="E21" s="118" t="s">
        <v>308</v>
      </c>
      <c r="F21" s="118" t="s">
        <v>1299</v>
      </c>
      <c r="G21" s="119" t="s">
        <v>1300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1214</v>
      </c>
      <c r="Q21" s="118" t="s">
        <v>412</v>
      </c>
      <c r="R21" s="118" t="s">
        <v>406</v>
      </c>
      <c r="S21" s="118" t="s">
        <v>1211</v>
      </c>
      <c r="T21" s="120">
        <v>4.05</v>
      </c>
      <c r="U21" s="122">
        <v>47048</v>
      </c>
      <c r="V21" s="121">
        <v>1E-3</v>
      </c>
      <c r="W21" s="121">
        <v>2.5000000000000001E-2</v>
      </c>
      <c r="X21" s="118" t="s">
        <v>411</v>
      </c>
      <c r="Y21" s="118"/>
      <c r="Z21" s="120">
        <v>16731519</v>
      </c>
      <c r="AA21" s="120">
        <v>1</v>
      </c>
      <c r="AB21" s="120">
        <v>102.41</v>
      </c>
      <c r="AC21" s="118"/>
      <c r="AD21" s="120">
        <v>17134.748609999999</v>
      </c>
      <c r="AE21" s="118"/>
      <c r="AF21" s="118"/>
      <c r="AG21" s="118"/>
      <c r="AH21" s="121">
        <v>4.9540000000000001E-3</v>
      </c>
      <c r="AI21" s="121">
        <v>0.29844700000000002</v>
      </c>
      <c r="AJ21" s="121">
        <v>6.0879999999999997E-3</v>
      </c>
    </row>
    <row r="22" spans="1:36" ht="15" customHeight="1">
      <c r="A22" s="119">
        <v>307</v>
      </c>
      <c r="B22" s="119">
        <v>307</v>
      </c>
      <c r="C22" s="118" t="s">
        <v>1212</v>
      </c>
      <c r="D22" s="119">
        <v>520000118</v>
      </c>
      <c r="E22" s="118" t="s">
        <v>308</v>
      </c>
      <c r="F22" s="118" t="s">
        <v>1301</v>
      </c>
      <c r="G22" s="119" t="s">
        <v>1302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1214</v>
      </c>
      <c r="Q22" s="118" t="s">
        <v>412</v>
      </c>
      <c r="R22" s="118" t="s">
        <v>406</v>
      </c>
      <c r="S22" s="118" t="s">
        <v>1211</v>
      </c>
      <c r="T22" s="120">
        <v>3.91</v>
      </c>
      <c r="U22" s="122">
        <v>48547</v>
      </c>
      <c r="V22" s="121">
        <v>1.3899999999999999E-2</v>
      </c>
      <c r="W22" s="121">
        <v>2.4799999999999999E-2</v>
      </c>
      <c r="X22" s="118" t="s">
        <v>411</v>
      </c>
      <c r="Y22" s="118"/>
      <c r="Z22" s="120">
        <v>267300</v>
      </c>
      <c r="AA22" s="120">
        <v>1</v>
      </c>
      <c r="AB22" s="120">
        <v>103.84</v>
      </c>
      <c r="AC22" s="118"/>
      <c r="AD22" s="120">
        <v>277.56432000000001</v>
      </c>
      <c r="AE22" s="118"/>
      <c r="AF22" s="118"/>
      <c r="AG22" s="118"/>
      <c r="AH22" s="121">
        <v>1.4799999999999999E-4</v>
      </c>
      <c r="AI22" s="121">
        <v>4.8339999999999998E-3</v>
      </c>
      <c r="AJ22" s="121">
        <v>9.7999999999999997E-5</v>
      </c>
    </row>
    <row r="23" spans="1:36" ht="15" customHeight="1">
      <c r="A23" s="119">
        <v>307</v>
      </c>
      <c r="B23" s="119">
        <v>307</v>
      </c>
      <c r="C23" s="118" t="s">
        <v>1254</v>
      </c>
      <c r="D23" s="119">
        <v>520000472</v>
      </c>
      <c r="E23" s="118" t="s">
        <v>308</v>
      </c>
      <c r="F23" s="118" t="s">
        <v>1303</v>
      </c>
      <c r="G23" s="119" t="s">
        <v>1304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439</v>
      </c>
      <c r="O23" s="118" t="s">
        <v>338</v>
      </c>
      <c r="P23" s="118" t="s">
        <v>1257</v>
      </c>
      <c r="Q23" s="118" t="s">
        <v>311</v>
      </c>
      <c r="R23" s="118" t="s">
        <v>406</v>
      </c>
      <c r="S23" s="118" t="s">
        <v>1211</v>
      </c>
      <c r="T23" s="120">
        <v>10.76</v>
      </c>
      <c r="U23" s="122">
        <v>49825</v>
      </c>
      <c r="V23" s="121">
        <v>1.2500000000000001E-2</v>
      </c>
      <c r="W23" s="121">
        <v>3.49E-2</v>
      </c>
      <c r="X23" s="118" t="s">
        <v>411</v>
      </c>
      <c r="Y23" s="118"/>
      <c r="Z23" s="120">
        <v>745200</v>
      </c>
      <c r="AA23" s="120">
        <v>1</v>
      </c>
      <c r="AB23" s="120">
        <v>90</v>
      </c>
      <c r="AC23" s="118"/>
      <c r="AD23" s="120">
        <v>670.68</v>
      </c>
      <c r="AE23" s="118"/>
      <c r="AF23" s="118"/>
      <c r="AG23" s="118"/>
      <c r="AH23" s="121">
        <v>1.73E-4</v>
      </c>
      <c r="AI23" s="121">
        <v>1.1681E-2</v>
      </c>
      <c r="AJ23" s="121">
        <v>2.3800000000000001E-4</v>
      </c>
    </row>
    <row r="24" spans="1:36" ht="15" customHeight="1">
      <c r="A24" s="119">
        <v>307</v>
      </c>
      <c r="B24" s="119">
        <v>307</v>
      </c>
      <c r="C24" s="118" t="s">
        <v>1258</v>
      </c>
      <c r="D24" s="119">
        <v>520032046</v>
      </c>
      <c r="E24" s="118" t="s">
        <v>308</v>
      </c>
      <c r="F24" s="118" t="s">
        <v>1305</v>
      </c>
      <c r="G24" s="119" t="s">
        <v>1306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447</v>
      </c>
      <c r="O24" s="118" t="s">
        <v>338</v>
      </c>
      <c r="P24" s="118" t="s">
        <v>1214</v>
      </c>
      <c r="Q24" s="118" t="s">
        <v>412</v>
      </c>
      <c r="R24" s="118" t="s">
        <v>406</v>
      </c>
      <c r="S24" s="118" t="s">
        <v>1211</v>
      </c>
      <c r="T24" s="120">
        <v>2.96</v>
      </c>
      <c r="U24" s="122">
        <v>46658</v>
      </c>
      <c r="V24" s="121">
        <v>1.2200000000000001E-2</v>
      </c>
      <c r="W24" s="121">
        <v>2.2599999999999999E-2</v>
      </c>
      <c r="X24" s="118" t="s">
        <v>411</v>
      </c>
      <c r="Y24" s="118"/>
      <c r="Z24" s="120">
        <v>2612762</v>
      </c>
      <c r="AA24" s="120">
        <v>1</v>
      </c>
      <c r="AB24" s="120">
        <v>113.04</v>
      </c>
      <c r="AC24" s="118"/>
      <c r="AD24" s="120">
        <v>2953.4661599999999</v>
      </c>
      <c r="AE24" s="118"/>
      <c r="AF24" s="118"/>
      <c r="AG24" s="118"/>
      <c r="AH24" s="121">
        <v>8.6600000000000002E-4</v>
      </c>
      <c r="AI24" s="121">
        <v>5.1442000000000002E-2</v>
      </c>
      <c r="AJ24" s="121">
        <v>1.049E-3</v>
      </c>
    </row>
    <row r="25" spans="1:36" ht="15" customHeight="1">
      <c r="A25" s="119">
        <v>307</v>
      </c>
      <c r="B25" s="119">
        <v>307</v>
      </c>
      <c r="C25" s="118" t="s">
        <v>1254</v>
      </c>
      <c r="D25" s="119">
        <v>520000472</v>
      </c>
      <c r="E25" s="118" t="s">
        <v>308</v>
      </c>
      <c r="F25" s="118" t="s">
        <v>1307</v>
      </c>
      <c r="G25" s="119" t="s">
        <v>1308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439</v>
      </c>
      <c r="O25" s="118" t="s">
        <v>338</v>
      </c>
      <c r="P25" s="118" t="s">
        <v>1257</v>
      </c>
      <c r="Q25" s="118" t="s">
        <v>311</v>
      </c>
      <c r="R25" s="118" t="s">
        <v>406</v>
      </c>
      <c r="S25" s="118" t="s">
        <v>1211</v>
      </c>
      <c r="T25" s="120">
        <v>5.8</v>
      </c>
      <c r="U25" s="122">
        <v>48112</v>
      </c>
      <c r="V25" s="121">
        <v>2.3900000000000001E-2</v>
      </c>
      <c r="W25" s="121">
        <v>2.92E-2</v>
      </c>
      <c r="X25" s="118" t="s">
        <v>411</v>
      </c>
      <c r="Y25" s="118"/>
      <c r="Z25" s="120">
        <v>3004577</v>
      </c>
      <c r="AA25" s="120">
        <v>1</v>
      </c>
      <c r="AB25" s="120">
        <v>111.74</v>
      </c>
      <c r="AC25" s="118"/>
      <c r="AD25" s="120">
        <v>3357.3143399999999</v>
      </c>
      <c r="AE25" s="118"/>
      <c r="AF25" s="118"/>
      <c r="AG25" s="118"/>
      <c r="AH25" s="121">
        <v>7.7200000000000001E-4</v>
      </c>
      <c r="AI25" s="121">
        <v>5.8476E-2</v>
      </c>
      <c r="AJ25" s="121">
        <v>1.1919999999999999E-3</v>
      </c>
    </row>
    <row r="26" spans="1:36" ht="15" customHeight="1">
      <c r="A26" s="119">
        <v>307</v>
      </c>
      <c r="B26" s="119">
        <v>307</v>
      </c>
      <c r="C26" s="118" t="s">
        <v>1212</v>
      </c>
      <c r="D26" s="119">
        <v>520000118</v>
      </c>
      <c r="E26" s="118" t="s">
        <v>308</v>
      </c>
      <c r="F26" s="118" t="s">
        <v>1309</v>
      </c>
      <c r="G26" s="119" t="s">
        <v>1310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447</v>
      </c>
      <c r="O26" s="118" t="s">
        <v>338</v>
      </c>
      <c r="P26" s="118" t="s">
        <v>1214</v>
      </c>
      <c r="Q26" s="118" t="s">
        <v>412</v>
      </c>
      <c r="R26" s="118" t="s">
        <v>406</v>
      </c>
      <c r="S26" s="118" t="s">
        <v>1211</v>
      </c>
      <c r="T26" s="120">
        <v>3.56</v>
      </c>
      <c r="U26" s="122">
        <v>48191</v>
      </c>
      <c r="V26" s="121">
        <v>1E-3</v>
      </c>
      <c r="W26" s="121">
        <v>2.4E-2</v>
      </c>
      <c r="X26" s="118" t="s">
        <v>411</v>
      </c>
      <c r="Y26" s="118"/>
      <c r="Z26" s="120">
        <v>1861808</v>
      </c>
      <c r="AA26" s="120">
        <v>1</v>
      </c>
      <c r="AB26" s="120">
        <v>103.73</v>
      </c>
      <c r="AC26" s="118"/>
      <c r="AD26" s="120">
        <v>1931.25344</v>
      </c>
      <c r="AE26" s="118"/>
      <c r="AF26" s="118"/>
      <c r="AG26" s="118"/>
      <c r="AH26" s="121">
        <v>1.655E-3</v>
      </c>
      <c r="AI26" s="121">
        <v>3.3637E-2</v>
      </c>
      <c r="AJ26" s="121">
        <v>6.8599999999999998E-4</v>
      </c>
    </row>
    <row r="27" spans="1:36" ht="15" customHeight="1">
      <c r="A27" s="119">
        <v>307</v>
      </c>
      <c r="B27" s="119">
        <v>307</v>
      </c>
      <c r="C27" s="118" t="s">
        <v>1295</v>
      </c>
      <c r="D27" s="119">
        <v>520010869</v>
      </c>
      <c r="E27" s="118" t="s">
        <v>308</v>
      </c>
      <c r="F27" s="118" t="s">
        <v>1311</v>
      </c>
      <c r="G27" s="119" t="s">
        <v>1312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476</v>
      </c>
      <c r="O27" s="118" t="s">
        <v>338</v>
      </c>
      <c r="P27" s="118" t="s">
        <v>1257</v>
      </c>
      <c r="Q27" s="118" t="s">
        <v>311</v>
      </c>
      <c r="R27" s="118" t="s">
        <v>406</v>
      </c>
      <c r="S27" s="118" t="s">
        <v>1211</v>
      </c>
      <c r="T27" s="120">
        <v>1.72</v>
      </c>
      <c r="U27" s="122">
        <v>46752</v>
      </c>
      <c r="V27" s="121">
        <v>1E-3</v>
      </c>
      <c r="W27" s="121">
        <v>1.9800000000000002E-2</v>
      </c>
      <c r="X27" s="118" t="s">
        <v>411</v>
      </c>
      <c r="Y27" s="118"/>
      <c r="Z27" s="120">
        <v>333600</v>
      </c>
      <c r="AA27" s="120">
        <v>1</v>
      </c>
      <c r="AB27" s="120">
        <v>110.07</v>
      </c>
      <c r="AC27" s="118"/>
      <c r="AD27" s="120">
        <v>367.19351999999998</v>
      </c>
      <c r="AE27" s="118"/>
      <c r="AF27" s="118"/>
      <c r="AG27" s="118"/>
      <c r="AH27" s="121">
        <v>3.8900000000000002E-4</v>
      </c>
      <c r="AI27" s="121">
        <v>6.3949999999999996E-3</v>
      </c>
      <c r="AJ27" s="121">
        <v>1.2999999999999999E-4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1"/>
  <sheetViews>
    <sheetView rightToLeft="1" topLeftCell="I1" workbookViewId="0">
      <selection activeCell="X21" sqref="X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1.12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1313</v>
      </c>
      <c r="D2" s="119">
        <v>511776783</v>
      </c>
      <c r="E2" s="118" t="s">
        <v>308</v>
      </c>
      <c r="F2" s="118" t="s">
        <v>1314</v>
      </c>
      <c r="G2" s="119" t="s">
        <v>1315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572</v>
      </c>
      <c r="N2" s="118" t="s">
        <v>338</v>
      </c>
      <c r="O2" s="118" t="s">
        <v>1211</v>
      </c>
      <c r="P2" s="120">
        <v>1089740</v>
      </c>
      <c r="Q2" s="120">
        <v>1</v>
      </c>
      <c r="R2" s="120">
        <v>373.22</v>
      </c>
      <c r="S2" s="120"/>
      <c r="T2" s="120">
        <v>4067.12763</v>
      </c>
      <c r="U2" s="121">
        <v>4.4689999999999999E-3</v>
      </c>
      <c r="V2" s="121">
        <v>1.1814E-2</v>
      </c>
      <c r="W2" s="121">
        <v>1.4450000000000001E-3</v>
      </c>
    </row>
    <row r="3" spans="1:26" ht="15" customHeight="1">
      <c r="A3" s="119">
        <v>307</v>
      </c>
      <c r="B3" s="119">
        <v>307</v>
      </c>
      <c r="C3" s="118" t="s">
        <v>1316</v>
      </c>
      <c r="D3" s="119">
        <v>513534974</v>
      </c>
      <c r="E3" s="118" t="s">
        <v>308</v>
      </c>
      <c r="F3" s="118" t="s">
        <v>1317</v>
      </c>
      <c r="G3" s="119" t="s">
        <v>1318</v>
      </c>
      <c r="H3" s="118" t="s">
        <v>320</v>
      </c>
      <c r="I3" s="118" t="s">
        <v>965</v>
      </c>
      <c r="J3" s="118" t="s">
        <v>203</v>
      </c>
      <c r="K3" s="118" t="s">
        <v>203</v>
      </c>
      <c r="L3" s="118" t="s">
        <v>339</v>
      </c>
      <c r="M3" s="130" t="s">
        <v>573</v>
      </c>
      <c r="N3" s="118" t="s">
        <v>338</v>
      </c>
      <c r="O3" s="118" t="s">
        <v>1211</v>
      </c>
      <c r="P3" s="120">
        <v>276104</v>
      </c>
      <c r="Q3" s="120">
        <v>1</v>
      </c>
      <c r="R3" s="120">
        <v>2092</v>
      </c>
      <c r="S3" s="118"/>
      <c r="T3" s="120">
        <v>5776.0956800000004</v>
      </c>
      <c r="U3" s="121">
        <v>1.0759999999999999E-3</v>
      </c>
      <c r="V3" s="121">
        <v>1.6778000000000001E-2</v>
      </c>
      <c r="W3" s="121">
        <v>2.052E-3</v>
      </c>
    </row>
    <row r="4" spans="1:26" ht="15" customHeight="1">
      <c r="A4" s="119">
        <v>307</v>
      </c>
      <c r="B4" s="119">
        <v>307</v>
      </c>
      <c r="C4" s="118" t="s">
        <v>1319</v>
      </c>
      <c r="D4" s="119">
        <v>511303661</v>
      </c>
      <c r="E4" s="118" t="s">
        <v>308</v>
      </c>
      <c r="F4" s="118" t="s">
        <v>1320</v>
      </c>
      <c r="G4" s="119" t="s">
        <v>1321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575</v>
      </c>
      <c r="N4" s="118" t="s">
        <v>338</v>
      </c>
      <c r="O4" s="118" t="s">
        <v>1211</v>
      </c>
      <c r="P4" s="120">
        <v>1463405</v>
      </c>
      <c r="Q4" s="120">
        <v>1</v>
      </c>
      <c r="R4" s="120">
        <v>465.93</v>
      </c>
      <c r="S4" s="118"/>
      <c r="T4" s="120">
        <v>6818.4429200000004</v>
      </c>
      <c r="U4" s="121">
        <v>1.0102999999999999E-2</v>
      </c>
      <c r="V4" s="121">
        <v>1.9806000000000001E-2</v>
      </c>
      <c r="W4" s="121">
        <v>2.4220000000000001E-3</v>
      </c>
    </row>
    <row r="5" spans="1:26" ht="15" customHeight="1">
      <c r="A5" s="119">
        <v>307</v>
      </c>
      <c r="B5" s="119">
        <v>307</v>
      </c>
      <c r="C5" s="118" t="s">
        <v>1313</v>
      </c>
      <c r="D5" s="119">
        <v>511776783</v>
      </c>
      <c r="E5" s="118" t="s">
        <v>308</v>
      </c>
      <c r="F5" s="118" t="s">
        <v>1322</v>
      </c>
      <c r="G5" s="119" t="s">
        <v>1323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574</v>
      </c>
      <c r="N5" s="118" t="s">
        <v>338</v>
      </c>
      <c r="O5" s="118" t="s">
        <v>1211</v>
      </c>
      <c r="P5" s="120">
        <v>873020</v>
      </c>
      <c r="Q5" s="120">
        <v>1</v>
      </c>
      <c r="R5" s="120">
        <v>355.31</v>
      </c>
      <c r="S5" s="118"/>
      <c r="T5" s="120">
        <v>3101.9273600000001</v>
      </c>
      <c r="U5" s="121">
        <v>6.025E-3</v>
      </c>
      <c r="V5" s="121">
        <v>9.0100000000000006E-3</v>
      </c>
      <c r="W5" s="121">
        <v>1.1019999999999999E-3</v>
      </c>
    </row>
    <row r="6" spans="1:26" ht="15" customHeight="1">
      <c r="A6" s="119">
        <v>307</v>
      </c>
      <c r="B6" s="119">
        <v>307</v>
      </c>
      <c r="C6" s="118" t="s">
        <v>1324</v>
      </c>
      <c r="D6" s="119">
        <v>513765339</v>
      </c>
      <c r="E6" s="118" t="s">
        <v>308</v>
      </c>
      <c r="F6" s="118" t="s">
        <v>1325</v>
      </c>
      <c r="G6" s="119" t="s">
        <v>1326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574</v>
      </c>
      <c r="N6" s="118" t="s">
        <v>338</v>
      </c>
      <c r="O6" s="118" t="s">
        <v>1211</v>
      </c>
      <c r="P6" s="120">
        <v>466290</v>
      </c>
      <c r="Q6" s="120">
        <v>1</v>
      </c>
      <c r="R6" s="120">
        <v>357.69</v>
      </c>
      <c r="S6" s="118"/>
      <c r="T6" s="120">
        <v>1667.8726999999999</v>
      </c>
      <c r="U6" s="121">
        <v>4.8799999999999999E-4</v>
      </c>
      <c r="V6" s="121">
        <v>4.8440000000000002E-3</v>
      </c>
      <c r="W6" s="121">
        <v>5.9199999999999997E-4</v>
      </c>
    </row>
    <row r="7" spans="1:26" ht="15" customHeight="1">
      <c r="A7" s="119">
        <v>307</v>
      </c>
      <c r="B7" s="119">
        <v>307</v>
      </c>
      <c r="C7" s="118" t="s">
        <v>1327</v>
      </c>
      <c r="D7" s="119">
        <v>510938608</v>
      </c>
      <c r="E7" s="118" t="s">
        <v>308</v>
      </c>
      <c r="F7" s="118" t="s">
        <v>1328</v>
      </c>
      <c r="G7" s="119" t="s">
        <v>1329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1211</v>
      </c>
      <c r="P7" s="120">
        <v>28567</v>
      </c>
      <c r="Q7" s="120">
        <v>1</v>
      </c>
      <c r="R7" s="120">
        <v>3548.42</v>
      </c>
      <c r="S7" s="118"/>
      <c r="T7" s="120">
        <v>1013.67714</v>
      </c>
      <c r="U7" s="121">
        <v>1.2979999999999999E-3</v>
      </c>
      <c r="V7" s="121">
        <v>2.944E-3</v>
      </c>
      <c r="W7" s="121">
        <v>3.6000000000000002E-4</v>
      </c>
    </row>
    <row r="8" spans="1:26" ht="15" customHeight="1">
      <c r="A8" s="119">
        <v>307</v>
      </c>
      <c r="B8" s="119">
        <v>307</v>
      </c>
      <c r="C8" s="118" t="s">
        <v>1319</v>
      </c>
      <c r="D8" s="119">
        <v>511303661</v>
      </c>
      <c r="E8" s="118" t="s">
        <v>308</v>
      </c>
      <c r="F8" s="118" t="s">
        <v>1330</v>
      </c>
      <c r="G8" s="119" t="s">
        <v>1331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631</v>
      </c>
      <c r="N8" s="118" t="s">
        <v>338</v>
      </c>
      <c r="O8" s="118" t="s">
        <v>1211</v>
      </c>
      <c r="P8" s="120">
        <v>473500</v>
      </c>
      <c r="Q8" s="120">
        <v>1</v>
      </c>
      <c r="R8" s="120">
        <v>312.45999999999998</v>
      </c>
      <c r="S8" s="118"/>
      <c r="T8" s="120">
        <v>1479.4981</v>
      </c>
      <c r="U8" s="121">
        <v>1.8940000000000001E-3</v>
      </c>
      <c r="V8" s="121">
        <v>4.2969999999999996E-3</v>
      </c>
      <c r="W8" s="121">
        <v>5.2499999999999997E-4</v>
      </c>
    </row>
    <row r="9" spans="1:26" ht="15" customHeight="1">
      <c r="A9" s="119">
        <v>307</v>
      </c>
      <c r="B9" s="119">
        <v>307</v>
      </c>
      <c r="C9" s="118" t="s">
        <v>1316</v>
      </c>
      <c r="D9" s="119">
        <v>513534974</v>
      </c>
      <c r="E9" s="118" t="s">
        <v>308</v>
      </c>
      <c r="F9" s="118" t="s">
        <v>1332</v>
      </c>
      <c r="G9" s="119" t="s">
        <v>1333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1211</v>
      </c>
      <c r="P9" s="120">
        <v>175995</v>
      </c>
      <c r="Q9" s="120">
        <v>1</v>
      </c>
      <c r="R9" s="120">
        <v>356.82</v>
      </c>
      <c r="S9" s="118"/>
      <c r="T9" s="120">
        <v>627.98536000000001</v>
      </c>
      <c r="U9" s="121">
        <v>3.0600000000000001E-4</v>
      </c>
      <c r="V9" s="121">
        <v>1.8240000000000001E-3</v>
      </c>
      <c r="W9" s="121">
        <v>2.23E-4</v>
      </c>
    </row>
    <row r="10" spans="1:26" ht="15" customHeight="1">
      <c r="A10" s="119">
        <v>307</v>
      </c>
      <c r="B10" s="119">
        <v>307</v>
      </c>
      <c r="C10" s="118" t="s">
        <v>1319</v>
      </c>
      <c r="D10" s="119">
        <v>511303661</v>
      </c>
      <c r="E10" s="118" t="s">
        <v>308</v>
      </c>
      <c r="F10" s="118" t="s">
        <v>1334</v>
      </c>
      <c r="G10" s="119" t="s">
        <v>1335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1211</v>
      </c>
      <c r="P10" s="120">
        <v>414202</v>
      </c>
      <c r="Q10" s="120">
        <v>1</v>
      </c>
      <c r="R10" s="120">
        <v>2849</v>
      </c>
      <c r="S10" s="118"/>
      <c r="T10" s="120">
        <v>11800.61498</v>
      </c>
      <c r="U10" s="121">
        <v>5.9170000000000004E-3</v>
      </c>
      <c r="V10" s="121">
        <v>3.4278000000000003E-2</v>
      </c>
      <c r="W10" s="121">
        <v>4.1929999999999997E-3</v>
      </c>
    </row>
    <row r="11" spans="1:26" ht="15" customHeight="1">
      <c r="A11" s="119">
        <v>307</v>
      </c>
      <c r="B11" s="119">
        <v>307</v>
      </c>
      <c r="C11" s="118" t="s">
        <v>1313</v>
      </c>
      <c r="D11" s="119">
        <v>511776783</v>
      </c>
      <c r="E11" s="118" t="s">
        <v>308</v>
      </c>
      <c r="F11" s="118" t="s">
        <v>1336</v>
      </c>
      <c r="G11" s="119" t="s">
        <v>1337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573</v>
      </c>
      <c r="N11" s="118" t="s">
        <v>338</v>
      </c>
      <c r="O11" s="118" t="s">
        <v>1211</v>
      </c>
      <c r="P11" s="120">
        <v>472030</v>
      </c>
      <c r="Q11" s="120">
        <v>1</v>
      </c>
      <c r="R11" s="120">
        <v>2094</v>
      </c>
      <c r="S11" s="118"/>
      <c r="T11" s="120">
        <v>9884.3081999999995</v>
      </c>
      <c r="U11" s="121">
        <v>5.5399999999999998E-3</v>
      </c>
      <c r="V11" s="121">
        <v>2.8711E-2</v>
      </c>
      <c r="W11" s="121">
        <v>3.5119999999999999E-3</v>
      </c>
    </row>
    <row r="12" spans="1:26" ht="15" customHeight="1">
      <c r="A12" s="119">
        <v>307</v>
      </c>
      <c r="B12" s="119">
        <v>307</v>
      </c>
      <c r="C12" s="118" t="s">
        <v>1327</v>
      </c>
      <c r="D12" s="119">
        <v>510938608</v>
      </c>
      <c r="E12" s="118" t="s">
        <v>308</v>
      </c>
      <c r="F12" s="118" t="s">
        <v>1338</v>
      </c>
      <c r="G12" s="119" t="s">
        <v>1339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572</v>
      </c>
      <c r="N12" s="118" t="s">
        <v>338</v>
      </c>
      <c r="O12" s="118" t="s">
        <v>1211</v>
      </c>
      <c r="P12" s="120">
        <v>107590.82</v>
      </c>
      <c r="Q12" s="120">
        <v>1</v>
      </c>
      <c r="R12" s="120">
        <v>3695.59</v>
      </c>
      <c r="S12" s="118"/>
      <c r="T12" s="120">
        <v>3976.1155800000001</v>
      </c>
      <c r="U12" s="121">
        <v>1.3630000000000001E-3</v>
      </c>
      <c r="V12" s="121">
        <v>1.1549E-2</v>
      </c>
      <c r="W12" s="121">
        <v>1.4120000000000001E-3</v>
      </c>
    </row>
    <row r="13" spans="1:26" ht="15" customHeight="1">
      <c r="A13" s="119">
        <v>307</v>
      </c>
      <c r="B13" s="119">
        <v>307</v>
      </c>
      <c r="C13" s="118" t="s">
        <v>1327</v>
      </c>
      <c r="D13" s="119">
        <v>510938608</v>
      </c>
      <c r="E13" s="118" t="s">
        <v>308</v>
      </c>
      <c r="F13" s="118" t="s">
        <v>1340</v>
      </c>
      <c r="G13" s="119" t="s">
        <v>1341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573</v>
      </c>
      <c r="N13" s="118" t="s">
        <v>338</v>
      </c>
      <c r="O13" s="118" t="s">
        <v>1211</v>
      </c>
      <c r="P13" s="120">
        <v>144108.85999999999</v>
      </c>
      <c r="Q13" s="120">
        <v>1</v>
      </c>
      <c r="R13" s="120">
        <v>20810</v>
      </c>
      <c r="S13" s="118"/>
      <c r="T13" s="120">
        <v>29989.053769999999</v>
      </c>
      <c r="U13" s="121">
        <v>4.509E-3</v>
      </c>
      <c r="V13" s="121">
        <v>8.7110999999999994E-2</v>
      </c>
      <c r="W13" s="121">
        <v>1.0656000000000001E-2</v>
      </c>
    </row>
    <row r="14" spans="1:26" ht="15" customHeight="1">
      <c r="A14" s="119">
        <v>307</v>
      </c>
      <c r="B14" s="119">
        <v>307</v>
      </c>
      <c r="C14" s="118" t="s">
        <v>1327</v>
      </c>
      <c r="D14" s="119">
        <v>510938608</v>
      </c>
      <c r="E14" s="118" t="s">
        <v>308</v>
      </c>
      <c r="F14" s="118" t="s">
        <v>1342</v>
      </c>
      <c r="G14" s="119" t="s">
        <v>1343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631</v>
      </c>
      <c r="N14" s="118" t="s">
        <v>338</v>
      </c>
      <c r="O14" s="118" t="s">
        <v>1211</v>
      </c>
      <c r="P14" s="120">
        <v>76759.23</v>
      </c>
      <c r="Q14" s="120">
        <v>1</v>
      </c>
      <c r="R14" s="120">
        <v>3902.52</v>
      </c>
      <c r="S14" s="118"/>
      <c r="T14" s="120">
        <v>2995.5443</v>
      </c>
      <c r="U14" s="121">
        <v>1.967E-3</v>
      </c>
      <c r="V14" s="121">
        <v>8.7010000000000004E-3</v>
      </c>
      <c r="W14" s="121">
        <v>1.0640000000000001E-3</v>
      </c>
    </row>
    <row r="15" spans="1:26" ht="15" customHeight="1">
      <c r="A15" s="119">
        <v>307</v>
      </c>
      <c r="B15" s="119">
        <v>307</v>
      </c>
      <c r="C15" s="118" t="s">
        <v>1344</v>
      </c>
      <c r="D15" s="119" t="s">
        <v>1345</v>
      </c>
      <c r="E15" s="118" t="s">
        <v>312</v>
      </c>
      <c r="F15" s="118" t="s">
        <v>1346</v>
      </c>
      <c r="G15" s="119" t="s">
        <v>1347</v>
      </c>
      <c r="H15" s="118" t="s">
        <v>320</v>
      </c>
      <c r="I15" s="118" t="s">
        <v>966</v>
      </c>
      <c r="J15" s="118" t="s">
        <v>204</v>
      </c>
      <c r="K15" s="118" t="s">
        <v>288</v>
      </c>
      <c r="L15" s="118" t="s">
        <v>379</v>
      </c>
      <c r="M15" s="130" t="s">
        <v>734</v>
      </c>
      <c r="N15" s="118" t="s">
        <v>338</v>
      </c>
      <c r="O15" s="118" t="s">
        <v>1220</v>
      </c>
      <c r="P15" s="120">
        <v>87418</v>
      </c>
      <c r="Q15" s="120">
        <v>3.71</v>
      </c>
      <c r="R15" s="120">
        <v>11762</v>
      </c>
      <c r="S15" s="118"/>
      <c r="T15" s="120">
        <v>38146.610139999997</v>
      </c>
      <c r="U15" s="121">
        <v>7.7399999999999995E-4</v>
      </c>
      <c r="V15" s="121">
        <v>0.110807</v>
      </c>
      <c r="W15" s="121">
        <v>1.3554999999999999E-2</v>
      </c>
    </row>
    <row r="16" spans="1:26" ht="15" customHeight="1">
      <c r="A16" s="119">
        <v>307</v>
      </c>
      <c r="B16" s="119">
        <v>307</v>
      </c>
      <c r="C16" s="118" t="s">
        <v>1348</v>
      </c>
      <c r="D16" s="119" t="s">
        <v>1349</v>
      </c>
      <c r="E16" s="118" t="s">
        <v>312</v>
      </c>
      <c r="F16" s="118" t="s">
        <v>1350</v>
      </c>
      <c r="G16" s="119" t="s">
        <v>1351</v>
      </c>
      <c r="H16" s="118" t="s">
        <v>320</v>
      </c>
      <c r="I16" s="118" t="s">
        <v>966</v>
      </c>
      <c r="J16" s="118" t="s">
        <v>204</v>
      </c>
      <c r="K16" s="118" t="s">
        <v>295</v>
      </c>
      <c r="L16" s="118" t="s">
        <v>363</v>
      </c>
      <c r="M16" s="130" t="s">
        <v>734</v>
      </c>
      <c r="N16" s="118" t="s">
        <v>338</v>
      </c>
      <c r="O16" s="118" t="s">
        <v>1220</v>
      </c>
      <c r="P16" s="120">
        <v>582537</v>
      </c>
      <c r="Q16" s="120">
        <v>3.71</v>
      </c>
      <c r="R16" s="120">
        <v>583.55999999999995</v>
      </c>
      <c r="S16" s="118"/>
      <c r="T16" s="120">
        <v>12611.97032</v>
      </c>
      <c r="U16" s="121">
        <v>3.369E-3</v>
      </c>
      <c r="V16" s="121">
        <v>3.6635000000000001E-2</v>
      </c>
      <c r="W16" s="121">
        <v>4.4809999999999997E-3</v>
      </c>
    </row>
    <row r="17" spans="1:24" ht="15" customHeight="1">
      <c r="A17" s="119">
        <v>307</v>
      </c>
      <c r="B17" s="119">
        <v>307</v>
      </c>
      <c r="C17" s="118" t="s">
        <v>1352</v>
      </c>
      <c r="D17" s="119" t="s">
        <v>1353</v>
      </c>
      <c r="E17" s="118" t="s">
        <v>312</v>
      </c>
      <c r="F17" s="118" t="s">
        <v>1354</v>
      </c>
      <c r="G17" s="119" t="s">
        <v>1355</v>
      </c>
      <c r="H17" s="118" t="s">
        <v>320</v>
      </c>
      <c r="I17" s="118" t="s">
        <v>313</v>
      </c>
      <c r="J17" s="118" t="s">
        <v>204</v>
      </c>
      <c r="K17" s="118" t="s">
        <v>295</v>
      </c>
      <c r="L17" s="118" t="s">
        <v>379</v>
      </c>
      <c r="M17" s="130" t="s">
        <v>677</v>
      </c>
      <c r="N17" s="118" t="s">
        <v>338</v>
      </c>
      <c r="O17" s="118" t="s">
        <v>1220</v>
      </c>
      <c r="P17" s="120">
        <v>6500</v>
      </c>
      <c r="Q17" s="120">
        <v>3.71</v>
      </c>
      <c r="R17" s="120">
        <v>10046</v>
      </c>
      <c r="S17" s="118"/>
      <c r="T17" s="120">
        <v>2422.5929000000001</v>
      </c>
      <c r="U17" s="121">
        <v>2.6200000000000003E-4</v>
      </c>
      <c r="V17" s="121">
        <v>7.0369999999999999E-3</v>
      </c>
      <c r="W17" s="121">
        <v>8.5999999999999998E-4</v>
      </c>
    </row>
    <row r="18" spans="1:24" ht="15" customHeight="1">
      <c r="A18" s="119">
        <v>307</v>
      </c>
      <c r="B18" s="119">
        <v>307</v>
      </c>
      <c r="C18" s="118" t="s">
        <v>1352</v>
      </c>
      <c r="D18" s="119" t="s">
        <v>1353</v>
      </c>
      <c r="E18" s="118" t="s">
        <v>312</v>
      </c>
      <c r="F18" s="118" t="s">
        <v>1356</v>
      </c>
      <c r="G18" s="119" t="s">
        <v>1357</v>
      </c>
      <c r="H18" s="118" t="s">
        <v>320</v>
      </c>
      <c r="I18" s="118" t="s">
        <v>966</v>
      </c>
      <c r="J18" s="118" t="s">
        <v>204</v>
      </c>
      <c r="K18" s="118" t="s">
        <v>288</v>
      </c>
      <c r="L18" s="118" t="s">
        <v>379</v>
      </c>
      <c r="M18" s="130" t="s">
        <v>734</v>
      </c>
      <c r="N18" s="118" t="s">
        <v>338</v>
      </c>
      <c r="O18" s="118" t="s">
        <v>1220</v>
      </c>
      <c r="P18" s="120">
        <v>457676</v>
      </c>
      <c r="Q18" s="120">
        <v>3.71</v>
      </c>
      <c r="R18" s="120">
        <v>10742</v>
      </c>
      <c r="S18" s="118"/>
      <c r="T18" s="120">
        <v>182396.79246</v>
      </c>
      <c r="U18" s="121">
        <v>5.7799999999999995E-4</v>
      </c>
      <c r="V18" s="121">
        <v>0.52982300000000004</v>
      </c>
      <c r="W18" s="121">
        <v>6.4812999999999996E-2</v>
      </c>
    </row>
    <row r="19" spans="1:24" ht="15" customHeight="1">
      <c r="A19" s="119">
        <v>307</v>
      </c>
      <c r="B19" s="119">
        <v>307</v>
      </c>
      <c r="C19" s="118" t="s">
        <v>1358</v>
      </c>
      <c r="D19" s="119" t="s">
        <v>1359</v>
      </c>
      <c r="E19" s="118" t="s">
        <v>312</v>
      </c>
      <c r="F19" s="118" t="s">
        <v>1360</v>
      </c>
      <c r="G19" s="119" t="s">
        <v>1361</v>
      </c>
      <c r="H19" s="118" t="s">
        <v>320</v>
      </c>
      <c r="I19" s="118" t="s">
        <v>966</v>
      </c>
      <c r="J19" s="118" t="s">
        <v>204</v>
      </c>
      <c r="K19" s="118" t="s">
        <v>288</v>
      </c>
      <c r="L19" s="118" t="s">
        <v>379</v>
      </c>
      <c r="M19" s="130" t="s">
        <v>734</v>
      </c>
      <c r="N19" s="118" t="s">
        <v>338</v>
      </c>
      <c r="O19" s="118" t="s">
        <v>1220</v>
      </c>
      <c r="P19" s="120">
        <v>41976</v>
      </c>
      <c r="Q19" s="120">
        <v>3.71</v>
      </c>
      <c r="R19" s="120">
        <v>3923</v>
      </c>
      <c r="S19" s="118"/>
      <c r="T19" s="120">
        <v>6109.3255600000002</v>
      </c>
      <c r="U19" s="121">
        <v>1.85E-4</v>
      </c>
      <c r="V19" s="121">
        <v>1.7746000000000001E-2</v>
      </c>
      <c r="W19" s="121">
        <v>2.1700000000000001E-3</v>
      </c>
    </row>
    <row r="20" spans="1:24" ht="15" customHeight="1">
      <c r="A20" s="119">
        <v>307</v>
      </c>
      <c r="B20" s="119">
        <v>307</v>
      </c>
      <c r="C20" s="118" t="s">
        <v>1348</v>
      </c>
      <c r="D20" s="119" t="s">
        <v>1349</v>
      </c>
      <c r="E20" s="118" t="s">
        <v>312</v>
      </c>
      <c r="F20" s="118" t="s">
        <v>1362</v>
      </c>
      <c r="G20" s="119" t="s">
        <v>1363</v>
      </c>
      <c r="H20" s="118" t="s">
        <v>320</v>
      </c>
      <c r="I20" s="118" t="s">
        <v>966</v>
      </c>
      <c r="J20" s="118" t="s">
        <v>204</v>
      </c>
      <c r="K20" s="118" t="s">
        <v>295</v>
      </c>
      <c r="L20" s="118" t="s">
        <v>379</v>
      </c>
      <c r="M20" s="130" t="s">
        <v>734</v>
      </c>
      <c r="N20" s="118" t="s">
        <v>338</v>
      </c>
      <c r="O20" s="118" t="s">
        <v>1220</v>
      </c>
      <c r="P20" s="120">
        <v>74815</v>
      </c>
      <c r="Q20" s="120">
        <v>3.71</v>
      </c>
      <c r="R20" s="120">
        <v>5240</v>
      </c>
      <c r="S20" s="118"/>
      <c r="T20" s="120">
        <v>14544.33526</v>
      </c>
      <c r="U20" s="121">
        <v>1.647E-3</v>
      </c>
      <c r="V20" s="121">
        <v>4.2248000000000001E-2</v>
      </c>
      <c r="W20" s="121">
        <v>5.1679999999999999E-3</v>
      </c>
    </row>
    <row r="21" spans="1:24" ht="15" customHeight="1">
      <c r="A21" s="119">
        <v>307</v>
      </c>
      <c r="B21" s="119">
        <v>307</v>
      </c>
      <c r="C21" s="118" t="s">
        <v>1352</v>
      </c>
      <c r="D21" s="119" t="s">
        <v>1353</v>
      </c>
      <c r="E21" s="118" t="s">
        <v>312</v>
      </c>
      <c r="F21" s="118" t="s">
        <v>1364</v>
      </c>
      <c r="G21" s="119" t="s">
        <v>1365</v>
      </c>
      <c r="H21" s="118" t="s">
        <v>320</v>
      </c>
      <c r="I21" s="118" t="s">
        <v>313</v>
      </c>
      <c r="J21" s="118" t="s">
        <v>204</v>
      </c>
      <c r="K21" s="118" t="s">
        <v>223</v>
      </c>
      <c r="L21" s="118" t="s">
        <v>379</v>
      </c>
      <c r="M21" s="130" t="s">
        <v>677</v>
      </c>
      <c r="N21" s="118" t="s">
        <v>338</v>
      </c>
      <c r="O21" s="118" t="s">
        <v>1220</v>
      </c>
      <c r="P21" s="120">
        <v>254100</v>
      </c>
      <c r="Q21" s="120">
        <v>3.71</v>
      </c>
      <c r="R21" s="120">
        <v>512.29999999999995</v>
      </c>
      <c r="S21" s="118"/>
      <c r="T21" s="120">
        <v>4829.5084500000003</v>
      </c>
      <c r="U21" s="121">
        <v>3.4299999999999999E-3</v>
      </c>
      <c r="V21" s="121">
        <v>1.4028000000000001E-2</v>
      </c>
      <c r="W21" s="121">
        <v>1.7160000000000001E-3</v>
      </c>
      <c r="X21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K23" sqref="K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0"/>
  <sheetViews>
    <sheetView rightToLeft="1" workbookViewId="0">
      <selection activeCell="P28" sqref="P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984</v>
      </c>
      <c r="D2" s="118" t="s">
        <v>1366</v>
      </c>
      <c r="E2" s="119">
        <v>8288250</v>
      </c>
      <c r="F2" s="122">
        <v>42095</v>
      </c>
      <c r="G2" s="120">
        <v>4.8499999999999996</v>
      </c>
      <c r="H2" s="118" t="s">
        <v>753</v>
      </c>
      <c r="I2" s="122">
        <v>47574</v>
      </c>
      <c r="J2" s="121">
        <v>4.8000000000000001E-2</v>
      </c>
      <c r="K2" s="121">
        <v>1.8700000000000001E-2</v>
      </c>
      <c r="L2" s="120">
        <v>3743000</v>
      </c>
      <c r="M2" s="120">
        <v>137.92949999999999</v>
      </c>
      <c r="N2" s="120">
        <v>5162.70273</v>
      </c>
      <c r="O2" s="120"/>
      <c r="P2" s="118"/>
      <c r="Q2" s="121">
        <v>1.3526E-2</v>
      </c>
      <c r="R2" s="121">
        <v>1.8339999999999999E-3</v>
      </c>
    </row>
    <row r="3" spans="1:26" ht="15" customHeight="1">
      <c r="A3" s="119">
        <v>307</v>
      </c>
      <c r="B3" s="119">
        <v>307</v>
      </c>
      <c r="C3" s="118" t="s">
        <v>984</v>
      </c>
      <c r="D3" s="118" t="s">
        <v>1367</v>
      </c>
      <c r="E3" s="119">
        <v>8288987</v>
      </c>
      <c r="F3" s="122">
        <v>44348</v>
      </c>
      <c r="G3" s="120">
        <v>9.3000000000000007</v>
      </c>
      <c r="H3" s="118" t="s">
        <v>753</v>
      </c>
      <c r="I3" s="122">
        <v>49827</v>
      </c>
      <c r="J3" s="121">
        <v>4.8000000000000001E-2</v>
      </c>
      <c r="K3" s="121">
        <v>2.1499999999999998E-2</v>
      </c>
      <c r="L3" s="120">
        <v>24116000</v>
      </c>
      <c r="M3" s="120">
        <v>147.1901</v>
      </c>
      <c r="N3" s="120">
        <v>35496.372190000002</v>
      </c>
      <c r="O3" s="118"/>
      <c r="P3" s="118"/>
      <c r="Q3" s="121">
        <v>9.3005000000000004E-2</v>
      </c>
      <c r="R3" s="121">
        <v>1.2612999999999999E-2</v>
      </c>
    </row>
    <row r="4" spans="1:26" ht="15" customHeight="1">
      <c r="A4" s="119">
        <v>307</v>
      </c>
      <c r="B4" s="119">
        <v>307</v>
      </c>
      <c r="C4" s="118" t="s">
        <v>984</v>
      </c>
      <c r="D4" s="118" t="s">
        <v>1368</v>
      </c>
      <c r="E4" s="119">
        <v>8288227</v>
      </c>
      <c r="F4" s="122">
        <v>42005</v>
      </c>
      <c r="G4" s="120">
        <v>4.71</v>
      </c>
      <c r="H4" s="118" t="s">
        <v>753</v>
      </c>
      <c r="I4" s="122">
        <v>47484</v>
      </c>
      <c r="J4" s="121">
        <v>4.8000000000000001E-2</v>
      </c>
      <c r="K4" s="121">
        <v>1.8499999999999999E-2</v>
      </c>
      <c r="L4" s="120">
        <v>12633000</v>
      </c>
      <c r="M4" s="120">
        <v>133.68049999999999</v>
      </c>
      <c r="N4" s="120">
        <v>16887.853950000001</v>
      </c>
      <c r="O4" s="118"/>
      <c r="P4" s="118"/>
      <c r="Q4" s="121">
        <v>4.4248000000000003E-2</v>
      </c>
      <c r="R4" s="121">
        <v>6.0000000000000001E-3</v>
      </c>
    </row>
    <row r="5" spans="1:26" ht="15" customHeight="1">
      <c r="A5" s="119">
        <v>307</v>
      </c>
      <c r="B5" s="119">
        <v>307</v>
      </c>
      <c r="C5" s="118" t="s">
        <v>984</v>
      </c>
      <c r="D5" s="118" t="s">
        <v>1369</v>
      </c>
      <c r="E5" s="119">
        <v>8288599</v>
      </c>
      <c r="F5" s="122">
        <v>43132</v>
      </c>
      <c r="G5" s="120">
        <v>7.08</v>
      </c>
      <c r="H5" s="118" t="s">
        <v>753</v>
      </c>
      <c r="I5" s="122">
        <v>48611</v>
      </c>
      <c r="J5" s="121">
        <v>4.8000000000000001E-2</v>
      </c>
      <c r="K5" s="121">
        <v>2.0199999999999999E-2</v>
      </c>
      <c r="L5" s="120">
        <v>20976000</v>
      </c>
      <c r="M5" s="120">
        <v>141.91390000000001</v>
      </c>
      <c r="N5" s="120">
        <v>29767.858049999999</v>
      </c>
      <c r="O5" s="118"/>
      <c r="P5" s="118"/>
      <c r="Q5" s="121">
        <v>7.7994999999999995E-2</v>
      </c>
      <c r="R5" s="121">
        <v>1.0577E-2</v>
      </c>
    </row>
    <row r="6" spans="1:26" ht="15" customHeight="1">
      <c r="A6" s="119">
        <v>307</v>
      </c>
      <c r="B6" s="119">
        <v>307</v>
      </c>
      <c r="C6" s="118" t="s">
        <v>984</v>
      </c>
      <c r="D6" s="118" t="s">
        <v>1370</v>
      </c>
      <c r="E6" s="119">
        <v>8288102</v>
      </c>
      <c r="F6" s="122">
        <v>41640</v>
      </c>
      <c r="G6" s="120">
        <v>3.89</v>
      </c>
      <c r="H6" s="118" t="s">
        <v>753</v>
      </c>
      <c r="I6" s="122">
        <v>47119</v>
      </c>
      <c r="J6" s="121">
        <v>4.8000000000000001E-2</v>
      </c>
      <c r="K6" s="121">
        <v>1.77E-2</v>
      </c>
      <c r="L6" s="120">
        <v>8163000</v>
      </c>
      <c r="M6" s="120">
        <v>130.83709999999999</v>
      </c>
      <c r="N6" s="120">
        <v>10680.233410000001</v>
      </c>
      <c r="O6" s="118"/>
      <c r="P6" s="118"/>
      <c r="Q6" s="121">
        <v>2.7983000000000001E-2</v>
      </c>
      <c r="R6" s="121">
        <v>3.7950000000000002E-3</v>
      </c>
    </row>
    <row r="7" spans="1:26" ht="15" customHeight="1">
      <c r="A7" s="119">
        <v>307</v>
      </c>
      <c r="B7" s="119">
        <v>307</v>
      </c>
      <c r="C7" s="118" t="s">
        <v>984</v>
      </c>
      <c r="D7" s="118" t="s">
        <v>1371</v>
      </c>
      <c r="E7" s="119">
        <v>8288946</v>
      </c>
      <c r="F7" s="122">
        <v>44228</v>
      </c>
      <c r="G7" s="120">
        <v>9.15</v>
      </c>
      <c r="H7" s="118" t="s">
        <v>753</v>
      </c>
      <c r="I7" s="122">
        <v>49706</v>
      </c>
      <c r="J7" s="121">
        <v>4.8000000000000001E-2</v>
      </c>
      <c r="K7" s="121">
        <v>2.1399999999999999E-2</v>
      </c>
      <c r="L7" s="120">
        <v>11833000</v>
      </c>
      <c r="M7" s="120">
        <v>147.2687</v>
      </c>
      <c r="N7" s="120">
        <v>17426.308420000001</v>
      </c>
      <c r="O7" s="118"/>
      <c r="P7" s="118"/>
      <c r="Q7" s="121">
        <v>4.5658999999999998E-2</v>
      </c>
      <c r="R7" s="121">
        <v>6.1919999999999996E-3</v>
      </c>
    </row>
    <row r="8" spans="1:26" ht="15" customHeight="1">
      <c r="A8" s="119">
        <v>307</v>
      </c>
      <c r="B8" s="119">
        <v>307</v>
      </c>
      <c r="C8" s="118" t="s">
        <v>984</v>
      </c>
      <c r="D8" s="118" t="s">
        <v>1372</v>
      </c>
      <c r="E8" s="119">
        <v>8288235</v>
      </c>
      <c r="F8" s="122">
        <v>42036</v>
      </c>
      <c r="G8" s="120">
        <v>4.79</v>
      </c>
      <c r="H8" s="118" t="s">
        <v>753</v>
      </c>
      <c r="I8" s="122">
        <v>47515</v>
      </c>
      <c r="J8" s="121">
        <v>4.8000000000000001E-2</v>
      </c>
      <c r="K8" s="121">
        <v>1.8499999999999999E-2</v>
      </c>
      <c r="L8" s="120">
        <v>1347000</v>
      </c>
      <c r="M8" s="120">
        <v>133.4778</v>
      </c>
      <c r="N8" s="120">
        <v>1797.9460200000001</v>
      </c>
      <c r="O8" s="118"/>
      <c r="P8" s="118"/>
      <c r="Q8" s="121">
        <v>4.7099999999999998E-3</v>
      </c>
      <c r="R8" s="121">
        <v>6.38E-4</v>
      </c>
    </row>
    <row r="9" spans="1:26" ht="15" customHeight="1">
      <c r="A9" s="119">
        <v>307</v>
      </c>
      <c r="B9" s="119">
        <v>307</v>
      </c>
      <c r="C9" s="118" t="s">
        <v>984</v>
      </c>
      <c r="D9" s="118" t="s">
        <v>1373</v>
      </c>
      <c r="E9" s="119">
        <v>8288839</v>
      </c>
      <c r="F9" s="122">
        <v>43863</v>
      </c>
      <c r="G9" s="120">
        <v>8.48</v>
      </c>
      <c r="H9" s="118" t="s">
        <v>753</v>
      </c>
      <c r="I9" s="122">
        <v>49342</v>
      </c>
      <c r="J9" s="121">
        <v>4.8000000000000001E-2</v>
      </c>
      <c r="K9" s="121">
        <v>2.1100000000000001E-2</v>
      </c>
      <c r="L9" s="120">
        <v>1989000</v>
      </c>
      <c r="M9" s="120">
        <v>144.1968</v>
      </c>
      <c r="N9" s="120">
        <v>2868.0736200000001</v>
      </c>
      <c r="O9" s="118"/>
      <c r="P9" s="118"/>
      <c r="Q9" s="121">
        <v>7.5139999999999998E-3</v>
      </c>
      <c r="R9" s="121">
        <v>1.0189999999999999E-3</v>
      </c>
    </row>
    <row r="10" spans="1:26" ht="15" customHeight="1">
      <c r="A10" s="119">
        <v>307</v>
      </c>
      <c r="B10" s="119">
        <v>307</v>
      </c>
      <c r="C10" s="118" t="s">
        <v>984</v>
      </c>
      <c r="D10" s="118" t="s">
        <v>1374</v>
      </c>
      <c r="E10" s="119">
        <v>8288086</v>
      </c>
      <c r="F10" s="122">
        <v>41579</v>
      </c>
      <c r="G10" s="120">
        <v>3.72</v>
      </c>
      <c r="H10" s="118" t="s">
        <v>753</v>
      </c>
      <c r="I10" s="122">
        <v>47058</v>
      </c>
      <c r="J10" s="121">
        <v>4.8000000000000001E-2</v>
      </c>
      <c r="K10" s="121">
        <v>1.7500000000000002E-2</v>
      </c>
      <c r="L10" s="120">
        <v>16840000</v>
      </c>
      <c r="M10" s="120">
        <v>131.19909999999999</v>
      </c>
      <c r="N10" s="120">
        <v>22093.933249999998</v>
      </c>
      <c r="O10" s="118"/>
      <c r="P10" s="118"/>
      <c r="Q10" s="121">
        <v>5.7889000000000003E-2</v>
      </c>
      <c r="R10" s="121">
        <v>7.8499999999999993E-3</v>
      </c>
    </row>
    <row r="11" spans="1:26" ht="15" customHeight="1">
      <c r="A11" s="119">
        <v>307</v>
      </c>
      <c r="B11" s="119">
        <v>307</v>
      </c>
      <c r="C11" s="118" t="s">
        <v>984</v>
      </c>
      <c r="D11" s="118" t="s">
        <v>1375</v>
      </c>
      <c r="E11" s="119">
        <v>8288144</v>
      </c>
      <c r="F11" s="122">
        <v>41760</v>
      </c>
      <c r="G11" s="120">
        <v>4.13</v>
      </c>
      <c r="H11" s="118" t="s">
        <v>753</v>
      </c>
      <c r="I11" s="122">
        <v>47239</v>
      </c>
      <c r="J11" s="121">
        <v>4.8000000000000001E-2</v>
      </c>
      <c r="K11" s="121">
        <v>1.7899999999999999E-2</v>
      </c>
      <c r="L11" s="120">
        <v>25464000</v>
      </c>
      <c r="M11" s="120">
        <v>133.25700000000001</v>
      </c>
      <c r="N11" s="120">
        <v>33932.562899999997</v>
      </c>
      <c r="O11" s="118"/>
      <c r="P11" s="118"/>
      <c r="Q11" s="121">
        <v>8.8907E-2</v>
      </c>
      <c r="R11" s="121">
        <v>1.2057E-2</v>
      </c>
    </row>
    <row r="12" spans="1:26" ht="15" customHeight="1">
      <c r="A12" s="119">
        <v>307</v>
      </c>
      <c r="B12" s="119">
        <v>307</v>
      </c>
      <c r="C12" s="118" t="s">
        <v>984</v>
      </c>
      <c r="D12" s="118" t="s">
        <v>1376</v>
      </c>
      <c r="E12" s="119">
        <v>8288474</v>
      </c>
      <c r="F12" s="122">
        <v>42767</v>
      </c>
      <c r="G12" s="120">
        <v>6.34</v>
      </c>
      <c r="H12" s="118" t="s">
        <v>753</v>
      </c>
      <c r="I12" s="122">
        <v>48245</v>
      </c>
      <c r="J12" s="121">
        <v>4.8000000000000001E-2</v>
      </c>
      <c r="K12" s="121">
        <v>1.9699999999999999E-2</v>
      </c>
      <c r="L12" s="120">
        <v>1596000</v>
      </c>
      <c r="M12" s="120">
        <v>140.14619999999999</v>
      </c>
      <c r="N12" s="120">
        <v>2236.7336599999999</v>
      </c>
      <c r="O12" s="118"/>
      <c r="P12" s="118"/>
      <c r="Q12" s="121">
        <v>5.8599999999999998E-3</v>
      </c>
      <c r="R12" s="121">
        <v>7.94E-4</v>
      </c>
    </row>
    <row r="13" spans="1:26" ht="15" customHeight="1">
      <c r="A13" s="119">
        <v>307</v>
      </c>
      <c r="B13" s="119">
        <v>307</v>
      </c>
      <c r="C13" s="118" t="s">
        <v>984</v>
      </c>
      <c r="D13" s="118" t="s">
        <v>1377</v>
      </c>
      <c r="E13" s="119">
        <v>8288607</v>
      </c>
      <c r="F13" s="122">
        <v>43161</v>
      </c>
      <c r="G13" s="120">
        <v>7.16</v>
      </c>
      <c r="H13" s="118" t="s">
        <v>753</v>
      </c>
      <c r="I13" s="122">
        <v>48640</v>
      </c>
      <c r="J13" s="121">
        <v>4.8000000000000001E-2</v>
      </c>
      <c r="K13" s="121">
        <v>2.0299999999999999E-2</v>
      </c>
      <c r="L13" s="120">
        <v>622000</v>
      </c>
      <c r="M13" s="120">
        <v>142.2611</v>
      </c>
      <c r="N13" s="120">
        <v>884.86434999999994</v>
      </c>
      <c r="O13" s="118"/>
      <c r="P13" s="118"/>
      <c r="Q13" s="121">
        <v>2.3180000000000002E-3</v>
      </c>
      <c r="R13" s="121">
        <v>3.1399999999999999E-4</v>
      </c>
    </row>
    <row r="14" spans="1:26" ht="15" customHeight="1">
      <c r="A14" s="119">
        <v>307</v>
      </c>
      <c r="B14" s="119">
        <v>307</v>
      </c>
      <c r="C14" s="118" t="s">
        <v>984</v>
      </c>
      <c r="D14" s="118" t="s">
        <v>1378</v>
      </c>
      <c r="E14" s="119">
        <v>8288938</v>
      </c>
      <c r="F14" s="122">
        <v>44197</v>
      </c>
      <c r="G14" s="120">
        <v>9.06</v>
      </c>
      <c r="H14" s="118" t="s">
        <v>753</v>
      </c>
      <c r="I14" s="122">
        <v>49675</v>
      </c>
      <c r="J14" s="121">
        <v>4.8000000000000001E-2</v>
      </c>
      <c r="K14" s="121">
        <v>2.1399999999999999E-2</v>
      </c>
      <c r="L14" s="120">
        <v>3291000</v>
      </c>
      <c r="M14" s="120">
        <v>147.37430000000001</v>
      </c>
      <c r="N14" s="120">
        <v>4850.0889100000004</v>
      </c>
      <c r="O14" s="118"/>
      <c r="P14" s="118"/>
      <c r="Q14" s="121">
        <v>1.2707E-2</v>
      </c>
      <c r="R14" s="121">
        <v>1.7229999999999999E-3</v>
      </c>
    </row>
    <row r="15" spans="1:26" ht="15" customHeight="1">
      <c r="A15" s="119">
        <v>307</v>
      </c>
      <c r="B15" s="119">
        <v>307</v>
      </c>
      <c r="C15" s="118" t="s">
        <v>984</v>
      </c>
      <c r="D15" s="118" t="s">
        <v>1379</v>
      </c>
      <c r="E15" s="119">
        <v>8287740</v>
      </c>
      <c r="F15" s="122">
        <v>40545</v>
      </c>
      <c r="G15" s="120">
        <v>1.22</v>
      </c>
      <c r="H15" s="118" t="s">
        <v>753</v>
      </c>
      <c r="I15" s="122">
        <v>46024</v>
      </c>
      <c r="J15" s="121">
        <v>4.8000000000000001E-2</v>
      </c>
      <c r="K15" s="121">
        <v>1.38E-2</v>
      </c>
      <c r="L15" s="120">
        <v>55714000</v>
      </c>
      <c r="M15" s="120">
        <v>128.75579999999999</v>
      </c>
      <c r="N15" s="120">
        <v>71735.025959999999</v>
      </c>
      <c r="O15" s="118"/>
      <c r="P15" s="118"/>
      <c r="Q15" s="121">
        <v>0.18795500000000001</v>
      </c>
      <c r="R15" s="121">
        <v>2.5489999999999999E-2</v>
      </c>
    </row>
    <row r="16" spans="1:26" ht="15" customHeight="1">
      <c r="A16" s="119">
        <v>307</v>
      </c>
      <c r="B16" s="119">
        <v>307</v>
      </c>
      <c r="C16" s="118" t="s">
        <v>984</v>
      </c>
      <c r="D16" s="118" t="s">
        <v>1380</v>
      </c>
      <c r="E16" s="119">
        <v>8288979</v>
      </c>
      <c r="F16" s="122">
        <v>44318</v>
      </c>
      <c r="G16" s="120">
        <v>9.2200000000000006</v>
      </c>
      <c r="H16" s="118" t="s">
        <v>753</v>
      </c>
      <c r="I16" s="122">
        <v>49797</v>
      </c>
      <c r="J16" s="121">
        <v>4.8000000000000001E-2</v>
      </c>
      <c r="K16" s="121">
        <v>2.1499999999999998E-2</v>
      </c>
      <c r="L16" s="120">
        <v>11643000</v>
      </c>
      <c r="M16" s="120">
        <v>147.98419999999999</v>
      </c>
      <c r="N16" s="120">
        <v>17229.800810000001</v>
      </c>
      <c r="O16" s="118"/>
      <c r="P16" s="118"/>
      <c r="Q16" s="121">
        <v>4.5143999999999997E-2</v>
      </c>
      <c r="R16" s="121">
        <v>6.1219999999999998E-3</v>
      </c>
    </row>
    <row r="17" spans="1:18" ht="15" customHeight="1">
      <c r="A17" s="119">
        <v>307</v>
      </c>
      <c r="B17" s="119">
        <v>307</v>
      </c>
      <c r="C17" s="118" t="s">
        <v>984</v>
      </c>
      <c r="D17" s="118" t="s">
        <v>1381</v>
      </c>
      <c r="E17" s="119">
        <v>8288359</v>
      </c>
      <c r="F17" s="122">
        <v>42401</v>
      </c>
      <c r="G17" s="120">
        <v>5.58</v>
      </c>
      <c r="H17" s="118" t="s">
        <v>753</v>
      </c>
      <c r="I17" s="122">
        <v>47880</v>
      </c>
      <c r="J17" s="121">
        <v>4.8000000000000001E-2</v>
      </c>
      <c r="K17" s="121">
        <v>1.9199999999999998E-2</v>
      </c>
      <c r="L17" s="120">
        <v>9147000</v>
      </c>
      <c r="M17" s="120">
        <v>137.41329999999999</v>
      </c>
      <c r="N17" s="120">
        <v>12569.19184</v>
      </c>
      <c r="O17" s="118"/>
      <c r="P17" s="118"/>
      <c r="Q17" s="121">
        <v>3.2932999999999997E-2</v>
      </c>
      <c r="R17" s="121">
        <v>4.4660000000000004E-3</v>
      </c>
    </row>
    <row r="18" spans="1:18" ht="15" customHeight="1">
      <c r="A18" s="119">
        <v>307</v>
      </c>
      <c r="B18" s="119">
        <v>307</v>
      </c>
      <c r="C18" s="118" t="s">
        <v>984</v>
      </c>
      <c r="D18" s="118" t="s">
        <v>1382</v>
      </c>
      <c r="E18" s="119">
        <v>8287997</v>
      </c>
      <c r="F18" s="122">
        <v>41306</v>
      </c>
      <c r="G18" s="120">
        <v>3.12</v>
      </c>
      <c r="H18" s="118" t="s">
        <v>753</v>
      </c>
      <c r="I18" s="122">
        <v>46784</v>
      </c>
      <c r="J18" s="121">
        <v>4.8000000000000001E-2</v>
      </c>
      <c r="K18" s="121">
        <v>1.6799999999999999E-2</v>
      </c>
      <c r="L18" s="120">
        <v>31777000</v>
      </c>
      <c r="M18" s="120">
        <v>129.9418</v>
      </c>
      <c r="N18" s="120">
        <v>41291.613689999998</v>
      </c>
      <c r="O18" s="118"/>
      <c r="P18" s="118"/>
      <c r="Q18" s="121">
        <v>0.10818899999999999</v>
      </c>
      <c r="R18" s="121">
        <v>1.4671999999999999E-2</v>
      </c>
    </row>
    <row r="19" spans="1:18" ht="15" customHeight="1">
      <c r="A19" s="119">
        <v>307</v>
      </c>
      <c r="B19" s="119">
        <v>307</v>
      </c>
      <c r="C19" s="118" t="s">
        <v>984</v>
      </c>
      <c r="D19" s="118" t="s">
        <v>1383</v>
      </c>
      <c r="E19" s="119">
        <v>8288110</v>
      </c>
      <c r="F19" s="122">
        <v>41672</v>
      </c>
      <c r="G19" s="120">
        <v>3.97</v>
      </c>
      <c r="H19" s="118" t="s">
        <v>753</v>
      </c>
      <c r="I19" s="122">
        <v>47151</v>
      </c>
      <c r="J19" s="121">
        <v>4.8000000000000001E-2</v>
      </c>
      <c r="K19" s="121">
        <v>1.77E-2</v>
      </c>
      <c r="L19" s="120">
        <v>41331000</v>
      </c>
      <c r="M19" s="120">
        <v>130.5121</v>
      </c>
      <c r="N19" s="120">
        <v>53941.966119999997</v>
      </c>
      <c r="O19" s="118"/>
      <c r="P19" s="118"/>
      <c r="Q19" s="121">
        <v>0.14133499999999999</v>
      </c>
      <c r="R19" s="121">
        <v>1.9167E-2</v>
      </c>
    </row>
    <row r="20" spans="1:18" ht="15" customHeight="1">
      <c r="A20" s="119">
        <v>307</v>
      </c>
      <c r="B20" s="119">
        <v>307</v>
      </c>
      <c r="C20" s="118" t="s">
        <v>984</v>
      </c>
      <c r="D20" s="118" t="s">
        <v>1384</v>
      </c>
      <c r="E20" s="119">
        <v>8288243</v>
      </c>
      <c r="F20" s="122">
        <v>42064</v>
      </c>
      <c r="G20" s="120">
        <v>4.87</v>
      </c>
      <c r="H20" s="118" t="s">
        <v>753</v>
      </c>
      <c r="I20" s="122">
        <v>47543</v>
      </c>
      <c r="J20" s="121">
        <v>4.8000000000000001E-2</v>
      </c>
      <c r="K20" s="121">
        <v>1.8700000000000001E-2</v>
      </c>
      <c r="L20" s="120">
        <v>600000</v>
      </c>
      <c r="M20" s="120">
        <v>134.3698</v>
      </c>
      <c r="N20" s="120">
        <v>806.21861000000001</v>
      </c>
      <c r="O20" s="118"/>
      <c r="P20" s="118"/>
      <c r="Q20" s="121">
        <v>2.1120000000000002E-3</v>
      </c>
      <c r="R20" s="121">
        <v>2.8600000000000001E-4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S1" workbookViewId="0">
      <selection activeCell="X9" sqref="X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307</v>
      </c>
      <c r="B2" s="119">
        <v>307</v>
      </c>
      <c r="C2" s="118" t="s">
        <v>1295</v>
      </c>
      <c r="D2" s="119">
        <v>520010869</v>
      </c>
      <c r="E2" s="118" t="s">
        <v>308</v>
      </c>
      <c r="F2" s="118" t="s">
        <v>1385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1257</v>
      </c>
      <c r="Q2" s="118" t="s">
        <v>311</v>
      </c>
      <c r="R2" s="118" t="s">
        <v>406</v>
      </c>
      <c r="S2" s="118" t="s">
        <v>1211</v>
      </c>
      <c r="T2" s="120">
        <v>5.32</v>
      </c>
      <c r="U2" s="122">
        <v>50034</v>
      </c>
      <c r="V2" s="121">
        <v>3.0700000000000002E-2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45565</v>
      </c>
      <c r="AC2" s="122"/>
      <c r="AD2" s="120">
        <v>187200.04</v>
      </c>
      <c r="AE2" s="120">
        <v>1</v>
      </c>
      <c r="AF2" s="120">
        <v>158.33000000000001</v>
      </c>
      <c r="AG2" s="120">
        <v>296.39382000000001</v>
      </c>
      <c r="AH2" s="120"/>
      <c r="AI2" s="120"/>
      <c r="AJ2" s="118"/>
      <c r="AK2" s="121">
        <v>7.1068999999999993E-2</v>
      </c>
      <c r="AL2" s="121">
        <v>1.05E-4</v>
      </c>
    </row>
    <row r="3" spans="1:38" ht="15" customHeight="1">
      <c r="A3" s="119">
        <v>307</v>
      </c>
      <c r="B3" s="119">
        <v>307</v>
      </c>
      <c r="C3" s="118" t="s">
        <v>1295</v>
      </c>
      <c r="D3" s="119">
        <v>520010869</v>
      </c>
      <c r="E3" s="118" t="s">
        <v>308</v>
      </c>
      <c r="F3" s="118" t="s">
        <v>1386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1257</v>
      </c>
      <c r="Q3" s="118" t="s">
        <v>311</v>
      </c>
      <c r="R3" s="118" t="s">
        <v>406</v>
      </c>
      <c r="S3" s="118" t="s">
        <v>1211</v>
      </c>
      <c r="T3" s="120">
        <v>9.51</v>
      </c>
      <c r="U3" s="122">
        <v>54253</v>
      </c>
      <c r="V3" s="121">
        <v>3.3700000000000001E-2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45565</v>
      </c>
      <c r="AC3" s="118"/>
      <c r="AD3" s="120">
        <v>2861538.76</v>
      </c>
      <c r="AE3" s="120">
        <v>1</v>
      </c>
      <c r="AF3" s="120">
        <v>128.75</v>
      </c>
      <c r="AG3" s="120">
        <v>3684.2311500000001</v>
      </c>
      <c r="AH3" s="118"/>
      <c r="AI3" s="118"/>
      <c r="AJ3" s="118"/>
      <c r="AK3" s="121">
        <v>0.88340399999999997</v>
      </c>
      <c r="AL3" s="121">
        <v>1.3090000000000001E-3</v>
      </c>
    </row>
    <row r="4" spans="1:38" ht="15" customHeight="1">
      <c r="A4" s="119">
        <v>307</v>
      </c>
      <c r="B4" s="119">
        <v>307</v>
      </c>
      <c r="C4" s="118" t="s">
        <v>1279</v>
      </c>
      <c r="D4" s="119">
        <v>513436394</v>
      </c>
      <c r="E4" s="118" t="s">
        <v>308</v>
      </c>
      <c r="F4" s="118" t="s">
        <v>1387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1282</v>
      </c>
      <c r="Q4" s="118" t="s">
        <v>414</v>
      </c>
      <c r="R4" s="118" t="s">
        <v>406</v>
      </c>
      <c r="S4" s="118" t="s">
        <v>1211</v>
      </c>
      <c r="T4" s="120">
        <v>3.74</v>
      </c>
      <c r="U4" s="122">
        <v>48213</v>
      </c>
      <c r="V4" s="121">
        <v>2.8000000000000001E-2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45565</v>
      </c>
      <c r="AC4" s="118"/>
      <c r="AD4" s="120">
        <v>146355.13</v>
      </c>
      <c r="AE4" s="120">
        <v>1</v>
      </c>
      <c r="AF4" s="120">
        <v>129.72999999999999</v>
      </c>
      <c r="AG4" s="120">
        <v>189.86651000000001</v>
      </c>
      <c r="AH4" s="118"/>
      <c r="AI4" s="118"/>
      <c r="AJ4" s="118"/>
      <c r="AK4" s="121">
        <v>4.5525999999999997E-2</v>
      </c>
      <c r="AL4" s="121">
        <v>6.7000000000000002E-5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3"/>
  <sheetViews>
    <sheetView rightToLeft="1" topLeftCell="G1" workbookViewId="0">
      <selection activeCell="AB18" sqref="AB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875" bestFit="1" customWidth="1"/>
    <col min="4" max="4" width="9.875" bestFit="1" customWidth="1"/>
    <col min="5" max="5" width="9.125" bestFit="1" customWidth="1"/>
    <col min="6" max="6" width="1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1388</v>
      </c>
      <c r="D2" s="119">
        <v>520017484</v>
      </c>
      <c r="E2" s="118" t="s">
        <v>308</v>
      </c>
      <c r="F2" s="118" t="s">
        <v>1388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1211</v>
      </c>
      <c r="Q2" s="118" t="s">
        <v>313</v>
      </c>
      <c r="R2" s="118" t="s">
        <v>890</v>
      </c>
      <c r="S2" s="122">
        <v>45291</v>
      </c>
      <c r="T2" s="122"/>
      <c r="U2" s="120">
        <v>1</v>
      </c>
      <c r="V2" s="120">
        <v>1</v>
      </c>
      <c r="W2" s="120">
        <v>0.01</v>
      </c>
      <c r="X2" s="120">
        <v>9.9999999999999995E-7</v>
      </c>
      <c r="Y2" s="121">
        <v>7.4100000000000001E-4</v>
      </c>
      <c r="Z2" s="121">
        <v>0</v>
      </c>
    </row>
    <row r="3" spans="1:26" ht="15" customHeight="1">
      <c r="A3" s="119">
        <v>307</v>
      </c>
      <c r="B3" s="119">
        <v>307</v>
      </c>
      <c r="C3" s="118" t="s">
        <v>1389</v>
      </c>
      <c r="D3" s="119">
        <v>520028473</v>
      </c>
      <c r="E3" s="118" t="s">
        <v>308</v>
      </c>
      <c r="F3" s="118" t="s">
        <v>1390</v>
      </c>
      <c r="G3" s="119">
        <v>729848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338</v>
      </c>
      <c r="O3" s="122">
        <v>24473</v>
      </c>
      <c r="P3" s="118" t="s">
        <v>1211</v>
      </c>
      <c r="Q3" s="118" t="s">
        <v>313</v>
      </c>
      <c r="R3" s="118" t="s">
        <v>890</v>
      </c>
      <c r="S3" s="122">
        <v>45291</v>
      </c>
      <c r="T3" s="118"/>
      <c r="U3" s="120">
        <v>23017</v>
      </c>
      <c r="V3" s="120">
        <v>1</v>
      </c>
      <c r="W3" s="120">
        <v>9.9999999999999995E-7</v>
      </c>
      <c r="X3" s="120">
        <v>9.9999999999999995E-7</v>
      </c>
      <c r="Y3" s="121">
        <v>7.4100000000000001E-4</v>
      </c>
      <c r="Z3" s="121">
        <v>0</v>
      </c>
    </row>
    <row r="4" spans="1:26" ht="15" customHeight="1">
      <c r="A4" s="119">
        <v>307</v>
      </c>
      <c r="B4" s="119">
        <v>307</v>
      </c>
      <c r="C4" s="118" t="s">
        <v>1389</v>
      </c>
      <c r="D4" s="119">
        <v>520028473</v>
      </c>
      <c r="E4" s="118" t="s">
        <v>308</v>
      </c>
      <c r="F4" s="118" t="s">
        <v>1391</v>
      </c>
      <c r="G4" s="119">
        <v>729830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338</v>
      </c>
      <c r="O4" s="122">
        <v>24473</v>
      </c>
      <c r="P4" s="118" t="s">
        <v>1211</v>
      </c>
      <c r="Q4" s="118" t="s">
        <v>313</v>
      </c>
      <c r="R4" s="118" t="s">
        <v>890</v>
      </c>
      <c r="S4" s="122">
        <v>45291</v>
      </c>
      <c r="T4" s="118"/>
      <c r="U4" s="120">
        <v>309954</v>
      </c>
      <c r="V4" s="120">
        <v>1</v>
      </c>
      <c r="W4" s="120">
        <v>9.9999999999999995E-7</v>
      </c>
      <c r="X4" s="120">
        <v>9.9999999999999995E-7</v>
      </c>
      <c r="Y4" s="121">
        <v>7.4100000000000001E-4</v>
      </c>
      <c r="Z4" s="121">
        <v>0</v>
      </c>
    </row>
    <row r="5" spans="1:26" ht="15" customHeight="1">
      <c r="A5" s="119">
        <v>307</v>
      </c>
      <c r="B5" s="119">
        <v>307</v>
      </c>
      <c r="C5" s="118" t="s">
        <v>1389</v>
      </c>
      <c r="D5" s="119">
        <v>520028473</v>
      </c>
      <c r="E5" s="118" t="s">
        <v>308</v>
      </c>
      <c r="F5" s="118" t="s">
        <v>1392</v>
      </c>
      <c r="G5" s="119">
        <v>729822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338</v>
      </c>
      <c r="O5" s="122">
        <v>24473</v>
      </c>
      <c r="P5" s="118" t="s">
        <v>1211</v>
      </c>
      <c r="Q5" s="118" t="s">
        <v>313</v>
      </c>
      <c r="R5" s="118" t="s">
        <v>890</v>
      </c>
      <c r="S5" s="122">
        <v>45291</v>
      </c>
      <c r="T5" s="118"/>
      <c r="U5" s="120">
        <v>107338</v>
      </c>
      <c r="V5" s="120">
        <v>1</v>
      </c>
      <c r="W5" s="120">
        <v>9.9999999999999995E-7</v>
      </c>
      <c r="X5" s="120">
        <v>9.9999999999999995E-7</v>
      </c>
      <c r="Y5" s="121">
        <v>7.4100000000000001E-4</v>
      </c>
      <c r="Z5" s="121">
        <v>0</v>
      </c>
    </row>
    <row r="6" spans="1:26" ht="15" customHeight="1">
      <c r="A6" s="119">
        <v>307</v>
      </c>
      <c r="B6" s="119">
        <v>307</v>
      </c>
      <c r="C6" s="118" t="s">
        <v>1389</v>
      </c>
      <c r="D6" s="119">
        <v>520028473</v>
      </c>
      <c r="E6" s="118" t="s">
        <v>308</v>
      </c>
      <c r="F6" s="118" t="s">
        <v>1393</v>
      </c>
      <c r="G6" s="119">
        <v>729814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338</v>
      </c>
      <c r="O6" s="122">
        <v>24473</v>
      </c>
      <c r="P6" s="118" t="s">
        <v>1211</v>
      </c>
      <c r="Q6" s="118" t="s">
        <v>313</v>
      </c>
      <c r="R6" s="118" t="s">
        <v>890</v>
      </c>
      <c r="S6" s="122">
        <v>45291</v>
      </c>
      <c r="T6" s="118"/>
      <c r="U6" s="120">
        <v>43086</v>
      </c>
      <c r="V6" s="120">
        <v>1</v>
      </c>
      <c r="W6" s="120">
        <v>9.9999999999999995E-7</v>
      </c>
      <c r="X6" s="120">
        <v>9.9999999999999995E-7</v>
      </c>
      <c r="Y6" s="121">
        <v>7.4100000000000001E-4</v>
      </c>
      <c r="Z6" s="121">
        <v>0</v>
      </c>
    </row>
    <row r="7" spans="1:26" ht="15" customHeight="1">
      <c r="A7" s="119">
        <v>307</v>
      </c>
      <c r="B7" s="119">
        <v>307</v>
      </c>
      <c r="C7" s="118" t="s">
        <v>1394</v>
      </c>
      <c r="D7" s="119">
        <v>520025495</v>
      </c>
      <c r="E7" s="118" t="s">
        <v>308</v>
      </c>
      <c r="F7" s="118" t="s">
        <v>1395</v>
      </c>
      <c r="G7" s="119">
        <v>729749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338</v>
      </c>
      <c r="O7" s="122">
        <v>24473</v>
      </c>
      <c r="P7" s="118" t="s">
        <v>1211</v>
      </c>
      <c r="Q7" s="118" t="s">
        <v>313</v>
      </c>
      <c r="R7" s="118" t="s">
        <v>890</v>
      </c>
      <c r="S7" s="122">
        <v>45291</v>
      </c>
      <c r="T7" s="118"/>
      <c r="U7" s="120">
        <v>93849730</v>
      </c>
      <c r="V7" s="120">
        <v>1</v>
      </c>
      <c r="W7" s="120">
        <v>9.9999999999999995E-7</v>
      </c>
      <c r="X7" s="120">
        <v>9.3999999999999997E-4</v>
      </c>
      <c r="Y7" s="121">
        <v>0.69681199999999999</v>
      </c>
      <c r="Z7" s="121">
        <v>0</v>
      </c>
    </row>
    <row r="8" spans="1:26" ht="15" customHeight="1">
      <c r="A8" s="119">
        <v>307</v>
      </c>
      <c r="B8" s="119">
        <v>307</v>
      </c>
      <c r="C8" s="118" t="s">
        <v>1396</v>
      </c>
      <c r="D8" s="119">
        <v>520025495</v>
      </c>
      <c r="E8" s="118" t="s">
        <v>308</v>
      </c>
      <c r="F8" s="118" t="s">
        <v>1397</v>
      </c>
      <c r="G8" s="119">
        <v>729731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24473</v>
      </c>
      <c r="P8" s="118" t="s">
        <v>1211</v>
      </c>
      <c r="Q8" s="118" t="s">
        <v>313</v>
      </c>
      <c r="R8" s="118" t="s">
        <v>890</v>
      </c>
      <c r="S8" s="122">
        <v>45291</v>
      </c>
      <c r="T8" s="118"/>
      <c r="U8" s="120">
        <v>27701</v>
      </c>
      <c r="V8" s="120">
        <v>1</v>
      </c>
      <c r="W8" s="120">
        <v>9.9999999999999995E-7</v>
      </c>
      <c r="X8" s="120">
        <v>9.9999999999999995E-7</v>
      </c>
      <c r="Y8" s="121">
        <v>7.4100000000000001E-4</v>
      </c>
      <c r="Z8" s="121">
        <v>0</v>
      </c>
    </row>
    <row r="9" spans="1:26" ht="15" customHeight="1">
      <c r="A9" s="119">
        <v>307</v>
      </c>
      <c r="B9" s="119">
        <v>307</v>
      </c>
      <c r="C9" s="118" t="s">
        <v>1398</v>
      </c>
      <c r="D9" s="119">
        <v>520023474</v>
      </c>
      <c r="E9" s="118" t="s">
        <v>308</v>
      </c>
      <c r="F9" s="118" t="s">
        <v>1399</v>
      </c>
      <c r="G9" s="119">
        <v>634022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22340</v>
      </c>
      <c r="P9" s="118" t="s">
        <v>1211</v>
      </c>
      <c r="Q9" s="118" t="s">
        <v>313</v>
      </c>
      <c r="R9" s="118" t="s">
        <v>890</v>
      </c>
      <c r="S9" s="122">
        <v>45291</v>
      </c>
      <c r="T9" s="118"/>
      <c r="U9" s="120">
        <v>3893.2</v>
      </c>
      <c r="V9" s="120">
        <v>1</v>
      </c>
      <c r="W9" s="120">
        <v>0.01</v>
      </c>
      <c r="X9" s="120">
        <v>3.8999999999999999E-4</v>
      </c>
      <c r="Y9" s="121">
        <v>0.289103</v>
      </c>
      <c r="Z9" s="121">
        <v>0</v>
      </c>
    </row>
    <row r="10" spans="1:26" ht="15" customHeight="1">
      <c r="A10" s="119">
        <v>307</v>
      </c>
      <c r="B10" s="119">
        <v>307</v>
      </c>
      <c r="C10" s="118" t="s">
        <v>1400</v>
      </c>
      <c r="D10" s="119">
        <v>520017708</v>
      </c>
      <c r="E10" s="118" t="s">
        <v>308</v>
      </c>
      <c r="F10" s="118" t="s">
        <v>1401</v>
      </c>
      <c r="G10" s="119">
        <v>44024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18811</v>
      </c>
      <c r="P10" s="118" t="s">
        <v>1211</v>
      </c>
      <c r="Q10" s="118" t="s">
        <v>313</v>
      </c>
      <c r="R10" s="118" t="s">
        <v>890</v>
      </c>
      <c r="S10" s="122">
        <v>45291</v>
      </c>
      <c r="T10" s="118"/>
      <c r="U10" s="120">
        <v>1</v>
      </c>
      <c r="V10" s="120">
        <v>1</v>
      </c>
      <c r="W10" s="120">
        <v>0.01</v>
      </c>
      <c r="X10" s="120">
        <v>9.9999999999999995E-7</v>
      </c>
      <c r="Y10" s="121">
        <v>7.4100000000000001E-4</v>
      </c>
      <c r="Z10" s="121">
        <v>0</v>
      </c>
    </row>
    <row r="11" spans="1:26" ht="15" customHeight="1">
      <c r="A11" s="119">
        <v>307</v>
      </c>
      <c r="B11" s="119">
        <v>307</v>
      </c>
      <c r="C11" s="118" t="s">
        <v>1396</v>
      </c>
      <c r="D11" s="119">
        <v>520025495</v>
      </c>
      <c r="E11" s="118" t="s">
        <v>308</v>
      </c>
      <c r="F11" s="118" t="s">
        <v>1402</v>
      </c>
      <c r="G11" s="119">
        <v>23275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24473</v>
      </c>
      <c r="P11" s="118" t="s">
        <v>1211</v>
      </c>
      <c r="Q11" s="118" t="s">
        <v>313</v>
      </c>
      <c r="R11" s="118" t="s">
        <v>890</v>
      </c>
      <c r="S11" s="122">
        <v>45291</v>
      </c>
      <c r="T11" s="118"/>
      <c r="U11" s="120">
        <v>42924</v>
      </c>
      <c r="V11" s="120">
        <v>1</v>
      </c>
      <c r="W11" s="120">
        <v>9.9999999999999995E-7</v>
      </c>
      <c r="X11" s="120">
        <v>9.9999999999999995E-7</v>
      </c>
      <c r="Y11" s="121">
        <v>7.4100000000000001E-4</v>
      </c>
      <c r="Z11" s="121">
        <v>0</v>
      </c>
    </row>
    <row r="12" spans="1:26" ht="15" customHeight="1">
      <c r="A12" s="119">
        <v>307</v>
      </c>
      <c r="B12" s="119">
        <v>307</v>
      </c>
      <c r="C12" s="118" t="s">
        <v>1394</v>
      </c>
      <c r="D12" s="119">
        <v>520025495</v>
      </c>
      <c r="E12" s="118" t="s">
        <v>308</v>
      </c>
      <c r="F12" s="118" t="s">
        <v>1403</v>
      </c>
      <c r="G12" s="119">
        <v>729970</v>
      </c>
      <c r="H12" s="118" t="s">
        <v>311</v>
      </c>
      <c r="I12" s="118" t="s">
        <v>764</v>
      </c>
      <c r="J12" s="118" t="s">
        <v>203</v>
      </c>
      <c r="K12" s="118" t="s">
        <v>203</v>
      </c>
      <c r="L12" s="118" t="s">
        <v>325</v>
      </c>
      <c r="M12" s="118" t="s">
        <v>313</v>
      </c>
      <c r="N12" s="118" t="s">
        <v>338</v>
      </c>
      <c r="O12" s="122">
        <v>24473</v>
      </c>
      <c r="P12" s="118" t="s">
        <v>1211</v>
      </c>
      <c r="Q12" s="118" t="s">
        <v>313</v>
      </c>
      <c r="R12" s="118" t="s">
        <v>890</v>
      </c>
      <c r="S12" s="122">
        <v>45291</v>
      </c>
      <c r="T12" s="118"/>
      <c r="U12" s="120">
        <v>800000</v>
      </c>
      <c r="V12" s="120">
        <v>1</v>
      </c>
      <c r="W12" s="120">
        <v>9.9999999999999995E-7</v>
      </c>
      <c r="X12" s="120">
        <v>1.0000000000000001E-5</v>
      </c>
      <c r="Y12" s="121">
        <v>7.4120000000000002E-3</v>
      </c>
      <c r="Z12" s="121">
        <v>0</v>
      </c>
    </row>
    <row r="13" spans="1:26" ht="15" customHeight="1">
      <c r="A13" s="119">
        <v>307</v>
      </c>
      <c r="B13" s="119">
        <v>307</v>
      </c>
      <c r="C13" s="118" t="s">
        <v>1404</v>
      </c>
      <c r="D13" s="119">
        <v>520020579</v>
      </c>
      <c r="E13" s="118" t="s">
        <v>308</v>
      </c>
      <c r="F13" s="118" t="s">
        <v>1405</v>
      </c>
      <c r="G13" s="119">
        <v>797027</v>
      </c>
      <c r="H13" s="118" t="s">
        <v>311</v>
      </c>
      <c r="I13" s="118" t="s">
        <v>764</v>
      </c>
      <c r="J13" s="118" t="s">
        <v>203</v>
      </c>
      <c r="K13" s="118" t="s">
        <v>203</v>
      </c>
      <c r="L13" s="118" t="s">
        <v>325</v>
      </c>
      <c r="M13" s="118" t="s">
        <v>313</v>
      </c>
      <c r="N13" s="118" t="s">
        <v>338</v>
      </c>
      <c r="O13" s="122">
        <v>24965</v>
      </c>
      <c r="P13" s="118" t="s">
        <v>1211</v>
      </c>
      <c r="Q13" s="118" t="s">
        <v>313</v>
      </c>
      <c r="R13" s="118" t="s">
        <v>890</v>
      </c>
      <c r="S13" s="122">
        <v>45291</v>
      </c>
      <c r="T13" s="118"/>
      <c r="U13" s="120">
        <v>9.5</v>
      </c>
      <c r="V13" s="120">
        <v>1</v>
      </c>
      <c r="W13" s="120">
        <v>0.01</v>
      </c>
      <c r="X13" s="120">
        <v>9.9999999999999995E-7</v>
      </c>
      <c r="Y13" s="121">
        <v>7.4100000000000001E-4</v>
      </c>
      <c r="Z13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307</v>
      </c>
      <c r="B2" s="119">
        <v>307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307</v>
      </c>
      <c r="B2" s="119">
        <v>307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1406</v>
      </c>
      <c r="D2" s="119">
        <v>7900000</v>
      </c>
      <c r="E2" s="118" t="s">
        <v>1033</v>
      </c>
      <c r="F2" s="118" t="s">
        <v>203</v>
      </c>
      <c r="G2" s="118" t="s">
        <v>203</v>
      </c>
      <c r="H2" s="118" t="s">
        <v>338</v>
      </c>
      <c r="I2" s="122">
        <v>39658</v>
      </c>
      <c r="J2" s="118" t="s">
        <v>1211</v>
      </c>
      <c r="K2" s="122">
        <v>45565</v>
      </c>
      <c r="L2" s="120">
        <v>19000</v>
      </c>
      <c r="M2" s="120">
        <v>1</v>
      </c>
      <c r="N2" s="120">
        <v>19000</v>
      </c>
      <c r="O2" s="120"/>
      <c r="P2" s="118"/>
      <c r="Q2" s="121">
        <v>1.0607999999999999E-2</v>
      </c>
      <c r="R2" s="121">
        <v>6.7510000000000001E-3</v>
      </c>
    </row>
    <row r="3" spans="1:26" ht="15" customHeight="1">
      <c r="A3" s="119">
        <v>307</v>
      </c>
      <c r="B3" s="119">
        <v>307</v>
      </c>
      <c r="C3" s="118" t="s">
        <v>1407</v>
      </c>
      <c r="D3" s="119">
        <v>7893835</v>
      </c>
      <c r="E3" s="118" t="s">
        <v>1034</v>
      </c>
      <c r="F3" s="118" t="s">
        <v>203</v>
      </c>
      <c r="G3" s="118" t="s">
        <v>203</v>
      </c>
      <c r="H3" s="118" t="s">
        <v>338</v>
      </c>
      <c r="I3" s="122">
        <v>37668</v>
      </c>
      <c r="J3" s="118" t="s">
        <v>1211</v>
      </c>
      <c r="K3" s="122">
        <v>45565</v>
      </c>
      <c r="L3" s="120">
        <v>1772014.48963</v>
      </c>
      <c r="M3" s="120">
        <v>1</v>
      </c>
      <c r="N3" s="120">
        <v>1772014.48963</v>
      </c>
      <c r="O3" s="118"/>
      <c r="P3" s="118"/>
      <c r="Q3" s="121">
        <v>0.98939100000000002</v>
      </c>
      <c r="R3" s="121">
        <v>0.62967200000000001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2024-11-05T05:24:04Z</dcterms:modified>
</cp:coreProperties>
</file>