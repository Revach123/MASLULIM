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codeName="חוברת_עבודה_זו"/>
  <mc:AlternateContent xmlns:mc="http://schemas.openxmlformats.org/markup-compatibility/2006">
    <mc:Choice Requires="x15">
      <x15ac:absPath xmlns:x15ac="http://schemas.microsoft.com/office/spreadsheetml/2010/11/ac" url="I:\EXCEL\account\Name\Osnat\שידור\רשימות נכסים 17.09.25\עמי\"/>
    </mc:Choice>
  </mc:AlternateContent>
  <xr:revisionPtr revIDLastSave="0" documentId="8_{C046C013-1373-450C-B203-964B2B96E892}" xr6:coauthVersionLast="47" xr6:coauthVersionMax="47" xr10:uidLastSave="{00000000-0000-0000-0000-000000000000}"/>
  <bookViews>
    <workbookView xWindow="19080" yWindow="-120" windowWidth="19440" windowHeight="15000" tabRatio="840" xr2:uid="{00000000-000D-0000-FFFF-FFFF00000000}"/>
  </bookViews>
  <sheets>
    <sheet name="עמוד פתיחה" sheetId="38" r:id="rId1"/>
    <sheet name="סכום נכסים" sheetId="2" r:id="rId2"/>
    <sheet name="מזומנים ושווי מזומנים" sheetId="3" r:id="rId3"/>
    <sheet name="איגרות חוב ממשלתיות" sheetId="4" r:id="rId4"/>
    <sheet name="ניירות ערך מסחריים" sheetId="5" r:id="rId5"/>
    <sheet name="איגרות חוב" sheetId="6" r:id="rId6"/>
    <sheet name="מניות מבכ ויהש" sheetId="7" r:id="rId7"/>
    <sheet name="קרנות סל" sheetId="8" r:id="rId8"/>
    <sheet name="קרנות נאמנות" sheetId="9" r:id="rId9"/>
    <sheet name="כתבי אופציה" sheetId="10" r:id="rId10"/>
    <sheet name="אופציות" sheetId="11" r:id="rId11"/>
    <sheet name="חוזים עתידיים" sheetId="12" r:id="rId12"/>
    <sheet name="מוצרים מובנים" sheetId="13" r:id="rId13"/>
    <sheet name="לא סחיר איגרות חוב ממשלתיות" sheetId="14" r:id="rId14"/>
    <sheet name="לא סחיר איגרות חוב מיועדות" sheetId="15" r:id="rId15"/>
    <sheet name="אפיק השקעה מובטח תשואה" sheetId="48" r:id="rId16"/>
    <sheet name="לא סחיר ניירות ערך מסחריים" sheetId="16" r:id="rId17"/>
    <sheet name="לא סחיר איגרות חוב" sheetId="17" r:id="rId18"/>
    <sheet name="לא סחיר מניות מבכ ויהש" sheetId="18" r:id="rId19"/>
    <sheet name="קרנות השקעה" sheetId="19" r:id="rId20"/>
    <sheet name="לא סחיר כתבי אופציה" sheetId="20" r:id="rId21"/>
    <sheet name="לא סחיר אופציות" sheetId="21" r:id="rId22"/>
    <sheet name="לא סחיר נגזרים אחרים" sheetId="40" r:id="rId23"/>
    <sheet name="הלוואות" sheetId="23" r:id="rId24"/>
    <sheet name="לא סחיר מוצרים מובנים" sheetId="24" r:id="rId25"/>
    <sheet name="פיקדונות מעל 3 חודשים" sheetId="25" r:id="rId26"/>
    <sheet name="זכויות מקרקעין" sheetId="26" r:id="rId27"/>
    <sheet name="השקעה בחברות מוחזקות" sheetId="27" r:id="rId28"/>
    <sheet name="נכסים אחרים" sheetId="28" r:id="rId29"/>
    <sheet name="מסגרות אשראי" sheetId="29" r:id="rId30"/>
    <sheet name="יתרות התחייבות להשקעה" sheetId="47" r:id="rId31"/>
    <sheet name="אפשרויות בחירה" sheetId="49" r:id="rId32"/>
    <sheet name="מיפוי סעיפים" sheetId="58" r:id="rId33"/>
    <sheet name="File Name Info" sheetId="41" state="hidden" r:id="rId34"/>
  </sheets>
  <definedNames>
    <definedName name="_xlnm._FilterDatabase" localSheetId="5" hidden="1">'איגרות חוב'!$A$1:$AJ$483</definedName>
    <definedName name="_xlnm._FilterDatabase" localSheetId="3" hidden="1">'איגרות חוב ממשלתיות'!$A$1:$Z$844</definedName>
    <definedName name="_xlnm._FilterDatabase" localSheetId="31" hidden="1">'אפשרויות בחירה'!$A$1:$D$1040</definedName>
    <definedName name="_xlnm._FilterDatabase" localSheetId="17" hidden="1">'לא סחיר איגרות חוב'!$A$1:$AL$62</definedName>
    <definedName name="_xlnm._FilterDatabase" localSheetId="2" hidden="1">'מזומנים ושווי מזומנים'!$A$1:$Q$73</definedName>
    <definedName name="_xlnm._FilterDatabase" localSheetId="32" hidden="1">'מיפוי סעיפים'!$A$1:$D$795</definedName>
    <definedName name="Additional_Factor">'אפשרויות בחירה'!$C$701:$C$850</definedName>
    <definedName name="Amoritization">'אפשרויות בחירה'!$C$546:$C$550</definedName>
    <definedName name="Capsule">'אפשרויות בחירה'!$C$926:$C$928</definedName>
    <definedName name="Company_Name">'File Name Info'!$A$34:$A$120</definedName>
    <definedName name="Company_Name_ID">'File Name Info'!$A$34:$B$120</definedName>
    <definedName name="Consortium">'אפשרויות בחירה'!$C$514:$C$515</definedName>
    <definedName name="Country_list">'אפשרויות בחירה'!$C$4:$C$85</definedName>
    <definedName name="Country_list_funds">'אפשרויות בחירה'!$C$4:$C$103</definedName>
    <definedName name="CSA">'אפשרויות בחירה'!$C$688:$C$689</definedName>
    <definedName name="Delivery">'אפשרויות בחירה'!$C$666:$C$667</definedName>
    <definedName name="Dependence_Independence">'אפשרויות בחירה'!$C$654:$C$655</definedName>
    <definedName name="Duration_Underlying_Interest_Rate">'אפשרויות בחירה'!$C$680:$C$687</definedName>
    <definedName name="File_Type">'File Name Info'!$A$10:$A$12</definedName>
    <definedName name="Full_File_Type">'File Name Info'!$A$11:$B$13</definedName>
    <definedName name="Full_Type">'File Name Info'!$A$2:$B$8</definedName>
    <definedName name="Full_Type_Nostro">'File Name Info'!$A$3:$B$6</definedName>
    <definedName name="Full_Year">'File Name Info'!$A$22:$B$31</definedName>
    <definedName name="Fund_Strategy">'אפשרויות בחירה'!$C$597:$C$621</definedName>
    <definedName name="Fund_type">'אפשרויות בחירה'!$C$328:$C$498</definedName>
    <definedName name="Holding_interest">'אפשרויות בחירה'!$C$146:$C$147</definedName>
    <definedName name="In_the_books">'אפשרויות בחירה'!$C$656:$C$657</definedName>
    <definedName name="Industry_Sector">'אפשרויות בחירה'!$C$1129:$C$1245</definedName>
    <definedName name="Industry_sector_all">'אפשרויות בחירה'!$C$202:$C$327</definedName>
    <definedName name="Industry_sectors">'אפשרויות בחירה'!$C$202:$C$327</definedName>
    <definedName name="israel_abroad">'אפשרויות בחירה'!$C$2:$C$3</definedName>
    <definedName name="Issuer_Number_Banks">'אפשרויות בחירה'!$C$111:$C$113</definedName>
    <definedName name="Issuer_Number_Fund">'אפשרויות בחירה'!$C$114:$C$117</definedName>
    <definedName name="issuer_number_loan">'אפשרויות בחירה'!$C$118:$C$126</definedName>
    <definedName name="Issuer_Number_Type">'אפשרויות בחירה'!$C$104:$C$110</definedName>
    <definedName name="Issuer_Number_Type_2">'אפשרויות בחירה'!$C$1076:$C$1079</definedName>
    <definedName name="Issuer_Number_Type_3">'אפשרויות בחירה'!$C$1081:$C$1085</definedName>
    <definedName name="Issuer_Number_Type_V2" localSheetId="31">'אפשרויות בחירה'!$C$104:$C$110</definedName>
    <definedName name="Issuer_Type_TFunds">'אפשרויות בחירה'!$C$1087:$C$1089</definedName>
    <definedName name="Leading_factor">'אפשרויות בחירה'!$C$692:$C$700</definedName>
    <definedName name="Linked_Type">'אפשרויות בחירה'!$C$516:$C$519</definedName>
    <definedName name="other_investments">'אפשרויות בחירה'!$C$1000:$C$1033</definedName>
    <definedName name="Penalty">'אפשרויות בחירה'!$C$851:$C$852</definedName>
    <definedName name="QTR">'File Name Info'!$A$15:$A$19</definedName>
    <definedName name="Rating_Agency">'אפשרויות בחירה'!$C$188:$C$201</definedName>
    <definedName name="real_estate_lifestage">'אפשרויות בחירה'!$C$634:$C$642</definedName>
    <definedName name="real_estate_loans">'אפשרויות בחירה'!$C$553:$C$591</definedName>
    <definedName name="Real_Estate_Main_Use">'אפשרויות בחירה'!$C$622:$C$633</definedName>
    <definedName name="Recourse_Nonrecourse">'אפשרויות בחירה'!$C$544:$C$545</definedName>
    <definedName name="Repayment_Rights">'אפשרויות בחירה'!$C$551:$C$552</definedName>
    <definedName name="Reset_frequency">'אפשרויות בחירה'!$C$658:$C$665</definedName>
    <definedName name="Security_ID_Number_Type">'אפשרויות בחירה'!$C$1113:$C$1116</definedName>
    <definedName name="Security_Number_Loans" localSheetId="31">'אפשרויות בחירה'!$C$131</definedName>
    <definedName name="Stock_Exchange">'אפשרויות בחירה'!$C$1283:$C$1315</definedName>
    <definedName name="Stock_Exchange_Gov_Bonds">'אפשרויות בחירה'!$C$148:$C$181</definedName>
    <definedName name="Subordination_Risk">'אפשרויות בחירה'!$C$186:$C$187</definedName>
    <definedName name="Tradeable_Status">'אפשרויות בחירה'!$C$1272:$C$1281</definedName>
    <definedName name="Tradeable_Status_All">'אפשרויות בחירה'!$C$135:$C$145</definedName>
    <definedName name="tradeable_status_bonds">'אפשרויות בחירה'!$C$1248:$C$1253</definedName>
    <definedName name="tradeable_status_funds">'אפשרויות בחירה'!$C$1118:$C$1119</definedName>
    <definedName name="tradeable_status_stock">'אפשרויות בחירה'!$C$1255:$C$1259</definedName>
    <definedName name="Tradeable_Status_v2">'אפשרויות בחירה'!$C$1121:$C$1126</definedName>
    <definedName name="tradeable_status_warrants">'אפשרויות בחירה'!$C$1261:$C$1265</definedName>
    <definedName name="tradeable_status_warrants_v2">'אפשרויות בחירה'!$C$1267:$C$1269</definedName>
    <definedName name="Transaction" localSheetId="31">'אפשרויות בחירה'!$C$643:$C$646</definedName>
    <definedName name="Type">'File Name Info'!$A$2:$A$8</definedName>
    <definedName name="Type_of_Interest_Rate">'אפשרויות בחירה'!$C$592:$C$594</definedName>
    <definedName name="Type_of_Security">'אפשרויות בחירה'!$C$520:$C$543</definedName>
    <definedName name="Type_of_Security_ID">'אפשרויות בחירה'!$C$127:$C$131</definedName>
    <definedName name="Type_of_Security_ID_Fund">'אפשרויות בחירה'!$C$132:$C$134</definedName>
    <definedName name="Type_of_Security_ID_V2" localSheetId="31">'אפשרויות בחירה'!$C$127:$C$131</definedName>
    <definedName name="Underlying_Asset">'אפשרויות בחירה'!$C$499:$C$513</definedName>
    <definedName name="Underlying_Asset_Structured">'אפשרויות בחירה'!$C$1094:$C$1105</definedName>
    <definedName name="Underlying_Interest_Rates">'אפשרויות בחירה'!$C$668:$C$679</definedName>
    <definedName name="Underlying_Interest_Rates_Der" localSheetId="31">'אפשרויות בחירה'!$C$670:$C$679</definedName>
    <definedName name="Valuation">'אפשרויות בחירה'!$C$649:$C$653</definedName>
    <definedName name="Valuation_Loans">'אפשרויות בחירה'!$C$1091:$C$1092</definedName>
    <definedName name="Valuation_Method">'אפשרויות בחירה'!$C$643:$C$648</definedName>
    <definedName name="Valuation_Realestate">'אפשרויות בחירה'!$C$1108:$C$1111</definedName>
    <definedName name="What_is_rated">'אפשרויות בחירה'!$C$182:$C$185</definedName>
    <definedName name="what_is_rated_loans">'אפשרויות בחירה'!$C$183:$C$185</definedName>
    <definedName name="YEAR">'File Name Info'!$A$21:$A$31</definedName>
    <definedName name="Yes_No_Bad_Debt">'אפשרויות בחירה'!$C$595:$C$596</definedName>
    <definedName name="Z_AE318230_F718_49FC_82EB_7CAC3DCD05F1_.wvu.FilterData" localSheetId="2" hidden="1">'מזומנים ושווי מזומנים'!$A$1:$N$1</definedName>
    <definedName name="Z_AE318230_F718_49FC_82EB_7CAC3DCD05F1_.wvu.Rows" localSheetId="10" hidden="1">אופציות!#REF!</definedName>
    <definedName name="Z_AE318230_F718_49FC_82EB_7CAC3DCD05F1_.wvu.Rows" localSheetId="5" hidden="1">'איגרות חוב'!#REF!</definedName>
    <definedName name="Z_AE318230_F718_49FC_82EB_7CAC3DCD05F1_.wvu.Rows" localSheetId="3" hidden="1">'איגרות חוב ממשלתיות'!#REF!</definedName>
    <definedName name="Z_AE318230_F718_49FC_82EB_7CAC3DCD05F1_.wvu.Rows" localSheetId="15" hidden="1">'אפיק השקעה מובטח תשואה'!#REF!</definedName>
    <definedName name="Z_AE318230_F718_49FC_82EB_7CAC3DCD05F1_.wvu.Rows" localSheetId="27" hidden="1">'השקעה בחברות מוחזקות'!#REF!</definedName>
    <definedName name="Z_AE318230_F718_49FC_82EB_7CAC3DCD05F1_.wvu.Rows" localSheetId="26" hidden="1">'זכויות מקרקעין'!#REF!</definedName>
    <definedName name="Z_AE318230_F718_49FC_82EB_7CAC3DCD05F1_.wvu.Rows" localSheetId="11" hidden="1">'חוזים עתידיים'!#REF!</definedName>
    <definedName name="Z_AE318230_F718_49FC_82EB_7CAC3DCD05F1_.wvu.Rows" localSheetId="30" hidden="1">'יתרות התחייבות להשקעה'!#REF!</definedName>
    <definedName name="Z_AE318230_F718_49FC_82EB_7CAC3DCD05F1_.wvu.Rows" localSheetId="9" hidden="1">'כתבי אופציה'!#REF!</definedName>
    <definedName name="Z_AE318230_F718_49FC_82EB_7CAC3DCD05F1_.wvu.Rows" localSheetId="21" hidden="1">'לא סחיר אופציות'!#REF!</definedName>
    <definedName name="Z_AE318230_F718_49FC_82EB_7CAC3DCD05F1_.wvu.Rows" localSheetId="17" hidden="1">'לא סחיר איגרות חוב'!#REF!</definedName>
    <definedName name="Z_AE318230_F718_49FC_82EB_7CAC3DCD05F1_.wvu.Rows" localSheetId="14" hidden="1">'לא סחיר איגרות חוב מיועדות'!#REF!</definedName>
    <definedName name="Z_AE318230_F718_49FC_82EB_7CAC3DCD05F1_.wvu.Rows" localSheetId="13" hidden="1">'לא סחיר איגרות חוב ממשלתיות'!#REF!</definedName>
    <definedName name="Z_AE318230_F718_49FC_82EB_7CAC3DCD05F1_.wvu.Rows" localSheetId="20" hidden="1">'לא סחיר כתבי אופציה'!#REF!</definedName>
    <definedName name="Z_AE318230_F718_49FC_82EB_7CAC3DCD05F1_.wvu.Rows" localSheetId="24" hidden="1">'לא סחיר מוצרים מובנים'!#REF!</definedName>
    <definedName name="Z_AE318230_F718_49FC_82EB_7CAC3DCD05F1_.wvu.Rows" localSheetId="18" hidden="1">'לא סחיר מניות מבכ ויהש'!#REF!</definedName>
    <definedName name="Z_AE318230_F718_49FC_82EB_7CAC3DCD05F1_.wvu.Rows" localSheetId="16" hidden="1">'לא סחיר ניירות ערך מסחריים'!#REF!</definedName>
    <definedName name="Z_AE318230_F718_49FC_82EB_7CAC3DCD05F1_.wvu.Rows" localSheetId="12" hidden="1">'מוצרים מובנים'!#REF!</definedName>
    <definedName name="Z_AE318230_F718_49FC_82EB_7CAC3DCD05F1_.wvu.Rows" localSheetId="6" hidden="1">'מניות מבכ ויהש'!#REF!</definedName>
    <definedName name="Z_AE318230_F718_49FC_82EB_7CAC3DCD05F1_.wvu.Rows" localSheetId="29" hidden="1">'מסגרות אשראי'!#REF!</definedName>
    <definedName name="Z_AE318230_F718_49FC_82EB_7CAC3DCD05F1_.wvu.Rows" localSheetId="4" hidden="1">'ניירות ערך מסחריים'!#REF!</definedName>
    <definedName name="Z_AE318230_F718_49FC_82EB_7CAC3DCD05F1_.wvu.Rows" localSheetId="28" hidden="1">'נכסים אחרים'!#REF!</definedName>
    <definedName name="Z_AE318230_F718_49FC_82EB_7CAC3DCD05F1_.wvu.Rows" localSheetId="25" hidden="1">'פיקדונות מעל 3 חודשים'!#REF!</definedName>
    <definedName name="Z_AE318230_F718_49FC_82EB_7CAC3DCD05F1_.wvu.Rows" localSheetId="19" hidden="1">'קרנות השקעה'!#REF!</definedName>
    <definedName name="Z_AE318230_F718_49FC_82EB_7CAC3DCD05F1_.wvu.Rows" localSheetId="8" hidden="1">'קרנות נאמנות'!#REF!</definedName>
    <definedName name="Z_AE318230_F718_49FC_82EB_7CAC3DCD05F1_.wvu.Rows" localSheetId="7" hidden="1">'קרנות סל'!#REF!</definedName>
  </definedNames>
  <calcPr calcId="191029"/>
  <customWorkbookViews>
    <customWorkbookView name="נירית שימרון - Personal View" guid="{AE318230-F718-49FC-82EB-7CAC3DCD05F1}" mergeInterval="0" personalView="1" maximized="1" xWindow="-8" yWindow="-8" windowWidth="1696" windowHeight="1026" tabRatio="894" activeSheetId="3" showComments="commIndAndComment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2" i="2" l="1"/>
  <c r="C30" i="2"/>
  <c r="B29" i="2"/>
  <c r="D29" i="2" s="1"/>
  <c r="B28" i="2"/>
  <c r="D28" i="2" s="1"/>
  <c r="B27" i="2"/>
  <c r="D27" i="2" s="1"/>
  <c r="B26" i="2"/>
  <c r="D26" i="2" s="1"/>
  <c r="B25" i="2"/>
  <c r="D25" i="2" s="1"/>
  <c r="B24" i="2"/>
  <c r="D24" i="2" s="1"/>
  <c r="B23" i="2"/>
  <c r="D23" i="2" s="1"/>
  <c r="B22" i="2"/>
  <c r="D22" i="2" s="1"/>
  <c r="B21" i="2"/>
  <c r="D21" i="2" s="1"/>
  <c r="B20" i="2"/>
  <c r="D20" i="2" s="1"/>
  <c r="B19" i="2"/>
  <c r="D19" i="2" s="1"/>
  <c r="B18" i="2"/>
  <c r="D18" i="2" s="1"/>
  <c r="B17" i="2"/>
  <c r="D17" i="2" s="1"/>
  <c r="B16" i="2"/>
  <c r="D16" i="2" s="1"/>
  <c r="B15" i="2"/>
  <c r="D15" i="2" s="1"/>
  <c r="B14" i="2"/>
  <c r="D14" i="2" s="1"/>
  <c r="B13" i="2"/>
  <c r="D13" i="2" s="1"/>
  <c r="B12" i="2"/>
  <c r="D12" i="2" s="1"/>
  <c r="B11" i="2"/>
  <c r="D11" i="2" s="1"/>
  <c r="B10" i="2"/>
  <c r="D10" i="2" s="1"/>
  <c r="B9" i="2"/>
  <c r="D9" i="2" s="1"/>
  <c r="B8" i="2"/>
  <c r="D8" i="2" s="1"/>
  <c r="B7" i="2"/>
  <c r="D7" i="2" s="1"/>
  <c r="D6" i="2"/>
  <c r="B6" i="2"/>
  <c r="B5" i="2"/>
  <c r="D5" i="2" s="1"/>
  <c r="B4" i="2"/>
  <c r="D4" i="2" s="1"/>
  <c r="B3" i="2"/>
  <c r="D13" i="38"/>
  <c r="D15" i="38" s="1"/>
  <c r="B30" i="2" l="1"/>
  <c r="D3" i="2"/>
  <c r="D30" i="2" s="1"/>
</calcChain>
</file>

<file path=xl/sharedStrings.xml><?xml version="1.0" encoding="utf-8"?>
<sst xmlns="http://schemas.openxmlformats.org/spreadsheetml/2006/main" count="27128" uniqueCount="3302">
  <si>
    <t>מספר קופה/קרן/ח.פ. עבור חברת ביטוח</t>
  </si>
  <si>
    <t>מספר מסלול</t>
  </si>
  <si>
    <t>שם מנפיק</t>
  </si>
  <si>
    <t>שם נייר ערך</t>
  </si>
  <si>
    <t>מספר נייר ערך</t>
  </si>
  <si>
    <t>מאפיין עיקרי</t>
  </si>
  <si>
    <t>ישראל/חו"ל</t>
  </si>
  <si>
    <t>מדינה לפי חשיפה כלכלית</t>
  </si>
  <si>
    <t>זירת מסחר</t>
  </si>
  <si>
    <t>דירוג</t>
  </si>
  <si>
    <t>שם מדרג</t>
  </si>
  <si>
    <t>מטבע פעילות</t>
  </si>
  <si>
    <t>מח"מ</t>
  </si>
  <si>
    <t>מועד פדיון</t>
  </si>
  <si>
    <t>שיעור ריבית</t>
  </si>
  <si>
    <t>תשואה לפדיון</t>
  </si>
  <si>
    <t>סכום לקבל (במטבע הפעילות)</t>
  </si>
  <si>
    <t>ערך נקוב (יחידות)</t>
  </si>
  <si>
    <t>שער חליפין</t>
  </si>
  <si>
    <t>שער נייר הערך</t>
  </si>
  <si>
    <t>שווי הוגן (באלפי ש"ח)</t>
  </si>
  <si>
    <t>עלות מופחתת (באלפי ש"ח)</t>
  </si>
  <si>
    <t>השיטה שיושמה בדוח הכספי</t>
  </si>
  <si>
    <t>שיעור מערך נקוב מונפק</t>
  </si>
  <si>
    <t>שיעור מנכסי אפיק ההשקעה</t>
  </si>
  <si>
    <t>שיעור מסך נכסי ההשקעה</t>
  </si>
  <si>
    <t>גליל</t>
  </si>
  <si>
    <t>ממשל צמודה 1131</t>
  </si>
  <si>
    <t>IL0011722209</t>
  </si>
  <si>
    <t>צמוד למדד המחירים לצרכן בריבית קבועה</t>
  </si>
  <si>
    <t>ישראל</t>
  </si>
  <si>
    <t>TASE</t>
  </si>
  <si>
    <t>RF</t>
  </si>
  <si>
    <t>פנימי</t>
  </si>
  <si>
    <t>ILS</t>
  </si>
  <si>
    <t>30/11/2031</t>
  </si>
  <si>
    <t>שווי הוגן</t>
  </si>
  <si>
    <t>ממשלתית צמודה 0.5% 0529</t>
  </si>
  <si>
    <t>IL0011570236</t>
  </si>
  <si>
    <t>31/05/2029</t>
  </si>
  <si>
    <t>ממשלתית צמודה 0726</t>
  </si>
  <si>
    <t>IL0011695645</t>
  </si>
  <si>
    <t>31/07/2026</t>
  </si>
  <si>
    <t>שחר</t>
  </si>
  <si>
    <t>ממשלתית שקלית 1.3% 04/32</t>
  </si>
  <si>
    <t>IL0011806606</t>
  </si>
  <si>
    <t>לא צמוד למדד המחירים לצרכן ריבית קבועה</t>
  </si>
  <si>
    <t>30/04/2032</t>
  </si>
  <si>
    <t>ממשל שיקלית 0928</t>
  </si>
  <si>
    <t>IL0011508798</t>
  </si>
  <si>
    <t>28/09/2028</t>
  </si>
  <si>
    <t>ממשלתית צמודה 1.10% 1028</t>
  </si>
  <si>
    <t>IL0011973265</t>
  </si>
  <si>
    <t>31/10/2028</t>
  </si>
  <si>
    <t>בנק ישראל- מק"מ</t>
  </si>
  <si>
    <t>מ.ק.מ. 1215</t>
  </si>
  <si>
    <t>IL0082512174</t>
  </si>
  <si>
    <t>מק"מ קצר משנים עשר חודשים</t>
  </si>
  <si>
    <t>TASE </t>
  </si>
  <si>
    <t>03/12/2025</t>
  </si>
  <si>
    <t>מ.ק.מ. 915</t>
  </si>
  <si>
    <t>IL0082509121</t>
  </si>
  <si>
    <t>03/09/2025</t>
  </si>
  <si>
    <t>מלווה קצר מועד 1115</t>
  </si>
  <si>
    <t>IL0082511184</t>
  </si>
  <si>
    <t>05/11/2025</t>
  </si>
  <si>
    <t>ממשל שקלית 0327</t>
  </si>
  <si>
    <t>IL0011393449</t>
  </si>
  <si>
    <t>31/03/2027</t>
  </si>
  <si>
    <t>ממשל שקלית 0335</t>
  </si>
  <si>
    <t>IL0012023326</t>
  </si>
  <si>
    <t>30/03/2035</t>
  </si>
  <si>
    <t>ממשלתי צמוד 841</t>
  </si>
  <si>
    <t>IL0011205833</t>
  </si>
  <si>
    <t>30/08/2041</t>
  </si>
  <si>
    <t>ממשלתי שקלית 0142</t>
  </si>
  <si>
    <t>IL0011254005</t>
  </si>
  <si>
    <t>31/01/2042</t>
  </si>
  <si>
    <t>ממשלתית שקלית 1.00% 03/30</t>
  </si>
  <si>
    <t>IL0011609851</t>
  </si>
  <si>
    <t>31/03/2030</t>
  </si>
  <si>
    <t>US TREASURY Bills</t>
  </si>
  <si>
    <t>T 3 3/8 05/15/33</t>
  </si>
  <si>
    <t>US91282CHC82</t>
  </si>
  <si>
    <t>צמוד מט"ח בריבית קבועה</t>
  </si>
  <si>
    <t>חו"ל</t>
  </si>
  <si>
    <t>ארה"ב</t>
  </si>
  <si>
    <t>FOREIGN_GOV_SEC</t>
  </si>
  <si>
    <t>AA+</t>
  </si>
  <si>
    <t>Fitch</t>
  </si>
  <si>
    <t>USD</t>
  </si>
  <si>
    <t>15/05/2033</t>
  </si>
  <si>
    <t>US Govt</t>
  </si>
  <si>
    <t>T 4 5/8 02/15/35</t>
  </si>
  <si>
    <t>US91282CMM00</t>
  </si>
  <si>
    <t>15/02/2035</t>
  </si>
  <si>
    <t>מלווה קצר מועד 1015</t>
  </si>
  <si>
    <t>IL0082510194</t>
  </si>
  <si>
    <t>01/10/2025</t>
  </si>
  <si>
    <t>מלווה קצר מועד 116</t>
  </si>
  <si>
    <t>IL0082601191</t>
  </si>
  <si>
    <t>07/01/2026</t>
  </si>
  <si>
    <t>ממשל צמודה 0527</t>
  </si>
  <si>
    <t>IL0011408478</t>
  </si>
  <si>
    <t>31/05/2027</t>
  </si>
  <si>
    <t>ממשלתית צמודה 1.6% 1033</t>
  </si>
  <si>
    <t>IL0012043795</t>
  </si>
  <si>
    <t>31/10/2033</t>
  </si>
  <si>
    <t>T 3 7/8 08/15/34</t>
  </si>
  <si>
    <t>US91282CLF67</t>
  </si>
  <si>
    <t>15/08/2034</t>
  </si>
  <si>
    <t>ממשל צמודה 0545</t>
  </si>
  <si>
    <t>IL0011348658</t>
  </si>
  <si>
    <t>31/05/2045</t>
  </si>
  <si>
    <t>ממשל שקלית 0226</t>
  </si>
  <si>
    <t>IL0011746976</t>
  </si>
  <si>
    <t>27/02/2026</t>
  </si>
  <si>
    <t>ממשל שקלית 0347</t>
  </si>
  <si>
    <t>IL0011401937</t>
  </si>
  <si>
    <t>31/03/2047</t>
  </si>
  <si>
    <t>ממשלתית שקלית 0537</t>
  </si>
  <si>
    <t>IL0011661803</t>
  </si>
  <si>
    <t>31/05/2037</t>
  </si>
  <si>
    <t>ממשל צמודה 1025</t>
  </si>
  <si>
    <t>IL0011359127</t>
  </si>
  <si>
    <t>31/10/2025</t>
  </si>
  <si>
    <t>ממשל שקלית 0825</t>
  </si>
  <si>
    <t>IL0011355570</t>
  </si>
  <si>
    <t>31/08/2025</t>
  </si>
  <si>
    <t>ממשלתי צמודה 0536</t>
  </si>
  <si>
    <t>IL0010977085</t>
  </si>
  <si>
    <t>30/05/2036</t>
  </si>
  <si>
    <t>מדינת ישראל</t>
  </si>
  <si>
    <t>ISRAEL 5 1/2 03/12/34</t>
  </si>
  <si>
    <t>US46514BRL35</t>
  </si>
  <si>
    <t>אחר</t>
  </si>
  <si>
    <t>Baa1</t>
  </si>
  <si>
    <t>Moodys</t>
  </si>
  <si>
    <t>12/03/2034</t>
  </si>
  <si>
    <t>T 4 7/8 10/31/28</t>
  </si>
  <si>
    <t>US91282CJF95</t>
  </si>
  <si>
    <t>מספר מזהה לווה</t>
  </si>
  <si>
    <t>סוג מספר מזהה לווה</t>
  </si>
  <si>
    <t>שם הלוואה</t>
  </si>
  <si>
    <t>מספר הלוואה</t>
  </si>
  <si>
    <t>תאריך העמדת מסגרת אשראי</t>
  </si>
  <si>
    <t>בעל עניין/צד קשור</t>
  </si>
  <si>
    <t>דירוג הלוואה/המנפיק</t>
  </si>
  <si>
    <t>סוג הריבית</t>
  </si>
  <si>
    <t>סכום מסגרת האשראי הראשוני (במטבע הפעילות)</t>
  </si>
  <si>
    <t>סכום מסגרת האשראי הראשוני (באלפי ש"ח)</t>
  </si>
  <si>
    <t>שיעור יתרת מסגרת אשראי</t>
  </si>
  <si>
    <t>שם הנכס האחר</t>
  </si>
  <si>
    <t>מספר הנכס האחר</t>
  </si>
  <si>
    <t>תאריך עסקה</t>
  </si>
  <si>
    <t>תאריך שערוך אחרון</t>
  </si>
  <si>
    <t>שווי מטבעי</t>
  </si>
  <si>
    <t>זכאים</t>
  </si>
  <si>
    <t>28080000</t>
  </si>
  <si>
    <t>חייבים וזכאים</t>
  </si>
  <si>
    <t>לא</t>
  </si>
  <si>
    <t>30/06/2025</t>
  </si>
  <si>
    <t>זכאים מס עמיתים</t>
  </si>
  <si>
    <t>28200000</t>
  </si>
  <si>
    <t>חייבים וזכאים מס</t>
  </si>
  <si>
    <t>חייבים</t>
  </si>
  <si>
    <t>27960000</t>
  </si>
  <si>
    <t>מספר מנפיק</t>
  </si>
  <si>
    <t>סוג מספר מזהה מנפיק</t>
  </si>
  <si>
    <t>סוג מספר נייר ערך</t>
  </si>
  <si>
    <t>ענף מסחר</t>
  </si>
  <si>
    <t>סוג גורם משערך</t>
  </si>
  <si>
    <t>תלות/אי-תלות המשערך</t>
  </si>
  <si>
    <t>תאריך אחרון בו נבחנה בפועל ירידת ערך</t>
  </si>
  <si>
    <t>שיעור אחזקה באמצעי שליטה</t>
  </si>
  <si>
    <t>שווי מאזני (באלפי ש"ח)</t>
  </si>
  <si>
    <t>שם הנכס</t>
  </si>
  <si>
    <t>מדינת מיקום נדל"ן</t>
  </si>
  <si>
    <t>תאריך רכישה</t>
  </si>
  <si>
    <t>שימוש עיקרי בנכס</t>
  </si>
  <si>
    <t>מחזור חיי הנכס</t>
  </si>
  <si>
    <t>כתובת הנכס</t>
  </si>
  <si>
    <t>שיעור תשואה בפועל במהלך הרבעון</t>
  </si>
  <si>
    <t>השיטה שבאמצעותה נקבע שווי הנכס</t>
  </si>
  <si>
    <t>שם גורם משערך</t>
  </si>
  <si>
    <t>שווי הוגן (במטבע הפעילות)</t>
  </si>
  <si>
    <t>עלות מופחתת (במטבע הפעילות)</t>
  </si>
  <si>
    <t>מקרקעין</t>
  </si>
  <si>
    <t>נדל"ן מניב</t>
  </si>
  <si>
    <t>31/12/2013</t>
  </si>
  <si>
    <t>חירות, מועצה אזורית - לב השרון</t>
  </si>
  <si>
    <t xml:space="preserve">שיטה השוואתית </t>
  </si>
  <si>
    <t>מומחה בלתי תלוי</t>
  </si>
  <si>
    <t>קמיל טרשנסקי שרותי נדלן</t>
  </si>
  <si>
    <t>אי-תלות</t>
  </si>
  <si>
    <t>30/12/2024</t>
  </si>
  <si>
    <t>שם הבנק</t>
  </si>
  <si>
    <t>מספר מזהה בנק</t>
  </si>
  <si>
    <t>סוג מספר מזהה בנק</t>
  </si>
  <si>
    <t>תאריך פקיעת פיקדון</t>
  </si>
  <si>
    <t>דירוג הבנק</t>
  </si>
  <si>
    <t>שער פיקדון</t>
  </si>
  <si>
    <t>נכס בסיס</t>
  </si>
  <si>
    <t>דירוג נייר הערך/המנפיק</t>
  </si>
  <si>
    <t>ALESCO PREF FUNDING IX</t>
  </si>
  <si>
    <t>549300FP1ZNOHOUNLV32</t>
  </si>
  <si>
    <t>LEI</t>
  </si>
  <si>
    <t>ALESCO PFD VI</t>
  </si>
  <si>
    <t>KYG015912085</t>
  </si>
  <si>
    <t>ISIN</t>
  </si>
  <si>
    <t>06/08/2019</t>
  </si>
  <si>
    <t>NR</t>
  </si>
  <si>
    <t>08/08/2019</t>
  </si>
  <si>
    <t>קובץ דיווח עבור רשימת נכסים ברמת הנכס הבודד (חוזר גופים מוסדיים 2015-9-14)</t>
  </si>
  <si>
    <t>יש לבחור תחום:</t>
  </si>
  <si>
    <t>נכסי עמיתים - קופות גמל</t>
  </si>
  <si>
    <t>האם מדובר בקובץ לממומנה או לציבור:</t>
  </si>
  <si>
    <t>יש לבחור את רבעון הדיווח:</t>
  </si>
  <si>
    <t>יש לבחור את שנת הדיווח:</t>
  </si>
  <si>
    <t>יש לבחור את הגוף המוסדי:</t>
  </si>
  <si>
    <t>ח.פ. הגוף המוסדי:</t>
  </si>
  <si>
    <t>שם קובץ לשמירה</t>
  </si>
  <si>
    <r>
      <t xml:space="preserve">פרטי האחראי על הדיווח </t>
    </r>
    <r>
      <rPr>
        <b/>
        <u/>
        <sz val="11"/>
        <color theme="1"/>
        <rFont val="Arial"/>
        <family val="2"/>
      </rPr>
      <t>בגוף המוסדי</t>
    </r>
  </si>
  <si>
    <t>שם:</t>
  </si>
  <si>
    <t>מספר טלפון:</t>
  </si>
  <si>
    <t>כתובת מייל:</t>
  </si>
  <si>
    <t>הוראות למילוי הדיווח:</t>
  </si>
  <si>
    <t>יש לדווח לפי ההנחיות בחלק ג' לנספח 5.4.3.2 שבפרק 3 שבחלק 4 לשער 5 בחוזר המאוחד - "רשימת נכסים ברמת הנכס הבודד".</t>
  </si>
  <si>
    <t>שם שותף כללי קרן השקעות</t>
  </si>
  <si>
    <t>מספר מזהה שותף כללי קרן השקעות</t>
  </si>
  <si>
    <t>סוג מספר מזהה שותף כללי קרן השקעות</t>
  </si>
  <si>
    <t>שם קרן השקעה</t>
  </si>
  <si>
    <t>מספר מזהה קרן השקעה</t>
  </si>
  <si>
    <t>סוג מספר מזהה קרן השקעות</t>
  </si>
  <si>
    <t>תאריך העמדת התחייבות לקרן השקעה</t>
  </si>
  <si>
    <t>סכום המחויבות הראשוני (במטבע הדיווח של קרן ההשקעה)</t>
  </si>
  <si>
    <t>סכום המחויבות הראשוני (באלפי ש"ח)</t>
  </si>
  <si>
    <t>יתרת המחויבות לתקופת הדיווח (במטבע הדיווח של קרן ההשקעה)</t>
  </si>
  <si>
    <t>יתרת המחויבות לתקופת הדיווח (באלפי ש"ח)</t>
  </si>
  <si>
    <t>שיעור יתרת המחויבות</t>
  </si>
  <si>
    <t>תאריך פקיעת מחויבות להשקעה</t>
  </si>
  <si>
    <t>שם גיליון
(רלוונטי לגיליונות עם עמודה "מאפיין עיקרי")</t>
  </si>
  <si>
    <t>שם עמודה</t>
  </si>
  <si>
    <t>אפשרות בחירה</t>
  </si>
  <si>
    <t>הערות והסברים</t>
  </si>
  <si>
    <t xml:space="preserve">ישראל/חו"ל </t>
  </si>
  <si>
    <t>מדינה לפי חשיפה כלכלית; מדינת התאגדות קרן השקעה, מיקום משרד השותף הכללי, מדינת מיקום נדל"ן</t>
  </si>
  <si>
    <t>אוסטריה</t>
  </si>
  <si>
    <t>אוסטרליה</t>
  </si>
  <si>
    <t>אזור תעלת פנמה</t>
  </si>
  <si>
    <t>אזרביג'אן</t>
  </si>
  <si>
    <t>איחוד האמירויות הערביות</t>
  </si>
  <si>
    <t>איטליה</t>
  </si>
  <si>
    <t>איי הבתולה הבריטיים</t>
  </si>
  <si>
    <t>איי הבתולה של ארצות הברית</t>
  </si>
  <si>
    <t>איי סיישל</t>
  </si>
  <si>
    <t>איי קיימן</t>
  </si>
  <si>
    <t>איי שלמה הבריטיים</t>
  </si>
  <si>
    <t>איסלנד</t>
  </si>
  <si>
    <t>אירלנד</t>
  </si>
  <si>
    <t>אנדורה</t>
  </si>
  <si>
    <t>אסטוניה</t>
  </si>
  <si>
    <t>ארגנטינה</t>
  </si>
  <si>
    <t>אתיופיה</t>
  </si>
  <si>
    <t>בהמס</t>
  </si>
  <si>
    <t>בולגריה</t>
  </si>
  <si>
    <t>בוליביה</t>
  </si>
  <si>
    <t>בחריין</t>
  </si>
  <si>
    <t>בלגיה</t>
  </si>
  <si>
    <t>בליז</t>
  </si>
  <si>
    <t>ברזיל</t>
  </si>
  <si>
    <t>בריטניה</t>
  </si>
  <si>
    <t>ברמודה</t>
  </si>
  <si>
    <t>גאורגיה</t>
  </si>
  <si>
    <t>גיברלטר</t>
  </si>
  <si>
    <t>גמייקה</t>
  </si>
  <si>
    <t>גרמניה</t>
  </si>
  <si>
    <t>ג'רזי (Jersey)</t>
  </si>
  <si>
    <t>גרנזי (Guernsey)</t>
  </si>
  <si>
    <t>דנמרק</t>
  </si>
  <si>
    <t>דרום אפריקה</t>
  </si>
  <si>
    <t>דרום קוריאה</t>
  </si>
  <si>
    <t>הודו</t>
  </si>
  <si>
    <t>הולנד</t>
  </si>
  <si>
    <t>הונג קונג</t>
  </si>
  <si>
    <t>הונגריה</t>
  </si>
  <si>
    <t>הונדורס</t>
  </si>
  <si>
    <t>טייוואן</t>
  </si>
  <si>
    <t>יוון</t>
  </si>
  <si>
    <t>יפן</t>
  </si>
  <si>
    <t>ירדן</t>
  </si>
  <si>
    <t>לוכסמבורג</t>
  </si>
  <si>
    <t>לטביה</t>
  </si>
  <si>
    <t>ליטא</t>
  </si>
  <si>
    <t>ליכטנשטיין</t>
  </si>
  <si>
    <t>מאוריציוס</t>
  </si>
  <si>
    <t>מולדובה</t>
  </si>
  <si>
    <t>מונקו</t>
  </si>
  <si>
    <t>מלדיבים</t>
  </si>
  <si>
    <t>מלטה</t>
  </si>
  <si>
    <t>מלזיה</t>
  </si>
  <si>
    <t>מצרים</t>
  </si>
  <si>
    <t>מקסיקו</t>
  </si>
  <si>
    <t>מרוקו</t>
  </si>
  <si>
    <t>נורבגיה</t>
  </si>
  <si>
    <t>ניו זילנד</t>
  </si>
  <si>
    <t>סין</t>
  </si>
  <si>
    <t>סינגפור</t>
  </si>
  <si>
    <t>סלובניה</t>
  </si>
  <si>
    <t>סלובקיה</t>
  </si>
  <si>
    <t>ספרד</t>
  </si>
  <si>
    <t>סרביה</t>
  </si>
  <si>
    <t>ערב הסעודית</t>
  </si>
  <si>
    <t>פולין</t>
  </si>
  <si>
    <t>פורטוגל</t>
  </si>
  <si>
    <t>פינלנד</t>
  </si>
  <si>
    <t>פנמה</t>
  </si>
  <si>
    <t>צילה</t>
  </si>
  <si>
    <t>צכיה</t>
  </si>
  <si>
    <t>צרפת</t>
  </si>
  <si>
    <t>קנדה</t>
  </si>
  <si>
    <t>קפריסין</t>
  </si>
  <si>
    <t>רומניה</t>
  </si>
  <si>
    <t>רוסיה</t>
  </si>
  <si>
    <t>שוודיה</t>
  </si>
  <si>
    <t>שוויץ</t>
  </si>
  <si>
    <t>תורכיה</t>
  </si>
  <si>
    <t>אסיה</t>
  </si>
  <si>
    <t>אפריקה</t>
  </si>
  <si>
    <t>אמריקה הצפונית</t>
  </si>
  <si>
    <t>אמריקה הדרומית</t>
  </si>
  <si>
    <t>אירופה</t>
  </si>
  <si>
    <t>אוקיאניה</t>
  </si>
  <si>
    <t>גלובלי ללא ארה"ב</t>
  </si>
  <si>
    <t>גלובלי</t>
  </si>
  <si>
    <t>Emerging Markets - Americas</t>
  </si>
  <si>
    <r>
      <rPr>
        <strike/>
        <sz val="11"/>
        <color theme="1"/>
        <rFont val="Arial"/>
        <family val="2"/>
      </rPr>
      <t>שווקים מתעוררים</t>
    </r>
    <r>
      <rPr>
        <sz val="11"/>
        <color theme="1"/>
        <rFont val="Arial"/>
        <family val="2"/>
      </rPr>
      <t xml:space="preserve"> לפי הגדרת MSCI</t>
    </r>
  </si>
  <si>
    <t>Emerging Markets - Euope, Middle East &amp; Africa</t>
  </si>
  <si>
    <t>לפי הגדרת MSCI</t>
  </si>
  <si>
    <t>Emerging Markets - Asia</t>
  </si>
  <si>
    <t>Developed Markets - Americas</t>
  </si>
  <si>
    <t>Developed Markets - Europe</t>
  </si>
  <si>
    <t>Developed Markets - Pacific</t>
  </si>
  <si>
    <t>Frontier Markets - Euope</t>
  </si>
  <si>
    <t>Frontier Markets - Africa</t>
  </si>
  <si>
    <t>Frontier Markets - Middle East</t>
  </si>
  <si>
    <t>Frontier Markets - Asia</t>
  </si>
  <si>
    <t>ח.פ.</t>
  </si>
  <si>
    <t>מספר שותפות</t>
  </si>
  <si>
    <t>מספר תאגיד או שותפות בחו"ל</t>
  </si>
  <si>
    <t>סימול בנק</t>
  </si>
  <si>
    <t>SWIFT</t>
  </si>
  <si>
    <t>סוג מספר מזהה מנהל קרן השקעות</t>
  </si>
  <si>
    <t>מרשם</t>
  </si>
  <si>
    <t>ת"ז</t>
  </si>
  <si>
    <t>דרכון</t>
  </si>
  <si>
    <t>OCC</t>
  </si>
  <si>
    <t>FIGI</t>
  </si>
  <si>
    <t>טיקר</t>
  </si>
  <si>
    <t>סוג מספר קרן השקעה</t>
  </si>
  <si>
    <t>סטאטוס סחירות</t>
  </si>
  <si>
    <t>סחיר</t>
  </si>
  <si>
    <t>לא סחיר</t>
  </si>
  <si>
    <t>חסום</t>
  </si>
  <si>
    <t>ני"ע אשר מכירתו מוגבלת לפי הוראות דין או חוזה לתקופה שנקבעה.</t>
  </si>
  <si>
    <t>השעיה</t>
  </si>
  <si>
    <t xml:space="preserve">ני"ע שהמסחר בו בזירת המסחר בה הור נסחר הופסק לפרק זמן </t>
  </si>
  <si>
    <t>בהשאלה</t>
  </si>
  <si>
    <t>לא חסום בהשעיה</t>
  </si>
  <si>
    <t>לא חסום בהשאלה</t>
  </si>
  <si>
    <t>חסום בהשעיה</t>
  </si>
  <si>
    <t>חסום בהשאלה</t>
  </si>
  <si>
    <t>בשלבי רישום למסחר</t>
  </si>
  <si>
    <t>בעל  עניין/צד קשור</t>
  </si>
  <si>
    <t>כן</t>
  </si>
  <si>
    <t>TASE - Tel Aviv Stock Exchange</t>
  </si>
  <si>
    <t>TASE-UP</t>
  </si>
  <si>
    <t>פלטפורמת TASE-UP</t>
  </si>
  <si>
    <t>NYSE</t>
  </si>
  <si>
    <t>NYSE - New York Stock Exchange</t>
  </si>
  <si>
    <t>NASDAQ</t>
  </si>
  <si>
    <t>NASDAQ - National Association of Securities Dealers Automated Quotations</t>
  </si>
  <si>
    <t>JPX</t>
  </si>
  <si>
    <t>JPX - Japan Exchange Group</t>
  </si>
  <si>
    <t>AMEX</t>
  </si>
  <si>
    <t>AMEX - American Stock Exchange</t>
  </si>
  <si>
    <t>ADX</t>
  </si>
  <si>
    <t>ADX - Abu Dhabi Securities Exchange</t>
  </si>
  <si>
    <t>ASX</t>
  </si>
  <si>
    <t>ASX -  Australian Securities Exchange</t>
  </si>
  <si>
    <t>BOVESPA</t>
  </si>
  <si>
    <t>BOVESPA -  Brazilian Stock Exchange</t>
  </si>
  <si>
    <t>BSE</t>
  </si>
  <si>
    <t>BSE - Bombay Stock Exchange</t>
  </si>
  <si>
    <t>CBOE</t>
  </si>
  <si>
    <t>CBOE - Chicago Board Options Exchange</t>
  </si>
  <si>
    <t>CME</t>
  </si>
  <si>
    <t>CME - Chicago Mercantile Exchange</t>
  </si>
  <si>
    <t>EURONEXT</t>
  </si>
  <si>
    <t>EURONEXT - Euronext Group Stock Exchange</t>
  </si>
  <si>
    <t>EUREX</t>
  </si>
  <si>
    <t>EUREX - Eurex Exchange</t>
  </si>
  <si>
    <t>FWB</t>
  </si>
  <si>
    <t>FWB - Frankfurt Stock Exchange</t>
  </si>
  <si>
    <t>HKSE</t>
  </si>
  <si>
    <t>HKSE - Hong Kong Stock Exchange</t>
  </si>
  <si>
    <t>ICE</t>
  </si>
  <si>
    <t>ICE - Intercontinental Exchange</t>
  </si>
  <si>
    <t>ISE</t>
  </si>
  <si>
    <t>ISE - Irish Stock Exchange</t>
  </si>
  <si>
    <t>JSE</t>
  </si>
  <si>
    <t>JSE - Johannesburg Stock Exchange</t>
  </si>
  <si>
    <t>KRX</t>
  </si>
  <si>
    <t>KRX - Korea Exchange</t>
  </si>
  <si>
    <t>LSE</t>
  </si>
  <si>
    <t>LSE - London Stock Exchange</t>
  </si>
  <si>
    <t>MICEX - RTS</t>
  </si>
  <si>
    <t>MICEX- RTS - Moscow Exchange</t>
  </si>
  <si>
    <t>NASDAQD</t>
  </si>
  <si>
    <t>NASDAQD - NASDAQ Dubai</t>
  </si>
  <si>
    <t>NSE</t>
  </si>
  <si>
    <t>NSE - National Stock Exchange of India</t>
  </si>
  <si>
    <t>SSE</t>
  </si>
  <si>
    <t>SSE - Shanghai Stock Exchange</t>
  </si>
  <si>
    <t>SZSE</t>
  </si>
  <si>
    <t>SZSE - Shenzen Stock Market</t>
  </si>
  <si>
    <t>SGX</t>
  </si>
  <si>
    <t>SGX - Singapore Exchange</t>
  </si>
  <si>
    <t>BME</t>
  </si>
  <si>
    <t>BME - Spanish Exchanges</t>
  </si>
  <si>
    <t>SIX</t>
  </si>
  <si>
    <t>SIX - Swiss Exchange</t>
  </si>
  <si>
    <t>TSEC</t>
  </si>
  <si>
    <t>TSEC - Taiwan Stock Exchange Corporation</t>
  </si>
  <si>
    <t>TSE</t>
  </si>
  <si>
    <t>TSE - Tokyo Stock Exchange</t>
  </si>
  <si>
    <t>TSX</t>
  </si>
  <si>
    <t>TSX - Toronto Stock Exchange</t>
  </si>
  <si>
    <t>זירת מסחר פיקטבית עבור הדיווח של אג"ח שהנפיקה ממשלה זרה</t>
  </si>
  <si>
    <t xml:space="preserve">דירוג נייר הערך/הלוואה/המנפיק </t>
  </si>
  <si>
    <t>נייר ערך</t>
  </si>
  <si>
    <t>הלוואה</t>
  </si>
  <si>
    <t>מנפיק</t>
  </si>
  <si>
    <t>נחיתות חוזית</t>
  </si>
  <si>
    <t>החוב נחות</t>
  </si>
  <si>
    <t>החוב לא נחות</t>
  </si>
  <si>
    <t>S&amp;P מעלות</t>
  </si>
  <si>
    <t>סטנדרד &amp; פורסס מעלות בע"מ (S&amp;P)</t>
  </si>
  <si>
    <t>מידרוג Moodys</t>
  </si>
  <si>
    <t>מידרוג בע"מ (Moody's)</t>
  </si>
  <si>
    <t>AM Best</t>
  </si>
  <si>
    <t>A.M Best Company, Inc</t>
  </si>
  <si>
    <t>DBRS</t>
  </si>
  <si>
    <t>DBRS Ratings Limited.</t>
  </si>
  <si>
    <t>Egan-Jones</t>
  </si>
  <si>
    <t>Egan-Jones Ratings Co.</t>
  </si>
  <si>
    <t>Fitch Investors Service, L.P.</t>
  </si>
  <si>
    <t>HR Ratings</t>
  </si>
  <si>
    <t>HR Ratings de México, S.A. de C.V.</t>
  </si>
  <si>
    <t>Japan Credit</t>
  </si>
  <si>
    <t>Japan Credit Rating Agency Ltd.</t>
  </si>
  <si>
    <t>Kroll</t>
  </si>
  <si>
    <t>Kroll Bond Rating Agency, Inc</t>
  </si>
  <si>
    <t>Moody's Investor Service</t>
  </si>
  <si>
    <t>S&amp;P</t>
  </si>
  <si>
    <t>Standard &amp; Poor's Corporation</t>
  </si>
  <si>
    <t>Not rated</t>
  </si>
  <si>
    <t>אג"ח מובנות</t>
  </si>
  <si>
    <t>אופנה והלבשה</t>
  </si>
  <si>
    <t>אחסנה</t>
  </si>
  <si>
    <t>אלקטרוניקה ואופטיקה</t>
  </si>
  <si>
    <t>אנרגיה</t>
  </si>
  <si>
    <t>אנרגיה מתחדשת</t>
  </si>
  <si>
    <t>אנשים פרטיים</t>
  </si>
  <si>
    <t>אשראי חוץ בנקאי</t>
  </si>
  <si>
    <t>ביוטכנולוגיה</t>
  </si>
  <si>
    <t>ביטוח</t>
  </si>
  <si>
    <t>ביטחוניות</t>
  </si>
  <si>
    <t>בנייה</t>
  </si>
  <si>
    <t>בנקים</t>
  </si>
  <si>
    <t>השקעות בהיי-טק</t>
  </si>
  <si>
    <t>השקעות במדעי החיים</t>
  </si>
  <si>
    <t>השקעה ואחזקות</t>
  </si>
  <si>
    <t>חברות ללא פעילות ומעטפת</t>
  </si>
  <si>
    <t>חברות מעטפת</t>
  </si>
  <si>
    <t>חיפושי נפט וגז</t>
  </si>
  <si>
    <t>חשמל</t>
  </si>
  <si>
    <t>כימיה, גומי ופלסטיק</t>
  </si>
  <si>
    <t>ליסינג</t>
  </si>
  <si>
    <t>מוליכים למחצה</t>
  </si>
  <si>
    <t>מזון</t>
  </si>
  <si>
    <t>מכשור רפואי</t>
  </si>
  <si>
    <t>מלונאות ותיירות</t>
  </si>
  <si>
    <t>מסחר</t>
  </si>
  <si>
    <t>מתכת ומוצרי בניה</t>
  </si>
  <si>
    <t>נדל"ן מניב בישראל</t>
  </si>
  <si>
    <t>נדל"ן מניב בחו"ל</t>
  </si>
  <si>
    <t>עץ, נייר ודפוס</t>
  </si>
  <si>
    <t>פארמה</t>
  </si>
  <si>
    <t>פודטק</t>
  </si>
  <si>
    <t>ציוד תקשורת</t>
  </si>
  <si>
    <t>קנאביס</t>
  </si>
  <si>
    <t>קלינטק</t>
  </si>
  <si>
    <t>קרנות היי טק</t>
  </si>
  <si>
    <t>קרנות סל</t>
  </si>
  <si>
    <t>רובוטיקה ותלת מימד</t>
  </si>
  <si>
    <t>רשויות מקומיות</t>
  </si>
  <si>
    <t>רשתות שיווק</t>
  </si>
  <si>
    <t>שירותי מידע</t>
  </si>
  <si>
    <t>שירותים</t>
  </si>
  <si>
    <t>שירותים פיננסיים</t>
  </si>
  <si>
    <t>שירותים ציבוריים</t>
  </si>
  <si>
    <t>תוכנה ואינטרנט</t>
  </si>
  <si>
    <t>תחבורה</t>
  </si>
  <si>
    <t>תעופה</t>
  </si>
  <si>
    <t>תעשיה</t>
  </si>
  <si>
    <t>תקשורת ומדיה</t>
  </si>
  <si>
    <t>תשתיות</t>
  </si>
  <si>
    <t>Energy Equipment &amp; Services</t>
  </si>
  <si>
    <t>Oil, Gas &amp; Consumable Fuels</t>
  </si>
  <si>
    <t>Chemicals</t>
  </si>
  <si>
    <t>Construction Materials</t>
  </si>
  <si>
    <t>Containers &amp; Packaging</t>
  </si>
  <si>
    <t>Metals &amp; Mining</t>
  </si>
  <si>
    <t>Paper &amp; Forest Products</t>
  </si>
  <si>
    <t>Aerospace &amp; Defense</t>
  </si>
  <si>
    <t>Building Products</t>
  </si>
  <si>
    <t>Construction &amp; Engineering</t>
  </si>
  <si>
    <t>Electrical Equipment</t>
  </si>
  <si>
    <t>Industrial Conglomerates</t>
  </si>
  <si>
    <t>Machinery</t>
  </si>
  <si>
    <t>Trading Companies &amp; Distributors</t>
  </si>
  <si>
    <t>Commercial Services &amp; Supplies</t>
  </si>
  <si>
    <t>Professional Services</t>
  </si>
  <si>
    <t>Air Freight &amp; Logistics</t>
  </si>
  <si>
    <t>Passenger Airlines</t>
  </si>
  <si>
    <r>
      <rPr>
        <strike/>
        <sz val="11"/>
        <color theme="1"/>
        <rFont val="Arial"/>
        <family val="2"/>
      </rPr>
      <t>Airlines</t>
    </r>
    <r>
      <rPr>
        <sz val="11"/>
        <color theme="1"/>
        <rFont val="Arial"/>
        <family val="2"/>
      </rPr>
      <t xml:space="preserve"> Passenger Airlines</t>
    </r>
  </si>
  <si>
    <t>Marine Transportation</t>
  </si>
  <si>
    <r>
      <rPr>
        <strike/>
        <sz val="11"/>
        <color theme="1"/>
        <rFont val="Arial"/>
        <family val="2"/>
      </rPr>
      <t>Marine</t>
    </r>
    <r>
      <rPr>
        <sz val="11"/>
        <color theme="1"/>
        <rFont val="Arial"/>
        <family val="2"/>
      </rPr>
      <t xml:space="preserve"> Marine Transportation</t>
    </r>
  </si>
  <si>
    <t>Ground Transportation</t>
  </si>
  <si>
    <r>
      <rPr>
        <strike/>
        <sz val="11"/>
        <color theme="1"/>
        <rFont val="Arial"/>
        <family val="2"/>
      </rPr>
      <t>Road &amp; Rail</t>
    </r>
    <r>
      <rPr>
        <sz val="11"/>
        <color theme="1"/>
        <rFont val="Arial"/>
        <family val="2"/>
      </rPr>
      <t xml:space="preserve"> Ground Transportation</t>
    </r>
  </si>
  <si>
    <t>Transportation Infrastructure</t>
  </si>
  <si>
    <t>Automobile Components</t>
  </si>
  <si>
    <r>
      <rPr>
        <strike/>
        <sz val="11"/>
        <color theme="1"/>
        <rFont val="Arial"/>
        <family val="2"/>
      </rPr>
      <t>Auto Components</t>
    </r>
    <r>
      <rPr>
        <sz val="11"/>
        <color theme="1"/>
        <rFont val="Arial"/>
        <family val="2"/>
      </rPr>
      <t xml:space="preserve"> Automobile Components</t>
    </r>
  </si>
  <si>
    <t>Automobiles</t>
  </si>
  <si>
    <t>Household Durables</t>
  </si>
  <si>
    <t>Leisure Products</t>
  </si>
  <si>
    <t>Textiles, Apparel &amp; Luxury Goods</t>
  </si>
  <si>
    <t>Hotels, Restaurants &amp; Leisure</t>
  </si>
  <si>
    <t>Diversified Consumer Services</t>
  </si>
  <si>
    <t>Distributors</t>
  </si>
  <si>
    <t>Broadline Retail</t>
  </si>
  <si>
    <r>
      <rPr>
        <strike/>
        <sz val="11"/>
        <color theme="1"/>
        <rFont val="Arial"/>
        <family val="2"/>
      </rPr>
      <t>Multiline Retail</t>
    </r>
    <r>
      <rPr>
        <sz val="11"/>
        <color theme="1"/>
        <rFont val="Arial"/>
        <family val="2"/>
      </rPr>
      <t xml:space="preserve"> Broadline Retail</t>
    </r>
  </si>
  <si>
    <t>Specialty Retail</t>
  </si>
  <si>
    <t>Consumer Staples Distribution &amp; Retail</t>
  </si>
  <si>
    <r>
      <rPr>
        <strike/>
        <sz val="11"/>
        <color theme="1"/>
        <rFont val="Arial"/>
        <family val="2"/>
      </rPr>
      <t>Food &amp; Staples Retailing</t>
    </r>
    <r>
      <rPr>
        <sz val="11"/>
        <color theme="1"/>
        <rFont val="Arial"/>
        <family val="2"/>
      </rPr>
      <t xml:space="preserve"> Consumer Staples Distribution &amp; Retail</t>
    </r>
  </si>
  <si>
    <t>Beverages</t>
  </si>
  <si>
    <t>Food Products</t>
  </si>
  <si>
    <t>Tobacco</t>
  </si>
  <si>
    <t>Household Products</t>
  </si>
  <si>
    <t>Personal Care Products</t>
  </si>
  <si>
    <r>
      <rPr>
        <strike/>
        <sz val="11"/>
        <color theme="1"/>
        <rFont val="Arial"/>
        <family val="2"/>
      </rPr>
      <t>Personal Products</t>
    </r>
    <r>
      <rPr>
        <sz val="11"/>
        <color theme="1"/>
        <rFont val="Arial"/>
        <family val="2"/>
      </rPr>
      <t xml:space="preserve"> Personal Care Products</t>
    </r>
  </si>
  <si>
    <t>Health Care Equipment &amp; Supplies</t>
  </si>
  <si>
    <t>Health Care Providers &amp; Services</t>
  </si>
  <si>
    <t>Health Care Technology</t>
  </si>
  <si>
    <t>Biotechnology</t>
  </si>
  <si>
    <t>Pharmaceuticals</t>
  </si>
  <si>
    <t>Life Sciences Tools &amp; Services</t>
  </si>
  <si>
    <t>Banks</t>
  </si>
  <si>
    <t>Financial Services</t>
  </si>
  <si>
    <r>
      <rPr>
        <strike/>
        <sz val="11"/>
        <color theme="1"/>
        <rFont val="Arial"/>
        <family val="2"/>
      </rPr>
      <t>Diversified Financial Services</t>
    </r>
    <r>
      <rPr>
        <sz val="11"/>
        <color theme="1"/>
        <rFont val="Arial"/>
        <family val="2"/>
      </rPr>
      <t xml:space="preserve"> Financial Services</t>
    </r>
  </si>
  <si>
    <t>Consumer Finance</t>
  </si>
  <si>
    <t>Capital Markets</t>
  </si>
  <si>
    <t>Mortgage Real Estate Investment Trusts (REITs)</t>
  </si>
  <si>
    <t>Insurance</t>
  </si>
  <si>
    <t>IT Services</t>
  </si>
  <si>
    <t>Software</t>
  </si>
  <si>
    <t>Communications Equipment</t>
  </si>
  <si>
    <t>Technology Hardware, Storage &amp; Peripherals</t>
  </si>
  <si>
    <t>Electronic Equipment, Instruments &amp; Components</t>
  </si>
  <si>
    <t>Semiconductors &amp; Semiconductor Equipment</t>
  </si>
  <si>
    <t>Diversified Telecommunication Services</t>
  </si>
  <si>
    <t>Wireless Telecommunication Services</t>
  </si>
  <si>
    <t>Media</t>
  </si>
  <si>
    <t>Entertainment</t>
  </si>
  <si>
    <t>Interactive Media &amp; Services</t>
  </si>
  <si>
    <t>Electric Utilities</t>
  </si>
  <si>
    <t>Gas Utilities</t>
  </si>
  <si>
    <t>Multi-Utilities</t>
  </si>
  <si>
    <t>Water Utilities</t>
  </si>
  <si>
    <t>Independent Power and Renewable Electricity Producers</t>
  </si>
  <si>
    <t>Diversified REITs</t>
  </si>
  <si>
    <t>Equity Real Estate Investment Trusts</t>
  </si>
  <si>
    <t>Industrial REITs</t>
  </si>
  <si>
    <t>Hotel &amp; Resort REITs</t>
  </si>
  <si>
    <t>Office REITs</t>
  </si>
  <si>
    <t>Health Care REITs</t>
  </si>
  <si>
    <t>Residential REITs</t>
  </si>
  <si>
    <t>Retail REITs</t>
  </si>
  <si>
    <t>Specialized REITs</t>
  </si>
  <si>
    <t>Real Estate Management &amp; Development</t>
  </si>
  <si>
    <t>Other</t>
  </si>
  <si>
    <t>סיווג הקרן</t>
  </si>
  <si>
    <t>(ומעלה ו/ או מדינה AA) אג"ח בארץ - כללי-אג"ח כללי בארץ - ללא מניות-אג"ח כללי בארץ בדירוג גבוה בלבד</t>
  </si>
  <si>
    <t>(ממונפות ואסטרטגיות - אסטרטגיות (לא ממונפות</t>
  </si>
  <si>
    <t>125 מניות בארץ - מניות כללי-ת"א</t>
  </si>
  <si>
    <t>20 אג"ח בארץ - חברות והמרה-תל בונד צמוד מדד-תל בונד</t>
  </si>
  <si>
    <t>35 מניות בארץ - מניות כללי-ת"א</t>
  </si>
  <si>
    <t>40 אג"ח בארץ - חברות והמרה-תל בונד צמוד מדד-תל בונד</t>
  </si>
  <si>
    <t>60 אג"ח בארץ - חברות והמרה-תל בונד צמוד מדד-תל בונד</t>
  </si>
  <si>
    <t>90 מניות בארץ - מניות כללי-ת"א</t>
  </si>
  <si>
    <t>All Cap מניות בארץ - מניות לפי שווי שוק-מניות</t>
  </si>
  <si>
    <t>Banks מניות בחו"ל - מניות לפי ענפים בחו"ל - מנוטרלת מט"ח-אירופה- מניות</t>
  </si>
  <si>
    <t>CNX NIFTY - מניות בחו"ל - מניות גיאוגרפי - חשופת מט"ח-אסיה הודו</t>
  </si>
  <si>
    <t>DAX 30 - מניות בחו"ל - מניות גיאוגרפי - חשופת מט"ח-אירופה גרמניה</t>
  </si>
  <si>
    <t>DAX 30 - מניות בחו"ל - מניות גיאוגרפי - מנוטרלת מט"ח-אירופה גרמניה</t>
  </si>
  <si>
    <t>DJ INDUSTRIAL AVERAGE - מניות בחו"ל - מניות גיאוגרפי - חשופת מט"ח-ארה"ב</t>
  </si>
  <si>
    <t>EURO STOXX 50 - מניות בחו"ל - מניות גיאוגרפי - חשופת מט"ח-אירופה כללי</t>
  </si>
  <si>
    <t>EURO STOXX 50 - מניות בחו"ל - מניות גיאוגרפי - מנוטרלת מט"ח-אירופה כללי</t>
  </si>
  <si>
    <t>Financial מניות בחו"ל - מניות לפי ענפים בחו"ל - חשופת מט"ח-ארה"ב- מניות</t>
  </si>
  <si>
    <t>FTSE 250 INDEX - מניות בחו"ל - מניות גיאוגרפי - מנוטרלת מט"ח-אירופה אנגליה</t>
  </si>
  <si>
    <t>FTSE China 50 - מניות בחו"ל - מניות גיאוגרפי - חשופת מט"ח-אסיה סין</t>
  </si>
  <si>
    <t>Health Care מניות בחו"ל - מניות לפי ענפים בחו"ל - חשופת מט"ח-ארה"ב- מניות</t>
  </si>
  <si>
    <t>Health Care מניות בחו"ל - מניות לפי ענפים בחו"ל - מנוטרלת מט"ח-ארה"ב- מניות</t>
  </si>
  <si>
    <t>IBOVESPA - מניות בחו"ל - מניות גיאוגרפי - חשופת מט"ח-שווקים מתעוררים ברזיל</t>
  </si>
  <si>
    <t>IBOXX USD LIQUID INVESTMENT GRADE TOP 30 INDEX - אג"ח בחו"ל - אג"ח חשופת דולר</t>
  </si>
  <si>
    <t>Large &amp; Mid Cap מניות בארץ - מניות לפי שווי שוק-מניות</t>
  </si>
  <si>
    <t>MDAX - מניות בחו"ל - מניות גיאוגרפי - מנוטרלת מט"ח-אירופה גרמניה</t>
  </si>
  <si>
    <t>MSCI AC WORLD INDEX - מניות בחו"ל - מניות כללי בחו"ל - חשופת מט"ח-מניות כללי בחו"ל</t>
  </si>
  <si>
    <t>MSCI EMERGING MARKETS - מניות בחו"ל - מניות גיאוגרפי - חשופת מט"ח-שווקים מתעוררים כללי</t>
  </si>
  <si>
    <t>NASDAQ 100 - מניות בחו"ל - מניות גיאוגרפי - חשופת מט"ח-ארה"ב</t>
  </si>
  <si>
    <t>NASDAQ 100 - מניות בחו"ל - מניות גיאוגרפי - מנוטרלת מט"ח-ארה"ב</t>
  </si>
  <si>
    <t>NIKKEI 225 - מניות בחו"ל - מניות גיאוגרפי - חשופת מט"ח-אסיה יפן</t>
  </si>
  <si>
    <t>NIKKEI 225 - מניות בחו"ל - מניות גיאוגרפי - מנוטרלת מט"ח-אסיה יפן</t>
  </si>
  <si>
    <t>Regional Banks מניות בחו"ל - מניות לפי ענפים בחו"ל - חשופת מט"ח-ארה"ב- מניות</t>
  </si>
  <si>
    <t>RUSSELL 2000 - מניות בחו"ל - מניות גיאוגרפי - חשופת מט"ח-ארה"ב</t>
  </si>
  <si>
    <t>RUSSELL 2000 - מניות בחו"ל - מניות גיאוגרפי - מנוטרלת מט"ח-ארה"ב</t>
  </si>
  <si>
    <t>S&amp;P 500 - מניות בחו"ל - מניות גיאוגרפי - חשופת מט"ח-ארה"ב</t>
  </si>
  <si>
    <t>S&amp;P 500 - מניות בחו"ל - מניות גיאוגרפי - מנוטרלת מט"ח-ארה"ב</t>
  </si>
  <si>
    <t>S&amp;P/ASX 200 - מניות בחו"ל - מניות גיאוגרפי - חשופת מט"ח-חו"ל גיאוגרפי אחר - אוסטרליה</t>
  </si>
  <si>
    <t>Small Cap מניות בארץ - מניות לפי שווי שוק-מניות</t>
  </si>
  <si>
    <t>SME60 מניות בארץ - מניות כללי-ת"א</t>
  </si>
  <si>
    <t>STOXX EUROPE 600 - מניות בחו"ל - מניות גיאוגרפי - מנוטרלת מט"ח-אירופה כללי</t>
  </si>
  <si>
    <t>STOXX EUROPE 600 -מניות בחו"ל - מניות גיאוגרפי - חשופת מט"ח-אירופה כללי</t>
  </si>
  <si>
    <t>Technology מניות בחו"ל - מניות לפי ענפים בחו"ל - חשופת מט"ח-ארה"ב- מניות</t>
  </si>
  <si>
    <t>Technology מניות בחו"ל - מניות לפי ענפים בחו"ל - מנוטרלת מט"ח-ארה"ב- מניות</t>
  </si>
  <si>
    <t>אג"ח בארץ - חברות והמרה-חברות והמרה אחר</t>
  </si>
  <si>
    <t>אג"ח בארץ - חברות והמרה-חברות והמרה בסיכון גבוה</t>
  </si>
  <si>
    <t>אג"ח בארץ - חברות והמרה-חברות והמרה ללא מניות-חברות והמרה ללא מניות וללא סימן קריאה</t>
  </si>
  <si>
    <t>אג"ח בארץ - חברות והמרה-חברות והמרה ללא מניות-חברות והמרה ללא מניות וללא סימן קריאה, עם מגבלת מח"מ עד 5 שנים</t>
  </si>
  <si>
    <t>אג"ח בארץ - חברות והמרה-חברות והמרה ללא מניות-חברות והמרה ללא מניות עם סימן קריאה</t>
  </si>
  <si>
    <t>אג"ח בארץ - חברות והמרה-חברות והמרה עם מניות-חברות והמרה עם מניות ועם סימן קריאה</t>
  </si>
  <si>
    <t>אג"ח בארץ - חברות והמרה-חברות והמרה עם מניות-חברות והמרה עם מניות ללא סימן קריאה</t>
  </si>
  <si>
    <t>אג"ח בארץ - חברות והמרה-חברות והמרה שקלי ללא מניות</t>
  </si>
  <si>
    <t>אג"ח בארץ - חברות והמרה-חברות והמרה שקלי עם מניות</t>
  </si>
  <si>
    <t>אג"ח בארץ - חברות והמרה-תל בונד אחר-אג"ח תל בונד משולבת</t>
  </si>
  <si>
    <t>אג"ח בארץ - חברות והמרה-תל בונד אחר-מדד תל בונד אחר</t>
  </si>
  <si>
    <t>אג"ח בארץ - חברות והמרה-תל בונד אחר-תל בונד מאגר</t>
  </si>
  <si>
    <t>אג"ח בארץ - חברות והמרה-תל בונד צמוד מדד-תל בונד- תשואות</t>
  </si>
  <si>
    <t>אג"ח בארץ - חברות והמרה-תל בונד צמוד מדד-תל בונד צמוד מדד- אחר</t>
  </si>
  <si>
    <t>אג"ח בארץ - חברות והמרה-תל בונד צמוד מדד-תל בונד צמודות</t>
  </si>
  <si>
    <t>אג"ח בארץ - חברות והמרה-תל בונד צמוד מדד-תל בונד צמודות- בנקים</t>
  </si>
  <si>
    <t>אג"ח בארץ - חברות והמרה-תל בונד צמוד מדד-תל בונד צמודות- יתר</t>
  </si>
  <si>
    <t>אג"ח בארץ - חברות והמרה-תל בונד שקלי-תל בונד- לא צמודות</t>
  </si>
  <si>
    <t>אג"ח בארץ - חברות והמרה-תל בונד שקלי-תל בונד- ריבית משתנה</t>
  </si>
  <si>
    <t>אג"ח בארץ - חברות והמרה-תל בונד שקלי-תל בונד- שקלי</t>
  </si>
  <si>
    <t>אג"ח בארץ - חברות והמרה-תל בונד שקלי-תל בונד- תשואות שקל</t>
  </si>
  <si>
    <t>אג"ח בארץ - חברות והמרה-תל בונד שקלי-תל בונד שקלי- אחר</t>
  </si>
  <si>
    <t>אג"ח בארץ - כללי-אג"ח כללי בארץ- עד 15% מניות</t>
  </si>
  <si>
    <t>אג"ח בארץ - כללי-אג"ח כללי בארץ- עד 25% מניות</t>
  </si>
  <si>
    <t>אג"ח בארץ - כללי-אג"ח כללי בארץ- עד 5% מניות</t>
  </si>
  <si>
    <t>אג"ח בארץ - כללי-אג"ח כללי בארץ - חשיפה מרבית מעל 30% מניות</t>
  </si>
  <si>
    <t>אג"ח בארץ - כללי-אג"ח כללי בארץ - ללא מניות-אג"ח כללי בארץ ללא מניות וללא סימן קריאה</t>
  </si>
  <si>
    <t>אג"ח בארץ - כללי-אג"ח כללי בארץ - ללא מניות-אג"ח כללי בארץ ללא מניות וללא סימן קריאה, עם מגבלת מח"מ עד 5 שנים</t>
  </si>
  <si>
    <t>אג"ח בארץ - כללי-אג"ח כללי בארץ - ללא מניות-אג"ח כללי בארץ ללא מניות עם סימן קריאה</t>
  </si>
  <si>
    <t>אג"ח בארץ - כללי-אג"ח כללי בארץ - עד 10% מניות-אג"ח כללי בארץ- עד 10% מניות ועם סימן קריאה</t>
  </si>
  <si>
    <t>אג"ח בארץ - כללי-אג"ח כללי בארץ - עד 10% מניות-אג"ח כללי בארץ- עד 10% מניות ללא סימן קריאה</t>
  </si>
  <si>
    <t>אג"ח בארץ - כללי-אג"ח כללי בארץ - עד 20% מניות</t>
  </si>
  <si>
    <t>אג"ח בארץ - כללי-אג"ח כללי בארץ - עד 30% מניות</t>
  </si>
  <si>
    <t>אג"ח בארץ - מדינה-אג"ח מדינה כללי- עד 20% מניות</t>
  </si>
  <si>
    <t>אג"ח בארץ - מדינה-אג"ח מדינה כללי - ללא מניות</t>
  </si>
  <si>
    <t>אג"ח בארץ - מדינה-אג"ח מדינה כללי - עד 10% מניות</t>
  </si>
  <si>
    <t>אג"ח בארץ - מדינה-אג"ח מדינה משולבת - חשיפה מרבית מעל 10% מניות</t>
  </si>
  <si>
    <t>אג"ח בארץ - מדינה-אג"ח מדינה משולבת - ללא מניות</t>
  </si>
  <si>
    <t>אג"ח בארץ - מדינה-אג"ח מדינה משולבת - עד 10% מניות</t>
  </si>
  <si>
    <t>אג"ח בארץ - מדינה-אג"ח מדינה צמוד מדד- ללא מניות</t>
  </si>
  <si>
    <t>אג"ח בארץ - מדינה-אג"ח מדינה צמוד מדד- עד 10% מניות</t>
  </si>
  <si>
    <t>אג"ח בארץ - מדינה-אג"ח מדינה צמוד מדד-צמודות מדד- מדד אחר</t>
  </si>
  <si>
    <t>אג"ח בארץ - מדינה-אג"ח מדינה צמוד מדד-צמודות מדד - ממשלתיות</t>
  </si>
  <si>
    <t>אג"ח בארץ - מדינה-אג"ח מדינה צמוד מדד-צמודות מדד - ממשלתיות 0-2 שנים</t>
  </si>
  <si>
    <t>אג"ח בארץ - מדינה-אג"ח מדינה צמוד מדד-צמודות מדד - ממשלתיות 2-5 שנים</t>
  </si>
  <si>
    <t>אג"ח בארץ - מדינה-אג"ח מדינה צמוד מדד-צמודות מדד - ממשלתיות 5-10 שנים</t>
  </si>
  <si>
    <t>אג"ח בארץ - מדינה-אג"ח מדינה שקליות- ללא מניות</t>
  </si>
  <si>
    <t>אג"ח בארץ - מדינה-אג"ח מדינה שקליות- עד 10% מניות</t>
  </si>
  <si>
    <t>אג"ח בארץ - מדינה-אג"ח מדינה שקליות -מק"מ</t>
  </si>
  <si>
    <t>אג"ח בארץ - מדינה-אג"ח מדינה שקליות -שקליות- מדד אחר</t>
  </si>
  <si>
    <t>אג"ח בארץ - מדינה-אג"ח מדינה שקליות -שקליות ממשלתיות</t>
  </si>
  <si>
    <t>אג"ח בארץ - מדינה-אג"ח מדינה שקליות -שקליות ריבית משתנה ממשלתיות</t>
  </si>
  <si>
    <t>אג"ח בארץ - מדינה-אג"ח מדינה שקליות -שקליות ריבית קבועה ממשלתיות</t>
  </si>
  <si>
    <t>אג"ח בארץ - מדינה-אג"ח מדינה שקליות -שקליות ריבית קבועה ממשלתיות 0-2 שנים</t>
  </si>
  <si>
    <t>אג"ח בארץ - מדינה-אג"ח מדינה שקליות -שקליות ריבית קבועה ממשלתיות 2-5 שנים</t>
  </si>
  <si>
    <t>אג"ח בארץ - מדינה-אג"ח מדינה שקליות -שקליות ריבית קבועה ממשלתיות 5+ שנים</t>
  </si>
  <si>
    <t>אג"ח בארץ - מדינה-אג"ח ממשלתיות</t>
  </si>
  <si>
    <t>אג"ח בארץ משולבת - כללי-אג"ח כללי בארץ משולבת - חשיפה מרבית מעל 30% מניות</t>
  </si>
  <si>
    <t>אג"ח בארץ משולבת - כללי-אג"ח כללי בארץ משולבת - ללא מניות</t>
  </si>
  <si>
    <t>אג"ח בארץ משולבת - כללי-אג"ח כללי בארץ משולבת - עד 10% מניות</t>
  </si>
  <si>
    <t>אג"ח בארץ משולבת - כללי-אג"ח כללי בארץ משולבת - עד 20% מניות</t>
  </si>
  <si>
    <t>אג"ח בארץ משולבת - כללי-אג"ח כללי בארץ משולבת - עד 30% מניות</t>
  </si>
  <si>
    <t>אג"ח בחו"ל - אג"ח חשופת דולר - מדד אחר</t>
  </si>
  <si>
    <t>אג"ח בחו"ל - אג"ח מנוטרלת מט"ח</t>
  </si>
  <si>
    <t>אג"ח בחו"ל - אג"ח חשופת דולר</t>
  </si>
  <si>
    <t>אג"ח בחו"ל - אג"ח חשופת מט"ח</t>
  </si>
  <si>
    <t>אג"ח בחו"ל - אג"ח מוגנת מט"ח</t>
  </si>
  <si>
    <t>אג"ח בחו"ל - אג"ח נקובת מט"ח</t>
  </si>
  <si>
    <t>אגד קרנות - אגד חוץ</t>
  </si>
  <si>
    <t>אגד קרנות - אגד ישראלי</t>
  </si>
  <si>
    <t>גמישות</t>
  </si>
  <si>
    <t>ממונפות-ממונפות בחסר בסיכון גבוה-אג"ח בארץ</t>
  </si>
  <si>
    <t>ממונפות-ממונפות בחסר בסיכון גבוה-מניות בארץ</t>
  </si>
  <si>
    <t>ממונפות-ממונפות בחסר בסיכון גבוה-מניות בחו"ל</t>
  </si>
  <si>
    <t>ממונפות-ממונפות בסיכון גבוה-מניות בארץ</t>
  </si>
  <si>
    <t>ממונפות-ממונפות בסיכון גבוה-מניות בחו"ל</t>
  </si>
  <si>
    <t>ממונפות ואסטרטגיות-ממונפות אחר</t>
  </si>
  <si>
    <t>ממונפות ואסטרטגיות-ממונפות בסיכון גבוה</t>
  </si>
  <si>
    <t>מניות בארץ - מניות בארץ משולבת</t>
  </si>
  <si>
    <t>מניות בארץ - מניות כללי-מדד אחר</t>
  </si>
  <si>
    <t>מניות בארץ - מניות כללי-ת"א צמיחה</t>
  </si>
  <si>
    <t>מניות בארץ - מניות כללי-תל- דיב</t>
  </si>
  <si>
    <t>מניות בארץ - מניות לפי ענפים</t>
  </si>
  <si>
    <t>מניות בארץ - מניות לפי ענפים-מדד אחר</t>
  </si>
  <si>
    <t>מניות בארץ - מניות לפי ענפים-ת"א בנקים</t>
  </si>
  <si>
    <t>מניות בארץ - מניות לפי ענפים-ת"א גלובל- בלוטק</t>
  </si>
  <si>
    <t>מניות בארץ - מניות לפי ענפים-ת"א נדל"ן</t>
  </si>
  <si>
    <t>מניות בארץ - מניות לפי ענפים-ת"א נפט וגז</t>
  </si>
  <si>
    <t>מניות בארץ - מניות לפי ענפים-ת"א פיננסים</t>
  </si>
  <si>
    <t>מניות בחו"ל - מניות בחו"ל משולבת</t>
  </si>
  <si>
    <t>מניות בחו"ל - מניות גיאוגרפי-ארה"ב חשופת מט"ח</t>
  </si>
  <si>
    <t>מניות בחו"ל - מניות גיאוגרפי-מניות גיאוגרפי אחר חשופת מט"ח</t>
  </si>
  <si>
    <t>מניות בחו"ל - מניות גיאוגרפי-מניות גיאוגרפי מוגנת מט"ח</t>
  </si>
  <si>
    <t>מניות בחו"ל - מניות גיאוגרפי - חשופת מט"ח-אירופה - מדד אחר</t>
  </si>
  <si>
    <t>מניות בחו"ל - מניות גיאוגרפי - חשופת מט"ח-אסיה - מדד אחר</t>
  </si>
  <si>
    <t>מניות בחו"ל - מניות גיאוגרפי - חשופת מט"ח-ארה"ב - מדד אחר</t>
  </si>
  <si>
    <t>מניות בחו"ל - מניות גיאוגרפי - חשופת מט"ח-חו"ל גיאוגרפי אחר - מדד אחר</t>
  </si>
  <si>
    <t>מניות בחו"ל - מניות גיאוגרפי - מנוטרלת מט"ח-אירופה - מדד אחר</t>
  </si>
  <si>
    <t>מניות בחו"ל - מניות גיאוגרפי - מנוטרלת מט"ח-אסיה - מדד אחר</t>
  </si>
  <si>
    <t>מניות בחו"ל - מניות גיאוגרפי - מנוטרלת מט"ח-ארה"ב - מדד אחר</t>
  </si>
  <si>
    <t>מניות בחו"ל - מניות גיאוגרפי - מנוטרלת מט"ח-חו"ל גיאוגרפי אחר</t>
  </si>
  <si>
    <t>מניות בחו"ל - מניות גיאוגרפי - מנוטרלת מט"ח-שווקים מתעוררים</t>
  </si>
  <si>
    <t>מניות בחו"ל - מניות כללי בחו"ל - מניות חו"ל נקובת מט"ח</t>
  </si>
  <si>
    <t>מניות בחו"ל - מניות כללי בחו"ל - מניות כללי בחו"ל חשופת מט"ח</t>
  </si>
  <si>
    <t>מניות בחו"ל - מניות כללי בחו"ל - מניות כללי בחו"ל מוגנת מט"ח</t>
  </si>
  <si>
    <t>מניות בחו"ל - מניות כללי בחו"ל - חשופת מט"ח-מניות כללי בחו"ל - מדד אחר</t>
  </si>
  <si>
    <t>מניות בחו"ל - מניות כללי בחו"ל - מנוטרלת מט"ח-מניות כללי בחו"ל</t>
  </si>
  <si>
    <t>מניות בחו"ל - מניות לפי ענפים בחו"ל</t>
  </si>
  <si>
    <t>מניות בחו"ל - מניות לפי ענפים בחו"ל - חשופת מט"ח-ענפים אחרים</t>
  </si>
  <si>
    <t>מניות בחו"ל - מניות לפי ענפים בחו"ל - מנוטרלת מט"ח-ענפים אחרים</t>
  </si>
  <si>
    <t>סחורות-מדד סחורות</t>
  </si>
  <si>
    <t>סחורות-סחורה</t>
  </si>
  <si>
    <t>קרן גידור בנאמנות</t>
  </si>
  <si>
    <t>קרן כספית-כספית מט"חית עם קונצרני-חשופת דולר</t>
  </si>
  <si>
    <t>קרן כספית-כספית מט"חית עם קונצרני-נקובת מט"ח</t>
  </si>
  <si>
    <t>קרן כספית-כספית שקלית-כספית שקלית ללא קונצרני</t>
  </si>
  <si>
    <t>קרן כספית-כספית שקלית-כספית שקלית עם קונצרני</t>
  </si>
  <si>
    <t>קרן סגורה-קרן טכנולוגיה עילית</t>
  </si>
  <si>
    <t>Asset Allocation Funds</t>
  </si>
  <si>
    <t>Bond/Fixed Income Funds</t>
  </si>
  <si>
    <t>Commodity Funds</t>
  </si>
  <si>
    <t>Currency Funds</t>
  </si>
  <si>
    <t>Equity Funds</t>
  </si>
  <si>
    <t>Index Funds</t>
  </si>
  <si>
    <t>Real Estate Funds</t>
  </si>
  <si>
    <t>Sustainable Funds</t>
  </si>
  <si>
    <t>נכס בסיס/סוג הנכס</t>
  </si>
  <si>
    <t>אשראי בגין נדל"ן יזמי</t>
  </si>
  <si>
    <t>אשראי קמעונאי</t>
  </si>
  <si>
    <t>בעלי חיים</t>
  </si>
  <si>
    <t>גרעינים וחיטה</t>
  </si>
  <si>
    <t>מדד המחירים לצרכן</t>
  </si>
  <si>
    <t>מדדי סחורות</t>
  </si>
  <si>
    <t>מט"ח</t>
  </si>
  <si>
    <t>מניות לרבות מדדי מניות</t>
  </si>
  <si>
    <t>משכנתאות או תיקי משכנתאות</t>
  </si>
  <si>
    <t>מתכות</t>
  </si>
  <si>
    <t>סחורות חקלאיות רכות</t>
  </si>
  <si>
    <t>ריבית ואג"ח</t>
  </si>
  <si>
    <t>קונסורציום/סינדיקציה</t>
  </si>
  <si>
    <t>סוג הצמדה</t>
  </si>
  <si>
    <t>לא צמוד</t>
  </si>
  <si>
    <t>צמוד למדד המחירים לצרכן</t>
  </si>
  <si>
    <t>צמוד למט"ח</t>
  </si>
  <si>
    <t>צמוד למדד אחר</t>
  </si>
  <si>
    <t>סוג בטוחה</t>
  </si>
  <si>
    <t>אג"ח סחיר</t>
  </si>
  <si>
    <t>אג"ח לא סחיר</t>
  </si>
  <si>
    <t>בטוחה פיזית אחרת</t>
  </si>
  <si>
    <t>בטוחה פיננסית אחרת</t>
  </si>
  <si>
    <t>חסכון עמיתים/מבוטחים</t>
  </si>
  <si>
    <t>כלי רכב</t>
  </si>
  <si>
    <t>ללא בטחונות</t>
  </si>
  <si>
    <t>מניות סחירות</t>
  </si>
  <si>
    <t>מניות לא סחירות</t>
  </si>
  <si>
    <t>נגזרי אשראי</t>
  </si>
  <si>
    <t>נדל"ן אחר - נדל"ן מניב</t>
  </si>
  <si>
    <r>
      <t xml:space="preserve">נדל"ן </t>
    </r>
    <r>
      <rPr>
        <b/>
        <sz val="11"/>
        <color theme="1"/>
        <rFont val="Arial"/>
        <family val="2"/>
        <scheme val="minor"/>
      </rPr>
      <t>שלא</t>
    </r>
    <r>
      <rPr>
        <sz val="11"/>
        <color theme="1"/>
        <rFont val="Arial"/>
        <family val="2"/>
        <charset val="177"/>
        <scheme val="minor"/>
      </rPr>
      <t xml:space="preserve"> בגינו ניתנה ההלוואה</t>
    </r>
  </si>
  <si>
    <t>נדל"ן אחר - נדל"ן לא מניב</t>
  </si>
  <si>
    <t>נדל"ן אחר - קרקע</t>
  </si>
  <si>
    <t>נדל"ן עבורו התקבלה ההלוואה</t>
  </si>
  <si>
    <t>ערבות בנקאית</t>
  </si>
  <si>
    <t>קרנות השקעה</t>
  </si>
  <si>
    <t>שעבוד שוטף</t>
  </si>
  <si>
    <t>שעבוד שלילי</t>
  </si>
  <si>
    <t>תזרים עמלות</t>
  </si>
  <si>
    <t>תזרים מזומנים</t>
  </si>
  <si>
    <t>תזרים מפרויקטים</t>
  </si>
  <si>
    <t>זכות חזרה</t>
  </si>
  <si>
    <t>מבנה לוח סילוקין</t>
  </si>
  <si>
    <t>בולט (Bullet)</t>
  </si>
  <si>
    <t>בלון</t>
  </si>
  <si>
    <t>קרן שווה</t>
  </si>
  <si>
    <t>שפיצר</t>
  </si>
  <si>
    <t xml:space="preserve">אחר </t>
  </si>
  <si>
    <t>זכות פירעון מוקדם</t>
  </si>
  <si>
    <t>מאפיין הלווואת מתואמות זכויות מקרקעין</t>
  </si>
  <si>
    <t>נדל"ן מניב - משרדים</t>
  </si>
  <si>
    <t>נדל"ן מניב
 - מסחר</t>
  </si>
  <si>
    <t>נדל"ן מניב
 - מגורים (כולל דיור מוגן)</t>
  </si>
  <si>
    <t>נדל"ן מניב
 - מלונאות</t>
  </si>
  <si>
    <t>נדל"ן מניב
 - לוגיסטיקה</t>
  </si>
  <si>
    <t>נדל"ן מניב
 - תעשייה</t>
  </si>
  <si>
    <t>נדל"ן מניב
 - אחר/לא מסווג</t>
  </si>
  <si>
    <t>ייזום נדל"ן לבניה של נכס ספציפי - משרדים</t>
  </si>
  <si>
    <t>ייזום נדל"ן לבניה של נכס ספציפי - מסחר</t>
  </si>
  <si>
    <t>ייזום נדל"ן לבניה של נכס ספציפי - מגורים (כולל דיור מוגן)</t>
  </si>
  <si>
    <t>ייזום נדל"ן לבניה של נכס ספציפי -   מזה: בליווי פיננסי סגור</t>
  </si>
  <si>
    <t>ייזום נדל"ן לבניה של נכס ספציפי - מלונאות</t>
  </si>
  <si>
    <t>ייזום נדל"ן לבניה של נכס ספציפי - לוגיסטיקה</t>
  </si>
  <si>
    <t>ייזום נדל"ן לבניה של נכס ספציפי - תעשייה</t>
  </si>
  <si>
    <t>ייזום נדל"ן לבניה של נכס ספציפי - אחר/לא מסווג</t>
  </si>
  <si>
    <t>קבוצות רכישה - משרדים</t>
  </si>
  <si>
    <t>קבוצות רכישה - מסחר</t>
  </si>
  <si>
    <t>קבוצות רכישה - מגורים (כולל דיור מוגן)</t>
  </si>
  <si>
    <t>קבוצות רכישה - אחר/לא מסווג</t>
  </si>
  <si>
    <t>קרקעות - משרדים</t>
  </si>
  <si>
    <t>קרקעות - מסחר</t>
  </si>
  <si>
    <t>קרקעות - מגורים (כולל דיור מוגן)</t>
  </si>
  <si>
    <t>קרקעות - מלונאות</t>
  </si>
  <si>
    <t>קרקעות - לוגיסטיקה</t>
  </si>
  <si>
    <t>קרקעות - תעשייה</t>
  </si>
  <si>
    <t>קרקעות - אחר/לא מסווג</t>
  </si>
  <si>
    <t>קרקעות - שאינן זמינות לבניה</t>
  </si>
  <si>
    <t>תשתיות - שלב הקמה</t>
  </si>
  <si>
    <t>תשתיות - שלב תפעול</t>
  </si>
  <si>
    <t>פעילות שוטפת של התאגיד - משרדים</t>
  </si>
  <si>
    <t>פעילות שוטפת של התאגיד - מסחר</t>
  </si>
  <si>
    <t>פעילות שוטפת של התאגיד - מגורים (כולל דיור מוגן)</t>
  </si>
  <si>
    <t>פעילות שוטפת של התאגיד - מלונאות</t>
  </si>
  <si>
    <t>פעילות שוטפת של התאגיד - אחר/לא מסווג</t>
  </si>
  <si>
    <t>אשראי לקבלנים - הון חוזר</t>
  </si>
  <si>
    <t>אשראי לקבלנים - ערבויות מכרז, ביצוע וכד'</t>
  </si>
  <si>
    <t>אשראי לקבלנים - למטרות ארוכות טווח</t>
  </si>
  <si>
    <t xml:space="preserve">אשראי אחר בענף הנדל"ן
 (לרבות אשראי לכל מטרה) - אשראי לפעילות הונית </t>
  </si>
  <si>
    <t>אשראי אחר בענף הנדל"ן
 (לרבות אשראי לכל מטרה) - אחר/לא מסווג</t>
  </si>
  <si>
    <t>משתנה</t>
  </si>
  <si>
    <t xml:space="preserve">קבועה </t>
  </si>
  <si>
    <t>האם סווג כחוב בעייתי</t>
  </si>
  <si>
    <t>אסטרטגיית קרן ההשקעה</t>
  </si>
  <si>
    <t>FOF/Managed Account</t>
  </si>
  <si>
    <t>Co-Investment/Direct</t>
  </si>
  <si>
    <t>Core</t>
  </si>
  <si>
    <t>Core-Plus</t>
  </si>
  <si>
    <t>Debt Infrastructure</t>
  </si>
  <si>
    <t>Opportunistic Infrastructure</t>
  </si>
  <si>
    <t>Value Added Infrastructure</t>
  </si>
  <si>
    <t>Value Added Real Estate</t>
  </si>
  <si>
    <t>Direct Real Estate</t>
  </si>
  <si>
    <t>Opportunistic Real Estate</t>
  </si>
  <si>
    <t>Distressed Real Estate</t>
  </si>
  <si>
    <t>Direct Lending Debt</t>
  </si>
  <si>
    <t>Mezzanine Debt</t>
  </si>
  <si>
    <t>Special Situations Debt</t>
  </si>
  <si>
    <t>Distressed Debt</t>
  </si>
  <si>
    <t>Venture Debt</t>
  </si>
  <si>
    <t>Balanced</t>
  </si>
  <si>
    <t>Buyout</t>
  </si>
  <si>
    <t>Leveraged Buyout</t>
  </si>
  <si>
    <t>Growth Venture Capital</t>
  </si>
  <si>
    <t>Seed/Early Stage Venture Capital</t>
  </si>
  <si>
    <t>Secondaries</t>
  </si>
  <si>
    <t>Turnaround</t>
  </si>
  <si>
    <t>סעיף מאזני</t>
  </si>
  <si>
    <t>זכויות אוויר (Air Rights)</t>
  </si>
  <si>
    <t>חממת שרתים</t>
  </si>
  <si>
    <t>חניון</t>
  </si>
  <si>
    <t>לוגיסטיקה ותעשייה</t>
  </si>
  <si>
    <t>מגדלי תקשורת</t>
  </si>
  <si>
    <t>מגורים (כולל דיור מוגן)</t>
  </si>
  <si>
    <t>מלונאות</t>
  </si>
  <si>
    <t>משרדים</t>
  </si>
  <si>
    <t>קניון</t>
  </si>
  <si>
    <t>קרקע/זכויות מקרקעין</t>
  </si>
  <si>
    <t>בתכנון/בהיתרים</t>
  </si>
  <si>
    <t>בתכנון / בהיתרים</t>
  </si>
  <si>
    <t>שלבים התחלתיים</t>
  </si>
  <si>
    <t>בבנייה שלבים התחלתיים (עד 30% ביצוע) – לפי אומדן עלות השקעה כוללת צפויה</t>
  </si>
  <si>
    <t>שלבים מתקדמים</t>
  </si>
  <si>
    <t>בבנייה שלבים מתקדמים (עד 70% ביצוע) - לפי אומדן עלות השקעה כוללת צפויה</t>
  </si>
  <si>
    <t>בשלבי גמר</t>
  </si>
  <si>
    <t>בבנייה בשלבי גמר (מעל 70% ביצוע) - לפי אומדן עלות השקעה כוללת צפויה</t>
  </si>
  <si>
    <t>בשימוש</t>
  </si>
  <si>
    <t xml:space="preserve">בשימוש </t>
  </si>
  <si>
    <t>בשיפוץ</t>
  </si>
  <si>
    <t>בשיפוץ – שיפוץ מהותי שאומדן עלותו מהווה מעל ל-50% משווי הנכס.</t>
  </si>
  <si>
    <t>בהסבה/שינויי ייעוד</t>
  </si>
  <si>
    <t>בהסבה/שינוי ייעוד – אם מעל ל-50% משווי הנכס מוסב לשימוש אחר.</t>
  </si>
  <si>
    <t>בהרחבה</t>
  </si>
  <si>
    <t xml:space="preserve">השיטה שבאמצעותה נקבע שווי הנכס </t>
  </si>
  <si>
    <t>שיטת החילוץ</t>
  </si>
  <si>
    <t>Residual</t>
  </si>
  <si>
    <t>Comparison</t>
  </si>
  <si>
    <t xml:space="preserve">היוון תזרים </t>
  </si>
  <si>
    <t>Discounted Cash Flows</t>
  </si>
  <si>
    <t>שיטת ההכנסה</t>
  </si>
  <si>
    <t>Direct Capitalization</t>
  </si>
  <si>
    <t>משולב</t>
  </si>
  <si>
    <t>גורם תלוי/פנימי</t>
  </si>
  <si>
    <t>דיווח מנהל הקרן</t>
  </si>
  <si>
    <t>חברת ציטוט</t>
  </si>
  <si>
    <t>קיימת תלות</t>
  </si>
  <si>
    <t>עלות מופחתת</t>
  </si>
  <si>
    <t>תדירות Reset</t>
  </si>
  <si>
    <t>יומי</t>
  </si>
  <si>
    <t>שבועי</t>
  </si>
  <si>
    <t>חודשי</t>
  </si>
  <si>
    <t>רבעוני</t>
  </si>
  <si>
    <t>חצי-שנתי</t>
  </si>
  <si>
    <t>שנתי</t>
  </si>
  <si>
    <t>ללא</t>
  </si>
  <si>
    <t>סוג הסליקה</t>
  </si>
  <si>
    <t>Delivery</t>
  </si>
  <si>
    <t>No-delivery</t>
  </si>
  <si>
    <t>ריבית עוגן</t>
  </si>
  <si>
    <t>ריבית בנק ישראל</t>
  </si>
  <si>
    <t>ריבית פריים</t>
  </si>
  <si>
    <t>Libor</t>
  </si>
  <si>
    <t>€STR</t>
  </si>
  <si>
    <t>Eonia</t>
  </si>
  <si>
    <t>Euribor</t>
  </si>
  <si>
    <t>SOFR</t>
  </si>
  <si>
    <t>Sonia</t>
  </si>
  <si>
    <t>Telbor</t>
  </si>
  <si>
    <t>Tona</t>
  </si>
  <si>
    <t>תקופת ריבית עוגן</t>
  </si>
  <si>
    <t>נספח התחשבנות בטחונות (CSA)</t>
  </si>
  <si>
    <t>קיים חוזה</t>
  </si>
  <si>
    <t>לא קיים חוזה</t>
  </si>
  <si>
    <t>גורם מצטט</t>
  </si>
  <si>
    <t>הצד הנגדי</t>
  </si>
  <si>
    <t>גורם אחר</t>
  </si>
  <si>
    <t>פקטור מוביל</t>
  </si>
  <si>
    <t>מדדי מניות</t>
  </si>
  <si>
    <t>מדינה/איזור גאוגרפי</t>
  </si>
  <si>
    <t>ממונף</t>
  </si>
  <si>
    <t>מניות</t>
  </si>
  <si>
    <t>שווי שוק</t>
  </si>
  <si>
    <t>תנודתיות</t>
  </si>
  <si>
    <t>פקטור נוסף</t>
  </si>
  <si>
    <t>כווית</t>
  </si>
  <si>
    <t>Emerging Markets</t>
  </si>
  <si>
    <r>
      <rPr>
        <strike/>
        <sz val="11"/>
        <color theme="1"/>
        <rFont val="Arial"/>
        <family val="2"/>
        <scheme val="minor"/>
      </rPr>
      <t>שווקים מתעוררים</t>
    </r>
    <r>
      <rPr>
        <sz val="11"/>
        <color theme="1"/>
        <rFont val="Arial"/>
        <family val="2"/>
        <scheme val="minor"/>
      </rPr>
      <t xml:space="preserve"> לפי הגדרת MSCI</t>
    </r>
  </si>
  <si>
    <t>Developed Markets</t>
  </si>
  <si>
    <t>Frontier Markets</t>
  </si>
  <si>
    <t>גלובלי בלי ארה"ב</t>
  </si>
  <si>
    <t>מדדים</t>
  </si>
  <si>
    <t>ריביות</t>
  </si>
  <si>
    <t>מט"ח/₪</t>
  </si>
  <si>
    <t>מט"ח/מט"ח</t>
  </si>
  <si>
    <t>Mega cap</t>
  </si>
  <si>
    <t>Large cap</t>
  </si>
  <si>
    <t>Mid cap</t>
  </si>
  <si>
    <t>Small cap</t>
  </si>
  <si>
    <t>האם קיים קנס בגין יציאה מוקדמת</t>
  </si>
  <si>
    <t>מזומנים ושווי מזומנים</t>
  </si>
  <si>
    <t>מזומן ועו"ש בש"ח</t>
  </si>
  <si>
    <t>בטחונות שוטפים</t>
  </si>
  <si>
    <t>מזומן ועו"ש נקוב במט"ח</t>
  </si>
  <si>
    <t>פח"ק/פר"י</t>
  </si>
  <si>
    <t>פק"מ לתקופה של עד שלושה חודשים</t>
  </si>
  <si>
    <t>פקדון במט"ח עד שלושה חודשים</t>
  </si>
  <si>
    <t>פקדון צמוד למדד המחירים לצרכן עד שלושה חודשים</t>
  </si>
  <si>
    <t>פקדון צמוד מט"ח עד שלושה חודשים (פצ"מ)</t>
  </si>
  <si>
    <t>קופה קטנה</t>
  </si>
  <si>
    <t>איגרות חוב ממשלתיות</t>
  </si>
  <si>
    <t>צמוד למדד המחירים לצרכן בריבית משתנה</t>
  </si>
  <si>
    <t>לא צמוד למדד המחירים לצרכן ריבית משתנה</t>
  </si>
  <si>
    <t>צמוד מט"ח בריבית משתנה</t>
  </si>
  <si>
    <t>נקוב במט"ח</t>
  </si>
  <si>
    <t>ניירות ערך מסחריים</t>
  </si>
  <si>
    <t>איגרות חוב</t>
  </si>
  <si>
    <t>לא צמוד למדד המחירים לצרכן</t>
  </si>
  <si>
    <t>אג"ח להמרה לא צמוד למדד המחירים לצרכן</t>
  </si>
  <si>
    <t>אג"ח להמרה צמוד למדד המחירים לצרכן</t>
  </si>
  <si>
    <t>אג"ח להמרה צמוד למט"ח</t>
  </si>
  <si>
    <t>אג"ח להמרה צמוד למדד אחר</t>
  </si>
  <si>
    <t>אג"ח שנרכש ביון 04/11/2008 ועד 31/03/2015 ונמדד בעלות מופחתת</t>
  </si>
  <si>
    <t>מניות, מניות בכורה ויחידות השתתפות</t>
  </si>
  <si>
    <t>מניות בכורה</t>
  </si>
  <si>
    <t>יחידות השתתפות</t>
  </si>
  <si>
    <t>חברה בפירוק</t>
  </si>
  <si>
    <t xml:space="preserve"> In liquidation/administration</t>
  </si>
  <si>
    <t>SPAC</t>
  </si>
  <si>
    <t>Special Puropse Acquistion Company/Blank Check Company</t>
  </si>
  <si>
    <t>TASE UP</t>
  </si>
  <si>
    <t>עוקב אחר מדדי מניות בישראל</t>
  </si>
  <si>
    <t>עוקב אחר מדדי מניות בחו"ל</t>
  </si>
  <si>
    <t>עוקב אחר מדדים אחרים בישראל</t>
  </si>
  <si>
    <t>עוקב אחר מדדים אחרים בחו"ל</t>
  </si>
  <si>
    <t>מכירה בחסר (שורט)</t>
  </si>
  <si>
    <t>קרנות נאמנות</t>
  </si>
  <si>
    <t>אג"ח קונצרני</t>
  </si>
  <si>
    <t>אג"ח ממשלתי</t>
  </si>
  <si>
    <t>אופציות</t>
  </si>
  <si>
    <t>מניה</t>
  </si>
  <si>
    <t>מדד</t>
  </si>
  <si>
    <t>קרן סל</t>
  </si>
  <si>
    <t>סחורה</t>
  </si>
  <si>
    <t>מוצרים מובנים</t>
  </si>
  <si>
    <t>קרן מובטחת</t>
  </si>
  <si>
    <t>קרן לא מובטחת</t>
  </si>
  <si>
    <t>מוצר מאוגח - שכבת חוב (Tranche) בדרוג AA- ומעלה</t>
  </si>
  <si>
    <t>מוצר מאוגח - שכבת חוב (Tranche) בדרוג BBB- ומעלה</t>
  </si>
  <si>
    <t>מוצר מאוגח - שכבת חוב (Tranche) בדרוג BB+ ומטה</t>
  </si>
  <si>
    <t>מוצר מאוגח - שכבת הון (Equity Tranche)</t>
  </si>
  <si>
    <t>לא סחיר איגרות חוב ממשלתיות</t>
  </si>
  <si>
    <t>לא סחיר איגרות חוב מיועדות</t>
  </si>
  <si>
    <t>חץ</t>
  </si>
  <si>
    <t>מירון בקרן פנסיה ותיקה</t>
  </si>
  <si>
    <t>ערד בקרן פנסיה ותיקה</t>
  </si>
  <si>
    <t>ערד בקרן פנסיה מקיפה חדשה</t>
  </si>
  <si>
    <t>פיקדון חשכ"ל</t>
  </si>
  <si>
    <t>אפיק השקעה מובטח תשואה</t>
  </si>
  <si>
    <t>החזקה באפיק השקעה מובטח תשואה</t>
  </si>
  <si>
    <t>התאמה לשווי ההוגן</t>
  </si>
  <si>
    <t xml:space="preserve">נכס או התחייבות בגין השלמת המדינה לתשואת היעד </t>
  </si>
  <si>
    <t>לא סחיר ניירות ערך מסחריים</t>
  </si>
  <si>
    <t>נש"ר</t>
  </si>
  <si>
    <t>לא סחיר איגרות חוב</t>
  </si>
  <si>
    <t>אג"ח להמרה לא צמוד למדד</t>
  </si>
  <si>
    <t>אג"ח לא סחיר שנרכש בין 04/11/2008 ועד 31/03/2015 ונמדד לפי עלות מופחתת</t>
  </si>
  <si>
    <t>לא סחיר מניות, מניות בכורה ויחידות השתתפות</t>
  </si>
  <si>
    <t>יחידות השתתפות אינשורטק</t>
  </si>
  <si>
    <t>יחידות השתתפות פינטק</t>
  </si>
  <si>
    <t>יחידות השתתפות תשתיות</t>
  </si>
  <si>
    <t>יחידות השתתפות אחרות</t>
  </si>
  <si>
    <t>מניות בכורה לא סחירות</t>
  </si>
  <si>
    <t>PIPE</t>
  </si>
  <si>
    <t>Private Equity in Public Equity</t>
  </si>
  <si>
    <t>משאבים טבעיים</t>
  </si>
  <si>
    <t>פרייבט אקוויטי</t>
  </si>
  <si>
    <t>קרן אנרגיה ותשתיות</t>
  </si>
  <si>
    <t>קרן גידור (Hedge Fund)</t>
  </si>
  <si>
    <t>קרן חוב</t>
  </si>
  <si>
    <t>קרן נדל"ן</t>
  </si>
  <si>
    <t>קרן השקעה אחרת</t>
  </si>
  <si>
    <t>לא סחיר אופציות</t>
  </si>
  <si>
    <t>ריבית</t>
  </si>
  <si>
    <t>הלוואות</t>
  </si>
  <si>
    <t>חברה מוחזקת</t>
  </si>
  <si>
    <t>יחיד שאינו עמית/מבוטח</t>
  </si>
  <si>
    <t>נושא משרה/עובד</t>
  </si>
  <si>
    <t>סוכן</t>
  </si>
  <si>
    <t>עמית/מבוטח</t>
  </si>
  <si>
    <t>תאגיד</t>
  </si>
  <si>
    <t>לא סחיר נגזרים אחרים</t>
  </si>
  <si>
    <t>Unfunded Swap</t>
  </si>
  <si>
    <t>Funded Swap</t>
  </si>
  <si>
    <t>Unfunded Forward</t>
  </si>
  <si>
    <t>Funded Forward</t>
  </si>
  <si>
    <t>Unfunded Interest Rate Swap</t>
  </si>
  <si>
    <t>Funded Interest Rate Swap</t>
  </si>
  <si>
    <t>Unfunded Total Return/Equity Swap</t>
  </si>
  <si>
    <t>Funded Total Return/Equity Swap</t>
  </si>
  <si>
    <t>Repo</t>
  </si>
  <si>
    <t>עסקאות REPO</t>
  </si>
  <si>
    <t>לא סחיר מוצרים מובנים</t>
  </si>
  <si>
    <t>שכבת חוב (Tranche) בדרוג AA- ומעלה</t>
  </si>
  <si>
    <t>שכבת חוב (Tranche) בדרוג BBB- ומעלה</t>
  </si>
  <si>
    <t>שכבת חוב (Tranche) בדרוג BB+ ומטה</t>
  </si>
  <si>
    <t>שכבת הון (Equity Tranch)</t>
  </si>
  <si>
    <t>פיקדונות מעל 3 חודשים</t>
  </si>
  <si>
    <t>בטחונות לא שוטפים</t>
  </si>
  <si>
    <t>בטחונות לתקופה של מעל 3 חודשים</t>
  </si>
  <si>
    <t>זכויות מקרקעין</t>
  </si>
  <si>
    <t>נדל"ן לא מניב</t>
  </si>
  <si>
    <t>נכסים אחרים</t>
  </si>
  <si>
    <t>התחייבות הממשלה בגין אי העלאת גיל הפרישה לנשים</t>
  </si>
  <si>
    <t>סיוע ממשלתי</t>
  </si>
  <si>
    <t>דיבידנד לקבל</t>
  </si>
  <si>
    <t>הכנסות עו"ש לקבל</t>
  </si>
  <si>
    <t>הפרשה למס</t>
  </si>
  <si>
    <t>התחייבות Forward</t>
  </si>
  <si>
    <t>זכאים בגין נדל"ן</t>
  </si>
  <si>
    <t>חוב בפיגור</t>
  </si>
  <si>
    <t>חייבים בגין מקדמות</t>
  </si>
  <si>
    <t xml:space="preserve">חייבים בגין עסקה עתידית </t>
  </si>
  <si>
    <t xml:space="preserve">חייבים בגין תקבולים </t>
  </si>
  <si>
    <t xml:space="preserve">חייבים בנאמנות </t>
  </si>
  <si>
    <t>חייבים והכנסות שכר דירה לקבל</t>
  </si>
  <si>
    <t>חייבים הלוואות</t>
  </si>
  <si>
    <t>חייבים העברות</t>
  </si>
  <si>
    <t>חייבים וזכאים בגין שיקוף</t>
  </si>
  <si>
    <t>חייבים וזכאים עמיתים</t>
  </si>
  <si>
    <t>חייבים זכאים במט"ח</t>
  </si>
  <si>
    <t>חייבים זכאים בש"ח</t>
  </si>
  <si>
    <t>חייבים/זכאים עמלת up front</t>
  </si>
  <si>
    <t>חלוקה בפועל מקרן השקעה</t>
  </si>
  <si>
    <t>יצירות אומנות</t>
  </si>
  <si>
    <t>מס במקור</t>
  </si>
  <si>
    <t>מעבר הפרשים</t>
  </si>
  <si>
    <t>מעבר מיזוגים</t>
  </si>
  <si>
    <t>מעבר נכסים</t>
  </si>
  <si>
    <t>מעבר פקדונות</t>
  </si>
  <si>
    <t>מקדמות מס</t>
  </si>
  <si>
    <t>עודפים</t>
  </si>
  <si>
    <t>פיגורים</t>
  </si>
  <si>
    <t>קיקר</t>
  </si>
  <si>
    <t>השקעה בחברות מוחזקות</t>
  </si>
  <si>
    <t>חברת בת</t>
  </si>
  <si>
    <t>חברה כלולה</t>
  </si>
  <si>
    <t>יתרות התחייבות להשקעה</t>
  </si>
  <si>
    <t>התחייבות להשקעה</t>
  </si>
  <si>
    <t>שם גיליון</t>
  </si>
  <si>
    <t>שם סעיף</t>
  </si>
  <si>
    <t>מספר סעיף</t>
  </si>
  <si>
    <t>מידע שניתן לדווח רק לרשות</t>
  </si>
  <si>
    <t>ü</t>
  </si>
  <si>
    <t xml:space="preserve">שם נייר ערך </t>
  </si>
  <si>
    <t xml:space="preserve">סוג מספר מזהה מנפיק </t>
  </si>
  <si>
    <t xml:space="preserve">דירוג נייר הערך/המנפיק </t>
  </si>
  <si>
    <t>מניות, מב"כ ויה"ש</t>
  </si>
  <si>
    <t>כתבי אופציה</t>
  </si>
  <si>
    <t>נכס בסיס (כתב אופציה)</t>
  </si>
  <si>
    <t>תאריך פקיעה</t>
  </si>
  <si>
    <t>שער מימוש</t>
  </si>
  <si>
    <t>יחס המרה</t>
  </si>
  <si>
    <t>חוזים עתידיים</t>
  </si>
  <si>
    <t>מספר קרן</t>
  </si>
  <si>
    <t>חודש הנפקת שכבה</t>
  </si>
  <si>
    <t>חודש הבדיקה</t>
  </si>
  <si>
    <t>שווי הנכסים באפיק (באלפי ש"ח)</t>
  </si>
  <si>
    <t xml:space="preserve">תאריך אחרון בו נבחנה בפועל ירידת ערך </t>
  </si>
  <si>
    <t>לא סחיר מניות, מב"כ ויה"ש</t>
  </si>
  <si>
    <t>מדינת התאגדות קרן השקעה</t>
  </si>
  <si>
    <t>מיקום משרד השותף הכללי</t>
  </si>
  <si>
    <t>NAV (במטבע הדיווח של קרן ההשקעה)</t>
  </si>
  <si>
    <t>שיעור החזקה בקרן השקעה</t>
  </si>
  <si>
    <t>לא סחיר כתבי אופציה</t>
  </si>
  <si>
    <t>מספר עסקה (רגל 1)</t>
  </si>
  <si>
    <t>מטבע פעילות (רגל 1)</t>
  </si>
  <si>
    <t>ערך נקוב (רגל 1)</t>
  </si>
  <si>
    <t>שווי הוגן במטבע הנסחר (רגל 1)</t>
  </si>
  <si>
    <t>שיעור מנכסי אפיק ההשקעה (רגל 1)</t>
  </si>
  <si>
    <t>שיעור מסך נכסי ההשקעה (רגל 1)</t>
  </si>
  <si>
    <t>מספר עסקה (רגל 2)</t>
  </si>
  <si>
    <t>מטבע פעילות (רגל 2)</t>
  </si>
  <si>
    <t>ערך נקוב (רגל 2)</t>
  </si>
  <si>
    <t>שווי הוגן במטבע הנסחר (רגל 2)</t>
  </si>
  <si>
    <t>שיעור מנכסי אפיק ההשקעה (רגל 2)</t>
  </si>
  <si>
    <t>שיעור מסך נכסי אפיק ההשקעה (רגל 2)</t>
  </si>
  <si>
    <t>שווי הוגן (נטו באלפי ש"ח)</t>
  </si>
  <si>
    <t>סוג הנכס</t>
  </si>
  <si>
    <t>מועד ההתקשרות בעסקה</t>
  </si>
  <si>
    <t>מועד סיום חוזי</t>
  </si>
  <si>
    <t>נספח התחשבנות בטחונות - CSA</t>
  </si>
  <si>
    <t>שיעור ריבית עוגן</t>
  </si>
  <si>
    <t>שער נכס הבסיס במועד ההתקשרות בעסקה</t>
  </si>
  <si>
    <t>שער הנגזר במועד ההתקשרות בעסקה</t>
  </si>
  <si>
    <t>שיעור הקנס בגין יציאה מוקדמת</t>
  </si>
  <si>
    <t>צד נגדי - Counterparty</t>
  </si>
  <si>
    <t>מאפיין הלוואות מתואמות עבור זכויות מקרקעין</t>
  </si>
  <si>
    <t>קונסורציום/ סינדיקציה</t>
  </si>
  <si>
    <t>מספר קונסורציום/ סינדיקציה</t>
  </si>
  <si>
    <t>תאריך העמדת הלוואה</t>
  </si>
  <si>
    <t xml:space="preserve">דירוג הלוואה/המנפיק </t>
  </si>
  <si>
    <t>שיעור תוספת/הפחתה לריבית העוגן</t>
  </si>
  <si>
    <t>שווי הבטוחות העומדות כנגד ההלוואה</t>
  </si>
  <si>
    <t>שיעור הבטוחות מהחוב</t>
  </si>
  <si>
    <t>מועד עדכון אחרון לשווי הבטוחות</t>
  </si>
  <si>
    <t>יעוד הלוואה</t>
  </si>
  <si>
    <t>שיעור ריבית בגין אי-ניצול מסגרת האשראי</t>
  </si>
  <si>
    <t>ערך נקוב</t>
  </si>
  <si>
    <t>שער הלוואה</t>
  </si>
  <si>
    <t>השקעה בחברה מוחזקת</t>
  </si>
  <si>
    <t>השקעה בחברות מוחזקת</t>
  </si>
  <si>
    <t>מסגרות אשראי</t>
  </si>
  <si>
    <t>ידווח בקבצי נכסי הנוסטרו בלבד</t>
  </si>
  <si>
    <t>סך הכל נכסים</t>
  </si>
  <si>
    <t>יתרות התחייבויות להשקעה</t>
  </si>
  <si>
    <t>בנק לאומי לישראל בע"מ</t>
  </si>
  <si>
    <t>10-800</t>
  </si>
  <si>
    <t>AAA</t>
  </si>
  <si>
    <t>EUR</t>
  </si>
  <si>
    <t>HKD</t>
  </si>
  <si>
    <t>SGD</t>
  </si>
  <si>
    <t>DKK</t>
  </si>
  <si>
    <t>GBP</t>
  </si>
  <si>
    <t>CHF</t>
  </si>
  <si>
    <t>סוג קובץ</t>
  </si>
  <si>
    <t>נכסי מבוטחים - חברת ביטוח</t>
  </si>
  <si>
    <t>in</t>
  </si>
  <si>
    <t>gm</t>
  </si>
  <si>
    <t>נכסי עמיתים - קרנות פנסיה</t>
  </si>
  <si>
    <t>pn</t>
  </si>
  <si>
    <t>נכסי אפיק השקעה מובטח תשואה</t>
  </si>
  <si>
    <t>ca</t>
  </si>
  <si>
    <t>נכסי נוסטרו - חברת ביטוח</t>
  </si>
  <si>
    <t>ni</t>
  </si>
  <si>
    <t>נכסי נוסטרו - חברה מנהלת</t>
  </si>
  <si>
    <t>nf</t>
  </si>
  <si>
    <t>יעוד הקובץ</t>
  </si>
  <si>
    <t>לממונה</t>
  </si>
  <si>
    <t>לציבור</t>
  </si>
  <si>
    <t>p</t>
  </si>
  <si>
    <t>רבעון</t>
  </si>
  <si>
    <t>01</t>
  </si>
  <si>
    <t>02</t>
  </si>
  <si>
    <t>03</t>
  </si>
  <si>
    <t>04</t>
  </si>
  <si>
    <t>שנה</t>
  </si>
  <si>
    <t>שם גוף מוסדי</t>
  </si>
  <si>
    <t>אי. אם. איי - עזר חברה לביטוח משכנתאות בע"מ</t>
  </si>
  <si>
    <t>איי. די. איי. חברה לביטוח בע"מ</t>
  </si>
  <si>
    <t>איי.אי.ג'י חברה לביטוח בע"מ</t>
  </si>
  <si>
    <t>איילון חברה לביטוח בע"מ</t>
  </si>
  <si>
    <t>אינפיניטי השתלמות, גמל ופנסיה בע"מ</t>
  </si>
  <si>
    <t>אלטשולר שחם גמל ופנסיה בע"מ</t>
  </si>
  <si>
    <t>אנליסט קופות גמל בע"מ</t>
  </si>
  <si>
    <t>ארם גמולים - חברה לניהול קופות גמל בע''מ</t>
  </si>
  <si>
    <t>אשרא - החברה הישראלית לביטוח יצוא בע"מ</t>
  </si>
  <si>
    <t>ב.ס.ס.ח. - החברה הישראלית לביטוח אשראי בע"מ</t>
  </si>
  <si>
    <t>ביטוח חקלאי אגודה מרכזית בע"מ</t>
  </si>
  <si>
    <t>גילעד גימלאות לעובדים דתיים בע"מ</t>
  </si>
  <si>
    <t>גל - ניהול קופות גמל לעובדי הוראה בע"מ</t>
  </si>
  <si>
    <t>דיויד שילד חברה לביטוח בע"מ</t>
  </si>
  <si>
    <t>החברה המנהלת של מינהל קרן ההשתלמות לפקידים עובדי המנהל והשירותים בע"מ</t>
  </si>
  <si>
    <t>החברה המנהלת של קרן הגמלאות של חברי "דן" בע"מ</t>
  </si>
  <si>
    <t>החברה המנהלת של קרן השתלמות של עובדי חברת החשמל לישראל בע"מ</t>
  </si>
  <si>
    <t>החברה המנהלת של רום קרן ההשתלמות לעובדי הרשויות המקומיות בע"מ</t>
  </si>
  <si>
    <t>החברה לניהול קופות התגמולים והפיצויים של עובדי בנק לאומי בע"מ</t>
  </si>
  <si>
    <t>החברה לניהול קופת התגמולים והפנסיה של עובדי הסוכנות היהודית לארץ ישראל בע"מ</t>
  </si>
  <si>
    <t>החברה לניהול קרן ההשתלמות להנדסאים וטכנאים בע"מ</t>
  </si>
  <si>
    <t>החברה לניהול קרן ההשתלמות לעובדי המדינה בע"מ</t>
  </si>
  <si>
    <t>החברה לניהול קרן השתלמות לאקדמאים במדעי החברה והרוח בע"מ</t>
  </si>
  <si>
    <t>החברה לניהול קרן השתלמות לביוכימאים  ומקרוביולוגים בע"מ</t>
  </si>
  <si>
    <t>החברה לניהול קרן השתלמות למשפטנים בע"מ</t>
  </si>
  <si>
    <t>החברה לניהול קרן השתלמות לשופטים בע"מ</t>
  </si>
  <si>
    <t>הכשרה חברה לביטוח בע"מ</t>
  </si>
  <si>
    <t>הלמן-אלדובי חח"י גמל בע"מ</t>
  </si>
  <si>
    <t>הנדסאים וטכנאים - חברה לניהול קופות גמל בע"מ</t>
  </si>
  <si>
    <t>הפניקס אקסלנס פנסיה וגמל בע"מ</t>
  </si>
  <si>
    <t>הפניקס חברה לביטוח בע"מ</t>
  </si>
  <si>
    <t>הראל חברה לביטוח בע"מ</t>
  </si>
  <si>
    <t>הראל פנסיה וגמל בע"מ</t>
  </si>
  <si>
    <t>ווישור חברה לביטוח בע"מ</t>
  </si>
  <si>
    <t>חברה לניהול קופות גמל של העובדים בעיריית תל - אביב יפו בע"מ</t>
  </si>
  <si>
    <t>חברת ב'ת למ'ד דל'ת בע"מ</t>
  </si>
  <si>
    <t>חברת הגמל לעובדי האוניברסיטה העברית בע"מ</t>
  </si>
  <si>
    <t>יהב - פ.ר.ח. - חברה לניהול קופות גמל בע"מ</t>
  </si>
  <si>
    <t>יהב אחים ואחיות - חברה לניהול קופות גמל בע"מ</t>
  </si>
  <si>
    <t>יהב רופאים - חברה לניהול קופות גמל בע"מ</t>
  </si>
  <si>
    <t>יוזמה קרן פנסיה לעצמאים בע"מ</t>
  </si>
  <si>
    <t>ילין לפידות ניהול קופות גמל בע"מ</t>
  </si>
  <si>
    <t>כלל חברה לביטוח אשראי בע"מ</t>
  </si>
  <si>
    <t>כלל חברה לביטוח בע"מ</t>
  </si>
  <si>
    <t>כלל פנסיה וגמל בע"מ</t>
  </si>
  <si>
    <t>לאומי קמ"פ בע"מ</t>
  </si>
  <si>
    <t>ליברה חברה לביטוח בע"מ</t>
  </si>
  <si>
    <t>לעתיד חברה לניהול קרנות פנסיה בע"מ</t>
  </si>
  <si>
    <t>מבטחים מוסד לביטוח סוציאלי של העובדים בע"מ</t>
  </si>
  <si>
    <t>מגדל חברה לביטוח בע"מ</t>
  </si>
  <si>
    <t>מגדל מקפת קרנות פנסיה וקופות גמל בע"מ</t>
  </si>
  <si>
    <t>מור גמל ופנסיה בע"מ</t>
  </si>
  <si>
    <t>מחוג - מינהל גמל לעובדי חברת חשמל לישראל בע"מ</t>
  </si>
  <si>
    <t>מחר - חברה לניהול קופות גמל בע"מ</t>
  </si>
  <si>
    <t>מיטב דש גמל ופנסיה בע"מ</t>
  </si>
  <si>
    <t>מנורה מבטחים ביטוח בע"מ</t>
  </si>
  <si>
    <t>מנורה מבטחים והסתדרות המהנדסים ניהול קופות גמל בע"מ</t>
  </si>
  <si>
    <t>מנורה מבטחים פנסיה וגמל בע"מ</t>
  </si>
  <si>
    <t>נתיב קרן הפנסיה של פועלי ועובדי מפעלי משק ההסתדרות בע"מ</t>
  </si>
  <si>
    <t>סלייס גמל בע"מ</t>
  </si>
  <si>
    <t>עגור חברה לניהול קופות גמל וקרנות השתלמות בע"מ</t>
  </si>
  <si>
    <t>עו"ס - חברה לניהול קופות גמל בע"מ</t>
  </si>
  <si>
    <t>עוצ"מ - אגודה שיתופית לניהול קופות גמל בע"מ</t>
  </si>
  <si>
    <t>עוצ"מ חברה לניהול קופות גמל והשתלמות בע"מ</t>
  </si>
  <si>
    <t>עמ"י - חברה לניהול קופות גמל ענפיות בע"מ</t>
  </si>
  <si>
    <t>ענבל חברה לביטוח בע"מ</t>
  </si>
  <si>
    <t>ק.ל.ע. - חברה לניהול קרן השתלמות לעובדים סוציאליים בע"מ</t>
  </si>
  <si>
    <t>קו הבריאות חברה לניהול קופות גמל בע"מ</t>
  </si>
  <si>
    <t>קופת הפנסיה לעובדי הדסה בע"מ</t>
  </si>
  <si>
    <t>קופת תגמולים של עובדי אל על נתיבי אוויר לישראל בע"מ אגודה שיתופית</t>
  </si>
  <si>
    <t>קופת תגמולים של עובדי התעשיה האוירית לישראל בע"מ</t>
  </si>
  <si>
    <t>קופת"ג של עובדי עירית חיפה</t>
  </si>
  <si>
    <t>קרן ביטוח הדדי לחברי הסתדרות עובדי המדינה בישראל בע"מ</t>
  </si>
  <si>
    <t>קרן ביטוח ופנסיה לפועלים חקלאים ובלתי מקצועיים בישראל אגודה שיתופית בע"מ</t>
  </si>
  <si>
    <t>קרן הביטוח והפנסיה של פועלי בנין ועבודות ציבוריות אגודה שיתופית בע"מ</t>
  </si>
  <si>
    <t>קרן הגמלאות המרכזית של עובדי ההסתדרות בע"מ</t>
  </si>
  <si>
    <t>קרן הגמלאות של חברי אגד בע"מ</t>
  </si>
  <si>
    <t>קרן החסכון לצבא הקבע - חברה לניהול קופות גמל בע"מ</t>
  </si>
  <si>
    <t>קרן לביטוח נזקי טבע בחקלאות בע"מ</t>
  </si>
  <si>
    <t>קרן מקפת מרכז לפנסיה ותגמולים אגודה שיתופית בע"מ</t>
  </si>
  <si>
    <t>קרנות השתלמות למורים ולגננות - חברה מנהלת בע"מ</t>
  </si>
  <si>
    <t>קרנות השתלמות למורים תיכוניים, מורי סמינרים ומפקחים - חברה מנהלת בע"מ</t>
  </si>
  <si>
    <t>רעות חברה לניהול קופות גמל בע"מ</t>
  </si>
  <si>
    <t>ש. שלמה חברה לביטוח בע"מ</t>
  </si>
  <si>
    <t>שומרה חברה לביטוח בע"מ</t>
  </si>
  <si>
    <t>שיבולת - חברה לניהול קופות גמל בע"מ</t>
  </si>
  <si>
    <t>תגמולים של עובדים בעירית ת"א-יפו א.ש. בע"מ</t>
  </si>
  <si>
    <t>שיעור מנכסי ההשקעה (רגל 2)</t>
  </si>
  <si>
    <t>שיעור מסך אפיק ההשקעה (רגל 2)</t>
  </si>
  <si>
    <t>שווי הוגן (נטו  באלפי ש"ח)</t>
  </si>
  <si>
    <t>161</t>
  </si>
  <si>
    <t>9938</t>
  </si>
  <si>
    <t>90025024</t>
  </si>
  <si>
    <t>EUR ILS</t>
  </si>
  <si>
    <t>01/04/2025</t>
  </si>
  <si>
    <t>09/07/2025</t>
  </si>
  <si>
    <t>0</t>
  </si>
  <si>
    <t>NA</t>
  </si>
  <si>
    <t>LUMILIT</t>
  </si>
  <si>
    <t>90025028</t>
  </si>
  <si>
    <t>USD ILS</t>
  </si>
  <si>
    <t>9942</t>
  </si>
  <si>
    <t>9943</t>
  </si>
  <si>
    <t>90023456</t>
  </si>
  <si>
    <t>17/09/2024</t>
  </si>
  <si>
    <t>17/09/2025</t>
  </si>
  <si>
    <t>90025697</t>
  </si>
  <si>
    <t>24/06/2025</t>
  </si>
  <si>
    <t>90025325</t>
  </si>
  <si>
    <t>06/05/2025</t>
  </si>
  <si>
    <t>90025750</t>
  </si>
  <si>
    <t>31/07/2025</t>
  </si>
  <si>
    <t>12468</t>
  </si>
  <si>
    <t>90025079</t>
  </si>
  <si>
    <t>07/04/2025</t>
  </si>
  <si>
    <t>510960586</t>
  </si>
  <si>
    <t>הלוואות לחברים עמי גמל (ריבית צמוד פריים)</t>
  </si>
  <si>
    <t>29994013</t>
  </si>
  <si>
    <t>03/11/2016</t>
  </si>
  <si>
    <t>30/12/2028</t>
  </si>
  <si>
    <t xml:space="preserve">הלוואות עמיתים </t>
  </si>
  <si>
    <t>512475203</t>
  </si>
  <si>
    <t>ח.פ</t>
  </si>
  <si>
    <t>כביש 6 צפון  הגדלת מינוף</t>
  </si>
  <si>
    <t>25032021</t>
  </si>
  <si>
    <t>25/03/2021</t>
  </si>
  <si>
    <t>Aa2</t>
  </si>
  <si>
    <t>קבועה</t>
  </si>
  <si>
    <t>30/06/2048</t>
  </si>
  <si>
    <t>מרווח הוגן</t>
  </si>
  <si>
    <t>כביש 6 צפון  הלוואה לזמן ארוך</t>
  </si>
  <si>
    <t>24032021</t>
  </si>
  <si>
    <t>אחים דוניץ בע"מ</t>
  </si>
  <si>
    <t>520038605</t>
  </si>
  <si>
    <t>דוניץ אופציה לא סחירה</t>
  </si>
  <si>
    <t>4000101</t>
  </si>
  <si>
    <t>IL0004000100</t>
  </si>
  <si>
    <t>31/12/2025</t>
  </si>
  <si>
    <t>24/02/2025</t>
  </si>
  <si>
    <t>שגריר רכב</t>
  </si>
  <si>
    <t>515158665</t>
  </si>
  <si>
    <t>שגריר כתב אופציה ל.ס</t>
  </si>
  <si>
    <t>IL0011383796</t>
  </si>
  <si>
    <t>08/06/2025</t>
  </si>
  <si>
    <t>29/06/2022</t>
  </si>
  <si>
    <t>06/08/2024</t>
  </si>
  <si>
    <t>שווי הוגן (בש"ח)</t>
  </si>
  <si>
    <t>מגדל קרנות נאמנות בע"מ</t>
  </si>
  <si>
    <t>511303661</t>
  </si>
  <si>
    <t>MTF ת"א 100 קרן נאמנות</t>
  </si>
  <si>
    <t>IL0051098890</t>
  </si>
  <si>
    <t>מניות בישראל</t>
  </si>
  <si>
    <t>APS Fund SICAV - APS China A S</t>
  </si>
  <si>
    <t>549300045D2ZRM2NYN79</t>
  </si>
  <si>
    <t>$APS-CHINA A S-F</t>
  </si>
  <si>
    <t>LU1987754873</t>
  </si>
  <si>
    <t>CIFC Senior Secured Corporate</t>
  </si>
  <si>
    <t>3912000TN89ESDWHS93</t>
  </si>
  <si>
    <t>CIFC SEN.SEC.COR</t>
  </si>
  <si>
    <t>KYG2139S1194</t>
  </si>
  <si>
    <t>Invesco investment management limited</t>
  </si>
  <si>
    <t>ECPGFXU8A2SHKVVGJI15</t>
  </si>
  <si>
    <t>INV-US SEN-G</t>
  </si>
  <si>
    <t>LU0564079282</t>
  </si>
  <si>
    <t>CREDIT SUISSE</t>
  </si>
  <si>
    <t>EXD7DEVFDH4HOFFQ7349</t>
  </si>
  <si>
    <t>CS NOVA LUX GLB SEN</t>
  </si>
  <si>
    <t>LU0635707705</t>
  </si>
  <si>
    <t>MTF ת"א 25  40</t>
  </si>
  <si>
    <t>IL0051098973</t>
  </si>
  <si>
    <t>MTF סל תא 125</t>
  </si>
  <si>
    <t>IL0011502833</t>
  </si>
  <si>
    <t>MTF סל תלבונד 60</t>
  </si>
  <si>
    <t>IL0011499964</t>
  </si>
  <si>
    <t xml:space="preserve">אג"ח בישראל - חברות והמרה  </t>
  </si>
  <si>
    <t>MTF500SP ממ</t>
  </si>
  <si>
    <t>IL0011505729</t>
  </si>
  <si>
    <t xml:space="preserve">מניות בחו"ל משולבת </t>
  </si>
  <si>
    <t>הראל קרנות נאמנות בע"מ</t>
  </si>
  <si>
    <t>511776783</t>
  </si>
  <si>
    <t>הראל סל תא 90</t>
  </si>
  <si>
    <t>IL0011489312</t>
  </si>
  <si>
    <t>הראל סל תא נדלן</t>
  </si>
  <si>
    <t>IL0011489643</t>
  </si>
  <si>
    <t>הראל סל תל בונד שקלי</t>
  </si>
  <si>
    <t>IL0011505232</t>
  </si>
  <si>
    <t>הראל קרן סל תא 125</t>
  </si>
  <si>
    <t>IL0011488991</t>
  </si>
  <si>
    <t>מור ניהול קרנות נאמנות בע"מ</t>
  </si>
  <si>
    <t>514884485</t>
  </si>
  <si>
    <t>מור סל (A4) ת"א -125</t>
  </si>
  <si>
    <t>IL0011961534</t>
  </si>
  <si>
    <t>מור סל S&amp;P 500 ממ</t>
  </si>
  <si>
    <t>IL0011658288</t>
  </si>
  <si>
    <t>מור סל אי.בנקים מש</t>
  </si>
  <si>
    <t>IL0011877649</t>
  </si>
  <si>
    <t>קסם קרנות נאמנות בע"מ</t>
  </si>
  <si>
    <t>510938608</t>
  </si>
  <si>
    <t>קסם קרן סל תל בונד 60</t>
  </si>
  <si>
    <t>IL0011462327</t>
  </si>
  <si>
    <t>קסם תל בונד שקלי</t>
  </si>
  <si>
    <t>IL0011464141</t>
  </si>
  <si>
    <t>מיטב קרנות נאמנות בע"מ</t>
  </si>
  <si>
    <t>513534974</t>
  </si>
  <si>
    <t>תכלית תל בונד 60</t>
  </si>
  <si>
    <t>IL0011451015</t>
  </si>
  <si>
    <t>תכלית תל בונד שקלי סד-2</t>
  </si>
  <si>
    <t>IL0011451841</t>
  </si>
  <si>
    <t>State Street Corp</t>
  </si>
  <si>
    <t>07F5H7W3ET8ZLWNMFP29</t>
  </si>
  <si>
    <t>Amex tech sel indx</t>
  </si>
  <si>
    <t>US81369Y8030</t>
  </si>
  <si>
    <t xml:space="preserve">BlackRock  Asset Managment </t>
  </si>
  <si>
    <t>254900UWHMJRRODS3Z64</t>
  </si>
  <si>
    <t>ISH CORE ERSTX50</t>
  </si>
  <si>
    <t>DE0005933956</t>
  </si>
  <si>
    <t>Ishares core s&amp;p 500 etf</t>
  </si>
  <si>
    <t>US4642872000</t>
  </si>
  <si>
    <t>SPDR PORT SP 500</t>
  </si>
  <si>
    <t>US78464A8541</t>
  </si>
  <si>
    <t>SPDR US FINCLS</t>
  </si>
  <si>
    <t>IE00BWBXM500</t>
  </si>
  <si>
    <t>Vanguard Group</t>
  </si>
  <si>
    <t>549300Y88GQ3VLJIBX57</t>
  </si>
  <si>
    <t>Vanguard S&amp;P 500 etf</t>
  </si>
  <si>
    <t>US9229083632</t>
  </si>
  <si>
    <t>MTF.תלבונדשקלי</t>
  </si>
  <si>
    <t>IL0011500027</t>
  </si>
  <si>
    <t>איישרס חוץ S&amp;P500 INDEX</t>
  </si>
  <si>
    <t>IE00B5BMR087</t>
  </si>
  <si>
    <t>מניות בחו"ל חשופות מט"ח</t>
  </si>
  <si>
    <t>הראל סל תל בונד 60</t>
  </si>
  <si>
    <t>IL0011504730</t>
  </si>
  <si>
    <t>מור סל )4D(י NASDAQ 100</t>
  </si>
  <si>
    <t>IL0011658361</t>
  </si>
  <si>
    <t>INVESCO S&amp;P 500 UCITS ETF</t>
  </si>
  <si>
    <t>IE00B3YCGJ38</t>
  </si>
  <si>
    <t>LSE </t>
  </si>
  <si>
    <t>MSCI Emerging Markets (4D) ETF קסם</t>
  </si>
  <si>
    <t>IL0011458127</t>
  </si>
  <si>
    <t>שווקים מתעוררים</t>
  </si>
  <si>
    <t>הראל סל 4A S&amp;P 500 מנוטרלת</t>
  </si>
  <si>
    <t>IL0011491375</t>
  </si>
  <si>
    <t>ילין לפידות ניהול קרנות נאמנות</t>
  </si>
  <si>
    <t>513846808</t>
  </si>
  <si>
    <t>ילין לפידות סל )4A(י S&amp;P 500 מ</t>
  </si>
  <si>
    <t>IL0012016643</t>
  </si>
  <si>
    <t>מור סל )4D(י S&amp;P 500</t>
  </si>
  <si>
    <t>IL0011658106</t>
  </si>
  <si>
    <t>קסם DAX30 ETF ממ</t>
  </si>
  <si>
    <t>IL0011467037</t>
  </si>
  <si>
    <t>קסם קרן סל תא 125</t>
  </si>
  <si>
    <t>IL0011463564</t>
  </si>
  <si>
    <t>תכלית סל (A‏4)י 500 S&amp;P מנוטרלת מטח</t>
  </si>
  <si>
    <t>IL0011438178</t>
  </si>
  <si>
    <t>תכלית סל תא 90</t>
  </si>
  <si>
    <t>IL0011437832</t>
  </si>
  <si>
    <t>CEF ishares russell</t>
  </si>
  <si>
    <t>US4642876555</t>
  </si>
  <si>
    <t>Invesco QQQ  trust NAS1</t>
  </si>
  <si>
    <t>US46090E1038</t>
  </si>
  <si>
    <t>INVESCO S&amp;P 500 EQUITY</t>
  </si>
  <si>
    <t>LYXOR ETF</t>
  </si>
  <si>
    <t>213800VZW861M5FHMD50</t>
  </si>
  <si>
    <t>LYXETF S&amp;P500</t>
  </si>
  <si>
    <t>LU1135865084</t>
  </si>
  <si>
    <t>SPDR S&amp;P 500 UCITS</t>
  </si>
  <si>
    <t>IE000XZSV718</t>
  </si>
  <si>
    <t>Van Eck ETF</t>
  </si>
  <si>
    <t>549300ZLFKNTXC51ZN76</t>
  </si>
  <si>
    <t>VANECK VECTORS SEMICONDUCTOR</t>
  </si>
  <si>
    <t>US92189F6768</t>
  </si>
  <si>
    <t>MTF סל (S&amp;P 500 (4D</t>
  </si>
  <si>
    <t>IL0011503336</t>
  </si>
  <si>
    <t>הראל סל SP500</t>
  </si>
  <si>
    <t>IL0011490203</t>
  </si>
  <si>
    <t>י.ל סל S&amp;P</t>
  </si>
  <si>
    <t>IL0012016569</t>
  </si>
  <si>
    <t>קסם S&amp;P 500 (4D) ETF</t>
  </si>
  <si>
    <t>IL0011464711</t>
  </si>
  <si>
    <t>תכלית 500 PR P&amp;S</t>
  </si>
  <si>
    <t>IL0011443855</t>
  </si>
  <si>
    <t>ISH $ CORP BD $A</t>
  </si>
  <si>
    <t>IE00BYXYYJ35</t>
  </si>
  <si>
    <t>Ishares $ Short Duration Corp Bond</t>
  </si>
  <si>
    <t>IE00BYXYYP94</t>
  </si>
  <si>
    <t>קסם 500 P&amp;S PR מנוטרלת מטבע</t>
  </si>
  <si>
    <t>IL0011466047</t>
  </si>
  <si>
    <t>קסם תא 90</t>
  </si>
  <si>
    <t>IL0011463317</t>
  </si>
  <si>
    <t>AMUNDI</t>
  </si>
  <si>
    <t>2138007M6OEXDENVTF82</t>
  </si>
  <si>
    <t>AMUNDI DAX III-ETF</t>
  </si>
  <si>
    <t>LU0252633754</t>
  </si>
  <si>
    <t>FWB </t>
  </si>
  <si>
    <t>Financial sel sector spdr</t>
  </si>
  <si>
    <t>US81369Y6059</t>
  </si>
  <si>
    <t>ISH S&amp;P US BANKS</t>
  </si>
  <si>
    <t>IE00BD3V0B10</t>
  </si>
  <si>
    <t>NYSE </t>
  </si>
  <si>
    <t>ISH S&amp;P500</t>
  </si>
  <si>
    <t>IE00B4LN9N13</t>
  </si>
  <si>
    <t>Ishares DJ construction</t>
  </si>
  <si>
    <t>US4642887529</t>
  </si>
  <si>
    <t>ISHARES NASDAQ100 ETF USD</t>
  </si>
  <si>
    <t>IE00B53SZB19</t>
  </si>
  <si>
    <t>KRANESHARES</t>
  </si>
  <si>
    <t>549300VLDRC0RUX0E553</t>
  </si>
  <si>
    <t>KraneShares Csi China Internet Etf</t>
  </si>
  <si>
    <t>US5007673065</t>
  </si>
  <si>
    <t>LYX CORE EURSTX</t>
  </si>
  <si>
    <t>LU0908500753</t>
  </si>
  <si>
    <t>EURONEXT </t>
  </si>
  <si>
    <t>SPDR US TECH</t>
  </si>
  <si>
    <t>IE00BWBXM948</t>
  </si>
  <si>
    <t>VANG $CORPBD $A</t>
  </si>
  <si>
    <t>IE00BGYWFK87</t>
  </si>
  <si>
    <t>VANG FTSE EM $A</t>
  </si>
  <si>
    <t>IE00BK5BR733</t>
  </si>
  <si>
    <t>WisdomTree Europe ltd</t>
  </si>
  <si>
    <t>213800B789JS6Y4H8936</t>
  </si>
  <si>
    <t>Wisdomtree Japan</t>
  </si>
  <si>
    <t>US97717W8516</t>
  </si>
  <si>
    <t>MTF סל תא 90</t>
  </si>
  <si>
    <t>IL0011502593</t>
  </si>
  <si>
    <t>)4D( אינדקס שבבים ארה"ב Top10</t>
  </si>
  <si>
    <t>IL0012079013</t>
  </si>
  <si>
    <t>Bloomberg US Analyst Recommen(</t>
  </si>
  <si>
    <t>IL0012056573</t>
  </si>
  <si>
    <t>Indxx Top 10 US Oil Industry(</t>
  </si>
  <si>
    <t>IL0012216706</t>
  </si>
  <si>
    <t>MTF סל )00( תל בונד - צמודות A</t>
  </si>
  <si>
    <t>IL0011715948</t>
  </si>
  <si>
    <t>MTF סל )4D( אינדקס Top10 Tech</t>
  </si>
  <si>
    <t>IL0012001959</t>
  </si>
  <si>
    <t>MTF סל Nasdaq 100 (4A) מנוטרלת</t>
  </si>
  <si>
    <t>IL0011814451</t>
  </si>
  <si>
    <t>MTF סל P Israel 100 (ILS) (4A)</t>
  </si>
  <si>
    <t>IL0012127945</t>
  </si>
  <si>
    <t>MTF סל תל בונד שקלי 50</t>
  </si>
  <si>
    <t>IL0011501686</t>
  </si>
  <si>
    <t>מור סל )4A(י NASDAQ 100 מנוטרל</t>
  </si>
  <si>
    <t>IL0011658445</t>
  </si>
  <si>
    <t>ס US Top10 Pure Cyber Security</t>
  </si>
  <si>
    <t>IL0012175613</t>
  </si>
  <si>
    <t>קסם ETF תא בנקים</t>
  </si>
  <si>
    <t>IL0011464307</t>
  </si>
  <si>
    <t>קסם.NDX100ממ</t>
  </si>
  <si>
    <t>IL0011466120</t>
  </si>
  <si>
    <t>קסם.תלבונד ש 50</t>
  </si>
  <si>
    <t>IL0011507626</t>
  </si>
  <si>
    <t>תכ.תאEMS06</t>
  </si>
  <si>
    <t>IL0011450447</t>
  </si>
  <si>
    <t>תכלית סל (A‏4)י DAX מנוטרלת מטח</t>
  </si>
  <si>
    <t>IL0011438251</t>
  </si>
  <si>
    <t>תכלית סל תל בונד שקלי 50</t>
  </si>
  <si>
    <t>IL0011693335</t>
  </si>
  <si>
    <t>תכלית סל תלבונד תשו</t>
  </si>
  <si>
    <t>IL0011452591</t>
  </si>
  <si>
    <t>SPDR BLOOMBERG SASB</t>
  </si>
  <si>
    <t>IE0004TYCC17</t>
  </si>
  <si>
    <t>EUREX </t>
  </si>
  <si>
    <t>SPDR SASB US CORP</t>
  </si>
  <si>
    <t>IE00BLF7VX27</t>
  </si>
  <si>
    <t>SPDR US ENERGY</t>
  </si>
  <si>
    <t>IE00BWBXM492</t>
  </si>
  <si>
    <t>VANG FTSE EM USDA</t>
  </si>
  <si>
    <t>Ishares phlx sox semicon</t>
  </si>
  <si>
    <t>US4642875235</t>
  </si>
  <si>
    <t>Lyxor STOXX Europe 600 Basic R</t>
  </si>
  <si>
    <t>SELECT STOXX EUR</t>
  </si>
  <si>
    <t>US84858T7726</t>
  </si>
  <si>
    <t>SPDR BBG 0-3 $CP</t>
  </si>
  <si>
    <t>IE00BC7GZX26</t>
  </si>
  <si>
    <t>Spdr s&amp;p 500 etf trust</t>
  </si>
  <si>
    <t>US78462F1030</t>
  </si>
  <si>
    <t>הראל סל תא בנקים</t>
  </si>
  <si>
    <t>IL0011489494</t>
  </si>
  <si>
    <t>520018078</t>
  </si>
  <si>
    <t>לאומי</t>
  </si>
  <si>
    <t>IL0006046119</t>
  </si>
  <si>
    <t>בנק הפועלים בע"מ</t>
  </si>
  <si>
    <t>520000118</t>
  </si>
  <si>
    <t>פועלים</t>
  </si>
  <si>
    <t>IL0006625771</t>
  </si>
  <si>
    <t xml:space="preserve">אורמת טכנולגיות אינק </t>
  </si>
  <si>
    <t>5493000TSHHWY24VHM09</t>
  </si>
  <si>
    <t>אורמת טכנולוגיות</t>
  </si>
  <si>
    <t>US6866881021</t>
  </si>
  <si>
    <t>אל על נתיבי אויר לישראל בע"מ</t>
  </si>
  <si>
    <t>520017146</t>
  </si>
  <si>
    <t>אל על</t>
  </si>
  <si>
    <t>IL0010878242</t>
  </si>
  <si>
    <t>אלביט מערכות בע"מ</t>
  </si>
  <si>
    <t>520043027</t>
  </si>
  <si>
    <t>אלביט מערכות</t>
  </si>
  <si>
    <t>IL0010811243</t>
  </si>
  <si>
    <t>אלוני-חץ נכסים והשקעות בע"מ</t>
  </si>
  <si>
    <t>520038506</t>
  </si>
  <si>
    <t>אלוני חץ</t>
  </si>
  <si>
    <t>IL0003900136</t>
  </si>
  <si>
    <t>אמות השקעות בע"מ</t>
  </si>
  <si>
    <t>520026683</t>
  </si>
  <si>
    <t>אמות</t>
  </si>
  <si>
    <t>IL0010972789</t>
  </si>
  <si>
    <t>אנלייט אנרגיה מתחדשת בע"מ</t>
  </si>
  <si>
    <t>520041146</t>
  </si>
  <si>
    <t>אנלייט אנרגיה</t>
  </si>
  <si>
    <t>IL0007200111</t>
  </si>
  <si>
    <t>אנרג'יקס אנרגיות מתחדשות בע"מ</t>
  </si>
  <si>
    <t>513901371</t>
  </si>
  <si>
    <t>אנרג'יקס</t>
  </si>
  <si>
    <t>IL0011233553</t>
  </si>
  <si>
    <t>בזק החברה הישראלית לתקשורת בע"מ</t>
  </si>
  <si>
    <t>520031931</t>
  </si>
  <si>
    <t>בזק</t>
  </si>
  <si>
    <t>IL0002300114</t>
  </si>
  <si>
    <t>דוניץ</t>
  </si>
  <si>
    <t>בנק דיסקונט לישראל בע"מ</t>
  </si>
  <si>
    <t>520007030</t>
  </si>
  <si>
    <t>דיסקונט</t>
  </si>
  <si>
    <t>IL0006912120</t>
  </si>
  <si>
    <t>י.ח.דמרי בניה ופיתוח בע"מ</t>
  </si>
  <si>
    <t>511399388</t>
  </si>
  <si>
    <t>דמרי</t>
  </si>
  <si>
    <t>IL0010903156</t>
  </si>
  <si>
    <t>הפניקס אחזקות בע"מ</t>
  </si>
  <si>
    <t>520017450</t>
  </si>
  <si>
    <t>הפניקס</t>
  </si>
  <si>
    <t>IL0007670123</t>
  </si>
  <si>
    <t>טבע תעשיות פרמצבטיות בע"מ</t>
  </si>
  <si>
    <t>520013954</t>
  </si>
  <si>
    <t>טבע</t>
  </si>
  <si>
    <t>IL0006290147</t>
  </si>
  <si>
    <t>ישראל קנדה (ט.ר) בעמ</t>
  </si>
  <si>
    <t>520039298</t>
  </si>
  <si>
    <t>ישראל קנדה</t>
  </si>
  <si>
    <t>IL0004340191</t>
  </si>
  <si>
    <t>כלל החזקות עסקי ביטוח בע"מ</t>
  </si>
  <si>
    <t>520036120</t>
  </si>
  <si>
    <t>כלל ביטוח</t>
  </si>
  <si>
    <t>IL0002240146</t>
  </si>
  <si>
    <t>בנק מזרחי טפחות בע"מ</t>
  </si>
  <si>
    <t>520000522</t>
  </si>
  <si>
    <t>מזרחי טפחות</t>
  </si>
  <si>
    <t>IL0006954379</t>
  </si>
  <si>
    <t>מליסרון בע"מ</t>
  </si>
  <si>
    <t>520037789</t>
  </si>
  <si>
    <t>מליסרון</t>
  </si>
  <si>
    <t>IL0003230146</t>
  </si>
  <si>
    <t>מנורה מבטחים החזקות בע"מ</t>
  </si>
  <si>
    <t>520007469</t>
  </si>
  <si>
    <t>מנורה מבטחים החזקות</t>
  </si>
  <si>
    <t>IL0005660183</t>
  </si>
  <si>
    <t>נאוויטס פטרוליום, שותפות מוגבלת</t>
  </si>
  <si>
    <t>550263107</t>
  </si>
  <si>
    <t>נאוויטס פט יהש</t>
  </si>
  <si>
    <t>IL0011419699</t>
  </si>
  <si>
    <t>נובה  בע"מ</t>
  </si>
  <si>
    <t>511812463</t>
  </si>
  <si>
    <t>נובה</t>
  </si>
  <si>
    <t>IL0010845571</t>
  </si>
  <si>
    <t>ניו-מד אנרג'י- שותפות מוגבלת</t>
  </si>
  <si>
    <t>550013098</t>
  </si>
  <si>
    <t>ניו-מד אנרג'י יהש</t>
  </si>
  <si>
    <t>IL0004750209</t>
  </si>
  <si>
    <t>נייס מערכות בע"מ</t>
  </si>
  <si>
    <t>520036872</t>
  </si>
  <si>
    <t>נייס</t>
  </si>
  <si>
    <t>IL0002730112</t>
  </si>
  <si>
    <t>נקסט ויז'ן</t>
  </si>
  <si>
    <t>514259019</t>
  </si>
  <si>
    <t>IL0011765935</t>
  </si>
  <si>
    <t>קבוצת עזריאלי בע"מ (לשעבר קנית מימון)</t>
  </si>
  <si>
    <t>510960719</t>
  </si>
  <si>
    <t>עזריאלי קבוצה</t>
  </si>
  <si>
    <t>IL0011194789</t>
  </si>
  <si>
    <t>פוקס-ויזל בע"מ</t>
  </si>
  <si>
    <t>512157603</t>
  </si>
  <si>
    <t>פוקס- ויזל</t>
  </si>
  <si>
    <t>IL0010870223</t>
  </si>
  <si>
    <t>פורמולה מערכות (1985)בע"מ</t>
  </si>
  <si>
    <t>520036690</t>
  </si>
  <si>
    <t>פורמולה מערכות</t>
  </si>
  <si>
    <t>IL0002560162</t>
  </si>
  <si>
    <t>קבוצת אקרשטיין בע"מ</t>
  </si>
  <si>
    <t>512714494</t>
  </si>
  <si>
    <t>קבוצת אקרשטיין</t>
  </si>
  <si>
    <t>IL0011762056</t>
  </si>
  <si>
    <t>קמטק בע"מ</t>
  </si>
  <si>
    <t>511235434</t>
  </si>
  <si>
    <t>קמטק</t>
  </si>
  <si>
    <t>IL0010952641</t>
  </si>
  <si>
    <t>רציו חיפושי נפט (1992) - שותפות מוגבלת</t>
  </si>
  <si>
    <t>550012777</t>
  </si>
  <si>
    <t>רציו יהש</t>
  </si>
  <si>
    <t>IL0003940157</t>
  </si>
  <si>
    <t>שופר-סל בע"מ</t>
  </si>
  <si>
    <t>520022732</t>
  </si>
  <si>
    <t>שופרסל</t>
  </si>
  <si>
    <t>IL0007770378</t>
  </si>
  <si>
    <t>Advanced Micro Devices inc</t>
  </si>
  <si>
    <t>R2I72C950HOYXII45366</t>
  </si>
  <si>
    <t>Advanced Micro Devices</t>
  </si>
  <si>
    <t>US0079031078</t>
  </si>
  <si>
    <t>ALPHABET INC</t>
  </si>
  <si>
    <t>5493006MHB84DD0ZWV18</t>
  </si>
  <si>
    <t>ALPHABET  INC  CL C ׂ</t>
  </si>
  <si>
    <t>US02079K1079</t>
  </si>
  <si>
    <t>amazon.com</t>
  </si>
  <si>
    <t>ZXTILKJKG63JELOEG630</t>
  </si>
  <si>
    <t>Amazon inc</t>
  </si>
  <si>
    <t>US0231351067</t>
  </si>
  <si>
    <t>ASML HOLDING NV-NY</t>
  </si>
  <si>
    <t>724500Y6DUVHQD6OXN27</t>
  </si>
  <si>
    <t>asml holding nv-ny</t>
  </si>
  <si>
    <t>USN070592100</t>
  </si>
  <si>
    <t>Broadcom Inc</t>
  </si>
  <si>
    <t>549300WV6GIDOZJTV909</t>
  </si>
  <si>
    <t>BROADCOM INC</t>
  </si>
  <si>
    <t>US11135F1012</t>
  </si>
  <si>
    <t>JP MORGAN ASSET MANAGEMENT</t>
  </si>
  <si>
    <t>8I5DZWZKVSZI1NUHU748</t>
  </si>
  <si>
    <t>JPmorgan Chase</t>
  </si>
  <si>
    <t>US46625H1005</t>
  </si>
  <si>
    <t>MASTERCARD INC</t>
  </si>
  <si>
    <t>AR5L2ODV9HN37376R084</t>
  </si>
  <si>
    <t>Mastercard inc-cla</t>
  </si>
  <si>
    <t>US57636Q1040</t>
  </si>
  <si>
    <t>Diversified Financial Services Financial Services</t>
  </si>
  <si>
    <t>MICROSOFT CORP</t>
  </si>
  <si>
    <t>INR2EJN1ERAN0W5ZP974</t>
  </si>
  <si>
    <t>Microsoft corp</t>
  </si>
  <si>
    <t>US5949181045</t>
  </si>
  <si>
    <t>Nice Sys Adr</t>
  </si>
  <si>
    <t>US6536561086</t>
  </si>
  <si>
    <t>NVIDIA CORP</t>
  </si>
  <si>
    <t>549300S4KLFTLO7GSQ80</t>
  </si>
  <si>
    <t>Nvidia crop</t>
  </si>
  <si>
    <t>US67066G1040</t>
  </si>
  <si>
    <t>Ormat Technologies</t>
  </si>
  <si>
    <t>TAIWAN Semiconductor</t>
  </si>
  <si>
    <t>549300KB6NK5SBD14S87</t>
  </si>
  <si>
    <t>Taiwan Semiconductor Adr</t>
  </si>
  <si>
    <t>US8740391003</t>
  </si>
  <si>
    <t>טיוואן</t>
  </si>
  <si>
    <t>טרמינל איקס אונליין בע"מ</t>
  </si>
  <si>
    <t>515722536</t>
  </si>
  <si>
    <t>טרמינל איקס אונליין בעמ</t>
  </si>
  <si>
    <t>IL0011787145</t>
  </si>
  <si>
    <t>י.ד. מור השקעות בע"מ</t>
  </si>
  <si>
    <t>513834606</t>
  </si>
  <si>
    <t>מור השקעות</t>
  </si>
  <si>
    <t>IL0011414641</t>
  </si>
  <si>
    <t>מניבים קרן הריט החדשה בע"מ</t>
  </si>
  <si>
    <t>515327120</t>
  </si>
  <si>
    <t>מניבים ריט</t>
  </si>
  <si>
    <t>IL0011405730</t>
  </si>
  <si>
    <t>אאורה השקעות בע"מ</t>
  </si>
  <si>
    <t>520038274</t>
  </si>
  <si>
    <t>אאורה</t>
  </si>
  <si>
    <t>IL0003730194</t>
  </si>
  <si>
    <t>אב-גד החזקות בע"מ</t>
  </si>
  <si>
    <t>514091685</t>
  </si>
  <si>
    <t>אב-גד</t>
  </si>
  <si>
    <t>IL0011718181</t>
  </si>
  <si>
    <t>אטראו שוקי הון בע"מ לשעבר לידר</t>
  </si>
  <si>
    <t>513773564</t>
  </si>
  <si>
    <t>אטראו שוקי הון</t>
  </si>
  <si>
    <t>IL0010961063</t>
  </si>
  <si>
    <t>אלקטרה מוצרי צריכה בע"מ</t>
  </si>
  <si>
    <t>520039967</t>
  </si>
  <si>
    <t>אלקטרה צריכה</t>
  </si>
  <si>
    <t>IL0050101299</t>
  </si>
  <si>
    <t>ארגו פרופרטיז אן. וי</t>
  </si>
  <si>
    <t>70252750</t>
  </si>
  <si>
    <t>NL0015000D84</t>
  </si>
  <si>
    <t>ארית תעשיות בע"מ</t>
  </si>
  <si>
    <t>520033358</t>
  </si>
  <si>
    <t>ארית</t>
  </si>
  <si>
    <t>IL0005870147</t>
  </si>
  <si>
    <t>קבוצת אשטרום</t>
  </si>
  <si>
    <t>510381601</t>
  </si>
  <si>
    <t>אשטרום קבוצה</t>
  </si>
  <si>
    <t>IL0011323156</t>
  </si>
  <si>
    <t>ביג מרכזי קניות (2004) בע"מ</t>
  </si>
  <si>
    <t>513623314</t>
  </si>
  <si>
    <t>ביג</t>
  </si>
  <si>
    <t>IL0010972607</t>
  </si>
  <si>
    <t>הבנק הבינלאומי הראשון לישראל בע"מ</t>
  </si>
  <si>
    <t>520029083</t>
  </si>
  <si>
    <t>בינלאומי 5</t>
  </si>
  <si>
    <t>IL0005930388</t>
  </si>
  <si>
    <t>מנועי בית שמש אחזקות (1997) בע"מ</t>
  </si>
  <si>
    <t>520043480</t>
  </si>
  <si>
    <t>בית שמש</t>
  </si>
  <si>
    <t>IL0010815616</t>
  </si>
  <si>
    <t>ג'נריישן קפיטל בע"מ</t>
  </si>
  <si>
    <t>515846558</t>
  </si>
  <si>
    <t>ג'נריישן קפיטל</t>
  </si>
  <si>
    <t>IL0011569261</t>
  </si>
  <si>
    <t>הבורסה לניירות ערך בתל-אביב בע"מ</t>
  </si>
  <si>
    <t>520020033</t>
  </si>
  <si>
    <t>הבורסה לניע בתא</t>
  </si>
  <si>
    <t>IL0011590291</t>
  </si>
  <si>
    <t>הראל השקעות בביטוח ושרותים פיננסים בע"מ</t>
  </si>
  <si>
    <t>520033986</t>
  </si>
  <si>
    <t>הראל השקעות</t>
  </si>
  <si>
    <t>IL0005850180</t>
  </si>
  <si>
    <t>וואן טכנולוגיות תוכנה(או.אס.טי)בע"מ</t>
  </si>
  <si>
    <t>520034695</t>
  </si>
  <si>
    <t>וואן טכנולוגיות תוכנה</t>
  </si>
  <si>
    <t>IL0001610182</t>
  </si>
  <si>
    <t>טאואר סמיקונדקטור בע"מ</t>
  </si>
  <si>
    <t>520041997</t>
  </si>
  <si>
    <t>טאואר</t>
  </si>
  <si>
    <t>IL0010823792</t>
  </si>
  <si>
    <t>ישרס חברה להשקעות בע"מ</t>
  </si>
  <si>
    <t>520017807</t>
  </si>
  <si>
    <t>ישרס</t>
  </si>
  <si>
    <t>IL0006130343</t>
  </si>
  <si>
    <t>יוחננוף</t>
  </si>
  <si>
    <t>511344186</t>
  </si>
  <si>
    <t>מ. יוחננוף</t>
  </si>
  <si>
    <t>IL0011612640</t>
  </si>
  <si>
    <t>מבנה נדל"ן (כ.ד)  בע"מ</t>
  </si>
  <si>
    <t>520024126</t>
  </si>
  <si>
    <t>מבנה</t>
  </si>
  <si>
    <t>IL0002260193</t>
  </si>
  <si>
    <t>מגדל אחזקות ביטוח ופיננסים בע"מ</t>
  </si>
  <si>
    <t>520029984</t>
  </si>
  <si>
    <t>מגדל ביטוח</t>
  </si>
  <si>
    <t>IL0010811656</t>
  </si>
  <si>
    <t>514956465</t>
  </si>
  <si>
    <t>מור גמל ופנסיה</t>
  </si>
  <si>
    <t>IL0011843815</t>
  </si>
  <si>
    <t>פריורטק בע"מ</t>
  </si>
  <si>
    <t>520037797</t>
  </si>
  <si>
    <t>פריורטק</t>
  </si>
  <si>
    <t>IL0003280133</t>
  </si>
  <si>
    <t>פתאל החזקות 1998 בע"מ</t>
  </si>
  <si>
    <t>512607888</t>
  </si>
  <si>
    <t>פתאל החזקות</t>
  </si>
  <si>
    <t>IL0011434292</t>
  </si>
  <si>
    <t>צבי צרפתי השקעות ובנין (1992) בע"מ</t>
  </si>
  <si>
    <t>520039090</t>
  </si>
  <si>
    <t>צרפתי</t>
  </si>
  <si>
    <t>IL0004250176</t>
  </si>
  <si>
    <t>קווליטאו בע"מ</t>
  </si>
  <si>
    <t>511896540</t>
  </si>
  <si>
    <t>קווליטאו</t>
  </si>
  <si>
    <t>IL0010839558</t>
  </si>
  <si>
    <t>קליל תעשיות בע"מ</t>
  </si>
  <si>
    <t>520032442</t>
  </si>
  <si>
    <t>קליל</t>
  </si>
  <si>
    <t>IL0007970358</t>
  </si>
  <si>
    <t>קרסו מוטורס בע"מ</t>
  </si>
  <si>
    <t>514065283</t>
  </si>
  <si>
    <t>קרסו מוטורס</t>
  </si>
  <si>
    <t>IL0011238503</t>
  </si>
  <si>
    <t>רוטשטיין נדל"ן  בע"מ</t>
  </si>
  <si>
    <t>520039959</t>
  </si>
  <si>
    <t>רוטשטיין</t>
  </si>
  <si>
    <t>IL0005390153</t>
  </si>
  <si>
    <t>Camtek Ltd</t>
  </si>
  <si>
    <t>COSTCO WHOLESAL</t>
  </si>
  <si>
    <t>29DX7H14B9S6O3FD6V18</t>
  </si>
  <si>
    <t>COSTCO WHOLESALE CORP</t>
  </si>
  <si>
    <t>US22160K1051</t>
  </si>
  <si>
    <t>Food &amp; Staples Retailing Consumer Staples Distribution &amp; Retail</t>
  </si>
  <si>
    <t>JD.com Inc</t>
  </si>
  <si>
    <t>549300HVTWB0GJZ16V92</t>
  </si>
  <si>
    <t>JD.COM INC-CL A</t>
  </si>
  <si>
    <t>KYG8208B1014</t>
  </si>
  <si>
    <t>Nova measuring inst</t>
  </si>
  <si>
    <t>Samsung Electronics co ltd</t>
  </si>
  <si>
    <t>9884007ER46L6N7EI764</t>
  </si>
  <si>
    <t>Samsung electronics</t>
  </si>
  <si>
    <t>US7960508882</t>
  </si>
  <si>
    <t>TESLA MOTORS INC</t>
  </si>
  <si>
    <t>54930043XZGB27CTOV49</t>
  </si>
  <si>
    <t>US88160R1014</t>
  </si>
  <si>
    <t>VISA  Inc - CLASS  A</t>
  </si>
  <si>
    <t>549300JZ4OKEHW3DPJ59</t>
  </si>
  <si>
    <t>VISA inc-class a</t>
  </si>
  <si>
    <t>US92826C8394</t>
  </si>
  <si>
    <t>ALPHABET INC-A</t>
  </si>
  <si>
    <t>US02079K3059</t>
  </si>
  <si>
    <t>APPLE COMPUTER INC</t>
  </si>
  <si>
    <t>HWUPKR0MPOU8FGXBT394</t>
  </si>
  <si>
    <t>Apple computer inc</t>
  </si>
  <si>
    <t>US0378331005</t>
  </si>
  <si>
    <t>Bank of America</t>
  </si>
  <si>
    <t>254900ARY41P4V1JL861</t>
  </si>
  <si>
    <t>BANK OF AMERICA</t>
  </si>
  <si>
    <t>US0605051046</t>
  </si>
  <si>
    <t>Meta Platforms Inc</t>
  </si>
  <si>
    <t>BQ4BKCS1HXDV9HN80Z93</t>
  </si>
  <si>
    <t>Meta Platforms, Inc</t>
  </si>
  <si>
    <t>US30303M1027</t>
  </si>
  <si>
    <t>Palo alto networks inc</t>
  </si>
  <si>
    <t>549300QXR2YVZV231H43</t>
  </si>
  <si>
    <t>Palo alto networks</t>
  </si>
  <si>
    <t>US6974351057</t>
  </si>
  <si>
    <t>PPHE HOTEL GROUP LTD</t>
  </si>
  <si>
    <t>2138003H1BZGR6KM5823</t>
  </si>
  <si>
    <t>PARK PLAZA HOTELS</t>
  </si>
  <si>
    <t>GG00B1Z5FH87</t>
  </si>
  <si>
    <t>SHL TELEMEDICINE LTD</t>
  </si>
  <si>
    <t>512527383</t>
  </si>
  <si>
    <t>SHL Telemedicine Ltd</t>
  </si>
  <si>
    <t>IL0010855885</t>
  </si>
  <si>
    <t>Teva Pharm</t>
  </si>
  <si>
    <t>US8816242098</t>
  </si>
  <si>
    <t>Tower semiconductor</t>
  </si>
  <si>
    <t>Vbare Iberian Properties SOCIM</t>
  </si>
  <si>
    <t>959800X1MGWGZZW5ZS47</t>
  </si>
  <si>
    <t>VBARE IBERIAN PR</t>
  </si>
  <si>
    <t>ES0105196002</t>
  </si>
  <si>
    <t xml:space="preserve">קבוצת חג'ג' ייזום נדל"ן בע"מ </t>
  </si>
  <si>
    <t>520033309</t>
  </si>
  <si>
    <t>חג'ג' נדלן</t>
  </si>
  <si>
    <t>IL0008230133</t>
  </si>
  <si>
    <t>איירפורט סיטי בע"מ</t>
  </si>
  <si>
    <t>511659401</t>
  </si>
  <si>
    <t>איירפורט אגח ה</t>
  </si>
  <si>
    <t>IL0011334872</t>
  </si>
  <si>
    <t>AA</t>
  </si>
  <si>
    <t>28/02/2029</t>
  </si>
  <si>
    <t>איירפורט אגח י</t>
  </si>
  <si>
    <t>IL0011959819</t>
  </si>
  <si>
    <t>30/04/2029</t>
  </si>
  <si>
    <t>אלבר שירותי מימונית בע"מ</t>
  </si>
  <si>
    <t>512025891</t>
  </si>
  <si>
    <t>אלבר אגח כ</t>
  </si>
  <si>
    <t>IL0011918328</t>
  </si>
  <si>
    <t>A+</t>
  </si>
  <si>
    <t>20/06/2028</t>
  </si>
  <si>
    <t>אלוני חץ אגח טו</t>
  </si>
  <si>
    <t>IL0011894149</t>
  </si>
  <si>
    <t>AA-</t>
  </si>
  <si>
    <t>01/03/2037</t>
  </si>
  <si>
    <t>אלוני חץ אגח יב</t>
  </si>
  <si>
    <t>IL0039004952</t>
  </si>
  <si>
    <t>28/02/2031</t>
  </si>
  <si>
    <t>אלקטרה בע"מ</t>
  </si>
  <si>
    <t>520028911</t>
  </si>
  <si>
    <t>אלקטרה אגח ה</t>
  </si>
  <si>
    <t>IL0073902228</t>
  </si>
  <si>
    <t>10/01/2031</t>
  </si>
  <si>
    <t>אמות אגח ו</t>
  </si>
  <si>
    <t>IL0011586091</t>
  </si>
  <si>
    <t>03/10/2029</t>
  </si>
  <si>
    <t>אמות אגח ז</t>
  </si>
  <si>
    <t>IL0011628661</t>
  </si>
  <si>
    <t>05/01/2032</t>
  </si>
  <si>
    <t>אמות אגח ח</t>
  </si>
  <si>
    <t>IL0011727828</t>
  </si>
  <si>
    <t>אנלייט אנר אגח ו</t>
  </si>
  <si>
    <t>IL0072001733</t>
  </si>
  <si>
    <t>A2</t>
  </si>
  <si>
    <t>01/09/2026</t>
  </si>
  <si>
    <t>אנלייט אנרגיה אגח ד</t>
  </si>
  <si>
    <t>IL0072002566</t>
  </si>
  <si>
    <t>02/09/2029</t>
  </si>
  <si>
    <t>ארפורט אגח ט</t>
  </si>
  <si>
    <t>IL0011609448</t>
  </si>
  <si>
    <t>30/08/2035</t>
  </si>
  <si>
    <t>ביג אגח טו</t>
  </si>
  <si>
    <t>IL0011622219</t>
  </si>
  <si>
    <t>Aa3</t>
  </si>
  <si>
    <t>31/01/2030</t>
  </si>
  <si>
    <t>ביג אגח כ</t>
  </si>
  <si>
    <t>IL0011861882</t>
  </si>
  <si>
    <t>01/05/2033</t>
  </si>
  <si>
    <t>פז בית זיקוק לנפט-אשדוד בע"מ</t>
  </si>
  <si>
    <t>513775163</t>
  </si>
  <si>
    <t>בית זיקוק אשדוד אגח 2</t>
  </si>
  <si>
    <t>IL0011994881</t>
  </si>
  <si>
    <t>A3</t>
  </si>
  <si>
    <t>ג'י סיטי בע"מ</t>
  </si>
  <si>
    <t>520033234</t>
  </si>
  <si>
    <t>ג'י סיטי  אגח יג</t>
  </si>
  <si>
    <t>IL0012606526</t>
  </si>
  <si>
    <t>A-</t>
  </si>
  <si>
    <t>30/06/2028</t>
  </si>
  <si>
    <t>דיסקונט מנפיקים בע"מ</t>
  </si>
  <si>
    <t>520029935</t>
  </si>
  <si>
    <t>דיסק מנ אגח טו</t>
  </si>
  <si>
    <t>IL0074803045</t>
  </si>
  <si>
    <t>15/08/2032</t>
  </si>
  <si>
    <t>דיסקונט אגח יד</t>
  </si>
  <si>
    <t>IL0074801635</t>
  </si>
  <si>
    <t>05/12/2030</t>
  </si>
  <si>
    <t>דיסקונט מנ נד י</t>
  </si>
  <si>
    <t>IL0012110693</t>
  </si>
  <si>
    <t>30/11/2030</t>
  </si>
  <si>
    <t>חברת הכשרת הישוב בישראל בע"מ</t>
  </si>
  <si>
    <t>520020116</t>
  </si>
  <si>
    <t>הכשרת הישוב אגח 25</t>
  </si>
  <si>
    <t>IL0011915274</t>
  </si>
  <si>
    <t>A</t>
  </si>
  <si>
    <t>31/12/2029</t>
  </si>
  <si>
    <t>הכשרת ישוב אגח 21</t>
  </si>
  <si>
    <t>IL0061202243</t>
  </si>
  <si>
    <t>31/12/2027</t>
  </si>
  <si>
    <t>הפניקס אגח 5</t>
  </si>
  <si>
    <t>IL0076702849</t>
  </si>
  <si>
    <t>01/05/2030</t>
  </si>
  <si>
    <t>הראל השקעות אגח א</t>
  </si>
  <si>
    <t>IL0058501102</t>
  </si>
  <si>
    <t>31/12/2035</t>
  </si>
  <si>
    <t>החברה לישראל בע"מ</t>
  </si>
  <si>
    <t>520028010</t>
  </si>
  <si>
    <t>חברה לישראל אגח 14</t>
  </si>
  <si>
    <t>IL0057603016</t>
  </si>
  <si>
    <t>חג'ג' אגח יד 01/01/2028</t>
  </si>
  <si>
    <t>IL0012066069</t>
  </si>
  <si>
    <t>01/01/2028</t>
  </si>
  <si>
    <t>חברת החשמל לישראל בע"מ</t>
  </si>
  <si>
    <t>520000472</t>
  </si>
  <si>
    <t>חשמל     אגח 29</t>
  </si>
  <si>
    <t>IL0060002362</t>
  </si>
  <si>
    <t>01/03/2026</t>
  </si>
  <si>
    <t>חשמל אגח 27</t>
  </si>
  <si>
    <t>IL0060002107</t>
  </si>
  <si>
    <t>12/04/2029</t>
  </si>
  <si>
    <t>חשמל אגח 31</t>
  </si>
  <si>
    <t>IL0060002859</t>
  </si>
  <si>
    <t>21/09/2031</t>
  </si>
  <si>
    <t>חשמל אגח 34</t>
  </si>
  <si>
    <t>IL0011967812</t>
  </si>
  <si>
    <t>12/06/2033</t>
  </si>
  <si>
    <t>יוניברסל מוטורס  ישראל בע"מ</t>
  </si>
  <si>
    <t>511809071</t>
  </si>
  <si>
    <t>יוניברסל  אגח ג</t>
  </si>
  <si>
    <t>IL0011606709</t>
  </si>
  <si>
    <t>10/08/2027</t>
  </si>
  <si>
    <t>יוניברסל אגח ד</t>
  </si>
  <si>
    <t>IL0011722530</t>
  </si>
  <si>
    <t>11/02/2029</t>
  </si>
  <si>
    <t>ישרס אגח טו</t>
  </si>
  <si>
    <t>IL0061302076</t>
  </si>
  <si>
    <t>16/05/2027</t>
  </si>
  <si>
    <t>ישרס אגח יח</t>
  </si>
  <si>
    <t>IL0061302803</t>
  </si>
  <si>
    <t>10/04/2030</t>
  </si>
  <si>
    <t>כללביט מימון בע"מ</t>
  </si>
  <si>
    <t>513754069</t>
  </si>
  <si>
    <t>כלל מימון אגח יב</t>
  </si>
  <si>
    <t>IL0011799280</t>
  </si>
  <si>
    <t>31/03/2032</t>
  </si>
  <si>
    <t>לאומי אגח  185</t>
  </si>
  <si>
    <t>IL0012018219</t>
  </si>
  <si>
    <t>31/08/2029</t>
  </si>
  <si>
    <t>לאומי אגח 179</t>
  </si>
  <si>
    <t>IL0060403727</t>
  </si>
  <si>
    <t>30/06/2026</t>
  </si>
  <si>
    <t>לאומי אגח 182</t>
  </si>
  <si>
    <t>IL0060405391</t>
  </si>
  <si>
    <t>25/11/2027</t>
  </si>
  <si>
    <t>לאומי אגח 184</t>
  </si>
  <si>
    <t>IL0060406043</t>
  </si>
  <si>
    <t>05/05/2030</t>
  </si>
  <si>
    <t>לאומי אגח 186</t>
  </si>
  <si>
    <t>IL0012018391</t>
  </si>
  <si>
    <t>30/11/2033</t>
  </si>
  <si>
    <t>לאומי אגח סד 183</t>
  </si>
  <si>
    <t>IL0060405474</t>
  </si>
  <si>
    <t>25/11/2029</t>
  </si>
  <si>
    <t>לאומי התח נדח' סד' 406</t>
  </si>
  <si>
    <t>IL0012164237</t>
  </si>
  <si>
    <t>28/02/2036</t>
  </si>
  <si>
    <t>מבני תעשיה  אגח כ</t>
  </si>
  <si>
    <t>IL0022604958</t>
  </si>
  <si>
    <t>מגדל ביטוח גיוס הון בע"מ</t>
  </si>
  <si>
    <t>513230029</t>
  </si>
  <si>
    <t>מגדל הון אגח ז</t>
  </si>
  <si>
    <t>IL0011560419</t>
  </si>
  <si>
    <t>A1</t>
  </si>
  <si>
    <t>31/12/2026</t>
  </si>
  <si>
    <t>מגה אור החזקות בע"מ</t>
  </si>
  <si>
    <t>513257873</t>
  </si>
  <si>
    <t>מגה אור אגח ז</t>
  </si>
  <si>
    <t>IL0011416968</t>
  </si>
  <si>
    <t>30/08/2027</t>
  </si>
  <si>
    <t>מזרחי טפחות חברה להנפקות בע"מ</t>
  </si>
  <si>
    <t>520032046</t>
  </si>
  <si>
    <t>מז טפ הנ אגח 62</t>
  </si>
  <si>
    <t>IL0023104982</t>
  </si>
  <si>
    <t>22/10/2028</t>
  </si>
  <si>
    <t>מז טפ הנ אגח 63</t>
  </si>
  <si>
    <t>IL0023105484</t>
  </si>
  <si>
    <t>13/04/2031</t>
  </si>
  <si>
    <t>מז טפ הנפ אגח61</t>
  </si>
  <si>
    <t>IL0023104644</t>
  </si>
  <si>
    <t>Aaa</t>
  </si>
  <si>
    <t>04/12/2026</t>
  </si>
  <si>
    <t>מז טפ הנפק 52</t>
  </si>
  <si>
    <t>IL0023103810</t>
  </si>
  <si>
    <t>01/07/2030</t>
  </si>
  <si>
    <t>מזרחי טפחות הנפק 49</t>
  </si>
  <si>
    <t>IL0023102820</t>
  </si>
  <si>
    <t>23/06/2026</t>
  </si>
  <si>
    <t>מזרחי טפחות הנפק אגח 64</t>
  </si>
  <si>
    <t>IL0023105559</t>
  </si>
  <si>
    <t xml:space="preserve">מימון ישיר מקבוצת ישיר 2006 בע"מ </t>
  </si>
  <si>
    <t>513893123</t>
  </si>
  <si>
    <t>מימון ישיר אגח ה</t>
  </si>
  <si>
    <t>IL0011828311</t>
  </si>
  <si>
    <t>31/07/2031</t>
  </si>
  <si>
    <t>מימון ישיר אגח ו</t>
  </si>
  <si>
    <t>IL0011916595</t>
  </si>
  <si>
    <t>מליסרון  אגח יט</t>
  </si>
  <si>
    <t>IL0032303989</t>
  </si>
  <si>
    <t>01/07/2029</t>
  </si>
  <si>
    <t>מליסרון אגח יד</t>
  </si>
  <si>
    <t>IL0032302320</t>
  </si>
  <si>
    <t>27/04/2026</t>
  </si>
  <si>
    <t>מליסרון אגח יז</t>
  </si>
  <si>
    <t>IL0032302734</t>
  </si>
  <si>
    <t>01/01/2032</t>
  </si>
  <si>
    <t>מליסרון אגח כ</t>
  </si>
  <si>
    <t>IL0032304227</t>
  </si>
  <si>
    <t>מנורה מבטחים גיוס הון בע"מ</t>
  </si>
  <si>
    <t>513937714</t>
  </si>
  <si>
    <t>מנורה הון אגח ז</t>
  </si>
  <si>
    <t>IL0011841918</t>
  </si>
  <si>
    <t>31/12/2030</t>
  </si>
  <si>
    <t>עזריאלי אגח ד</t>
  </si>
  <si>
    <t>IL0011386500</t>
  </si>
  <si>
    <t>05/07/2030</t>
  </si>
  <si>
    <t>עזריאלי אגח ה</t>
  </si>
  <si>
    <t>IL0011566036</t>
  </si>
  <si>
    <t>Aa1</t>
  </si>
  <si>
    <t>עזריאלי אגח ז</t>
  </si>
  <si>
    <t>IL0011786725</t>
  </si>
  <si>
    <t>02/07/2036</t>
  </si>
  <si>
    <t>פועלים אגח 100</t>
  </si>
  <si>
    <t>IL0066204889</t>
  </si>
  <si>
    <t>09/12/2031</t>
  </si>
  <si>
    <t>פועלים אגח 200</t>
  </si>
  <si>
    <t>IL0066204962</t>
  </si>
  <si>
    <t>פועלים אגח 201</t>
  </si>
  <si>
    <t>IL0011913451</t>
  </si>
  <si>
    <t>29/11/2032</t>
  </si>
  <si>
    <t>פועלים אגח 202</t>
  </si>
  <si>
    <t>IL0011998502</t>
  </si>
  <si>
    <t>30/04/2028</t>
  </si>
  <si>
    <t>פועלים אגח 203</t>
  </si>
  <si>
    <t>IL0011998684</t>
  </si>
  <si>
    <t>02/12/2030</t>
  </si>
  <si>
    <t>פועלים התח נד יב</t>
  </si>
  <si>
    <t>IL0012141219</t>
  </si>
  <si>
    <t>28/11/2032</t>
  </si>
  <si>
    <t>פורמולה אג"ח ג</t>
  </si>
  <si>
    <t>IL0025602090</t>
  </si>
  <si>
    <t>01/12/2026</t>
  </si>
  <si>
    <t>פז חברת הנפט בע"מ</t>
  </si>
  <si>
    <t>510216054</t>
  </si>
  <si>
    <t>פז נפט  ו</t>
  </si>
  <si>
    <t>IL0011395428</t>
  </si>
  <si>
    <t>30/11/2028</t>
  </si>
  <si>
    <t>קרסו מוטורס אגח ד</t>
  </si>
  <si>
    <t>IL0011735664</t>
  </si>
  <si>
    <t>01/10/2028</t>
  </si>
  <si>
    <t>ריט 1 בע"מ</t>
  </si>
  <si>
    <t>513821488</t>
  </si>
  <si>
    <t>ריט 1 אגח ז</t>
  </si>
  <si>
    <t>IL0011712713</t>
  </si>
  <si>
    <t>20/09/2034</t>
  </si>
  <si>
    <t>שיכון ובינוי אנרגיה בע"מ</t>
  </si>
  <si>
    <t>510459928</t>
  </si>
  <si>
    <t>שיכון ובינוי אנרגיה אגח א'</t>
  </si>
  <si>
    <t>IL0011985715</t>
  </si>
  <si>
    <t>30/06/2034</t>
  </si>
  <si>
    <t>ש.שלמה החזקות בע"מ</t>
  </si>
  <si>
    <t>520034372</t>
  </si>
  <si>
    <t>שלמה החז אגח כ</t>
  </si>
  <si>
    <t>IL0011927493</t>
  </si>
  <si>
    <t>21/12/2031</t>
  </si>
  <si>
    <t>תמר פטרוליום בעמ</t>
  </si>
  <si>
    <t>515334662</t>
  </si>
  <si>
    <t>תמר פטרו אגח ב</t>
  </si>
  <si>
    <t>IL0011435935</t>
  </si>
  <si>
    <t>30/08/2028</t>
  </si>
  <si>
    <t>LUMIIT 3.275 01/29/3</t>
  </si>
  <si>
    <t>IL0060404899</t>
  </si>
  <si>
    <t>BBB-</t>
  </si>
  <si>
    <t>29/01/2031</t>
  </si>
  <si>
    <t>MZRHIT 3.077 04/07/3</t>
  </si>
  <si>
    <t>IL0069508369</t>
  </si>
  <si>
    <t>07/04/2031</t>
  </si>
  <si>
    <t>אלבר אגח יט</t>
  </si>
  <si>
    <t>IL0011918245</t>
  </si>
  <si>
    <t>15/05/2028</t>
  </si>
  <si>
    <t>אלדן תחבורה בע"מ</t>
  </si>
  <si>
    <t>510454333</t>
  </si>
  <si>
    <t>אלדן תחבורה אגח ח</t>
  </si>
  <si>
    <t>IL0011924425</t>
  </si>
  <si>
    <t>30/09/2029</t>
  </si>
  <si>
    <t>אנרג'יקס אגח א</t>
  </si>
  <si>
    <t>IL0011617516</t>
  </si>
  <si>
    <t>01/08/2030</t>
  </si>
  <si>
    <t>חברת גב-ים לקרקעות בע"מ</t>
  </si>
  <si>
    <t>520001736</t>
  </si>
  <si>
    <t>גב ים אגח ח</t>
  </si>
  <si>
    <t>IL0075901517</t>
  </si>
  <si>
    <t>גב ים אגח ט</t>
  </si>
  <si>
    <t>IL0075902192</t>
  </si>
  <si>
    <t>30/06/2033</t>
  </si>
  <si>
    <t>גב ים אגח יא</t>
  </si>
  <si>
    <t>IL0012083395</t>
  </si>
  <si>
    <t>ג'נריישן קפיטל אגח ב</t>
  </si>
  <si>
    <t>IL0011775264</t>
  </si>
  <si>
    <t>30/06/2031</t>
  </si>
  <si>
    <t>דיסק מנ אגח יז</t>
  </si>
  <si>
    <t>IL0012159534</t>
  </si>
  <si>
    <t>20/03/2035</t>
  </si>
  <si>
    <t>יוניברסל אגח ו</t>
  </si>
  <si>
    <t>IL0011926164</t>
  </si>
  <si>
    <t>10/02/2031</t>
  </si>
  <si>
    <t>כלל ביטוח אגח א</t>
  </si>
  <si>
    <t>IL0011934812</t>
  </si>
  <si>
    <t>28/02/2028</t>
  </si>
  <si>
    <t>מבנה אגח כה</t>
  </si>
  <si>
    <t>IL0022606367</t>
  </si>
  <si>
    <t>30/09/2033</t>
  </si>
  <si>
    <t>מבני תעשיה אגח יז</t>
  </si>
  <si>
    <t>IL0022604461</t>
  </si>
  <si>
    <t>מזרחי טפ הנפק התח 69</t>
  </si>
  <si>
    <t>IL0012021593</t>
  </si>
  <si>
    <t>25/06/2029</t>
  </si>
  <si>
    <t>פועלים התחייבות נדחים ה'</t>
  </si>
  <si>
    <t>IL0066204624</t>
  </si>
  <si>
    <t>17/08/2026</t>
  </si>
  <si>
    <t>הפניקס גיוסי הון (2009) בע"מ</t>
  </si>
  <si>
    <t>514290345</t>
  </si>
  <si>
    <t>פניקס הון אגח ה</t>
  </si>
  <si>
    <t>IL0011354177</t>
  </si>
  <si>
    <t>01/11/2026</t>
  </si>
  <si>
    <t>דיסק מנ אגח טז</t>
  </si>
  <si>
    <t>IL0012031576</t>
  </si>
  <si>
    <t>אמות אגח ד</t>
  </si>
  <si>
    <t>IL0011331498</t>
  </si>
  <si>
    <t>02/07/2028</t>
  </si>
  <si>
    <t>בתי זקוק לנפט בע"מ</t>
  </si>
  <si>
    <t>520036658</t>
  </si>
  <si>
    <t>בזן  אגח ט</t>
  </si>
  <si>
    <t>IL0025904611</t>
  </si>
  <si>
    <t>30/09/2025</t>
  </si>
  <si>
    <t>ג'י סיטי אגח יב</t>
  </si>
  <si>
    <t>IL0012606039</t>
  </si>
  <si>
    <t>30/06/2027</t>
  </si>
  <si>
    <t>ג'י סיטי אגח יד</t>
  </si>
  <si>
    <t>IL0012607367</t>
  </si>
  <si>
    <t>30/09/2031</t>
  </si>
  <si>
    <t>הכשרת ישוב אגח 22</t>
  </si>
  <si>
    <t>IL0061202409</t>
  </si>
  <si>
    <t>הראל ביטוח מימון והנפקות בע"מ</t>
  </si>
  <si>
    <t>513834200</t>
  </si>
  <si>
    <t>הראל הנפ אגח טז</t>
  </si>
  <si>
    <t>IL0011576019</t>
  </si>
  <si>
    <t>חשמל אגח 33</t>
  </si>
  <si>
    <t>IL0060003923</t>
  </si>
  <si>
    <t>כללביט אגח ט</t>
  </si>
  <si>
    <t>IL0011360505</t>
  </si>
  <si>
    <t>לאומי התח נדח' סד' 405</t>
  </si>
  <si>
    <t>IL0060406209</t>
  </si>
  <si>
    <t>27/03/2028</t>
  </si>
  <si>
    <t>מבני תעש אגח כג</t>
  </si>
  <si>
    <t>IL0022605450</t>
  </si>
  <si>
    <t>30/09/2026</t>
  </si>
  <si>
    <t>מבני תעשיה אגח טז</t>
  </si>
  <si>
    <t>IL0022604388</t>
  </si>
  <si>
    <t>מז  הנפק    46 1.22% 9/2027</t>
  </si>
  <si>
    <t>IL0023102259</t>
  </si>
  <si>
    <t>28/09/2027</t>
  </si>
  <si>
    <t>מז טפ הנ אגח 67</t>
  </si>
  <si>
    <t>IL0011968075</t>
  </si>
  <si>
    <t>מז טפ הנ אגח 68</t>
  </si>
  <si>
    <t>IL0012021429</t>
  </si>
  <si>
    <t>25/12/2033</t>
  </si>
  <si>
    <t>מיטב דש השקעות בע"מ</t>
  </si>
  <si>
    <t>520043795</t>
  </si>
  <si>
    <t>מיטב השקעות אג3</t>
  </si>
  <si>
    <t>IL0011217630</t>
  </si>
  <si>
    <t>10/12/2025</t>
  </si>
  <si>
    <t>מימון ישיר אגח ו - חסום עד 13/09/25</t>
  </si>
  <si>
    <t>מליסרון  אגח יח</t>
  </si>
  <si>
    <t>IL0032303724</t>
  </si>
  <si>
    <t>מנורה מב  אגח ג</t>
  </si>
  <si>
    <t>IL0056600633</t>
  </si>
  <si>
    <t>פניקס הון אגח ח</t>
  </si>
  <si>
    <t>IL0011398158</t>
  </si>
  <si>
    <t>פתאל נכסים(אירופה)בע"מ</t>
  </si>
  <si>
    <t>515328250</t>
  </si>
  <si>
    <t>פתאל אירו אגח א</t>
  </si>
  <si>
    <t>IL0011375123</t>
  </si>
  <si>
    <t>15/08/2025</t>
  </si>
  <si>
    <t>רבוע כחול נדל"ן בע"מ</t>
  </si>
  <si>
    <t>513765859</t>
  </si>
  <si>
    <t>רבוע נדלן אגח ו</t>
  </si>
  <si>
    <t>IL0011406076</t>
  </si>
  <si>
    <t>30/11/2026</t>
  </si>
  <si>
    <t>רבוע נדלן אגח ז</t>
  </si>
  <si>
    <t>IL0011406159</t>
  </si>
  <si>
    <t>שיכון ובינוי בע"מ</t>
  </si>
  <si>
    <t>520036104</t>
  </si>
  <si>
    <t>שיכון ובינוי אגח 8</t>
  </si>
  <si>
    <t>IL0011358889</t>
  </si>
  <si>
    <t>01/05/2029</t>
  </si>
  <si>
    <t>אאורה אגח טז</t>
  </si>
  <si>
    <t>IL0037305799</t>
  </si>
  <si>
    <t>30/09/2027</t>
  </si>
  <si>
    <t>אאורה אגח יז %3.85 31/01/2029</t>
  </si>
  <si>
    <t>IL0011935801</t>
  </si>
  <si>
    <t>31/01/2029</t>
  </si>
  <si>
    <t>אבגד אגח ג</t>
  </si>
  <si>
    <t>IL0012117706</t>
  </si>
  <si>
    <t>31/12/2028</t>
  </si>
  <si>
    <t>אדגר השקעות ופיתוח בע"מ</t>
  </si>
  <si>
    <t>520035171</t>
  </si>
  <si>
    <t>אדגר אגח י</t>
  </si>
  <si>
    <t>IL0018202080</t>
  </si>
  <si>
    <t>01/09/2027</t>
  </si>
  <si>
    <t>אדגר אגח יב</t>
  </si>
  <si>
    <t>IL0018203310</t>
  </si>
  <si>
    <t>31/03/2031</t>
  </si>
  <si>
    <t>אדגר אגח סד יא</t>
  </si>
  <si>
    <t>IL0018202817</t>
  </si>
  <si>
    <t>אזורים-חברה להשקעות בפתוח ובבנין בע"מ</t>
  </si>
  <si>
    <t>520025990</t>
  </si>
  <si>
    <t>אזורים סדרה 14</t>
  </si>
  <si>
    <t>IL0071504448</t>
  </si>
  <si>
    <t>איי.סי.אל גרופ בע"מ (דואלי)</t>
  </si>
  <si>
    <t>520027830</t>
  </si>
  <si>
    <t>אייסיאל   אגח ז</t>
  </si>
  <si>
    <t>IL0028103724</t>
  </si>
  <si>
    <t>30/12/2034</t>
  </si>
  <si>
    <t>אלומיי קפיטל בע"מ</t>
  </si>
  <si>
    <t>520039868</t>
  </si>
  <si>
    <t>אלומיי אגח ו</t>
  </si>
  <si>
    <t>IL0012030743</t>
  </si>
  <si>
    <t>אלוני חץ אגח יג</t>
  </si>
  <si>
    <t>IL0011894065</t>
  </si>
  <si>
    <t>אפי נכסים בע"מ</t>
  </si>
  <si>
    <t>510560188</t>
  </si>
  <si>
    <t>אפי נכסים אגח 8</t>
  </si>
  <si>
    <t>IL0011422313</t>
  </si>
  <si>
    <t>15/10/2026</t>
  </si>
  <si>
    <t>אפי נכסים אגח יג</t>
  </si>
  <si>
    <t>IL0011782922</t>
  </si>
  <si>
    <t>אפי קפיטל נדל"ן בע"מ</t>
  </si>
  <si>
    <t>513948216</t>
  </si>
  <si>
    <t>אפי קפיטל אגח ג</t>
  </si>
  <si>
    <t>IL0011997447</t>
  </si>
  <si>
    <t>אפקון החזקות בע"מ</t>
  </si>
  <si>
    <t>520033473</t>
  </si>
  <si>
    <t>אפקון החזקות אגח ד</t>
  </si>
  <si>
    <t>IL0057801685</t>
  </si>
  <si>
    <t>01/04/2029</t>
  </si>
  <si>
    <t>אקויטל בע"מ</t>
  </si>
  <si>
    <t>520030859</t>
  </si>
  <si>
    <t>אקויטל אגח 3</t>
  </si>
  <si>
    <t>IL0075501481</t>
  </si>
  <si>
    <t>25/07/2034</t>
  </si>
  <si>
    <t>אשטרום נכסים בע"מ</t>
  </si>
  <si>
    <t>520036617</t>
  </si>
  <si>
    <t>אשטרום נכ אגח 12</t>
  </si>
  <si>
    <t>IL0025102794</t>
  </si>
  <si>
    <t>אשטרום קבוצה אגח ד</t>
  </si>
  <si>
    <t>IL0011829897</t>
  </si>
  <si>
    <t>אשטרום קבוצה אגח ה</t>
  </si>
  <si>
    <t>IL0011995797</t>
  </si>
  <si>
    <t>31/12/2032</t>
  </si>
  <si>
    <t>בזק אגח 13</t>
  </si>
  <si>
    <t>IL0023003093</t>
  </si>
  <si>
    <t>02/12/2035</t>
  </si>
  <si>
    <t>בזק אגח 14</t>
  </si>
  <si>
    <t>IL0023003176</t>
  </si>
  <si>
    <t>01/06/2035</t>
  </si>
  <si>
    <t>בי קומיוניקיישנס בע"מ לשעבר סמייל 012</t>
  </si>
  <si>
    <t>512832742</t>
  </si>
  <si>
    <t>בי קומיוניקיישנס אגח ז</t>
  </si>
  <si>
    <t>IL0012109885</t>
  </si>
  <si>
    <t>30/11/2029</t>
  </si>
  <si>
    <t>ביג אג"ח ט'</t>
  </si>
  <si>
    <t>IL0011410508</t>
  </si>
  <si>
    <t>20/12/2026</t>
  </si>
  <si>
    <t>ביג אגח יח</t>
  </si>
  <si>
    <t>IL0011742264</t>
  </si>
  <si>
    <t>30/03/2031</t>
  </si>
  <si>
    <t>בתי זיקוק אגח יג</t>
  </si>
  <si>
    <t>IL0011953465</t>
  </si>
  <si>
    <t>26/09/2032</t>
  </si>
  <si>
    <t>גב ים אגח י</t>
  </si>
  <si>
    <t>IL0075902846</t>
  </si>
  <si>
    <t>01/07/2035</t>
  </si>
  <si>
    <t>גב ים סד' ו'</t>
  </si>
  <si>
    <t>IL0075901285</t>
  </si>
  <si>
    <t>31/03/2026</t>
  </si>
  <si>
    <t>דיסקונט מנפיקים הת ד</t>
  </si>
  <si>
    <t>IL0074800496</t>
  </si>
  <si>
    <t>30/10/2022</t>
  </si>
  <si>
    <t>דליה חברות אנרגיה בע"מ</t>
  </si>
  <si>
    <t>516269248</t>
  </si>
  <si>
    <t>דליה אגח א</t>
  </si>
  <si>
    <t>IL0011849515</t>
  </si>
  <si>
    <t>דליה אנרגיה אגח ב</t>
  </si>
  <si>
    <t>IL0011935983</t>
  </si>
  <si>
    <t>01/10/2034</t>
  </si>
  <si>
    <t>קבוצת דלק בע"מ</t>
  </si>
  <si>
    <t>520044322</t>
  </si>
  <si>
    <t>דלק קב אגח לז</t>
  </si>
  <si>
    <t>IL0011928897</t>
  </si>
  <si>
    <t>דלק קבוצה    אגח מ</t>
  </si>
  <si>
    <t>IL0012173899</t>
  </si>
  <si>
    <t>דלק קבוצה אגח לט</t>
  </si>
  <si>
    <t>IL0012057720</t>
  </si>
  <si>
    <t>דלתא-גליל תעשיות בע"מ</t>
  </si>
  <si>
    <t>520025602</t>
  </si>
  <si>
    <t>דלתא אגח א</t>
  </si>
  <si>
    <t>IL0062701441</t>
  </si>
  <si>
    <t>31/08/2028</t>
  </si>
  <si>
    <t>דלתא גליל אגח ו</t>
  </si>
  <si>
    <t>IL0062701938</t>
  </si>
  <si>
    <t>520042177</t>
  </si>
  <si>
    <t>הכשרה חברה לביטוח ד</t>
  </si>
  <si>
    <t>IL0011560252</t>
  </si>
  <si>
    <t>Baa2</t>
  </si>
  <si>
    <t>02/01/2028</t>
  </si>
  <si>
    <t>הראל הנפק אגח יח</t>
  </si>
  <si>
    <t>IL0011826661</t>
  </si>
  <si>
    <t>הראל הנפק אגח כ 31/12/2036</t>
  </si>
  <si>
    <t>IL0012079849</t>
  </si>
  <si>
    <t>01/01/2034</t>
  </si>
  <si>
    <t>חג'ג' אגח יב</t>
  </si>
  <si>
    <t>IL0082303772</t>
  </si>
  <si>
    <t>חשמל אגח 35</t>
  </si>
  <si>
    <t>IL0011967994</t>
  </si>
  <si>
    <t>12/06/2037</t>
  </si>
  <si>
    <t>ירושלים מימון והנפקות (2005) בע"מ</t>
  </si>
  <si>
    <t>513682146</t>
  </si>
  <si>
    <t>ירושלים הנפ אגח יט</t>
  </si>
  <si>
    <t>IL0012014333</t>
  </si>
  <si>
    <t>31/01/2031</t>
  </si>
  <si>
    <t>ישראל קנדה אגח ז</t>
  </si>
  <si>
    <t>IL0043402127</t>
  </si>
  <si>
    <t>מגדל ביטוח הון אגח יד</t>
  </si>
  <si>
    <t>IL0012075219</t>
  </si>
  <si>
    <t>מגדל הון אגח יב</t>
  </si>
  <si>
    <t>IL0011975732</t>
  </si>
  <si>
    <t>31/12/2031</t>
  </si>
  <si>
    <t>מגדל הון אגח יג 31/12/2032</t>
  </si>
  <si>
    <t>IL0012075136</t>
  </si>
  <si>
    <t>מגה אור אגח י</t>
  </si>
  <si>
    <t>IL0011783672</t>
  </si>
  <si>
    <t>מגה אור אגח יא</t>
  </si>
  <si>
    <t>IL0011783755</t>
  </si>
  <si>
    <t>מגה אור אגח יב</t>
  </si>
  <si>
    <t>IL0012112830</t>
  </si>
  <si>
    <t>30/04/2033</t>
  </si>
  <si>
    <t>מימון ישיר ד</t>
  </si>
  <si>
    <t>IL0011756603</t>
  </si>
  <si>
    <t>01/02/2026</t>
  </si>
  <si>
    <t>מישורים השקעות נדלן בעמ</t>
  </si>
  <si>
    <t>511491839</t>
  </si>
  <si>
    <t>מישורים אגח ט</t>
  </si>
  <si>
    <t>IL0011787970</t>
  </si>
  <si>
    <t>מליסרון  אגח כא</t>
  </si>
  <si>
    <t>IL0011946386</t>
  </si>
  <si>
    <t>01/01/2037</t>
  </si>
  <si>
    <t>מליסרון אגח י'</t>
  </si>
  <si>
    <t>IL0032301900</t>
  </si>
  <si>
    <t>10/07/2025</t>
  </si>
  <si>
    <t>מנורה הון התחייבות ו'2030</t>
  </si>
  <si>
    <t>IL0011602419</t>
  </si>
  <si>
    <t xml:space="preserve">מניף - שירותים פיננסים בע"מ </t>
  </si>
  <si>
    <t>512764408</t>
  </si>
  <si>
    <t>מניף אגח א</t>
  </si>
  <si>
    <t>IL0011858839</t>
  </si>
  <si>
    <t>קבוצת מנרב  בע"מ</t>
  </si>
  <si>
    <t>520034505</t>
  </si>
  <si>
    <t>מנרב אגח ד</t>
  </si>
  <si>
    <t>IL0015501690</t>
  </si>
  <si>
    <t>15/04/2032</t>
  </si>
  <si>
    <t>מקורות חברת מים בע"מ</t>
  </si>
  <si>
    <t>520010869</t>
  </si>
  <si>
    <t>מקורות אגח 11</t>
  </si>
  <si>
    <t>IL0011584765</t>
  </si>
  <si>
    <t>31/12/2053</t>
  </si>
  <si>
    <t>נאוויטס פטרו אגח ג</t>
  </si>
  <si>
    <t>IL0011815938</t>
  </si>
  <si>
    <t>15/10/2028</t>
  </si>
  <si>
    <t>נאוויטס פטרו אגח ה</t>
  </si>
  <si>
    <t>IL0011979122</t>
  </si>
  <si>
    <t>נאוויטס פטרו אגח ו</t>
  </si>
  <si>
    <t>IL0012048257</t>
  </si>
  <si>
    <t>חברה לנכסים ולבנין בע"מ</t>
  </si>
  <si>
    <t>520025438</t>
  </si>
  <si>
    <t>נכסים ובניין  אגח ט</t>
  </si>
  <si>
    <t>IL0069902125</t>
  </si>
  <si>
    <t>נכסים ובנין אגח י</t>
  </si>
  <si>
    <t>IL0011936304</t>
  </si>
  <si>
    <t>סלקום ישראל בע"מ</t>
  </si>
  <si>
    <t>511930125</t>
  </si>
  <si>
    <t>סלקום אגח יב</t>
  </si>
  <si>
    <t>IL0011430803</t>
  </si>
  <si>
    <t>05/01/2028</t>
  </si>
  <si>
    <t>עמרם אברהם חברה לבנין בע"מ</t>
  </si>
  <si>
    <t>513201582</t>
  </si>
  <si>
    <t>עמרם אברהם אגח א</t>
  </si>
  <si>
    <t>IL0011880445</t>
  </si>
  <si>
    <t>פניקס הון אגח יא</t>
  </si>
  <si>
    <t>IL0011593592</t>
  </si>
  <si>
    <t>פניקס הון אגח יב</t>
  </si>
  <si>
    <t>IL0011955858</t>
  </si>
  <si>
    <t>05/02/2032</t>
  </si>
  <si>
    <t>פתאל החז  אגח ב</t>
  </si>
  <si>
    <t>IL0011508129</t>
  </si>
  <si>
    <t>פתאל החזקות אגח ג</t>
  </si>
  <si>
    <t>IL0011617854</t>
  </si>
  <si>
    <t>31/08/2031</t>
  </si>
  <si>
    <t>פתאל החזקות אגח ד</t>
  </si>
  <si>
    <t>IL0011881922</t>
  </si>
  <si>
    <t>צור שמיר אחזקות בע"מ</t>
  </si>
  <si>
    <t>520025586</t>
  </si>
  <si>
    <t>צור אגח י</t>
  </si>
  <si>
    <t>IL0073001716</t>
  </si>
  <si>
    <t>צרּפתי אגח יב</t>
  </si>
  <si>
    <t>IL0042502703</t>
  </si>
  <si>
    <t>קיסטון אינפרא בע"מ</t>
  </si>
  <si>
    <t>515983476</t>
  </si>
  <si>
    <t>קיסטון ריט אגח א</t>
  </si>
  <si>
    <t>IL0011821878</t>
  </si>
  <si>
    <t>קרסו מוטורס   אגח ג</t>
  </si>
  <si>
    <t>IL0011418295</t>
  </si>
  <si>
    <t>קרסו נדלן</t>
  </si>
  <si>
    <t>510488190</t>
  </si>
  <si>
    <t>קרסו נדלן אגח א</t>
  </si>
  <si>
    <t>IL0011900086</t>
  </si>
  <si>
    <t>רוטשטיין אגח ח</t>
  </si>
  <si>
    <t>IL0053901828</t>
  </si>
  <si>
    <t>14/07/2025</t>
  </si>
  <si>
    <t>ריבוע נדלן אגח ט</t>
  </si>
  <si>
    <t>IL0011745564</t>
  </si>
  <si>
    <t>רני צים מרכזי קניות בע"מ</t>
  </si>
  <si>
    <t>514353671</t>
  </si>
  <si>
    <t>רני צים ג</t>
  </si>
  <si>
    <t>IL0011831935</t>
  </si>
  <si>
    <t>BBB+</t>
  </si>
  <si>
    <t>שיכון ובינוי אגח 10</t>
  </si>
  <si>
    <t>IL0011751323</t>
  </si>
  <si>
    <t>30/04/2030</t>
  </si>
  <si>
    <t>שכון ובי אגח 9</t>
  </si>
  <si>
    <t>IL0011673865</t>
  </si>
  <si>
    <t>שפיר הנדסה ותעשיה בע"מ</t>
  </si>
  <si>
    <t>514892801</t>
  </si>
  <si>
    <t>שפיר הנדס אגח ג</t>
  </si>
  <si>
    <t>IL0011784175</t>
  </si>
  <si>
    <t>30/11/2037</t>
  </si>
  <si>
    <t>HAPOAL 3.255 01/21/32</t>
  </si>
  <si>
    <t>IL0066204707</t>
  </si>
  <si>
    <t>21/01/2032</t>
  </si>
  <si>
    <t xml:space="preserve">אול-יר  הולדינגס לימיטד </t>
  </si>
  <si>
    <t>1841580</t>
  </si>
  <si>
    <t>אול-יר אגח ה בהשעיה - עמי גמל</t>
  </si>
  <si>
    <t>IL0011433047</t>
  </si>
  <si>
    <t>R/S</t>
  </si>
  <si>
    <t>31/07/2024</t>
  </si>
  <si>
    <t>סאפיינס אינטרנשיונל קורפוריישן N.V</t>
  </si>
  <si>
    <t>53368</t>
  </si>
  <si>
    <t>סאפיינס אגח ב</t>
  </si>
  <si>
    <t>IL0011419368</t>
  </si>
  <si>
    <t>01/01/2026</t>
  </si>
  <si>
    <t>נכסים ובנין ד</t>
  </si>
  <si>
    <t>IL0069901549</t>
  </si>
  <si>
    <t>חוזים עתידיים בחול</t>
  </si>
  <si>
    <t>10527</t>
  </si>
  <si>
    <t>NASD100 MICRO EMIN  SEP 25</t>
  </si>
  <si>
    <t>HWBU5</t>
  </si>
  <si>
    <t>CME </t>
  </si>
  <si>
    <t>S&amp;P500 EMINI FUT  SEP 25</t>
  </si>
  <si>
    <t>ESU5</t>
  </si>
  <si>
    <t>HWAU5_SP500 MIC EMINI  SEP 25</t>
  </si>
  <si>
    <t>HWAU5</t>
  </si>
  <si>
    <t>MESU5_mini MSCI Emg Mkt  SEP 25</t>
  </si>
  <si>
    <t>MESU5</t>
  </si>
  <si>
    <t>אלומיי אופ 2</t>
  </si>
  <si>
    <t>IL0012030826</t>
  </si>
  <si>
    <t>IL0010826357</t>
  </si>
  <si>
    <t>ביג אפ 7</t>
  </si>
  <si>
    <t>IL0012143454</t>
  </si>
  <si>
    <t>01/06/2026</t>
  </si>
  <si>
    <t>NAV
(במטבע הדיווח של קרן ההשקעה)</t>
  </si>
  <si>
    <t>Vertex Venturs Partners LTD</t>
  </si>
  <si>
    <t>540308541</t>
  </si>
  <si>
    <t>Vertex Israel Opportunity II Fund</t>
  </si>
  <si>
    <t>19/08/2021</t>
  </si>
  <si>
    <t>25/05/2025</t>
  </si>
  <si>
    <t>Coller Credit Opportunities I General Partner, L.P.</t>
  </si>
  <si>
    <t>89525</t>
  </si>
  <si>
    <t>Coller Credit Opportunities</t>
  </si>
  <si>
    <t>ג'רנסי</t>
  </si>
  <si>
    <t>02/09/2021</t>
  </si>
  <si>
    <t>29/05/2025</t>
  </si>
  <si>
    <t>ECP GP V, LP</t>
  </si>
  <si>
    <t>213800P4S1KTTPIB9T76</t>
  </si>
  <si>
    <t>Harel Alternative Credit Co-Invest</t>
  </si>
  <si>
    <t>כתובת: החילזון 12 , רמת גן</t>
  </si>
  <si>
    <t>01/05/2023</t>
  </si>
  <si>
    <t>03/06/2025</t>
  </si>
  <si>
    <t>Kedma Capital</t>
  </si>
  <si>
    <t>540286333</t>
  </si>
  <si>
    <t>KEDMA CAPITAL IV</t>
  </si>
  <si>
    <t>מנחם בגין 132, מגדלי עזריאלי, תל אביב</t>
  </si>
  <si>
    <t>31/10/2024</t>
  </si>
  <si>
    <t>נוקד</t>
  </si>
  <si>
    <t>515419356</t>
  </si>
  <si>
    <t>קרן נוקד אגח</t>
  </si>
  <si>
    <t>כתובת:  הארבעה 30 תל אביב</t>
  </si>
  <si>
    <t>26/07/2022</t>
  </si>
  <si>
    <t>16/06/2025</t>
  </si>
  <si>
    <t>קרן נוקד אופורטוניטי</t>
  </si>
  <si>
    <t>אלפא</t>
  </si>
  <si>
    <t>27512</t>
  </si>
  <si>
    <t>ALPHA OPPORTUNITIES LP</t>
  </si>
  <si>
    <t>27/07/2022</t>
  </si>
  <si>
    <t>12/05/2025</t>
  </si>
  <si>
    <t>אי.בי.אי IBI</t>
  </si>
  <si>
    <t>550270045</t>
  </si>
  <si>
    <t>איבו קרן מלונאות ש.מ - עמי גמל 30.08.2032</t>
  </si>
  <si>
    <t>אחד העם 9 תל אביב ישראל</t>
  </si>
  <si>
    <t>05/02/2023</t>
  </si>
  <si>
    <t>08/05/2025</t>
  </si>
  <si>
    <t>פורמה</t>
  </si>
  <si>
    <t>530278654</t>
  </si>
  <si>
    <t>Forma Fund I</t>
  </si>
  <si>
    <t>Address: 20 Raul Valenberg , Tel Aviv, Israel</t>
  </si>
  <si>
    <t>03/04/2019</t>
  </si>
  <si>
    <t>22/05/2025</t>
  </si>
  <si>
    <t>פורטיסימו</t>
  </si>
  <si>
    <t>530278498</t>
  </si>
  <si>
    <t>FORTISSIMO 2</t>
  </si>
  <si>
    <t>כתובת: הארבעה 30 , תל אביב, ישראל</t>
  </si>
  <si>
    <t xml:space="preserve">Klirmark Opportunity Fund </t>
  </si>
  <si>
    <t>CO-101523</t>
  </si>
  <si>
    <t>Klirmark Fund IV- More</t>
  </si>
  <si>
    <t>ז'בוטינסקי 2 רמת גן ישראל</t>
  </si>
  <si>
    <t>24/04/2023</t>
  </si>
  <si>
    <t>Klirmark</t>
  </si>
  <si>
    <t>KLIRMARK OPPOTUNITY III</t>
  </si>
  <si>
    <t>כתובת: ז'בוטינסקי 2 , רמת גן , ישראל</t>
  </si>
  <si>
    <t>13/11/2019</t>
  </si>
  <si>
    <t>Liquidity Capital</t>
  </si>
  <si>
    <t>28352</t>
  </si>
  <si>
    <t>Liquidity Capital II</t>
  </si>
  <si>
    <t>כתובת: דרך ששת הימים 30 , בני ברק</t>
  </si>
  <si>
    <t>17/02/2021</t>
  </si>
  <si>
    <t>19/06/2025</t>
  </si>
  <si>
    <t>Qumra Opportunity Fund GP, L.P.</t>
  </si>
  <si>
    <t>873792462</t>
  </si>
  <si>
    <t>Qumra Opportunity Fund</t>
  </si>
  <si>
    <t>הנביאים 4 תל אביב ישראל</t>
  </si>
  <si>
    <t>10/05/2021</t>
  </si>
  <si>
    <t>04/02/2025</t>
  </si>
  <si>
    <t>Vintage</t>
  </si>
  <si>
    <t>7836236</t>
  </si>
  <si>
    <t>Vintage Fund of Funds IV</t>
  </si>
  <si>
    <t>כתובת: אבא אבן 12 , הרצליה פיתוח , ישראל</t>
  </si>
  <si>
    <t>30/04/2019</t>
  </si>
  <si>
    <t>29/06/2025</t>
  </si>
  <si>
    <t>514517267</t>
  </si>
  <si>
    <t>אלפא קרן גידור</t>
  </si>
  <si>
    <t>כתובת: אבא אבן 10 , הרצליה</t>
  </si>
  <si>
    <t>יסודות נדלן</t>
  </si>
  <si>
    <t>550257125</t>
  </si>
  <si>
    <t>יסודות הנדל"ן ב</t>
  </si>
  <si>
    <t>כתובת: בר כוכבא 23, בני ברק, ישראל</t>
  </si>
  <si>
    <t>31/01/2018</t>
  </si>
  <si>
    <t>540290103</t>
  </si>
  <si>
    <t>יסודות נדלן ג'</t>
  </si>
  <si>
    <t>04/12/2019</t>
  </si>
  <si>
    <t>05/06/2025</t>
  </si>
  <si>
    <t>נוקד בונדס</t>
  </si>
  <si>
    <t>31/05/2020</t>
  </si>
  <si>
    <t>Fimi Israel Opportunity</t>
  </si>
  <si>
    <t>540279767</t>
  </si>
  <si>
    <t>פימי 6- עמ"י</t>
  </si>
  <si>
    <t>כתובת: יגאל אלון 94 , תל אביב</t>
  </si>
  <si>
    <t>23/12/2019</t>
  </si>
  <si>
    <t>קוגיטו קפיטל פאנד 2 שותף כללי בע"מ</t>
  </si>
  <si>
    <t>550270912</t>
  </si>
  <si>
    <t>קוגיטו קפיטל 2</t>
  </si>
  <si>
    <t>06/02/2022</t>
  </si>
  <si>
    <t>28/05/2025</t>
  </si>
  <si>
    <t>530278514</t>
  </si>
  <si>
    <t>קרן בלקסטון</t>
  </si>
  <si>
    <t>20/04/2020</t>
  </si>
  <si>
    <t>11/06/2025</t>
  </si>
  <si>
    <t>קרן גידור נוקד</t>
  </si>
  <si>
    <t>29/10/2015</t>
  </si>
  <si>
    <t>נוי 1</t>
  </si>
  <si>
    <t>540294725</t>
  </si>
  <si>
    <t>קרן נוי 1 להשקעה בתשתיות</t>
  </si>
  <si>
    <t>כתובת: דרך מנחם בגין 132,  תל אביב</t>
  </si>
  <si>
    <t>10/12/2024</t>
  </si>
  <si>
    <t>נוי</t>
  </si>
  <si>
    <t>550241467</t>
  </si>
  <si>
    <t>קרן נוי 2 השקעה בתשתיות</t>
  </si>
  <si>
    <t>27/10/2015</t>
  </si>
  <si>
    <t>נוקד אקוויטי השקעות בע"מ</t>
  </si>
  <si>
    <t>קרן נוקד אקוויטי</t>
  </si>
  <si>
    <t>הארבעה 30 תל אביב ישראל</t>
  </si>
  <si>
    <t>03/03/2024</t>
  </si>
  <si>
    <t>Cheyne European</t>
  </si>
  <si>
    <t>12342</t>
  </si>
  <si>
    <t>Cheyne European Strategic II</t>
  </si>
  <si>
    <t>Address: Stornoway House, 13 Cleveland Row, London</t>
  </si>
  <si>
    <t>23/08/2021</t>
  </si>
  <si>
    <t>Coller International</t>
  </si>
  <si>
    <t>10087</t>
  </si>
  <si>
    <t>Coller IX-B</t>
  </si>
  <si>
    <t>Trafalgar Court, Les Banques, st Peter Port, Guernsey</t>
  </si>
  <si>
    <t>03/03/2025</t>
  </si>
  <si>
    <t>CVC EUDL IV</t>
  </si>
  <si>
    <t>B278095</t>
  </si>
  <si>
    <t>3, rue Gabriel Lippmann, L - 5365 Munsbach, Grand-Duché de Luxembourg</t>
  </si>
  <si>
    <t>12/12/2024</t>
  </si>
  <si>
    <t>HarbourVest GP LLC</t>
  </si>
  <si>
    <t>Electra Capital PM II Feeder</t>
  </si>
  <si>
    <t>Address: 4890 West Kennedy blvd. Tampa, FL 33609 USA</t>
  </si>
  <si>
    <t>15/05/2023</t>
  </si>
  <si>
    <t>EQT</t>
  </si>
  <si>
    <t>2020 2423 842</t>
  </si>
  <si>
    <t>EQT Infrastructure V</t>
  </si>
  <si>
    <t>לוקסמבורג</t>
  </si>
  <si>
    <t>Address: 51A Boulevard Royal, L-2449 , Luxembourg</t>
  </si>
  <si>
    <t>12/08/2021</t>
  </si>
  <si>
    <t>FRG-X GP,LP</t>
  </si>
  <si>
    <t>86-2034928</t>
  </si>
  <si>
    <t>Faro Point FIVF III (F-5)</t>
  </si>
  <si>
    <t>5 Marine View Plz. , Hoboken, NJ 07030, USA</t>
  </si>
  <si>
    <t>17/06/2024</t>
  </si>
  <si>
    <t>23/06/2025</t>
  </si>
  <si>
    <t>Insight Partners</t>
  </si>
  <si>
    <t>851058800</t>
  </si>
  <si>
    <t>INSIGHT PARTNERS XII</t>
  </si>
  <si>
    <t>Address: 1114 Avenue of the Americas , New York , NY</t>
  </si>
  <si>
    <t>12/07/2021</t>
  </si>
  <si>
    <t>invesco</t>
  </si>
  <si>
    <t>549300FEA3DT84FOZ304</t>
  </si>
  <si>
    <t>Invesco Direct Lending II</t>
  </si>
  <si>
    <t>225 Liberty st. , New York, NY , 10281</t>
  </si>
  <si>
    <t>08/04/2024</t>
  </si>
  <si>
    <t>Klirmark Fund IV</t>
  </si>
  <si>
    <t>מור</t>
  </si>
  <si>
    <t>13364</t>
  </si>
  <si>
    <t>More Alternative Credit CLO</t>
  </si>
  <si>
    <t>כתובת: דרך דוד בן גוריון 2 , רמת גן</t>
  </si>
  <si>
    <t>31/07/2023</t>
  </si>
  <si>
    <t>PHOENIX CO INVEST</t>
  </si>
  <si>
    <t>13139</t>
  </si>
  <si>
    <t>The Phoenix Anchor Fund</t>
  </si>
  <si>
    <t>דרך השלום 53 , גבעתיים ישראל</t>
  </si>
  <si>
    <t>16/09/2024</t>
  </si>
  <si>
    <t>10/06/2025</t>
  </si>
  <si>
    <t>Viola Credit GL II, Limited Partnership</t>
  </si>
  <si>
    <t>89968</t>
  </si>
  <si>
    <t>Viola Credit ALF III</t>
  </si>
  <si>
    <t>12 Aba Even, Herzelia Pituach, Israel</t>
  </si>
  <si>
    <t>13/02/2025</t>
  </si>
  <si>
    <t>15/06/2025</t>
  </si>
  <si>
    <t>פונטיפקס 5  ג'י.פי ש.מ</t>
  </si>
  <si>
    <t>232962336</t>
  </si>
  <si>
    <t>פנתאון PGCO VI</t>
  </si>
  <si>
    <t>10 Finsbury Square, London</t>
  </si>
  <si>
    <t>30/10/2024</t>
  </si>
  <si>
    <t>09/04/2025</t>
  </si>
  <si>
    <t>23/10/2023</t>
  </si>
  <si>
    <t>IBI</t>
  </si>
  <si>
    <t>IBI Consumer</t>
  </si>
  <si>
    <t>כתובת:  אחד העם 9 תל אביב</t>
  </si>
  <si>
    <t>29/08/2019</t>
  </si>
  <si>
    <t>22/06/2025</t>
  </si>
  <si>
    <t>Alto</t>
  </si>
  <si>
    <t>27092</t>
  </si>
  <si>
    <t>ALTO 3</t>
  </si>
  <si>
    <t>Address: 8 Raul Valenberg , Tel Aviv , Israel</t>
  </si>
  <si>
    <t>25/09/2017</t>
  </si>
  <si>
    <t>Alto II</t>
  </si>
  <si>
    <t>ALTO FUND</t>
  </si>
  <si>
    <t>05/07/2015</t>
  </si>
  <si>
    <t>Ami Opportunities</t>
  </si>
  <si>
    <t>512712548</t>
  </si>
  <si>
    <t>AMI OPPORTUNITY</t>
  </si>
  <si>
    <t>Address: 1 Glategny Esplanade , St Peter Port , Guernsey , GY12HJ</t>
  </si>
  <si>
    <t>20/12/2015</t>
  </si>
  <si>
    <t>Ares  LIII CLO Ltd</t>
  </si>
  <si>
    <t>WEQ82666OJYSI5GUAB47</t>
  </si>
  <si>
    <t>Ares Climate Infrastructure Partners II</t>
  </si>
  <si>
    <t>1800 AVENUE OF THE STARS, SUITE 1400, LOS ANGELES, CA 90067</t>
  </si>
  <si>
    <t>21/01/2025</t>
  </si>
  <si>
    <t>Avenue Europe</t>
  </si>
  <si>
    <t>12151</t>
  </si>
  <si>
    <t>Avenue Europe III</t>
  </si>
  <si>
    <t>Address: 11 West 42 st. , New York , NY 10036</t>
  </si>
  <si>
    <t>26/10/2016</t>
  </si>
  <si>
    <t>AP Fund III GP, LLC</t>
  </si>
  <si>
    <t>84-2057868</t>
  </si>
  <si>
    <t>Blue Atlantic</t>
  </si>
  <si>
    <t>2875 NE 191st Street, Aventura, Florida 33180</t>
  </si>
  <si>
    <t>21/06/2016</t>
  </si>
  <si>
    <t>Oak Street Real Estate Capital Fund VI, LP</t>
  </si>
  <si>
    <t>9492</t>
  </si>
  <si>
    <t>Blue Owl RE Fund VI</t>
  </si>
  <si>
    <t>30 N. LaSalle st., Chicago, IL 60602</t>
  </si>
  <si>
    <t>16/05/2023</t>
  </si>
  <si>
    <t>בראק קפיטל</t>
  </si>
  <si>
    <t>724500GB8DLC6CHUX916</t>
  </si>
  <si>
    <t>BRACK CAPITAL</t>
  </si>
  <si>
    <t>Address: Lophitis Business Centre, 28th October Street, CY-3035 Limassol, Cyprus</t>
  </si>
  <si>
    <t>25/10/2020</t>
  </si>
  <si>
    <t>20/06/2024</t>
  </si>
  <si>
    <t>SDL Management III Ltd</t>
  </si>
  <si>
    <t>28110</t>
  </si>
  <si>
    <t>Dover Street XI L.P</t>
  </si>
  <si>
    <t>One Financial Center, Boston, Massachusetts 02111</t>
  </si>
  <si>
    <t>22/06/2023</t>
  </si>
  <si>
    <t>ECP Fund V</t>
  </si>
  <si>
    <t>WC-115592</t>
  </si>
  <si>
    <t>ECP Infrastructure V</t>
  </si>
  <si>
    <t>40 Beechwood Road, Summit, NJ 07901, United States</t>
  </si>
  <si>
    <t>07/06/2023</t>
  </si>
  <si>
    <t>Electra America Hospitality AKA LLC</t>
  </si>
  <si>
    <t>89834</t>
  </si>
  <si>
    <t>Electra America Principal Hospitality</t>
  </si>
  <si>
    <t>15/03/2022</t>
  </si>
  <si>
    <t>Electra Capital Advisors LLC</t>
  </si>
  <si>
    <t>87-4404526</t>
  </si>
  <si>
    <t>electra capital Pm fund Lp</t>
  </si>
  <si>
    <t>07/06/2021</t>
  </si>
  <si>
    <t>Electra</t>
  </si>
  <si>
    <t>510607328</t>
  </si>
  <si>
    <t>ELECTRA NADLAN 2</t>
  </si>
  <si>
    <t>Address: 1331 South Killian Drive, Suite A, Lake Park, FL 33403</t>
  </si>
  <si>
    <t>14/05/2019</t>
  </si>
  <si>
    <t>Hamilton</t>
  </si>
  <si>
    <t xml:space="preserve">98-1588386 </t>
  </si>
  <si>
    <t>HAMILTON LANECI  IV</t>
  </si>
  <si>
    <t>Address: 610 Fifth Avenue , New York , NY 10020</t>
  </si>
  <si>
    <t>29/05/2019</t>
  </si>
  <si>
    <t>Hanaco II GP, L.P.</t>
  </si>
  <si>
    <t>89458</t>
  </si>
  <si>
    <t>hanaco II L.P</t>
  </si>
  <si>
    <t>22/07/2021</t>
  </si>
  <si>
    <t>HarbourVest</t>
  </si>
  <si>
    <t>27330</t>
  </si>
  <si>
    <t>Harbourvest Dover 10</t>
  </si>
  <si>
    <t>Address: One Financial Center, Boston, Massachusetts 02111</t>
  </si>
  <si>
    <t>13/01/2020</t>
  </si>
  <si>
    <t>ICG Europe</t>
  </si>
  <si>
    <t>12787</t>
  </si>
  <si>
    <t>ICG EUROPE 7</t>
  </si>
  <si>
    <t>Address: 60 Avenue J.F Kennedy L-1855, Luxembourg</t>
  </si>
  <si>
    <t>23/08/2018</t>
  </si>
  <si>
    <t>ICG NA</t>
  </si>
  <si>
    <t>ICG NORTH AMERICAN DEBT FUND</t>
  </si>
  <si>
    <t>Address: 600 Lexington Avenue, New York, NY 10022</t>
  </si>
  <si>
    <t>19/03/2019</t>
  </si>
  <si>
    <t>Madison Realty Capital Debt Fund VI GP LLC</t>
  </si>
  <si>
    <t>30-0963117</t>
  </si>
  <si>
    <t>Madison Realty Capital Debt Fund VI LP</t>
  </si>
  <si>
    <t>22/11/2022</t>
  </si>
  <si>
    <t>Pagaya RE Management GP LLC</t>
  </si>
  <si>
    <t>89415</t>
  </si>
  <si>
    <t>Pagaya Smartresi F1</t>
  </si>
  <si>
    <t>01/07/2021</t>
  </si>
  <si>
    <t>15/05/2025</t>
  </si>
  <si>
    <t>פנתאון</t>
  </si>
  <si>
    <t>B 201.101</t>
  </si>
  <si>
    <t>PANTHEON ACCESS</t>
  </si>
  <si>
    <t>Address: 10 Finsbury Square, London</t>
  </si>
  <si>
    <t>10/05/2018</t>
  </si>
  <si>
    <t>Pantheon Global Infrastructure Fund IV (Luxembourg</t>
  </si>
  <si>
    <t>90278</t>
  </si>
  <si>
    <t>25/07/2023</t>
  </si>
  <si>
    <t>27/05/2025</t>
  </si>
  <si>
    <t>PEREGRINE VENTURES GROWTH GENERAL PARTNER, LIMITED PARTNERSHIP</t>
  </si>
  <si>
    <t>27323</t>
  </si>
  <si>
    <t>Peregrine Ventures Growth General Partner LP Limit</t>
  </si>
  <si>
    <t>08/07/2021</t>
  </si>
  <si>
    <t>Starlight Bond FP I GP LIMITED</t>
  </si>
  <si>
    <t>90109</t>
  </si>
  <si>
    <t>Starlight Bond FP I LP</t>
  </si>
  <si>
    <t>24/01/2023</t>
  </si>
  <si>
    <t>25/06/2025</t>
  </si>
  <si>
    <t>Target Global Growth II GP S.à r.l.</t>
  </si>
  <si>
    <t>89655</t>
  </si>
  <si>
    <t>Target Global Growth Fund II</t>
  </si>
  <si>
    <t>08/11/2021</t>
  </si>
  <si>
    <t>Vintage Growth Fund III</t>
  </si>
  <si>
    <t>09/01/2020</t>
  </si>
  <si>
    <t>Vintage Secondary Fund IV</t>
  </si>
  <si>
    <t>30/05/2018</t>
  </si>
  <si>
    <t>Viola Credit GL II General</t>
  </si>
  <si>
    <t>89851</t>
  </si>
  <si>
    <t>Viola Credit GL II Limited Partnership</t>
  </si>
  <si>
    <t>24/10/2022</t>
  </si>
  <si>
    <t>וויו (veev) גרופ</t>
  </si>
  <si>
    <t>832652993</t>
  </si>
  <si>
    <t>C  וויו גרופ</t>
  </si>
  <si>
    <t>US9224741010</t>
  </si>
  <si>
    <t>08/03/2021</t>
  </si>
  <si>
    <t>30/04/2025</t>
  </si>
  <si>
    <t>PROSPECT CAPITAL CORP</t>
  </si>
  <si>
    <t>549300FSD8T39P5Q0O47</t>
  </si>
  <si>
    <t>PROSPECT CAPITAL</t>
  </si>
  <si>
    <t>US74348T5083</t>
  </si>
  <si>
    <t>27/04/2021</t>
  </si>
  <si>
    <t>31/05/2025</t>
  </si>
  <si>
    <t>VERTEX</t>
  </si>
  <si>
    <t>VERTEX VENTURES OB LIMITED PARTNERSHIP</t>
  </si>
  <si>
    <t>27970024</t>
  </si>
  <si>
    <t>20/07/2021</t>
  </si>
  <si>
    <t>25/09/2024</t>
  </si>
  <si>
    <t>25/03/2025</t>
  </si>
  <si>
    <t>אלון חברת הדלק לישראל בע"מ</t>
  </si>
  <si>
    <t>520041690</t>
  </si>
  <si>
    <t>מניות לא סחירות אלון דלק</t>
  </si>
  <si>
    <t>44867</t>
  </si>
  <si>
    <t>07/11/2017</t>
  </si>
  <si>
    <t>18/08/2019</t>
  </si>
  <si>
    <t>ALESC 0 06/23/36</t>
  </si>
  <si>
    <t>KYG0158U1067</t>
  </si>
  <si>
    <t>01/08/2019</t>
  </si>
  <si>
    <t>25/12/2023</t>
  </si>
  <si>
    <t>ALESC 7X INC</t>
  </si>
  <si>
    <t>USG0158NAA03</t>
  </si>
  <si>
    <t>07/08/2019</t>
  </si>
  <si>
    <t>ALESCO PFD V</t>
  </si>
  <si>
    <t>KYG0158H1056</t>
  </si>
  <si>
    <t>08/09/2020</t>
  </si>
  <si>
    <t>07/08/2024</t>
  </si>
  <si>
    <t>Verbit Inc</t>
  </si>
  <si>
    <t>28460</t>
  </si>
  <si>
    <t>27970019</t>
  </si>
  <si>
    <t>13/05/2021</t>
  </si>
  <si>
    <t>10/04/2024</t>
  </si>
  <si>
    <t>גב-ים נגב בע"מ</t>
  </si>
  <si>
    <t>514189596</t>
  </si>
  <si>
    <t>גב-ים נגב אגח ב-רמ</t>
  </si>
  <si>
    <t>IL0012084534</t>
  </si>
  <si>
    <t>11/07/2024</t>
  </si>
  <si>
    <t>אי תלות</t>
  </si>
  <si>
    <t xml:space="preserve">י.ח.ק להשקעות שותפות מוגבלת </t>
  </si>
  <si>
    <t>550016091</t>
  </si>
  <si>
    <t>י.ח.ק.  אגח ב רמ</t>
  </si>
  <si>
    <t>IL0011817835</t>
  </si>
  <si>
    <t>16/11/2021</t>
  </si>
  <si>
    <t>כלל תעשיות בע"מ</t>
  </si>
  <si>
    <t>520021874</t>
  </si>
  <si>
    <t>כלל תעש אגח טז-רמ</t>
  </si>
  <si>
    <t>IL0060802381</t>
  </si>
  <si>
    <t>22/11/2021</t>
  </si>
  <si>
    <t>לידר החזקות והשקעות בע"מ</t>
  </si>
  <si>
    <t>520037664</t>
  </si>
  <si>
    <t>לידר אגח ח - רמ</t>
  </si>
  <si>
    <t>IL0031803617</t>
  </si>
  <si>
    <t>28/02/2021</t>
  </si>
  <si>
    <t>15/02/2028</t>
  </si>
  <si>
    <t>מימון ישיר נדל"ן ומשכנתאות בעמ</t>
  </si>
  <si>
    <t>516100153</t>
  </si>
  <si>
    <t>מימוןמשכ אגא-רמ</t>
  </si>
  <si>
    <t>IL0012088188</t>
  </si>
  <si>
    <t>15/07/2024</t>
  </si>
  <si>
    <t>מת"ם - מרכז תעשיות מדע חיפה בע"מ</t>
  </si>
  <si>
    <t>510687403</t>
  </si>
  <si>
    <t>מתם מרכז תעשיות מדע חיפה אגח א ר.מ</t>
  </si>
  <si>
    <t>IL0011389991</t>
  </si>
  <si>
    <t>05/12/2018</t>
  </si>
  <si>
    <t>עוגן-אג"ח חברתית 2 בע"מ</t>
  </si>
  <si>
    <t>516556545</t>
  </si>
  <si>
    <t>עוגן חברתית 2 אגחא-רמ</t>
  </si>
  <si>
    <t>IL0011968315</t>
  </si>
  <si>
    <t>19/06/2023</t>
  </si>
  <si>
    <t>15/03/2026</t>
  </si>
  <si>
    <t>רפאל-רשות לפיתוח אמצעי לחימה בע"מ</t>
  </si>
  <si>
    <t>520042185</t>
  </si>
  <si>
    <t>רפאל אגח ג ר.מ.</t>
  </si>
  <si>
    <t>IL0011402760</t>
  </si>
  <si>
    <t>05/05/2021</t>
  </si>
  <si>
    <t>15/09/2034</t>
  </si>
  <si>
    <t>רפאל אגח סדרה ה 2020/2026</t>
  </si>
  <si>
    <t>IL0011402927</t>
  </si>
  <si>
    <t>04/05/2021</t>
  </si>
  <si>
    <t>רפאל סד' ד 2020/2034</t>
  </si>
  <si>
    <t>IL0011402844</t>
  </si>
  <si>
    <t>לוויתן בונד בע"מ</t>
  </si>
  <si>
    <t>516223864</t>
  </si>
  <si>
    <t>LVIATH 6 1/2 30/06/2027</t>
  </si>
  <si>
    <t>IL0011677825</t>
  </si>
  <si>
    <t>18/10/2023</t>
  </si>
  <si>
    <t>Ba3</t>
  </si>
  <si>
    <t>26/10/2021</t>
  </si>
  <si>
    <t>Energean plc</t>
  </si>
  <si>
    <t>98450044QACBL3F8EB03</t>
  </si>
  <si>
    <t>ENOIGA 5 3/8 03/30/28</t>
  </si>
  <si>
    <t>IL0011736738</t>
  </si>
  <si>
    <t>17/03/2021</t>
  </si>
  <si>
    <t>BB-</t>
  </si>
  <si>
    <t>30/03/2028</t>
  </si>
  <si>
    <t>NEON CAPITAL LTD</t>
  </si>
  <si>
    <t>549300K1NZTY5QS1NO76</t>
  </si>
  <si>
    <t>NEONCA 0 01/04/41</t>
  </si>
  <si>
    <t>XS0207404343</t>
  </si>
  <si>
    <t>04/01/2041</t>
  </si>
  <si>
    <t>אלון חברת הדלק אגח סד' א - עמי גמל</t>
  </si>
  <si>
    <t>IL0011015679</t>
  </si>
  <si>
    <t>08/12/2020</t>
  </si>
  <si>
    <t>אמפל-אמריקן ישראל קורפוריישן</t>
  </si>
  <si>
    <t>130435685</t>
  </si>
  <si>
    <t>אמפל אמריקן אגח א</t>
  </si>
  <si>
    <t>IL0011008336</t>
  </si>
  <si>
    <t>20/11/2015</t>
  </si>
  <si>
    <t>19/12/2023</t>
  </si>
  <si>
    <t>חפציבה חופים בע"מ</t>
  </si>
  <si>
    <t>513718734</t>
  </si>
  <si>
    <t>חפציבה חופים אג"ח א' חש 2/09</t>
  </si>
  <si>
    <t>IL0011135626</t>
  </si>
  <si>
    <t>28/02/2012</t>
  </si>
  <si>
    <t>חפציבה חופים אגח 1</t>
  </si>
  <si>
    <t>IL0010959422</t>
  </si>
  <si>
    <t>לאומי ש"ה 2008/2027 6.6%</t>
  </si>
  <si>
    <t>6401954</t>
  </si>
  <si>
    <t>24/01/2027</t>
  </si>
  <si>
    <t>לאומי שטר הון 6.60% 01/2027</t>
  </si>
  <si>
    <t>6401764</t>
  </si>
  <si>
    <t>מפעלי פלדה מאוחדים בע"מ</t>
  </si>
  <si>
    <t>520022492</t>
  </si>
  <si>
    <t>מ.פלדה אג-1 מפ1/00</t>
  </si>
  <si>
    <t>IL0039800425</t>
  </si>
  <si>
    <t>31/01/2001</t>
  </si>
  <si>
    <t>10/12/2018</t>
  </si>
  <si>
    <t>מפעלי פלדה אג1</t>
  </si>
  <si>
    <t>IL0039800185</t>
  </si>
  <si>
    <t>נתיבי הגז הטבעי לישראל בע"מ</t>
  </si>
  <si>
    <t>513436394</t>
  </si>
  <si>
    <t>נתיבי גז אג"ח א - רמ</t>
  </si>
  <si>
    <t>IL0011030843</t>
  </si>
  <si>
    <t>29/12/2026</t>
  </si>
  <si>
    <t>אלה פקדונות בע"מ</t>
  </si>
  <si>
    <t>515666881</t>
  </si>
  <si>
    <t>אלה פקדון אגח ה</t>
  </si>
  <si>
    <t>IL0011625774</t>
  </si>
  <si>
    <t>אלה פקדון אגח ד</t>
  </si>
  <si>
    <t>IL0011623043</t>
  </si>
  <si>
    <t>אלביט מערכות נעמ1-ל</t>
  </si>
  <si>
    <t>IL0011991572</t>
  </si>
  <si>
    <t>31/08/2023</t>
  </si>
  <si>
    <t>04/08/2028</t>
  </si>
  <si>
    <t>Private Equity</t>
  </si>
  <si>
    <t>Coller International General Partner</t>
  </si>
  <si>
    <t>4310</t>
  </si>
  <si>
    <t>שותפות</t>
  </si>
  <si>
    <t>27970056</t>
  </si>
  <si>
    <t>75.64%</t>
  </si>
  <si>
    <t>862034928</t>
  </si>
  <si>
    <t>EQT Infrastructure V (יורו)</t>
  </si>
  <si>
    <t>27970026</t>
  </si>
  <si>
    <t>19.38%</t>
  </si>
  <si>
    <t>נדל"ן</t>
  </si>
  <si>
    <t>Faro Point</t>
  </si>
  <si>
    <t>27970049</t>
  </si>
  <si>
    <t>5.00%</t>
  </si>
  <si>
    <t>Venture Capital</t>
  </si>
  <si>
    <t>Insight Partners XII</t>
  </si>
  <si>
    <t>27970023</t>
  </si>
  <si>
    <t>6.40%</t>
  </si>
  <si>
    <t>12902</t>
  </si>
  <si>
    <t>PGCO VI  פנתאון</t>
  </si>
  <si>
    <t>27970051</t>
  </si>
  <si>
    <t>95.90%</t>
  </si>
  <si>
    <t>חוב</t>
  </si>
  <si>
    <t xml:space="preserve"> Phoenix</t>
  </si>
  <si>
    <t>774764930</t>
  </si>
  <si>
    <t>27970050</t>
  </si>
  <si>
    <t>0.00%</t>
  </si>
  <si>
    <t>10948</t>
  </si>
  <si>
    <t>פורטיסימו VI</t>
  </si>
  <si>
    <t>27970046</t>
  </si>
  <si>
    <t>56.50%</t>
  </si>
  <si>
    <t>קדמה</t>
  </si>
  <si>
    <t>540328218</t>
  </si>
  <si>
    <t>קדמה 4</t>
  </si>
  <si>
    <t>27970052</t>
  </si>
  <si>
    <t>80.77%</t>
  </si>
  <si>
    <t>27970053</t>
  </si>
  <si>
    <t>75.00%</t>
  </si>
  <si>
    <t>27970028</t>
  </si>
  <si>
    <t>24.71%</t>
  </si>
  <si>
    <t>87-4615747</t>
  </si>
  <si>
    <t>Electra Capital PM II  Feeder 3</t>
  </si>
  <si>
    <t>27970040</t>
  </si>
  <si>
    <t>10.00%</t>
  </si>
  <si>
    <t>הראל אלטרנטיב</t>
  </si>
  <si>
    <t>788117505</t>
  </si>
  <si>
    <t>27970039</t>
  </si>
  <si>
    <t>49.69%</t>
  </si>
  <si>
    <t>Invesco Direct Lending</t>
  </si>
  <si>
    <t>949417</t>
  </si>
  <si>
    <t>27970048</t>
  </si>
  <si>
    <t>67.23%</t>
  </si>
  <si>
    <t>500473707</t>
  </si>
  <si>
    <t>27970038</t>
  </si>
  <si>
    <t>60.00%</t>
  </si>
  <si>
    <t>516194685</t>
  </si>
  <si>
    <t>More Alternative Credit  CLO</t>
  </si>
  <si>
    <t>27970045</t>
  </si>
  <si>
    <t>Viola</t>
  </si>
  <si>
    <t>12169</t>
  </si>
  <si>
    <t>27970055</t>
  </si>
  <si>
    <t>45.00%</t>
  </si>
  <si>
    <t>גידור</t>
  </si>
  <si>
    <t>550251409</t>
  </si>
  <si>
    <t>נוקד אגח</t>
  </si>
  <si>
    <t>27970034</t>
  </si>
  <si>
    <t>נוקד אופורטוניטי</t>
  </si>
  <si>
    <t>27970033</t>
  </si>
  <si>
    <t>60390077</t>
  </si>
  <si>
    <t>Alto III</t>
  </si>
  <si>
    <t>62000074</t>
  </si>
  <si>
    <t>550254411</t>
  </si>
  <si>
    <t>60398484</t>
  </si>
  <si>
    <t>25.64%</t>
  </si>
  <si>
    <t>ARES CIP Management II</t>
  </si>
  <si>
    <t>92-0923619</t>
  </si>
  <si>
    <t>27970054</t>
  </si>
  <si>
    <t>56.29%</t>
  </si>
  <si>
    <t>Blue Atlantic PTNR</t>
  </si>
  <si>
    <t>811259854</t>
  </si>
  <si>
    <t>60408978</t>
  </si>
  <si>
    <t>Blue Owl RE Fund</t>
  </si>
  <si>
    <t>27970041</t>
  </si>
  <si>
    <t>59.05%</t>
  </si>
  <si>
    <t>34250659</t>
  </si>
  <si>
    <t>Brack Capital</t>
  </si>
  <si>
    <t>98405711</t>
  </si>
  <si>
    <t>6.16%</t>
  </si>
  <si>
    <t>27970042</t>
  </si>
  <si>
    <t>44.97%</t>
  </si>
  <si>
    <t>89961</t>
  </si>
  <si>
    <t>27970032</t>
  </si>
  <si>
    <t>34.21%</t>
  </si>
  <si>
    <t>Fimi Israel Opportunity 6</t>
  </si>
  <si>
    <t>604008921</t>
  </si>
  <si>
    <t>10.73%</t>
  </si>
  <si>
    <t>Hamilton Co-invest IV</t>
  </si>
  <si>
    <t>62012828</t>
  </si>
  <si>
    <t>21.39%</t>
  </si>
  <si>
    <t>Hanaco II</t>
  </si>
  <si>
    <t>104909</t>
  </si>
  <si>
    <t>27970025</t>
  </si>
  <si>
    <t>20.00%</t>
  </si>
  <si>
    <t>27949</t>
  </si>
  <si>
    <t>HarbourVest Dover  X</t>
  </si>
  <si>
    <t>27970005</t>
  </si>
  <si>
    <t>19.00%</t>
  </si>
  <si>
    <t>HarbourVest Dover XI</t>
  </si>
  <si>
    <t>27970043</t>
  </si>
  <si>
    <t>64.00%</t>
  </si>
  <si>
    <t>Madison Realty Capital Debt VI</t>
  </si>
  <si>
    <t>27905</t>
  </si>
  <si>
    <t>27970036</t>
  </si>
  <si>
    <t>52.34%</t>
  </si>
  <si>
    <t>PGIF IV  פנתאון</t>
  </si>
  <si>
    <t>27970044</t>
  </si>
  <si>
    <t>30.45%</t>
  </si>
  <si>
    <t>4926301</t>
  </si>
  <si>
    <t>27970021</t>
  </si>
  <si>
    <t>Pantheon Access Feeder 2017</t>
  </si>
  <si>
    <t>62007091</t>
  </si>
  <si>
    <t>14.95%</t>
  </si>
  <si>
    <t> Peregrine Ventures Growth</t>
  </si>
  <si>
    <t>540297413</t>
  </si>
  <si>
    <t>Peregrine Ventures Growth</t>
  </si>
  <si>
    <t>27970022</t>
  </si>
  <si>
    <t>24.98%</t>
  </si>
  <si>
    <t>Starlight Bond</t>
  </si>
  <si>
    <t>Starlight Bond FP I</t>
  </si>
  <si>
    <t>27970037</t>
  </si>
  <si>
    <t>80.35%</t>
  </si>
  <si>
    <t>Target Global Growth Fund</t>
  </si>
  <si>
    <t>B241115</t>
  </si>
  <si>
    <t>27970030</t>
  </si>
  <si>
    <t>19.48%</t>
  </si>
  <si>
    <t>Vertex Israel Opportunity II</t>
  </si>
  <si>
    <t>107746</t>
  </si>
  <si>
    <t>27970027</t>
  </si>
  <si>
    <t>15.00%</t>
  </si>
  <si>
    <t>364800114</t>
  </si>
  <si>
    <t>27970004</t>
  </si>
  <si>
    <t>27.00%</t>
  </si>
  <si>
    <t>Vintage IV</t>
  </si>
  <si>
    <t>604066001</t>
  </si>
  <si>
    <t>7.00%</t>
  </si>
  <si>
    <t>Vintage Secondary IV</t>
  </si>
  <si>
    <t>62007406</t>
  </si>
  <si>
    <t>Viola Credit GL</t>
  </si>
  <si>
    <t>Viola Credit GL II</t>
  </si>
  <si>
    <t>27970035</t>
  </si>
  <si>
    <t>53.00%</t>
  </si>
  <si>
    <t>אלקטרה II</t>
  </si>
  <si>
    <t>62012539</t>
  </si>
  <si>
    <t>550257596</t>
  </si>
  <si>
    <t>נוי 2</t>
  </si>
  <si>
    <t>47845</t>
  </si>
  <si>
    <t>9.86%</t>
  </si>
  <si>
    <t>פורטיסימו 2</t>
  </si>
  <si>
    <t>9840783</t>
  </si>
  <si>
    <t>6.00%</t>
  </si>
  <si>
    <t>פורטיסימו V</t>
  </si>
  <si>
    <t>27970010</t>
  </si>
  <si>
    <t>3.00%</t>
  </si>
  <si>
    <t>62011879</t>
  </si>
  <si>
    <t>1.54%</t>
  </si>
  <si>
    <t>SO307155</t>
  </si>
  <si>
    <t>קומרה אופורטוניטי</t>
  </si>
  <si>
    <t>27970018</t>
  </si>
  <si>
    <t>774258386</t>
  </si>
  <si>
    <t>60416385</t>
  </si>
  <si>
    <t>Coller Credit Opportunities I</t>
  </si>
  <si>
    <t>27970029</t>
  </si>
  <si>
    <t>26.45%</t>
  </si>
  <si>
    <t>98-1506678</t>
  </si>
  <si>
    <t>Electra Capital PM I  Feeder 4</t>
  </si>
  <si>
    <t>27970020</t>
  </si>
  <si>
    <t>ICG Europe VII</t>
  </si>
  <si>
    <t>62007695</t>
  </si>
  <si>
    <t>17.05%</t>
  </si>
  <si>
    <t>ICG North American Private Debt II</t>
  </si>
  <si>
    <t>62011416</t>
  </si>
  <si>
    <t>24.95%</t>
  </si>
  <si>
    <t>500462056</t>
  </si>
  <si>
    <t>Klirmark Fund III</t>
  </si>
  <si>
    <t>27970001</t>
  </si>
  <si>
    <t>18.65%</t>
  </si>
  <si>
    <t>27971038</t>
  </si>
  <si>
    <t>530278415</t>
  </si>
  <si>
    <t>Liquidity Capital  II</t>
  </si>
  <si>
    <t>27970016</t>
  </si>
  <si>
    <t>58.04%</t>
  </si>
  <si>
    <t>יסודות נדלן ב</t>
  </si>
  <si>
    <t>78923</t>
  </si>
  <si>
    <t>8.06%</t>
  </si>
  <si>
    <t>יסודות נדלן ג</t>
  </si>
  <si>
    <t>27970003</t>
  </si>
  <si>
    <t>29.66%</t>
  </si>
  <si>
    <t>קוגיטו קפיטל</t>
  </si>
  <si>
    <t>27970031</t>
  </si>
  <si>
    <t>55.98%</t>
  </si>
  <si>
    <t>530278803</t>
  </si>
  <si>
    <t>35196</t>
  </si>
  <si>
    <t>27970014</t>
  </si>
  <si>
    <t>36434</t>
  </si>
  <si>
    <t>550258947</t>
  </si>
  <si>
    <t>נוקד אקוויטי</t>
  </si>
  <si>
    <t>27970047</t>
  </si>
  <si>
    <t>מירב מגן</t>
  </si>
  <si>
    <t>merav@ami2.co.il</t>
  </si>
  <si>
    <t>03-7286343</t>
  </si>
  <si>
    <r>
      <t>מטח/ ₪</t>
    </r>
    <r>
      <rPr>
        <sz val="11"/>
        <color theme="1"/>
        <rFont val="Arial"/>
        <family val="2"/>
        <scheme val="minor"/>
      </rPr>
      <t xml:space="preserve">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</si>
</sst>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43" formatCode="_ * #,##0.00_ ;_ * \-#,##0.00_ ;_ * &quot;-&quot;??_ ;_ @_ "/>
    <numFmt numFmtId="164" formatCode="0.000"/>
    <numFmt numFmtId="165" formatCode="0.000000"/>
    <numFmt numFmtId="166" formatCode="0.000%"/>
    <numFmt numFmtId="167" formatCode="dd/mm/yyyy"/>
  </numFmts>
  <fonts count="28">
    <font>
      <sz val="11"/>
      <color theme="1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sz val="10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b/>
      <sz val="10"/>
      <color theme="1"/>
      <name val="Arial"/>
      <family val="2"/>
    </font>
    <font>
      <sz val="10"/>
      <color theme="3"/>
      <name val="Arial"/>
      <family val="2"/>
    </font>
    <font>
      <sz val="10"/>
      <color theme="2" tint="-0.749992370372631"/>
      <name val="Open Sans"/>
      <family val="2"/>
    </font>
    <font>
      <b/>
      <sz val="11"/>
      <color theme="1"/>
      <name val="Arial"/>
      <family val="2"/>
      <scheme val="minor"/>
    </font>
    <font>
      <b/>
      <sz val="14"/>
      <color theme="0"/>
      <name val="Arial"/>
      <family val="2"/>
    </font>
    <font>
      <b/>
      <u/>
      <sz val="10"/>
      <color theme="1"/>
      <name val="Arial"/>
      <family val="2"/>
      <scheme val="minor"/>
    </font>
    <font>
      <i/>
      <sz val="11"/>
      <color theme="1"/>
      <name val="Arial"/>
      <family val="2"/>
      <scheme val="minor"/>
    </font>
    <font>
      <sz val="12"/>
      <color theme="1"/>
      <name val="David"/>
      <family val="2"/>
    </font>
    <font>
      <b/>
      <sz val="12"/>
      <color theme="1"/>
      <name val="David"/>
      <family val="2"/>
    </font>
    <font>
      <b/>
      <sz val="11"/>
      <color theme="0"/>
      <name val="Arial"/>
      <family val="2"/>
    </font>
    <font>
      <b/>
      <sz val="12"/>
      <color theme="9" tint="-0.499984740745262"/>
      <name val="Wingdings"/>
      <charset val="2"/>
    </font>
    <font>
      <b/>
      <sz val="12"/>
      <color theme="9" tint="-0.499984740745262"/>
      <name val="David"/>
      <family val="2"/>
    </font>
    <font>
      <strike/>
      <sz val="11"/>
      <color theme="1"/>
      <name val="Arial"/>
      <family val="2"/>
    </font>
    <font>
      <strike/>
      <sz val="11"/>
      <color theme="1"/>
      <name val="Arial"/>
      <family val="2"/>
      <scheme val="minor"/>
    </font>
    <font>
      <sz val="11"/>
      <name val="Arial"/>
      <family val="2"/>
      <scheme val="minor"/>
    </font>
    <font>
      <sz val="11"/>
      <name val="Arial"/>
      <family val="2"/>
      <scheme val="minor"/>
    </font>
    <font>
      <b/>
      <u/>
      <sz val="11"/>
      <color theme="1"/>
      <name val="Arial"/>
      <family val="2"/>
    </font>
    <font>
      <sz val="11"/>
      <color rgb="FF000000"/>
      <name val="Arial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0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/>
      <diagonal/>
    </border>
    <border>
      <left style="thin">
        <color theme="4" tint="0.39994506668294322"/>
      </left>
      <right style="thin">
        <color theme="4" tint="0.39994506668294322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/>
      <bottom style="thin">
        <color theme="4" tint="0.39994506668294322"/>
      </bottom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1454817346722"/>
      </top>
      <bottom/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 style="hair">
        <color theme="1"/>
      </left>
      <right/>
      <top style="hair">
        <color theme="1"/>
      </top>
      <bottom style="hair">
        <color theme="1"/>
      </bottom>
      <diagonal/>
    </border>
    <border>
      <left/>
      <right style="hair">
        <color theme="1"/>
      </right>
      <top style="hair">
        <color theme="1"/>
      </top>
      <bottom style="hair">
        <color theme="1"/>
      </bottom>
      <diagonal/>
    </border>
    <border>
      <left style="dashed">
        <color auto="1"/>
      </left>
      <right/>
      <top style="dashed">
        <color auto="1"/>
      </top>
      <bottom/>
      <diagonal/>
    </border>
    <border>
      <left/>
      <right/>
      <top style="dashed">
        <color auto="1"/>
      </top>
      <bottom/>
      <diagonal/>
    </border>
    <border>
      <left/>
      <right style="dashed">
        <color auto="1"/>
      </right>
      <top style="dashed">
        <color auto="1"/>
      </top>
      <bottom/>
      <diagonal/>
    </border>
    <border>
      <left/>
      <right style="thin">
        <color theme="4" tint="0.39994506668294322"/>
      </right>
      <top/>
      <bottom/>
      <diagonal/>
    </border>
    <border>
      <left style="thin">
        <color theme="4" tint="0.39994506668294322"/>
      </left>
      <right/>
      <top/>
      <bottom/>
      <diagonal/>
    </border>
    <border>
      <left/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</borders>
  <cellStyleXfs count="5">
    <xf numFmtId="0" fontId="0" fillId="0" borderId="0"/>
    <xf numFmtId="43" fontId="9" fillId="0" borderId="0"/>
    <xf numFmtId="0" fontId="9" fillId="0" borderId="0"/>
    <xf numFmtId="0" fontId="9" fillId="0" borderId="0"/>
    <xf numFmtId="9" fontId="9" fillId="0" borderId="0"/>
  </cellStyleXfs>
  <cellXfs count="176">
    <xf numFmtId="0" fontId="0" fillId="0" borderId="0" xfId="0" applyNumberFormat="1" applyFont="1" applyFill="1" applyBorder="1"/>
    <xf numFmtId="0" fontId="0" fillId="0" borderId="0" xfId="0" applyNumberFormat="1" applyFont="1" applyFill="1" applyBorder="1" applyAlignment="1">
      <alignment horizontal="center"/>
    </xf>
    <xf numFmtId="0" fontId="4" fillId="0" borderId="0" xfId="0" applyNumberFormat="1" applyFont="1" applyFill="1" applyBorder="1"/>
    <xf numFmtId="0" fontId="3" fillId="0" borderId="0" xfId="0" applyNumberFormat="1" applyFont="1" applyFill="1" applyBorder="1"/>
    <xf numFmtId="0" fontId="2" fillId="0" borderId="0" xfId="0" applyNumberFormat="1" applyFont="1" applyFill="1" applyBorder="1"/>
    <xf numFmtId="0" fontId="2" fillId="0" borderId="0" xfId="0" applyNumberFormat="1" applyFont="1" applyFill="1" applyBorder="1" applyAlignment="1">
      <alignment horizontal="center"/>
    </xf>
    <xf numFmtId="0" fontId="10" fillId="4" borderId="0" xfId="0" applyNumberFormat="1" applyFont="1" applyFill="1" applyBorder="1"/>
    <xf numFmtId="0" fontId="11" fillId="0" borderId="0" xfId="0" applyNumberFormat="1" applyFont="1" applyFill="1" applyBorder="1"/>
    <xf numFmtId="0" fontId="0" fillId="0" borderId="0" xfId="0" applyNumberFormat="1" applyFont="1" applyFill="1" applyBorder="1" applyAlignment="1">
      <alignment horizontal="right"/>
    </xf>
    <xf numFmtId="0" fontId="0" fillId="0" borderId="0" xfId="0" applyNumberFormat="1" applyFont="1" applyFill="1" applyBorder="1" applyProtection="1">
      <protection locked="0"/>
    </xf>
    <xf numFmtId="0" fontId="5" fillId="4" borderId="0" xfId="0" applyNumberFormat="1" applyFont="1" applyFill="1" applyBorder="1"/>
    <xf numFmtId="0" fontId="3" fillId="0" borderId="0" xfId="0" applyNumberFormat="1" applyFont="1" applyFill="1" applyBorder="1" applyProtection="1">
      <protection locked="0"/>
    </xf>
    <xf numFmtId="0" fontId="7" fillId="3" borderId="2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Fill="1" applyBorder="1" applyProtection="1">
      <protection locked="0"/>
    </xf>
    <xf numFmtId="0" fontId="3" fillId="2" borderId="3" xfId="0" applyNumberFormat="1" applyFont="1" applyFill="1" applyBorder="1" applyAlignment="1">
      <alignment horizontal="right"/>
    </xf>
    <xf numFmtId="0" fontId="3" fillId="0" borderId="3" xfId="0" applyNumberFormat="1" applyFont="1" applyFill="1" applyBorder="1" applyAlignment="1">
      <alignment horizontal="right"/>
    </xf>
    <xf numFmtId="0" fontId="13" fillId="0" borderId="0" xfId="0" applyNumberFormat="1" applyFont="1" applyFill="1" applyBorder="1"/>
    <xf numFmtId="14" fontId="2" fillId="0" borderId="0" xfId="0" applyNumberFormat="1" applyFont="1" applyFill="1" applyBorder="1" applyAlignment="1">
      <alignment horizontal="center"/>
    </xf>
    <xf numFmtId="0" fontId="2" fillId="0" borderId="0" xfId="0" applyNumberFormat="1" applyFont="1" applyFill="1" applyBorder="1" applyProtection="1">
      <protection locked="0"/>
    </xf>
    <xf numFmtId="0" fontId="12" fillId="5" borderId="0" xfId="2" applyNumberFormat="1" applyFont="1" applyFill="1" applyBorder="1" applyAlignment="1" applyProtection="1">
      <alignment horizontal="left" vertical="center" wrapText="1" indent="1"/>
      <protection locked="0"/>
    </xf>
    <xf numFmtId="0" fontId="14" fillId="3" borderId="7" xfId="0" applyNumberFormat="1" applyFont="1" applyFill="1" applyBorder="1" applyAlignment="1">
      <alignment vertical="center"/>
    </xf>
    <xf numFmtId="0" fontId="14" fillId="3" borderId="0" xfId="0" applyNumberFormat="1" applyFont="1" applyFill="1" applyBorder="1" applyAlignment="1">
      <alignment vertical="center"/>
    </xf>
    <xf numFmtId="49" fontId="0" fillId="0" borderId="0" xfId="0" applyNumberFormat="1" applyFont="1" applyFill="1" applyBorder="1" applyAlignment="1">
      <alignment horizontal="right"/>
    </xf>
    <xf numFmtId="49" fontId="13" fillId="0" borderId="0" xfId="0" applyNumberFormat="1" applyFont="1" applyFill="1" applyBorder="1" applyAlignment="1">
      <alignment horizontal="right"/>
    </xf>
    <xf numFmtId="0" fontId="16" fillId="0" borderId="0" xfId="0" applyNumberFormat="1" applyFont="1" applyFill="1" applyBorder="1"/>
    <xf numFmtId="0" fontId="17" fillId="0" borderId="1" xfId="0" applyNumberFormat="1" applyFont="1" applyFill="1" applyBorder="1" applyAlignment="1">
      <alignment vertical="center" wrapText="1" readingOrder="2"/>
    </xf>
    <xf numFmtId="0" fontId="17" fillId="0" borderId="1" xfId="0" applyNumberFormat="1" applyFont="1" applyFill="1" applyBorder="1" applyAlignment="1">
      <alignment horizontal="right" vertical="center" wrapText="1" readingOrder="2"/>
    </xf>
    <xf numFmtId="2" fontId="17" fillId="0" borderId="1" xfId="0" applyNumberFormat="1" applyFont="1" applyFill="1" applyBorder="1" applyAlignment="1">
      <alignment vertical="center" wrapText="1" readingOrder="2"/>
    </xf>
    <xf numFmtId="164" fontId="17" fillId="0" borderId="1" xfId="0" applyNumberFormat="1" applyFont="1" applyFill="1" applyBorder="1" applyAlignment="1">
      <alignment vertical="center" wrapText="1" readingOrder="2"/>
    </xf>
    <xf numFmtId="1" fontId="0" fillId="0" borderId="0" xfId="0" applyNumberFormat="1" applyFont="1" applyFill="1" applyBorder="1" applyAlignment="1">
      <alignment horizontal="right"/>
    </xf>
    <xf numFmtId="0" fontId="18" fillId="0" borderId="1" xfId="0" applyNumberFormat="1" applyFont="1" applyFill="1" applyBorder="1" applyAlignment="1">
      <alignment vertical="center" wrapText="1" readingOrder="2"/>
    </xf>
    <xf numFmtId="0" fontId="6" fillId="3" borderId="10" xfId="0" applyNumberFormat="1" applyFont="1" applyFill="1" applyBorder="1" applyAlignment="1">
      <alignment horizontal="center" vertical="center" wrapText="1"/>
    </xf>
    <xf numFmtId="0" fontId="7" fillId="3" borderId="10" xfId="0" applyNumberFormat="1" applyFont="1" applyFill="1" applyBorder="1" applyAlignment="1">
      <alignment horizontal="center" vertical="center" wrapText="1"/>
    </xf>
    <xf numFmtId="0" fontId="7" fillId="3" borderId="10" xfId="0" applyNumberFormat="1" applyFont="1" applyFill="1" applyBorder="1" applyAlignment="1">
      <alignment horizontal="right" vertical="center" wrapText="1"/>
    </xf>
    <xf numFmtId="0" fontId="8" fillId="0" borderId="10" xfId="0" applyNumberFormat="1" applyFont="1" applyFill="1" applyBorder="1"/>
    <xf numFmtId="0" fontId="8" fillId="0" borderId="10" xfId="0" applyNumberFormat="1" applyFont="1" applyFill="1" applyBorder="1" applyAlignment="1">
      <alignment horizontal="center" vertical="center" wrapText="1"/>
    </xf>
    <xf numFmtId="0" fontId="15" fillId="0" borderId="10" xfId="0" applyNumberFormat="1" applyFont="1" applyFill="1" applyBorder="1" applyAlignment="1">
      <alignment horizontal="center" vertical="center" wrapText="1"/>
    </xf>
    <xf numFmtId="0" fontId="19" fillId="3" borderId="3" xfId="0" applyNumberFormat="1" applyFont="1" applyFill="1" applyBorder="1" applyAlignment="1">
      <alignment horizontal="center" vertical="center" wrapText="1"/>
    </xf>
    <xf numFmtId="0" fontId="0" fillId="2" borderId="3" xfId="0" applyNumberFormat="1" applyFont="1" applyFill="1" applyBorder="1" applyAlignment="1">
      <alignment horizontal="right"/>
    </xf>
    <xf numFmtId="0" fontId="0" fillId="0" borderId="3" xfId="0" applyNumberFormat="1" applyFont="1" applyFill="1" applyBorder="1"/>
    <xf numFmtId="0" fontId="0" fillId="0" borderId="3" xfId="0" applyNumberFormat="1" applyFont="1" applyFill="1" applyBorder="1" applyAlignment="1">
      <alignment horizontal="right"/>
    </xf>
    <xf numFmtId="0" fontId="0" fillId="0" borderId="4" xfId="0" applyNumberFormat="1" applyFont="1" applyFill="1" applyBorder="1" applyAlignment="1">
      <alignment horizontal="right"/>
    </xf>
    <xf numFmtId="0" fontId="0" fillId="2" borderId="4" xfId="0" applyNumberFormat="1" applyFont="1" applyFill="1" applyBorder="1" applyAlignment="1">
      <alignment horizontal="right"/>
    </xf>
    <xf numFmtId="0" fontId="0" fillId="2" borderId="6" xfId="0" applyNumberFormat="1" applyFont="1" applyFill="1" applyBorder="1" applyAlignment="1">
      <alignment horizontal="right"/>
    </xf>
    <xf numFmtId="0" fontId="0" fillId="0" borderId="6" xfId="0" applyNumberFormat="1" applyFont="1" applyFill="1" applyBorder="1" applyAlignment="1">
      <alignment horizontal="right"/>
    </xf>
    <xf numFmtId="0" fontId="2" fillId="2" borderId="4" xfId="0" applyNumberFormat="1" applyFont="1" applyFill="1" applyBorder="1" applyAlignment="1">
      <alignment horizontal="center"/>
    </xf>
    <xf numFmtId="0" fontId="2" fillId="2" borderId="5" xfId="0" applyNumberFormat="1" applyFont="1" applyFill="1" applyBorder="1" applyAlignment="1">
      <alignment horizontal="center"/>
    </xf>
    <xf numFmtId="0" fontId="0" fillId="0" borderId="4" xfId="0" applyNumberFormat="1" applyFont="1" applyFill="1" applyBorder="1" applyAlignment="1">
      <alignment horizontal="center" vertical="top"/>
    </xf>
    <xf numFmtId="0" fontId="0" fillId="0" borderId="5" xfId="0" applyNumberFormat="1" applyFont="1" applyFill="1" applyBorder="1" applyAlignment="1">
      <alignment horizontal="center" vertical="top"/>
    </xf>
    <xf numFmtId="0" fontId="0" fillId="0" borderId="6" xfId="0" applyNumberFormat="1" applyFont="1" applyFill="1" applyBorder="1" applyAlignment="1">
      <alignment horizontal="center" vertical="top"/>
    </xf>
    <xf numFmtId="0" fontId="0" fillId="0" borderId="4" xfId="0" applyNumberFormat="1" applyFont="1" applyFill="1" applyBorder="1" applyAlignment="1">
      <alignment horizontal="right" vertical="top"/>
    </xf>
    <xf numFmtId="0" fontId="0" fillId="0" borderId="5" xfId="0" applyNumberFormat="1" applyFont="1" applyFill="1" applyBorder="1" applyAlignment="1">
      <alignment horizontal="right" vertical="top"/>
    </xf>
    <xf numFmtId="0" fontId="0" fillId="0" borderId="6" xfId="0" applyNumberFormat="1" applyFont="1" applyFill="1" applyBorder="1" applyAlignment="1">
      <alignment horizontal="right" vertical="top"/>
    </xf>
    <xf numFmtId="0" fontId="2" fillId="0" borderId="4" xfId="0" applyNumberFormat="1" applyFont="1" applyFill="1" applyBorder="1" applyAlignment="1">
      <alignment horizontal="right" vertical="top"/>
    </xf>
    <xf numFmtId="0" fontId="2" fillId="0" borderId="5" xfId="0" applyNumberFormat="1" applyFont="1" applyFill="1" applyBorder="1" applyAlignment="1">
      <alignment horizontal="right" vertical="top"/>
    </xf>
    <xf numFmtId="0" fontId="2" fillId="0" borderId="6" xfId="0" applyNumberFormat="1" applyFont="1" applyFill="1" applyBorder="1" applyAlignment="1">
      <alignment horizontal="right" vertical="top"/>
    </xf>
    <xf numFmtId="0" fontId="0" fillId="0" borderId="4" xfId="0" applyNumberFormat="1" applyFont="1" applyFill="1" applyBorder="1" applyAlignment="1">
      <alignment vertical="top"/>
    </xf>
    <xf numFmtId="0" fontId="0" fillId="0" borderId="5" xfId="0" applyNumberFormat="1" applyFont="1" applyFill="1" applyBorder="1" applyAlignment="1">
      <alignment vertical="top"/>
    </xf>
    <xf numFmtId="0" fontId="0" fillId="0" borderId="6" xfId="0" applyNumberFormat="1" applyFont="1" applyFill="1" applyBorder="1" applyAlignment="1">
      <alignment vertical="top"/>
    </xf>
    <xf numFmtId="0" fontId="0" fillId="2" borderId="4" xfId="0" applyNumberFormat="1" applyFont="1" applyFill="1" applyBorder="1" applyAlignment="1">
      <alignment vertical="top"/>
    </xf>
    <xf numFmtId="0" fontId="0" fillId="2" borderId="5" xfId="0" applyNumberFormat="1" applyFont="1" applyFill="1" applyBorder="1" applyAlignment="1">
      <alignment vertical="top"/>
    </xf>
    <xf numFmtId="0" fontId="0" fillId="2" borderId="6" xfId="0" applyNumberFormat="1" applyFont="1" applyFill="1" applyBorder="1" applyAlignment="1">
      <alignment vertical="top"/>
    </xf>
    <xf numFmtId="0" fontId="0" fillId="0" borderId="5" xfId="0" applyNumberFormat="1" applyFont="1" applyFill="1" applyBorder="1" applyAlignment="1">
      <alignment horizontal="center"/>
    </xf>
    <xf numFmtId="0" fontId="2" fillId="0" borderId="4" xfId="0" applyNumberFormat="1" applyFont="1" applyFill="1" applyBorder="1" applyAlignment="1">
      <alignment horizontal="center"/>
    </xf>
    <xf numFmtId="0" fontId="2" fillId="0" borderId="5" xfId="0" applyNumberFormat="1" applyFont="1" applyFill="1" applyBorder="1" applyAlignment="1">
      <alignment horizontal="center"/>
    </xf>
    <xf numFmtId="0" fontId="2" fillId="0" borderId="6" xfId="0" applyNumberFormat="1" applyFont="1" applyFill="1" applyBorder="1" applyAlignment="1">
      <alignment horizontal="center"/>
    </xf>
    <xf numFmtId="0" fontId="0" fillId="2" borderId="4" xfId="0" applyNumberFormat="1" applyFont="1" applyFill="1" applyBorder="1" applyAlignment="1">
      <alignment horizontal="right" vertical="top"/>
    </xf>
    <xf numFmtId="0" fontId="0" fillId="2" borderId="5" xfId="0" applyNumberFormat="1" applyFont="1" applyFill="1" applyBorder="1" applyAlignment="1">
      <alignment horizontal="right" vertical="top"/>
    </xf>
    <xf numFmtId="0" fontId="0" fillId="2" borderId="4" xfId="0" applyNumberFormat="1" applyFont="1" applyFill="1" applyBorder="1" applyAlignment="1">
      <alignment horizontal="center"/>
    </xf>
    <xf numFmtId="0" fontId="0" fillId="2" borderId="5" xfId="0" applyNumberFormat="1" applyFont="1" applyFill="1" applyBorder="1" applyAlignment="1">
      <alignment horizontal="center"/>
    </xf>
    <xf numFmtId="0" fontId="0" fillId="2" borderId="4" xfId="0" applyNumberFormat="1" applyFont="1" applyFill="1" applyBorder="1" applyAlignment="1">
      <alignment vertical="center" wrapText="1"/>
    </xf>
    <xf numFmtId="0" fontId="0" fillId="2" borderId="6" xfId="0" applyNumberFormat="1" applyFont="1" applyFill="1" applyBorder="1" applyAlignment="1">
      <alignment vertical="center" wrapText="1"/>
    </xf>
    <xf numFmtId="0" fontId="2" fillId="0" borderId="9" xfId="0" applyNumberFormat="1" applyFont="1" applyFill="1" applyBorder="1" applyAlignment="1">
      <alignment horizontal="right" vertical="top"/>
    </xf>
    <xf numFmtId="0" fontId="0" fillId="2" borderId="4" xfId="0" applyNumberFormat="1" applyFont="1" applyFill="1" applyBorder="1" applyAlignment="1">
      <alignment horizontal="right" vertical="top" wrapText="1"/>
    </xf>
    <xf numFmtId="0" fontId="0" fillId="2" borderId="5" xfId="0" applyNumberFormat="1" applyFont="1" applyFill="1" applyBorder="1" applyAlignment="1">
      <alignment horizontal="right" vertical="top" wrapText="1"/>
    </xf>
    <xf numFmtId="0" fontId="2" fillId="2" borderId="4" xfId="0" applyNumberFormat="1" applyFont="1" applyFill="1" applyBorder="1" applyAlignment="1">
      <alignment horizontal="right" vertical="top"/>
    </xf>
    <xf numFmtId="0" fontId="2" fillId="2" borderId="9" xfId="0" applyNumberFormat="1" applyFont="1" applyFill="1" applyBorder="1" applyAlignment="1">
      <alignment horizontal="right" vertical="top"/>
    </xf>
    <xf numFmtId="0" fontId="2" fillId="2" borderId="5" xfId="0" applyNumberFormat="1" applyFont="1" applyFill="1" applyBorder="1" applyAlignment="1">
      <alignment horizontal="right" vertical="top"/>
    </xf>
    <xf numFmtId="0" fontId="3" fillId="0" borderId="4" xfId="0" applyNumberFormat="1" applyFont="1" applyFill="1" applyBorder="1" applyAlignment="1">
      <alignment horizontal="right" vertical="top"/>
    </xf>
    <xf numFmtId="0" fontId="3" fillId="0" borderId="6" xfId="0" applyNumberFormat="1" applyFont="1" applyFill="1" applyBorder="1" applyAlignment="1">
      <alignment horizontal="right" vertical="top"/>
    </xf>
    <xf numFmtId="0" fontId="0" fillId="0" borderId="4" xfId="0" applyNumberFormat="1" applyFont="1" applyFill="1" applyBorder="1" applyAlignment="1">
      <alignment horizontal="right" vertical="top" wrapText="1"/>
    </xf>
    <xf numFmtId="0" fontId="0" fillId="0" borderId="5" xfId="0" applyNumberFormat="1" applyFont="1" applyFill="1" applyBorder="1" applyAlignment="1">
      <alignment horizontal="right" vertical="top" wrapText="1"/>
    </xf>
    <xf numFmtId="0" fontId="0" fillId="2" borderId="4" xfId="0" applyNumberFormat="1" applyFont="1" applyFill="1" applyBorder="1" applyAlignment="1">
      <alignment vertical="top" wrapText="1"/>
    </xf>
    <xf numFmtId="0" fontId="0" fillId="2" borderId="5" xfId="0" applyNumberFormat="1" applyFont="1" applyFill="1" applyBorder="1" applyAlignment="1">
      <alignment vertical="top" wrapText="1"/>
    </xf>
    <xf numFmtId="0" fontId="0" fillId="0" borderId="4" xfId="0" applyNumberFormat="1" applyFont="1" applyFill="1" applyBorder="1" applyAlignment="1">
      <alignment vertical="top" wrapText="1"/>
    </xf>
    <xf numFmtId="0" fontId="0" fillId="0" borderId="5" xfId="0" applyNumberFormat="1" applyFont="1" applyFill="1" applyBorder="1" applyAlignment="1">
      <alignment vertical="top" wrapText="1"/>
    </xf>
    <xf numFmtId="0" fontId="12" fillId="5" borderId="11" xfId="2" applyNumberFormat="1" applyFont="1" applyFill="1" applyBorder="1" applyAlignment="1" applyProtection="1">
      <alignment horizontal="right" vertical="center" wrapText="1"/>
      <protection locked="0"/>
    </xf>
    <xf numFmtId="0" fontId="12" fillId="5" borderId="11" xfId="2" applyNumberFormat="1" applyFont="1" applyFill="1" applyBorder="1" applyAlignment="1">
      <alignment horizontal="right" vertical="center" wrapText="1"/>
    </xf>
    <xf numFmtId="0" fontId="12" fillId="5" borderId="11" xfId="2" applyNumberFormat="1" applyFont="1" applyFill="1" applyBorder="1" applyAlignment="1" applyProtection="1">
      <alignment horizontal="left" vertical="center" wrapText="1" indent="1"/>
      <protection locked="0"/>
    </xf>
    <xf numFmtId="0" fontId="7" fillId="3" borderId="12" xfId="0" applyNumberFormat="1" applyFont="1" applyFill="1" applyBorder="1" applyAlignment="1">
      <alignment horizontal="right" vertical="center"/>
    </xf>
    <xf numFmtId="0" fontId="7" fillId="3" borderId="2" xfId="0" applyNumberFormat="1" applyFont="1" applyFill="1" applyBorder="1" applyAlignment="1">
      <alignment horizontal="center" vertical="center" wrapText="1" readingOrder="2"/>
    </xf>
    <xf numFmtId="0" fontId="18" fillId="0" borderId="14" xfId="0" applyNumberFormat="1" applyFont="1" applyFill="1" applyBorder="1"/>
    <xf numFmtId="0" fontId="18" fillId="0" borderId="15" xfId="0" applyNumberFormat="1" applyFont="1" applyFill="1" applyBorder="1"/>
    <xf numFmtId="0" fontId="18" fillId="0" borderId="16" xfId="0" applyNumberFormat="1" applyFont="1" applyFill="1" applyBorder="1" applyAlignment="1">
      <alignment horizontal="right"/>
    </xf>
    <xf numFmtId="0" fontId="20" fillId="0" borderId="1" xfId="0" applyNumberFormat="1" applyFont="1" applyFill="1" applyBorder="1" applyAlignment="1">
      <alignment horizontal="center" vertical="center" wrapText="1" readingOrder="2"/>
    </xf>
    <xf numFmtId="0" fontId="21" fillId="0" borderId="1" xfId="0" applyNumberFormat="1" applyFont="1" applyFill="1" applyBorder="1" applyAlignment="1">
      <alignment vertical="center" wrapText="1" readingOrder="2"/>
    </xf>
    <xf numFmtId="0" fontId="2" fillId="2" borderId="4" xfId="0" applyNumberFormat="1" applyFont="1" applyFill="1" applyBorder="1" applyAlignment="1">
      <alignment horizontal="right"/>
    </xf>
    <xf numFmtId="0" fontId="3" fillId="0" borderId="17" xfId="0" applyNumberFormat="1" applyFont="1" applyFill="1" applyBorder="1" applyAlignment="1">
      <alignment horizontal="right" vertical="top"/>
    </xf>
    <xf numFmtId="0" fontId="0" fillId="0" borderId="4" xfId="0" applyNumberFormat="1" applyFont="1" applyFill="1" applyBorder="1" applyAlignment="1">
      <alignment horizontal="center"/>
    </xf>
    <xf numFmtId="0" fontId="0" fillId="2" borderId="5" xfId="0" applyNumberFormat="1" applyFont="1" applyFill="1" applyBorder="1" applyAlignment="1">
      <alignment horizontal="right"/>
    </xf>
    <xf numFmtId="0" fontId="2" fillId="2" borderId="5" xfId="0" applyNumberFormat="1" applyFont="1" applyFill="1" applyBorder="1" applyAlignment="1">
      <alignment horizontal="right"/>
    </xf>
    <xf numFmtId="0" fontId="0" fillId="0" borderId="18" xfId="0" applyNumberFormat="1" applyFont="1" applyFill="1" applyBorder="1" applyAlignment="1">
      <alignment horizontal="right" vertical="top"/>
    </xf>
    <xf numFmtId="0" fontId="0" fillId="0" borderId="19" xfId="0" applyNumberFormat="1" applyFont="1" applyFill="1" applyBorder="1" applyAlignment="1">
      <alignment horizontal="right"/>
    </xf>
    <xf numFmtId="0" fontId="0" fillId="0" borderId="0" xfId="0" applyNumberFormat="1" applyFont="1" applyFill="1" applyBorder="1" applyAlignment="1">
      <alignment vertical="top"/>
    </xf>
    <xf numFmtId="0" fontId="0" fillId="0" borderId="6" xfId="0" applyNumberFormat="1" applyFont="1" applyFill="1" applyBorder="1" applyAlignment="1">
      <alignment horizontal="right" vertical="top" wrapText="1"/>
    </xf>
    <xf numFmtId="0" fontId="0" fillId="0" borderId="6" xfId="0" applyNumberFormat="1" applyFont="1" applyFill="1" applyBorder="1" applyAlignment="1">
      <alignment vertical="top" wrapText="1"/>
    </xf>
    <xf numFmtId="0" fontId="13" fillId="2" borderId="3" xfId="0" applyNumberFormat="1" applyFont="1" applyFill="1" applyBorder="1" applyAlignment="1">
      <alignment horizontal="right"/>
    </xf>
    <xf numFmtId="0" fontId="2" fillId="2" borderId="3" xfId="0" applyNumberFormat="1" applyFont="1" applyFill="1" applyBorder="1" applyAlignment="1">
      <alignment horizontal="right"/>
    </xf>
    <xf numFmtId="0" fontId="22" fillId="2" borderId="3" xfId="0" applyNumberFormat="1" applyFont="1" applyFill="1" applyBorder="1" applyAlignment="1">
      <alignment horizontal="right"/>
    </xf>
    <xf numFmtId="0" fontId="0" fillId="0" borderId="3" xfId="0" applyNumberFormat="1" applyFont="1" applyFill="1" applyBorder="1" applyAlignment="1">
      <alignment horizontal="right" readingOrder="1"/>
    </xf>
    <xf numFmtId="0" fontId="0" fillId="0" borderId="3" xfId="0" applyNumberFormat="1" applyFont="1" applyFill="1" applyBorder="1" applyAlignment="1">
      <alignment readingOrder="1"/>
    </xf>
    <xf numFmtId="0" fontId="23" fillId="2" borderId="3" xfId="0" applyNumberFormat="1" applyFont="1" applyFill="1" applyBorder="1" applyAlignment="1">
      <alignment horizontal="right"/>
    </xf>
    <xf numFmtId="0" fontId="3" fillId="6" borderId="3" xfId="0" applyNumberFormat="1" applyFont="1" applyFill="1" applyBorder="1" applyAlignment="1">
      <alignment horizontal="right"/>
    </xf>
    <xf numFmtId="0" fontId="24" fillId="0" borderId="0" xfId="0" applyNumberFormat="1" applyFont="1" applyFill="1" applyBorder="1" applyProtection="1">
      <protection locked="0"/>
    </xf>
    <xf numFmtId="0" fontId="24" fillId="0" borderId="0" xfId="0" applyNumberFormat="1" applyFont="1" applyFill="1" applyBorder="1"/>
    <xf numFmtId="43" fontId="7" fillId="3" borderId="10" xfId="1" applyNumberFormat="1" applyFont="1" applyFill="1" applyBorder="1" applyAlignment="1">
      <alignment horizontal="center" vertical="center" wrapText="1"/>
    </xf>
    <xf numFmtId="43" fontId="8" fillId="0" borderId="10" xfId="1" applyNumberFormat="1" applyFont="1" applyFill="1" applyBorder="1" applyAlignment="1">
      <alignment horizontal="center" vertical="center" wrapText="1"/>
    </xf>
    <xf numFmtId="43" fontId="15" fillId="0" borderId="10" xfId="1" applyNumberFormat="1" applyFont="1" applyFill="1" applyBorder="1" applyAlignment="1">
      <alignment horizontal="center" vertical="center" wrapText="1"/>
    </xf>
    <xf numFmtId="43" fontId="7" fillId="3" borderId="13" xfId="1" applyNumberFormat="1" applyFont="1" applyFill="1" applyBorder="1" applyAlignment="1">
      <alignment horizontal="center" vertical="center"/>
    </xf>
    <xf numFmtId="10" fontId="7" fillId="3" borderId="2" xfId="4" applyNumberFormat="1" applyFont="1" applyFill="1" applyBorder="1" applyAlignment="1">
      <alignment horizontal="center" vertical="center" wrapText="1"/>
    </xf>
    <xf numFmtId="10" fontId="0" fillId="0" borderId="0" xfId="4" applyNumberFormat="1" applyFont="1" applyFill="1" applyBorder="1"/>
    <xf numFmtId="10" fontId="2" fillId="0" borderId="0" xfId="4" applyNumberFormat="1" applyFont="1" applyFill="1" applyBorder="1"/>
    <xf numFmtId="4" fontId="0" fillId="0" borderId="0" xfId="0" applyNumberFormat="1" applyFont="1" applyFill="1" applyBorder="1" applyAlignment="1">
      <alignment horizontal="center"/>
    </xf>
    <xf numFmtId="4" fontId="4" fillId="0" borderId="0" xfId="0" applyNumberFormat="1" applyFont="1" applyFill="1" applyBorder="1"/>
    <xf numFmtId="4" fontId="3" fillId="0" borderId="0" xfId="0" applyNumberFormat="1" applyFont="1" applyFill="1" applyBorder="1"/>
    <xf numFmtId="4" fontId="4" fillId="0" borderId="0" xfId="0" applyNumberFormat="1" applyFont="1" applyFill="1" applyBorder="1" applyProtection="1">
      <protection locked="0"/>
    </xf>
    <xf numFmtId="4" fontId="3" fillId="0" borderId="0" xfId="0" applyNumberFormat="1" applyFont="1" applyFill="1" applyBorder="1" applyProtection="1">
      <protection locked="0"/>
    </xf>
    <xf numFmtId="4" fontId="24" fillId="0" borderId="0" xfId="0" applyNumberFormat="1" applyFont="1" applyFill="1" applyBorder="1"/>
    <xf numFmtId="4" fontId="2" fillId="0" borderId="0" xfId="0" applyNumberFormat="1" applyFont="1" applyFill="1" applyBorder="1" applyProtection="1">
      <protection locked="0"/>
    </xf>
    <xf numFmtId="4" fontId="2" fillId="0" borderId="0" xfId="0" applyNumberFormat="1" applyFont="1" applyFill="1" applyBorder="1" applyAlignment="1">
      <alignment horizontal="center"/>
    </xf>
    <xf numFmtId="4" fontId="2" fillId="0" borderId="0" xfId="0" applyNumberFormat="1" applyFont="1" applyFill="1" applyBorder="1"/>
    <xf numFmtId="165" fontId="7" fillId="3" borderId="2" xfId="0" applyNumberFormat="1" applyFont="1" applyFill="1" applyBorder="1" applyAlignment="1">
      <alignment horizontal="center" vertical="center" wrapText="1"/>
    </xf>
    <xf numFmtId="165" fontId="4" fillId="0" borderId="0" xfId="0" applyNumberFormat="1" applyFont="1" applyFill="1" applyBorder="1"/>
    <xf numFmtId="166" fontId="7" fillId="3" borderId="2" xfId="4" applyNumberFormat="1" applyFont="1" applyFill="1" applyBorder="1" applyAlignment="1">
      <alignment horizontal="center" vertical="center" wrapText="1"/>
    </xf>
    <xf numFmtId="166" fontId="25" fillId="0" borderId="0" xfId="4" applyNumberFormat="1" applyFont="1" applyFill="1" applyBorder="1" applyAlignment="1">
      <alignment horizontal="center"/>
    </xf>
    <xf numFmtId="166" fontId="0" fillId="0" borderId="0" xfId="4" applyNumberFormat="1" applyFont="1" applyFill="1" applyBorder="1"/>
    <xf numFmtId="166" fontId="4" fillId="0" borderId="0" xfId="4" applyNumberFormat="1" applyFont="1" applyFill="1" applyBorder="1"/>
    <xf numFmtId="166" fontId="7" fillId="3" borderId="2" xfId="0" applyNumberFormat="1" applyFont="1" applyFill="1" applyBorder="1" applyAlignment="1">
      <alignment horizontal="center" vertical="center" wrapText="1"/>
    </xf>
    <xf numFmtId="166" fontId="4" fillId="0" borderId="0" xfId="0" applyNumberFormat="1" applyFont="1" applyFill="1" applyBorder="1"/>
    <xf numFmtId="166" fontId="3" fillId="0" borderId="0" xfId="4" applyNumberFormat="1" applyFont="1" applyFill="1" applyBorder="1"/>
    <xf numFmtId="166" fontId="3" fillId="0" borderId="0" xfId="0" applyNumberFormat="1" applyFont="1" applyFill="1" applyBorder="1"/>
    <xf numFmtId="165" fontId="3" fillId="0" borderId="0" xfId="0" applyNumberFormat="1" applyFont="1" applyFill="1" applyBorder="1"/>
    <xf numFmtId="164" fontId="7" fillId="3" borderId="2" xfId="0" applyNumberFormat="1" applyFont="1" applyFill="1" applyBorder="1" applyAlignment="1">
      <alignment horizontal="center" vertical="center" wrapText="1"/>
    </xf>
    <xf numFmtId="164" fontId="3" fillId="0" borderId="0" xfId="0" applyNumberFormat="1" applyFont="1" applyFill="1" applyBorder="1"/>
    <xf numFmtId="166" fontId="0" fillId="0" borderId="0" xfId="0" applyNumberFormat="1" applyFont="1" applyFill="1" applyBorder="1"/>
    <xf numFmtId="166" fontId="4" fillId="0" borderId="0" xfId="4" applyNumberFormat="1" applyFont="1" applyFill="1" applyBorder="1" applyProtection="1">
      <protection locked="0"/>
    </xf>
    <xf numFmtId="166" fontId="4" fillId="0" borderId="0" xfId="0" applyNumberFormat="1" applyFont="1" applyFill="1" applyBorder="1" applyProtection="1">
      <protection locked="0"/>
    </xf>
    <xf numFmtId="165" fontId="4" fillId="0" borderId="0" xfId="0" applyNumberFormat="1" applyFont="1" applyFill="1" applyBorder="1" applyProtection="1">
      <protection locked="0"/>
    </xf>
    <xf numFmtId="164" fontId="4" fillId="0" borderId="0" xfId="0" applyNumberFormat="1" applyFont="1" applyFill="1" applyBorder="1" applyProtection="1">
      <protection locked="0"/>
    </xf>
    <xf numFmtId="164" fontId="4" fillId="0" borderId="0" xfId="0" applyNumberFormat="1" applyFont="1" applyFill="1" applyBorder="1"/>
    <xf numFmtId="165" fontId="3" fillId="0" borderId="0" xfId="0" applyNumberFormat="1" applyFont="1" applyFill="1" applyBorder="1" applyProtection="1">
      <protection locked="0"/>
    </xf>
    <xf numFmtId="164" fontId="3" fillId="0" borderId="0" xfId="0" applyNumberFormat="1" applyFont="1" applyFill="1" applyBorder="1" applyProtection="1">
      <protection locked="0"/>
    </xf>
    <xf numFmtId="166" fontId="3" fillId="0" borderId="0" xfId="0" applyNumberFormat="1" applyFont="1" applyFill="1" applyBorder="1" applyProtection="1">
      <protection locked="0"/>
    </xf>
    <xf numFmtId="167" fontId="7" fillId="3" borderId="2" xfId="0" applyNumberFormat="1" applyFont="1" applyFill="1" applyBorder="1" applyAlignment="1">
      <alignment horizontal="center" vertical="center" wrapText="1"/>
    </xf>
    <xf numFmtId="167" fontId="4" fillId="0" borderId="0" xfId="0" applyNumberFormat="1" applyFont="1" applyFill="1" applyBorder="1" applyProtection="1">
      <protection locked="0"/>
    </xf>
    <xf numFmtId="167" fontId="0" fillId="0" borderId="0" xfId="0" applyNumberFormat="1" applyFont="1" applyFill="1" applyBorder="1"/>
    <xf numFmtId="167" fontId="4" fillId="0" borderId="0" xfId="0" applyNumberFormat="1" applyFont="1" applyFill="1" applyBorder="1"/>
    <xf numFmtId="167" fontId="7" fillId="3" borderId="8" xfId="0" applyNumberFormat="1" applyFont="1" applyFill="1" applyBorder="1" applyAlignment="1">
      <alignment horizontal="center" vertical="center" wrapText="1"/>
    </xf>
    <xf numFmtId="167" fontId="2" fillId="0" borderId="0" xfId="0" applyNumberFormat="1" applyFont="1" applyFill="1" applyBorder="1" applyProtection="1">
      <protection locked="0"/>
    </xf>
    <xf numFmtId="166" fontId="2" fillId="0" borderId="0" xfId="0" applyNumberFormat="1" applyFont="1" applyFill="1" applyBorder="1" applyProtection="1">
      <protection locked="0"/>
    </xf>
    <xf numFmtId="10" fontId="7" fillId="3" borderId="2" xfId="0" applyNumberFormat="1" applyFont="1" applyFill="1" applyBorder="1" applyAlignment="1">
      <alignment horizontal="center" vertical="center" wrapText="1"/>
    </xf>
    <xf numFmtId="10" fontId="4" fillId="0" borderId="0" xfId="0" applyNumberFormat="1" applyFont="1" applyFill="1" applyBorder="1" applyProtection="1">
      <protection locked="0"/>
    </xf>
    <xf numFmtId="2" fontId="7" fillId="3" borderId="2" xfId="0" applyNumberFormat="1" applyFont="1" applyFill="1" applyBorder="1" applyAlignment="1">
      <alignment horizontal="center" vertical="center" wrapText="1"/>
    </xf>
    <xf numFmtId="164" fontId="2" fillId="0" borderId="0" xfId="0" applyNumberFormat="1" applyFont="1" applyFill="1" applyBorder="1" applyAlignment="1">
      <alignment horizontal="center"/>
    </xf>
    <xf numFmtId="166" fontId="0" fillId="0" borderId="0" xfId="4" applyNumberFormat="1" applyFont="1" applyFill="1" applyBorder="1" applyAlignment="1">
      <alignment horizontal="center"/>
    </xf>
    <xf numFmtId="164" fontId="2" fillId="0" borderId="0" xfId="0" applyNumberFormat="1" applyFont="1" applyFill="1" applyBorder="1"/>
    <xf numFmtId="0" fontId="7" fillId="3" borderId="2" xfId="0" applyFont="1" applyFill="1" applyBorder="1" applyAlignment="1">
      <alignment horizontal="center" vertical="center" wrapText="1"/>
    </xf>
    <xf numFmtId="0" fontId="2" fillId="0" borderId="0" xfId="0" applyFont="1"/>
    <xf numFmtId="0" fontId="2" fillId="0" borderId="0" xfId="0" applyFont="1" applyProtection="1">
      <protection locked="0"/>
    </xf>
    <xf numFmtId="14" fontId="2" fillId="0" borderId="0" xfId="0" applyNumberFormat="1" applyFont="1" applyProtection="1">
      <protection locked="0"/>
    </xf>
    <xf numFmtId="43" fontId="9" fillId="0" borderId="0" xfId="1"/>
    <xf numFmtId="14" fontId="2" fillId="0" borderId="0" xfId="0" applyNumberFormat="1" applyFont="1"/>
    <xf numFmtId="14" fontId="0" fillId="0" borderId="0" xfId="0" applyNumberFormat="1"/>
    <xf numFmtId="0" fontId="12" fillId="5" borderId="11" xfId="2" applyFont="1" applyFill="1" applyBorder="1" applyAlignment="1" applyProtection="1">
      <alignment horizontal="left" vertical="center" wrapText="1" indent="1"/>
      <protection locked="0"/>
    </xf>
    <xf numFmtId="0" fontId="12" fillId="5" borderId="11" xfId="2" applyFont="1" applyFill="1" applyBorder="1" applyAlignment="1" applyProtection="1">
      <alignment vertical="center" wrapText="1"/>
      <protection locked="0"/>
    </xf>
    <xf numFmtId="0" fontId="27" fillId="0" borderId="0" xfId="0" applyNumberFormat="1" applyFont="1" applyFill="1" applyBorder="1"/>
  </cellXfs>
  <cellStyles count="5">
    <cellStyle name="Comma" xfId="1" builtinId="3"/>
    <cellStyle name="Normal" xfId="0" builtinId="0"/>
    <cellStyle name="Normal 3" xfId="2" xr:uid="{00000000-0005-0000-0000-000002000000}"/>
    <cellStyle name="Normal 9" xfId="3" xr:uid="{00000000-0005-0000-0000-000003000000}"/>
    <cellStyle name="Percent" xfId="4" builtinId="5"/>
  </cellStyles>
  <dxfs count="8"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</dxfs>
  <tableStyles count="1" defaultTableStyle="TableStyleMedium2" defaultPivotStyle="PivotStyleLight16">
    <tableStyle name="Invisible" pivot="0" table="0" count="0" xr9:uid="{CA87097F-178A-465C-8EC9-938A0A88FC84}"/>
  </tableStyles>
  <colors>
    <mruColors>
      <color rgb="FFB2B2B2"/>
      <color rgb="FF7F93AD"/>
      <color rgb="FF7A8FAA"/>
      <color rgb="FF60779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theme" Target="theme/theme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L28"/>
  <sheetViews>
    <sheetView showGridLines="0" rightToLeft="1" tabSelected="1" workbookViewId="0">
      <selection activeCell="D5" sqref="D5"/>
    </sheetView>
  </sheetViews>
  <sheetFormatPr defaultColWidth="0" defaultRowHeight="14.25"/>
  <cols>
    <col min="1" max="1" width="29.5" bestFit="1" customWidth="1"/>
    <col min="2" max="2" width="11" customWidth="1"/>
    <col min="3" max="3" width="4.625" customWidth="1"/>
    <col min="4" max="4" width="67.5" customWidth="1"/>
    <col min="5" max="9" width="9" hidden="1" customWidth="1"/>
    <col min="10" max="10" width="34.75" hidden="1" customWidth="1"/>
    <col min="11" max="11" width="25.875" hidden="1" customWidth="1"/>
    <col min="12" max="12" width="21.5" hidden="1" customWidth="1"/>
  </cols>
  <sheetData>
    <row r="1" spans="1:4" ht="18">
      <c r="A1" s="20" t="s">
        <v>213</v>
      </c>
      <c r="B1" s="21"/>
      <c r="C1" s="21"/>
      <c r="D1" s="21"/>
    </row>
    <row r="3" spans="1:4">
      <c r="A3" t="s">
        <v>214</v>
      </c>
      <c r="D3" s="86" t="s">
        <v>215</v>
      </c>
    </row>
    <row r="5" spans="1:4">
      <c r="A5" t="s">
        <v>216</v>
      </c>
      <c r="D5" s="86" t="s">
        <v>1220</v>
      </c>
    </row>
    <row r="7" spans="1:4">
      <c r="A7" t="s">
        <v>217</v>
      </c>
      <c r="D7" s="86" t="s">
        <v>1224</v>
      </c>
    </row>
    <row r="8" spans="1:4">
      <c r="D8" s="19"/>
    </row>
    <row r="9" spans="1:4">
      <c r="A9" t="s">
        <v>218</v>
      </c>
      <c r="D9" s="86">
        <v>2025</v>
      </c>
    </row>
    <row r="11" spans="1:4">
      <c r="A11" t="s">
        <v>219</v>
      </c>
      <c r="D11" s="86" t="s">
        <v>1293</v>
      </c>
    </row>
    <row r="13" spans="1:4">
      <c r="A13" t="s">
        <v>220</v>
      </c>
      <c r="D13" s="87">
        <f>IFERROR(VLOOKUP(D11,'File Name Info'!A35:B121,2,0),"תא מחושב")</f>
        <v>520042581</v>
      </c>
    </row>
    <row r="15" spans="1:4" ht="15">
      <c r="A15" s="10" t="s">
        <v>221</v>
      </c>
      <c r="D15" s="87" t="str">
        <f>IF(D5="לממונה",CONCATENATE(D13, "_",VLOOKUP(D3,Full_Type,2,0),"_",D7,VLOOKUP(D9,Full_Year,2,0),".xlxs"),IF(D5="לציבור",CONCATENATE(D13,"_",VLOOKUP(D3,Full_Type_Nostro,2,0),"_",VLOOKUP(D5,Full_File_Type,2,0),"_",D7,VLOOKUP(D9,Full_Year,2,0),".xlsx"),"שם קובץ לשמירה"))</f>
        <v>520042581_gm_p_0225.xlsx</v>
      </c>
    </row>
    <row r="16" spans="1:4" ht="15">
      <c r="A16" s="10"/>
      <c r="D16" s="19"/>
    </row>
    <row r="17" spans="1:4" ht="15">
      <c r="A17" s="10" t="s">
        <v>222</v>
      </c>
      <c r="B17" s="8" t="s">
        <v>223</v>
      </c>
      <c r="C17" s="8"/>
      <c r="D17" s="88" t="s">
        <v>3298</v>
      </c>
    </row>
    <row r="18" spans="1:4">
      <c r="A18" s="6"/>
      <c r="D18" s="9"/>
    </row>
    <row r="19" spans="1:4">
      <c r="A19" s="6"/>
      <c r="B19" s="8" t="s">
        <v>224</v>
      </c>
      <c r="C19" s="8"/>
      <c r="D19" s="173" t="s">
        <v>3300</v>
      </c>
    </row>
    <row r="20" spans="1:4">
      <c r="A20" s="6"/>
      <c r="D20" s="9"/>
    </row>
    <row r="21" spans="1:4">
      <c r="A21" s="6"/>
      <c r="B21" s="8" t="s">
        <v>225</v>
      </c>
      <c r="C21" s="8"/>
      <c r="D21" s="174" t="s">
        <v>3299</v>
      </c>
    </row>
    <row r="22" spans="1:4">
      <c r="A22" s="6"/>
      <c r="B22" s="7"/>
      <c r="C22" s="7"/>
    </row>
    <row r="23" spans="1:4" ht="15">
      <c r="A23" s="10" t="s">
        <v>226</v>
      </c>
      <c r="D23" t="s">
        <v>227</v>
      </c>
    </row>
    <row r="28" spans="1:4" ht="14.1" customHeight="1"/>
  </sheetData>
  <conditionalFormatting sqref="D3">
    <cfRule type="containsText" dxfId="7" priority="15" operator="containsText" text="Please fill in data">
      <formula>NOT(ISERROR(SEARCH("Please fill in data",D3)))</formula>
    </cfRule>
  </conditionalFormatting>
  <conditionalFormatting sqref="D5">
    <cfRule type="containsText" dxfId="6" priority="9" operator="containsText" text="Please fill in data">
      <formula>NOT(ISERROR(SEARCH("Please fill in data",D5)))</formula>
    </cfRule>
  </conditionalFormatting>
  <conditionalFormatting sqref="D7:D9">
    <cfRule type="containsText" dxfId="5" priority="7" operator="containsText" text="Please fill in data">
      <formula>NOT(ISERROR(SEARCH("Please fill in data",D7)))</formula>
    </cfRule>
  </conditionalFormatting>
  <conditionalFormatting sqref="D11">
    <cfRule type="containsText" dxfId="4" priority="6" operator="containsText" text="Please fill in data">
      <formula>NOT(ISERROR(SEARCH("Please fill in data",D11)))</formula>
    </cfRule>
  </conditionalFormatting>
  <conditionalFormatting sqref="D13">
    <cfRule type="containsText" dxfId="3" priority="5" operator="containsText" text="Please fill in data">
      <formula>NOT(ISERROR(SEARCH("Please fill in data",D13)))</formula>
    </cfRule>
  </conditionalFormatting>
  <conditionalFormatting sqref="D15:D17">
    <cfRule type="containsText" dxfId="2" priority="3" operator="containsText" text="Please fill in data">
      <formula>NOT(ISERROR(SEARCH("Please fill in data",D15)))</formula>
    </cfRule>
  </conditionalFormatting>
  <conditionalFormatting sqref="D19">
    <cfRule type="containsText" dxfId="1" priority="2" operator="containsText" text="Please fill in data">
      <formula>NOT(ISERROR(SEARCH("Please fill in data",D19)))</formula>
    </cfRule>
  </conditionalFormatting>
  <conditionalFormatting sqref="D21">
    <cfRule type="containsText" dxfId="0" priority="1" operator="containsText" text="Please fill in data">
      <formula>NOT(ISERROR(SEARCH("Please fill in data",D21)))</formula>
    </cfRule>
  </conditionalFormatting>
  <dataValidations count="5">
    <dataValidation type="list" allowBlank="1" showInputMessage="1" showErrorMessage="1" sqref="D3" xr:uid="{00000000-0002-0000-0000-000000000000}">
      <formula1>Type</formula1>
    </dataValidation>
    <dataValidation type="list" allowBlank="1" showInputMessage="1" showErrorMessage="1" sqref="D5" xr:uid="{00000000-0002-0000-0000-000001000000}">
      <formula1>File_Type</formula1>
    </dataValidation>
    <dataValidation type="list" allowBlank="1" showInputMessage="1" showErrorMessage="1" sqref="D7" xr:uid="{00000000-0002-0000-0000-000002000000}">
      <formula1>QTR</formula1>
    </dataValidation>
    <dataValidation type="list" allowBlank="1" showInputMessage="1" showErrorMessage="1" sqref="D9" xr:uid="{00000000-0002-0000-0000-000003000000}">
      <formula1>YEAR</formula1>
    </dataValidation>
    <dataValidation type="list" allowBlank="1" showInputMessage="1" showErrorMessage="1" sqref="D11" xr:uid="{00000000-0002-0000-0000-000004000000}">
      <formula1>Company_Name</formula1>
    </dataValidation>
  </dataValidation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/>
  <dimension ref="A1:L32"/>
  <sheetViews>
    <sheetView showGridLines="0" rightToLeft="1" workbookViewId="0">
      <selection activeCell="A2" sqref="A2"/>
    </sheetView>
  </sheetViews>
  <sheetFormatPr defaultColWidth="0" defaultRowHeight="14.25"/>
  <cols>
    <col min="1" max="1" width="42.75" customWidth="1"/>
    <col min="2" max="5" width="13" customWidth="1"/>
    <col min="6" max="6" width="11.125" hidden="1" customWidth="1"/>
    <col min="7" max="8" width="8.625" hidden="1" customWidth="1"/>
    <col min="9" max="10" width="9" hidden="1" customWidth="1"/>
    <col min="11" max="12" width="8.625" hidden="1" customWidth="1"/>
  </cols>
  <sheetData>
    <row r="1" spans="1:4" ht="18.75" customHeight="1">
      <c r="A1" s="31"/>
      <c r="B1" s="115"/>
      <c r="C1" s="89" t="s">
        <v>1194</v>
      </c>
      <c r="D1" s="118"/>
    </row>
    <row r="2" spans="1:4" ht="39.75" customHeight="1">
      <c r="A2" s="31"/>
      <c r="B2" s="115" t="s">
        <v>36</v>
      </c>
      <c r="C2" s="32" t="s">
        <v>928</v>
      </c>
      <c r="D2" s="115" t="s">
        <v>22</v>
      </c>
    </row>
    <row r="3" spans="1:4">
      <c r="A3" s="34" t="s">
        <v>981</v>
      </c>
      <c r="B3" s="116">
        <f>SUM('מזומנים ושווי מזומנים'!O:O)</f>
        <v>92632.757000000012</v>
      </c>
      <c r="C3" s="35"/>
      <c r="D3" s="116">
        <f>B3+C3</f>
        <v>92632.757000000012</v>
      </c>
    </row>
    <row r="4" spans="1:4">
      <c r="A4" s="34" t="s">
        <v>991</v>
      </c>
      <c r="B4" s="116">
        <f>SUM('איגרות חוב ממשלתיות'!U:U)</f>
        <v>448511.03499999997</v>
      </c>
      <c r="C4" s="35"/>
      <c r="D4" s="116">
        <f t="shared" ref="D4:D29" si="0">B4+C4</f>
        <v>448511.03499999997</v>
      </c>
    </row>
    <row r="5" spans="1:4">
      <c r="A5" s="34" t="s">
        <v>996</v>
      </c>
      <c r="B5" s="116">
        <f>SUM('ניירות ערך מסחריים'!AD:AD)</f>
        <v>0</v>
      </c>
      <c r="C5" s="35"/>
      <c r="D5" s="116">
        <f t="shared" si="0"/>
        <v>0</v>
      </c>
    </row>
    <row r="6" spans="1:4">
      <c r="A6" s="34" t="s">
        <v>997</v>
      </c>
      <c r="B6" s="116">
        <f>SUM('איגרות חוב'!AD:AD)</f>
        <v>315190.86599999998</v>
      </c>
      <c r="C6" s="35"/>
      <c r="D6" s="116">
        <f t="shared" si="0"/>
        <v>315190.86599999998</v>
      </c>
    </row>
    <row r="7" spans="1:4">
      <c r="A7" s="34" t="s">
        <v>1004</v>
      </c>
      <c r="B7" s="116">
        <f>SUM('מניות מבכ ויהש'!U:U)</f>
        <v>397450.09</v>
      </c>
      <c r="C7" s="35"/>
      <c r="D7" s="116">
        <f t="shared" si="0"/>
        <v>397450.09</v>
      </c>
    </row>
    <row r="8" spans="1:4">
      <c r="A8" s="34" t="s">
        <v>504</v>
      </c>
      <c r="B8" s="116">
        <f>SUM('קרנות סל'!T:T)</f>
        <v>546953.26000000013</v>
      </c>
      <c r="C8" s="35"/>
      <c r="D8" s="116">
        <f t="shared" si="0"/>
        <v>546953.26000000013</v>
      </c>
    </row>
    <row r="9" spans="1:4">
      <c r="A9" s="34" t="s">
        <v>1017</v>
      </c>
      <c r="B9" s="116">
        <f>SUM('קרנות נאמנות'!T:T)</f>
        <v>28684.904999999999</v>
      </c>
      <c r="C9" s="35"/>
      <c r="D9" s="116">
        <f t="shared" si="0"/>
        <v>28684.904999999999</v>
      </c>
    </row>
    <row r="10" spans="1:4">
      <c r="A10" s="34" t="s">
        <v>1139</v>
      </c>
      <c r="B10" s="116">
        <f>SUM('כתבי אופציה'!W:W)</f>
        <v>267.27899999999994</v>
      </c>
      <c r="C10" s="35"/>
      <c r="D10" s="116">
        <f t="shared" si="0"/>
        <v>267.27899999999994</v>
      </c>
    </row>
    <row r="11" spans="1:4">
      <c r="A11" s="34" t="s">
        <v>1020</v>
      </c>
      <c r="B11" s="116">
        <f>SUM(אופציות!V:V)</f>
        <v>0</v>
      </c>
      <c r="C11" s="35"/>
      <c r="D11" s="116">
        <f t="shared" si="0"/>
        <v>0</v>
      </c>
    </row>
    <row r="12" spans="1:4">
      <c r="A12" s="34" t="s">
        <v>1144</v>
      </c>
      <c r="B12" s="116">
        <f>SUM('חוזים עתידיים'!R:R)</f>
        <v>3035.0729999999999</v>
      </c>
      <c r="C12" s="35"/>
      <c r="D12" s="116">
        <f t="shared" si="0"/>
        <v>3035.0729999999999</v>
      </c>
    </row>
    <row r="13" spans="1:4">
      <c r="A13" s="34" t="s">
        <v>1025</v>
      </c>
      <c r="B13" s="116">
        <f>SUM('מוצרים מובנים'!Z:Z)</f>
        <v>4664.0519999999997</v>
      </c>
      <c r="C13" s="35"/>
      <c r="D13" s="116">
        <f t="shared" si="0"/>
        <v>4664.0519999999997</v>
      </c>
    </row>
    <row r="14" spans="1:4">
      <c r="A14" s="34" t="s">
        <v>1032</v>
      </c>
      <c r="B14" s="116">
        <f>SUM('לא סחיר איגרות חוב ממשלתיות'!U:U)</f>
        <v>0</v>
      </c>
      <c r="C14" s="35"/>
      <c r="D14" s="116">
        <f t="shared" si="0"/>
        <v>0</v>
      </c>
    </row>
    <row r="15" spans="1:4">
      <c r="A15" s="34" t="s">
        <v>1033</v>
      </c>
      <c r="B15" s="116">
        <f>SUM('לא סחיר איגרות חוב מיועדות'!N:N)</f>
        <v>0</v>
      </c>
      <c r="C15" s="35"/>
      <c r="D15" s="116">
        <f t="shared" si="0"/>
        <v>0</v>
      </c>
    </row>
    <row r="16" spans="1:4">
      <c r="A16" s="34" t="s">
        <v>1039</v>
      </c>
      <c r="B16" s="116">
        <f>SUM('אפיק השקעה מובטח תשואה'!F:F)</f>
        <v>0</v>
      </c>
      <c r="C16" s="35"/>
      <c r="D16" s="116">
        <f t="shared" si="0"/>
        <v>0</v>
      </c>
    </row>
    <row r="17" spans="1:4">
      <c r="A17" s="34" t="s">
        <v>1043</v>
      </c>
      <c r="B17" s="116">
        <f>SUM('לא סחיר ניירות ערך מסחריים'!AI:AI)</f>
        <v>940.02199999999993</v>
      </c>
      <c r="C17" s="35"/>
      <c r="D17" s="116">
        <f t="shared" si="0"/>
        <v>940.02199999999993</v>
      </c>
    </row>
    <row r="18" spans="1:4">
      <c r="A18" s="34" t="s">
        <v>1045</v>
      </c>
      <c r="B18" s="116">
        <f>SUM('לא סחיר איגרות חוב'!AG:AG)</f>
        <v>17982.965</v>
      </c>
      <c r="C18" s="35"/>
      <c r="D18" s="116">
        <f t="shared" si="0"/>
        <v>17982.965</v>
      </c>
    </row>
    <row r="19" spans="1:4">
      <c r="A19" s="34" t="s">
        <v>1048</v>
      </c>
      <c r="B19" s="116">
        <f>SUM('לא סחיר מניות מבכ ויהש'!X:X)</f>
        <v>2287.8479999999995</v>
      </c>
      <c r="C19" s="35"/>
      <c r="D19" s="116">
        <f t="shared" si="0"/>
        <v>2287.8479999999995</v>
      </c>
    </row>
    <row r="20" spans="1:4">
      <c r="A20" s="34" t="s">
        <v>808</v>
      </c>
      <c r="B20" s="116">
        <f>SUM('קרנות השקעה'!W:W)</f>
        <v>263001.42499999993</v>
      </c>
      <c r="C20" s="35"/>
      <c r="D20" s="116">
        <f t="shared" si="0"/>
        <v>263001.42499999993</v>
      </c>
    </row>
    <row r="21" spans="1:4">
      <c r="A21" s="34" t="s">
        <v>1155</v>
      </c>
      <c r="B21" s="116">
        <f>SUM('לא סחיר כתבי אופציה'!Z:Z)</f>
        <v>2.0669999999999997</v>
      </c>
      <c r="C21" s="35"/>
      <c r="D21" s="116">
        <f t="shared" si="0"/>
        <v>2.0669999999999997</v>
      </c>
    </row>
    <row r="22" spans="1:4">
      <c r="A22" s="34" t="s">
        <v>1063</v>
      </c>
      <c r="B22" s="116">
        <f>SUM('לא סחיר אופציות'!Z:Z)</f>
        <v>0</v>
      </c>
      <c r="C22" s="35"/>
      <c r="D22" s="116">
        <f t="shared" si="0"/>
        <v>0</v>
      </c>
    </row>
    <row r="23" spans="1:4">
      <c r="A23" s="34" t="s">
        <v>1072</v>
      </c>
      <c r="B23" s="116">
        <f>SUM('לא סחיר נגזרים אחרים'!R:R)</f>
        <v>20423.073879999996</v>
      </c>
      <c r="C23" s="35"/>
      <c r="D23" s="116">
        <f t="shared" si="0"/>
        <v>20423.073879999996</v>
      </c>
    </row>
    <row r="24" spans="1:4">
      <c r="A24" s="34" t="s">
        <v>1065</v>
      </c>
      <c r="B24" s="116">
        <f>SUM(הלוואות!AT:AT)</f>
        <v>28812.432000000001</v>
      </c>
      <c r="C24" s="35"/>
      <c r="D24" s="116">
        <f t="shared" si="0"/>
        <v>28812.432000000001</v>
      </c>
    </row>
    <row r="25" spans="1:4">
      <c r="A25" s="34" t="s">
        <v>1083</v>
      </c>
      <c r="B25" s="116">
        <f>SUM('לא סחיר מוצרים מובנים'!AB:AB)</f>
        <v>0</v>
      </c>
      <c r="C25" s="35"/>
      <c r="D25" s="116">
        <f t="shared" si="0"/>
        <v>0</v>
      </c>
    </row>
    <row r="26" spans="1:4">
      <c r="A26" s="34" t="s">
        <v>1088</v>
      </c>
      <c r="B26" s="116">
        <f>SUM('פיקדונות מעל 3 חודשים'!T:T)</f>
        <v>0</v>
      </c>
      <c r="C26" s="35"/>
      <c r="D26" s="116">
        <f t="shared" si="0"/>
        <v>0</v>
      </c>
    </row>
    <row r="27" spans="1:4">
      <c r="A27" s="34" t="s">
        <v>1091</v>
      </c>
      <c r="B27" s="116">
        <f>SUM('זכויות מקרקעין'!S:S)</f>
        <v>567.50400000000002</v>
      </c>
      <c r="C27" s="35"/>
      <c r="D27" s="116">
        <f t="shared" si="0"/>
        <v>567.50400000000002</v>
      </c>
    </row>
    <row r="28" spans="1:4">
      <c r="A28" s="34" t="s">
        <v>1125</v>
      </c>
      <c r="B28" s="116">
        <f>SUM('השקעה בחברות מוחזקות'!U:U)</f>
        <v>0</v>
      </c>
      <c r="C28" s="35"/>
      <c r="D28" s="116">
        <f t="shared" si="0"/>
        <v>0</v>
      </c>
    </row>
    <row r="29" spans="1:4">
      <c r="A29" s="34" t="s">
        <v>1093</v>
      </c>
      <c r="B29" s="116">
        <f>SUM('נכסים אחרים'!N:N)</f>
        <v>-705.85300000000018</v>
      </c>
      <c r="C29" s="35"/>
      <c r="D29" s="116">
        <f t="shared" si="0"/>
        <v>-705.85300000000018</v>
      </c>
    </row>
    <row r="30" spans="1:4">
      <c r="A30" s="33" t="s">
        <v>1195</v>
      </c>
      <c r="B30" s="117">
        <f>IF(SUM(B3:B29)=0,0.0001,SUM(B3:B29))</f>
        <v>2170700.8008800005</v>
      </c>
      <c r="C30" s="36">
        <f t="shared" ref="C30:D30" si="1">SUM(C3:C29)</f>
        <v>0</v>
      </c>
      <c r="D30" s="117">
        <f t="shared" si="1"/>
        <v>2170700.8008800005</v>
      </c>
    </row>
    <row r="31" spans="1:4">
      <c r="A31" s="34" t="s">
        <v>1193</v>
      </c>
      <c r="B31" s="116"/>
      <c r="C31" s="35"/>
      <c r="D31" s="116"/>
    </row>
    <row r="32" spans="1:4">
      <c r="A32" s="34" t="s">
        <v>1196</v>
      </c>
      <c r="B32" s="116">
        <f>SUM('יתרות התחייבות להשקעה'!O:O)</f>
        <v>88882.755360096024</v>
      </c>
      <c r="C32" s="35"/>
      <c r="D32" s="116"/>
    </row>
  </sheetData>
  <customSheetViews>
    <customSheetView guid="{AE318230-F718-49FC-82EB-7CAC3DCD05F1}" showGridLines="0">
      <pageMargins left="0.7" right="0.7" top="0.75" bottom="0.75" header="0.3" footer="0.3"/>
      <pageSetup orientation="portrait"/>
    </customSheetView>
  </customSheetView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/>
  <dimension ref="A1:R73"/>
  <sheetViews>
    <sheetView rightToLeft="1" topLeftCell="A25" zoomScale="85" zoomScaleNormal="85" workbookViewId="0">
      <selection activeCell="C7" sqref="C7"/>
    </sheetView>
  </sheetViews>
  <sheetFormatPr defaultColWidth="0" defaultRowHeight="14.25" zeroHeight="1"/>
  <cols>
    <col min="1" max="17" width="11.625" customWidth="1"/>
    <col min="18" max="18" width="11.625" hidden="1" customWidth="1"/>
  </cols>
  <sheetData>
    <row r="1" spans="1:17" ht="66.75" customHeight="1">
      <c r="A1" s="12" t="s">
        <v>0</v>
      </c>
      <c r="B1" s="12" t="s">
        <v>1</v>
      </c>
      <c r="C1" s="12" t="s">
        <v>196</v>
      </c>
      <c r="D1" s="12" t="s">
        <v>197</v>
      </c>
      <c r="E1" s="12" t="s">
        <v>198</v>
      </c>
      <c r="F1" s="12" t="s">
        <v>5</v>
      </c>
      <c r="G1" s="12" t="s">
        <v>6</v>
      </c>
      <c r="H1" s="12" t="s">
        <v>146</v>
      </c>
      <c r="I1" s="12" t="s">
        <v>200</v>
      </c>
      <c r="J1" s="12" t="s">
        <v>10</v>
      </c>
      <c r="K1" s="12" t="s">
        <v>11</v>
      </c>
      <c r="L1" s="12" t="s">
        <v>156</v>
      </c>
      <c r="M1" s="131" t="s">
        <v>18</v>
      </c>
      <c r="N1" s="133" t="s">
        <v>14</v>
      </c>
      <c r="O1" s="12" t="s">
        <v>20</v>
      </c>
      <c r="P1" s="137" t="s">
        <v>24</v>
      </c>
      <c r="Q1" s="137" t="s">
        <v>25</v>
      </c>
    </row>
    <row r="2" spans="1:17">
      <c r="A2" s="2">
        <v>14076</v>
      </c>
      <c r="B2" s="2">
        <v>14077</v>
      </c>
      <c r="C2" s="2" t="s">
        <v>1197</v>
      </c>
      <c r="D2" s="2" t="s">
        <v>1198</v>
      </c>
      <c r="E2" s="3" t="s">
        <v>350</v>
      </c>
      <c r="F2" s="2" t="s">
        <v>984</v>
      </c>
      <c r="G2" s="2" t="s">
        <v>30</v>
      </c>
      <c r="H2" s="2" t="s">
        <v>160</v>
      </c>
      <c r="I2" s="2" t="s">
        <v>1199</v>
      </c>
      <c r="J2" s="2" t="s">
        <v>446</v>
      </c>
      <c r="K2" s="2" t="s">
        <v>90</v>
      </c>
      <c r="L2" s="122">
        <v>17.655000000000001</v>
      </c>
      <c r="M2" s="132">
        <v>3.3719999999999999</v>
      </c>
      <c r="N2" s="134">
        <v>0</v>
      </c>
      <c r="O2" s="123">
        <v>59.531999999999996</v>
      </c>
      <c r="P2" s="138">
        <v>0.115947483115435</v>
      </c>
      <c r="Q2" s="138">
        <v>3.1124816311019102E-3</v>
      </c>
    </row>
    <row r="3" spans="1:17">
      <c r="A3" s="2">
        <v>14076</v>
      </c>
      <c r="B3" s="2">
        <v>14077</v>
      </c>
      <c r="C3" s="2" t="s">
        <v>1197</v>
      </c>
      <c r="D3" s="2" t="s">
        <v>1198</v>
      </c>
      <c r="E3" s="11" t="s">
        <v>350</v>
      </c>
      <c r="F3" s="2" t="s">
        <v>984</v>
      </c>
      <c r="G3" s="2" t="s">
        <v>30</v>
      </c>
      <c r="H3" s="2" t="s">
        <v>160</v>
      </c>
      <c r="I3" s="2" t="s">
        <v>1199</v>
      </c>
      <c r="J3" s="2" t="s">
        <v>446</v>
      </c>
      <c r="K3" s="2" t="s">
        <v>1200</v>
      </c>
      <c r="L3" s="123">
        <v>0.72499999999999998</v>
      </c>
      <c r="M3" s="132">
        <v>3.9552</v>
      </c>
      <c r="N3" s="135">
        <v>0</v>
      </c>
      <c r="O3" s="123">
        <v>2.8690000000000002</v>
      </c>
      <c r="P3" s="138">
        <v>5.5885812681139603E-3</v>
      </c>
      <c r="Q3" s="138">
        <v>1.50019267978481E-4</v>
      </c>
    </row>
    <row r="4" spans="1:17">
      <c r="A4" s="2">
        <v>14076</v>
      </c>
      <c r="B4" s="2">
        <v>14077</v>
      </c>
      <c r="C4" s="2" t="s">
        <v>1197</v>
      </c>
      <c r="D4" s="2" t="s">
        <v>1198</v>
      </c>
      <c r="E4" s="11" t="s">
        <v>350</v>
      </c>
      <c r="F4" s="2" t="s">
        <v>982</v>
      </c>
      <c r="G4" s="2" t="s">
        <v>30</v>
      </c>
      <c r="H4" s="2" t="s">
        <v>160</v>
      </c>
      <c r="I4" s="2" t="s">
        <v>1199</v>
      </c>
      <c r="J4" s="2" t="s">
        <v>446</v>
      </c>
      <c r="K4" s="2" t="s">
        <v>34</v>
      </c>
      <c r="L4" s="123">
        <v>451.03500000000003</v>
      </c>
      <c r="M4" s="132">
        <v>1</v>
      </c>
      <c r="N4" s="135">
        <v>3.7999999999999999E-2</v>
      </c>
      <c r="O4" s="123">
        <v>451.03500000000003</v>
      </c>
      <c r="P4" s="138">
        <v>0.87846370189697198</v>
      </c>
      <c r="Q4" s="138">
        <v>2.3581384108372402E-2</v>
      </c>
    </row>
    <row r="5" spans="1:17">
      <c r="A5" s="2">
        <v>14076</v>
      </c>
      <c r="B5" s="2">
        <v>14077</v>
      </c>
      <c r="C5" s="2" t="s">
        <v>1197</v>
      </c>
      <c r="D5" s="2" t="s">
        <v>1198</v>
      </c>
      <c r="E5" s="11" t="s">
        <v>350</v>
      </c>
      <c r="F5" s="2" t="s">
        <v>982</v>
      </c>
      <c r="G5" s="2" t="s">
        <v>30</v>
      </c>
      <c r="H5" s="2" t="s">
        <v>160</v>
      </c>
      <c r="I5" s="2" t="s">
        <v>1199</v>
      </c>
      <c r="J5" s="2" t="s">
        <v>446</v>
      </c>
      <c r="K5" s="2" t="s">
        <v>34</v>
      </c>
      <c r="L5" s="123">
        <v>0</v>
      </c>
      <c r="M5" s="132">
        <v>1</v>
      </c>
      <c r="N5" s="135">
        <v>3.7999999999999999E-2</v>
      </c>
      <c r="O5" s="123">
        <v>0</v>
      </c>
      <c r="P5" s="138">
        <v>2.3371947911445799E-7</v>
      </c>
      <c r="Q5" s="138">
        <v>6.2739402876923404E-9</v>
      </c>
    </row>
    <row r="6" spans="1:17">
      <c r="A6" s="2">
        <v>14076</v>
      </c>
      <c r="B6" s="2">
        <v>14078</v>
      </c>
      <c r="C6" s="2" t="s">
        <v>1197</v>
      </c>
      <c r="D6" s="2" t="s">
        <v>1198</v>
      </c>
      <c r="E6" s="11" t="s">
        <v>350</v>
      </c>
      <c r="F6" s="2" t="s">
        <v>982</v>
      </c>
      <c r="G6" s="2" t="s">
        <v>30</v>
      </c>
      <c r="H6" s="2" t="s">
        <v>160</v>
      </c>
      <c r="I6" s="2" t="s">
        <v>1199</v>
      </c>
      <c r="J6" s="2" t="s">
        <v>446</v>
      </c>
      <c r="K6" s="2" t="s">
        <v>34</v>
      </c>
      <c r="L6" s="123">
        <v>81.593000000000004</v>
      </c>
      <c r="M6" s="132">
        <v>1</v>
      </c>
      <c r="N6" s="135">
        <v>3.7999999999999999E-2</v>
      </c>
      <c r="O6" s="123">
        <v>81.593000000000004</v>
      </c>
      <c r="P6" s="138">
        <v>1.0000002451182599</v>
      </c>
      <c r="Q6" s="138">
        <v>3.91632015953296E-2</v>
      </c>
    </row>
    <row r="7" spans="1:17">
      <c r="A7" s="2">
        <v>14076</v>
      </c>
      <c r="B7" s="2">
        <v>14078</v>
      </c>
      <c r="C7" s="2" t="s">
        <v>1197</v>
      </c>
      <c r="D7" s="2" t="s">
        <v>1198</v>
      </c>
      <c r="E7" s="11" t="s">
        <v>350</v>
      </c>
      <c r="F7" s="2" t="s">
        <v>982</v>
      </c>
      <c r="G7" s="2" t="s">
        <v>30</v>
      </c>
      <c r="H7" s="2" t="s">
        <v>160</v>
      </c>
      <c r="I7" s="2" t="s">
        <v>1199</v>
      </c>
      <c r="J7" s="2" t="s">
        <v>446</v>
      </c>
      <c r="K7" s="2" t="s">
        <v>34</v>
      </c>
      <c r="L7" s="123">
        <v>0</v>
      </c>
      <c r="M7" s="132">
        <v>1</v>
      </c>
      <c r="N7" s="135">
        <v>3.7999999999999999E-2</v>
      </c>
      <c r="O7" s="123">
        <v>0</v>
      </c>
      <c r="P7" s="138">
        <v>-2.4511825546396202E-7</v>
      </c>
      <c r="Q7" s="138">
        <v>-9.5996133003901603E-9</v>
      </c>
    </row>
    <row r="8" spans="1:17">
      <c r="A8" s="2">
        <v>14076</v>
      </c>
      <c r="B8" s="2">
        <v>14079</v>
      </c>
      <c r="C8" s="2" t="s">
        <v>1197</v>
      </c>
      <c r="D8" s="2" t="s">
        <v>1198</v>
      </c>
      <c r="E8" s="11" t="s">
        <v>350</v>
      </c>
      <c r="F8" s="2" t="s">
        <v>984</v>
      </c>
      <c r="G8" s="2" t="s">
        <v>30</v>
      </c>
      <c r="H8" s="2" t="s">
        <v>160</v>
      </c>
      <c r="I8" s="2" t="s">
        <v>1199</v>
      </c>
      <c r="J8" s="2" t="s">
        <v>446</v>
      </c>
      <c r="K8" s="2" t="s">
        <v>90</v>
      </c>
      <c r="L8" s="123">
        <v>0.34699999999999998</v>
      </c>
      <c r="M8" s="132">
        <v>3.3719999999999999</v>
      </c>
      <c r="N8" s="135">
        <v>0</v>
      </c>
      <c r="O8" s="123">
        <v>1.171</v>
      </c>
      <c r="P8" s="138">
        <v>5.2052258606141598E-3</v>
      </c>
      <c r="Q8" s="138">
        <v>1.51871680796183E-4</v>
      </c>
    </row>
    <row r="9" spans="1:17">
      <c r="A9" s="2">
        <v>14076</v>
      </c>
      <c r="B9" s="2">
        <v>14079</v>
      </c>
      <c r="C9" s="2" t="s">
        <v>1197</v>
      </c>
      <c r="D9" s="2" t="s">
        <v>1198</v>
      </c>
      <c r="E9" s="11" t="s">
        <v>350</v>
      </c>
      <c r="F9" s="2" t="s">
        <v>984</v>
      </c>
      <c r="G9" s="2" t="s">
        <v>30</v>
      </c>
      <c r="H9" s="2" t="s">
        <v>160</v>
      </c>
      <c r="I9" s="2" t="s">
        <v>1199</v>
      </c>
      <c r="J9" s="2" t="s">
        <v>446</v>
      </c>
      <c r="K9" s="2" t="s">
        <v>1200</v>
      </c>
      <c r="L9" s="123">
        <v>0.58199999999999996</v>
      </c>
      <c r="M9" s="132">
        <v>3.9552</v>
      </c>
      <c r="N9" s="135">
        <v>0</v>
      </c>
      <c r="O9" s="123">
        <v>2.3029999999999999</v>
      </c>
      <c r="P9" s="138">
        <v>1.0241113927564801E-2</v>
      </c>
      <c r="Q9" s="138">
        <v>2.9880263163469201E-4</v>
      </c>
    </row>
    <row r="10" spans="1:17">
      <c r="A10" s="2">
        <v>14076</v>
      </c>
      <c r="B10" s="2">
        <v>14079</v>
      </c>
      <c r="C10" s="2" t="s">
        <v>1197</v>
      </c>
      <c r="D10" s="2" t="s">
        <v>1198</v>
      </c>
      <c r="E10" s="11" t="s">
        <v>350</v>
      </c>
      <c r="F10" s="2" t="s">
        <v>982</v>
      </c>
      <c r="G10" s="2" t="s">
        <v>30</v>
      </c>
      <c r="H10" s="2" t="s">
        <v>160</v>
      </c>
      <c r="I10" s="2" t="s">
        <v>1199</v>
      </c>
      <c r="J10" s="2" t="s">
        <v>446</v>
      </c>
      <c r="K10" s="2" t="s">
        <v>34</v>
      </c>
      <c r="L10" s="123">
        <v>221.446</v>
      </c>
      <c r="M10" s="132">
        <v>1</v>
      </c>
      <c r="N10" s="135">
        <v>3.7999999999999999E-2</v>
      </c>
      <c r="O10" s="123">
        <v>221.446</v>
      </c>
      <c r="P10" s="138">
        <v>0.98455361575153</v>
      </c>
      <c r="Q10" s="138">
        <v>2.87260949788068E-2</v>
      </c>
    </row>
    <row r="11" spans="1:17">
      <c r="A11" s="2">
        <v>14076</v>
      </c>
      <c r="B11" s="2">
        <v>14079</v>
      </c>
      <c r="C11" s="2" t="s">
        <v>1197</v>
      </c>
      <c r="D11" s="2" t="s">
        <v>1198</v>
      </c>
      <c r="E11" s="11" t="s">
        <v>350</v>
      </c>
      <c r="F11" s="2" t="s">
        <v>982</v>
      </c>
      <c r="G11" s="2" t="s">
        <v>30</v>
      </c>
      <c r="H11" s="2" t="s">
        <v>160</v>
      </c>
      <c r="I11" s="2" t="s">
        <v>1199</v>
      </c>
      <c r="J11" s="2" t="s">
        <v>446</v>
      </c>
      <c r="K11" s="2" t="s">
        <v>34</v>
      </c>
      <c r="L11" s="123">
        <v>0</v>
      </c>
      <c r="M11" s="132">
        <v>1</v>
      </c>
      <c r="N11" s="135">
        <v>3.7999999999999999E-2</v>
      </c>
      <c r="O11" s="123">
        <v>0</v>
      </c>
      <c r="P11" s="138">
        <v>4.4460290531455102E-8</v>
      </c>
      <c r="Q11" s="138">
        <v>1.2972076971318999E-9</v>
      </c>
    </row>
    <row r="12" spans="1:17">
      <c r="A12" s="2">
        <v>14076</v>
      </c>
      <c r="B12" s="2">
        <v>15394</v>
      </c>
      <c r="C12" s="2" t="s">
        <v>1197</v>
      </c>
      <c r="D12" s="2" t="s">
        <v>1198</v>
      </c>
      <c r="E12" s="11" t="s">
        <v>350</v>
      </c>
      <c r="F12" s="2" t="s">
        <v>982</v>
      </c>
      <c r="G12" s="2" t="s">
        <v>30</v>
      </c>
      <c r="H12" s="2" t="s">
        <v>160</v>
      </c>
      <c r="I12" s="2" t="s">
        <v>1199</v>
      </c>
      <c r="J12" s="2" t="s">
        <v>446</v>
      </c>
      <c r="K12" s="2" t="s">
        <v>34</v>
      </c>
      <c r="L12" s="123">
        <v>2E-3</v>
      </c>
      <c r="M12" s="132">
        <v>1</v>
      </c>
      <c r="N12" s="135">
        <v>0</v>
      </c>
      <c r="O12" s="123">
        <v>2E-3</v>
      </c>
      <c r="P12" s="138">
        <v>1.2438065518690999E-4</v>
      </c>
      <c r="Q12" s="138">
        <v>2.8673400620851701E-7</v>
      </c>
    </row>
    <row r="13" spans="1:17">
      <c r="A13" s="2">
        <v>14076</v>
      </c>
      <c r="B13" s="2">
        <v>15394</v>
      </c>
      <c r="C13" s="2" t="s">
        <v>1197</v>
      </c>
      <c r="D13" s="2" t="s">
        <v>1198</v>
      </c>
      <c r="E13" s="11" t="s">
        <v>350</v>
      </c>
      <c r="F13" s="2" t="s">
        <v>982</v>
      </c>
      <c r="G13" s="2" t="s">
        <v>30</v>
      </c>
      <c r="H13" s="2" t="s">
        <v>160</v>
      </c>
      <c r="I13" s="2" t="s">
        <v>1199</v>
      </c>
      <c r="J13" s="2" t="s">
        <v>446</v>
      </c>
      <c r="K13" s="2" t="s">
        <v>34</v>
      </c>
      <c r="L13" s="123">
        <v>12.701000000000001</v>
      </c>
      <c r="M13" s="132">
        <v>1</v>
      </c>
      <c r="N13" s="135">
        <v>0</v>
      </c>
      <c r="O13" s="123">
        <v>12.701000000000001</v>
      </c>
      <c r="P13" s="138">
        <v>0.99987483212547601</v>
      </c>
      <c r="Q13" s="138">
        <v>2.30500567706111E-3</v>
      </c>
    </row>
    <row r="14" spans="1:17">
      <c r="A14" s="2">
        <v>14076</v>
      </c>
      <c r="B14" s="2">
        <v>15394</v>
      </c>
      <c r="C14" s="2" t="s">
        <v>1197</v>
      </c>
      <c r="D14" s="2" t="s">
        <v>1198</v>
      </c>
      <c r="E14" s="11" t="s">
        <v>350</v>
      </c>
      <c r="F14" s="2" t="s">
        <v>982</v>
      </c>
      <c r="G14" s="2" t="s">
        <v>30</v>
      </c>
      <c r="H14" s="2" t="s">
        <v>160</v>
      </c>
      <c r="I14" s="2" t="s">
        <v>1199</v>
      </c>
      <c r="J14" s="2" t="s">
        <v>446</v>
      </c>
      <c r="K14" s="2" t="s">
        <v>34</v>
      </c>
      <c r="L14" s="123">
        <v>0</v>
      </c>
      <c r="M14" s="132">
        <v>1</v>
      </c>
      <c r="N14" s="135">
        <v>0</v>
      </c>
      <c r="O14" s="123">
        <v>0</v>
      </c>
      <c r="P14" s="138">
        <v>7.8721933662600997E-7</v>
      </c>
      <c r="Q14" s="138">
        <v>1.8147721911931501E-9</v>
      </c>
    </row>
    <row r="15" spans="1:17">
      <c r="A15" s="2">
        <v>161</v>
      </c>
      <c r="B15" s="2">
        <v>1434</v>
      </c>
      <c r="C15" s="2" t="s">
        <v>1197</v>
      </c>
      <c r="D15" s="2" t="s">
        <v>1198</v>
      </c>
      <c r="E15" s="11" t="s">
        <v>350</v>
      </c>
      <c r="F15" s="2" t="s">
        <v>982</v>
      </c>
      <c r="G15" s="2" t="s">
        <v>30</v>
      </c>
      <c r="H15" s="2" t="s">
        <v>160</v>
      </c>
      <c r="I15" s="2" t="s">
        <v>1199</v>
      </c>
      <c r="J15" s="2" t="s">
        <v>446</v>
      </c>
      <c r="K15" s="2" t="s">
        <v>34</v>
      </c>
      <c r="L15" s="123">
        <v>0</v>
      </c>
      <c r="M15" s="132">
        <v>1</v>
      </c>
      <c r="N15" s="135">
        <v>3.7999999999999999E-2</v>
      </c>
      <c r="O15" s="123">
        <v>0</v>
      </c>
      <c r="P15" s="138">
        <v>-9.7361529515382405E-8</v>
      </c>
      <c r="Q15" s="138">
        <v>-2.6629565716569001E-9</v>
      </c>
    </row>
    <row r="16" spans="1:17">
      <c r="A16" s="2">
        <v>161</v>
      </c>
      <c r="B16" s="2">
        <v>1434</v>
      </c>
      <c r="C16" s="2" t="s">
        <v>1197</v>
      </c>
      <c r="D16" s="2" t="s">
        <v>1198</v>
      </c>
      <c r="E16" s="11" t="s">
        <v>350</v>
      </c>
      <c r="F16" s="2" t="s">
        <v>984</v>
      </c>
      <c r="G16" s="2" t="s">
        <v>30</v>
      </c>
      <c r="H16" s="2" t="s">
        <v>160</v>
      </c>
      <c r="I16" s="2" t="s">
        <v>1199</v>
      </c>
      <c r="J16" s="2" t="s">
        <v>446</v>
      </c>
      <c r="K16" s="2" t="s">
        <v>90</v>
      </c>
      <c r="L16" s="123">
        <v>19.140999999999998</v>
      </c>
      <c r="M16" s="132">
        <v>3.3719999999999999</v>
      </c>
      <c r="N16" s="135">
        <v>0</v>
      </c>
      <c r="O16" s="123">
        <v>64.543999999999997</v>
      </c>
      <c r="P16" s="138">
        <v>0.104735247792303</v>
      </c>
      <c r="Q16" s="138">
        <v>2.8646367593122301E-3</v>
      </c>
    </row>
    <row r="17" spans="1:17">
      <c r="A17" s="2">
        <v>161</v>
      </c>
      <c r="B17" s="2">
        <v>1434</v>
      </c>
      <c r="C17" s="2" t="s">
        <v>1197</v>
      </c>
      <c r="D17" s="2" t="s">
        <v>1198</v>
      </c>
      <c r="E17" s="11" t="s">
        <v>350</v>
      </c>
      <c r="F17" s="2" t="s">
        <v>984</v>
      </c>
      <c r="G17" s="2" t="s">
        <v>30</v>
      </c>
      <c r="H17" s="2" t="s">
        <v>160</v>
      </c>
      <c r="I17" s="2" t="s">
        <v>1199</v>
      </c>
      <c r="J17" s="2" t="s">
        <v>446</v>
      </c>
      <c r="K17" s="2" t="s">
        <v>1200</v>
      </c>
      <c r="L17" s="123">
        <v>12.358000000000001</v>
      </c>
      <c r="M17" s="132">
        <v>3.9552</v>
      </c>
      <c r="N17" s="135">
        <v>0</v>
      </c>
      <c r="O17" s="123">
        <v>48.878</v>
      </c>
      <c r="P17" s="138">
        <v>7.9313699743668906E-2</v>
      </c>
      <c r="Q17" s="138">
        <v>2.1693264167697399E-3</v>
      </c>
    </row>
    <row r="18" spans="1:17">
      <c r="A18" s="2">
        <v>161</v>
      </c>
      <c r="B18" s="2">
        <v>1434</v>
      </c>
      <c r="C18" s="2" t="s">
        <v>1197</v>
      </c>
      <c r="D18" s="2" t="s">
        <v>1198</v>
      </c>
      <c r="E18" s="11" t="s">
        <v>350</v>
      </c>
      <c r="F18" s="2" t="s">
        <v>982</v>
      </c>
      <c r="G18" s="2" t="s">
        <v>30</v>
      </c>
      <c r="H18" s="2" t="s">
        <v>160</v>
      </c>
      <c r="I18" s="2" t="s">
        <v>1199</v>
      </c>
      <c r="J18" s="2" t="s">
        <v>446</v>
      </c>
      <c r="K18" s="2" t="s">
        <v>34</v>
      </c>
      <c r="L18" s="123">
        <v>502.83800000000002</v>
      </c>
      <c r="M18" s="132">
        <v>1</v>
      </c>
      <c r="N18" s="135">
        <v>3.7999999999999999E-2</v>
      </c>
      <c r="O18" s="123">
        <v>502.83800000000002</v>
      </c>
      <c r="P18" s="138">
        <v>0.81595114982555805</v>
      </c>
      <c r="Q18" s="138">
        <v>2.23172590590381E-2</v>
      </c>
    </row>
    <row r="19" spans="1:17">
      <c r="A19" s="2">
        <v>161</v>
      </c>
      <c r="B19" s="2">
        <v>9938</v>
      </c>
      <c r="C19" s="2" t="s">
        <v>1197</v>
      </c>
      <c r="D19" s="2" t="s">
        <v>1198</v>
      </c>
      <c r="E19" s="11" t="s">
        <v>350</v>
      </c>
      <c r="F19" s="2" t="s">
        <v>982</v>
      </c>
      <c r="G19" s="2" t="s">
        <v>30</v>
      </c>
      <c r="H19" s="2" t="s">
        <v>160</v>
      </c>
      <c r="I19" s="2" t="s">
        <v>1199</v>
      </c>
      <c r="J19" s="2" t="s">
        <v>446</v>
      </c>
      <c r="K19" s="2" t="s">
        <v>34</v>
      </c>
      <c r="L19" s="123">
        <v>0</v>
      </c>
      <c r="M19" s="132">
        <v>1</v>
      </c>
      <c r="N19" s="135">
        <v>3.7999999999999999E-2</v>
      </c>
      <c r="O19" s="123">
        <v>0</v>
      </c>
      <c r="P19" s="138">
        <v>8.25053851729442E-8</v>
      </c>
      <c r="Q19" s="138">
        <v>4.4890273043679406E-9</v>
      </c>
    </row>
    <row r="20" spans="1:17">
      <c r="A20" s="2">
        <v>161</v>
      </c>
      <c r="B20" s="2">
        <v>9938</v>
      </c>
      <c r="C20" s="2" t="s">
        <v>1197</v>
      </c>
      <c r="D20" s="2" t="s">
        <v>1198</v>
      </c>
      <c r="E20" s="11" t="s">
        <v>350</v>
      </c>
      <c r="F20" s="2" t="s">
        <v>984</v>
      </c>
      <c r="G20" s="2" t="s">
        <v>30</v>
      </c>
      <c r="H20" s="2" t="s">
        <v>160</v>
      </c>
      <c r="I20" s="2" t="s">
        <v>1199</v>
      </c>
      <c r="J20" s="2" t="s">
        <v>446</v>
      </c>
      <c r="K20" s="2" t="s">
        <v>90</v>
      </c>
      <c r="L20" s="123">
        <v>298.48200000000003</v>
      </c>
      <c r="M20" s="132">
        <v>3.3719999999999999</v>
      </c>
      <c r="N20" s="135">
        <v>0</v>
      </c>
      <c r="O20" s="123">
        <v>1006.481</v>
      </c>
      <c r="P20" s="138">
        <v>0.230666905346287</v>
      </c>
      <c r="Q20" s="138">
        <v>1.25503327345607E-2</v>
      </c>
    </row>
    <row r="21" spans="1:17">
      <c r="A21" s="2">
        <v>161</v>
      </c>
      <c r="B21" s="2">
        <v>9938</v>
      </c>
      <c r="C21" s="2" t="s">
        <v>1197</v>
      </c>
      <c r="D21" s="2" t="s">
        <v>1198</v>
      </c>
      <c r="E21" s="3" t="s">
        <v>350</v>
      </c>
      <c r="F21" s="2" t="s">
        <v>984</v>
      </c>
      <c r="G21" s="2" t="s">
        <v>30</v>
      </c>
      <c r="H21" s="2" t="s">
        <v>160</v>
      </c>
      <c r="I21" s="2" t="s">
        <v>1199</v>
      </c>
      <c r="J21" s="2" t="s">
        <v>446</v>
      </c>
      <c r="K21" s="2" t="s">
        <v>1201</v>
      </c>
      <c r="L21" s="123">
        <v>5</v>
      </c>
      <c r="M21" s="132">
        <v>0.42899999999999999</v>
      </c>
      <c r="N21" s="136">
        <v>0</v>
      </c>
      <c r="O21" s="123">
        <v>2.145</v>
      </c>
      <c r="P21" s="138">
        <v>4.9159458665545895E-4</v>
      </c>
      <c r="Q21" s="138">
        <v>2.6747121021859001E-5</v>
      </c>
    </row>
    <row r="22" spans="1:17">
      <c r="A22" s="2">
        <v>161</v>
      </c>
      <c r="B22" s="2">
        <v>9938</v>
      </c>
      <c r="C22" s="2" t="s">
        <v>1197</v>
      </c>
      <c r="D22" s="2" t="s">
        <v>1198</v>
      </c>
      <c r="E22" s="3" t="s">
        <v>350</v>
      </c>
      <c r="F22" s="2" t="s">
        <v>984</v>
      </c>
      <c r="G22" s="2" t="s">
        <v>30</v>
      </c>
      <c r="H22" s="2" t="s">
        <v>160</v>
      </c>
      <c r="I22" s="2" t="s">
        <v>1199</v>
      </c>
      <c r="J22" s="2" t="s">
        <v>446</v>
      </c>
      <c r="K22" s="2" t="s">
        <v>1202</v>
      </c>
      <c r="L22" s="123">
        <v>0.98199999999999998</v>
      </c>
      <c r="M22" s="132">
        <v>2.6417000000000002</v>
      </c>
      <c r="N22" s="136">
        <v>0</v>
      </c>
      <c r="O22" s="123">
        <v>2.593</v>
      </c>
      <c r="P22" s="138">
        <v>5.9425893313599205E-4</v>
      </c>
      <c r="Q22" s="138">
        <v>3.23329752490729E-5</v>
      </c>
    </row>
    <row r="23" spans="1:17">
      <c r="A23" s="2">
        <v>161</v>
      </c>
      <c r="B23" s="2">
        <v>9938</v>
      </c>
      <c r="C23" s="2" t="s">
        <v>1197</v>
      </c>
      <c r="D23" s="2" t="s">
        <v>1198</v>
      </c>
      <c r="E23" s="3" t="s">
        <v>350</v>
      </c>
      <c r="F23" s="2" t="s">
        <v>984</v>
      </c>
      <c r="G23" s="2" t="s">
        <v>30</v>
      </c>
      <c r="H23" s="2" t="s">
        <v>160</v>
      </c>
      <c r="I23" s="2" t="s">
        <v>1199</v>
      </c>
      <c r="J23" s="2" t="s">
        <v>446</v>
      </c>
      <c r="K23" s="2" t="s">
        <v>1200</v>
      </c>
      <c r="L23" s="123">
        <v>9.6159999999999997</v>
      </c>
      <c r="M23" s="132">
        <v>3.9552</v>
      </c>
      <c r="N23" s="136">
        <v>0</v>
      </c>
      <c r="O23" s="123">
        <v>38.033000000000001</v>
      </c>
      <c r="P23" s="138">
        <v>8.7165385253773296E-3</v>
      </c>
      <c r="Q23" s="138">
        <v>4.7425727857610599E-4</v>
      </c>
    </row>
    <row r="24" spans="1:17">
      <c r="A24" s="2">
        <v>161</v>
      </c>
      <c r="B24" s="2">
        <v>9938</v>
      </c>
      <c r="C24" s="2" t="s">
        <v>1197</v>
      </c>
      <c r="D24" s="2" t="s">
        <v>1198</v>
      </c>
      <c r="E24" s="3" t="s">
        <v>350</v>
      </c>
      <c r="F24" s="2" t="s">
        <v>984</v>
      </c>
      <c r="G24" s="2" t="s">
        <v>30</v>
      </c>
      <c r="H24" s="2" t="s">
        <v>160</v>
      </c>
      <c r="I24" s="2" t="s">
        <v>1199</v>
      </c>
      <c r="J24" s="2" t="s">
        <v>446</v>
      </c>
      <c r="K24" s="2" t="s">
        <v>1203</v>
      </c>
      <c r="L24" s="123">
        <v>3.3130000000000002</v>
      </c>
      <c r="M24" s="132">
        <v>0.53010000000000002</v>
      </c>
      <c r="N24" s="136">
        <v>0</v>
      </c>
      <c r="O24" s="123">
        <v>1.756</v>
      </c>
      <c r="P24" s="138">
        <v>4.02497296912692E-4</v>
      </c>
      <c r="Q24" s="138">
        <v>2.1899435436704998E-5</v>
      </c>
    </row>
    <row r="25" spans="1:17">
      <c r="A25" s="2">
        <v>161</v>
      </c>
      <c r="B25" s="2">
        <v>9938</v>
      </c>
      <c r="C25" s="2" t="s">
        <v>1197</v>
      </c>
      <c r="D25" s="2" t="s">
        <v>1198</v>
      </c>
      <c r="E25" s="3" t="s">
        <v>350</v>
      </c>
      <c r="F25" s="2" t="s">
        <v>984</v>
      </c>
      <c r="G25" s="2" t="s">
        <v>30</v>
      </c>
      <c r="H25" s="2" t="s">
        <v>160</v>
      </c>
      <c r="I25" s="2" t="s">
        <v>1199</v>
      </c>
      <c r="J25" s="2" t="s">
        <v>446</v>
      </c>
      <c r="K25" s="2" t="s">
        <v>1204</v>
      </c>
      <c r="L25" s="123">
        <v>21.811</v>
      </c>
      <c r="M25" s="132">
        <v>4.6235999999999997</v>
      </c>
      <c r="N25" s="136">
        <v>0</v>
      </c>
      <c r="O25" s="123">
        <v>100.846</v>
      </c>
      <c r="P25" s="138">
        <v>2.31120472018339E-2</v>
      </c>
      <c r="Q25" s="138">
        <v>1.25750107985552E-3</v>
      </c>
    </row>
    <row r="26" spans="1:17">
      <c r="A26" s="2">
        <v>161</v>
      </c>
      <c r="B26" s="2">
        <v>9938</v>
      </c>
      <c r="C26" s="2" t="s">
        <v>1197</v>
      </c>
      <c r="D26" s="2" t="s">
        <v>1198</v>
      </c>
      <c r="E26" s="3" t="s">
        <v>350</v>
      </c>
      <c r="F26" s="2" t="s">
        <v>982</v>
      </c>
      <c r="G26" s="2" t="s">
        <v>30</v>
      </c>
      <c r="H26" s="2" t="s">
        <v>160</v>
      </c>
      <c r="I26" s="2" t="s">
        <v>1199</v>
      </c>
      <c r="J26" s="2" t="s">
        <v>446</v>
      </c>
      <c r="K26" s="2" t="s">
        <v>34</v>
      </c>
      <c r="L26" s="123">
        <v>3196.4740000000002</v>
      </c>
      <c r="M26" s="132">
        <v>1</v>
      </c>
      <c r="N26" s="136">
        <v>3.7999999999999999E-2</v>
      </c>
      <c r="O26" s="123">
        <v>3196.4740000000002</v>
      </c>
      <c r="P26" s="138">
        <v>0.73257300399410596</v>
      </c>
      <c r="Q26" s="138">
        <v>3.9858491787888702E-2</v>
      </c>
    </row>
    <row r="27" spans="1:17">
      <c r="A27" s="2">
        <v>161</v>
      </c>
      <c r="B27" s="2">
        <v>9938</v>
      </c>
      <c r="C27" s="2" t="s">
        <v>1197</v>
      </c>
      <c r="D27" s="2" t="s">
        <v>1198</v>
      </c>
      <c r="E27" s="3" t="s">
        <v>350</v>
      </c>
      <c r="F27" s="2" t="s">
        <v>984</v>
      </c>
      <c r="G27" s="2" t="s">
        <v>30</v>
      </c>
      <c r="H27" s="2" t="s">
        <v>160</v>
      </c>
      <c r="I27" s="2" t="s">
        <v>1199</v>
      </c>
      <c r="J27" s="2" t="s">
        <v>446</v>
      </c>
      <c r="K27" s="2" t="s">
        <v>1205</v>
      </c>
      <c r="L27" s="123">
        <v>3.55</v>
      </c>
      <c r="M27" s="132">
        <v>4.2313999999999998</v>
      </c>
      <c r="N27" s="136">
        <v>0</v>
      </c>
      <c r="O27" s="123">
        <v>15.023</v>
      </c>
      <c r="P27" s="138">
        <v>3.4430716057222998E-3</v>
      </c>
      <c r="Q27" s="138">
        <v>1.8733374090167701E-4</v>
      </c>
    </row>
    <row r="28" spans="1:17">
      <c r="A28" s="2">
        <v>161</v>
      </c>
      <c r="B28" s="2">
        <v>9938</v>
      </c>
      <c r="C28" s="2" t="s">
        <v>1197</v>
      </c>
      <c r="D28" s="2" t="s">
        <v>1198</v>
      </c>
      <c r="E28" s="3" t="s">
        <v>350</v>
      </c>
      <c r="F28" s="2" t="s">
        <v>982</v>
      </c>
      <c r="G28" s="2" t="s">
        <v>30</v>
      </c>
      <c r="H28" s="2" t="s">
        <v>160</v>
      </c>
      <c r="I28" s="2" t="s">
        <v>1199</v>
      </c>
      <c r="J28" s="2" t="s">
        <v>446</v>
      </c>
      <c r="K28" s="2" t="s">
        <v>34</v>
      </c>
      <c r="L28" s="123">
        <v>0</v>
      </c>
      <c r="M28" s="132">
        <v>1</v>
      </c>
      <c r="N28" s="136">
        <v>0</v>
      </c>
      <c r="O28" s="123">
        <v>0</v>
      </c>
      <c r="P28" s="138">
        <v>4.5836325096080099E-12</v>
      </c>
      <c r="Q28" s="138">
        <v>2.4939040579821897E-13</v>
      </c>
    </row>
    <row r="29" spans="1:17">
      <c r="A29" s="2">
        <v>161</v>
      </c>
      <c r="B29" s="2">
        <v>9942</v>
      </c>
      <c r="C29" s="2" t="s">
        <v>1197</v>
      </c>
      <c r="D29" s="2" t="s">
        <v>1198</v>
      </c>
      <c r="E29" s="3" t="s">
        <v>350</v>
      </c>
      <c r="F29" s="2" t="s">
        <v>982</v>
      </c>
      <c r="G29" s="2" t="s">
        <v>30</v>
      </c>
      <c r="H29" s="2" t="s">
        <v>160</v>
      </c>
      <c r="I29" s="2" t="s">
        <v>1199</v>
      </c>
      <c r="J29" s="2" t="s">
        <v>446</v>
      </c>
      <c r="K29" s="2" t="s">
        <v>34</v>
      </c>
      <c r="L29" s="123">
        <v>0</v>
      </c>
      <c r="M29" s="132">
        <v>1</v>
      </c>
      <c r="N29" s="136">
        <v>3.7999999999999999E-2</v>
      </c>
      <c r="O29" s="123">
        <v>0</v>
      </c>
      <c r="P29" s="138">
        <v>-2.9425345318421699E-8</v>
      </c>
      <c r="Q29" s="138">
        <v>-2.1063311106633102E-9</v>
      </c>
    </row>
    <row r="30" spans="1:17">
      <c r="A30" s="2">
        <v>161</v>
      </c>
      <c r="B30" s="2">
        <v>9942</v>
      </c>
      <c r="C30" s="2" t="s">
        <v>1197</v>
      </c>
      <c r="D30" s="2" t="s">
        <v>1198</v>
      </c>
      <c r="E30" s="3" t="s">
        <v>350</v>
      </c>
      <c r="F30" s="2" t="s">
        <v>984</v>
      </c>
      <c r="G30" s="2" t="s">
        <v>30</v>
      </c>
      <c r="H30" s="2" t="s">
        <v>160</v>
      </c>
      <c r="I30" s="2" t="s">
        <v>1199</v>
      </c>
      <c r="J30" s="2" t="s">
        <v>446</v>
      </c>
      <c r="K30" s="2" t="s">
        <v>90</v>
      </c>
      <c r="L30" s="123">
        <v>65.572999999999993</v>
      </c>
      <c r="M30" s="132">
        <v>3.3719999999999999</v>
      </c>
      <c r="N30" s="136">
        <v>0</v>
      </c>
      <c r="O30" s="123">
        <v>221.11099999999999</v>
      </c>
      <c r="P30" s="138">
        <v>3.2531378733059897E-2</v>
      </c>
      <c r="Q30" s="138">
        <v>2.3286678323301401E-3</v>
      </c>
    </row>
    <row r="31" spans="1:17">
      <c r="A31" s="2">
        <v>161</v>
      </c>
      <c r="B31" s="2">
        <v>9942</v>
      </c>
      <c r="C31" s="2" t="s">
        <v>1197</v>
      </c>
      <c r="D31" s="2" t="s">
        <v>1198</v>
      </c>
      <c r="E31" s="3" t="s">
        <v>350</v>
      </c>
      <c r="F31" s="2" t="s">
        <v>984</v>
      </c>
      <c r="G31" s="2" t="s">
        <v>30</v>
      </c>
      <c r="H31" s="2" t="s">
        <v>160</v>
      </c>
      <c r="I31" s="2" t="s">
        <v>1199</v>
      </c>
      <c r="J31" s="2" t="s">
        <v>446</v>
      </c>
      <c r="K31" s="2" t="s">
        <v>1201</v>
      </c>
      <c r="L31" s="123">
        <v>8.35</v>
      </c>
      <c r="M31" s="132">
        <v>0.42899999999999999</v>
      </c>
      <c r="N31" s="136">
        <v>0</v>
      </c>
      <c r="O31" s="123">
        <v>3.5819999999999999</v>
      </c>
      <c r="P31" s="138">
        <v>5.2703000366192195E-4</v>
      </c>
      <c r="Q31" s="138">
        <v>3.7725969940312897E-5</v>
      </c>
    </row>
    <row r="32" spans="1:17">
      <c r="A32" s="2">
        <v>161</v>
      </c>
      <c r="B32" s="2">
        <v>9942</v>
      </c>
      <c r="C32" s="2" t="s">
        <v>1197</v>
      </c>
      <c r="D32" s="2" t="s">
        <v>1198</v>
      </c>
      <c r="E32" s="3" t="s">
        <v>350</v>
      </c>
      <c r="F32" s="2" t="s">
        <v>984</v>
      </c>
      <c r="G32" s="2" t="s">
        <v>30</v>
      </c>
      <c r="H32" s="2" t="s">
        <v>160</v>
      </c>
      <c r="I32" s="2" t="s">
        <v>1199</v>
      </c>
      <c r="J32" s="2" t="s">
        <v>446</v>
      </c>
      <c r="K32" s="2" t="s">
        <v>1202</v>
      </c>
      <c r="L32" s="123">
        <v>1.9330000000000001</v>
      </c>
      <c r="M32" s="132">
        <v>2.6417000000000002</v>
      </c>
      <c r="N32" s="136">
        <v>0</v>
      </c>
      <c r="O32" s="123">
        <v>5.1070000000000002</v>
      </c>
      <c r="P32" s="138">
        <v>7.51339340550548E-4</v>
      </c>
      <c r="Q32" s="138">
        <v>5.3782526952236303E-5</v>
      </c>
    </row>
    <row r="33" spans="1:17">
      <c r="A33" s="2">
        <v>161</v>
      </c>
      <c r="B33" s="2">
        <v>9942</v>
      </c>
      <c r="C33" s="2" t="s">
        <v>1197</v>
      </c>
      <c r="D33" s="2" t="s">
        <v>1198</v>
      </c>
      <c r="E33" s="3" t="s">
        <v>350</v>
      </c>
      <c r="F33" s="2" t="s">
        <v>984</v>
      </c>
      <c r="G33" s="2" t="s">
        <v>30</v>
      </c>
      <c r="H33" s="2" t="s">
        <v>160</v>
      </c>
      <c r="I33" s="2" t="s">
        <v>1199</v>
      </c>
      <c r="J33" s="2" t="s">
        <v>446</v>
      </c>
      <c r="K33" s="2" t="s">
        <v>1200</v>
      </c>
      <c r="L33" s="123">
        <v>19.463999999999999</v>
      </c>
      <c r="M33" s="132">
        <v>3.9552</v>
      </c>
      <c r="N33" s="136">
        <v>0</v>
      </c>
      <c r="O33" s="123">
        <v>76.983999999999995</v>
      </c>
      <c r="P33" s="138">
        <v>1.13264348989704E-2</v>
      </c>
      <c r="Q33" s="138">
        <v>8.1077118866191395E-4</v>
      </c>
    </row>
    <row r="34" spans="1:17">
      <c r="A34" s="2">
        <v>161</v>
      </c>
      <c r="B34" s="2">
        <v>9942</v>
      </c>
      <c r="C34" s="2" t="s">
        <v>1197</v>
      </c>
      <c r="D34" s="2" t="s">
        <v>1198</v>
      </c>
      <c r="E34" s="3" t="s">
        <v>350</v>
      </c>
      <c r="F34" s="2" t="s">
        <v>984</v>
      </c>
      <c r="G34" s="2" t="s">
        <v>30</v>
      </c>
      <c r="H34" s="2" t="s">
        <v>160</v>
      </c>
      <c r="I34" s="2" t="s">
        <v>1199</v>
      </c>
      <c r="J34" s="2" t="s">
        <v>446</v>
      </c>
      <c r="K34" s="2" t="s">
        <v>1203</v>
      </c>
      <c r="L34" s="123">
        <v>6.91</v>
      </c>
      <c r="M34" s="132">
        <v>0.53010000000000002</v>
      </c>
      <c r="N34" s="136">
        <v>0</v>
      </c>
      <c r="O34" s="123">
        <v>3.6629999999999998</v>
      </c>
      <c r="P34" s="138">
        <v>5.3895819179257095E-4</v>
      </c>
      <c r="Q34" s="138">
        <v>3.8579815952366401E-5</v>
      </c>
    </row>
    <row r="35" spans="1:17">
      <c r="A35" s="2">
        <v>161</v>
      </c>
      <c r="B35" s="2">
        <v>9942</v>
      </c>
      <c r="C35" s="2" t="s">
        <v>1197</v>
      </c>
      <c r="D35" s="2" t="s">
        <v>1198</v>
      </c>
      <c r="E35" s="3" t="s">
        <v>350</v>
      </c>
      <c r="F35" s="2" t="s">
        <v>984</v>
      </c>
      <c r="G35" s="2" t="s">
        <v>30</v>
      </c>
      <c r="H35" s="2" t="s">
        <v>160</v>
      </c>
      <c r="I35" s="2" t="s">
        <v>1199</v>
      </c>
      <c r="J35" s="2" t="s">
        <v>446</v>
      </c>
      <c r="K35" s="2" t="s">
        <v>1204</v>
      </c>
      <c r="L35" s="123">
        <v>42.286000000000001</v>
      </c>
      <c r="M35" s="132">
        <v>4.6235999999999997</v>
      </c>
      <c r="N35" s="136">
        <v>0</v>
      </c>
      <c r="O35" s="123">
        <v>195.511</v>
      </c>
      <c r="P35" s="138">
        <v>2.8764948837139301E-2</v>
      </c>
      <c r="Q35" s="138">
        <v>2.0590584741370399E-3</v>
      </c>
    </row>
    <row r="36" spans="1:17">
      <c r="A36" s="2">
        <v>161</v>
      </c>
      <c r="B36" s="2">
        <v>9942</v>
      </c>
      <c r="C36" s="2" t="s">
        <v>1197</v>
      </c>
      <c r="D36" s="2" t="s">
        <v>1198</v>
      </c>
      <c r="E36" s="3" t="s">
        <v>350</v>
      </c>
      <c r="F36" s="2" t="s">
        <v>982</v>
      </c>
      <c r="G36" s="2" t="s">
        <v>30</v>
      </c>
      <c r="H36" s="2" t="s">
        <v>160</v>
      </c>
      <c r="I36" s="2" t="s">
        <v>1199</v>
      </c>
      <c r="J36" s="2" t="s">
        <v>446</v>
      </c>
      <c r="K36" s="2" t="s">
        <v>34</v>
      </c>
      <c r="L36" s="123">
        <v>6075.3710000000001</v>
      </c>
      <c r="M36" s="132">
        <v>1</v>
      </c>
      <c r="N36" s="136">
        <v>3.7999999999999999E-2</v>
      </c>
      <c r="O36" s="123">
        <v>6075.3710000000001</v>
      </c>
      <c r="P36" s="138">
        <v>0.89384941128094297</v>
      </c>
      <c r="Q36" s="138">
        <v>6.3983712097694406E-2</v>
      </c>
    </row>
    <row r="37" spans="1:17">
      <c r="A37" s="2">
        <v>161</v>
      </c>
      <c r="B37" s="2">
        <v>9942</v>
      </c>
      <c r="C37" s="2" t="s">
        <v>1197</v>
      </c>
      <c r="D37" s="2" t="s">
        <v>1198</v>
      </c>
      <c r="E37" s="3" t="s">
        <v>350</v>
      </c>
      <c r="F37" s="2" t="s">
        <v>984</v>
      </c>
      <c r="G37" s="2" t="s">
        <v>30</v>
      </c>
      <c r="H37" s="2" t="s">
        <v>160</v>
      </c>
      <c r="I37" s="2" t="s">
        <v>1199</v>
      </c>
      <c r="J37" s="2" t="s">
        <v>446</v>
      </c>
      <c r="K37" s="2" t="s">
        <v>1205</v>
      </c>
      <c r="L37" s="123">
        <v>50.936</v>
      </c>
      <c r="M37" s="132">
        <v>4.2313999999999998</v>
      </c>
      <c r="N37" s="136">
        <v>0</v>
      </c>
      <c r="O37" s="123">
        <v>215.53200000000001</v>
      </c>
      <c r="P37" s="138">
        <v>3.1710528139227298E-2</v>
      </c>
      <c r="Q37" s="138">
        <v>2.2699095365723101E-3</v>
      </c>
    </row>
    <row r="38" spans="1:17">
      <c r="A38" s="2">
        <v>161</v>
      </c>
      <c r="B38" s="2">
        <v>9943</v>
      </c>
      <c r="C38" s="2" t="s">
        <v>1197</v>
      </c>
      <c r="D38" s="2" t="s">
        <v>1198</v>
      </c>
      <c r="E38" s="3" t="s">
        <v>350</v>
      </c>
      <c r="F38" s="2" t="s">
        <v>982</v>
      </c>
      <c r="G38" s="2" t="s">
        <v>30</v>
      </c>
      <c r="H38" s="2" t="s">
        <v>160</v>
      </c>
      <c r="I38" s="2" t="s">
        <v>1199</v>
      </c>
      <c r="J38" s="2" t="s">
        <v>446</v>
      </c>
      <c r="K38" s="2" t="s">
        <v>34</v>
      </c>
      <c r="L38" s="123">
        <v>-2E-3</v>
      </c>
      <c r="M38" s="132">
        <v>1</v>
      </c>
      <c r="N38" s="136">
        <v>3.7999999999999999E-2</v>
      </c>
      <c r="O38" s="123">
        <v>-2E-3</v>
      </c>
      <c r="P38" s="138">
        <v>-3.13033253454114E-8</v>
      </c>
      <c r="Q38" s="138">
        <v>-1.3151823565062701E-9</v>
      </c>
    </row>
    <row r="39" spans="1:17">
      <c r="A39" s="2">
        <v>161</v>
      </c>
      <c r="B39" s="2">
        <v>9943</v>
      </c>
      <c r="C39" s="2" t="s">
        <v>1197</v>
      </c>
      <c r="D39" s="2" t="s">
        <v>1198</v>
      </c>
      <c r="E39" s="3" t="s">
        <v>350</v>
      </c>
      <c r="F39" s="2" t="s">
        <v>982</v>
      </c>
      <c r="G39" s="2" t="s">
        <v>30</v>
      </c>
      <c r="H39" s="2" t="s">
        <v>160</v>
      </c>
      <c r="I39" s="2" t="s">
        <v>1199</v>
      </c>
      <c r="J39" s="2" t="s">
        <v>446</v>
      </c>
      <c r="K39" s="2" t="s">
        <v>34</v>
      </c>
      <c r="L39" s="123">
        <v>0</v>
      </c>
      <c r="M39" s="132">
        <v>1</v>
      </c>
      <c r="N39" s="136">
        <v>3.7999999999999999E-2</v>
      </c>
      <c r="O39" s="123">
        <v>0</v>
      </c>
      <c r="P39" s="138">
        <v>8.8356160249145011E-10</v>
      </c>
      <c r="Q39" s="138">
        <v>3.7122082643322095E-11</v>
      </c>
    </row>
    <row r="40" spans="1:17">
      <c r="A40" s="2">
        <v>161</v>
      </c>
      <c r="B40" s="2">
        <v>9943</v>
      </c>
      <c r="C40" s="2" t="s">
        <v>1197</v>
      </c>
      <c r="D40" s="2" t="s">
        <v>1198</v>
      </c>
      <c r="E40" s="3" t="s">
        <v>350</v>
      </c>
      <c r="F40" s="2" t="s">
        <v>984</v>
      </c>
      <c r="G40" s="2" t="s">
        <v>30</v>
      </c>
      <c r="H40" s="2" t="s">
        <v>160</v>
      </c>
      <c r="I40" s="2" t="s">
        <v>1199</v>
      </c>
      <c r="J40" s="2" t="s">
        <v>446</v>
      </c>
      <c r="K40" s="2" t="s">
        <v>90</v>
      </c>
      <c r="L40" s="123">
        <v>1664.816</v>
      </c>
      <c r="M40" s="132">
        <v>3.3719999999999999</v>
      </c>
      <c r="N40" s="136">
        <v>0</v>
      </c>
      <c r="O40" s="123">
        <v>5613.759</v>
      </c>
      <c r="P40" s="138">
        <v>7.0858598275342202E-2</v>
      </c>
      <c r="Q40" s="138">
        <v>2.9770632107031401E-3</v>
      </c>
    </row>
    <row r="41" spans="1:17">
      <c r="A41" s="2">
        <v>161</v>
      </c>
      <c r="B41" s="2">
        <v>9943</v>
      </c>
      <c r="C41" s="2" t="s">
        <v>1197</v>
      </c>
      <c r="D41" s="2" t="s">
        <v>1198</v>
      </c>
      <c r="E41" s="3" t="s">
        <v>350</v>
      </c>
      <c r="F41" s="2" t="s">
        <v>984</v>
      </c>
      <c r="G41" s="2" t="s">
        <v>30</v>
      </c>
      <c r="H41" s="2" t="s">
        <v>160</v>
      </c>
      <c r="I41" s="2" t="s">
        <v>1199</v>
      </c>
      <c r="J41" s="2" t="s">
        <v>446</v>
      </c>
      <c r="K41" s="2" t="s">
        <v>1201</v>
      </c>
      <c r="L41" s="123">
        <v>19.123000000000001</v>
      </c>
      <c r="M41" s="132">
        <v>0.42899999999999999</v>
      </c>
      <c r="N41" s="136">
        <v>0</v>
      </c>
      <c r="O41" s="123">
        <v>8.2040000000000006</v>
      </c>
      <c r="P41" s="138">
        <v>1.03548421125343E-4</v>
      </c>
      <c r="Q41" s="138">
        <v>4.3504980702663699E-6</v>
      </c>
    </row>
    <row r="42" spans="1:17">
      <c r="A42" s="2">
        <v>161</v>
      </c>
      <c r="B42" s="2">
        <v>9943</v>
      </c>
      <c r="C42" s="2" t="s">
        <v>1197</v>
      </c>
      <c r="D42" s="2" t="s">
        <v>1198</v>
      </c>
      <c r="E42" s="3" t="s">
        <v>350</v>
      </c>
      <c r="F42" s="2" t="s">
        <v>984</v>
      </c>
      <c r="G42" s="2" t="s">
        <v>30</v>
      </c>
      <c r="H42" s="2" t="s">
        <v>160</v>
      </c>
      <c r="I42" s="2" t="s">
        <v>1199</v>
      </c>
      <c r="J42" s="2" t="s">
        <v>446</v>
      </c>
      <c r="K42" s="2" t="s">
        <v>1202</v>
      </c>
      <c r="L42" s="123">
        <v>1.502</v>
      </c>
      <c r="M42" s="132">
        <v>2.6417000000000002</v>
      </c>
      <c r="N42" s="136">
        <v>0</v>
      </c>
      <c r="O42" s="123">
        <v>3.968</v>
      </c>
      <c r="P42" s="138">
        <v>5.0083217676044298E-5</v>
      </c>
      <c r="Q42" s="138">
        <v>2.1042034198533399E-6</v>
      </c>
    </row>
    <row r="43" spans="1:17">
      <c r="A43" s="2">
        <v>161</v>
      </c>
      <c r="B43" s="2">
        <v>9943</v>
      </c>
      <c r="C43" s="2" t="s">
        <v>1197</v>
      </c>
      <c r="D43" s="2" t="s">
        <v>1198</v>
      </c>
      <c r="E43" s="3" t="s">
        <v>350</v>
      </c>
      <c r="F43" s="2" t="s">
        <v>984</v>
      </c>
      <c r="G43" s="2" t="s">
        <v>30</v>
      </c>
      <c r="H43" s="2" t="s">
        <v>160</v>
      </c>
      <c r="I43" s="2" t="s">
        <v>1199</v>
      </c>
      <c r="J43" s="2" t="s">
        <v>446</v>
      </c>
      <c r="K43" s="2" t="s">
        <v>1200</v>
      </c>
      <c r="L43" s="123">
        <v>46.957999999999998</v>
      </c>
      <c r="M43" s="132">
        <v>3.9552</v>
      </c>
      <c r="N43" s="136">
        <v>0</v>
      </c>
      <c r="O43" s="123">
        <v>185.72800000000001</v>
      </c>
      <c r="P43" s="138">
        <v>2.3443102018934001E-3</v>
      </c>
      <c r="Q43" s="138">
        <v>9.8494181742253594E-5</v>
      </c>
    </row>
    <row r="44" spans="1:17">
      <c r="A44" s="2">
        <v>161</v>
      </c>
      <c r="B44" s="2">
        <v>9943</v>
      </c>
      <c r="C44" s="2" t="s">
        <v>1197</v>
      </c>
      <c r="D44" s="2" t="s">
        <v>1198</v>
      </c>
      <c r="E44" s="3" t="s">
        <v>350</v>
      </c>
      <c r="F44" s="2" t="s">
        <v>984</v>
      </c>
      <c r="G44" s="2" t="s">
        <v>30</v>
      </c>
      <c r="H44" s="2" t="s">
        <v>160</v>
      </c>
      <c r="I44" s="2" t="s">
        <v>1199</v>
      </c>
      <c r="J44" s="2" t="s">
        <v>446</v>
      </c>
      <c r="K44" s="2" t="s">
        <v>1203</v>
      </c>
      <c r="L44" s="123">
        <v>0.26</v>
      </c>
      <c r="M44" s="132">
        <v>0.53010000000000002</v>
      </c>
      <c r="N44" s="136">
        <v>0</v>
      </c>
      <c r="O44" s="123">
        <v>0.13800000000000001</v>
      </c>
      <c r="P44" s="138">
        <v>1.7396823060712399E-6</v>
      </c>
      <c r="Q44" s="138">
        <v>7.3091259462835798E-8</v>
      </c>
    </row>
    <row r="45" spans="1:17">
      <c r="A45" s="2">
        <v>161</v>
      </c>
      <c r="B45" s="2">
        <v>9943</v>
      </c>
      <c r="C45" s="2" t="s">
        <v>1197</v>
      </c>
      <c r="D45" s="2" t="s">
        <v>1198</v>
      </c>
      <c r="E45" s="3" t="s">
        <v>350</v>
      </c>
      <c r="F45" s="2" t="s">
        <v>984</v>
      </c>
      <c r="G45" s="2" t="s">
        <v>30</v>
      </c>
      <c r="H45" s="2" t="s">
        <v>160</v>
      </c>
      <c r="I45" s="2" t="s">
        <v>1199</v>
      </c>
      <c r="J45" s="2" t="s">
        <v>446</v>
      </c>
      <c r="K45" s="2" t="s">
        <v>1204</v>
      </c>
      <c r="L45" s="123">
        <v>133.917</v>
      </c>
      <c r="M45" s="132">
        <v>4.6235999999999997</v>
      </c>
      <c r="N45" s="136">
        <v>0</v>
      </c>
      <c r="O45" s="123">
        <v>619.17899999999997</v>
      </c>
      <c r="P45" s="138">
        <v>7.8154720625729993E-3</v>
      </c>
      <c r="Q45" s="138">
        <v>3.2836035312684101E-4</v>
      </c>
    </row>
    <row r="46" spans="1:17">
      <c r="A46" s="2">
        <v>161</v>
      </c>
      <c r="B46" s="2">
        <v>9943</v>
      </c>
      <c r="C46" s="2" t="s">
        <v>1197</v>
      </c>
      <c r="D46" s="2" t="s">
        <v>1198</v>
      </c>
      <c r="E46" s="3" t="s">
        <v>350</v>
      </c>
      <c r="F46" s="2" t="s">
        <v>982</v>
      </c>
      <c r="G46" s="2" t="s">
        <v>30</v>
      </c>
      <c r="H46" s="2" t="s">
        <v>160</v>
      </c>
      <c r="I46" s="2" t="s">
        <v>1199</v>
      </c>
      <c r="J46" s="2" t="s">
        <v>446</v>
      </c>
      <c r="K46" s="2" t="s">
        <v>34</v>
      </c>
      <c r="L46" s="123">
        <v>13477.454</v>
      </c>
      <c r="M46" s="132">
        <v>1</v>
      </c>
      <c r="N46" s="136">
        <v>3.7999999999999999E-2</v>
      </c>
      <c r="O46" s="123">
        <v>13477.454</v>
      </c>
      <c r="P46" s="138">
        <v>0.17011658829518</v>
      </c>
      <c r="Q46" s="138">
        <v>7.1473024992106003E-3</v>
      </c>
    </row>
    <row r="47" spans="1:17">
      <c r="A47" s="2">
        <v>161</v>
      </c>
      <c r="B47" s="2">
        <v>9943</v>
      </c>
      <c r="C47" s="2" t="s">
        <v>1197</v>
      </c>
      <c r="D47" s="2" t="s">
        <v>1198</v>
      </c>
      <c r="E47" s="3" t="s">
        <v>350</v>
      </c>
      <c r="F47" s="2" t="s">
        <v>984</v>
      </c>
      <c r="G47" s="2" t="s">
        <v>30</v>
      </c>
      <c r="H47" s="2" t="s">
        <v>160</v>
      </c>
      <c r="I47" s="2" t="s">
        <v>1199</v>
      </c>
      <c r="J47" s="2" t="s">
        <v>446</v>
      </c>
      <c r="K47" s="2" t="s">
        <v>1205</v>
      </c>
      <c r="L47" s="123">
        <v>35.017000000000003</v>
      </c>
      <c r="M47" s="132">
        <v>4.2313999999999998</v>
      </c>
      <c r="N47" s="136">
        <v>0</v>
      </c>
      <c r="O47" s="123">
        <v>148.16900000000001</v>
      </c>
      <c r="P47" s="138">
        <v>1.87023949130048E-3</v>
      </c>
      <c r="Q47" s="138">
        <v>7.8576507583728806E-5</v>
      </c>
    </row>
    <row r="48" spans="1:17">
      <c r="A48" s="2">
        <v>161</v>
      </c>
      <c r="B48" s="2">
        <v>9943</v>
      </c>
      <c r="C48" s="2" t="s">
        <v>1197</v>
      </c>
      <c r="D48" s="2" t="s">
        <v>1198</v>
      </c>
      <c r="E48" s="3" t="s">
        <v>350</v>
      </c>
      <c r="F48" s="2" t="s">
        <v>984</v>
      </c>
      <c r="G48" s="2" t="s">
        <v>30</v>
      </c>
      <c r="H48" s="2" t="s">
        <v>160</v>
      </c>
      <c r="I48" s="2" t="s">
        <v>1199</v>
      </c>
      <c r="J48" s="2" t="s">
        <v>446</v>
      </c>
      <c r="K48" s="2" t="s">
        <v>90</v>
      </c>
      <c r="L48" s="123">
        <v>914.48599999999999</v>
      </c>
      <c r="M48" s="132">
        <v>3.3719999999999999</v>
      </c>
      <c r="N48" s="136">
        <v>0</v>
      </c>
      <c r="O48" s="123">
        <v>3083.6460000000002</v>
      </c>
      <c r="P48" s="138">
        <v>3.8922728249321803E-2</v>
      </c>
      <c r="Q48" s="138">
        <v>1.63530503215691E-3</v>
      </c>
    </row>
    <row r="49" spans="1:17">
      <c r="A49" s="2">
        <v>161</v>
      </c>
      <c r="B49" s="2">
        <v>9943</v>
      </c>
      <c r="C49" s="2" t="s">
        <v>1197</v>
      </c>
      <c r="D49" s="2" t="s">
        <v>1198</v>
      </c>
      <c r="E49" s="3" t="s">
        <v>350</v>
      </c>
      <c r="F49" s="2" t="s">
        <v>984</v>
      </c>
      <c r="G49" s="2" t="s">
        <v>30</v>
      </c>
      <c r="H49" s="2" t="s">
        <v>160</v>
      </c>
      <c r="I49" s="2" t="s">
        <v>1199</v>
      </c>
      <c r="J49" s="2" t="s">
        <v>446</v>
      </c>
      <c r="K49" s="2" t="s">
        <v>1201</v>
      </c>
      <c r="L49" s="123">
        <v>5.0359999999999996</v>
      </c>
      <c r="M49" s="132">
        <v>0.42899999999999999</v>
      </c>
      <c r="N49" s="136">
        <v>0</v>
      </c>
      <c r="O49" s="123">
        <v>2.161</v>
      </c>
      <c r="P49" s="138">
        <v>2.7271415387304001E-5</v>
      </c>
      <c r="Q49" s="138">
        <v>1.1457851189472199E-6</v>
      </c>
    </row>
    <row r="50" spans="1:17">
      <c r="A50" s="2">
        <v>161</v>
      </c>
      <c r="B50" s="2">
        <v>9943</v>
      </c>
      <c r="C50" s="2" t="s">
        <v>1197</v>
      </c>
      <c r="D50" s="2" t="s">
        <v>1198</v>
      </c>
      <c r="E50" s="3" t="s">
        <v>350</v>
      </c>
      <c r="F50" s="2" t="s">
        <v>984</v>
      </c>
      <c r="G50" s="2" t="s">
        <v>30</v>
      </c>
      <c r="H50" s="2" t="s">
        <v>160</v>
      </c>
      <c r="I50" s="2" t="s">
        <v>1199</v>
      </c>
      <c r="J50" s="2" t="s">
        <v>446</v>
      </c>
      <c r="K50" s="2" t="s">
        <v>1202</v>
      </c>
      <c r="L50" s="123">
        <v>0.39700000000000002</v>
      </c>
      <c r="M50" s="132">
        <v>2.6417000000000002</v>
      </c>
      <c r="N50" s="136">
        <v>0</v>
      </c>
      <c r="O50" s="123">
        <v>1.0489999999999999</v>
      </c>
      <c r="P50" s="138">
        <v>1.32370411138722E-5</v>
      </c>
      <c r="Q50" s="138">
        <v>5.5614292517535099E-7</v>
      </c>
    </row>
    <row r="51" spans="1:17">
      <c r="A51" s="2">
        <v>161</v>
      </c>
      <c r="B51" s="2">
        <v>9943</v>
      </c>
      <c r="C51" s="2" t="s">
        <v>1197</v>
      </c>
      <c r="D51" s="2" t="s">
        <v>1198</v>
      </c>
      <c r="E51" s="3" t="s">
        <v>350</v>
      </c>
      <c r="F51" s="2" t="s">
        <v>984</v>
      </c>
      <c r="G51" s="2" t="s">
        <v>30</v>
      </c>
      <c r="H51" s="2" t="s">
        <v>160</v>
      </c>
      <c r="I51" s="2" t="s">
        <v>1199</v>
      </c>
      <c r="J51" s="2" t="s">
        <v>446</v>
      </c>
      <c r="K51" s="2" t="s">
        <v>1200</v>
      </c>
      <c r="L51" s="123">
        <v>29.361000000000001</v>
      </c>
      <c r="M51" s="132">
        <v>3.9552</v>
      </c>
      <c r="N51" s="136">
        <v>0</v>
      </c>
      <c r="O51" s="123">
        <v>116.129</v>
      </c>
      <c r="P51" s="138">
        <v>1.4658148652909101E-3</v>
      </c>
      <c r="Q51" s="138">
        <v>6.15849539134604E-5</v>
      </c>
    </row>
    <row r="52" spans="1:17">
      <c r="A52" s="2">
        <v>161</v>
      </c>
      <c r="B52" s="2">
        <v>9943</v>
      </c>
      <c r="C52" s="2" t="s">
        <v>1197</v>
      </c>
      <c r="D52" s="2" t="s">
        <v>1198</v>
      </c>
      <c r="E52" s="3" t="s">
        <v>350</v>
      </c>
      <c r="F52" s="2" t="s">
        <v>984</v>
      </c>
      <c r="G52" s="2" t="s">
        <v>30</v>
      </c>
      <c r="H52" s="2" t="s">
        <v>160</v>
      </c>
      <c r="I52" s="2" t="s">
        <v>1199</v>
      </c>
      <c r="J52" s="2" t="s">
        <v>446</v>
      </c>
      <c r="K52" s="2" t="s">
        <v>1203</v>
      </c>
      <c r="L52" s="123">
        <v>0.57599999999999996</v>
      </c>
      <c r="M52" s="132">
        <v>0.53010000000000002</v>
      </c>
      <c r="N52" s="136">
        <v>0</v>
      </c>
      <c r="O52" s="123">
        <v>0.30499999999999999</v>
      </c>
      <c r="P52" s="138">
        <v>3.8530617536581599E-6</v>
      </c>
      <c r="Q52" s="138">
        <v>1.6188308369874599E-7</v>
      </c>
    </row>
    <row r="53" spans="1:17">
      <c r="A53" s="2">
        <v>161</v>
      </c>
      <c r="B53" s="2">
        <v>9943</v>
      </c>
      <c r="C53" s="2" t="s">
        <v>1197</v>
      </c>
      <c r="D53" s="2" t="s">
        <v>1198</v>
      </c>
      <c r="E53" s="3" t="s">
        <v>350</v>
      </c>
      <c r="F53" s="2" t="s">
        <v>984</v>
      </c>
      <c r="G53" s="2" t="s">
        <v>30</v>
      </c>
      <c r="H53" s="2" t="s">
        <v>160</v>
      </c>
      <c r="I53" s="2" t="s">
        <v>1199</v>
      </c>
      <c r="J53" s="2" t="s">
        <v>446</v>
      </c>
      <c r="K53" s="2" t="s">
        <v>1204</v>
      </c>
      <c r="L53" s="123">
        <v>0.47499999999999998</v>
      </c>
      <c r="M53" s="132">
        <v>4.6235999999999997</v>
      </c>
      <c r="N53" s="136">
        <v>0</v>
      </c>
      <c r="O53" s="123">
        <v>2.1960000000000002</v>
      </c>
      <c r="P53" s="138">
        <v>2.77224075959465E-5</v>
      </c>
      <c r="Q53" s="138">
        <v>1.1647331696473801E-6</v>
      </c>
    </row>
    <row r="54" spans="1:17">
      <c r="A54" s="2">
        <v>161</v>
      </c>
      <c r="B54" s="2">
        <v>9943</v>
      </c>
      <c r="C54" s="2" t="s">
        <v>1197</v>
      </c>
      <c r="D54" s="2" t="s">
        <v>1198</v>
      </c>
      <c r="E54" s="3" t="s">
        <v>350</v>
      </c>
      <c r="F54" s="2" t="s">
        <v>982</v>
      </c>
      <c r="G54" s="2" t="s">
        <v>30</v>
      </c>
      <c r="H54" s="2" t="s">
        <v>160</v>
      </c>
      <c r="I54" s="2" t="s">
        <v>1199</v>
      </c>
      <c r="J54" s="2" t="s">
        <v>446</v>
      </c>
      <c r="K54" s="2" t="s">
        <v>34</v>
      </c>
      <c r="L54" s="123">
        <v>20085.848000000002</v>
      </c>
      <c r="M54" s="132">
        <v>1</v>
      </c>
      <c r="N54" s="136">
        <v>3.7999999999999999E-2</v>
      </c>
      <c r="O54" s="123">
        <v>20085.848000000002</v>
      </c>
      <c r="P54" s="138">
        <v>0.253529774487948</v>
      </c>
      <c r="Q54" s="138">
        <v>1.06518359495772E-2</v>
      </c>
    </row>
    <row r="55" spans="1:17">
      <c r="A55" s="2">
        <v>161</v>
      </c>
      <c r="B55" s="2">
        <v>9943</v>
      </c>
      <c r="C55" s="2" t="s">
        <v>1197</v>
      </c>
      <c r="D55" s="2" t="s">
        <v>1198</v>
      </c>
      <c r="E55" s="3" t="s">
        <v>350</v>
      </c>
      <c r="F55" s="2" t="s">
        <v>984</v>
      </c>
      <c r="G55" s="2" t="s">
        <v>30</v>
      </c>
      <c r="H55" s="2" t="s">
        <v>160</v>
      </c>
      <c r="I55" s="2" t="s">
        <v>1199</v>
      </c>
      <c r="J55" s="2" t="s">
        <v>446</v>
      </c>
      <c r="K55" s="2" t="s">
        <v>90</v>
      </c>
      <c r="L55" s="123">
        <v>-1E-3</v>
      </c>
      <c r="M55" s="132">
        <v>3.3719999999999999</v>
      </c>
      <c r="N55" s="136">
        <v>0</v>
      </c>
      <c r="O55" s="123">
        <v>-3.0000000000000001E-3</v>
      </c>
      <c r="P55" s="138">
        <v>-3.3624315452070399E-8</v>
      </c>
      <c r="Q55" s="138">
        <v>-1.4126967644556102E-9</v>
      </c>
    </row>
    <row r="56" spans="1:17">
      <c r="A56" s="2">
        <v>161</v>
      </c>
      <c r="B56" s="2">
        <v>9943</v>
      </c>
      <c r="C56" s="2" t="s">
        <v>1197</v>
      </c>
      <c r="D56" s="2" t="s">
        <v>1198</v>
      </c>
      <c r="E56" s="3" t="s">
        <v>350</v>
      </c>
      <c r="F56" s="2" t="s">
        <v>984</v>
      </c>
      <c r="G56" s="2" t="s">
        <v>30</v>
      </c>
      <c r="H56" s="2" t="s">
        <v>160</v>
      </c>
      <c r="I56" s="2" t="s">
        <v>1199</v>
      </c>
      <c r="J56" s="2" t="s">
        <v>446</v>
      </c>
      <c r="K56" s="2" t="s">
        <v>1201</v>
      </c>
      <c r="L56" s="123">
        <v>0</v>
      </c>
      <c r="M56" s="132">
        <v>0.42899999999999999</v>
      </c>
      <c r="N56" s="136">
        <v>0</v>
      </c>
      <c r="O56" s="123">
        <v>0</v>
      </c>
      <c r="P56" s="138">
        <v>1.62449111772357E-10</v>
      </c>
      <c r="Q56" s="138">
        <v>6.8251600517079301E-12</v>
      </c>
    </row>
    <row r="57" spans="1:17">
      <c r="A57" s="2">
        <v>161</v>
      </c>
      <c r="B57" s="2">
        <v>9943</v>
      </c>
      <c r="C57" s="2" t="s">
        <v>1197</v>
      </c>
      <c r="D57" s="2" t="s">
        <v>1198</v>
      </c>
      <c r="E57" s="3" t="s">
        <v>350</v>
      </c>
      <c r="F57" s="2" t="s">
        <v>984</v>
      </c>
      <c r="G57" s="2" t="s">
        <v>30</v>
      </c>
      <c r="H57" s="2" t="s">
        <v>160</v>
      </c>
      <c r="I57" s="2" t="s">
        <v>1199</v>
      </c>
      <c r="J57" s="2" t="s">
        <v>446</v>
      </c>
      <c r="K57" s="2" t="s">
        <v>1203</v>
      </c>
      <c r="L57" s="123">
        <v>0</v>
      </c>
      <c r="M57" s="132">
        <v>0.53010000000000002</v>
      </c>
      <c r="N57" s="136">
        <v>0</v>
      </c>
      <c r="O57" s="123">
        <v>0</v>
      </c>
      <c r="P57" s="138">
        <v>1.3382171585163401E-10</v>
      </c>
      <c r="Q57" s="138">
        <v>5.6224045740642901E-12</v>
      </c>
    </row>
    <row r="58" spans="1:17">
      <c r="A58" s="2">
        <v>161</v>
      </c>
      <c r="B58" s="2">
        <v>9943</v>
      </c>
      <c r="C58" s="2" t="s">
        <v>1197</v>
      </c>
      <c r="D58" s="2" t="s">
        <v>1198</v>
      </c>
      <c r="E58" s="3" t="s">
        <v>350</v>
      </c>
      <c r="F58" s="2" t="s">
        <v>984</v>
      </c>
      <c r="G58" s="2" t="s">
        <v>30</v>
      </c>
      <c r="H58" s="2" t="s">
        <v>160</v>
      </c>
      <c r="I58" s="2" t="s">
        <v>1199</v>
      </c>
      <c r="J58" s="2" t="s">
        <v>446</v>
      </c>
      <c r="K58" s="2" t="s">
        <v>1204</v>
      </c>
      <c r="L58" s="123">
        <v>0</v>
      </c>
      <c r="M58" s="132">
        <v>4.6235999999999997</v>
      </c>
      <c r="N58" s="136">
        <v>0</v>
      </c>
      <c r="O58" s="123">
        <v>0</v>
      </c>
      <c r="P58" s="138">
        <v>1.1672101215084202E-9</v>
      </c>
      <c r="Q58" s="138">
        <v>4.9039331802761098E-11</v>
      </c>
    </row>
    <row r="59" spans="1:17">
      <c r="A59" s="2">
        <v>161</v>
      </c>
      <c r="B59" s="2">
        <v>9943</v>
      </c>
      <c r="C59" s="2" t="s">
        <v>1197</v>
      </c>
      <c r="D59" s="2" t="s">
        <v>1198</v>
      </c>
      <c r="E59" s="3" t="s">
        <v>350</v>
      </c>
      <c r="F59" s="2" t="s">
        <v>982</v>
      </c>
      <c r="G59" s="2" t="s">
        <v>30</v>
      </c>
      <c r="H59" s="2" t="s">
        <v>160</v>
      </c>
      <c r="I59" s="2" t="s">
        <v>1199</v>
      </c>
      <c r="J59" s="2" t="s">
        <v>446</v>
      </c>
      <c r="K59" s="2" t="s">
        <v>34</v>
      </c>
      <c r="L59" s="123">
        <v>3.93</v>
      </c>
      <c r="M59" s="132">
        <v>1</v>
      </c>
      <c r="N59" s="136">
        <v>3.7999999999999999E-2</v>
      </c>
      <c r="O59" s="123">
        <v>3.93</v>
      </c>
      <c r="P59" s="138">
        <v>4.9601886133009298E-5</v>
      </c>
      <c r="Q59" s="138">
        <v>2.0839806880494698E-6</v>
      </c>
    </row>
    <row r="60" spans="1:17">
      <c r="A60" s="2">
        <v>161</v>
      </c>
      <c r="B60" s="2">
        <v>9943</v>
      </c>
      <c r="C60" s="2" t="s">
        <v>1197</v>
      </c>
      <c r="D60" s="2" t="s">
        <v>1198</v>
      </c>
      <c r="E60" s="3" t="s">
        <v>350</v>
      </c>
      <c r="F60" s="2" t="s">
        <v>984</v>
      </c>
      <c r="G60" s="2" t="s">
        <v>30</v>
      </c>
      <c r="H60" s="2" t="s">
        <v>160</v>
      </c>
      <c r="I60" s="2" t="s">
        <v>1199</v>
      </c>
      <c r="J60" s="2" t="s">
        <v>446</v>
      </c>
      <c r="K60" s="2" t="s">
        <v>1205</v>
      </c>
      <c r="L60" s="123">
        <v>0</v>
      </c>
      <c r="M60" s="132">
        <v>4.2313999999999998</v>
      </c>
      <c r="N60" s="136">
        <v>0</v>
      </c>
      <c r="O60" s="123">
        <v>0</v>
      </c>
      <c r="P60" s="138">
        <v>5.34100366397474E-10</v>
      </c>
      <c r="Q60" s="138">
        <v>2.2439768642421797E-11</v>
      </c>
    </row>
    <row r="61" spans="1:17">
      <c r="A61" s="2">
        <v>161</v>
      </c>
      <c r="B61" s="2">
        <v>9943</v>
      </c>
      <c r="C61" s="2" t="s">
        <v>1197</v>
      </c>
      <c r="D61" s="2" t="s">
        <v>1198</v>
      </c>
      <c r="E61" s="3" t="s">
        <v>350</v>
      </c>
      <c r="F61" s="2" t="s">
        <v>982</v>
      </c>
      <c r="G61" s="2" t="s">
        <v>30</v>
      </c>
      <c r="H61" s="2" t="s">
        <v>160</v>
      </c>
      <c r="I61" s="2" t="s">
        <v>1199</v>
      </c>
      <c r="J61" s="2" t="s">
        <v>446</v>
      </c>
      <c r="K61" s="2" t="s">
        <v>34</v>
      </c>
      <c r="L61" s="123">
        <v>0</v>
      </c>
      <c r="M61" s="132">
        <v>1</v>
      </c>
      <c r="N61" s="136">
        <v>3.7999999999999999E-2</v>
      </c>
      <c r="O61" s="123">
        <v>0</v>
      </c>
      <c r="P61" s="138">
        <v>1.26223086070207E-10</v>
      </c>
      <c r="Q61" s="138">
        <v>5.3031546633317199E-12</v>
      </c>
    </row>
    <row r="62" spans="1:17">
      <c r="A62" s="2">
        <v>161</v>
      </c>
      <c r="B62" s="2">
        <v>9943</v>
      </c>
      <c r="C62" s="2" t="s">
        <v>1197</v>
      </c>
      <c r="D62" s="2" t="s">
        <v>1198</v>
      </c>
      <c r="E62" s="3" t="s">
        <v>350</v>
      </c>
      <c r="F62" s="2" t="s">
        <v>984</v>
      </c>
      <c r="G62" s="2" t="s">
        <v>30</v>
      </c>
      <c r="H62" s="2" t="s">
        <v>160</v>
      </c>
      <c r="I62" s="2" t="s">
        <v>1199</v>
      </c>
      <c r="J62" s="2" t="s">
        <v>446</v>
      </c>
      <c r="K62" s="2" t="s">
        <v>90</v>
      </c>
      <c r="L62" s="123">
        <v>3873.3119999999999</v>
      </c>
      <c r="M62" s="132">
        <v>3.3719999999999999</v>
      </c>
      <c r="N62" s="136">
        <v>0</v>
      </c>
      <c r="O62" s="123">
        <v>13060.808000000001</v>
      </c>
      <c r="P62" s="138">
        <v>0.16485754791275201</v>
      </c>
      <c r="Q62" s="138">
        <v>6.9263484297370304E-3</v>
      </c>
    </row>
    <row r="63" spans="1:17">
      <c r="A63" s="2">
        <v>161</v>
      </c>
      <c r="B63" s="2">
        <v>9943</v>
      </c>
      <c r="C63" s="2" t="s">
        <v>1197</v>
      </c>
      <c r="D63" s="2" t="s">
        <v>1198</v>
      </c>
      <c r="E63" s="3" t="s">
        <v>350</v>
      </c>
      <c r="F63" s="2" t="s">
        <v>984</v>
      </c>
      <c r="G63" s="2" t="s">
        <v>30</v>
      </c>
      <c r="H63" s="2" t="s">
        <v>160</v>
      </c>
      <c r="I63" s="2" t="s">
        <v>1199</v>
      </c>
      <c r="J63" s="2" t="s">
        <v>446</v>
      </c>
      <c r="K63" s="2" t="s">
        <v>1200</v>
      </c>
      <c r="L63" s="123">
        <v>1698.587</v>
      </c>
      <c r="M63" s="132">
        <v>3.9552</v>
      </c>
      <c r="N63" s="136">
        <v>0</v>
      </c>
      <c r="O63" s="123">
        <v>6718.2489999999998</v>
      </c>
      <c r="P63" s="138">
        <v>8.4799817275009307E-2</v>
      </c>
      <c r="Q63" s="138">
        <v>3.5627915655739098E-3</v>
      </c>
    </row>
    <row r="64" spans="1:17">
      <c r="A64" s="2">
        <v>161</v>
      </c>
      <c r="B64" s="2">
        <v>9943</v>
      </c>
      <c r="C64" s="2" t="s">
        <v>1197</v>
      </c>
      <c r="D64" s="2" t="s">
        <v>1198</v>
      </c>
      <c r="E64" s="3" t="s">
        <v>350</v>
      </c>
      <c r="F64" s="2" t="s">
        <v>982</v>
      </c>
      <c r="G64" s="2" t="s">
        <v>30</v>
      </c>
      <c r="H64" s="2" t="s">
        <v>160</v>
      </c>
      <c r="I64" s="2" t="s">
        <v>1199</v>
      </c>
      <c r="J64" s="2" t="s">
        <v>446</v>
      </c>
      <c r="K64" s="2" t="s">
        <v>34</v>
      </c>
      <c r="L64" s="123">
        <v>16093.895</v>
      </c>
      <c r="M64" s="132">
        <v>1</v>
      </c>
      <c r="N64" s="136">
        <v>3.7999999999999999E-2</v>
      </c>
      <c r="O64" s="123">
        <v>16093.895</v>
      </c>
      <c r="P64" s="138">
        <v>0.203142113670573</v>
      </c>
      <c r="Q64" s="138">
        <v>8.5348416123493705E-3</v>
      </c>
    </row>
    <row r="65" spans="1:17">
      <c r="A65" s="2">
        <v>161</v>
      </c>
      <c r="B65" s="2">
        <v>12468</v>
      </c>
      <c r="C65" s="2" t="s">
        <v>1197</v>
      </c>
      <c r="D65" s="2" t="s">
        <v>1198</v>
      </c>
      <c r="E65" s="3" t="s">
        <v>350</v>
      </c>
      <c r="F65" s="2" t="s">
        <v>982</v>
      </c>
      <c r="G65" s="2" t="s">
        <v>30</v>
      </c>
      <c r="H65" s="2" t="s">
        <v>160</v>
      </c>
      <c r="I65" s="2" t="s">
        <v>1199</v>
      </c>
      <c r="J65" s="2" t="s">
        <v>446</v>
      </c>
      <c r="K65" s="2" t="s">
        <v>34</v>
      </c>
      <c r="L65" s="123">
        <v>0</v>
      </c>
      <c r="M65" s="132">
        <v>1</v>
      </c>
      <c r="N65" s="136">
        <v>3.7999999999999999E-2</v>
      </c>
      <c r="O65" s="123">
        <v>0</v>
      </c>
      <c r="P65" s="138">
        <v>-5.8865022863037701E-7</v>
      </c>
      <c r="Q65" s="138">
        <v>-2.07925150999904E-8</v>
      </c>
    </row>
    <row r="66" spans="1:17">
      <c r="A66" s="2">
        <v>161</v>
      </c>
      <c r="B66" s="2">
        <v>12468</v>
      </c>
      <c r="C66" s="2" t="s">
        <v>1197</v>
      </c>
      <c r="D66" s="2" t="s">
        <v>1198</v>
      </c>
      <c r="E66" s="3" t="s">
        <v>350</v>
      </c>
      <c r="F66" s="2" t="s">
        <v>984</v>
      </c>
      <c r="G66" s="2" t="s">
        <v>30</v>
      </c>
      <c r="H66" s="2" t="s">
        <v>160</v>
      </c>
      <c r="I66" s="2" t="s">
        <v>1199</v>
      </c>
      <c r="J66" s="2" t="s">
        <v>446</v>
      </c>
      <c r="K66" s="2" t="s">
        <v>90</v>
      </c>
      <c r="L66" s="123">
        <v>115.063</v>
      </c>
      <c r="M66" s="132">
        <v>3.3719999999999999</v>
      </c>
      <c r="N66" s="136">
        <v>0</v>
      </c>
      <c r="O66" s="123">
        <v>387.99400000000003</v>
      </c>
      <c r="P66" s="138">
        <v>0.51907397893759599</v>
      </c>
      <c r="Q66" s="138">
        <v>1.8334917783322701E-2</v>
      </c>
    </row>
    <row r="67" spans="1:17">
      <c r="A67" s="2">
        <v>161</v>
      </c>
      <c r="B67" s="2">
        <v>12468</v>
      </c>
      <c r="C67" s="2" t="s">
        <v>1197</v>
      </c>
      <c r="D67" s="2" t="s">
        <v>1198</v>
      </c>
      <c r="E67" s="3" t="s">
        <v>350</v>
      </c>
      <c r="F67" s="2" t="s">
        <v>984</v>
      </c>
      <c r="G67" s="2" t="s">
        <v>30</v>
      </c>
      <c r="H67" s="2" t="s">
        <v>160</v>
      </c>
      <c r="I67" s="2" t="s">
        <v>1199</v>
      </c>
      <c r="J67" s="2" t="s">
        <v>446</v>
      </c>
      <c r="K67" s="2" t="s">
        <v>1200</v>
      </c>
      <c r="L67" s="123">
        <v>5.6420000000000003</v>
      </c>
      <c r="M67" s="132">
        <v>3.9552</v>
      </c>
      <c r="N67" s="136">
        <v>0</v>
      </c>
      <c r="O67" s="123">
        <v>22.314</v>
      </c>
      <c r="P67" s="138">
        <v>2.9852398422311101E-2</v>
      </c>
      <c r="Q67" s="138">
        <v>1.0544571543122301E-3</v>
      </c>
    </row>
    <row r="68" spans="1:17">
      <c r="A68" s="2">
        <v>161</v>
      </c>
      <c r="B68" s="2">
        <v>12468</v>
      </c>
      <c r="C68" s="2" t="s">
        <v>1197</v>
      </c>
      <c r="D68" s="2" t="s">
        <v>1198</v>
      </c>
      <c r="E68" s="3" t="s">
        <v>350</v>
      </c>
      <c r="F68" s="2" t="s">
        <v>984</v>
      </c>
      <c r="G68" s="2" t="s">
        <v>30</v>
      </c>
      <c r="H68" s="2" t="s">
        <v>160</v>
      </c>
      <c r="I68" s="2" t="s">
        <v>1199</v>
      </c>
      <c r="J68" s="2" t="s">
        <v>446</v>
      </c>
      <c r="K68" s="2" t="s">
        <v>1204</v>
      </c>
      <c r="L68" s="123">
        <v>3.2549999999999999</v>
      </c>
      <c r="M68" s="132">
        <v>4.6235999999999997</v>
      </c>
      <c r="N68" s="136">
        <v>0</v>
      </c>
      <c r="O68" s="123">
        <v>15.052</v>
      </c>
      <c r="P68" s="138">
        <v>2.0136806128764499E-2</v>
      </c>
      <c r="Q68" s="138">
        <v>7.11279508838548E-4</v>
      </c>
    </row>
    <row r="69" spans="1:17">
      <c r="A69" s="2">
        <v>161</v>
      </c>
      <c r="B69" s="2">
        <v>12468</v>
      </c>
      <c r="C69" s="2" t="s">
        <v>1197</v>
      </c>
      <c r="D69" s="2" t="s">
        <v>1198</v>
      </c>
      <c r="E69" s="3" t="s">
        <v>350</v>
      </c>
      <c r="F69" s="2" t="s">
        <v>982</v>
      </c>
      <c r="G69" s="2" t="s">
        <v>30</v>
      </c>
      <c r="H69" s="2" t="s">
        <v>160</v>
      </c>
      <c r="I69" s="2" t="s">
        <v>1199</v>
      </c>
      <c r="J69" s="2" t="s">
        <v>446</v>
      </c>
      <c r="K69" s="2" t="s">
        <v>34</v>
      </c>
      <c r="L69" s="123">
        <v>318.7</v>
      </c>
      <c r="M69" s="132">
        <v>1</v>
      </c>
      <c r="N69" s="136">
        <v>3.7999999999999999E-2</v>
      </c>
      <c r="O69" s="123">
        <v>318.7</v>
      </c>
      <c r="P69" s="138">
        <v>0.42637015697731201</v>
      </c>
      <c r="Q69" s="138">
        <v>1.50604000405522E-2</v>
      </c>
    </row>
    <row r="70" spans="1:17">
      <c r="A70" s="2">
        <v>161</v>
      </c>
      <c r="B70" s="2">
        <v>12468</v>
      </c>
      <c r="C70" s="2" t="s">
        <v>1197</v>
      </c>
      <c r="D70" s="2" t="s">
        <v>1198</v>
      </c>
      <c r="E70" s="3" t="s">
        <v>350</v>
      </c>
      <c r="F70" s="2" t="s">
        <v>984</v>
      </c>
      <c r="G70" s="2" t="s">
        <v>30</v>
      </c>
      <c r="H70" s="2" t="s">
        <v>160</v>
      </c>
      <c r="I70" s="2" t="s">
        <v>1199</v>
      </c>
      <c r="J70" s="2" t="s">
        <v>446</v>
      </c>
      <c r="K70" s="2" t="s">
        <v>1205</v>
      </c>
      <c r="L70" s="123">
        <v>0.80700000000000005</v>
      </c>
      <c r="M70" s="132">
        <v>4.2313999999999998</v>
      </c>
      <c r="N70" s="136">
        <v>0</v>
      </c>
      <c r="O70" s="123">
        <v>3.4140000000000001</v>
      </c>
      <c r="P70" s="138">
        <v>4.5672481842449096E-3</v>
      </c>
      <c r="Q70" s="138">
        <v>1.6132598310081601E-4</v>
      </c>
    </row>
    <row r="71" spans="1:17">
      <c r="A71" s="2">
        <v>161</v>
      </c>
      <c r="B71" s="2">
        <v>15391</v>
      </c>
      <c r="C71" s="2" t="s">
        <v>1197</v>
      </c>
      <c r="D71" s="2" t="s">
        <v>1198</v>
      </c>
      <c r="E71" s="3" t="s">
        <v>350</v>
      </c>
      <c r="F71" s="2" t="s">
        <v>982</v>
      </c>
      <c r="G71" s="2" t="s">
        <v>30</v>
      </c>
      <c r="H71" s="2" t="s">
        <v>160</v>
      </c>
      <c r="I71" s="2" t="s">
        <v>1199</v>
      </c>
      <c r="J71" s="2" t="s">
        <v>446</v>
      </c>
      <c r="K71" s="2" t="s">
        <v>34</v>
      </c>
      <c r="L71" s="123">
        <v>0</v>
      </c>
      <c r="M71" s="132">
        <v>1</v>
      </c>
      <c r="N71" s="136">
        <v>0</v>
      </c>
      <c r="O71" s="123">
        <v>0</v>
      </c>
      <c r="P71" s="138">
        <v>-2.33693500457942E-6</v>
      </c>
      <c r="Q71" s="138">
        <v>-1.05837768314343E-8</v>
      </c>
    </row>
    <row r="72" spans="1:17">
      <c r="A72" s="2">
        <v>161</v>
      </c>
      <c r="B72" s="2">
        <v>15391</v>
      </c>
      <c r="C72" s="2" t="s">
        <v>1197</v>
      </c>
      <c r="D72" s="2" t="s">
        <v>1198</v>
      </c>
      <c r="E72" s="3" t="s">
        <v>350</v>
      </c>
      <c r="F72" s="2" t="s">
        <v>982</v>
      </c>
      <c r="G72" s="2" t="s">
        <v>30</v>
      </c>
      <c r="H72" s="2" t="s">
        <v>160</v>
      </c>
      <c r="I72" s="2" t="s">
        <v>1199</v>
      </c>
      <c r="J72" s="2" t="s">
        <v>446</v>
      </c>
      <c r="K72" s="2" t="s">
        <v>34</v>
      </c>
      <c r="L72" s="123">
        <v>51.348999999999997</v>
      </c>
      <c r="M72" s="132">
        <v>1</v>
      </c>
      <c r="N72" s="136">
        <v>0</v>
      </c>
      <c r="O72" s="123">
        <v>51.348999999999997</v>
      </c>
      <c r="P72" s="138">
        <v>1.0000021421904199</v>
      </c>
      <c r="Q72" s="138">
        <v>4.5289233475298996E-3</v>
      </c>
    </row>
    <row r="73" spans="1:17">
      <c r="A73" s="2">
        <v>161</v>
      </c>
      <c r="B73" s="2">
        <v>15391</v>
      </c>
      <c r="C73" s="2" t="s">
        <v>1197</v>
      </c>
      <c r="D73" s="2" t="s">
        <v>1198</v>
      </c>
      <c r="E73" s="3" t="s">
        <v>350</v>
      </c>
      <c r="F73" s="2" t="s">
        <v>982</v>
      </c>
      <c r="G73" s="2" t="s">
        <v>30</v>
      </c>
      <c r="H73" s="2" t="s">
        <v>160</v>
      </c>
      <c r="I73" s="2" t="s">
        <v>1199</v>
      </c>
      <c r="J73" s="2" t="s">
        <v>446</v>
      </c>
      <c r="K73" s="2" t="s">
        <v>34</v>
      </c>
      <c r="L73" s="123">
        <v>0</v>
      </c>
      <c r="M73" s="132">
        <v>1</v>
      </c>
      <c r="N73" s="136">
        <v>0</v>
      </c>
      <c r="O73" s="123">
        <v>0</v>
      </c>
      <c r="P73" s="138">
        <v>1.9474458371495199E-7</v>
      </c>
      <c r="Q73" s="138">
        <v>8.8198140261952303E-10</v>
      </c>
    </row>
  </sheetData>
  <sheetProtection formatColumns="0"/>
  <customSheetViews>
    <customSheetView guid="{AE318230-F718-49FC-82EB-7CAC3DCD05F1}" showGridLines="0">
      <selection activeCell="K3" sqref="K3"/>
      <pageMargins left="0.7" right="0.7" top="0.75" bottom="0.75" header="0.3" footer="0.3"/>
      <pageSetup paperSize="9" orientation="portrait" verticalDpi="0"/>
    </customSheetView>
  </customSheetViews>
  <dataValidations count="4">
    <dataValidation type="list" allowBlank="1" showInputMessage="1" showErrorMessage="1" sqref="G2:G20" xr:uid="{00000000-0002-0000-0200-000000000000}">
      <formula1>israel_abroad</formula1>
    </dataValidation>
    <dataValidation type="list" allowBlank="1" showInputMessage="1" showErrorMessage="1" sqref="H2:H20" xr:uid="{00000000-0002-0000-0200-000001000000}">
      <formula1>Holding_interest</formula1>
    </dataValidation>
    <dataValidation type="list" allowBlank="1" showInputMessage="1" showErrorMessage="1" sqref="J2:J21" xr:uid="{00000000-0002-0000-0200-000002000000}">
      <formula1>Rating_Agency</formula1>
    </dataValidation>
    <dataValidation type="list" allowBlank="1" showInputMessage="1" showErrorMessage="1" sqref="E2:E20" xr:uid="{00000000-0002-0000-0200-000003000000}">
      <formula1>Issuer_Number_Banks</formula1>
    </dataValidation>
  </dataValidations>
  <pageMargins left="0.7" right="0.7" top="0.75" bottom="0.75" header="0.3" footer="0.3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4000000}">
          <x14:formula1>
            <xm:f>'אפשרויות בחירה'!$C$853:$C$861</xm:f>
          </x14:formula1>
          <xm:sqref>F2:F20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/>
  <dimension ref="A1:AD92"/>
  <sheetViews>
    <sheetView rightToLeft="1" topLeftCell="C1" zoomScale="70" zoomScaleNormal="70" workbookViewId="0">
      <selection activeCell="C1" sqref="A1:XFD1048576"/>
    </sheetView>
  </sheetViews>
  <sheetFormatPr defaultColWidth="0" defaultRowHeight="14.25" zeroHeight="1"/>
  <cols>
    <col min="1" max="17" width="11.625" customWidth="1"/>
    <col min="18" max="18" width="13.5" bestFit="1" customWidth="1"/>
    <col min="19" max="26" width="11.625" customWidth="1"/>
    <col min="27" max="30" width="11.625" hidden="1" customWidth="1"/>
  </cols>
  <sheetData>
    <row r="1" spans="1:26" ht="66.75" customHeight="1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11</v>
      </c>
      <c r="M1" s="12" t="s">
        <v>12</v>
      </c>
      <c r="N1" s="12" t="s">
        <v>13</v>
      </c>
      <c r="O1" s="133" t="s">
        <v>14</v>
      </c>
      <c r="P1" s="137" t="s">
        <v>15</v>
      </c>
      <c r="Q1" s="12" t="s">
        <v>16</v>
      </c>
      <c r="R1" s="12" t="s">
        <v>17</v>
      </c>
      <c r="S1" s="131" t="s">
        <v>18</v>
      </c>
      <c r="T1" s="142" t="s">
        <v>19</v>
      </c>
      <c r="U1" s="12" t="s">
        <v>20</v>
      </c>
      <c r="V1" s="12" t="s">
        <v>21</v>
      </c>
      <c r="W1" s="12" t="s">
        <v>22</v>
      </c>
      <c r="X1" s="137" t="s">
        <v>23</v>
      </c>
      <c r="Y1" s="137" t="s">
        <v>24</v>
      </c>
      <c r="Z1" s="137" t="s">
        <v>25</v>
      </c>
    </row>
    <row r="2" spans="1:26">
      <c r="A2" s="11">
        <v>14076</v>
      </c>
      <c r="B2" s="11">
        <v>14077</v>
      </c>
      <c r="C2" s="11" t="s">
        <v>26</v>
      </c>
      <c r="D2" s="11" t="s">
        <v>27</v>
      </c>
      <c r="E2" s="11" t="s">
        <v>28</v>
      </c>
      <c r="F2" s="11" t="s">
        <v>29</v>
      </c>
      <c r="G2" s="11" t="s">
        <v>30</v>
      </c>
      <c r="H2" s="11" t="s">
        <v>30</v>
      </c>
      <c r="I2" s="11" t="s">
        <v>31</v>
      </c>
      <c r="J2" s="11" t="s">
        <v>32</v>
      </c>
      <c r="K2" s="11" t="s">
        <v>33</v>
      </c>
      <c r="L2" s="3" t="s">
        <v>34</v>
      </c>
      <c r="M2" s="124">
        <v>6.3940000000000001</v>
      </c>
      <c r="N2" s="3" t="s">
        <v>35</v>
      </c>
      <c r="O2" s="135">
        <v>1E-3</v>
      </c>
      <c r="P2" s="140">
        <v>1.9699999999999999E-2</v>
      </c>
      <c r="Q2" s="3"/>
      <c r="R2" s="124">
        <v>553755</v>
      </c>
      <c r="S2" s="141">
        <v>1</v>
      </c>
      <c r="T2" s="143">
        <v>104.14</v>
      </c>
      <c r="U2" s="124">
        <v>576.67999999999995</v>
      </c>
      <c r="V2" s="3"/>
      <c r="W2" s="11" t="s">
        <v>36</v>
      </c>
      <c r="X2" s="144">
        <v>1.5999999999999999E-5</v>
      </c>
      <c r="Y2" s="140">
        <v>0.136460679812968</v>
      </c>
      <c r="Z2" s="140">
        <v>3.0150489602476099E-2</v>
      </c>
    </row>
    <row r="3" spans="1:26">
      <c r="A3" s="11">
        <v>14076</v>
      </c>
      <c r="B3" s="11">
        <v>14077</v>
      </c>
      <c r="C3" s="11" t="s">
        <v>26</v>
      </c>
      <c r="D3" s="11" t="s">
        <v>37</v>
      </c>
      <c r="E3" s="11" t="s">
        <v>38</v>
      </c>
      <c r="F3" s="11" t="s">
        <v>29</v>
      </c>
      <c r="G3" s="11" t="s">
        <v>30</v>
      </c>
      <c r="H3" s="11" t="s">
        <v>30</v>
      </c>
      <c r="I3" s="11" t="s">
        <v>31</v>
      </c>
      <c r="J3" s="11" t="s">
        <v>32</v>
      </c>
      <c r="K3" s="11" t="s">
        <v>33</v>
      </c>
      <c r="L3" s="3" t="s">
        <v>34</v>
      </c>
      <c r="M3" s="124">
        <v>3.8839999999999999</v>
      </c>
      <c r="N3" s="3" t="s">
        <v>39</v>
      </c>
      <c r="O3" s="135">
        <v>5.0000000000000001E-3</v>
      </c>
      <c r="P3" s="140">
        <v>2.0080000000000001E-2</v>
      </c>
      <c r="Q3" s="3"/>
      <c r="R3" s="124">
        <v>1210396</v>
      </c>
      <c r="S3" s="141">
        <v>1</v>
      </c>
      <c r="T3" s="143">
        <v>110.62</v>
      </c>
      <c r="U3" s="124">
        <v>1338.94</v>
      </c>
      <c r="V3" s="3"/>
      <c r="W3" s="11" t="s">
        <v>36</v>
      </c>
      <c r="X3" s="144">
        <v>4.1E-5</v>
      </c>
      <c r="Y3" s="140">
        <v>0.31683520386994002</v>
      </c>
      <c r="Z3" s="140">
        <v>7.0003582959368996E-2</v>
      </c>
    </row>
    <row r="4" spans="1:26">
      <c r="A4" s="11">
        <v>14076</v>
      </c>
      <c r="B4" s="11">
        <v>14077</v>
      </c>
      <c r="C4" s="11" t="s">
        <v>26</v>
      </c>
      <c r="D4" s="11" t="s">
        <v>40</v>
      </c>
      <c r="E4" s="11" t="s">
        <v>41</v>
      </c>
      <c r="F4" s="11" t="s">
        <v>29</v>
      </c>
      <c r="G4" s="11" t="s">
        <v>30</v>
      </c>
      <c r="H4" s="11" t="s">
        <v>30</v>
      </c>
      <c r="I4" s="11" t="s">
        <v>31</v>
      </c>
      <c r="J4" s="11" t="s">
        <v>32</v>
      </c>
      <c r="K4" s="11" t="s">
        <v>33</v>
      </c>
      <c r="L4" s="3" t="s">
        <v>34</v>
      </c>
      <c r="M4" s="124">
        <v>1.0780000000000001</v>
      </c>
      <c r="N4" s="3" t="s">
        <v>42</v>
      </c>
      <c r="O4" s="135">
        <v>1E-3</v>
      </c>
      <c r="P4" s="140">
        <v>2.3380000000000001E-2</v>
      </c>
      <c r="Q4" s="3"/>
      <c r="R4" s="124">
        <v>331364</v>
      </c>
      <c r="S4" s="141">
        <v>1</v>
      </c>
      <c r="T4" s="143">
        <v>114.5</v>
      </c>
      <c r="U4" s="124">
        <v>379.41199999999998</v>
      </c>
      <c r="V4" s="3"/>
      <c r="W4" s="11" t="s">
        <v>36</v>
      </c>
      <c r="X4" s="144">
        <v>1.5999999999999999E-5</v>
      </c>
      <c r="Y4" s="140">
        <v>8.9780724835362993E-2</v>
      </c>
      <c r="Z4" s="140">
        <v>1.9836723768058898E-2</v>
      </c>
    </row>
    <row r="5" spans="1:26">
      <c r="A5" s="11">
        <v>14076</v>
      </c>
      <c r="B5" s="11">
        <v>14077</v>
      </c>
      <c r="C5" s="11" t="s">
        <v>43</v>
      </c>
      <c r="D5" s="11" t="s">
        <v>44</v>
      </c>
      <c r="E5" s="11" t="s">
        <v>45</v>
      </c>
      <c r="F5" s="11" t="s">
        <v>46</v>
      </c>
      <c r="G5" s="11" t="s">
        <v>30</v>
      </c>
      <c r="H5" s="11" t="s">
        <v>30</v>
      </c>
      <c r="I5" s="11" t="s">
        <v>31</v>
      </c>
      <c r="J5" s="11" t="s">
        <v>32</v>
      </c>
      <c r="K5" s="11" t="s">
        <v>33</v>
      </c>
      <c r="L5" s="3" t="s">
        <v>34</v>
      </c>
      <c r="M5" s="124">
        <v>6.5380000000000003</v>
      </c>
      <c r="N5" s="3" t="s">
        <v>47</v>
      </c>
      <c r="O5" s="135">
        <v>1.2999999999999999E-2</v>
      </c>
      <c r="P5" s="140">
        <v>4.0480000000000002E-2</v>
      </c>
      <c r="Q5" s="3"/>
      <c r="R5" s="124">
        <v>2296017</v>
      </c>
      <c r="S5" s="141">
        <v>1</v>
      </c>
      <c r="T5" s="143">
        <v>84.1</v>
      </c>
      <c r="U5" s="124">
        <v>1930.95</v>
      </c>
      <c r="V5" s="3"/>
      <c r="W5" s="11" t="s">
        <v>36</v>
      </c>
      <c r="X5" s="144">
        <v>6.4999999999999994E-5</v>
      </c>
      <c r="Y5" s="140">
        <v>0.456923391481728</v>
      </c>
      <c r="Z5" s="140">
        <v>0.100955557182332</v>
      </c>
    </row>
    <row r="6" spans="1:26">
      <c r="A6" s="11">
        <v>14076</v>
      </c>
      <c r="B6" s="11">
        <v>14078</v>
      </c>
      <c r="C6" s="11" t="s">
        <v>43</v>
      </c>
      <c r="D6" s="11" t="s">
        <v>48</v>
      </c>
      <c r="E6" s="11" t="s">
        <v>49</v>
      </c>
      <c r="F6" s="11" t="s">
        <v>46</v>
      </c>
      <c r="G6" s="11" t="s">
        <v>30</v>
      </c>
      <c r="H6" s="11" t="s">
        <v>30</v>
      </c>
      <c r="I6" s="11" t="s">
        <v>31</v>
      </c>
      <c r="J6" s="11" t="s">
        <v>32</v>
      </c>
      <c r="K6" s="11" t="s">
        <v>33</v>
      </c>
      <c r="L6" s="3" t="s">
        <v>34</v>
      </c>
      <c r="M6" s="124">
        <v>3.109</v>
      </c>
      <c r="N6" s="3" t="s">
        <v>50</v>
      </c>
      <c r="O6" s="135">
        <v>2.2499999999999999E-2</v>
      </c>
      <c r="P6" s="140">
        <v>3.952E-2</v>
      </c>
      <c r="Q6" s="3"/>
      <c r="R6" s="124">
        <v>87678</v>
      </c>
      <c r="S6" s="141">
        <v>1</v>
      </c>
      <c r="T6" s="143">
        <v>96.6</v>
      </c>
      <c r="U6" s="124">
        <v>84.697000000000003</v>
      </c>
      <c r="V6" s="3"/>
      <c r="W6" s="11" t="s">
        <v>36</v>
      </c>
      <c r="X6" s="144">
        <v>3.0000000000000001E-6</v>
      </c>
      <c r="Y6" s="140">
        <v>0.13323892011501301</v>
      </c>
      <c r="Z6" s="140">
        <v>4.0652897426162703E-2</v>
      </c>
    </row>
    <row r="7" spans="1:26">
      <c r="A7" s="11">
        <v>14076</v>
      </c>
      <c r="B7" s="11">
        <v>14078</v>
      </c>
      <c r="C7" s="11" t="s">
        <v>26</v>
      </c>
      <c r="D7" s="11" t="s">
        <v>37</v>
      </c>
      <c r="E7" s="11" t="s">
        <v>38</v>
      </c>
      <c r="F7" s="11" t="s">
        <v>29</v>
      </c>
      <c r="G7" s="11" t="s">
        <v>30</v>
      </c>
      <c r="H7" s="11" t="s">
        <v>30</v>
      </c>
      <c r="I7" s="11" t="s">
        <v>31</v>
      </c>
      <c r="J7" s="11" t="s">
        <v>32</v>
      </c>
      <c r="K7" s="11" t="s">
        <v>33</v>
      </c>
      <c r="L7" s="3" t="s">
        <v>34</v>
      </c>
      <c r="M7" s="124">
        <v>3.8839999999999999</v>
      </c>
      <c r="N7" s="3" t="s">
        <v>39</v>
      </c>
      <c r="O7" s="135">
        <v>5.0000000000000001E-3</v>
      </c>
      <c r="P7" s="140">
        <v>2.0080000000000001E-2</v>
      </c>
      <c r="Q7" s="3"/>
      <c r="R7" s="124">
        <v>133960</v>
      </c>
      <c r="S7" s="141">
        <v>1</v>
      </c>
      <c r="T7" s="143">
        <v>110.62</v>
      </c>
      <c r="U7" s="124">
        <v>148.18700000000001</v>
      </c>
      <c r="V7" s="3"/>
      <c r="W7" s="11" t="s">
        <v>36</v>
      </c>
      <c r="X7" s="144">
        <v>5.0000000000000004E-6</v>
      </c>
      <c r="Y7" s="140">
        <v>0.233116028738689</v>
      </c>
      <c r="Z7" s="140">
        <v>7.1126679775907906E-2</v>
      </c>
    </row>
    <row r="8" spans="1:26">
      <c r="A8" s="11">
        <v>14076</v>
      </c>
      <c r="B8" s="11">
        <v>14078</v>
      </c>
      <c r="C8" s="11" t="s">
        <v>26</v>
      </c>
      <c r="D8" s="11" t="s">
        <v>40</v>
      </c>
      <c r="E8" s="11" t="s">
        <v>41</v>
      </c>
      <c r="F8" s="11" t="s">
        <v>29</v>
      </c>
      <c r="G8" s="11" t="s">
        <v>30</v>
      </c>
      <c r="H8" s="11" t="s">
        <v>30</v>
      </c>
      <c r="I8" s="11" t="s">
        <v>31</v>
      </c>
      <c r="J8" s="11" t="s">
        <v>32</v>
      </c>
      <c r="K8" s="11" t="s">
        <v>33</v>
      </c>
      <c r="L8" s="3" t="s">
        <v>34</v>
      </c>
      <c r="M8" s="124">
        <v>1.0780000000000001</v>
      </c>
      <c r="N8" s="3" t="s">
        <v>42</v>
      </c>
      <c r="O8" s="135">
        <v>1E-3</v>
      </c>
      <c r="P8" s="140">
        <v>2.3380000000000001E-2</v>
      </c>
      <c r="Q8" s="3"/>
      <c r="R8" s="124">
        <v>110125</v>
      </c>
      <c r="S8" s="141">
        <v>1</v>
      </c>
      <c r="T8" s="143">
        <v>114.5</v>
      </c>
      <c r="U8" s="124">
        <v>126.093</v>
      </c>
      <c r="V8" s="3"/>
      <c r="W8" s="11" t="s">
        <v>36</v>
      </c>
      <c r="X8" s="144">
        <v>5.0000000000000004E-6</v>
      </c>
      <c r="Y8" s="140">
        <v>0.19836029757444601</v>
      </c>
      <c r="Z8" s="140">
        <v>6.0522261991887899E-2</v>
      </c>
    </row>
    <row r="9" spans="1:26">
      <c r="A9" s="11">
        <v>14076</v>
      </c>
      <c r="B9" s="11">
        <v>14078</v>
      </c>
      <c r="C9" s="11" t="s">
        <v>26</v>
      </c>
      <c r="D9" s="11" t="s">
        <v>51</v>
      </c>
      <c r="E9" s="11" t="s">
        <v>52</v>
      </c>
      <c r="F9" s="11" t="s">
        <v>29</v>
      </c>
      <c r="G9" s="11" t="s">
        <v>30</v>
      </c>
      <c r="H9" s="11" t="s">
        <v>30</v>
      </c>
      <c r="I9" s="11" t="s">
        <v>31</v>
      </c>
      <c r="J9" s="11" t="s">
        <v>32</v>
      </c>
      <c r="K9" s="11" t="s">
        <v>33</v>
      </c>
      <c r="L9" s="3" t="s">
        <v>34</v>
      </c>
      <c r="M9" s="124">
        <v>3.2679999999999998</v>
      </c>
      <c r="N9" s="3" t="s">
        <v>53</v>
      </c>
      <c r="O9" s="135">
        <v>1.0999999999999999E-2</v>
      </c>
      <c r="P9" s="140">
        <v>2.053E-2</v>
      </c>
      <c r="Q9" s="3"/>
      <c r="R9" s="124">
        <v>102115</v>
      </c>
      <c r="S9" s="141">
        <v>1</v>
      </c>
      <c r="T9" s="143">
        <v>103.51</v>
      </c>
      <c r="U9" s="124">
        <v>105.699</v>
      </c>
      <c r="V9" s="3"/>
      <c r="W9" s="11" t="s">
        <v>36</v>
      </c>
      <c r="X9" s="144">
        <v>3.0000000000000001E-6</v>
      </c>
      <c r="Y9" s="140">
        <v>0.16627815359109899</v>
      </c>
      <c r="Z9" s="140">
        <v>5.0733589827324198E-2</v>
      </c>
    </row>
    <row r="10" spans="1:26">
      <c r="A10" s="11">
        <v>14076</v>
      </c>
      <c r="B10" s="11">
        <v>14078</v>
      </c>
      <c r="C10" s="11" t="s">
        <v>43</v>
      </c>
      <c r="D10" s="11" t="s">
        <v>44</v>
      </c>
      <c r="E10" s="11" t="s">
        <v>45</v>
      </c>
      <c r="F10" s="11" t="s">
        <v>46</v>
      </c>
      <c r="G10" s="11" t="s">
        <v>30</v>
      </c>
      <c r="H10" s="11" t="s">
        <v>30</v>
      </c>
      <c r="I10" s="11" t="s">
        <v>31</v>
      </c>
      <c r="J10" s="11" t="s">
        <v>32</v>
      </c>
      <c r="K10" s="11" t="s">
        <v>33</v>
      </c>
      <c r="L10" s="3" t="s">
        <v>34</v>
      </c>
      <c r="M10" s="124">
        <v>6.5380000000000003</v>
      </c>
      <c r="N10" s="3" t="s">
        <v>47</v>
      </c>
      <c r="O10" s="135">
        <v>1.2999999999999999E-2</v>
      </c>
      <c r="P10" s="140">
        <v>4.0480000000000002E-2</v>
      </c>
      <c r="Q10" s="3"/>
      <c r="R10" s="124">
        <v>203331</v>
      </c>
      <c r="S10" s="141">
        <v>1</v>
      </c>
      <c r="T10" s="143">
        <v>84.1</v>
      </c>
      <c r="U10" s="124">
        <v>171.001</v>
      </c>
      <c r="V10" s="3"/>
      <c r="W10" s="11" t="s">
        <v>36</v>
      </c>
      <c r="X10" s="144">
        <v>6.0000000000000002E-6</v>
      </c>
      <c r="Y10" s="140">
        <v>0.26900659998075399</v>
      </c>
      <c r="Z10" s="140">
        <v>8.2077351771827595E-2</v>
      </c>
    </row>
    <row r="11" spans="1:26">
      <c r="A11" s="11">
        <v>161</v>
      </c>
      <c r="B11" s="11">
        <v>1434</v>
      </c>
      <c r="C11" s="11" t="s">
        <v>54</v>
      </c>
      <c r="D11" s="11" t="s">
        <v>55</v>
      </c>
      <c r="E11" s="11" t="s">
        <v>56</v>
      </c>
      <c r="F11" s="11" t="s">
        <v>57</v>
      </c>
      <c r="G11" s="11" t="s">
        <v>30</v>
      </c>
      <c r="H11" s="11" t="s">
        <v>30</v>
      </c>
      <c r="I11" s="11" t="s">
        <v>58</v>
      </c>
      <c r="J11" s="11" t="s">
        <v>32</v>
      </c>
      <c r="K11" s="11" t="s">
        <v>33</v>
      </c>
      <c r="L11" s="3" t="s">
        <v>34</v>
      </c>
      <c r="M11" s="124">
        <v>0.42199999999999999</v>
      </c>
      <c r="N11" s="3" t="s">
        <v>59</v>
      </c>
      <c r="O11" s="135">
        <v>0</v>
      </c>
      <c r="P11" s="140">
        <v>4.3240000000000001E-2</v>
      </c>
      <c r="Q11" s="3"/>
      <c r="R11" s="124">
        <v>360000</v>
      </c>
      <c r="S11" s="141">
        <v>1</v>
      </c>
      <c r="T11" s="143">
        <v>98.23</v>
      </c>
      <c r="U11" s="124">
        <v>353.62799999999999</v>
      </c>
      <c r="V11" s="3"/>
      <c r="W11" s="11" t="s">
        <v>36</v>
      </c>
      <c r="X11" s="144">
        <v>2.5999999999999998E-5</v>
      </c>
      <c r="Y11" s="140">
        <v>2.7260009630584101E-2</v>
      </c>
      <c r="Z11" s="140">
        <v>1.5694933442031499E-2</v>
      </c>
    </row>
    <row r="12" spans="1:26">
      <c r="A12" s="11">
        <v>161</v>
      </c>
      <c r="B12" s="11">
        <v>1434</v>
      </c>
      <c r="C12" s="11" t="s">
        <v>54</v>
      </c>
      <c r="D12" s="11" t="s">
        <v>60</v>
      </c>
      <c r="E12" s="11" t="s">
        <v>61</v>
      </c>
      <c r="F12" s="11" t="s">
        <v>57</v>
      </c>
      <c r="G12" s="11" t="s">
        <v>30</v>
      </c>
      <c r="H12" s="11" t="s">
        <v>30</v>
      </c>
      <c r="I12" s="11" t="s">
        <v>58</v>
      </c>
      <c r="J12" s="11" t="s">
        <v>32</v>
      </c>
      <c r="K12" s="11" t="s">
        <v>33</v>
      </c>
      <c r="L12" s="3" t="s">
        <v>34</v>
      </c>
      <c r="M12" s="124">
        <v>0.17299999999999999</v>
      </c>
      <c r="N12" s="3" t="s">
        <v>62</v>
      </c>
      <c r="O12" s="135">
        <v>0</v>
      </c>
      <c r="P12" s="140">
        <v>4.3970000000000002E-2</v>
      </c>
      <c r="Q12" s="3"/>
      <c r="R12" s="124">
        <v>250000</v>
      </c>
      <c r="S12" s="141">
        <v>1</v>
      </c>
      <c r="T12" s="143">
        <v>99.26</v>
      </c>
      <c r="U12" s="124">
        <v>248.15</v>
      </c>
      <c r="V12" s="3"/>
      <c r="W12" s="11" t="s">
        <v>36</v>
      </c>
      <c r="X12" s="144">
        <v>9.0000000000000002E-6</v>
      </c>
      <c r="Y12" s="140">
        <v>1.9129060452875501E-2</v>
      </c>
      <c r="Z12" s="140">
        <v>1.10135445542777E-2</v>
      </c>
    </row>
    <row r="13" spans="1:26">
      <c r="A13" s="11">
        <v>161</v>
      </c>
      <c r="B13" s="11">
        <v>1434</v>
      </c>
      <c r="C13" s="11" t="s">
        <v>54</v>
      </c>
      <c r="D13" s="11" t="s">
        <v>63</v>
      </c>
      <c r="E13" s="11" t="s">
        <v>64</v>
      </c>
      <c r="F13" s="11" t="s">
        <v>57</v>
      </c>
      <c r="G13" s="11" t="s">
        <v>30</v>
      </c>
      <c r="H13" s="11" t="s">
        <v>30</v>
      </c>
      <c r="I13" s="11" t="s">
        <v>58</v>
      </c>
      <c r="J13" s="11" t="s">
        <v>32</v>
      </c>
      <c r="K13" s="11" t="s">
        <v>33</v>
      </c>
      <c r="L13" s="3" t="s">
        <v>34</v>
      </c>
      <c r="M13" s="124">
        <v>0.34499999999999997</v>
      </c>
      <c r="N13" s="3" t="s">
        <v>65</v>
      </c>
      <c r="O13" s="135">
        <v>0</v>
      </c>
      <c r="P13" s="140">
        <v>4.3220000000000001E-2</v>
      </c>
      <c r="Q13" s="3"/>
      <c r="R13" s="124">
        <v>1800000</v>
      </c>
      <c r="S13" s="141">
        <v>1</v>
      </c>
      <c r="T13" s="143">
        <v>98.55</v>
      </c>
      <c r="U13" s="124">
        <v>1773.9</v>
      </c>
      <c r="V13" s="3"/>
      <c r="W13" s="11" t="s">
        <v>36</v>
      </c>
      <c r="X13" s="144">
        <v>1.2899999999999999E-4</v>
      </c>
      <c r="Y13" s="140">
        <v>0.13674406744854201</v>
      </c>
      <c r="Z13" s="140">
        <v>7.8730311041036394E-2</v>
      </c>
    </row>
    <row r="14" spans="1:26">
      <c r="A14" s="11">
        <v>161</v>
      </c>
      <c r="B14" s="11">
        <v>1434</v>
      </c>
      <c r="C14" s="11" t="s">
        <v>26</v>
      </c>
      <c r="D14" s="11" t="s">
        <v>27</v>
      </c>
      <c r="E14" s="11" t="s">
        <v>28</v>
      </c>
      <c r="F14" s="11" t="s">
        <v>29</v>
      </c>
      <c r="G14" s="11" t="s">
        <v>30</v>
      </c>
      <c r="H14" s="11" t="s">
        <v>30</v>
      </c>
      <c r="I14" s="11" t="s">
        <v>31</v>
      </c>
      <c r="J14" s="11" t="s">
        <v>32</v>
      </c>
      <c r="K14" s="11" t="s">
        <v>33</v>
      </c>
      <c r="L14" s="3" t="s">
        <v>34</v>
      </c>
      <c r="M14" s="124">
        <v>6.3940000000000001</v>
      </c>
      <c r="N14" s="3" t="s">
        <v>35</v>
      </c>
      <c r="O14" s="135">
        <v>1E-3</v>
      </c>
      <c r="P14" s="140">
        <v>1.9699999999999999E-2</v>
      </c>
      <c r="Q14" s="3"/>
      <c r="R14" s="124">
        <v>1170000</v>
      </c>
      <c r="S14" s="141">
        <v>1</v>
      </c>
      <c r="T14" s="143">
        <v>104.14</v>
      </c>
      <c r="U14" s="124">
        <v>1218.4380000000001</v>
      </c>
      <c r="V14" s="3"/>
      <c r="W14" s="11" t="s">
        <v>36</v>
      </c>
      <c r="X14" s="144">
        <v>3.4E-5</v>
      </c>
      <c r="Y14" s="140">
        <v>9.3925344187308801E-2</v>
      </c>
      <c r="Z14" s="140">
        <v>5.4077457987608303E-2</v>
      </c>
    </row>
    <row r="15" spans="1:26">
      <c r="A15" s="11">
        <v>161</v>
      </c>
      <c r="B15" s="11">
        <v>1434</v>
      </c>
      <c r="C15" s="11" t="s">
        <v>43</v>
      </c>
      <c r="D15" s="11" t="s">
        <v>66</v>
      </c>
      <c r="E15" s="11" t="s">
        <v>67</v>
      </c>
      <c r="F15" s="11" t="s">
        <v>46</v>
      </c>
      <c r="G15" s="11" t="s">
        <v>30</v>
      </c>
      <c r="H15" s="11" t="s">
        <v>30</v>
      </c>
      <c r="I15" s="11" t="s">
        <v>31</v>
      </c>
      <c r="J15" s="11" t="s">
        <v>32</v>
      </c>
      <c r="K15" s="11" t="s">
        <v>33</v>
      </c>
      <c r="L15" s="3" t="s">
        <v>34</v>
      </c>
      <c r="M15" s="124">
        <v>1.7250000000000001</v>
      </c>
      <c r="N15" s="3" t="s">
        <v>68</v>
      </c>
      <c r="O15" s="135">
        <v>0.02</v>
      </c>
      <c r="P15" s="140">
        <v>4.0030000000000003E-2</v>
      </c>
      <c r="Q15" s="3"/>
      <c r="R15" s="124">
        <v>220000</v>
      </c>
      <c r="S15" s="141">
        <v>1</v>
      </c>
      <c r="T15" s="143">
        <v>97.19</v>
      </c>
      <c r="U15" s="124">
        <v>213.81800000000001</v>
      </c>
      <c r="V15" s="3"/>
      <c r="W15" s="11" t="s">
        <v>36</v>
      </c>
      <c r="X15" s="144">
        <v>7.9999999999999996E-6</v>
      </c>
      <c r="Y15" s="140">
        <v>1.6482520442929399E-2</v>
      </c>
      <c r="Z15" s="140">
        <v>9.4898008039755993E-3</v>
      </c>
    </row>
    <row r="16" spans="1:26">
      <c r="A16" s="11">
        <v>161</v>
      </c>
      <c r="B16" s="11">
        <v>1434</v>
      </c>
      <c r="C16" s="11" t="s">
        <v>43</v>
      </c>
      <c r="D16" s="11" t="s">
        <v>69</v>
      </c>
      <c r="E16" s="11" t="s">
        <v>70</v>
      </c>
      <c r="F16" s="11" t="s">
        <v>46</v>
      </c>
      <c r="G16" s="11" t="s">
        <v>30</v>
      </c>
      <c r="H16" s="11" t="s">
        <v>30</v>
      </c>
      <c r="I16" s="11" t="s">
        <v>31</v>
      </c>
      <c r="J16" s="11" t="s">
        <v>32</v>
      </c>
      <c r="K16" s="11" t="s">
        <v>33</v>
      </c>
      <c r="L16" s="3" t="s">
        <v>34</v>
      </c>
      <c r="M16" s="124">
        <v>8.1739999999999995</v>
      </c>
      <c r="N16" s="3" t="s">
        <v>71</v>
      </c>
      <c r="O16" s="135">
        <v>0.04</v>
      </c>
      <c r="P16" s="140">
        <v>4.1140000000000003E-2</v>
      </c>
      <c r="Q16" s="3"/>
      <c r="R16" s="124">
        <v>1376000</v>
      </c>
      <c r="S16" s="141">
        <v>1</v>
      </c>
      <c r="T16" s="143">
        <v>100.1</v>
      </c>
      <c r="U16" s="124">
        <v>1377.376</v>
      </c>
      <c r="V16" s="3"/>
      <c r="W16" s="11" t="s">
        <v>36</v>
      </c>
      <c r="X16" s="144">
        <v>4.1E-5</v>
      </c>
      <c r="Y16" s="140">
        <v>0.10617734745250799</v>
      </c>
      <c r="Z16" s="140">
        <v>6.11315411807083E-2</v>
      </c>
    </row>
    <row r="17" spans="1:26">
      <c r="A17" s="11">
        <v>161</v>
      </c>
      <c r="B17" s="11">
        <v>1434</v>
      </c>
      <c r="C17" s="11" t="s">
        <v>26</v>
      </c>
      <c r="D17" s="11" t="s">
        <v>72</v>
      </c>
      <c r="E17" s="11" t="s">
        <v>73</v>
      </c>
      <c r="F17" s="11" t="s">
        <v>29</v>
      </c>
      <c r="G17" s="11" t="s">
        <v>30</v>
      </c>
      <c r="H17" s="11" t="s">
        <v>30</v>
      </c>
      <c r="I17" s="11" t="s">
        <v>31</v>
      </c>
      <c r="J17" s="11" t="s">
        <v>32</v>
      </c>
      <c r="K17" s="11" t="s">
        <v>33</v>
      </c>
      <c r="L17" s="3" t="s">
        <v>34</v>
      </c>
      <c r="M17" s="124">
        <v>13.17</v>
      </c>
      <c r="N17" s="3" t="s">
        <v>74</v>
      </c>
      <c r="O17" s="135">
        <v>2.75E-2</v>
      </c>
      <c r="P17" s="140">
        <v>1.9619999999999999E-2</v>
      </c>
      <c r="Q17" s="3"/>
      <c r="R17" s="124">
        <v>121000</v>
      </c>
      <c r="S17" s="141">
        <v>1</v>
      </c>
      <c r="T17" s="143">
        <v>141.80000000000001</v>
      </c>
      <c r="U17" s="124">
        <v>171.578</v>
      </c>
      <c r="V17" s="3"/>
      <c r="W17" s="11" t="s">
        <v>36</v>
      </c>
      <c r="X17" s="144">
        <v>6.0000000000000002E-6</v>
      </c>
      <c r="Y17" s="140">
        <v>1.3226378941702499E-2</v>
      </c>
      <c r="Z17" s="140">
        <v>7.6150793775291402E-3</v>
      </c>
    </row>
    <row r="18" spans="1:26">
      <c r="A18" s="11">
        <v>161</v>
      </c>
      <c r="B18" s="11">
        <v>1434</v>
      </c>
      <c r="C18" s="11" t="s">
        <v>43</v>
      </c>
      <c r="D18" s="11" t="s">
        <v>75</v>
      </c>
      <c r="E18" s="11" t="s">
        <v>76</v>
      </c>
      <c r="F18" s="11" t="s">
        <v>46</v>
      </c>
      <c r="G18" s="11" t="s">
        <v>30</v>
      </c>
      <c r="H18" s="11" t="s">
        <v>30</v>
      </c>
      <c r="I18" s="11" t="s">
        <v>31</v>
      </c>
      <c r="J18" s="11" t="s">
        <v>32</v>
      </c>
      <c r="K18" s="11" t="s">
        <v>33</v>
      </c>
      <c r="L18" s="3" t="s">
        <v>34</v>
      </c>
      <c r="M18" s="124">
        <v>11.420999999999999</v>
      </c>
      <c r="N18" s="3" t="s">
        <v>77</v>
      </c>
      <c r="O18" s="135">
        <v>5.5E-2</v>
      </c>
      <c r="P18" s="140">
        <v>4.3520000000000003E-2</v>
      </c>
      <c r="Q18" s="3"/>
      <c r="R18" s="124">
        <v>287954</v>
      </c>
      <c r="S18" s="141">
        <v>1</v>
      </c>
      <c r="T18" s="143">
        <v>115.63</v>
      </c>
      <c r="U18" s="124">
        <v>332.96100000000001</v>
      </c>
      <c r="V18" s="3"/>
      <c r="W18" s="11" t="s">
        <v>36</v>
      </c>
      <c r="X18" s="144">
        <v>1.0000000000000001E-5</v>
      </c>
      <c r="Y18" s="140">
        <v>2.5666875351111701E-2</v>
      </c>
      <c r="Z18" s="140">
        <v>1.4777687380148801E-2</v>
      </c>
    </row>
    <row r="19" spans="1:26">
      <c r="A19" s="11">
        <v>161</v>
      </c>
      <c r="B19" s="11">
        <v>1434</v>
      </c>
      <c r="C19" s="11" t="s">
        <v>26</v>
      </c>
      <c r="D19" s="11" t="s">
        <v>37</v>
      </c>
      <c r="E19" s="11" t="s">
        <v>38</v>
      </c>
      <c r="F19" s="11" t="s">
        <v>29</v>
      </c>
      <c r="G19" s="11" t="s">
        <v>30</v>
      </c>
      <c r="H19" s="11" t="s">
        <v>30</v>
      </c>
      <c r="I19" s="11" t="s">
        <v>31</v>
      </c>
      <c r="J19" s="11" t="s">
        <v>32</v>
      </c>
      <c r="K19" s="11" t="s">
        <v>33</v>
      </c>
      <c r="L19" s="3" t="s">
        <v>34</v>
      </c>
      <c r="M19" s="124">
        <v>3.8839999999999999</v>
      </c>
      <c r="N19" s="3" t="s">
        <v>39</v>
      </c>
      <c r="O19" s="135">
        <v>5.0000000000000001E-3</v>
      </c>
      <c r="P19" s="140">
        <v>2.0080000000000001E-2</v>
      </c>
      <c r="Q19" s="3"/>
      <c r="R19" s="124">
        <v>1102000</v>
      </c>
      <c r="S19" s="141">
        <v>1</v>
      </c>
      <c r="T19" s="143">
        <v>110.62</v>
      </c>
      <c r="U19" s="124">
        <v>1219.0319999999999</v>
      </c>
      <c r="V19" s="3"/>
      <c r="W19" s="11" t="s">
        <v>36</v>
      </c>
      <c r="X19" s="144">
        <v>3.6999999999999998E-5</v>
      </c>
      <c r="Y19" s="140">
        <v>9.3971164511843105E-2</v>
      </c>
      <c r="Z19" s="140">
        <v>5.4103839010711502E-2</v>
      </c>
    </row>
    <row r="20" spans="1:26">
      <c r="A20" s="3">
        <v>161</v>
      </c>
      <c r="B20" s="3">
        <v>1434</v>
      </c>
      <c r="C20" s="3" t="s">
        <v>26</v>
      </c>
      <c r="D20" s="3" t="s">
        <v>40</v>
      </c>
      <c r="E20" s="3" t="s">
        <v>41</v>
      </c>
      <c r="F20" s="11" t="s">
        <v>29</v>
      </c>
      <c r="G20" s="11" t="s">
        <v>30</v>
      </c>
      <c r="H20" s="11" t="s">
        <v>30</v>
      </c>
      <c r="I20" s="11" t="s">
        <v>31</v>
      </c>
      <c r="J20" s="3" t="s">
        <v>32</v>
      </c>
      <c r="K20" s="11" t="s">
        <v>33</v>
      </c>
      <c r="L20" s="3" t="s">
        <v>34</v>
      </c>
      <c r="M20" s="124">
        <v>1.0780000000000001</v>
      </c>
      <c r="N20" s="3" t="s">
        <v>42</v>
      </c>
      <c r="O20" s="135">
        <v>1E-3</v>
      </c>
      <c r="P20" s="140">
        <v>2.3380000000000001E-2</v>
      </c>
      <c r="Q20" s="3"/>
      <c r="R20" s="124">
        <v>1085000</v>
      </c>
      <c r="S20" s="141">
        <v>1</v>
      </c>
      <c r="T20" s="143">
        <v>114.5</v>
      </c>
      <c r="U20" s="124">
        <v>1242.325</v>
      </c>
      <c r="V20" s="3"/>
      <c r="W20" s="11" t="s">
        <v>36</v>
      </c>
      <c r="X20" s="144">
        <v>5.3999999999999998E-5</v>
      </c>
      <c r="Y20" s="140">
        <v>9.5766713790523997E-2</v>
      </c>
      <c r="Z20" s="140">
        <v>5.5137625381394398E-2</v>
      </c>
    </row>
    <row r="21" spans="1:26">
      <c r="A21" s="3">
        <v>161</v>
      </c>
      <c r="B21" s="3">
        <v>1434</v>
      </c>
      <c r="C21" s="3" t="s">
        <v>26</v>
      </c>
      <c r="D21" s="3" t="s">
        <v>51</v>
      </c>
      <c r="E21" s="3" t="s">
        <v>52</v>
      </c>
      <c r="F21" s="3" t="s">
        <v>29</v>
      </c>
      <c r="G21" s="3" t="s">
        <v>30</v>
      </c>
      <c r="H21" s="3" t="s">
        <v>30</v>
      </c>
      <c r="I21" s="3" t="s">
        <v>31</v>
      </c>
      <c r="J21" s="3" t="s">
        <v>32</v>
      </c>
      <c r="K21" s="3" t="s">
        <v>33</v>
      </c>
      <c r="L21" s="11" t="s">
        <v>34</v>
      </c>
      <c r="M21" s="124">
        <v>3.2679999999999998</v>
      </c>
      <c r="N21" s="3" t="s">
        <v>53</v>
      </c>
      <c r="O21" s="139">
        <v>1.0999999999999999E-2</v>
      </c>
      <c r="P21" s="140">
        <v>2.053E-2</v>
      </c>
      <c r="Q21" s="3"/>
      <c r="R21" s="124">
        <v>1960000</v>
      </c>
      <c r="S21" s="141">
        <v>1</v>
      </c>
      <c r="T21" s="143">
        <v>103.51</v>
      </c>
      <c r="U21" s="124">
        <v>2028.796</v>
      </c>
      <c r="V21" s="3"/>
      <c r="W21" s="3" t="s">
        <v>36</v>
      </c>
      <c r="X21" s="140">
        <v>6.2000000000000003E-5</v>
      </c>
      <c r="Y21" s="140">
        <v>0.156393154666742</v>
      </c>
      <c r="Z21" s="140">
        <v>9.0043260679187401E-2</v>
      </c>
    </row>
    <row r="22" spans="1:26">
      <c r="A22" s="3">
        <v>161</v>
      </c>
      <c r="B22" s="3">
        <v>1434</v>
      </c>
      <c r="C22" s="3" t="s">
        <v>43</v>
      </c>
      <c r="D22" s="3" t="s">
        <v>78</v>
      </c>
      <c r="E22" s="3" t="s">
        <v>79</v>
      </c>
      <c r="F22" s="3" t="s">
        <v>46</v>
      </c>
      <c r="G22" s="3" t="s">
        <v>30</v>
      </c>
      <c r="H22" s="3" t="s">
        <v>30</v>
      </c>
      <c r="I22" s="3" t="s">
        <v>31</v>
      </c>
      <c r="J22" s="3" t="s">
        <v>32</v>
      </c>
      <c r="K22" s="3" t="s">
        <v>33</v>
      </c>
      <c r="L22" s="11" t="s">
        <v>34</v>
      </c>
      <c r="M22" s="124">
        <v>4.641</v>
      </c>
      <c r="N22" s="3" t="s">
        <v>80</v>
      </c>
      <c r="O22" s="139">
        <v>0.01</v>
      </c>
      <c r="P22" s="140">
        <v>3.9690000000000003E-2</v>
      </c>
      <c r="Q22" s="3"/>
      <c r="R22" s="124">
        <v>1614011</v>
      </c>
      <c r="S22" s="141">
        <v>1</v>
      </c>
      <c r="T22" s="143">
        <v>87.63</v>
      </c>
      <c r="U22" s="124">
        <v>1414.3579999999999</v>
      </c>
      <c r="V22" s="3"/>
      <c r="W22" s="3" t="s">
        <v>36</v>
      </c>
      <c r="X22" s="140">
        <v>4.3000000000000002E-5</v>
      </c>
      <c r="Y22" s="140">
        <v>0.10902815478528299</v>
      </c>
      <c r="Z22" s="140">
        <v>6.2772891713973197E-2</v>
      </c>
    </row>
    <row r="23" spans="1:26">
      <c r="A23" s="3">
        <v>161</v>
      </c>
      <c r="B23" s="3">
        <v>1434</v>
      </c>
      <c r="C23" s="3" t="s">
        <v>43</v>
      </c>
      <c r="D23" s="3" t="s">
        <v>44</v>
      </c>
      <c r="E23" s="3" t="s">
        <v>45</v>
      </c>
      <c r="F23" s="3" t="s">
        <v>46</v>
      </c>
      <c r="G23" s="3" t="s">
        <v>30</v>
      </c>
      <c r="H23" s="3" t="s">
        <v>30</v>
      </c>
      <c r="I23" s="3" t="s">
        <v>31</v>
      </c>
      <c r="J23" s="3" t="s">
        <v>32</v>
      </c>
      <c r="K23" s="3" t="s">
        <v>33</v>
      </c>
      <c r="L23" s="11" t="s">
        <v>34</v>
      </c>
      <c r="M23" s="124">
        <v>6.5380000000000003</v>
      </c>
      <c r="N23" s="3" t="s">
        <v>47</v>
      </c>
      <c r="O23" s="139">
        <v>1.2999999999999999E-2</v>
      </c>
      <c r="P23" s="140">
        <v>4.0480000000000002E-2</v>
      </c>
      <c r="Q23" s="3"/>
      <c r="R23" s="124">
        <v>930000</v>
      </c>
      <c r="S23" s="141">
        <v>1</v>
      </c>
      <c r="T23" s="143">
        <v>84.1</v>
      </c>
      <c r="U23" s="124">
        <v>782.13</v>
      </c>
      <c r="V23" s="3"/>
      <c r="W23" s="3" t="s">
        <v>36</v>
      </c>
      <c r="X23" s="140">
        <v>2.5999999999999998E-5</v>
      </c>
      <c r="Y23" s="140">
        <v>6.0291807584152701E-2</v>
      </c>
      <c r="Z23" s="140">
        <v>3.4712970389833599E-2</v>
      </c>
    </row>
    <row r="24" spans="1:26">
      <c r="A24" s="3">
        <v>161</v>
      </c>
      <c r="B24" s="3">
        <v>1434</v>
      </c>
      <c r="C24" s="3" t="s">
        <v>81</v>
      </c>
      <c r="D24" s="3" t="s">
        <v>82</v>
      </c>
      <c r="E24" s="3" t="s">
        <v>83</v>
      </c>
      <c r="F24" s="3" t="s">
        <v>84</v>
      </c>
      <c r="G24" s="3" t="s">
        <v>85</v>
      </c>
      <c r="H24" s="3" t="s">
        <v>86</v>
      </c>
      <c r="I24" s="3" t="s">
        <v>87</v>
      </c>
      <c r="J24" s="3" t="s">
        <v>88</v>
      </c>
      <c r="K24" s="3" t="s">
        <v>89</v>
      </c>
      <c r="L24" s="11" t="s">
        <v>90</v>
      </c>
      <c r="M24" s="124">
        <v>6.9210000000000003</v>
      </c>
      <c r="N24" s="3" t="s">
        <v>91</v>
      </c>
      <c r="O24" s="139">
        <v>3.3750000000000002E-2</v>
      </c>
      <c r="P24" s="140">
        <v>4.1250000000000002E-2</v>
      </c>
      <c r="Q24" s="3"/>
      <c r="R24" s="124">
        <v>156000</v>
      </c>
      <c r="S24" s="141">
        <v>3.3719999999999999</v>
      </c>
      <c r="T24" s="143">
        <v>95.796000000000006</v>
      </c>
      <c r="U24" s="124">
        <v>503.91800000000001</v>
      </c>
      <c r="V24" s="3"/>
      <c r="W24" s="3" t="s">
        <v>36</v>
      </c>
      <c r="X24" s="140">
        <v>9.9999999999999995E-7</v>
      </c>
      <c r="Y24" s="140">
        <v>3.88453520113849E-2</v>
      </c>
      <c r="Z24" s="140">
        <v>2.2365187049198602E-2</v>
      </c>
    </row>
    <row r="25" spans="1:26">
      <c r="A25" s="3">
        <v>161</v>
      </c>
      <c r="B25" s="3">
        <v>1434</v>
      </c>
      <c r="C25" s="3" t="s">
        <v>92</v>
      </c>
      <c r="D25" s="3" t="s">
        <v>93</v>
      </c>
      <c r="E25" s="3" t="s">
        <v>94</v>
      </c>
      <c r="F25" s="3" t="s">
        <v>84</v>
      </c>
      <c r="G25" s="3" t="s">
        <v>85</v>
      </c>
      <c r="H25" s="3" t="s">
        <v>86</v>
      </c>
      <c r="I25" s="3" t="s">
        <v>87</v>
      </c>
      <c r="J25" s="3" t="s">
        <v>88</v>
      </c>
      <c r="K25" s="3" t="s">
        <v>89</v>
      </c>
      <c r="L25" s="11" t="s">
        <v>90</v>
      </c>
      <c r="M25" s="124">
        <v>7.7759999999999998</v>
      </c>
      <c r="N25" s="3" t="s">
        <v>95</v>
      </c>
      <c r="O25" s="139">
        <v>4.6249999999999999E-2</v>
      </c>
      <c r="P25" s="140">
        <v>4.2720000000000001E-2</v>
      </c>
      <c r="Q25" s="3"/>
      <c r="R25" s="124">
        <v>26000</v>
      </c>
      <c r="S25" s="141">
        <v>3.3719999999999999</v>
      </c>
      <c r="T25" s="143">
        <v>104.938</v>
      </c>
      <c r="U25" s="124">
        <v>92.001000000000005</v>
      </c>
      <c r="V25" s="3"/>
      <c r="W25" s="3" t="s">
        <v>36</v>
      </c>
      <c r="X25" s="140">
        <v>0</v>
      </c>
      <c r="Y25" s="140">
        <v>7.0920487425083101E-3</v>
      </c>
      <c r="Z25" s="140">
        <v>4.0832426139875101E-3</v>
      </c>
    </row>
    <row r="26" spans="1:26">
      <c r="A26" s="3">
        <v>161</v>
      </c>
      <c r="B26" s="3">
        <v>9938</v>
      </c>
      <c r="C26" s="3" t="s">
        <v>54</v>
      </c>
      <c r="D26" s="3" t="s">
        <v>60</v>
      </c>
      <c r="E26" s="3" t="s">
        <v>61</v>
      </c>
      <c r="F26" s="3" t="s">
        <v>57</v>
      </c>
      <c r="G26" s="3" t="s">
        <v>30</v>
      </c>
      <c r="H26" s="3" t="s">
        <v>30</v>
      </c>
      <c r="I26" s="3" t="s">
        <v>58</v>
      </c>
      <c r="J26" s="3" t="s">
        <v>32</v>
      </c>
      <c r="K26" s="3" t="s">
        <v>33</v>
      </c>
      <c r="L26" s="11" t="s">
        <v>34</v>
      </c>
      <c r="M26" s="124">
        <v>0.17299999999999999</v>
      </c>
      <c r="N26" s="3" t="s">
        <v>62</v>
      </c>
      <c r="O26" s="139">
        <v>0</v>
      </c>
      <c r="P26" s="140">
        <v>4.3970000000000002E-2</v>
      </c>
      <c r="Q26" s="3"/>
      <c r="R26" s="124">
        <v>2200000</v>
      </c>
      <c r="S26" s="141">
        <v>1</v>
      </c>
      <c r="T26" s="143">
        <v>99.26</v>
      </c>
      <c r="U26" s="124">
        <v>2183.7199999999998</v>
      </c>
      <c r="V26" s="3"/>
      <c r="W26" s="3" t="s">
        <v>36</v>
      </c>
      <c r="X26" s="140">
        <v>7.8999999999999996E-5</v>
      </c>
      <c r="Y26" s="140">
        <v>7.0091902550874802E-2</v>
      </c>
      <c r="Z26" s="140">
        <v>2.7229940847484299E-2</v>
      </c>
    </row>
    <row r="27" spans="1:26">
      <c r="A27" s="3">
        <v>161</v>
      </c>
      <c r="B27" s="3">
        <v>9938</v>
      </c>
      <c r="C27" s="3" t="s">
        <v>54</v>
      </c>
      <c r="D27" s="3" t="s">
        <v>96</v>
      </c>
      <c r="E27" s="3" t="s">
        <v>97</v>
      </c>
      <c r="F27" s="3" t="s">
        <v>57</v>
      </c>
      <c r="G27" s="3" t="s">
        <v>30</v>
      </c>
      <c r="H27" s="3" t="s">
        <v>30</v>
      </c>
      <c r="I27" s="3" t="s">
        <v>58</v>
      </c>
      <c r="J27" s="3" t="s">
        <v>32</v>
      </c>
      <c r="K27" s="3" t="s">
        <v>33</v>
      </c>
      <c r="L27" s="3" t="s">
        <v>34</v>
      </c>
      <c r="M27" s="124">
        <v>0.255</v>
      </c>
      <c r="N27" s="3" t="s">
        <v>98</v>
      </c>
      <c r="O27" s="139">
        <v>0</v>
      </c>
      <c r="P27" s="140">
        <v>4.3540000000000002E-2</v>
      </c>
      <c r="Q27" s="3"/>
      <c r="R27" s="124">
        <v>1000000</v>
      </c>
      <c r="S27" s="141">
        <v>1</v>
      </c>
      <c r="T27" s="143">
        <v>98.92</v>
      </c>
      <c r="U27" s="124">
        <v>989.2</v>
      </c>
      <c r="V27" s="3"/>
      <c r="W27" s="3" t="s">
        <v>36</v>
      </c>
      <c r="X27" s="140">
        <v>7.1000000000000005E-5</v>
      </c>
      <c r="Y27" s="140">
        <v>3.1750824283024101E-2</v>
      </c>
      <c r="Z27" s="140">
        <v>1.23348494707799E-2</v>
      </c>
    </row>
    <row r="28" spans="1:26">
      <c r="A28" s="3">
        <v>161</v>
      </c>
      <c r="B28" s="3">
        <v>9938</v>
      </c>
      <c r="C28" s="3" t="s">
        <v>54</v>
      </c>
      <c r="D28" s="3" t="s">
        <v>63</v>
      </c>
      <c r="E28" s="3" t="s">
        <v>64</v>
      </c>
      <c r="F28" s="3" t="s">
        <v>57</v>
      </c>
      <c r="G28" s="3" t="s">
        <v>30</v>
      </c>
      <c r="H28" s="3" t="s">
        <v>30</v>
      </c>
      <c r="I28" s="3" t="s">
        <v>58</v>
      </c>
      <c r="J28" s="3" t="s">
        <v>32</v>
      </c>
      <c r="K28" s="3" t="s">
        <v>33</v>
      </c>
      <c r="L28" s="3" t="s">
        <v>34</v>
      </c>
      <c r="M28" s="124">
        <v>0.34499999999999997</v>
      </c>
      <c r="N28" s="3" t="s">
        <v>65</v>
      </c>
      <c r="O28" s="139">
        <v>0</v>
      </c>
      <c r="P28" s="140">
        <v>4.3220000000000001E-2</v>
      </c>
      <c r="Q28" s="3"/>
      <c r="R28" s="124">
        <v>7000000</v>
      </c>
      <c r="S28" s="141">
        <v>1</v>
      </c>
      <c r="T28" s="143">
        <v>98.55</v>
      </c>
      <c r="U28" s="124">
        <v>6898.5</v>
      </c>
      <c r="V28" s="3"/>
      <c r="W28" s="3" t="s">
        <v>36</v>
      </c>
      <c r="X28" s="140">
        <v>5.0000000000000001E-4</v>
      </c>
      <c r="Y28" s="140">
        <v>0.221424445325962</v>
      </c>
      <c r="Z28" s="140">
        <v>8.6020985719950704E-2</v>
      </c>
    </row>
    <row r="29" spans="1:26">
      <c r="A29" s="3">
        <v>161</v>
      </c>
      <c r="B29" s="3">
        <v>9938</v>
      </c>
      <c r="C29" s="3" t="s">
        <v>54</v>
      </c>
      <c r="D29" s="3" t="s">
        <v>99</v>
      </c>
      <c r="E29" s="3" t="s">
        <v>100</v>
      </c>
      <c r="F29" s="3" t="s">
        <v>57</v>
      </c>
      <c r="G29" s="3" t="s">
        <v>30</v>
      </c>
      <c r="H29" s="3" t="s">
        <v>30</v>
      </c>
      <c r="I29" s="3" t="s">
        <v>58</v>
      </c>
      <c r="J29" s="3" t="s">
        <v>32</v>
      </c>
      <c r="K29" s="3" t="s">
        <v>33</v>
      </c>
      <c r="L29" s="3" t="s">
        <v>34</v>
      </c>
      <c r="M29" s="124">
        <v>0.51800000000000002</v>
      </c>
      <c r="N29" s="3" t="s">
        <v>101</v>
      </c>
      <c r="O29" s="139">
        <v>0</v>
      </c>
      <c r="P29" s="140">
        <v>4.3279999999999999E-2</v>
      </c>
      <c r="Q29" s="3"/>
      <c r="R29" s="124">
        <v>3100000</v>
      </c>
      <c r="S29" s="141">
        <v>1</v>
      </c>
      <c r="T29" s="143">
        <v>97.83</v>
      </c>
      <c r="U29" s="124">
        <v>3032.73</v>
      </c>
      <c r="V29" s="3"/>
      <c r="W29" s="3" t="s">
        <v>36</v>
      </c>
      <c r="X29" s="140">
        <v>1.94E-4</v>
      </c>
      <c r="Y29" s="140">
        <v>9.7342981528362002E-2</v>
      </c>
      <c r="Z29" s="140">
        <v>3.7816688268821598E-2</v>
      </c>
    </row>
    <row r="30" spans="1:26">
      <c r="A30" s="3">
        <v>161</v>
      </c>
      <c r="B30" s="3">
        <v>9938</v>
      </c>
      <c r="C30" s="3" t="s">
        <v>26</v>
      </c>
      <c r="D30" s="3" t="s">
        <v>102</v>
      </c>
      <c r="E30" s="3" t="s">
        <v>103</v>
      </c>
      <c r="F30" s="3" t="s">
        <v>29</v>
      </c>
      <c r="G30" s="3" t="s">
        <v>30</v>
      </c>
      <c r="H30" s="3" t="s">
        <v>30</v>
      </c>
      <c r="I30" s="3" t="s">
        <v>31</v>
      </c>
      <c r="J30" s="3" t="s">
        <v>32</v>
      </c>
      <c r="K30" s="3" t="s">
        <v>33</v>
      </c>
      <c r="L30" s="3" t="s">
        <v>34</v>
      </c>
      <c r="M30" s="124">
        <v>1.905</v>
      </c>
      <c r="N30" s="3" t="s">
        <v>104</v>
      </c>
      <c r="O30" s="139">
        <v>7.4999999999999997E-3</v>
      </c>
      <c r="P30" s="140">
        <v>2.0959999999999999E-2</v>
      </c>
      <c r="Q30" s="3"/>
      <c r="R30" s="124">
        <v>495000</v>
      </c>
      <c r="S30" s="141">
        <v>1</v>
      </c>
      <c r="T30" s="143">
        <v>115.45</v>
      </c>
      <c r="U30" s="124">
        <v>571.47699999999998</v>
      </c>
      <c r="V30" s="3"/>
      <c r="W30" s="3" t="s">
        <v>36</v>
      </c>
      <c r="X30" s="140">
        <v>2.0000000000000002E-5</v>
      </c>
      <c r="Y30" s="140">
        <v>1.8342985932270399E-2</v>
      </c>
      <c r="Z30" s="140">
        <v>7.1260502814775801E-3</v>
      </c>
    </row>
    <row r="31" spans="1:26">
      <c r="A31" s="3">
        <v>161</v>
      </c>
      <c r="B31" s="3">
        <v>9938</v>
      </c>
      <c r="C31" s="3" t="s">
        <v>26</v>
      </c>
      <c r="D31" s="3" t="s">
        <v>27</v>
      </c>
      <c r="E31" s="3" t="s">
        <v>28</v>
      </c>
      <c r="F31" s="3" t="s">
        <v>29</v>
      </c>
      <c r="G31" s="3" t="s">
        <v>30</v>
      </c>
      <c r="H31" s="3" t="s">
        <v>30</v>
      </c>
      <c r="I31" s="3" t="s">
        <v>31</v>
      </c>
      <c r="J31" s="3" t="s">
        <v>32</v>
      </c>
      <c r="K31" s="3" t="s">
        <v>33</v>
      </c>
      <c r="L31" s="3" t="s">
        <v>34</v>
      </c>
      <c r="M31" s="124">
        <v>6.3940000000000001</v>
      </c>
      <c r="N31" s="3" t="s">
        <v>35</v>
      </c>
      <c r="O31" s="139">
        <v>1E-3</v>
      </c>
      <c r="P31" s="140">
        <v>1.9699999999999999E-2</v>
      </c>
      <c r="Q31" s="3"/>
      <c r="R31" s="124">
        <v>2050000</v>
      </c>
      <c r="S31" s="141">
        <v>1</v>
      </c>
      <c r="T31" s="143">
        <v>104.14</v>
      </c>
      <c r="U31" s="124">
        <v>2134.87</v>
      </c>
      <c r="V31" s="3"/>
      <c r="W31" s="3" t="s">
        <v>36</v>
      </c>
      <c r="X31" s="140">
        <v>6.0000000000000002E-5</v>
      </c>
      <c r="Y31" s="140">
        <v>6.8523940797714997E-2</v>
      </c>
      <c r="Z31" s="140">
        <v>2.6620804781322199E-2</v>
      </c>
    </row>
    <row r="32" spans="1:26">
      <c r="A32" s="3">
        <v>161</v>
      </c>
      <c r="B32" s="3">
        <v>9938</v>
      </c>
      <c r="C32" s="3" t="s">
        <v>43</v>
      </c>
      <c r="D32" s="3" t="s">
        <v>69</v>
      </c>
      <c r="E32" s="3" t="s">
        <v>70</v>
      </c>
      <c r="F32" s="3" t="s">
        <v>46</v>
      </c>
      <c r="G32" s="3" t="s">
        <v>30</v>
      </c>
      <c r="H32" s="3" t="s">
        <v>30</v>
      </c>
      <c r="I32" s="3" t="s">
        <v>31</v>
      </c>
      <c r="J32" s="3" t="s">
        <v>32</v>
      </c>
      <c r="K32" s="3" t="s">
        <v>33</v>
      </c>
      <c r="L32" s="3" t="s">
        <v>34</v>
      </c>
      <c r="M32" s="124">
        <v>8.1739999999999995</v>
      </c>
      <c r="N32" s="3" t="s">
        <v>71</v>
      </c>
      <c r="O32" s="139">
        <v>0.04</v>
      </c>
      <c r="P32" s="140">
        <v>4.1140000000000003E-2</v>
      </c>
      <c r="Q32" s="3"/>
      <c r="R32" s="124">
        <v>5776000</v>
      </c>
      <c r="S32" s="141">
        <v>1</v>
      </c>
      <c r="T32" s="143">
        <v>100.1</v>
      </c>
      <c r="U32" s="124">
        <v>5781.7759999999998</v>
      </c>
      <c r="V32" s="3"/>
      <c r="W32" s="3" t="s">
        <v>36</v>
      </c>
      <c r="X32" s="140">
        <v>1.74E-4</v>
      </c>
      <c r="Y32" s="140">
        <v>0.185580422381526</v>
      </c>
      <c r="Z32" s="140">
        <v>7.2095973143720196E-2</v>
      </c>
    </row>
    <row r="33" spans="1:26">
      <c r="A33" s="3">
        <v>161</v>
      </c>
      <c r="B33" s="3">
        <v>9938</v>
      </c>
      <c r="C33" s="3" t="s">
        <v>43</v>
      </c>
      <c r="D33" s="3" t="s">
        <v>75</v>
      </c>
      <c r="E33" s="3" t="s">
        <v>76</v>
      </c>
      <c r="F33" s="3" t="s">
        <v>46</v>
      </c>
      <c r="G33" s="3" t="s">
        <v>30</v>
      </c>
      <c r="H33" s="3" t="s">
        <v>30</v>
      </c>
      <c r="I33" s="3" t="s">
        <v>31</v>
      </c>
      <c r="J33" s="3" t="s">
        <v>32</v>
      </c>
      <c r="K33" s="3" t="s">
        <v>33</v>
      </c>
      <c r="L33" s="3" t="s">
        <v>34</v>
      </c>
      <c r="M33" s="124">
        <v>11.420999999999999</v>
      </c>
      <c r="N33" s="3" t="s">
        <v>77</v>
      </c>
      <c r="O33" s="139">
        <v>5.5E-2</v>
      </c>
      <c r="P33" s="140">
        <v>4.3520000000000003E-2</v>
      </c>
      <c r="Q33" s="3"/>
      <c r="R33" s="124">
        <v>3285850</v>
      </c>
      <c r="S33" s="141">
        <v>1</v>
      </c>
      <c r="T33" s="143">
        <v>115.63</v>
      </c>
      <c r="U33" s="124">
        <v>3799.4279999999999</v>
      </c>
      <c r="V33" s="3"/>
      <c r="W33" s="3" t="s">
        <v>36</v>
      </c>
      <c r="X33" s="140">
        <v>1.1400000000000001E-4</v>
      </c>
      <c r="Y33" s="140">
        <v>0.121952064370748</v>
      </c>
      <c r="Z33" s="140">
        <v>4.73770489627355E-2</v>
      </c>
    </row>
    <row r="34" spans="1:26">
      <c r="A34" s="3">
        <v>161</v>
      </c>
      <c r="B34" s="3">
        <v>9938</v>
      </c>
      <c r="C34" s="3" t="s">
        <v>26</v>
      </c>
      <c r="D34" s="3" t="s">
        <v>37</v>
      </c>
      <c r="E34" s="3" t="s">
        <v>38</v>
      </c>
      <c r="F34" s="3" t="s">
        <v>29</v>
      </c>
      <c r="G34" s="3" t="s">
        <v>30</v>
      </c>
      <c r="H34" s="3" t="s">
        <v>30</v>
      </c>
      <c r="I34" s="3" t="s">
        <v>31</v>
      </c>
      <c r="J34" s="3" t="s">
        <v>32</v>
      </c>
      <c r="K34" s="3" t="s">
        <v>33</v>
      </c>
      <c r="L34" s="3" t="s">
        <v>34</v>
      </c>
      <c r="M34" s="124">
        <v>3.8839999999999999</v>
      </c>
      <c r="N34" s="3" t="s">
        <v>39</v>
      </c>
      <c r="O34" s="139">
        <v>5.0000000000000001E-3</v>
      </c>
      <c r="P34" s="140">
        <v>2.0080000000000001E-2</v>
      </c>
      <c r="Q34" s="3"/>
      <c r="R34" s="124">
        <v>2063000</v>
      </c>
      <c r="S34" s="141">
        <v>1</v>
      </c>
      <c r="T34" s="143">
        <v>110.62</v>
      </c>
      <c r="U34" s="124">
        <v>2282.0909999999999</v>
      </c>
      <c r="V34" s="3"/>
      <c r="W34" s="3" t="s">
        <v>36</v>
      </c>
      <c r="X34" s="140">
        <v>6.9999999999999994E-5</v>
      </c>
      <c r="Y34" s="140">
        <v>7.3249350625294196E-2</v>
      </c>
      <c r="Z34" s="140">
        <v>2.8456575040114999E-2</v>
      </c>
    </row>
    <row r="35" spans="1:26">
      <c r="A35" s="3">
        <v>161</v>
      </c>
      <c r="B35" s="3">
        <v>9938</v>
      </c>
      <c r="C35" s="3" t="s">
        <v>26</v>
      </c>
      <c r="D35" s="3" t="s">
        <v>105</v>
      </c>
      <c r="E35" s="3" t="s">
        <v>106</v>
      </c>
      <c r="F35" s="3" t="s">
        <v>29</v>
      </c>
      <c r="G35" s="3" t="s">
        <v>30</v>
      </c>
      <c r="H35" s="3" t="s">
        <v>30</v>
      </c>
      <c r="I35" s="3" t="s">
        <v>58</v>
      </c>
      <c r="J35" s="3" t="s">
        <v>32</v>
      </c>
      <c r="K35" s="3" t="s">
        <v>33</v>
      </c>
      <c r="L35" s="3" t="s">
        <v>34</v>
      </c>
      <c r="M35" s="124">
        <v>7.7789999999999999</v>
      </c>
      <c r="N35" s="3" t="s">
        <v>107</v>
      </c>
      <c r="O35" s="139">
        <v>1.6E-2</v>
      </c>
      <c r="P35" s="140">
        <v>1.9709999999999998E-2</v>
      </c>
      <c r="Q35" s="3"/>
      <c r="R35" s="124">
        <v>1400000</v>
      </c>
      <c r="S35" s="141">
        <v>1</v>
      </c>
      <c r="T35" s="143">
        <v>103.3</v>
      </c>
      <c r="U35" s="124">
        <v>1446.2</v>
      </c>
      <c r="V35" s="3"/>
      <c r="W35" s="3" t="s">
        <v>36</v>
      </c>
      <c r="X35" s="140">
        <v>5.8999999999999998E-5</v>
      </c>
      <c r="Y35" s="140">
        <v>4.6419371288020102E-2</v>
      </c>
      <c r="Z35" s="140">
        <v>1.8033420243269201E-2</v>
      </c>
    </row>
    <row r="36" spans="1:26">
      <c r="A36" s="3">
        <v>161</v>
      </c>
      <c r="B36" s="3">
        <v>9938</v>
      </c>
      <c r="C36" s="3" t="s">
        <v>81</v>
      </c>
      <c r="D36" s="3" t="s">
        <v>82</v>
      </c>
      <c r="E36" s="3" t="s">
        <v>83</v>
      </c>
      <c r="F36" s="3" t="s">
        <v>84</v>
      </c>
      <c r="G36" s="3" t="s">
        <v>85</v>
      </c>
      <c r="H36" s="3" t="s">
        <v>86</v>
      </c>
      <c r="I36" s="3" t="s">
        <v>87</v>
      </c>
      <c r="J36" s="3" t="s">
        <v>88</v>
      </c>
      <c r="K36" s="3" t="s">
        <v>89</v>
      </c>
      <c r="L36" s="3" t="s">
        <v>90</v>
      </c>
      <c r="M36" s="124">
        <v>6.9210000000000003</v>
      </c>
      <c r="N36" s="3" t="s">
        <v>91</v>
      </c>
      <c r="O36" s="139">
        <v>3.3750000000000002E-2</v>
      </c>
      <c r="P36" s="140">
        <v>4.1250000000000002E-2</v>
      </c>
      <c r="Q36" s="3"/>
      <c r="R36" s="124">
        <v>246000</v>
      </c>
      <c r="S36" s="141">
        <v>3.3719999999999999</v>
      </c>
      <c r="T36" s="143">
        <v>95.796000000000006</v>
      </c>
      <c r="U36" s="124">
        <v>794.64</v>
      </c>
      <c r="V36" s="3"/>
      <c r="W36" s="3" t="s">
        <v>36</v>
      </c>
      <c r="X36" s="140">
        <v>1.9999999999999999E-6</v>
      </c>
      <c r="Y36" s="140">
        <v>2.55059266621969E-2</v>
      </c>
      <c r="Z36" s="140">
        <v>9.9087747513742705E-3</v>
      </c>
    </row>
    <row r="37" spans="1:26">
      <c r="A37" s="3">
        <v>161</v>
      </c>
      <c r="B37" s="3">
        <v>9938</v>
      </c>
      <c r="C37" s="3" t="s">
        <v>81</v>
      </c>
      <c r="D37" s="3" t="s">
        <v>108</v>
      </c>
      <c r="E37" s="3" t="s">
        <v>109</v>
      </c>
      <c r="F37" s="3" t="s">
        <v>84</v>
      </c>
      <c r="G37" s="3" t="s">
        <v>85</v>
      </c>
      <c r="H37" s="3" t="s">
        <v>86</v>
      </c>
      <c r="I37" s="3" t="s">
        <v>87</v>
      </c>
      <c r="J37" s="3" t="s">
        <v>88</v>
      </c>
      <c r="K37" s="3" t="s">
        <v>89</v>
      </c>
      <c r="L37" s="3" t="s">
        <v>90</v>
      </c>
      <c r="M37" s="124">
        <v>7.6379999999999999</v>
      </c>
      <c r="N37" s="3" t="s">
        <v>110</v>
      </c>
      <c r="O37" s="139">
        <v>3.875E-2</v>
      </c>
      <c r="P37" s="140">
        <v>4.24E-2</v>
      </c>
      <c r="Q37" s="3"/>
      <c r="R37" s="124">
        <v>80000</v>
      </c>
      <c r="S37" s="141">
        <v>3.3719999999999999</v>
      </c>
      <c r="T37" s="143">
        <v>99.117000000000004</v>
      </c>
      <c r="U37" s="124">
        <v>267.37799999999999</v>
      </c>
      <c r="V37" s="3"/>
      <c r="W37" s="3" t="s">
        <v>36</v>
      </c>
      <c r="X37" s="140">
        <v>9.9999999999999995E-7</v>
      </c>
      <c r="Y37" s="140">
        <v>8.5821446783593998E-3</v>
      </c>
      <c r="Z37" s="140">
        <v>3.33406974887946E-3</v>
      </c>
    </row>
    <row r="38" spans="1:26">
      <c r="A38" s="3">
        <v>161</v>
      </c>
      <c r="B38" s="3">
        <v>9938</v>
      </c>
      <c r="C38" s="3" t="s">
        <v>92</v>
      </c>
      <c r="D38" s="3" t="s">
        <v>93</v>
      </c>
      <c r="E38" s="3" t="s">
        <v>94</v>
      </c>
      <c r="F38" s="3" t="s">
        <v>84</v>
      </c>
      <c r="G38" s="3" t="s">
        <v>85</v>
      </c>
      <c r="H38" s="3" t="s">
        <v>86</v>
      </c>
      <c r="I38" s="3" t="s">
        <v>87</v>
      </c>
      <c r="J38" s="3" t="s">
        <v>88</v>
      </c>
      <c r="K38" s="3" t="s">
        <v>89</v>
      </c>
      <c r="L38" s="3" t="s">
        <v>90</v>
      </c>
      <c r="M38" s="124">
        <v>7.7759999999999998</v>
      </c>
      <c r="N38" s="3" t="s">
        <v>95</v>
      </c>
      <c r="O38" s="139">
        <v>4.6249999999999999E-2</v>
      </c>
      <c r="P38" s="140">
        <v>4.2720000000000001E-2</v>
      </c>
      <c r="Q38" s="3"/>
      <c r="R38" s="124">
        <v>275000</v>
      </c>
      <c r="S38" s="141">
        <v>3.3719999999999999</v>
      </c>
      <c r="T38" s="143">
        <v>104.938</v>
      </c>
      <c r="U38" s="124">
        <v>973.08699999999999</v>
      </c>
      <c r="V38" s="3"/>
      <c r="W38" s="3" t="s">
        <v>36</v>
      </c>
      <c r="X38" s="140">
        <v>1.9999999999999999E-6</v>
      </c>
      <c r="Y38" s="140">
        <v>3.1233639575646201E-2</v>
      </c>
      <c r="Z38" s="140">
        <v>1.21339288440513E-2</v>
      </c>
    </row>
    <row r="39" spans="1:26">
      <c r="A39" s="3">
        <v>161</v>
      </c>
      <c r="B39" s="3">
        <v>9942</v>
      </c>
      <c r="C39" s="3" t="s">
        <v>54</v>
      </c>
      <c r="D39" s="3" t="s">
        <v>96</v>
      </c>
      <c r="E39" s="3" t="s">
        <v>97</v>
      </c>
      <c r="F39" s="3" t="s">
        <v>57</v>
      </c>
      <c r="G39" s="3" t="s">
        <v>30</v>
      </c>
      <c r="H39" s="3" t="s">
        <v>30</v>
      </c>
      <c r="I39" s="3" t="s">
        <v>58</v>
      </c>
      <c r="J39" s="3" t="s">
        <v>32</v>
      </c>
      <c r="K39" s="3" t="s">
        <v>33</v>
      </c>
      <c r="L39" s="3" t="s">
        <v>34</v>
      </c>
      <c r="M39" s="124">
        <v>0.255</v>
      </c>
      <c r="N39" s="3" t="s">
        <v>98</v>
      </c>
      <c r="O39" s="139">
        <v>0</v>
      </c>
      <c r="P39" s="140">
        <v>4.3540000000000002E-2</v>
      </c>
      <c r="Q39" s="3"/>
      <c r="R39" s="124">
        <v>2000000</v>
      </c>
      <c r="S39" s="141">
        <v>1</v>
      </c>
      <c r="T39" s="143">
        <v>98.92</v>
      </c>
      <c r="U39" s="124">
        <v>1978.4</v>
      </c>
      <c r="V39" s="3"/>
      <c r="W39" s="3" t="s">
        <v>36</v>
      </c>
      <c r="X39" s="140">
        <v>1.4300000000000001E-4</v>
      </c>
      <c r="Y39" s="140">
        <v>4.16375311603671E-2</v>
      </c>
      <c r="Z39" s="140">
        <v>2.0835827346681501E-2</v>
      </c>
    </row>
    <row r="40" spans="1:26">
      <c r="A40" s="3">
        <v>161</v>
      </c>
      <c r="B40" s="3">
        <v>9942</v>
      </c>
      <c r="C40" s="3" t="s">
        <v>54</v>
      </c>
      <c r="D40" s="3" t="s">
        <v>63</v>
      </c>
      <c r="E40" s="3" t="s">
        <v>64</v>
      </c>
      <c r="F40" s="3" t="s">
        <v>57</v>
      </c>
      <c r="G40" s="3" t="s">
        <v>30</v>
      </c>
      <c r="H40" s="3" t="s">
        <v>30</v>
      </c>
      <c r="I40" s="3" t="s">
        <v>58</v>
      </c>
      <c r="J40" s="3" t="s">
        <v>32</v>
      </c>
      <c r="K40" s="3" t="s">
        <v>33</v>
      </c>
      <c r="L40" s="3" t="s">
        <v>34</v>
      </c>
      <c r="M40" s="124">
        <v>0.34499999999999997</v>
      </c>
      <c r="N40" s="3" t="s">
        <v>65</v>
      </c>
      <c r="O40" s="139">
        <v>0</v>
      </c>
      <c r="P40" s="140">
        <v>4.3220000000000001E-2</v>
      </c>
      <c r="Q40" s="3"/>
      <c r="R40" s="124">
        <v>9600000</v>
      </c>
      <c r="S40" s="141">
        <v>1</v>
      </c>
      <c r="T40" s="143">
        <v>98.55</v>
      </c>
      <c r="U40" s="124">
        <v>9460.7999999999993</v>
      </c>
      <c r="V40" s="3"/>
      <c r="W40" s="3" t="s">
        <v>36</v>
      </c>
      <c r="X40" s="140">
        <v>6.8599999999999998E-4</v>
      </c>
      <c r="Y40" s="140">
        <v>0.19911259340982701</v>
      </c>
      <c r="Z40" s="140">
        <v>9.9637886858817207E-2</v>
      </c>
    </row>
    <row r="41" spans="1:26">
      <c r="A41" s="3">
        <v>161</v>
      </c>
      <c r="B41" s="3">
        <v>9942</v>
      </c>
      <c r="C41" s="3" t="s">
        <v>26</v>
      </c>
      <c r="D41" s="3" t="s">
        <v>111</v>
      </c>
      <c r="E41" s="3" t="s">
        <v>112</v>
      </c>
      <c r="F41" s="3" t="s">
        <v>29</v>
      </c>
      <c r="G41" s="3" t="s">
        <v>30</v>
      </c>
      <c r="H41" s="3" t="s">
        <v>30</v>
      </c>
      <c r="I41" s="3" t="s">
        <v>31</v>
      </c>
      <c r="J41" s="3" t="s">
        <v>32</v>
      </c>
      <c r="K41" s="3" t="s">
        <v>33</v>
      </c>
      <c r="L41" s="3" t="s">
        <v>34</v>
      </c>
      <c r="M41" s="124">
        <v>17.931999999999999</v>
      </c>
      <c r="N41" s="3" t="s">
        <v>113</v>
      </c>
      <c r="O41" s="139">
        <v>0.01</v>
      </c>
      <c r="P41" s="140">
        <v>2.0230000000000001E-2</v>
      </c>
      <c r="Q41" s="3"/>
      <c r="R41" s="124">
        <v>172756</v>
      </c>
      <c r="S41" s="141">
        <v>1</v>
      </c>
      <c r="T41" s="143">
        <v>98.54</v>
      </c>
      <c r="U41" s="124">
        <v>170.23400000000001</v>
      </c>
      <c r="V41" s="3"/>
      <c r="W41" s="3" t="s">
        <v>36</v>
      </c>
      <c r="X41" s="140">
        <v>7.9999999999999996E-6</v>
      </c>
      <c r="Y41" s="140">
        <v>3.5827504986233999E-3</v>
      </c>
      <c r="Z41" s="140">
        <v>1.7928433491419299E-3</v>
      </c>
    </row>
    <row r="42" spans="1:26">
      <c r="A42" s="3">
        <v>161</v>
      </c>
      <c r="B42" s="3">
        <v>9942</v>
      </c>
      <c r="C42" s="3" t="s">
        <v>26</v>
      </c>
      <c r="D42" s="3" t="s">
        <v>27</v>
      </c>
      <c r="E42" s="3" t="s">
        <v>28</v>
      </c>
      <c r="F42" s="3" t="s">
        <v>29</v>
      </c>
      <c r="G42" s="3" t="s">
        <v>30</v>
      </c>
      <c r="H42" s="3" t="s">
        <v>30</v>
      </c>
      <c r="I42" s="3" t="s">
        <v>31</v>
      </c>
      <c r="J42" s="3" t="s">
        <v>32</v>
      </c>
      <c r="K42" s="3" t="s">
        <v>33</v>
      </c>
      <c r="L42" s="3" t="s">
        <v>34</v>
      </c>
      <c r="M42" s="124">
        <v>6.3940000000000001</v>
      </c>
      <c r="N42" s="3" t="s">
        <v>35</v>
      </c>
      <c r="O42" s="139">
        <v>1E-3</v>
      </c>
      <c r="P42" s="140">
        <v>1.9699999999999999E-2</v>
      </c>
      <c r="Q42" s="3"/>
      <c r="R42" s="124">
        <v>1100000</v>
      </c>
      <c r="S42" s="141">
        <v>1</v>
      </c>
      <c r="T42" s="143">
        <v>104.14</v>
      </c>
      <c r="U42" s="124">
        <v>1145.54</v>
      </c>
      <c r="V42" s="3"/>
      <c r="W42" s="3" t="s">
        <v>36</v>
      </c>
      <c r="X42" s="140">
        <v>3.1999999999999999E-5</v>
      </c>
      <c r="Y42" s="140">
        <v>2.4109107079178599E-2</v>
      </c>
      <c r="Z42" s="140">
        <v>1.20644327025462E-2</v>
      </c>
    </row>
    <row r="43" spans="1:26">
      <c r="A43" s="3">
        <v>161</v>
      </c>
      <c r="B43" s="3">
        <v>9942</v>
      </c>
      <c r="C43" s="3" t="s">
        <v>43</v>
      </c>
      <c r="D43" s="3" t="s">
        <v>48</v>
      </c>
      <c r="E43" s="3" t="s">
        <v>49</v>
      </c>
      <c r="F43" s="3" t="s">
        <v>46</v>
      </c>
      <c r="G43" s="3" t="s">
        <v>30</v>
      </c>
      <c r="H43" s="3" t="s">
        <v>30</v>
      </c>
      <c r="I43" s="3" t="s">
        <v>31</v>
      </c>
      <c r="J43" s="3" t="s">
        <v>32</v>
      </c>
      <c r="K43" s="3" t="s">
        <v>33</v>
      </c>
      <c r="L43" s="3" t="s">
        <v>34</v>
      </c>
      <c r="M43" s="124">
        <v>3.109</v>
      </c>
      <c r="N43" s="3" t="s">
        <v>50</v>
      </c>
      <c r="O43" s="139">
        <v>2.2499999999999999E-2</v>
      </c>
      <c r="P43" s="140">
        <v>3.952E-2</v>
      </c>
      <c r="Q43" s="3"/>
      <c r="R43" s="124">
        <v>3500000</v>
      </c>
      <c r="S43" s="141">
        <v>1</v>
      </c>
      <c r="T43" s="143">
        <v>96.6</v>
      </c>
      <c r="U43" s="124">
        <v>3381</v>
      </c>
      <c r="V43" s="3"/>
      <c r="W43" s="3" t="s">
        <v>36</v>
      </c>
      <c r="X43" s="140">
        <v>1.01E-4</v>
      </c>
      <c r="Y43" s="140">
        <v>7.1156739210069306E-2</v>
      </c>
      <c r="Z43" s="140">
        <v>3.5607527425763202E-2</v>
      </c>
    </row>
    <row r="44" spans="1:26">
      <c r="A44" s="3">
        <v>161</v>
      </c>
      <c r="B44" s="3">
        <v>9942</v>
      </c>
      <c r="C44" s="3" t="s">
        <v>43</v>
      </c>
      <c r="D44" s="3" t="s">
        <v>114</v>
      </c>
      <c r="E44" s="3" t="s">
        <v>115</v>
      </c>
      <c r="F44" s="3" t="s">
        <v>46</v>
      </c>
      <c r="G44" s="3" t="s">
        <v>30</v>
      </c>
      <c r="H44" s="3" t="s">
        <v>30</v>
      </c>
      <c r="I44" s="3" t="s">
        <v>31</v>
      </c>
      <c r="J44" s="3" t="s">
        <v>32</v>
      </c>
      <c r="K44" s="3" t="s">
        <v>33</v>
      </c>
      <c r="L44" s="3" t="s">
        <v>34</v>
      </c>
      <c r="M44" s="124">
        <v>0.65800000000000003</v>
      </c>
      <c r="N44" s="3" t="s">
        <v>116</v>
      </c>
      <c r="O44" s="139">
        <v>5.0000000000000001E-3</v>
      </c>
      <c r="P44" s="140">
        <v>4.0480000000000002E-2</v>
      </c>
      <c r="Q44" s="3"/>
      <c r="R44" s="124">
        <v>320000</v>
      </c>
      <c r="S44" s="141">
        <v>1</v>
      </c>
      <c r="T44" s="143">
        <v>97.91</v>
      </c>
      <c r="U44" s="124">
        <v>313.31200000000001</v>
      </c>
      <c r="V44" s="3"/>
      <c r="W44" s="3" t="s">
        <v>36</v>
      </c>
      <c r="X44" s="140">
        <v>1.2E-5</v>
      </c>
      <c r="Y44" s="140">
        <v>6.5939841098447902E-3</v>
      </c>
      <c r="Z44" s="140">
        <v>3.2996940647207098E-3</v>
      </c>
    </row>
    <row r="45" spans="1:26">
      <c r="A45" s="3">
        <v>161</v>
      </c>
      <c r="B45" s="3">
        <v>9942</v>
      </c>
      <c r="C45" s="3" t="s">
        <v>43</v>
      </c>
      <c r="D45" s="3" t="s">
        <v>69</v>
      </c>
      <c r="E45" s="3" t="s">
        <v>70</v>
      </c>
      <c r="F45" s="3" t="s">
        <v>46</v>
      </c>
      <c r="G45" s="3" t="s">
        <v>30</v>
      </c>
      <c r="H45" s="3" t="s">
        <v>30</v>
      </c>
      <c r="I45" s="3" t="s">
        <v>31</v>
      </c>
      <c r="J45" s="3" t="s">
        <v>32</v>
      </c>
      <c r="K45" s="3" t="s">
        <v>33</v>
      </c>
      <c r="L45" s="3" t="s">
        <v>34</v>
      </c>
      <c r="M45" s="124">
        <v>8.1739999999999995</v>
      </c>
      <c r="N45" s="3" t="s">
        <v>71</v>
      </c>
      <c r="O45" s="139">
        <v>0.04</v>
      </c>
      <c r="P45" s="140">
        <v>4.1140000000000003E-2</v>
      </c>
      <c r="Q45" s="3"/>
      <c r="R45" s="124">
        <v>3483000</v>
      </c>
      <c r="S45" s="141">
        <v>1</v>
      </c>
      <c r="T45" s="143">
        <v>100.1</v>
      </c>
      <c r="U45" s="124">
        <v>3486.4830000000002</v>
      </c>
      <c r="V45" s="3"/>
      <c r="W45" s="3" t="s">
        <v>36</v>
      </c>
      <c r="X45" s="140">
        <v>1.05E-4</v>
      </c>
      <c r="Y45" s="140">
        <v>7.3376741079958605E-2</v>
      </c>
      <c r="Z45" s="140">
        <v>3.6718438048493701E-2</v>
      </c>
    </row>
    <row r="46" spans="1:26">
      <c r="A46" s="3">
        <v>161</v>
      </c>
      <c r="B46" s="3">
        <v>9942</v>
      </c>
      <c r="C46" s="3" t="s">
        <v>26</v>
      </c>
      <c r="D46" s="3" t="s">
        <v>72</v>
      </c>
      <c r="E46" s="3" t="s">
        <v>73</v>
      </c>
      <c r="F46" s="3" t="s">
        <v>29</v>
      </c>
      <c r="G46" s="3" t="s">
        <v>30</v>
      </c>
      <c r="H46" s="3" t="s">
        <v>30</v>
      </c>
      <c r="I46" s="3" t="s">
        <v>31</v>
      </c>
      <c r="J46" s="3" t="s">
        <v>32</v>
      </c>
      <c r="K46" s="3" t="s">
        <v>33</v>
      </c>
      <c r="L46" s="3" t="s">
        <v>34</v>
      </c>
      <c r="M46" s="124">
        <v>13.17</v>
      </c>
      <c r="N46" s="3" t="s">
        <v>74</v>
      </c>
      <c r="O46" s="139">
        <v>2.75E-2</v>
      </c>
      <c r="P46" s="140">
        <v>1.9619999999999999E-2</v>
      </c>
      <c r="Q46" s="3"/>
      <c r="R46" s="124">
        <v>311624</v>
      </c>
      <c r="S46" s="141">
        <v>1</v>
      </c>
      <c r="T46" s="143">
        <v>141.80000000000001</v>
      </c>
      <c r="U46" s="124">
        <v>441.88299999999998</v>
      </c>
      <c r="V46" s="3"/>
      <c r="W46" s="3" t="s">
        <v>36</v>
      </c>
      <c r="X46" s="140">
        <v>1.5E-5</v>
      </c>
      <c r="Y46" s="140">
        <v>9.29989394795353E-3</v>
      </c>
      <c r="Z46" s="140">
        <v>4.6537577815480404E-3</v>
      </c>
    </row>
    <row r="47" spans="1:26">
      <c r="A47" s="3">
        <v>161</v>
      </c>
      <c r="B47" s="3">
        <v>9942</v>
      </c>
      <c r="C47" s="3" t="s">
        <v>43</v>
      </c>
      <c r="D47" s="3" t="s">
        <v>75</v>
      </c>
      <c r="E47" s="3" t="s">
        <v>76</v>
      </c>
      <c r="F47" s="3" t="s">
        <v>46</v>
      </c>
      <c r="G47" s="3" t="s">
        <v>30</v>
      </c>
      <c r="H47" s="3" t="s">
        <v>30</v>
      </c>
      <c r="I47" s="3" t="s">
        <v>31</v>
      </c>
      <c r="J47" s="3" t="s">
        <v>32</v>
      </c>
      <c r="K47" s="3" t="s">
        <v>33</v>
      </c>
      <c r="L47" s="3" t="s">
        <v>34</v>
      </c>
      <c r="M47" s="124">
        <v>11.420999999999999</v>
      </c>
      <c r="N47" s="3" t="s">
        <v>77</v>
      </c>
      <c r="O47" s="139">
        <v>5.5E-2</v>
      </c>
      <c r="P47" s="140">
        <v>4.3520000000000003E-2</v>
      </c>
      <c r="Q47" s="3"/>
      <c r="R47" s="124">
        <v>1952119</v>
      </c>
      <c r="S47" s="141">
        <v>1</v>
      </c>
      <c r="T47" s="143">
        <v>115.63</v>
      </c>
      <c r="U47" s="124">
        <v>2257.2350000000001</v>
      </c>
      <c r="V47" s="3"/>
      <c r="W47" s="3" t="s">
        <v>36</v>
      </c>
      <c r="X47" s="140">
        <v>6.7999999999999999E-5</v>
      </c>
      <c r="Y47" s="140">
        <v>4.7505914356948099E-2</v>
      </c>
      <c r="Z47" s="140">
        <v>2.3772423626062099E-2</v>
      </c>
    </row>
    <row r="48" spans="1:26">
      <c r="A48" s="3">
        <v>161</v>
      </c>
      <c r="B48" s="3">
        <v>9942</v>
      </c>
      <c r="C48" s="3" t="s">
        <v>26</v>
      </c>
      <c r="D48" s="3" t="s">
        <v>37</v>
      </c>
      <c r="E48" s="3" t="s">
        <v>38</v>
      </c>
      <c r="F48" s="3" t="s">
        <v>29</v>
      </c>
      <c r="G48" s="3" t="s">
        <v>30</v>
      </c>
      <c r="H48" s="3" t="s">
        <v>30</v>
      </c>
      <c r="I48" s="3" t="s">
        <v>31</v>
      </c>
      <c r="J48" s="3" t="s">
        <v>32</v>
      </c>
      <c r="K48" s="3" t="s">
        <v>33</v>
      </c>
      <c r="L48" s="3" t="s">
        <v>34</v>
      </c>
      <c r="M48" s="124">
        <v>3.8839999999999999</v>
      </c>
      <c r="N48" s="3" t="s">
        <v>39</v>
      </c>
      <c r="O48" s="139">
        <v>5.0000000000000001E-3</v>
      </c>
      <c r="P48" s="140">
        <v>2.0080000000000001E-2</v>
      </c>
      <c r="Q48" s="3"/>
      <c r="R48" s="124">
        <v>2853000</v>
      </c>
      <c r="S48" s="141">
        <v>1</v>
      </c>
      <c r="T48" s="143">
        <v>110.62</v>
      </c>
      <c r="U48" s="124">
        <v>3155.989</v>
      </c>
      <c r="V48" s="3"/>
      <c r="W48" s="3" t="s">
        <v>36</v>
      </c>
      <c r="X48" s="140">
        <v>9.7E-5</v>
      </c>
      <c r="Y48" s="140">
        <v>6.64211350961703E-2</v>
      </c>
      <c r="Z48" s="140">
        <v>3.3237784865393701E-2</v>
      </c>
    </row>
    <row r="49" spans="1:26">
      <c r="A49" s="3">
        <v>161</v>
      </c>
      <c r="B49" s="3">
        <v>9942</v>
      </c>
      <c r="C49" s="3" t="s">
        <v>26</v>
      </c>
      <c r="D49" s="3" t="s">
        <v>40</v>
      </c>
      <c r="E49" s="3" t="s">
        <v>41</v>
      </c>
      <c r="F49" s="3" t="s">
        <v>29</v>
      </c>
      <c r="G49" s="3" t="s">
        <v>30</v>
      </c>
      <c r="H49" s="3" t="s">
        <v>30</v>
      </c>
      <c r="I49" s="3" t="s">
        <v>31</v>
      </c>
      <c r="J49" s="3" t="s">
        <v>32</v>
      </c>
      <c r="K49" s="3" t="s">
        <v>33</v>
      </c>
      <c r="L49" s="3" t="s">
        <v>34</v>
      </c>
      <c r="M49" s="124">
        <v>1.0780000000000001</v>
      </c>
      <c r="N49" s="3" t="s">
        <v>42</v>
      </c>
      <c r="O49" s="139">
        <v>1E-3</v>
      </c>
      <c r="P49" s="140">
        <v>2.3380000000000001E-2</v>
      </c>
      <c r="Q49" s="3"/>
      <c r="R49" s="124">
        <v>2816750</v>
      </c>
      <c r="S49" s="141">
        <v>1</v>
      </c>
      <c r="T49" s="143">
        <v>114.5</v>
      </c>
      <c r="U49" s="124">
        <v>3225.1790000000001</v>
      </c>
      <c r="V49" s="3"/>
      <c r="W49" s="3" t="s">
        <v>36</v>
      </c>
      <c r="X49" s="140">
        <v>1.3899999999999999E-4</v>
      </c>
      <c r="Y49" s="140">
        <v>6.7877315356287299E-2</v>
      </c>
      <c r="Z49" s="140">
        <v>3.3966471692875998E-2</v>
      </c>
    </row>
    <row r="50" spans="1:26">
      <c r="A50" s="3">
        <v>161</v>
      </c>
      <c r="B50" s="3">
        <v>9942</v>
      </c>
      <c r="C50" s="3" t="s">
        <v>26</v>
      </c>
      <c r="D50" s="3" t="s">
        <v>51</v>
      </c>
      <c r="E50" s="3" t="s">
        <v>52</v>
      </c>
      <c r="F50" s="3" t="s">
        <v>29</v>
      </c>
      <c r="G50" s="3" t="s">
        <v>30</v>
      </c>
      <c r="H50" s="3" t="s">
        <v>30</v>
      </c>
      <c r="I50" s="3" t="s">
        <v>31</v>
      </c>
      <c r="J50" s="3" t="s">
        <v>32</v>
      </c>
      <c r="K50" s="3" t="s">
        <v>33</v>
      </c>
      <c r="L50" s="3" t="s">
        <v>34</v>
      </c>
      <c r="M50" s="124">
        <v>3.2679999999999998</v>
      </c>
      <c r="N50" s="3" t="s">
        <v>53</v>
      </c>
      <c r="O50" s="139">
        <v>1.0999999999999999E-2</v>
      </c>
      <c r="P50" s="140">
        <v>2.053E-2</v>
      </c>
      <c r="Q50" s="3"/>
      <c r="R50" s="124">
        <v>8109212</v>
      </c>
      <c r="S50" s="141">
        <v>1</v>
      </c>
      <c r="T50" s="143">
        <v>103.51</v>
      </c>
      <c r="U50" s="124">
        <v>8393.8449999999993</v>
      </c>
      <c r="V50" s="3"/>
      <c r="W50" s="3" t="s">
        <v>36</v>
      </c>
      <c r="X50" s="140">
        <v>2.5799999999999998E-4</v>
      </c>
      <c r="Y50" s="140">
        <v>0.17665739837723299</v>
      </c>
      <c r="Z50" s="140">
        <v>8.8401087901329195E-2</v>
      </c>
    </row>
    <row r="51" spans="1:26">
      <c r="A51" s="3">
        <v>161</v>
      </c>
      <c r="B51" s="3">
        <v>9942</v>
      </c>
      <c r="C51" s="3" t="s">
        <v>26</v>
      </c>
      <c r="D51" s="3" t="s">
        <v>105</v>
      </c>
      <c r="E51" s="3" t="s">
        <v>106</v>
      </c>
      <c r="F51" s="3" t="s">
        <v>29</v>
      </c>
      <c r="G51" s="3" t="s">
        <v>30</v>
      </c>
      <c r="H51" s="3" t="s">
        <v>30</v>
      </c>
      <c r="I51" s="3" t="s">
        <v>58</v>
      </c>
      <c r="J51" s="3" t="s">
        <v>32</v>
      </c>
      <c r="K51" s="3" t="s">
        <v>33</v>
      </c>
      <c r="L51" s="3" t="s">
        <v>34</v>
      </c>
      <c r="M51" s="124">
        <v>7.7789999999999999</v>
      </c>
      <c r="N51" s="3" t="s">
        <v>107</v>
      </c>
      <c r="O51" s="139">
        <v>1.6E-2</v>
      </c>
      <c r="P51" s="140">
        <v>1.9709999999999998E-2</v>
      </c>
      <c r="Q51" s="3"/>
      <c r="R51" s="124">
        <v>280000</v>
      </c>
      <c r="S51" s="141">
        <v>1</v>
      </c>
      <c r="T51" s="143">
        <v>103.3</v>
      </c>
      <c r="U51" s="124">
        <v>289.24</v>
      </c>
      <c r="V51" s="3"/>
      <c r="W51" s="3" t="s">
        <v>36</v>
      </c>
      <c r="X51" s="140">
        <v>1.2E-5</v>
      </c>
      <c r="Y51" s="140">
        <v>6.0873632798345003E-3</v>
      </c>
      <c r="Z51" s="140">
        <v>3.0461760522412801E-3</v>
      </c>
    </row>
    <row r="52" spans="1:26">
      <c r="A52" s="3">
        <v>161</v>
      </c>
      <c r="B52" s="3">
        <v>9942</v>
      </c>
      <c r="C52" s="3" t="s">
        <v>43</v>
      </c>
      <c r="D52" s="3" t="s">
        <v>78</v>
      </c>
      <c r="E52" s="3" t="s">
        <v>79</v>
      </c>
      <c r="F52" s="3" t="s">
        <v>46</v>
      </c>
      <c r="G52" s="3" t="s">
        <v>30</v>
      </c>
      <c r="H52" s="3" t="s">
        <v>30</v>
      </c>
      <c r="I52" s="3" t="s">
        <v>31</v>
      </c>
      <c r="J52" s="3" t="s">
        <v>32</v>
      </c>
      <c r="K52" s="3" t="s">
        <v>33</v>
      </c>
      <c r="L52" s="3" t="s">
        <v>34</v>
      </c>
      <c r="M52" s="124">
        <v>4.641</v>
      </c>
      <c r="N52" s="3" t="s">
        <v>80</v>
      </c>
      <c r="O52" s="139">
        <v>0.01</v>
      </c>
      <c r="P52" s="140">
        <v>3.9690000000000003E-2</v>
      </c>
      <c r="Q52" s="3"/>
      <c r="R52" s="124">
        <v>5700000</v>
      </c>
      <c r="S52" s="141">
        <v>1</v>
      </c>
      <c r="T52" s="143">
        <v>87.63</v>
      </c>
      <c r="U52" s="124">
        <v>4994.91</v>
      </c>
      <c r="V52" s="3"/>
      <c r="W52" s="3" t="s">
        <v>36</v>
      </c>
      <c r="X52" s="140">
        <v>1.5100000000000001E-4</v>
      </c>
      <c r="Y52" s="140">
        <v>0.10512319084524301</v>
      </c>
      <c r="Z52" s="140">
        <v>5.26046716398164E-2</v>
      </c>
    </row>
    <row r="53" spans="1:26">
      <c r="A53" s="3">
        <v>161</v>
      </c>
      <c r="B53" s="3">
        <v>9942</v>
      </c>
      <c r="C53" s="3" t="s">
        <v>43</v>
      </c>
      <c r="D53" s="3" t="s">
        <v>44</v>
      </c>
      <c r="E53" s="3" t="s">
        <v>45</v>
      </c>
      <c r="F53" s="3" t="s">
        <v>46</v>
      </c>
      <c r="G53" s="3" t="s">
        <v>30</v>
      </c>
      <c r="H53" s="3" t="s">
        <v>30</v>
      </c>
      <c r="I53" s="3" t="s">
        <v>31</v>
      </c>
      <c r="J53" s="3" t="s">
        <v>32</v>
      </c>
      <c r="K53" s="3" t="s">
        <v>33</v>
      </c>
      <c r="L53" s="3" t="s">
        <v>34</v>
      </c>
      <c r="M53" s="124">
        <v>6.5380000000000003</v>
      </c>
      <c r="N53" s="3" t="s">
        <v>47</v>
      </c>
      <c r="O53" s="139">
        <v>1.2999999999999999E-2</v>
      </c>
      <c r="P53" s="140">
        <v>4.0480000000000002E-2</v>
      </c>
      <c r="Q53" s="3"/>
      <c r="R53" s="124">
        <v>3350000</v>
      </c>
      <c r="S53" s="141">
        <v>1</v>
      </c>
      <c r="T53" s="143">
        <v>84.1</v>
      </c>
      <c r="U53" s="124">
        <v>2817.35</v>
      </c>
      <c r="V53" s="3"/>
      <c r="W53" s="3" t="s">
        <v>36</v>
      </c>
      <c r="X53" s="140">
        <v>9.3999999999999994E-5</v>
      </c>
      <c r="Y53" s="140">
        <v>5.9294125765598601E-2</v>
      </c>
      <c r="Z53" s="140">
        <v>2.96713597731364E-2</v>
      </c>
    </row>
    <row r="54" spans="1:26">
      <c r="A54" s="3">
        <v>161</v>
      </c>
      <c r="B54" s="3">
        <v>9942</v>
      </c>
      <c r="C54" s="3" t="s">
        <v>81</v>
      </c>
      <c r="D54" s="3" t="s">
        <v>82</v>
      </c>
      <c r="E54" s="3" t="s">
        <v>83</v>
      </c>
      <c r="F54" s="3" t="s">
        <v>84</v>
      </c>
      <c r="G54" s="3" t="s">
        <v>85</v>
      </c>
      <c r="H54" s="3" t="s">
        <v>86</v>
      </c>
      <c r="I54" s="3" t="s">
        <v>87</v>
      </c>
      <c r="J54" s="3" t="s">
        <v>88</v>
      </c>
      <c r="K54" s="3" t="s">
        <v>89</v>
      </c>
      <c r="L54" s="3" t="s">
        <v>90</v>
      </c>
      <c r="M54" s="124">
        <v>6.9210000000000003</v>
      </c>
      <c r="N54" s="3" t="s">
        <v>91</v>
      </c>
      <c r="O54" s="139">
        <v>3.3750000000000002E-2</v>
      </c>
      <c r="P54" s="140">
        <v>4.1250000000000002E-2</v>
      </c>
      <c r="Q54" s="3"/>
      <c r="R54" s="124">
        <v>239000</v>
      </c>
      <c r="S54" s="141">
        <v>3.3719999999999999</v>
      </c>
      <c r="T54" s="143">
        <v>95.796000000000006</v>
      </c>
      <c r="U54" s="124">
        <v>772.02800000000002</v>
      </c>
      <c r="V54" s="3"/>
      <c r="W54" s="3" t="s">
        <v>36</v>
      </c>
      <c r="X54" s="140">
        <v>1.9999999999999999E-6</v>
      </c>
      <c r="Y54" s="140">
        <v>1.6248148176495999E-2</v>
      </c>
      <c r="Z54" s="140">
        <v>8.1307320745042603E-3</v>
      </c>
    </row>
    <row r="55" spans="1:26">
      <c r="A55" s="3">
        <v>161</v>
      </c>
      <c r="B55" s="3">
        <v>9942</v>
      </c>
      <c r="C55" s="3" t="s">
        <v>92</v>
      </c>
      <c r="D55" s="3" t="s">
        <v>93</v>
      </c>
      <c r="E55" s="3" t="s">
        <v>94</v>
      </c>
      <c r="F55" s="3" t="s">
        <v>84</v>
      </c>
      <c r="G55" s="3" t="s">
        <v>85</v>
      </c>
      <c r="H55" s="3" t="s">
        <v>86</v>
      </c>
      <c r="I55" s="3" t="s">
        <v>87</v>
      </c>
      <c r="J55" s="3" t="s">
        <v>88</v>
      </c>
      <c r="K55" s="3" t="s">
        <v>89</v>
      </c>
      <c r="L55" s="3" t="s">
        <v>90</v>
      </c>
      <c r="M55" s="124">
        <v>7.7759999999999998</v>
      </c>
      <c r="N55" s="3" t="s">
        <v>95</v>
      </c>
      <c r="O55" s="139">
        <v>4.6249999999999999E-2</v>
      </c>
      <c r="P55" s="140">
        <v>4.2720000000000001E-2</v>
      </c>
      <c r="Q55" s="3"/>
      <c r="R55" s="124">
        <v>348000</v>
      </c>
      <c r="S55" s="141">
        <v>3.3719999999999999</v>
      </c>
      <c r="T55" s="143">
        <v>104.938</v>
      </c>
      <c r="U55" s="124">
        <v>1231.3969999999999</v>
      </c>
      <c r="V55" s="3"/>
      <c r="W55" s="3" t="s">
        <v>36</v>
      </c>
      <c r="X55" s="140">
        <v>3.0000000000000001E-6</v>
      </c>
      <c r="Y55" s="140">
        <v>2.5916068250367099E-2</v>
      </c>
      <c r="Z55" s="140">
        <v>1.2968653724682099E-2</v>
      </c>
    </row>
    <row r="56" spans="1:26">
      <c r="A56" s="3">
        <v>161</v>
      </c>
      <c r="B56" s="3">
        <v>9943</v>
      </c>
      <c r="C56" s="3" t="s">
        <v>54</v>
      </c>
      <c r="D56" s="3" t="s">
        <v>55</v>
      </c>
      <c r="E56" s="3" t="s">
        <v>56</v>
      </c>
      <c r="F56" s="3" t="s">
        <v>57</v>
      </c>
      <c r="G56" s="3" t="s">
        <v>30</v>
      </c>
      <c r="H56" s="3" t="s">
        <v>30</v>
      </c>
      <c r="I56" s="3" t="s">
        <v>58</v>
      </c>
      <c r="J56" s="3" t="s">
        <v>32</v>
      </c>
      <c r="K56" s="3" t="s">
        <v>33</v>
      </c>
      <c r="L56" s="3" t="s">
        <v>34</v>
      </c>
      <c r="M56" s="124">
        <v>0.42199999999999999</v>
      </c>
      <c r="N56" s="3" t="s">
        <v>59</v>
      </c>
      <c r="O56" s="139">
        <v>0</v>
      </c>
      <c r="P56" s="140">
        <v>4.3240000000000001E-2</v>
      </c>
      <c r="Q56" s="3"/>
      <c r="R56" s="124">
        <v>2000000</v>
      </c>
      <c r="S56" s="141">
        <v>1</v>
      </c>
      <c r="T56" s="143">
        <v>98.23</v>
      </c>
      <c r="U56" s="124">
        <v>1964.6</v>
      </c>
      <c r="V56" s="3"/>
      <c r="W56" s="3" t="s">
        <v>36</v>
      </c>
      <c r="X56" s="140">
        <v>1.4300000000000001E-4</v>
      </c>
      <c r="Y56" s="140">
        <v>5.6675763114185703E-3</v>
      </c>
      <c r="Z56" s="140">
        <v>1.0418577651581499E-3</v>
      </c>
    </row>
    <row r="57" spans="1:26">
      <c r="A57" s="3">
        <v>161</v>
      </c>
      <c r="B57" s="3">
        <v>9943</v>
      </c>
      <c r="C57" s="3" t="s">
        <v>54</v>
      </c>
      <c r="D57" s="3" t="s">
        <v>60</v>
      </c>
      <c r="E57" s="3" t="s">
        <v>61</v>
      </c>
      <c r="F57" s="3" t="s">
        <v>57</v>
      </c>
      <c r="G57" s="3" t="s">
        <v>30</v>
      </c>
      <c r="H57" s="3" t="s">
        <v>30</v>
      </c>
      <c r="I57" s="3" t="s">
        <v>58</v>
      </c>
      <c r="J57" s="3" t="s">
        <v>32</v>
      </c>
      <c r="K57" s="3" t="s">
        <v>33</v>
      </c>
      <c r="L57" s="3" t="s">
        <v>34</v>
      </c>
      <c r="M57" s="124">
        <v>0.17299999999999999</v>
      </c>
      <c r="N57" s="3" t="s">
        <v>62</v>
      </c>
      <c r="O57" s="139">
        <v>0</v>
      </c>
      <c r="P57" s="140">
        <v>4.3970000000000002E-2</v>
      </c>
      <c r="Q57" s="3"/>
      <c r="R57" s="124">
        <v>8570000</v>
      </c>
      <c r="S57" s="141">
        <v>1</v>
      </c>
      <c r="T57" s="143">
        <v>99.26</v>
      </c>
      <c r="U57" s="124">
        <v>8506.5820000000003</v>
      </c>
      <c r="V57" s="3"/>
      <c r="W57" s="3" t="s">
        <v>36</v>
      </c>
      <c r="X57" s="140">
        <v>3.0600000000000001E-4</v>
      </c>
      <c r="Y57" s="140">
        <v>2.45402130888423E-2</v>
      </c>
      <c r="Z57" s="140">
        <v>4.5111720002313704E-3</v>
      </c>
    </row>
    <row r="58" spans="1:26">
      <c r="A58" s="3">
        <v>161</v>
      </c>
      <c r="B58" s="3">
        <v>9943</v>
      </c>
      <c r="C58" s="3" t="s">
        <v>54</v>
      </c>
      <c r="D58" s="3" t="s">
        <v>96</v>
      </c>
      <c r="E58" s="3" t="s">
        <v>97</v>
      </c>
      <c r="F58" s="3" t="s">
        <v>57</v>
      </c>
      <c r="G58" s="3" t="s">
        <v>30</v>
      </c>
      <c r="H58" s="3" t="s">
        <v>30</v>
      </c>
      <c r="I58" s="3" t="s">
        <v>58</v>
      </c>
      <c r="J58" s="3" t="s">
        <v>32</v>
      </c>
      <c r="K58" s="3" t="s">
        <v>33</v>
      </c>
      <c r="L58" s="3" t="s">
        <v>34</v>
      </c>
      <c r="M58" s="124">
        <v>0.255</v>
      </c>
      <c r="N58" s="3" t="s">
        <v>98</v>
      </c>
      <c r="O58" s="139">
        <v>0</v>
      </c>
      <c r="P58" s="140">
        <v>4.3540000000000002E-2</v>
      </c>
      <c r="Q58" s="3"/>
      <c r="R58" s="124">
        <v>6400000</v>
      </c>
      <c r="S58" s="141">
        <v>1</v>
      </c>
      <c r="T58" s="143">
        <v>98.92</v>
      </c>
      <c r="U58" s="124">
        <v>6330.88</v>
      </c>
      <c r="V58" s="3"/>
      <c r="W58" s="3" t="s">
        <v>36</v>
      </c>
      <c r="X58" s="140">
        <v>4.57E-4</v>
      </c>
      <c r="Y58" s="140">
        <v>1.8263639172571299E-2</v>
      </c>
      <c r="Z58" s="140">
        <v>3.3573635794993499E-3</v>
      </c>
    </row>
    <row r="59" spans="1:26">
      <c r="A59" s="3">
        <v>161</v>
      </c>
      <c r="B59" s="3">
        <v>9943</v>
      </c>
      <c r="C59" s="3" t="s">
        <v>54</v>
      </c>
      <c r="D59" s="3" t="s">
        <v>63</v>
      </c>
      <c r="E59" s="3" t="s">
        <v>64</v>
      </c>
      <c r="F59" s="3" t="s">
        <v>57</v>
      </c>
      <c r="G59" s="3" t="s">
        <v>30</v>
      </c>
      <c r="H59" s="3" t="s">
        <v>30</v>
      </c>
      <c r="I59" s="3" t="s">
        <v>58</v>
      </c>
      <c r="J59" s="3" t="s">
        <v>32</v>
      </c>
      <c r="K59" s="3" t="s">
        <v>33</v>
      </c>
      <c r="L59" s="3" t="s">
        <v>34</v>
      </c>
      <c r="M59" s="124">
        <v>0.34499999999999997</v>
      </c>
      <c r="N59" s="3" t="s">
        <v>65</v>
      </c>
      <c r="O59" s="139">
        <v>0</v>
      </c>
      <c r="P59" s="140">
        <v>4.3220000000000001E-2</v>
      </c>
      <c r="Q59" s="3"/>
      <c r="R59" s="124">
        <v>20000000</v>
      </c>
      <c r="S59" s="141">
        <v>1</v>
      </c>
      <c r="T59" s="143">
        <v>98.55</v>
      </c>
      <c r="U59" s="124">
        <v>19710</v>
      </c>
      <c r="V59" s="3"/>
      <c r="W59" s="3" t="s">
        <v>36</v>
      </c>
      <c r="X59" s="140">
        <v>1.4289999999999999E-3</v>
      </c>
      <c r="Y59" s="140">
        <v>5.6860393514231902E-2</v>
      </c>
      <c r="Z59" s="140">
        <v>1.0452517841426799E-2</v>
      </c>
    </row>
    <row r="60" spans="1:26">
      <c r="A60" s="3">
        <v>161</v>
      </c>
      <c r="B60" s="3">
        <v>9943</v>
      </c>
      <c r="C60" s="3" t="s">
        <v>26</v>
      </c>
      <c r="D60" s="3" t="s">
        <v>111</v>
      </c>
      <c r="E60" s="3" t="s">
        <v>112</v>
      </c>
      <c r="F60" s="3" t="s">
        <v>29</v>
      </c>
      <c r="G60" s="3" t="s">
        <v>30</v>
      </c>
      <c r="H60" s="3" t="s">
        <v>30</v>
      </c>
      <c r="I60" s="3" t="s">
        <v>31</v>
      </c>
      <c r="J60" s="3" t="s">
        <v>32</v>
      </c>
      <c r="K60" s="3" t="s">
        <v>33</v>
      </c>
      <c r="L60" s="3" t="s">
        <v>34</v>
      </c>
      <c r="M60" s="124">
        <v>17.931999999999999</v>
      </c>
      <c r="N60" s="3" t="s">
        <v>113</v>
      </c>
      <c r="O60" s="139">
        <v>0.01</v>
      </c>
      <c r="P60" s="140">
        <v>2.0230000000000001E-2</v>
      </c>
      <c r="Q60" s="3"/>
      <c r="R60" s="124">
        <v>251406</v>
      </c>
      <c r="S60" s="141">
        <v>1</v>
      </c>
      <c r="T60" s="143">
        <v>98.54</v>
      </c>
      <c r="U60" s="124">
        <v>247.73500000000001</v>
      </c>
      <c r="V60" s="3"/>
      <c r="W60" s="3" t="s">
        <v>36</v>
      </c>
      <c r="X60" s="140">
        <v>1.1E-5</v>
      </c>
      <c r="Y60" s="140">
        <v>7.1467967773202097E-4</v>
      </c>
      <c r="Z60" s="140">
        <v>1.3137795257307501E-4</v>
      </c>
    </row>
    <row r="61" spans="1:26">
      <c r="A61" s="3">
        <v>161</v>
      </c>
      <c r="B61" s="3">
        <v>9943</v>
      </c>
      <c r="C61" s="3" t="s">
        <v>26</v>
      </c>
      <c r="D61" s="3" t="s">
        <v>27</v>
      </c>
      <c r="E61" s="3" t="s">
        <v>28</v>
      </c>
      <c r="F61" s="3" t="s">
        <v>29</v>
      </c>
      <c r="G61" s="3" t="s">
        <v>30</v>
      </c>
      <c r="H61" s="3" t="s">
        <v>30</v>
      </c>
      <c r="I61" s="3" t="s">
        <v>31</v>
      </c>
      <c r="J61" s="3" t="s">
        <v>32</v>
      </c>
      <c r="K61" s="3" t="s">
        <v>33</v>
      </c>
      <c r="L61" s="3" t="s">
        <v>34</v>
      </c>
      <c r="M61" s="124">
        <v>6.3940000000000001</v>
      </c>
      <c r="N61" s="3" t="s">
        <v>35</v>
      </c>
      <c r="O61" s="139">
        <v>1E-3</v>
      </c>
      <c r="P61" s="140">
        <v>1.9699999999999999E-2</v>
      </c>
      <c r="Q61" s="3"/>
      <c r="R61" s="124">
        <v>7460000</v>
      </c>
      <c r="S61" s="141">
        <v>1</v>
      </c>
      <c r="T61" s="143">
        <v>104.14</v>
      </c>
      <c r="U61" s="124">
        <v>7768.8440000000001</v>
      </c>
      <c r="V61" s="3"/>
      <c r="W61" s="3" t="s">
        <v>36</v>
      </c>
      <c r="X61" s="140">
        <v>2.1800000000000001E-4</v>
      </c>
      <c r="Y61" s="140">
        <v>2.2411949619009601E-2</v>
      </c>
      <c r="Z61" s="140">
        <v>4.1199381287296702E-3</v>
      </c>
    </row>
    <row r="62" spans="1:26">
      <c r="A62" s="3">
        <v>161</v>
      </c>
      <c r="B62" s="3">
        <v>9943</v>
      </c>
      <c r="C62" s="3" t="s">
        <v>43</v>
      </c>
      <c r="D62" s="3" t="s">
        <v>69</v>
      </c>
      <c r="E62" s="3" t="s">
        <v>70</v>
      </c>
      <c r="F62" s="3" t="s">
        <v>46</v>
      </c>
      <c r="G62" s="3" t="s">
        <v>30</v>
      </c>
      <c r="H62" s="3" t="s">
        <v>30</v>
      </c>
      <c r="I62" s="3" t="s">
        <v>31</v>
      </c>
      <c r="J62" s="3" t="s">
        <v>32</v>
      </c>
      <c r="K62" s="3" t="s">
        <v>33</v>
      </c>
      <c r="L62" s="3" t="s">
        <v>34</v>
      </c>
      <c r="M62" s="124">
        <v>8.1739999999999995</v>
      </c>
      <c r="N62" s="3" t="s">
        <v>71</v>
      </c>
      <c r="O62" s="139">
        <v>0.04</v>
      </c>
      <c r="P62" s="140">
        <v>4.1140000000000003E-2</v>
      </c>
      <c r="Q62" s="3"/>
      <c r="R62" s="124">
        <v>26948000</v>
      </c>
      <c r="S62" s="141">
        <v>1</v>
      </c>
      <c r="T62" s="143">
        <v>100.1</v>
      </c>
      <c r="U62" s="124">
        <v>26974.948</v>
      </c>
      <c r="V62" s="3"/>
      <c r="W62" s="3" t="s">
        <v>36</v>
      </c>
      <c r="X62" s="140">
        <v>8.12E-4</v>
      </c>
      <c r="Y62" s="140">
        <v>7.7818678757277604E-2</v>
      </c>
      <c r="Z62" s="140">
        <v>1.4305232127933099E-2</v>
      </c>
    </row>
    <row r="63" spans="1:26">
      <c r="A63" s="3">
        <v>161</v>
      </c>
      <c r="B63" s="3">
        <v>9943</v>
      </c>
      <c r="C63" s="3" t="s">
        <v>43</v>
      </c>
      <c r="D63" s="3" t="s">
        <v>117</v>
      </c>
      <c r="E63" s="3" t="s">
        <v>118</v>
      </c>
      <c r="F63" s="3" t="s">
        <v>46</v>
      </c>
      <c r="G63" s="3" t="s">
        <v>30</v>
      </c>
      <c r="H63" s="3" t="s">
        <v>30</v>
      </c>
      <c r="I63" s="3" t="s">
        <v>31</v>
      </c>
      <c r="J63" s="3" t="s">
        <v>32</v>
      </c>
      <c r="K63" s="3" t="s">
        <v>33</v>
      </c>
      <c r="L63" s="3" t="s">
        <v>34</v>
      </c>
      <c r="M63" s="124">
        <v>14.709</v>
      </c>
      <c r="N63" s="3" t="s">
        <v>119</v>
      </c>
      <c r="O63" s="139">
        <v>3.7499999999999999E-2</v>
      </c>
      <c r="P63" s="140">
        <v>4.4699999999999997E-2</v>
      </c>
      <c r="Q63" s="3"/>
      <c r="R63" s="124">
        <v>4896012</v>
      </c>
      <c r="S63" s="141">
        <v>1</v>
      </c>
      <c r="T63" s="143">
        <v>91.05</v>
      </c>
      <c r="U63" s="124">
        <v>4457.8190000000004</v>
      </c>
      <c r="V63" s="3"/>
      <c r="W63" s="3" t="s">
        <v>36</v>
      </c>
      <c r="X63" s="140">
        <v>1.8699999999999999E-4</v>
      </c>
      <c r="Y63" s="140">
        <v>1.28601389318899E-2</v>
      </c>
      <c r="Z63" s="140">
        <v>2.3640503225705301E-3</v>
      </c>
    </row>
    <row r="64" spans="1:26">
      <c r="A64" s="3">
        <v>161</v>
      </c>
      <c r="B64" s="3">
        <v>9943</v>
      </c>
      <c r="C64" s="3" t="s">
        <v>43</v>
      </c>
      <c r="D64" s="3" t="s">
        <v>75</v>
      </c>
      <c r="E64" s="3" t="s">
        <v>76</v>
      </c>
      <c r="F64" s="3" t="s">
        <v>46</v>
      </c>
      <c r="G64" s="3" t="s">
        <v>30</v>
      </c>
      <c r="H64" s="3" t="s">
        <v>30</v>
      </c>
      <c r="I64" s="3" t="s">
        <v>31</v>
      </c>
      <c r="J64" s="3" t="s">
        <v>32</v>
      </c>
      <c r="K64" s="3" t="s">
        <v>33</v>
      </c>
      <c r="L64" s="3" t="s">
        <v>34</v>
      </c>
      <c r="M64" s="124">
        <v>11.420999999999999</v>
      </c>
      <c r="N64" s="3" t="s">
        <v>77</v>
      </c>
      <c r="O64" s="139">
        <v>5.5E-2</v>
      </c>
      <c r="P64" s="140">
        <v>4.3520000000000003E-2</v>
      </c>
      <c r="Q64" s="3"/>
      <c r="R64" s="124">
        <v>12960751</v>
      </c>
      <c r="S64" s="141">
        <v>1</v>
      </c>
      <c r="T64" s="143">
        <v>115.63</v>
      </c>
      <c r="U64" s="124">
        <v>14986.516</v>
      </c>
      <c r="V64" s="3"/>
      <c r="W64" s="3" t="s">
        <v>36</v>
      </c>
      <c r="X64" s="140">
        <v>4.5100000000000001E-4</v>
      </c>
      <c r="Y64" s="140">
        <v>4.3233851793414498E-2</v>
      </c>
      <c r="Z64" s="140">
        <v>7.9475814234588396E-3</v>
      </c>
    </row>
    <row r="65" spans="1:26">
      <c r="A65" s="3">
        <v>161</v>
      </c>
      <c r="B65" s="3">
        <v>9943</v>
      </c>
      <c r="C65" s="3" t="s">
        <v>26</v>
      </c>
      <c r="D65" s="3" t="s">
        <v>37</v>
      </c>
      <c r="E65" s="3" t="s">
        <v>38</v>
      </c>
      <c r="F65" s="3" t="s">
        <v>29</v>
      </c>
      <c r="G65" s="3" t="s">
        <v>30</v>
      </c>
      <c r="H65" s="3" t="s">
        <v>30</v>
      </c>
      <c r="I65" s="3" t="s">
        <v>31</v>
      </c>
      <c r="J65" s="3" t="s">
        <v>32</v>
      </c>
      <c r="K65" s="3" t="s">
        <v>33</v>
      </c>
      <c r="L65" s="3" t="s">
        <v>34</v>
      </c>
      <c r="M65" s="124">
        <v>3.8839999999999999</v>
      </c>
      <c r="N65" s="3" t="s">
        <v>39</v>
      </c>
      <c r="O65" s="139">
        <v>5.0000000000000001E-3</v>
      </c>
      <c r="P65" s="140">
        <v>2.0080000000000001E-2</v>
      </c>
      <c r="Q65" s="3"/>
      <c r="R65" s="124">
        <v>25514255</v>
      </c>
      <c r="S65" s="141">
        <v>1</v>
      </c>
      <c r="T65" s="143">
        <v>110.62</v>
      </c>
      <c r="U65" s="124">
        <v>28223.868999999999</v>
      </c>
      <c r="V65" s="3"/>
      <c r="W65" s="3" t="s">
        <v>36</v>
      </c>
      <c r="X65" s="140">
        <v>8.6700000000000004E-4</v>
      </c>
      <c r="Y65" s="140">
        <v>8.1421628161732304E-2</v>
      </c>
      <c r="Z65" s="140">
        <v>1.49675541873538E-2</v>
      </c>
    </row>
    <row r="66" spans="1:26">
      <c r="A66" s="3">
        <v>161</v>
      </c>
      <c r="B66" s="3">
        <v>9943</v>
      </c>
      <c r="C66" s="3" t="s">
        <v>26</v>
      </c>
      <c r="D66" s="3" t="s">
        <v>51</v>
      </c>
      <c r="E66" s="3" t="s">
        <v>52</v>
      </c>
      <c r="F66" s="3" t="s">
        <v>29</v>
      </c>
      <c r="G66" s="3" t="s">
        <v>30</v>
      </c>
      <c r="H66" s="3" t="s">
        <v>30</v>
      </c>
      <c r="I66" s="3" t="s">
        <v>31</v>
      </c>
      <c r="J66" s="3" t="s">
        <v>32</v>
      </c>
      <c r="K66" s="3" t="s">
        <v>33</v>
      </c>
      <c r="L66" s="3" t="s">
        <v>34</v>
      </c>
      <c r="M66" s="124">
        <v>3.2679999999999998</v>
      </c>
      <c r="N66" s="3" t="s">
        <v>53</v>
      </c>
      <c r="O66" s="139">
        <v>1.0999999999999999E-2</v>
      </c>
      <c r="P66" s="140">
        <v>2.053E-2</v>
      </c>
      <c r="Q66" s="3"/>
      <c r="R66" s="124">
        <v>6811379</v>
      </c>
      <c r="S66" s="141">
        <v>1</v>
      </c>
      <c r="T66" s="143">
        <v>103.51</v>
      </c>
      <c r="U66" s="124">
        <v>7050.4579999999996</v>
      </c>
      <c r="V66" s="3"/>
      <c r="W66" s="3" t="s">
        <v>36</v>
      </c>
      <c r="X66" s="140">
        <v>2.1699999999999999E-4</v>
      </c>
      <c r="Y66" s="140">
        <v>2.03395149286969E-2</v>
      </c>
      <c r="Z66" s="140">
        <v>3.7389671357965499E-3</v>
      </c>
    </row>
    <row r="67" spans="1:26">
      <c r="A67" s="3">
        <v>161</v>
      </c>
      <c r="B67" s="3">
        <v>9943</v>
      </c>
      <c r="C67" s="3" t="s">
        <v>43</v>
      </c>
      <c r="D67" s="3" t="s">
        <v>120</v>
      </c>
      <c r="E67" s="3" t="s">
        <v>121</v>
      </c>
      <c r="F67" s="3" t="s">
        <v>46</v>
      </c>
      <c r="G67" s="3" t="s">
        <v>30</v>
      </c>
      <c r="H67" s="3" t="s">
        <v>30</v>
      </c>
      <c r="I67" s="3" t="s">
        <v>31</v>
      </c>
      <c r="J67" s="3" t="s">
        <v>32</v>
      </c>
      <c r="K67" s="3" t="s">
        <v>33</v>
      </c>
      <c r="L67" s="3" t="s">
        <v>34</v>
      </c>
      <c r="M67" s="124">
        <v>10.803000000000001</v>
      </c>
      <c r="N67" s="3" t="s">
        <v>122</v>
      </c>
      <c r="O67" s="139">
        <v>1.4999999999999999E-2</v>
      </c>
      <c r="P67" s="140">
        <v>4.2529999999999998E-2</v>
      </c>
      <c r="Q67" s="3"/>
      <c r="R67" s="124">
        <v>13915265</v>
      </c>
      <c r="S67" s="141">
        <v>1</v>
      </c>
      <c r="T67" s="143">
        <v>74.8</v>
      </c>
      <c r="U67" s="124">
        <v>10408.618</v>
      </c>
      <c r="V67" s="3"/>
      <c r="W67" s="3" t="s">
        <v>36</v>
      </c>
      <c r="X67" s="140">
        <v>3.6900000000000002E-4</v>
      </c>
      <c r="Y67" s="140">
        <v>3.00273022794827E-2</v>
      </c>
      <c r="Z67" s="140">
        <v>5.5198512252232499E-3</v>
      </c>
    </row>
    <row r="68" spans="1:26">
      <c r="A68" s="3">
        <v>161</v>
      </c>
      <c r="B68" s="3">
        <v>9943</v>
      </c>
      <c r="C68" s="3" t="s">
        <v>43</v>
      </c>
      <c r="D68" s="3" t="s">
        <v>78</v>
      </c>
      <c r="E68" s="3" t="s">
        <v>79</v>
      </c>
      <c r="F68" s="3" t="s">
        <v>46</v>
      </c>
      <c r="G68" s="3" t="s">
        <v>30</v>
      </c>
      <c r="H68" s="3" t="s">
        <v>30</v>
      </c>
      <c r="I68" s="3" t="s">
        <v>31</v>
      </c>
      <c r="J68" s="3" t="s">
        <v>32</v>
      </c>
      <c r="K68" s="3" t="s">
        <v>33</v>
      </c>
      <c r="L68" s="3" t="s">
        <v>34</v>
      </c>
      <c r="M68" s="124">
        <v>4.641</v>
      </c>
      <c r="N68" s="3" t="s">
        <v>80</v>
      </c>
      <c r="O68" s="139">
        <v>0.01</v>
      </c>
      <c r="P68" s="140">
        <v>3.9690000000000003E-2</v>
      </c>
      <c r="Q68" s="3"/>
      <c r="R68" s="124">
        <v>22873458</v>
      </c>
      <c r="S68" s="141">
        <v>1</v>
      </c>
      <c r="T68" s="143">
        <v>87.63</v>
      </c>
      <c r="U68" s="124">
        <v>20044.010999999999</v>
      </c>
      <c r="V68" s="3"/>
      <c r="W68" s="3" t="s">
        <v>36</v>
      </c>
      <c r="X68" s="140">
        <v>6.0599999999999998E-4</v>
      </c>
      <c r="Y68" s="140">
        <v>5.78239658557652E-2</v>
      </c>
      <c r="Z68" s="140">
        <v>1.06296491707917E-2</v>
      </c>
    </row>
    <row r="69" spans="1:26">
      <c r="A69" s="3">
        <v>161</v>
      </c>
      <c r="B69" s="3">
        <v>9943</v>
      </c>
      <c r="C69" s="3" t="s">
        <v>43</v>
      </c>
      <c r="D69" s="3" t="s">
        <v>44</v>
      </c>
      <c r="E69" s="3" t="s">
        <v>45</v>
      </c>
      <c r="F69" s="3" t="s">
        <v>46</v>
      </c>
      <c r="G69" s="3" t="s">
        <v>30</v>
      </c>
      <c r="H69" s="3" t="s">
        <v>30</v>
      </c>
      <c r="I69" s="3" t="s">
        <v>31</v>
      </c>
      <c r="J69" s="3" t="s">
        <v>32</v>
      </c>
      <c r="K69" s="3" t="s">
        <v>33</v>
      </c>
      <c r="L69" s="3" t="s">
        <v>34</v>
      </c>
      <c r="M69" s="124">
        <v>6.5380000000000003</v>
      </c>
      <c r="N69" s="3" t="s">
        <v>47</v>
      </c>
      <c r="O69" s="139">
        <v>1.2999999999999999E-2</v>
      </c>
      <c r="P69" s="140">
        <v>4.0480000000000002E-2</v>
      </c>
      <c r="Q69" s="3"/>
      <c r="R69" s="124">
        <v>20745743</v>
      </c>
      <c r="S69" s="141">
        <v>1</v>
      </c>
      <c r="T69" s="143">
        <v>84.1</v>
      </c>
      <c r="U69" s="124">
        <v>17447.169999999998</v>
      </c>
      <c r="V69" s="3"/>
      <c r="W69" s="3" t="s">
        <v>36</v>
      </c>
      <c r="X69" s="140">
        <v>5.8299999999999997E-4</v>
      </c>
      <c r="Y69" s="140">
        <v>5.0332467991873499E-2</v>
      </c>
      <c r="Z69" s="140">
        <v>9.2525040220909106E-3</v>
      </c>
    </row>
    <row r="70" spans="1:26">
      <c r="A70" s="3">
        <v>161</v>
      </c>
      <c r="B70" s="3">
        <v>9943</v>
      </c>
      <c r="C70" s="3" t="s">
        <v>26</v>
      </c>
      <c r="D70" s="3" t="s">
        <v>102</v>
      </c>
      <c r="E70" s="3" t="s">
        <v>103</v>
      </c>
      <c r="F70" s="3" t="s">
        <v>29</v>
      </c>
      <c r="G70" s="3" t="s">
        <v>30</v>
      </c>
      <c r="H70" s="3" t="s">
        <v>30</v>
      </c>
      <c r="I70" s="3" t="s">
        <v>31</v>
      </c>
      <c r="J70" s="3" t="s">
        <v>32</v>
      </c>
      <c r="K70" s="3" t="s">
        <v>33</v>
      </c>
      <c r="L70" s="3" t="s">
        <v>34</v>
      </c>
      <c r="M70" s="124">
        <v>1.905</v>
      </c>
      <c r="N70" s="3" t="s">
        <v>104</v>
      </c>
      <c r="O70" s="139">
        <v>7.4999999999999997E-3</v>
      </c>
      <c r="P70" s="140">
        <v>2.0959999999999999E-2</v>
      </c>
      <c r="Q70" s="3"/>
      <c r="R70" s="124">
        <v>4500000</v>
      </c>
      <c r="S70" s="141">
        <v>1</v>
      </c>
      <c r="T70" s="143">
        <v>115.45</v>
      </c>
      <c r="U70" s="124">
        <v>5195.25</v>
      </c>
      <c r="V70" s="3"/>
      <c r="W70" s="3" t="s">
        <v>36</v>
      </c>
      <c r="X70" s="140">
        <v>1.85E-4</v>
      </c>
      <c r="Y70" s="140">
        <v>1.4987516966251301E-2</v>
      </c>
      <c r="Z70" s="140">
        <v>2.7551214264674101E-3</v>
      </c>
    </row>
    <row r="71" spans="1:26">
      <c r="A71" s="3">
        <v>161</v>
      </c>
      <c r="B71" s="3">
        <v>9943</v>
      </c>
      <c r="C71" s="3" t="s">
        <v>26</v>
      </c>
      <c r="D71" s="3" t="s">
        <v>111</v>
      </c>
      <c r="E71" s="3" t="s">
        <v>112</v>
      </c>
      <c r="F71" s="3" t="s">
        <v>29</v>
      </c>
      <c r="G71" s="3" t="s">
        <v>30</v>
      </c>
      <c r="H71" s="3" t="s">
        <v>30</v>
      </c>
      <c r="I71" s="3" t="s">
        <v>31</v>
      </c>
      <c r="J71" s="3" t="s">
        <v>32</v>
      </c>
      <c r="K71" s="3" t="s">
        <v>33</v>
      </c>
      <c r="L71" s="3" t="s">
        <v>34</v>
      </c>
      <c r="M71" s="124">
        <v>17.931999999999999</v>
      </c>
      <c r="N71" s="3" t="s">
        <v>113</v>
      </c>
      <c r="O71" s="139">
        <v>0.01</v>
      </c>
      <c r="P71" s="140">
        <v>2.0230000000000001E-2</v>
      </c>
      <c r="Q71" s="3"/>
      <c r="R71" s="124">
        <v>66216</v>
      </c>
      <c r="S71" s="141">
        <v>1</v>
      </c>
      <c r="T71" s="143">
        <v>98.54</v>
      </c>
      <c r="U71" s="124">
        <v>65.248999999999995</v>
      </c>
      <c r="V71" s="3"/>
      <c r="W71" s="3" t="s">
        <v>36</v>
      </c>
      <c r="X71" s="140">
        <v>3.0000000000000001E-6</v>
      </c>
      <c r="Y71" s="140">
        <v>1.8823428852415399E-4</v>
      </c>
      <c r="Z71" s="140">
        <v>3.4602684532504097E-5</v>
      </c>
    </row>
    <row r="72" spans="1:26">
      <c r="A72" s="3">
        <v>161</v>
      </c>
      <c r="B72" s="3">
        <v>9943</v>
      </c>
      <c r="C72" s="3" t="s">
        <v>26</v>
      </c>
      <c r="D72" s="3" t="s">
        <v>123</v>
      </c>
      <c r="E72" s="3" t="s">
        <v>124</v>
      </c>
      <c r="F72" s="3" t="s">
        <v>29</v>
      </c>
      <c r="G72" s="3" t="s">
        <v>30</v>
      </c>
      <c r="H72" s="3" t="s">
        <v>30</v>
      </c>
      <c r="I72" s="3" t="s">
        <v>31</v>
      </c>
      <c r="J72" s="3" t="s">
        <v>32</v>
      </c>
      <c r="K72" s="3" t="s">
        <v>33</v>
      </c>
      <c r="L72" s="3" t="s">
        <v>34</v>
      </c>
      <c r="M72" s="124">
        <v>0.33200000000000002</v>
      </c>
      <c r="N72" s="3" t="s">
        <v>125</v>
      </c>
      <c r="O72" s="139">
        <v>7.4999999999999997E-3</v>
      </c>
      <c r="P72" s="140">
        <v>5.9899999999999997E-3</v>
      </c>
      <c r="Q72" s="3"/>
      <c r="R72" s="124">
        <v>8410016</v>
      </c>
      <c r="S72" s="141">
        <v>1</v>
      </c>
      <c r="T72" s="143">
        <v>118.26</v>
      </c>
      <c r="U72" s="124">
        <v>9945.6849999999995</v>
      </c>
      <c r="V72" s="3"/>
      <c r="W72" s="3" t="s">
        <v>36</v>
      </c>
      <c r="X72" s="140">
        <v>6.6299999999999996E-4</v>
      </c>
      <c r="Y72" s="140">
        <v>2.8691809153259199E-2</v>
      </c>
      <c r="Z72" s="140">
        <v>5.2743505372011001E-3</v>
      </c>
    </row>
    <row r="73" spans="1:26">
      <c r="A73" s="3">
        <v>161</v>
      </c>
      <c r="B73" s="3">
        <v>9943</v>
      </c>
      <c r="C73" s="3" t="s">
        <v>26</v>
      </c>
      <c r="D73" s="3" t="s">
        <v>27</v>
      </c>
      <c r="E73" s="3" t="s">
        <v>28</v>
      </c>
      <c r="F73" s="3" t="s">
        <v>29</v>
      </c>
      <c r="G73" s="3" t="s">
        <v>30</v>
      </c>
      <c r="H73" s="3" t="s">
        <v>30</v>
      </c>
      <c r="I73" s="3" t="s">
        <v>31</v>
      </c>
      <c r="J73" s="3" t="s">
        <v>32</v>
      </c>
      <c r="K73" s="3" t="s">
        <v>33</v>
      </c>
      <c r="L73" s="3" t="s">
        <v>34</v>
      </c>
      <c r="M73" s="124">
        <v>6.3940000000000001</v>
      </c>
      <c r="N73" s="3" t="s">
        <v>35</v>
      </c>
      <c r="O73" s="139">
        <v>1E-3</v>
      </c>
      <c r="P73" s="140">
        <v>1.9699999999999999E-2</v>
      </c>
      <c r="Q73" s="3"/>
      <c r="R73" s="124">
        <v>4793841</v>
      </c>
      <c r="S73" s="141">
        <v>1</v>
      </c>
      <c r="T73" s="143">
        <v>104.14</v>
      </c>
      <c r="U73" s="124">
        <v>4992.3059999999996</v>
      </c>
      <c r="V73" s="3"/>
      <c r="W73" s="3" t="s">
        <v>36</v>
      </c>
      <c r="X73" s="140">
        <v>1.3999999999999999E-4</v>
      </c>
      <c r="Y73" s="140">
        <v>1.4402054017901201E-2</v>
      </c>
      <c r="Z73" s="140">
        <v>2.64749709369538E-3</v>
      </c>
    </row>
    <row r="74" spans="1:26">
      <c r="A74" s="3">
        <v>161</v>
      </c>
      <c r="B74" s="3">
        <v>9943</v>
      </c>
      <c r="C74" s="3" t="s">
        <v>43</v>
      </c>
      <c r="D74" s="3" t="s">
        <v>48</v>
      </c>
      <c r="E74" s="3" t="s">
        <v>49</v>
      </c>
      <c r="F74" s="3" t="s">
        <v>46</v>
      </c>
      <c r="G74" s="3" t="s">
        <v>30</v>
      </c>
      <c r="H74" s="3" t="s">
        <v>30</v>
      </c>
      <c r="I74" s="3" t="s">
        <v>31</v>
      </c>
      <c r="J74" s="3" t="s">
        <v>32</v>
      </c>
      <c r="K74" s="3" t="s">
        <v>33</v>
      </c>
      <c r="L74" s="3" t="s">
        <v>34</v>
      </c>
      <c r="M74" s="124">
        <v>3.109</v>
      </c>
      <c r="N74" s="3" t="s">
        <v>50</v>
      </c>
      <c r="O74" s="139">
        <v>2.2499999999999999E-2</v>
      </c>
      <c r="P74" s="140">
        <v>3.952E-2</v>
      </c>
      <c r="Q74" s="3"/>
      <c r="R74" s="124">
        <v>16480319</v>
      </c>
      <c r="S74" s="141">
        <v>1</v>
      </c>
      <c r="T74" s="143">
        <v>96.6</v>
      </c>
      <c r="U74" s="124">
        <v>15919.987999999999</v>
      </c>
      <c r="V74" s="3"/>
      <c r="W74" s="3" t="s">
        <v>36</v>
      </c>
      <c r="X74" s="140">
        <v>4.75E-4</v>
      </c>
      <c r="Y74" s="140">
        <v>4.5926777837562098E-2</v>
      </c>
      <c r="Z74" s="140">
        <v>8.4426159419070893E-3</v>
      </c>
    </row>
    <row r="75" spans="1:26">
      <c r="A75" s="3">
        <v>161</v>
      </c>
      <c r="B75" s="3">
        <v>9943</v>
      </c>
      <c r="C75" s="3" t="s">
        <v>43</v>
      </c>
      <c r="D75" s="3" t="s">
        <v>66</v>
      </c>
      <c r="E75" s="3" t="s">
        <v>67</v>
      </c>
      <c r="F75" s="3" t="s">
        <v>46</v>
      </c>
      <c r="G75" s="3" t="s">
        <v>30</v>
      </c>
      <c r="H75" s="3" t="s">
        <v>30</v>
      </c>
      <c r="I75" s="3" t="s">
        <v>31</v>
      </c>
      <c r="J75" s="3" t="s">
        <v>32</v>
      </c>
      <c r="K75" s="3" t="s">
        <v>33</v>
      </c>
      <c r="L75" s="3" t="s">
        <v>34</v>
      </c>
      <c r="M75" s="124">
        <v>1.7250000000000001</v>
      </c>
      <c r="N75" s="3" t="s">
        <v>68</v>
      </c>
      <c r="O75" s="139">
        <v>0.02</v>
      </c>
      <c r="P75" s="140">
        <v>4.0030000000000003E-2</v>
      </c>
      <c r="Q75" s="3"/>
      <c r="R75" s="124">
        <v>14100000</v>
      </c>
      <c r="S75" s="141">
        <v>1</v>
      </c>
      <c r="T75" s="143">
        <v>97.19</v>
      </c>
      <c r="U75" s="124">
        <v>13703.79</v>
      </c>
      <c r="V75" s="3"/>
      <c r="W75" s="3" t="s">
        <v>36</v>
      </c>
      <c r="X75" s="140">
        <v>4.9899999999999999E-4</v>
      </c>
      <c r="Y75" s="140">
        <v>3.9533378591395003E-2</v>
      </c>
      <c r="Z75" s="140">
        <v>7.2673317843818599E-3</v>
      </c>
    </row>
    <row r="76" spans="1:26">
      <c r="A76" s="3">
        <v>161</v>
      </c>
      <c r="B76" s="3">
        <v>9943</v>
      </c>
      <c r="C76" s="3" t="s">
        <v>43</v>
      </c>
      <c r="D76" s="3" t="s">
        <v>126</v>
      </c>
      <c r="E76" s="3" t="s">
        <v>127</v>
      </c>
      <c r="F76" s="3" t="s">
        <v>46</v>
      </c>
      <c r="G76" s="3" t="s">
        <v>30</v>
      </c>
      <c r="H76" s="3" t="s">
        <v>30</v>
      </c>
      <c r="I76" s="3" t="s">
        <v>31</v>
      </c>
      <c r="J76" s="3" t="s">
        <v>32</v>
      </c>
      <c r="K76" s="3" t="s">
        <v>33</v>
      </c>
      <c r="L76" s="3" t="s">
        <v>34</v>
      </c>
      <c r="M76" s="124">
        <v>0.16400000000000001</v>
      </c>
      <c r="N76" s="3" t="s">
        <v>128</v>
      </c>
      <c r="O76" s="139">
        <v>1.7500000000000002E-2</v>
      </c>
      <c r="P76" s="140">
        <v>4.5069999999999999E-2</v>
      </c>
      <c r="Q76" s="3"/>
      <c r="R76" s="124">
        <v>12546678</v>
      </c>
      <c r="S76" s="141">
        <v>1</v>
      </c>
      <c r="T76" s="143">
        <v>101.02</v>
      </c>
      <c r="U76" s="124">
        <v>12674.654</v>
      </c>
      <c r="V76" s="3"/>
      <c r="W76" s="3" t="s">
        <v>36</v>
      </c>
      <c r="X76" s="140">
        <v>9.5799999999999998E-4</v>
      </c>
      <c r="Y76" s="140">
        <v>3.6564475934540597E-2</v>
      </c>
      <c r="Z76" s="140">
        <v>6.7215651079260801E-3</v>
      </c>
    </row>
    <row r="77" spans="1:26">
      <c r="A77" s="3">
        <v>161</v>
      </c>
      <c r="B77" s="3">
        <v>9943</v>
      </c>
      <c r="C77" s="3" t="s">
        <v>26</v>
      </c>
      <c r="D77" s="3" t="s">
        <v>129</v>
      </c>
      <c r="E77" s="3" t="s">
        <v>130</v>
      </c>
      <c r="F77" s="3" t="s">
        <v>29</v>
      </c>
      <c r="G77" s="3" t="s">
        <v>30</v>
      </c>
      <c r="H77" s="3" t="s">
        <v>30</v>
      </c>
      <c r="I77" s="3" t="s">
        <v>31</v>
      </c>
      <c r="J77" s="3" t="s">
        <v>32</v>
      </c>
      <c r="K77" s="3" t="s">
        <v>33</v>
      </c>
      <c r="L77" s="3" t="s">
        <v>34</v>
      </c>
      <c r="M77" s="124">
        <v>9.2189999999999994</v>
      </c>
      <c r="N77" s="3" t="s">
        <v>131</v>
      </c>
      <c r="O77" s="139">
        <v>0.04</v>
      </c>
      <c r="P77" s="140">
        <v>1.9400000000000001E-2</v>
      </c>
      <c r="Q77" s="3"/>
      <c r="R77" s="124">
        <v>981021</v>
      </c>
      <c r="S77" s="141">
        <v>1</v>
      </c>
      <c r="T77" s="143">
        <v>167.7</v>
      </c>
      <c r="U77" s="124">
        <v>1645.172</v>
      </c>
      <c r="V77" s="3"/>
      <c r="W77" s="3" t="s">
        <v>36</v>
      </c>
      <c r="X77" s="140">
        <v>6.2000000000000003E-5</v>
      </c>
      <c r="Y77" s="140">
        <v>4.7460750714003698E-3</v>
      </c>
      <c r="Z77" s="140">
        <v>8.7246027145673397E-4</v>
      </c>
    </row>
    <row r="78" spans="1:26">
      <c r="A78" s="3">
        <v>161</v>
      </c>
      <c r="B78" s="3">
        <v>9943</v>
      </c>
      <c r="C78" s="3" t="s">
        <v>43</v>
      </c>
      <c r="D78" s="3" t="s">
        <v>75</v>
      </c>
      <c r="E78" s="3" t="s">
        <v>76</v>
      </c>
      <c r="F78" s="3" t="s">
        <v>46</v>
      </c>
      <c r="G78" s="3" t="s">
        <v>30</v>
      </c>
      <c r="H78" s="3" t="s">
        <v>30</v>
      </c>
      <c r="I78" s="3" t="s">
        <v>31</v>
      </c>
      <c r="J78" s="3" t="s">
        <v>32</v>
      </c>
      <c r="K78" s="3" t="s">
        <v>33</v>
      </c>
      <c r="L78" s="3" t="s">
        <v>34</v>
      </c>
      <c r="M78" s="124">
        <v>11.420999999999999</v>
      </c>
      <c r="N78" s="3" t="s">
        <v>77</v>
      </c>
      <c r="O78" s="139">
        <v>5.5E-2</v>
      </c>
      <c r="P78" s="140">
        <v>4.3520000000000003E-2</v>
      </c>
      <c r="Q78" s="3"/>
      <c r="R78" s="124">
        <v>29870221</v>
      </c>
      <c r="S78" s="141">
        <v>1</v>
      </c>
      <c r="T78" s="143">
        <v>115.63</v>
      </c>
      <c r="U78" s="124">
        <v>34538.936999999998</v>
      </c>
      <c r="V78" s="3"/>
      <c r="W78" s="3" t="s">
        <v>36</v>
      </c>
      <c r="X78" s="140">
        <v>1.0399999999999999E-3</v>
      </c>
      <c r="Y78" s="140">
        <v>9.9639651108993504E-2</v>
      </c>
      <c r="Z78" s="140">
        <v>1.8316532239081699E-2</v>
      </c>
    </row>
    <row r="79" spans="1:26">
      <c r="A79" s="3">
        <v>161</v>
      </c>
      <c r="B79" s="3">
        <v>9943</v>
      </c>
      <c r="C79" s="3" t="s">
        <v>26</v>
      </c>
      <c r="D79" s="3" t="s">
        <v>37</v>
      </c>
      <c r="E79" s="3" t="s">
        <v>38</v>
      </c>
      <c r="F79" s="3" t="s">
        <v>29</v>
      </c>
      <c r="G79" s="3" t="s">
        <v>30</v>
      </c>
      <c r="H79" s="3" t="s">
        <v>30</v>
      </c>
      <c r="I79" s="3" t="s">
        <v>31</v>
      </c>
      <c r="J79" s="3" t="s">
        <v>32</v>
      </c>
      <c r="K79" s="3" t="s">
        <v>33</v>
      </c>
      <c r="L79" s="3" t="s">
        <v>34</v>
      </c>
      <c r="M79" s="124">
        <v>3.8839999999999999</v>
      </c>
      <c r="N79" s="3" t="s">
        <v>39</v>
      </c>
      <c r="O79" s="139">
        <v>5.0000000000000001E-3</v>
      </c>
      <c r="P79" s="140">
        <v>2.0080000000000001E-2</v>
      </c>
      <c r="Q79" s="3"/>
      <c r="R79" s="124">
        <v>6168496</v>
      </c>
      <c r="S79" s="141">
        <v>1</v>
      </c>
      <c r="T79" s="143">
        <v>110.62</v>
      </c>
      <c r="U79" s="124">
        <v>6823.59</v>
      </c>
      <c r="V79" s="3"/>
      <c r="W79" s="3" t="s">
        <v>36</v>
      </c>
      <c r="X79" s="140">
        <v>2.1000000000000001E-4</v>
      </c>
      <c r="Y79" s="140">
        <v>1.9685034410337799E-2</v>
      </c>
      <c r="Z79" s="140">
        <v>3.6186554588591899E-3</v>
      </c>
    </row>
    <row r="80" spans="1:26">
      <c r="A80" s="3">
        <v>161</v>
      </c>
      <c r="B80" s="3">
        <v>9943</v>
      </c>
      <c r="C80" s="3" t="s">
        <v>26</v>
      </c>
      <c r="D80" s="3" t="s">
        <v>40</v>
      </c>
      <c r="E80" s="3" t="s">
        <v>41</v>
      </c>
      <c r="F80" s="3" t="s">
        <v>29</v>
      </c>
      <c r="G80" s="3" t="s">
        <v>30</v>
      </c>
      <c r="H80" s="3" t="s">
        <v>30</v>
      </c>
      <c r="I80" s="3" t="s">
        <v>31</v>
      </c>
      <c r="J80" s="3" t="s">
        <v>32</v>
      </c>
      <c r="K80" s="3" t="s">
        <v>33</v>
      </c>
      <c r="L80" s="3" t="s">
        <v>34</v>
      </c>
      <c r="M80" s="124">
        <v>1.0780000000000001</v>
      </c>
      <c r="N80" s="3" t="s">
        <v>42</v>
      </c>
      <c r="O80" s="139">
        <v>1E-3</v>
      </c>
      <c r="P80" s="140">
        <v>2.3380000000000001E-2</v>
      </c>
      <c r="Q80" s="3"/>
      <c r="R80" s="124">
        <v>21056980</v>
      </c>
      <c r="S80" s="141">
        <v>1</v>
      </c>
      <c r="T80" s="143">
        <v>114.5</v>
      </c>
      <c r="U80" s="124">
        <v>24110.241999999998</v>
      </c>
      <c r="V80" s="3"/>
      <c r="W80" s="3" t="s">
        <v>36</v>
      </c>
      <c r="X80" s="140">
        <v>1.042E-3</v>
      </c>
      <c r="Y80" s="140">
        <v>6.9554431939594194E-2</v>
      </c>
      <c r="Z80" s="140">
        <v>1.27860342826672E-2</v>
      </c>
    </row>
    <row r="81" spans="1:26">
      <c r="A81" s="3">
        <v>161</v>
      </c>
      <c r="B81" s="3">
        <v>9943</v>
      </c>
      <c r="C81" s="3" t="s">
        <v>26</v>
      </c>
      <c r="D81" s="3" t="s">
        <v>51</v>
      </c>
      <c r="E81" s="3" t="s">
        <v>52</v>
      </c>
      <c r="F81" s="3" t="s">
        <v>29</v>
      </c>
      <c r="G81" s="3" t="s">
        <v>30</v>
      </c>
      <c r="H81" s="3" t="s">
        <v>30</v>
      </c>
      <c r="I81" s="3" t="s">
        <v>31</v>
      </c>
      <c r="J81" s="3" t="s">
        <v>32</v>
      </c>
      <c r="K81" s="3" t="s">
        <v>33</v>
      </c>
      <c r="L81" s="3" t="s">
        <v>34</v>
      </c>
      <c r="M81" s="124">
        <v>3.2679999999999998</v>
      </c>
      <c r="N81" s="3" t="s">
        <v>53</v>
      </c>
      <c r="O81" s="139">
        <v>1.0999999999999999E-2</v>
      </c>
      <c r="P81" s="140">
        <v>2.053E-2</v>
      </c>
      <c r="Q81" s="3"/>
      <c r="R81" s="124">
        <v>3355521</v>
      </c>
      <c r="S81" s="141">
        <v>1</v>
      </c>
      <c r="T81" s="143">
        <v>103.51</v>
      </c>
      <c r="U81" s="124">
        <v>3473.3</v>
      </c>
      <c r="V81" s="3"/>
      <c r="W81" s="3" t="s">
        <v>36</v>
      </c>
      <c r="X81" s="140">
        <v>1.07E-4</v>
      </c>
      <c r="Y81" s="140">
        <v>1.00199488933234E-2</v>
      </c>
      <c r="Z81" s="140">
        <v>1.84194459631084E-3</v>
      </c>
    </row>
    <row r="82" spans="1:26">
      <c r="A82" s="3">
        <v>161</v>
      </c>
      <c r="B82" s="3">
        <v>9943</v>
      </c>
      <c r="C82" s="3" t="s">
        <v>43</v>
      </c>
      <c r="D82" s="3" t="s">
        <v>120</v>
      </c>
      <c r="E82" s="3" t="s">
        <v>121</v>
      </c>
      <c r="F82" s="3" t="s">
        <v>46</v>
      </c>
      <c r="G82" s="3" t="s">
        <v>30</v>
      </c>
      <c r="H82" s="3" t="s">
        <v>30</v>
      </c>
      <c r="I82" s="3" t="s">
        <v>31</v>
      </c>
      <c r="J82" s="3" t="s">
        <v>32</v>
      </c>
      <c r="K82" s="3" t="s">
        <v>33</v>
      </c>
      <c r="L82" s="3" t="s">
        <v>34</v>
      </c>
      <c r="M82" s="124">
        <v>10.803000000000001</v>
      </c>
      <c r="N82" s="3" t="s">
        <v>122</v>
      </c>
      <c r="O82" s="139">
        <v>1.4999999999999999E-2</v>
      </c>
      <c r="P82" s="140">
        <v>4.2529999999999998E-2</v>
      </c>
      <c r="Q82" s="3"/>
      <c r="R82" s="124">
        <v>2084735</v>
      </c>
      <c r="S82" s="141">
        <v>1</v>
      </c>
      <c r="T82" s="143">
        <v>74.8</v>
      </c>
      <c r="U82" s="124">
        <v>1559.3820000000001</v>
      </c>
      <c r="V82" s="3"/>
      <c r="W82" s="3" t="s">
        <v>36</v>
      </c>
      <c r="X82" s="140">
        <v>5.5000000000000002E-5</v>
      </c>
      <c r="Y82" s="140">
        <v>4.4985825291589702E-3</v>
      </c>
      <c r="Z82" s="140">
        <v>8.2696427585215201E-4</v>
      </c>
    </row>
    <row r="83" spans="1:26">
      <c r="A83" s="3">
        <v>161</v>
      </c>
      <c r="B83" s="3">
        <v>9943</v>
      </c>
      <c r="C83" s="3" t="s">
        <v>43</v>
      </c>
      <c r="D83" s="3" t="s">
        <v>78</v>
      </c>
      <c r="E83" s="3" t="s">
        <v>79</v>
      </c>
      <c r="F83" s="3" t="s">
        <v>46</v>
      </c>
      <c r="G83" s="3" t="s">
        <v>30</v>
      </c>
      <c r="H83" s="3" t="s">
        <v>30</v>
      </c>
      <c r="I83" s="3" t="s">
        <v>31</v>
      </c>
      <c r="J83" s="3" t="s">
        <v>32</v>
      </c>
      <c r="K83" s="3" t="s">
        <v>33</v>
      </c>
      <c r="L83" s="3" t="s">
        <v>34</v>
      </c>
      <c r="M83" s="124">
        <v>4.641</v>
      </c>
      <c r="N83" s="3" t="s">
        <v>80</v>
      </c>
      <c r="O83" s="139">
        <v>0.01</v>
      </c>
      <c r="P83" s="140">
        <v>3.9690000000000003E-2</v>
      </c>
      <c r="Q83" s="3"/>
      <c r="R83" s="124">
        <v>6011874</v>
      </c>
      <c r="S83" s="141">
        <v>1</v>
      </c>
      <c r="T83" s="143">
        <v>87.63</v>
      </c>
      <c r="U83" s="124">
        <v>5268.2049999999999</v>
      </c>
      <c r="V83" s="3"/>
      <c r="W83" s="3" t="s">
        <v>36</v>
      </c>
      <c r="X83" s="140">
        <v>1.5899999999999999E-4</v>
      </c>
      <c r="Y83" s="140">
        <v>1.5197981735212999E-2</v>
      </c>
      <c r="Z83" s="140">
        <v>2.7938106900584898E-3</v>
      </c>
    </row>
    <row r="84" spans="1:26">
      <c r="A84" s="3">
        <v>161</v>
      </c>
      <c r="B84" s="3">
        <v>9943</v>
      </c>
      <c r="C84" s="3" t="s">
        <v>43</v>
      </c>
      <c r="D84" s="3" t="s">
        <v>44</v>
      </c>
      <c r="E84" s="3" t="s">
        <v>45</v>
      </c>
      <c r="F84" s="3" t="s">
        <v>46</v>
      </c>
      <c r="G84" s="3" t="s">
        <v>30</v>
      </c>
      <c r="H84" s="3" t="s">
        <v>30</v>
      </c>
      <c r="I84" s="3" t="s">
        <v>31</v>
      </c>
      <c r="J84" s="3" t="s">
        <v>32</v>
      </c>
      <c r="K84" s="3" t="s">
        <v>33</v>
      </c>
      <c r="L84" s="3" t="s">
        <v>34</v>
      </c>
      <c r="M84" s="124">
        <v>6.5380000000000003</v>
      </c>
      <c r="N84" s="3" t="s">
        <v>47</v>
      </c>
      <c r="O84" s="139">
        <v>1.2999999999999999E-2</v>
      </c>
      <c r="P84" s="140">
        <v>4.0480000000000002E-2</v>
      </c>
      <c r="Q84" s="3"/>
      <c r="R84" s="124">
        <v>4064257</v>
      </c>
      <c r="S84" s="141">
        <v>1</v>
      </c>
      <c r="T84" s="143">
        <v>84.1</v>
      </c>
      <c r="U84" s="124">
        <v>3418.04</v>
      </c>
      <c r="V84" s="3"/>
      <c r="W84" s="3" t="s">
        <v>36</v>
      </c>
      <c r="X84" s="140">
        <v>1.1400000000000001E-4</v>
      </c>
      <c r="Y84" s="140">
        <v>9.8605330916924899E-3</v>
      </c>
      <c r="Z84" s="140">
        <v>1.8126395491986601E-3</v>
      </c>
    </row>
    <row r="85" spans="1:26">
      <c r="A85" s="3">
        <v>161</v>
      </c>
      <c r="B85" s="3">
        <v>9943</v>
      </c>
      <c r="C85" s="3" t="s">
        <v>132</v>
      </c>
      <c r="D85" s="3" t="s">
        <v>133</v>
      </c>
      <c r="E85" s="3" t="s">
        <v>134</v>
      </c>
      <c r="F85" s="3" t="s">
        <v>84</v>
      </c>
      <c r="G85" s="3" t="s">
        <v>85</v>
      </c>
      <c r="H85" s="3" t="s">
        <v>30</v>
      </c>
      <c r="I85" s="3" t="s">
        <v>135</v>
      </c>
      <c r="J85" s="3" t="s">
        <v>136</v>
      </c>
      <c r="K85" s="3" t="s">
        <v>137</v>
      </c>
      <c r="L85" s="3" t="s">
        <v>90</v>
      </c>
      <c r="M85" s="124">
        <v>6.9240000000000004</v>
      </c>
      <c r="N85" s="3" t="s">
        <v>138</v>
      </c>
      <c r="O85" s="139">
        <v>5.5E-2</v>
      </c>
      <c r="P85" s="140">
        <v>5.425E-2</v>
      </c>
      <c r="Q85" s="3"/>
      <c r="R85" s="124">
        <v>690000</v>
      </c>
      <c r="S85" s="141">
        <v>3.3719999999999999</v>
      </c>
      <c r="T85" s="143">
        <v>102.709</v>
      </c>
      <c r="U85" s="124">
        <v>2389.7069999999999</v>
      </c>
      <c r="V85" s="3"/>
      <c r="W85" s="3" t="s">
        <v>36</v>
      </c>
      <c r="X85" s="140">
        <v>2.3000000000000001E-4</v>
      </c>
      <c r="Y85" s="140">
        <v>6.89394749420054E-3</v>
      </c>
      <c r="Z85" s="140">
        <v>1.26729881253732E-3</v>
      </c>
    </row>
    <row r="86" spans="1:26">
      <c r="A86" s="3">
        <v>161</v>
      </c>
      <c r="B86" s="3">
        <v>9943</v>
      </c>
      <c r="C86" s="3" t="s">
        <v>81</v>
      </c>
      <c r="D86" s="3" t="s">
        <v>108</v>
      </c>
      <c r="E86" s="3" t="s">
        <v>109</v>
      </c>
      <c r="F86" s="3" t="s">
        <v>84</v>
      </c>
      <c r="G86" s="3" t="s">
        <v>85</v>
      </c>
      <c r="H86" s="3" t="s">
        <v>86</v>
      </c>
      <c r="I86" s="3" t="s">
        <v>87</v>
      </c>
      <c r="J86" s="3" t="s">
        <v>88</v>
      </c>
      <c r="K86" s="3" t="s">
        <v>89</v>
      </c>
      <c r="L86" s="3" t="s">
        <v>90</v>
      </c>
      <c r="M86" s="124">
        <v>7.6379999999999999</v>
      </c>
      <c r="N86" s="3" t="s">
        <v>110</v>
      </c>
      <c r="O86" s="139">
        <v>3.875E-2</v>
      </c>
      <c r="P86" s="140">
        <v>4.24E-2</v>
      </c>
      <c r="Q86" s="3"/>
      <c r="R86" s="124">
        <v>1384000</v>
      </c>
      <c r="S86" s="141">
        <v>3.3719999999999999</v>
      </c>
      <c r="T86" s="143">
        <v>99.117000000000004</v>
      </c>
      <c r="U86" s="124">
        <v>4625.6319999999996</v>
      </c>
      <c r="V86" s="3"/>
      <c r="W86" s="3" t="s">
        <v>36</v>
      </c>
      <c r="X86" s="140">
        <v>1.1E-5</v>
      </c>
      <c r="Y86" s="140">
        <v>1.3344253224138E-2</v>
      </c>
      <c r="Z86" s="140">
        <v>2.45304396057175E-3</v>
      </c>
    </row>
    <row r="87" spans="1:26">
      <c r="A87" s="3">
        <v>161</v>
      </c>
      <c r="B87" s="3">
        <v>9943</v>
      </c>
      <c r="C87" s="3" t="s">
        <v>92</v>
      </c>
      <c r="D87" s="3" t="s">
        <v>93</v>
      </c>
      <c r="E87" s="3" t="s">
        <v>94</v>
      </c>
      <c r="F87" s="3" t="s">
        <v>84</v>
      </c>
      <c r="G87" s="3" t="s">
        <v>85</v>
      </c>
      <c r="H87" s="3" t="s">
        <v>86</v>
      </c>
      <c r="I87" s="3" t="s">
        <v>87</v>
      </c>
      <c r="J87" s="3" t="s">
        <v>88</v>
      </c>
      <c r="K87" s="3" t="s">
        <v>89</v>
      </c>
      <c r="L87" s="3" t="s">
        <v>90</v>
      </c>
      <c r="M87" s="124">
        <v>7.7759999999999998</v>
      </c>
      <c r="N87" s="3" t="s">
        <v>95</v>
      </c>
      <c r="O87" s="139">
        <v>4.6249999999999999E-2</v>
      </c>
      <c r="P87" s="140">
        <v>4.2720000000000001E-2</v>
      </c>
      <c r="Q87" s="3"/>
      <c r="R87" s="124">
        <v>3279000</v>
      </c>
      <c r="S87" s="141">
        <v>3.3719999999999999</v>
      </c>
      <c r="T87" s="143">
        <v>104.938</v>
      </c>
      <c r="U87" s="124">
        <v>11602.736000000001</v>
      </c>
      <c r="V87" s="3"/>
      <c r="W87" s="3" t="s">
        <v>36</v>
      </c>
      <c r="X87" s="140">
        <v>2.4000000000000001E-5</v>
      </c>
      <c r="Y87" s="140">
        <v>3.3472153699521702E-2</v>
      </c>
      <c r="Z87" s="140">
        <v>6.153110488897E-3</v>
      </c>
    </row>
    <row r="88" spans="1:26">
      <c r="A88" s="3">
        <v>161</v>
      </c>
      <c r="B88" s="3">
        <v>9943</v>
      </c>
      <c r="C88" s="3" t="s">
        <v>92</v>
      </c>
      <c r="D88" s="3" t="s">
        <v>139</v>
      </c>
      <c r="E88" s="3" t="s">
        <v>140</v>
      </c>
      <c r="F88" s="3" t="s">
        <v>84</v>
      </c>
      <c r="G88" s="3" t="s">
        <v>85</v>
      </c>
      <c r="H88" s="3" t="s">
        <v>86</v>
      </c>
      <c r="I88" s="3" t="s">
        <v>87</v>
      </c>
      <c r="J88" s="3" t="s">
        <v>88</v>
      </c>
      <c r="K88" s="3" t="s">
        <v>89</v>
      </c>
      <c r="L88" s="3" t="s">
        <v>90</v>
      </c>
      <c r="M88" s="124">
        <v>3.097</v>
      </c>
      <c r="N88" s="3" t="s">
        <v>53</v>
      </c>
      <c r="O88" s="139">
        <v>4.8750000000000002E-2</v>
      </c>
      <c r="P88" s="140">
        <v>3.7539999999999997E-2</v>
      </c>
      <c r="Q88" s="3"/>
      <c r="R88" s="124">
        <v>3000000</v>
      </c>
      <c r="S88" s="141">
        <v>3.3719999999999999</v>
      </c>
      <c r="T88" s="143">
        <v>104.434</v>
      </c>
      <c r="U88" s="124">
        <v>10564.556</v>
      </c>
      <c r="V88" s="3"/>
      <c r="W88" s="3" t="s">
        <v>36</v>
      </c>
      <c r="X88" s="140">
        <v>5.8E-5</v>
      </c>
      <c r="Y88" s="140">
        <v>3.0477159929054101E-2</v>
      </c>
      <c r="Z88" s="140">
        <v>5.6025475418970197E-3</v>
      </c>
    </row>
    <row r="89" spans="1:26">
      <c r="A89" s="3">
        <v>161</v>
      </c>
      <c r="B89" s="3">
        <v>12468</v>
      </c>
      <c r="C89" s="3" t="s">
        <v>54</v>
      </c>
      <c r="D89" s="3" t="s">
        <v>55</v>
      </c>
      <c r="E89" s="3" t="s">
        <v>56</v>
      </c>
      <c r="F89" s="3" t="s">
        <v>57</v>
      </c>
      <c r="G89" s="3" t="s">
        <v>30</v>
      </c>
      <c r="H89" s="3" t="s">
        <v>30</v>
      </c>
      <c r="I89" s="3" t="s">
        <v>58</v>
      </c>
      <c r="J89" s="3" t="s">
        <v>32</v>
      </c>
      <c r="K89" s="3" t="s">
        <v>33</v>
      </c>
      <c r="L89" s="3" t="s">
        <v>34</v>
      </c>
      <c r="M89" s="124">
        <v>0.42199999999999999</v>
      </c>
      <c r="N89" s="3" t="s">
        <v>59</v>
      </c>
      <c r="O89" s="139">
        <v>0</v>
      </c>
      <c r="P89" s="140">
        <v>4.3240000000000001E-2</v>
      </c>
      <c r="Q89" s="3"/>
      <c r="R89" s="124">
        <v>1800000</v>
      </c>
      <c r="S89" s="141">
        <v>1</v>
      </c>
      <c r="T89" s="143">
        <v>98.23</v>
      </c>
      <c r="U89" s="124">
        <v>1768.14</v>
      </c>
      <c r="V89" s="3"/>
      <c r="W89" s="3" t="s">
        <v>36</v>
      </c>
      <c r="X89" s="140">
        <v>1.2899999999999999E-4</v>
      </c>
      <c r="Y89" s="140">
        <v>0.32935002851781497</v>
      </c>
      <c r="Z89" s="140">
        <v>8.3554721929311196E-2</v>
      </c>
    </row>
    <row r="90" spans="1:26">
      <c r="A90" s="3">
        <v>161</v>
      </c>
      <c r="B90" s="3">
        <v>12468</v>
      </c>
      <c r="C90" s="3" t="s">
        <v>54</v>
      </c>
      <c r="D90" s="3" t="s">
        <v>60</v>
      </c>
      <c r="E90" s="3" t="s">
        <v>61</v>
      </c>
      <c r="F90" s="3" t="s">
        <v>57</v>
      </c>
      <c r="G90" s="3" t="s">
        <v>30</v>
      </c>
      <c r="H90" s="3" t="s">
        <v>30</v>
      </c>
      <c r="I90" s="3" t="s">
        <v>58</v>
      </c>
      <c r="J90" s="3" t="s">
        <v>32</v>
      </c>
      <c r="K90" s="3" t="s">
        <v>33</v>
      </c>
      <c r="L90" s="3" t="s">
        <v>34</v>
      </c>
      <c r="M90" s="124">
        <v>0.17299999999999999</v>
      </c>
      <c r="N90" s="3" t="s">
        <v>62</v>
      </c>
      <c r="O90" s="139">
        <v>0</v>
      </c>
      <c r="P90" s="140">
        <v>4.3970000000000002E-2</v>
      </c>
      <c r="Q90" s="3"/>
      <c r="R90" s="124">
        <v>1340000</v>
      </c>
      <c r="S90" s="141">
        <v>1</v>
      </c>
      <c r="T90" s="143">
        <v>99.26</v>
      </c>
      <c r="U90" s="124">
        <v>1330.0840000000001</v>
      </c>
      <c r="V90" s="3"/>
      <c r="W90" s="3" t="s">
        <v>36</v>
      </c>
      <c r="X90" s="140">
        <v>4.8000000000000001E-5</v>
      </c>
      <c r="Y90" s="140">
        <v>0.24775368654693</v>
      </c>
      <c r="Z90" s="140">
        <v>6.2854071941489897E-2</v>
      </c>
    </row>
    <row r="91" spans="1:26">
      <c r="A91" s="3">
        <v>161</v>
      </c>
      <c r="B91" s="3">
        <v>12468</v>
      </c>
      <c r="C91" s="3" t="s">
        <v>54</v>
      </c>
      <c r="D91" s="3" t="s">
        <v>96</v>
      </c>
      <c r="E91" s="3" t="s">
        <v>97</v>
      </c>
      <c r="F91" s="3" t="s">
        <v>57</v>
      </c>
      <c r="G91" s="3" t="s">
        <v>30</v>
      </c>
      <c r="H91" s="3" t="s">
        <v>30</v>
      </c>
      <c r="I91" s="3" t="s">
        <v>58</v>
      </c>
      <c r="J91" s="3" t="s">
        <v>32</v>
      </c>
      <c r="K91" s="3" t="s">
        <v>33</v>
      </c>
      <c r="L91" s="3" t="s">
        <v>34</v>
      </c>
      <c r="M91" s="124">
        <v>0.255</v>
      </c>
      <c r="N91" s="3" t="s">
        <v>98</v>
      </c>
      <c r="O91" s="139">
        <v>0</v>
      </c>
      <c r="P91" s="140">
        <v>4.3540000000000002E-2</v>
      </c>
      <c r="Q91" s="3"/>
      <c r="R91" s="124">
        <v>1000000</v>
      </c>
      <c r="S91" s="141">
        <v>1</v>
      </c>
      <c r="T91" s="143">
        <v>98.92</v>
      </c>
      <c r="U91" s="124">
        <v>989.2</v>
      </c>
      <c r="V91" s="3"/>
      <c r="W91" s="3" t="s">
        <v>36</v>
      </c>
      <c r="X91" s="140">
        <v>7.1000000000000005E-5</v>
      </c>
      <c r="Y91" s="140">
        <v>0.18425749556586199</v>
      </c>
      <c r="Z91" s="140">
        <v>4.67453544020692E-2</v>
      </c>
    </row>
    <row r="92" spans="1:26">
      <c r="A92" s="3">
        <v>161</v>
      </c>
      <c r="B92" s="3">
        <v>12468</v>
      </c>
      <c r="C92" s="3" t="s">
        <v>54</v>
      </c>
      <c r="D92" s="3" t="s">
        <v>63</v>
      </c>
      <c r="E92" s="3" t="s">
        <v>64</v>
      </c>
      <c r="F92" s="3" t="s">
        <v>57</v>
      </c>
      <c r="G92" s="3" t="s">
        <v>30</v>
      </c>
      <c r="H92" s="3" t="s">
        <v>30</v>
      </c>
      <c r="I92" s="3" t="s">
        <v>58</v>
      </c>
      <c r="J92" s="3" t="s">
        <v>32</v>
      </c>
      <c r="K92" s="3" t="s">
        <v>33</v>
      </c>
      <c r="L92" s="3" t="s">
        <v>34</v>
      </c>
      <c r="M92" s="124">
        <v>0.34499999999999997</v>
      </c>
      <c r="N92" s="3" t="s">
        <v>65</v>
      </c>
      <c r="O92" s="139">
        <v>0</v>
      </c>
      <c r="P92" s="140">
        <v>4.3220000000000001E-2</v>
      </c>
      <c r="Q92" s="3"/>
      <c r="R92" s="124">
        <v>1300000</v>
      </c>
      <c r="S92" s="141">
        <v>1</v>
      </c>
      <c r="T92" s="143">
        <v>98.55</v>
      </c>
      <c r="U92" s="124">
        <v>1281.1500000000001</v>
      </c>
      <c r="V92" s="3"/>
      <c r="W92" s="3" t="s">
        <v>36</v>
      </c>
      <c r="X92" s="140">
        <v>9.2999999999999997E-5</v>
      </c>
      <c r="Y92" s="140">
        <v>0.23863878936939301</v>
      </c>
      <c r="Z92" s="140">
        <v>6.0541660728074202E-2</v>
      </c>
    </row>
  </sheetData>
  <sheetProtection formatColumns="0"/>
  <customSheetViews>
    <customSheetView guid="{AE318230-F718-49FC-82EB-7CAC3DCD05F1}" showGridLines="0" hiddenRows="1">
      <selection activeCell="E26" sqref="E26"/>
      <pageMargins left="0.7" right="0.7" top="0.75" bottom="0.75" header="0.3" footer="0.3"/>
    </customSheetView>
  </customSheetViews>
  <dataValidations count="5">
    <dataValidation type="list" allowBlank="1" showInputMessage="1" showErrorMessage="1" sqref="G2:G20" xr:uid="{00000000-0002-0000-0300-000000000000}">
      <formula1>israel_abroad</formula1>
    </dataValidation>
    <dataValidation type="list" allowBlank="1" showInputMessage="1" showErrorMessage="1" sqref="I2:I20" xr:uid="{00000000-0002-0000-0300-000001000000}">
      <formula1>Stock_Exchange_Gov_Bonds</formula1>
    </dataValidation>
    <dataValidation type="list" allowBlank="1" showInputMessage="1" showErrorMessage="1" sqref="K2:K20" xr:uid="{00000000-0002-0000-0300-000002000000}">
      <formula1>Rating_Agency</formula1>
    </dataValidation>
    <dataValidation type="list" allowBlank="1" showInputMessage="1" showErrorMessage="1" sqref="W2:W20" xr:uid="{00000000-0002-0000-0300-000003000000}">
      <formula1>In_the_books</formula1>
    </dataValidation>
    <dataValidation type="list" allowBlank="1" showInputMessage="1" showErrorMessage="1" sqref="H2:H20" xr:uid="{00000000-0002-0000-0300-000004000000}">
      <formula1>Country_list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5000000}">
          <x14:formula1>
            <xm:f>'אפשרויות בחירה'!$C$862:$C$869</xm:f>
          </x14:formula1>
          <xm:sqref>F2:F20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6"/>
  <dimension ref="A1:AJ1"/>
  <sheetViews>
    <sheetView rightToLeft="1" topLeftCell="X1" zoomScale="70" zoomScaleNormal="70" workbookViewId="0">
      <selection activeCell="AH14" sqref="AH14"/>
    </sheetView>
  </sheetViews>
  <sheetFormatPr defaultColWidth="0" defaultRowHeight="14.25" zeroHeight="1"/>
  <cols>
    <col min="1" max="36" width="11.625" customWidth="1"/>
  </cols>
  <sheetData>
    <row r="1" spans="1:36" ht="66.75" customHeight="1">
      <c r="A1" s="12" t="s">
        <v>0</v>
      </c>
      <c r="B1" s="12" t="s">
        <v>1</v>
      </c>
      <c r="C1" s="12" t="s">
        <v>2</v>
      </c>
      <c r="D1" s="12" t="s">
        <v>167</v>
      </c>
      <c r="E1" s="12" t="s">
        <v>168</v>
      </c>
      <c r="F1" s="12" t="s">
        <v>3</v>
      </c>
      <c r="G1" s="12" t="s">
        <v>4</v>
      </c>
      <c r="H1" s="12" t="s">
        <v>169</v>
      </c>
      <c r="I1" s="12" t="s">
        <v>5</v>
      </c>
      <c r="J1" s="12" t="s">
        <v>6</v>
      </c>
      <c r="K1" s="12" t="s">
        <v>7</v>
      </c>
      <c r="L1" s="12" t="s">
        <v>8</v>
      </c>
      <c r="M1" s="12" t="s">
        <v>170</v>
      </c>
      <c r="N1" s="12" t="s">
        <v>146</v>
      </c>
      <c r="O1" s="12" t="s">
        <v>9</v>
      </c>
      <c r="P1" s="12" t="s">
        <v>10</v>
      </c>
      <c r="Q1" s="12" t="s">
        <v>203</v>
      </c>
      <c r="R1" s="12" t="s">
        <v>11</v>
      </c>
      <c r="S1" s="12" t="s">
        <v>12</v>
      </c>
      <c r="T1" s="12" t="s">
        <v>940</v>
      </c>
      <c r="U1" s="12" t="s">
        <v>13</v>
      </c>
      <c r="V1" s="119" t="s">
        <v>14</v>
      </c>
      <c r="W1" s="12" t="s">
        <v>15</v>
      </c>
      <c r="X1" s="12" t="s">
        <v>443</v>
      </c>
      <c r="Y1" s="12" t="s">
        <v>864</v>
      </c>
      <c r="Z1" s="12" t="s">
        <v>17</v>
      </c>
      <c r="AA1" s="12" t="s">
        <v>18</v>
      </c>
      <c r="AB1" s="12" t="s">
        <v>19</v>
      </c>
      <c r="AC1" s="12" t="s">
        <v>16</v>
      </c>
      <c r="AD1" s="12" t="s">
        <v>20</v>
      </c>
      <c r="AE1" s="12" t="s">
        <v>21</v>
      </c>
      <c r="AF1" s="12" t="s">
        <v>186</v>
      </c>
      <c r="AG1" s="12" t="s">
        <v>22</v>
      </c>
      <c r="AH1" s="12" t="s">
        <v>23</v>
      </c>
      <c r="AI1" s="12" t="s">
        <v>24</v>
      </c>
      <c r="AJ1" s="12" t="s">
        <v>25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paperSize="9" orientation="portrait" verticalDpi="0"/>
    </customSheetView>
  </customSheetViews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7"/>
  <dimension ref="A1:AJ483"/>
  <sheetViews>
    <sheetView rightToLeft="1" topLeftCell="K1" zoomScale="70" zoomScaleNormal="70" workbookViewId="0">
      <selection activeCell="P1" sqref="P1"/>
    </sheetView>
  </sheetViews>
  <sheetFormatPr defaultColWidth="0" defaultRowHeight="14.25" zeroHeight="1"/>
  <cols>
    <col min="1" max="36" width="11.625" customWidth="1"/>
  </cols>
  <sheetData>
    <row r="1" spans="1:36" ht="66.75" customHeight="1">
      <c r="A1" s="12" t="s">
        <v>0</v>
      </c>
      <c r="B1" s="12" t="s">
        <v>1</v>
      </c>
      <c r="C1" s="12" t="s">
        <v>2</v>
      </c>
      <c r="D1" s="12" t="s">
        <v>167</v>
      </c>
      <c r="E1" s="12" t="s">
        <v>168</v>
      </c>
      <c r="F1" s="12" t="s">
        <v>3</v>
      </c>
      <c r="G1" s="12" t="s">
        <v>4</v>
      </c>
      <c r="H1" s="12" t="s">
        <v>169</v>
      </c>
      <c r="I1" s="12" t="s">
        <v>5</v>
      </c>
      <c r="J1" s="12" t="s">
        <v>6</v>
      </c>
      <c r="K1" s="12" t="s">
        <v>7</v>
      </c>
      <c r="L1" s="12" t="s">
        <v>360</v>
      </c>
      <c r="M1" s="12" t="s">
        <v>8</v>
      </c>
      <c r="N1" s="12" t="s">
        <v>170</v>
      </c>
      <c r="O1" s="12" t="s">
        <v>146</v>
      </c>
      <c r="P1" s="12" t="s">
        <v>9</v>
      </c>
      <c r="Q1" s="12" t="s">
        <v>10</v>
      </c>
      <c r="R1" s="12" t="s">
        <v>203</v>
      </c>
      <c r="S1" s="12" t="s">
        <v>11</v>
      </c>
      <c r="T1" s="12" t="s">
        <v>12</v>
      </c>
      <c r="U1" s="12" t="s">
        <v>13</v>
      </c>
      <c r="V1" s="133" t="s">
        <v>14</v>
      </c>
      <c r="W1" s="137" t="s">
        <v>15</v>
      </c>
      <c r="X1" s="12" t="s">
        <v>443</v>
      </c>
      <c r="Y1" s="12" t="s">
        <v>864</v>
      </c>
      <c r="Z1" s="12" t="s">
        <v>17</v>
      </c>
      <c r="AA1" s="131" t="s">
        <v>18</v>
      </c>
      <c r="AB1" s="142" t="s">
        <v>19</v>
      </c>
      <c r="AC1" s="12" t="s">
        <v>16</v>
      </c>
      <c r="AD1" s="12" t="s">
        <v>20</v>
      </c>
      <c r="AE1" s="12" t="s">
        <v>21</v>
      </c>
      <c r="AF1" s="12" t="s">
        <v>186</v>
      </c>
      <c r="AG1" s="12" t="s">
        <v>22</v>
      </c>
      <c r="AH1" s="137" t="s">
        <v>23</v>
      </c>
      <c r="AI1" s="137" t="s">
        <v>24</v>
      </c>
      <c r="AJ1" s="137" t="s">
        <v>25</v>
      </c>
    </row>
    <row r="2" spans="1:36">
      <c r="A2" s="2">
        <v>161</v>
      </c>
      <c r="B2" s="13">
        <v>1434</v>
      </c>
      <c r="C2" s="13" t="s">
        <v>1952</v>
      </c>
      <c r="D2" s="13" t="s">
        <v>1953</v>
      </c>
      <c r="E2" s="11" t="s">
        <v>1351</v>
      </c>
      <c r="F2" s="13" t="s">
        <v>1954</v>
      </c>
      <c r="G2" s="13" t="s">
        <v>1955</v>
      </c>
      <c r="H2" s="11" t="s">
        <v>209</v>
      </c>
      <c r="I2" s="18" t="s">
        <v>788</v>
      </c>
      <c r="J2" s="11" t="s">
        <v>30</v>
      </c>
      <c r="K2" s="11" t="s">
        <v>30</v>
      </c>
      <c r="L2" s="13" t="s">
        <v>361</v>
      </c>
      <c r="M2" s="11" t="s">
        <v>31</v>
      </c>
      <c r="N2" s="13" t="s">
        <v>495</v>
      </c>
      <c r="O2" s="13" t="s">
        <v>160</v>
      </c>
      <c r="P2" s="13" t="s">
        <v>1956</v>
      </c>
      <c r="Q2" s="13" t="s">
        <v>446</v>
      </c>
      <c r="R2" s="13" t="s">
        <v>440</v>
      </c>
      <c r="S2" s="11" t="s">
        <v>34</v>
      </c>
      <c r="T2" s="125">
        <v>2.0139999999999998</v>
      </c>
      <c r="U2" s="13" t="s">
        <v>1957</v>
      </c>
      <c r="V2" s="145">
        <v>2.3400000000000001E-2</v>
      </c>
      <c r="W2" s="146">
        <v>2.8719999999999999E-2</v>
      </c>
      <c r="X2" s="11" t="s">
        <v>445</v>
      </c>
      <c r="Y2" s="11" t="s">
        <v>160</v>
      </c>
      <c r="Z2" s="125">
        <v>77298.55</v>
      </c>
      <c r="AA2" s="147">
        <v>1</v>
      </c>
      <c r="AB2" s="148">
        <v>116.49</v>
      </c>
      <c r="AC2" s="13"/>
      <c r="AD2" s="125">
        <v>90.045000000000002</v>
      </c>
      <c r="AE2" s="13"/>
      <c r="AF2" s="18"/>
      <c r="AG2" s="11" t="s">
        <v>36</v>
      </c>
      <c r="AH2" s="138">
        <v>4.6999999999999997E-5</v>
      </c>
      <c r="AI2" s="138">
        <v>1.67479179153944E-2</v>
      </c>
      <c r="AJ2" s="138">
        <v>3.9964356652453003E-3</v>
      </c>
    </row>
    <row r="3" spans="1:36">
      <c r="A3" s="13">
        <v>161</v>
      </c>
      <c r="B3" s="13">
        <v>1434</v>
      </c>
      <c r="C3" s="13" t="s">
        <v>1952</v>
      </c>
      <c r="D3" s="13" t="s">
        <v>1953</v>
      </c>
      <c r="E3" s="11" t="s">
        <v>1351</v>
      </c>
      <c r="F3" s="13" t="s">
        <v>1958</v>
      </c>
      <c r="G3" s="13" t="s">
        <v>1959</v>
      </c>
      <c r="H3" s="11" t="s">
        <v>209</v>
      </c>
      <c r="I3" s="13" t="s">
        <v>998</v>
      </c>
      <c r="J3" s="11" t="s">
        <v>30</v>
      </c>
      <c r="K3" s="11" t="s">
        <v>30</v>
      </c>
      <c r="L3" s="13" t="s">
        <v>361</v>
      </c>
      <c r="M3" s="11" t="s">
        <v>31</v>
      </c>
      <c r="N3" s="13" t="s">
        <v>495</v>
      </c>
      <c r="O3" s="13" t="s">
        <v>160</v>
      </c>
      <c r="P3" s="13" t="s">
        <v>1956</v>
      </c>
      <c r="Q3" s="13" t="s">
        <v>446</v>
      </c>
      <c r="R3" s="13" t="s">
        <v>440</v>
      </c>
      <c r="S3" s="11" t="s">
        <v>34</v>
      </c>
      <c r="T3" s="125">
        <v>2.3820000000000001</v>
      </c>
      <c r="U3" s="13" t="s">
        <v>1960</v>
      </c>
      <c r="V3" s="145">
        <v>0.05</v>
      </c>
      <c r="W3" s="146">
        <v>4.6789999999999998E-2</v>
      </c>
      <c r="X3" s="11" t="s">
        <v>445</v>
      </c>
      <c r="Y3" s="11" t="s">
        <v>160</v>
      </c>
      <c r="Z3" s="125">
        <v>39375</v>
      </c>
      <c r="AA3" s="147">
        <v>1</v>
      </c>
      <c r="AB3" s="148">
        <v>101.73</v>
      </c>
      <c r="AC3" s="13"/>
      <c r="AD3" s="125">
        <v>40.055999999999997</v>
      </c>
      <c r="AE3" s="13"/>
      <c r="AF3" s="2"/>
      <c r="AG3" s="11" t="s">
        <v>36</v>
      </c>
      <c r="AH3" s="138">
        <v>1.12E-4</v>
      </c>
      <c r="AI3" s="138">
        <v>7.4502430736435397E-3</v>
      </c>
      <c r="AJ3" s="138">
        <v>1.77779812897744E-3</v>
      </c>
    </row>
    <row r="4" spans="1:36">
      <c r="A4" s="13">
        <v>161</v>
      </c>
      <c r="B4" s="13">
        <v>1434</v>
      </c>
      <c r="C4" s="13" t="s">
        <v>1961</v>
      </c>
      <c r="D4" s="13" t="s">
        <v>1962</v>
      </c>
      <c r="E4" s="11" t="s">
        <v>1351</v>
      </c>
      <c r="F4" s="13" t="s">
        <v>1963</v>
      </c>
      <c r="G4" s="13" t="s">
        <v>1964</v>
      </c>
      <c r="H4" s="11" t="s">
        <v>209</v>
      </c>
      <c r="I4" s="13" t="s">
        <v>998</v>
      </c>
      <c r="J4" s="11" t="s">
        <v>30</v>
      </c>
      <c r="K4" s="11" t="s">
        <v>30</v>
      </c>
      <c r="L4" s="13" t="s">
        <v>361</v>
      </c>
      <c r="M4" s="11" t="s">
        <v>31</v>
      </c>
      <c r="N4" s="13" t="s">
        <v>509</v>
      </c>
      <c r="O4" s="13" t="s">
        <v>160</v>
      </c>
      <c r="P4" s="13" t="s">
        <v>1965</v>
      </c>
      <c r="Q4" s="13" t="s">
        <v>446</v>
      </c>
      <c r="R4" s="13" t="s">
        <v>440</v>
      </c>
      <c r="S4" s="11" t="s">
        <v>34</v>
      </c>
      <c r="T4" s="125">
        <v>1.518</v>
      </c>
      <c r="U4" s="13" t="s">
        <v>1966</v>
      </c>
      <c r="V4" s="145">
        <v>5.7000000000000002E-2</v>
      </c>
      <c r="W4" s="146">
        <v>5.1889999999999999E-2</v>
      </c>
      <c r="X4" s="11" t="s">
        <v>445</v>
      </c>
      <c r="Y4" s="11" t="s">
        <v>160</v>
      </c>
      <c r="Z4" s="125">
        <v>13800</v>
      </c>
      <c r="AA4" s="147">
        <v>1</v>
      </c>
      <c r="AB4" s="148">
        <v>101.09</v>
      </c>
      <c r="AC4" s="13"/>
      <c r="AD4" s="125">
        <v>13.95</v>
      </c>
      <c r="AE4" s="13"/>
      <c r="AF4" s="2"/>
      <c r="AG4" s="11" t="s">
        <v>36</v>
      </c>
      <c r="AH4" s="138">
        <v>1.8E-5</v>
      </c>
      <c r="AI4" s="138">
        <v>2.5947057487539999E-3</v>
      </c>
      <c r="AJ4" s="138">
        <v>6.1915604360623195E-4</v>
      </c>
    </row>
    <row r="5" spans="1:36">
      <c r="A5" s="13">
        <v>161</v>
      </c>
      <c r="B5" s="13">
        <v>1434</v>
      </c>
      <c r="C5" s="13" t="s">
        <v>1626</v>
      </c>
      <c r="D5" s="13" t="s">
        <v>1627</v>
      </c>
      <c r="E5" s="11" t="s">
        <v>1351</v>
      </c>
      <c r="F5" s="13" t="s">
        <v>1967</v>
      </c>
      <c r="G5" s="13" t="s">
        <v>1968</v>
      </c>
      <c r="H5" s="11" t="s">
        <v>209</v>
      </c>
      <c r="I5" s="13" t="s">
        <v>788</v>
      </c>
      <c r="J5" s="11" t="s">
        <v>30</v>
      </c>
      <c r="K5" s="11" t="s">
        <v>30</v>
      </c>
      <c r="L5" s="13" t="s">
        <v>361</v>
      </c>
      <c r="M5" s="11" t="s">
        <v>31</v>
      </c>
      <c r="N5" s="13" t="s">
        <v>495</v>
      </c>
      <c r="O5" s="13" t="s">
        <v>160</v>
      </c>
      <c r="P5" s="13" t="s">
        <v>1969</v>
      </c>
      <c r="Q5" s="13" t="s">
        <v>446</v>
      </c>
      <c r="R5" s="13" t="s">
        <v>440</v>
      </c>
      <c r="S5" s="11" t="s">
        <v>34</v>
      </c>
      <c r="T5" s="125">
        <v>6.4370000000000003</v>
      </c>
      <c r="U5" s="13" t="s">
        <v>1970</v>
      </c>
      <c r="V5" s="145">
        <v>2.5600000000000001E-2</v>
      </c>
      <c r="W5" s="146">
        <v>3.2149999999999998E-2</v>
      </c>
      <c r="X5" s="11" t="s">
        <v>445</v>
      </c>
      <c r="Y5" s="11" t="s">
        <v>160</v>
      </c>
      <c r="Z5" s="125">
        <v>45000</v>
      </c>
      <c r="AA5" s="147">
        <v>1</v>
      </c>
      <c r="AB5" s="148">
        <v>105.66</v>
      </c>
      <c r="AC5" s="13"/>
      <c r="AD5" s="125">
        <v>47.546999999999997</v>
      </c>
      <c r="AE5" s="13"/>
      <c r="AF5" s="2"/>
      <c r="AG5" s="11" t="s">
        <v>36</v>
      </c>
      <c r="AH5" s="138">
        <v>4.3000000000000002E-5</v>
      </c>
      <c r="AI5" s="138">
        <v>8.8434953382053403E-3</v>
      </c>
      <c r="AJ5" s="138">
        <v>2.1102599352095098E-3</v>
      </c>
    </row>
    <row r="6" spans="1:36">
      <c r="A6" s="13">
        <v>161</v>
      </c>
      <c r="B6" s="13">
        <v>1434</v>
      </c>
      <c r="C6" s="13" t="s">
        <v>1626</v>
      </c>
      <c r="D6" s="13" t="s">
        <v>1627</v>
      </c>
      <c r="E6" s="11" t="s">
        <v>1351</v>
      </c>
      <c r="F6" s="13" t="s">
        <v>1971</v>
      </c>
      <c r="G6" s="13" t="s">
        <v>1972</v>
      </c>
      <c r="H6" s="11" t="s">
        <v>209</v>
      </c>
      <c r="I6" s="13" t="s">
        <v>998</v>
      </c>
      <c r="J6" s="11" t="s">
        <v>30</v>
      </c>
      <c r="K6" s="11" t="s">
        <v>30</v>
      </c>
      <c r="L6" s="13" t="s">
        <v>361</v>
      </c>
      <c r="M6" s="11" t="s">
        <v>31</v>
      </c>
      <c r="N6" s="13" t="s">
        <v>495</v>
      </c>
      <c r="O6" s="13" t="s">
        <v>160</v>
      </c>
      <c r="P6" s="13" t="s">
        <v>1969</v>
      </c>
      <c r="Q6" s="13" t="s">
        <v>446</v>
      </c>
      <c r="R6" s="13" t="s">
        <v>440</v>
      </c>
      <c r="S6" s="11" t="s">
        <v>34</v>
      </c>
      <c r="T6" s="125">
        <v>3.7050000000000001</v>
      </c>
      <c r="U6" s="13" t="s">
        <v>1973</v>
      </c>
      <c r="V6" s="145">
        <v>2.41E-2</v>
      </c>
      <c r="W6" s="146">
        <v>4.8559999999999999E-2</v>
      </c>
      <c r="X6" s="11" t="s">
        <v>445</v>
      </c>
      <c r="Y6" s="11" t="s">
        <v>160</v>
      </c>
      <c r="Z6" s="123">
        <v>80000</v>
      </c>
      <c r="AA6" s="132">
        <v>1</v>
      </c>
      <c r="AB6" s="149">
        <v>92.33</v>
      </c>
      <c r="AC6" s="13"/>
      <c r="AD6" s="123">
        <v>73.864000000000004</v>
      </c>
      <c r="AE6" s="2"/>
      <c r="AF6" s="2"/>
      <c r="AG6" s="2" t="s">
        <v>36</v>
      </c>
      <c r="AH6" s="138">
        <v>3.8999999999999999E-5</v>
      </c>
      <c r="AI6" s="138">
        <v>1.3738320812274199E-2</v>
      </c>
      <c r="AJ6" s="138">
        <v>3.27827707014776E-3</v>
      </c>
    </row>
    <row r="7" spans="1:36">
      <c r="A7" s="13">
        <v>161</v>
      </c>
      <c r="B7" s="13">
        <v>1434</v>
      </c>
      <c r="C7" s="13" t="s">
        <v>1974</v>
      </c>
      <c r="D7" s="13" t="s">
        <v>1975</v>
      </c>
      <c r="E7" s="11" t="s">
        <v>1351</v>
      </c>
      <c r="F7" s="13" t="s">
        <v>1976</v>
      </c>
      <c r="G7" s="13" t="s">
        <v>1977</v>
      </c>
      <c r="H7" s="11" t="s">
        <v>209</v>
      </c>
      <c r="I7" s="13" t="s">
        <v>998</v>
      </c>
      <c r="J7" s="11" t="s">
        <v>30</v>
      </c>
      <c r="K7" s="11" t="s">
        <v>30</v>
      </c>
      <c r="L7" s="13" t="s">
        <v>361</v>
      </c>
      <c r="M7" s="11" t="s">
        <v>31</v>
      </c>
      <c r="N7" s="13" t="s">
        <v>482</v>
      </c>
      <c r="O7" s="13" t="s">
        <v>160</v>
      </c>
      <c r="P7" s="13" t="s">
        <v>1965</v>
      </c>
      <c r="Q7" s="13" t="s">
        <v>446</v>
      </c>
      <c r="R7" s="13" t="s">
        <v>440</v>
      </c>
      <c r="S7" s="11" t="s">
        <v>34</v>
      </c>
      <c r="T7" s="125">
        <v>2.7559999999999998</v>
      </c>
      <c r="U7" s="13" t="s">
        <v>1978</v>
      </c>
      <c r="V7" s="145">
        <v>0.04</v>
      </c>
      <c r="W7" s="146">
        <v>4.7919999999999997E-2</v>
      </c>
      <c r="X7" s="11" t="s">
        <v>445</v>
      </c>
      <c r="Y7" s="11" t="s">
        <v>160</v>
      </c>
      <c r="Z7" s="123">
        <v>42857.15</v>
      </c>
      <c r="AA7" s="132">
        <v>1</v>
      </c>
      <c r="AB7" s="149">
        <v>99.88</v>
      </c>
      <c r="AC7" s="13"/>
      <c r="AD7" s="123">
        <v>42.805999999999997</v>
      </c>
      <c r="AE7" s="2"/>
      <c r="AF7" s="2"/>
      <c r="AG7" s="2" t="s">
        <v>36</v>
      </c>
      <c r="AH7" s="138">
        <v>7.3999999999999996E-5</v>
      </c>
      <c r="AI7" s="138">
        <v>7.9616421188778794E-3</v>
      </c>
      <c r="AJ7" s="138">
        <v>1.89982961933173E-3</v>
      </c>
    </row>
    <row r="8" spans="1:36">
      <c r="A8" s="13">
        <v>161</v>
      </c>
      <c r="B8" s="13">
        <v>1434</v>
      </c>
      <c r="C8" s="13" t="s">
        <v>1630</v>
      </c>
      <c r="D8" s="13" t="s">
        <v>1631</v>
      </c>
      <c r="E8" s="11" t="s">
        <v>1351</v>
      </c>
      <c r="F8" s="13" t="s">
        <v>1979</v>
      </c>
      <c r="G8" s="13" t="s">
        <v>1980</v>
      </c>
      <c r="H8" s="11" t="s">
        <v>209</v>
      </c>
      <c r="I8" s="13" t="s">
        <v>788</v>
      </c>
      <c r="J8" s="11" t="s">
        <v>30</v>
      </c>
      <c r="K8" s="11" t="s">
        <v>30</v>
      </c>
      <c r="L8" s="13" t="s">
        <v>361</v>
      </c>
      <c r="M8" s="11" t="s">
        <v>31</v>
      </c>
      <c r="N8" s="13" t="s">
        <v>495</v>
      </c>
      <c r="O8" s="13" t="s">
        <v>160</v>
      </c>
      <c r="P8" s="13" t="s">
        <v>1956</v>
      </c>
      <c r="Q8" s="13" t="s">
        <v>446</v>
      </c>
      <c r="R8" s="13" t="s">
        <v>440</v>
      </c>
      <c r="S8" s="11" t="s">
        <v>34</v>
      </c>
      <c r="T8" s="125">
        <v>2.5790000000000002</v>
      </c>
      <c r="U8" s="13" t="s">
        <v>1981</v>
      </c>
      <c r="V8" s="145">
        <v>1.14E-2</v>
      </c>
      <c r="W8" s="146">
        <v>2.819E-2</v>
      </c>
      <c r="X8" s="11" t="s">
        <v>445</v>
      </c>
      <c r="Y8" s="11" t="s">
        <v>160</v>
      </c>
      <c r="Z8" s="125">
        <v>109000</v>
      </c>
      <c r="AA8" s="147">
        <v>1</v>
      </c>
      <c r="AB8" s="148">
        <v>111.43</v>
      </c>
      <c r="AC8" s="13"/>
      <c r="AD8" s="125">
        <v>121.459</v>
      </c>
      <c r="AE8" s="13"/>
      <c r="AF8" s="2"/>
      <c r="AG8" s="11" t="s">
        <v>36</v>
      </c>
      <c r="AH8" s="138">
        <v>4.6E-5</v>
      </c>
      <c r="AI8" s="138">
        <v>2.2590688103024E-2</v>
      </c>
      <c r="AJ8" s="138">
        <v>5.3906540558317402E-3</v>
      </c>
    </row>
    <row r="9" spans="1:36">
      <c r="A9" s="13">
        <v>161</v>
      </c>
      <c r="B9" s="13">
        <v>1434</v>
      </c>
      <c r="C9" s="13" t="s">
        <v>1630</v>
      </c>
      <c r="D9" s="13" t="s">
        <v>1631</v>
      </c>
      <c r="E9" s="11" t="s">
        <v>1351</v>
      </c>
      <c r="F9" s="13" t="s">
        <v>1982</v>
      </c>
      <c r="G9" s="13" t="s">
        <v>1983</v>
      </c>
      <c r="H9" s="11" t="s">
        <v>209</v>
      </c>
      <c r="I9" s="13" t="s">
        <v>998</v>
      </c>
      <c r="J9" s="11" t="s">
        <v>30</v>
      </c>
      <c r="K9" s="11" t="s">
        <v>30</v>
      </c>
      <c r="L9" s="13" t="s">
        <v>361</v>
      </c>
      <c r="M9" s="11" t="s">
        <v>31</v>
      </c>
      <c r="N9" s="13" t="s">
        <v>495</v>
      </c>
      <c r="O9" s="13" t="s">
        <v>160</v>
      </c>
      <c r="P9" s="13" t="s">
        <v>1956</v>
      </c>
      <c r="Q9" s="13" t="s">
        <v>446</v>
      </c>
      <c r="R9" s="13" t="s">
        <v>440</v>
      </c>
      <c r="S9" s="11" t="s">
        <v>34</v>
      </c>
      <c r="T9" s="125">
        <v>4.6719999999999997</v>
      </c>
      <c r="U9" s="13" t="s">
        <v>1984</v>
      </c>
      <c r="V9" s="145">
        <v>2.4400000000000002E-2</v>
      </c>
      <c r="W9" s="146">
        <v>4.7059999999999998E-2</v>
      </c>
      <c r="X9" s="11" t="s">
        <v>445</v>
      </c>
      <c r="Y9" s="11" t="s">
        <v>160</v>
      </c>
      <c r="Z9" s="125">
        <v>80000</v>
      </c>
      <c r="AA9" s="147">
        <v>1</v>
      </c>
      <c r="AB9" s="148">
        <v>91.3</v>
      </c>
      <c r="AC9" s="13"/>
      <c r="AD9" s="125">
        <v>73.040000000000006</v>
      </c>
      <c r="AE9" s="13"/>
      <c r="AF9" s="2"/>
      <c r="AG9" s="11" t="s">
        <v>36</v>
      </c>
      <c r="AH9" s="138">
        <v>6.6000000000000005E-5</v>
      </c>
      <c r="AI9" s="138">
        <v>1.3585061086977501E-2</v>
      </c>
      <c r="AJ9" s="138">
        <v>3.2417057998970098E-3</v>
      </c>
    </row>
    <row r="10" spans="1:36">
      <c r="A10" s="13">
        <v>161</v>
      </c>
      <c r="B10" s="13">
        <v>1434</v>
      </c>
      <c r="C10" s="13" t="s">
        <v>1630</v>
      </c>
      <c r="D10" s="13" t="s">
        <v>1631</v>
      </c>
      <c r="E10" s="11" t="s">
        <v>1351</v>
      </c>
      <c r="F10" s="13" t="s">
        <v>1985</v>
      </c>
      <c r="G10" s="13" t="s">
        <v>1986</v>
      </c>
      <c r="H10" s="11" t="s">
        <v>209</v>
      </c>
      <c r="I10" s="13" t="s">
        <v>788</v>
      </c>
      <c r="J10" s="11" t="s">
        <v>30</v>
      </c>
      <c r="K10" s="11" t="s">
        <v>30</v>
      </c>
      <c r="L10" s="13" t="s">
        <v>361</v>
      </c>
      <c r="M10" s="11" t="s">
        <v>31</v>
      </c>
      <c r="N10" s="13" t="s">
        <v>495</v>
      </c>
      <c r="O10" s="13" t="s">
        <v>160</v>
      </c>
      <c r="P10" s="13" t="s">
        <v>1956</v>
      </c>
      <c r="Q10" s="13" t="s">
        <v>446</v>
      </c>
      <c r="R10" s="13" t="s">
        <v>440</v>
      </c>
      <c r="S10" s="11" t="s">
        <v>34</v>
      </c>
      <c r="T10" s="125">
        <v>4.8689999999999998</v>
      </c>
      <c r="U10" s="13" t="s">
        <v>1984</v>
      </c>
      <c r="V10" s="145">
        <v>9.1999999999999998E-3</v>
      </c>
      <c r="W10" s="146">
        <v>2.8469999999999999E-2</v>
      </c>
      <c r="X10" s="11" t="s">
        <v>445</v>
      </c>
      <c r="Y10" s="11" t="s">
        <v>160</v>
      </c>
      <c r="Z10" s="125">
        <v>70000</v>
      </c>
      <c r="AA10" s="147">
        <v>1</v>
      </c>
      <c r="AB10" s="148">
        <v>107.4</v>
      </c>
      <c r="AC10" s="13"/>
      <c r="AD10" s="125">
        <v>75.180000000000007</v>
      </c>
      <c r="AE10" s="13"/>
      <c r="AF10" s="2"/>
      <c r="AG10" s="11" t="s">
        <v>36</v>
      </c>
      <c r="AH10" s="138">
        <v>2.6999999999999999E-5</v>
      </c>
      <c r="AI10" s="138">
        <v>1.39830899851994E-2</v>
      </c>
      <c r="AJ10" s="138">
        <v>3.3366845842860999E-3</v>
      </c>
    </row>
    <row r="11" spans="1:36">
      <c r="A11" s="13">
        <v>161</v>
      </c>
      <c r="B11" s="13">
        <v>1434</v>
      </c>
      <c r="C11" s="13" t="s">
        <v>1634</v>
      </c>
      <c r="D11" s="13" t="s">
        <v>1635</v>
      </c>
      <c r="E11" s="11" t="s">
        <v>1351</v>
      </c>
      <c r="F11" s="13" t="s">
        <v>1987</v>
      </c>
      <c r="G11" s="13" t="s">
        <v>1988</v>
      </c>
      <c r="H11" s="11" t="s">
        <v>209</v>
      </c>
      <c r="I11" s="13" t="s">
        <v>998</v>
      </c>
      <c r="J11" s="11" t="s">
        <v>30</v>
      </c>
      <c r="K11" s="11" t="s">
        <v>86</v>
      </c>
      <c r="L11" s="13" t="s">
        <v>361</v>
      </c>
      <c r="M11" s="11" t="s">
        <v>31</v>
      </c>
      <c r="N11" s="13" t="s">
        <v>472</v>
      </c>
      <c r="O11" s="13" t="s">
        <v>160</v>
      </c>
      <c r="P11" s="13" t="s">
        <v>1989</v>
      </c>
      <c r="Q11" s="13" t="s">
        <v>448</v>
      </c>
      <c r="R11" s="13" t="s">
        <v>440</v>
      </c>
      <c r="S11" s="11" t="s">
        <v>34</v>
      </c>
      <c r="T11" s="125">
        <v>1.01</v>
      </c>
      <c r="U11" s="13" t="s">
        <v>1990</v>
      </c>
      <c r="V11" s="145">
        <v>3.4500000000000003E-2</v>
      </c>
      <c r="W11" s="146">
        <v>4.7660000000000001E-2</v>
      </c>
      <c r="X11" s="11" t="s">
        <v>445</v>
      </c>
      <c r="Y11" s="11" t="s">
        <v>160</v>
      </c>
      <c r="Z11" s="125">
        <v>89411.76</v>
      </c>
      <c r="AA11" s="147">
        <v>1</v>
      </c>
      <c r="AB11" s="148">
        <v>99.89</v>
      </c>
      <c r="AC11" s="13"/>
      <c r="AD11" s="125">
        <v>89.313000000000002</v>
      </c>
      <c r="AE11" s="13"/>
      <c r="AF11" s="2"/>
      <c r="AG11" s="11" t="s">
        <v>36</v>
      </c>
      <c r="AH11" s="138">
        <v>1.3899999999999999E-4</v>
      </c>
      <c r="AI11" s="138">
        <v>1.6611830378566901E-2</v>
      </c>
      <c r="AJ11" s="138">
        <v>3.9639620713024497E-3</v>
      </c>
    </row>
    <row r="12" spans="1:36">
      <c r="A12" s="13">
        <v>161</v>
      </c>
      <c r="B12" s="13">
        <v>1434</v>
      </c>
      <c r="C12" s="13" t="s">
        <v>1634</v>
      </c>
      <c r="D12" s="13" t="s">
        <v>1635</v>
      </c>
      <c r="E12" s="11" t="s">
        <v>1351</v>
      </c>
      <c r="F12" s="13" t="s">
        <v>1991</v>
      </c>
      <c r="G12" s="13" t="s">
        <v>1992</v>
      </c>
      <c r="H12" s="11" t="s">
        <v>209</v>
      </c>
      <c r="I12" s="13" t="s">
        <v>998</v>
      </c>
      <c r="J12" s="11" t="s">
        <v>30</v>
      </c>
      <c r="K12" s="11" t="s">
        <v>86</v>
      </c>
      <c r="L12" s="13" t="s">
        <v>361</v>
      </c>
      <c r="M12" s="11" t="s">
        <v>31</v>
      </c>
      <c r="N12" s="13" t="s">
        <v>472</v>
      </c>
      <c r="O12" s="13" t="s">
        <v>160</v>
      </c>
      <c r="P12" s="13" t="s">
        <v>1989</v>
      </c>
      <c r="Q12" s="13" t="s">
        <v>448</v>
      </c>
      <c r="R12" s="13" t="s">
        <v>440</v>
      </c>
      <c r="S12" s="11" t="s">
        <v>34</v>
      </c>
      <c r="T12" s="125">
        <v>3.0470000000000002</v>
      </c>
      <c r="U12" s="13" t="s">
        <v>1993</v>
      </c>
      <c r="V12" s="145">
        <v>1.4999999999999999E-2</v>
      </c>
      <c r="W12" s="146">
        <v>5.0639999999999998E-2</v>
      </c>
      <c r="X12" s="11" t="s">
        <v>445</v>
      </c>
      <c r="Y12" s="11" t="s">
        <v>160</v>
      </c>
      <c r="Z12" s="125">
        <v>26000</v>
      </c>
      <c r="AA12" s="147">
        <v>1</v>
      </c>
      <c r="AB12" s="148">
        <v>90.42</v>
      </c>
      <c r="AC12" s="13"/>
      <c r="AD12" s="125">
        <v>23.509</v>
      </c>
      <c r="AE12" s="13"/>
      <c r="AF12" s="2"/>
      <c r="AG12" s="11" t="s">
        <v>36</v>
      </c>
      <c r="AH12" s="138">
        <v>2.1999999999999999E-5</v>
      </c>
      <c r="AI12" s="138">
        <v>4.3725892402241397E-3</v>
      </c>
      <c r="AJ12" s="138">
        <v>1.0433996439066101E-3</v>
      </c>
    </row>
    <row r="13" spans="1:36">
      <c r="A13" s="13">
        <v>161</v>
      </c>
      <c r="B13" s="13">
        <v>1434</v>
      </c>
      <c r="C13" s="13" t="s">
        <v>1952</v>
      </c>
      <c r="D13" s="13" t="s">
        <v>1953</v>
      </c>
      <c r="E13" s="11" t="s">
        <v>1351</v>
      </c>
      <c r="F13" s="13" t="s">
        <v>1994</v>
      </c>
      <c r="G13" s="13" t="s">
        <v>1995</v>
      </c>
      <c r="H13" s="11" t="s">
        <v>209</v>
      </c>
      <c r="I13" s="13" t="s">
        <v>788</v>
      </c>
      <c r="J13" s="11" t="s">
        <v>30</v>
      </c>
      <c r="K13" s="11" t="s">
        <v>30</v>
      </c>
      <c r="L13" s="13" t="s">
        <v>361</v>
      </c>
      <c r="M13" s="11" t="s">
        <v>31</v>
      </c>
      <c r="N13" s="13" t="s">
        <v>495</v>
      </c>
      <c r="O13" s="13" t="s">
        <v>160</v>
      </c>
      <c r="P13" s="13" t="s">
        <v>1956</v>
      </c>
      <c r="Q13" s="13" t="s">
        <v>446</v>
      </c>
      <c r="R13" s="13" t="s">
        <v>440</v>
      </c>
      <c r="S13" s="11" t="s">
        <v>34</v>
      </c>
      <c r="T13" s="125">
        <v>4.6710000000000003</v>
      </c>
      <c r="U13" s="13" t="s">
        <v>1996</v>
      </c>
      <c r="V13" s="145">
        <v>6.4999999999999997E-3</v>
      </c>
      <c r="W13" s="146">
        <v>2.8320000000000001E-2</v>
      </c>
      <c r="X13" s="11" t="s">
        <v>445</v>
      </c>
      <c r="Y13" s="11" t="s">
        <v>160</v>
      </c>
      <c r="Z13" s="125">
        <v>64013.52</v>
      </c>
      <c r="AA13" s="147">
        <v>1</v>
      </c>
      <c r="AB13" s="148">
        <v>105.26</v>
      </c>
      <c r="AC13" s="13"/>
      <c r="AD13" s="125">
        <v>67.381</v>
      </c>
      <c r="AE13" s="13"/>
      <c r="AF13" s="2"/>
      <c r="AG13" s="11" t="s">
        <v>36</v>
      </c>
      <c r="AH13" s="138">
        <v>2.8E-5</v>
      </c>
      <c r="AI13" s="138">
        <v>1.25324478406218E-2</v>
      </c>
      <c r="AJ13" s="138">
        <v>2.9905282421434699E-3</v>
      </c>
    </row>
    <row r="14" spans="1:36">
      <c r="A14" s="13">
        <v>161</v>
      </c>
      <c r="B14" s="13">
        <v>1434</v>
      </c>
      <c r="C14" s="13" t="s">
        <v>1814</v>
      </c>
      <c r="D14" s="13" t="s">
        <v>1815</v>
      </c>
      <c r="E14" s="11" t="s">
        <v>1351</v>
      </c>
      <c r="F14" s="13" t="s">
        <v>1997</v>
      </c>
      <c r="G14" s="13" t="s">
        <v>1998</v>
      </c>
      <c r="H14" s="11" t="s">
        <v>209</v>
      </c>
      <c r="I14" s="13" t="s">
        <v>788</v>
      </c>
      <c r="J14" s="11" t="s">
        <v>30</v>
      </c>
      <c r="K14" s="11" t="s">
        <v>30</v>
      </c>
      <c r="L14" s="13" t="s">
        <v>361</v>
      </c>
      <c r="M14" s="11" t="s">
        <v>31</v>
      </c>
      <c r="N14" s="13" t="s">
        <v>495</v>
      </c>
      <c r="O14" s="13" t="s">
        <v>160</v>
      </c>
      <c r="P14" s="13" t="s">
        <v>1999</v>
      </c>
      <c r="Q14" s="13" t="s">
        <v>448</v>
      </c>
      <c r="R14" s="13" t="s">
        <v>440</v>
      </c>
      <c r="S14" s="11" t="s">
        <v>34</v>
      </c>
      <c r="T14" s="125">
        <v>3.7509999999999999</v>
      </c>
      <c r="U14" s="13" t="s">
        <v>2000</v>
      </c>
      <c r="V14" s="145">
        <v>1.17E-2</v>
      </c>
      <c r="W14" s="146">
        <v>2.811E-2</v>
      </c>
      <c r="X14" s="11" t="s">
        <v>445</v>
      </c>
      <c r="Y14" s="11" t="s">
        <v>160</v>
      </c>
      <c r="Z14" s="125">
        <v>16800</v>
      </c>
      <c r="AA14" s="147">
        <v>1</v>
      </c>
      <c r="AB14" s="148">
        <v>110.06</v>
      </c>
      <c r="AC14" s="13"/>
      <c r="AD14" s="125">
        <v>18.489999999999998</v>
      </c>
      <c r="AE14" s="13"/>
      <c r="AF14" s="2"/>
      <c r="AG14" s="11" t="s">
        <v>36</v>
      </c>
      <c r="AH14" s="138">
        <v>2.4000000000000001E-5</v>
      </c>
      <c r="AI14" s="138">
        <v>3.4390589581475999E-3</v>
      </c>
      <c r="AJ14" s="138">
        <v>8.20638000774365E-4</v>
      </c>
    </row>
    <row r="15" spans="1:36">
      <c r="A15" s="13">
        <v>161</v>
      </c>
      <c r="B15" s="13">
        <v>1434</v>
      </c>
      <c r="C15" s="13" t="s">
        <v>1814</v>
      </c>
      <c r="D15" s="13" t="s">
        <v>1815</v>
      </c>
      <c r="E15" s="11" t="s">
        <v>1351</v>
      </c>
      <c r="F15" s="13" t="s">
        <v>2001</v>
      </c>
      <c r="G15" s="13" t="s">
        <v>2002</v>
      </c>
      <c r="H15" s="11" t="s">
        <v>209</v>
      </c>
      <c r="I15" s="13" t="s">
        <v>788</v>
      </c>
      <c r="J15" s="11" t="s">
        <v>30</v>
      </c>
      <c r="K15" s="11" t="s">
        <v>30</v>
      </c>
      <c r="L15" s="13" t="s">
        <v>361</v>
      </c>
      <c r="M15" s="11" t="s">
        <v>31</v>
      </c>
      <c r="N15" s="13" t="s">
        <v>495</v>
      </c>
      <c r="O15" s="13" t="s">
        <v>160</v>
      </c>
      <c r="P15" s="13" t="s">
        <v>1969</v>
      </c>
      <c r="Q15" s="13" t="s">
        <v>446</v>
      </c>
      <c r="R15" s="13" t="s">
        <v>440</v>
      </c>
      <c r="S15" s="11" t="s">
        <v>34</v>
      </c>
      <c r="T15" s="125">
        <v>4.93</v>
      </c>
      <c r="U15" s="13" t="s">
        <v>2003</v>
      </c>
      <c r="V15" s="145">
        <v>1.8700000000000001E-2</v>
      </c>
      <c r="W15" s="146">
        <v>2.9700000000000001E-2</v>
      </c>
      <c r="X15" s="11" t="s">
        <v>445</v>
      </c>
      <c r="Y15" s="11" t="s">
        <v>160</v>
      </c>
      <c r="Z15" s="125">
        <v>63000</v>
      </c>
      <c r="AA15" s="147">
        <v>1</v>
      </c>
      <c r="AB15" s="148">
        <v>106.87</v>
      </c>
      <c r="AC15" s="13"/>
      <c r="AD15" s="125">
        <v>67.328000000000003</v>
      </c>
      <c r="AE15" s="13"/>
      <c r="AF15" s="2"/>
      <c r="AG15" s="11" t="s">
        <v>36</v>
      </c>
      <c r="AH15" s="138">
        <v>6.3999999999999997E-5</v>
      </c>
      <c r="AI15" s="138">
        <v>1.25226773188681E-2</v>
      </c>
      <c r="AJ15" s="138">
        <v>2.9881967725362201E-3</v>
      </c>
    </row>
    <row r="16" spans="1:36">
      <c r="A16" s="13">
        <v>161</v>
      </c>
      <c r="B16" s="13">
        <v>1434</v>
      </c>
      <c r="C16" s="13" t="s">
        <v>2004</v>
      </c>
      <c r="D16" s="13" t="s">
        <v>2005</v>
      </c>
      <c r="E16" s="11" t="s">
        <v>1351</v>
      </c>
      <c r="F16" s="13" t="s">
        <v>2006</v>
      </c>
      <c r="G16" s="13" t="s">
        <v>2007</v>
      </c>
      <c r="H16" s="11" t="s">
        <v>209</v>
      </c>
      <c r="I16" s="13" t="s">
        <v>998</v>
      </c>
      <c r="J16" s="11" t="s">
        <v>30</v>
      </c>
      <c r="K16" s="11" t="s">
        <v>30</v>
      </c>
      <c r="L16" s="13" t="s">
        <v>361</v>
      </c>
      <c r="M16" s="11" t="s">
        <v>31</v>
      </c>
      <c r="N16" s="13" t="s">
        <v>471</v>
      </c>
      <c r="O16" s="13" t="s">
        <v>160</v>
      </c>
      <c r="P16" s="13" t="s">
        <v>2008</v>
      </c>
      <c r="Q16" s="13" t="s">
        <v>448</v>
      </c>
      <c r="R16" s="13" t="s">
        <v>440</v>
      </c>
      <c r="S16" s="11" t="s">
        <v>34</v>
      </c>
      <c r="T16" s="125">
        <v>2.7770000000000001</v>
      </c>
      <c r="U16" s="13" t="s">
        <v>1960</v>
      </c>
      <c r="V16" s="145">
        <v>7.2499999999999995E-2</v>
      </c>
      <c r="W16" s="146">
        <v>5.3060000000000003E-2</v>
      </c>
      <c r="X16" s="11" t="s">
        <v>445</v>
      </c>
      <c r="Y16" s="11" t="s">
        <v>160</v>
      </c>
      <c r="Z16" s="125">
        <v>96000</v>
      </c>
      <c r="AA16" s="147">
        <v>1</v>
      </c>
      <c r="AB16" s="148">
        <v>106.83</v>
      </c>
      <c r="AC16" s="13"/>
      <c r="AD16" s="125">
        <v>102.557</v>
      </c>
      <c r="AE16" s="13"/>
      <c r="AF16" s="2"/>
      <c r="AG16" s="11" t="s">
        <v>36</v>
      </c>
      <c r="AH16" s="138">
        <v>1.4999999999999999E-4</v>
      </c>
      <c r="AI16" s="138">
        <v>1.9075032761294301E-2</v>
      </c>
      <c r="AJ16" s="138">
        <v>4.55173840880171E-3</v>
      </c>
    </row>
    <row r="17" spans="1:36">
      <c r="A17" s="13">
        <v>161</v>
      </c>
      <c r="B17" s="13">
        <v>1434</v>
      </c>
      <c r="C17" s="13" t="s">
        <v>2009</v>
      </c>
      <c r="D17" s="13" t="s">
        <v>2010</v>
      </c>
      <c r="E17" s="11" t="s">
        <v>1351</v>
      </c>
      <c r="F17" s="13" t="s">
        <v>2011</v>
      </c>
      <c r="G17" s="13" t="s">
        <v>2012</v>
      </c>
      <c r="H17" s="11" t="s">
        <v>209</v>
      </c>
      <c r="I17" s="13" t="s">
        <v>788</v>
      </c>
      <c r="J17" s="11" t="s">
        <v>30</v>
      </c>
      <c r="K17" s="11" t="s">
        <v>334</v>
      </c>
      <c r="L17" s="13" t="s">
        <v>361</v>
      </c>
      <c r="M17" s="11" t="s">
        <v>31</v>
      </c>
      <c r="N17" s="13" t="s">
        <v>496</v>
      </c>
      <c r="O17" s="13" t="s">
        <v>160</v>
      </c>
      <c r="P17" s="13" t="s">
        <v>2013</v>
      </c>
      <c r="Q17" s="13" t="s">
        <v>446</v>
      </c>
      <c r="R17" s="13" t="s">
        <v>440</v>
      </c>
      <c r="S17" s="11" t="s">
        <v>34</v>
      </c>
      <c r="T17" s="125">
        <v>2.4929999999999999</v>
      </c>
      <c r="U17" s="13" t="s">
        <v>2014</v>
      </c>
      <c r="V17" s="145">
        <v>3.2800000000000003E-2</v>
      </c>
      <c r="W17" s="146">
        <v>4.3709999999999999E-2</v>
      </c>
      <c r="X17" s="11" t="s">
        <v>445</v>
      </c>
      <c r="Y17" s="11" t="s">
        <v>160</v>
      </c>
      <c r="Z17" s="125">
        <v>31250</v>
      </c>
      <c r="AA17" s="147">
        <v>1</v>
      </c>
      <c r="AB17" s="148">
        <v>115.58</v>
      </c>
      <c r="AC17" s="13"/>
      <c r="AD17" s="125">
        <v>36.119</v>
      </c>
      <c r="AE17" s="13"/>
      <c r="AF17" s="2"/>
      <c r="AG17" s="11" t="s">
        <v>36</v>
      </c>
      <c r="AH17" s="138">
        <v>2.9E-5</v>
      </c>
      <c r="AI17" s="138">
        <v>6.7179001250721199E-3</v>
      </c>
      <c r="AJ17" s="138">
        <v>1.6030443778755499E-3</v>
      </c>
    </row>
    <row r="18" spans="1:36">
      <c r="A18" s="13">
        <v>161</v>
      </c>
      <c r="B18" s="13">
        <v>1434</v>
      </c>
      <c r="C18" s="13" t="s">
        <v>2015</v>
      </c>
      <c r="D18" s="13" t="s">
        <v>2016</v>
      </c>
      <c r="E18" s="11" t="s">
        <v>1351</v>
      </c>
      <c r="F18" s="13" t="s">
        <v>2017</v>
      </c>
      <c r="G18" s="13" t="s">
        <v>2018</v>
      </c>
      <c r="H18" s="11" t="s">
        <v>209</v>
      </c>
      <c r="I18" s="13" t="s">
        <v>788</v>
      </c>
      <c r="J18" s="11" t="s">
        <v>30</v>
      </c>
      <c r="K18" s="11" t="s">
        <v>30</v>
      </c>
      <c r="L18" s="13" t="s">
        <v>361</v>
      </c>
      <c r="M18" s="11" t="s">
        <v>31</v>
      </c>
      <c r="N18" s="13" t="s">
        <v>479</v>
      </c>
      <c r="O18" s="13" t="s">
        <v>160</v>
      </c>
      <c r="P18" s="13" t="s">
        <v>1199</v>
      </c>
      <c r="Q18" s="13" t="s">
        <v>446</v>
      </c>
      <c r="R18" s="13" t="s">
        <v>440</v>
      </c>
      <c r="S18" s="11" t="s">
        <v>34</v>
      </c>
      <c r="T18" s="125">
        <v>3.4950000000000001</v>
      </c>
      <c r="U18" s="13" t="s">
        <v>2019</v>
      </c>
      <c r="V18" s="145">
        <v>2E-3</v>
      </c>
      <c r="W18" s="146">
        <v>2.6020000000000001E-2</v>
      </c>
      <c r="X18" s="11" t="s">
        <v>445</v>
      </c>
      <c r="Y18" s="11" t="s">
        <v>160</v>
      </c>
      <c r="Z18" s="125">
        <v>139024.89000000001</v>
      </c>
      <c r="AA18" s="147">
        <v>1</v>
      </c>
      <c r="AB18" s="148">
        <v>105.05</v>
      </c>
      <c r="AC18" s="13"/>
      <c r="AD18" s="125">
        <v>146.04599999999999</v>
      </c>
      <c r="AE18" s="13"/>
      <c r="AF18" s="2"/>
      <c r="AG18" s="11" t="s">
        <v>36</v>
      </c>
      <c r="AH18" s="138">
        <v>4.1E-5</v>
      </c>
      <c r="AI18" s="138">
        <v>2.7163732683939901E-2</v>
      </c>
      <c r="AJ18" s="138">
        <v>6.4818869215678603E-3</v>
      </c>
    </row>
    <row r="19" spans="1:36">
      <c r="A19" s="13">
        <v>161</v>
      </c>
      <c r="B19" s="13">
        <v>1434</v>
      </c>
      <c r="C19" s="13" t="s">
        <v>2015</v>
      </c>
      <c r="D19" s="13" t="s">
        <v>2016</v>
      </c>
      <c r="E19" s="11" t="s">
        <v>1351</v>
      </c>
      <c r="F19" s="13" t="s">
        <v>2020</v>
      </c>
      <c r="G19" s="13" t="s">
        <v>2021</v>
      </c>
      <c r="H19" s="11" t="s">
        <v>209</v>
      </c>
      <c r="I19" s="13" t="s">
        <v>998</v>
      </c>
      <c r="J19" s="11" t="s">
        <v>30</v>
      </c>
      <c r="K19" s="11" t="s">
        <v>30</v>
      </c>
      <c r="L19" s="13" t="s">
        <v>361</v>
      </c>
      <c r="M19" s="11" t="s">
        <v>31</v>
      </c>
      <c r="N19" s="13" t="s">
        <v>479</v>
      </c>
      <c r="O19" s="13" t="s">
        <v>160</v>
      </c>
      <c r="P19" s="13" t="s">
        <v>1199</v>
      </c>
      <c r="Q19" s="13" t="s">
        <v>446</v>
      </c>
      <c r="R19" s="13" t="s">
        <v>440</v>
      </c>
      <c r="S19" s="11" t="s">
        <v>34</v>
      </c>
      <c r="T19" s="125">
        <v>2.7370000000000001</v>
      </c>
      <c r="U19" s="13" t="s">
        <v>2022</v>
      </c>
      <c r="V19" s="145">
        <v>2.6800000000000001E-2</v>
      </c>
      <c r="W19" s="146">
        <v>4.3189999999999999E-2</v>
      </c>
      <c r="X19" s="11" t="s">
        <v>445</v>
      </c>
      <c r="Y19" s="11" t="s">
        <v>160</v>
      </c>
      <c r="Z19" s="125">
        <v>60015.99</v>
      </c>
      <c r="AA19" s="147">
        <v>1</v>
      </c>
      <c r="AB19" s="148">
        <v>97.18</v>
      </c>
      <c r="AC19" s="13"/>
      <c r="AD19" s="125">
        <v>58.323999999999998</v>
      </c>
      <c r="AE19" s="13"/>
      <c r="AF19" s="2"/>
      <c r="AG19" s="11" t="s">
        <v>36</v>
      </c>
      <c r="AH19" s="138">
        <v>3.1000000000000001E-5</v>
      </c>
      <c r="AI19" s="138">
        <v>1.0847875701501799E-2</v>
      </c>
      <c r="AJ19" s="138">
        <v>2.5885508613449999E-3</v>
      </c>
    </row>
    <row r="20" spans="1:36">
      <c r="A20" s="2">
        <v>161</v>
      </c>
      <c r="B20" s="2">
        <v>1434</v>
      </c>
      <c r="C20" s="2" t="s">
        <v>2015</v>
      </c>
      <c r="D20" s="2" t="s">
        <v>2016</v>
      </c>
      <c r="E20" s="11" t="s">
        <v>1351</v>
      </c>
      <c r="F20" s="2" t="s">
        <v>2023</v>
      </c>
      <c r="G20" s="2" t="s">
        <v>2024</v>
      </c>
      <c r="H20" s="11" t="s">
        <v>209</v>
      </c>
      <c r="I20" s="13" t="s">
        <v>788</v>
      </c>
      <c r="J20" s="11" t="s">
        <v>30</v>
      </c>
      <c r="K20" s="11" t="s">
        <v>30</v>
      </c>
      <c r="L20" s="13" t="s">
        <v>361</v>
      </c>
      <c r="M20" s="11" t="s">
        <v>58</v>
      </c>
      <c r="N20" s="13" t="s">
        <v>479</v>
      </c>
      <c r="O20" s="13" t="s">
        <v>160</v>
      </c>
      <c r="P20" s="2" t="s">
        <v>1969</v>
      </c>
      <c r="Q20" s="13" t="s">
        <v>446</v>
      </c>
      <c r="R20" s="13" t="s">
        <v>440</v>
      </c>
      <c r="S20" s="2" t="s">
        <v>34</v>
      </c>
      <c r="T20" s="123">
        <v>4.93</v>
      </c>
      <c r="U20" s="2" t="s">
        <v>2025</v>
      </c>
      <c r="V20" s="136">
        <v>3.3203000000000003E-2</v>
      </c>
      <c r="W20" s="138">
        <v>3.0030000000000001E-2</v>
      </c>
      <c r="X20" s="11" t="s">
        <v>445</v>
      </c>
      <c r="Y20" s="11" t="s">
        <v>160</v>
      </c>
      <c r="Z20" s="123">
        <v>70000</v>
      </c>
      <c r="AA20" s="132">
        <v>1</v>
      </c>
      <c r="AB20" s="149">
        <v>106.72</v>
      </c>
      <c r="AC20" s="2"/>
      <c r="AD20" s="123">
        <v>74.703999999999994</v>
      </c>
      <c r="AE20" s="2"/>
      <c r="AF20" s="2"/>
      <c r="AG20" s="2" t="s">
        <v>36</v>
      </c>
      <c r="AH20" s="138">
        <v>5.5999999999999999E-5</v>
      </c>
      <c r="AI20" s="138">
        <v>1.38945564545669E-2</v>
      </c>
      <c r="AJ20" s="138">
        <v>3.31555846215096E-3</v>
      </c>
    </row>
    <row r="21" spans="1:36">
      <c r="A21" s="2">
        <v>161</v>
      </c>
      <c r="B21" s="2">
        <v>1434</v>
      </c>
      <c r="C21" s="2" t="s">
        <v>2026</v>
      </c>
      <c r="D21" s="2" t="s">
        <v>2027</v>
      </c>
      <c r="E21" s="3" t="s">
        <v>1351</v>
      </c>
      <c r="F21" s="2" t="s">
        <v>2028</v>
      </c>
      <c r="G21" s="2" t="s">
        <v>2029</v>
      </c>
      <c r="H21" s="3" t="s">
        <v>209</v>
      </c>
      <c r="I21" s="2" t="s">
        <v>788</v>
      </c>
      <c r="J21" s="2" t="s">
        <v>30</v>
      </c>
      <c r="K21" s="2" t="s">
        <v>30</v>
      </c>
      <c r="L21" s="2" t="s">
        <v>361</v>
      </c>
      <c r="M21" s="3" t="s">
        <v>31</v>
      </c>
      <c r="N21" s="2" t="s">
        <v>495</v>
      </c>
      <c r="O21" s="2" t="s">
        <v>160</v>
      </c>
      <c r="P21" s="2" t="s">
        <v>2030</v>
      </c>
      <c r="Q21" s="2" t="s">
        <v>446</v>
      </c>
      <c r="R21" s="2" t="s">
        <v>440</v>
      </c>
      <c r="S21" s="2" t="s">
        <v>34</v>
      </c>
      <c r="T21" s="123">
        <v>2.8719999999999999</v>
      </c>
      <c r="U21" s="2" t="s">
        <v>2031</v>
      </c>
      <c r="V21" s="136">
        <v>2.7E-2</v>
      </c>
      <c r="W21" s="138">
        <v>2.9139999999999999E-2</v>
      </c>
      <c r="X21" s="3" t="s">
        <v>445</v>
      </c>
      <c r="Y21" s="3" t="s">
        <v>160</v>
      </c>
      <c r="Z21" s="123">
        <v>13500</v>
      </c>
      <c r="AA21" s="132">
        <v>1</v>
      </c>
      <c r="AB21" s="149">
        <v>108.07</v>
      </c>
      <c r="AC21" s="2"/>
      <c r="AD21" s="123">
        <v>14.589</v>
      </c>
      <c r="AE21" s="2"/>
      <c r="AF21" s="2"/>
      <c r="AG21" s="2" t="s">
        <v>36</v>
      </c>
      <c r="AH21" s="138">
        <v>3.4E-5</v>
      </c>
      <c r="AI21" s="138">
        <v>2.7135620136281998E-3</v>
      </c>
      <c r="AJ21" s="138">
        <v>6.4751786257266403E-4</v>
      </c>
    </row>
    <row r="22" spans="1:36">
      <c r="A22" s="2">
        <v>161</v>
      </c>
      <c r="B22" s="2">
        <v>1434</v>
      </c>
      <c r="C22" s="2" t="s">
        <v>2026</v>
      </c>
      <c r="D22" s="2" t="s">
        <v>2027</v>
      </c>
      <c r="E22" s="3" t="s">
        <v>1351</v>
      </c>
      <c r="F22" s="2" t="s">
        <v>2032</v>
      </c>
      <c r="G22" s="2" t="s">
        <v>2033</v>
      </c>
      <c r="H22" s="3" t="s">
        <v>209</v>
      </c>
      <c r="I22" s="2" t="s">
        <v>788</v>
      </c>
      <c r="J22" s="2" t="s">
        <v>30</v>
      </c>
      <c r="K22" s="2" t="s">
        <v>30</v>
      </c>
      <c r="L22" s="2" t="s">
        <v>361</v>
      </c>
      <c r="M22" s="3" t="s">
        <v>31</v>
      </c>
      <c r="N22" s="2" t="s">
        <v>495</v>
      </c>
      <c r="O22" s="2" t="s">
        <v>160</v>
      </c>
      <c r="P22" s="2" t="s">
        <v>2030</v>
      </c>
      <c r="Q22" s="2" t="s">
        <v>446</v>
      </c>
      <c r="R22" s="2" t="s">
        <v>440</v>
      </c>
      <c r="S22" s="2" t="s">
        <v>34</v>
      </c>
      <c r="T22" s="123">
        <v>2.2509999999999999</v>
      </c>
      <c r="U22" s="2" t="s">
        <v>2034</v>
      </c>
      <c r="V22" s="136">
        <v>1.7999999999999999E-2</v>
      </c>
      <c r="W22" s="138">
        <v>2.801E-2</v>
      </c>
      <c r="X22" s="3" t="s">
        <v>445</v>
      </c>
      <c r="Y22" s="3" t="s">
        <v>160</v>
      </c>
      <c r="Z22" s="123">
        <v>76973.679999999993</v>
      </c>
      <c r="AA22" s="132">
        <v>1</v>
      </c>
      <c r="AB22" s="149">
        <v>115.55</v>
      </c>
      <c r="AC22" s="2"/>
      <c r="AD22" s="123">
        <v>88.942999999999998</v>
      </c>
      <c r="AE22" s="2"/>
      <c r="AF22" s="2"/>
      <c r="AG22" s="2" t="s">
        <v>36</v>
      </c>
      <c r="AH22" s="138">
        <v>1.0399999999999999E-4</v>
      </c>
      <c r="AI22" s="138">
        <v>1.6542952812428399E-2</v>
      </c>
      <c r="AJ22" s="138">
        <v>3.9475263111535203E-3</v>
      </c>
    </row>
    <row r="23" spans="1:36">
      <c r="A23" s="2">
        <v>161</v>
      </c>
      <c r="B23" s="2">
        <v>1434</v>
      </c>
      <c r="C23" s="2" t="s">
        <v>1655</v>
      </c>
      <c r="D23" s="2" t="s">
        <v>1656</v>
      </c>
      <c r="E23" s="3" t="s">
        <v>1351</v>
      </c>
      <c r="F23" s="2" t="s">
        <v>2035</v>
      </c>
      <c r="G23" s="2" t="s">
        <v>2036</v>
      </c>
      <c r="H23" s="3" t="s">
        <v>209</v>
      </c>
      <c r="I23" s="2" t="s">
        <v>788</v>
      </c>
      <c r="J23" s="2" t="s">
        <v>30</v>
      </c>
      <c r="K23" s="2" t="s">
        <v>30</v>
      </c>
      <c r="L23" s="2" t="s">
        <v>361</v>
      </c>
      <c r="M23" s="2" t="s">
        <v>31</v>
      </c>
      <c r="N23" s="2" t="s">
        <v>476</v>
      </c>
      <c r="O23" s="2" t="s">
        <v>160</v>
      </c>
      <c r="P23" s="2" t="s">
        <v>1956</v>
      </c>
      <c r="Q23" s="2" t="s">
        <v>446</v>
      </c>
      <c r="R23" s="2" t="s">
        <v>440</v>
      </c>
      <c r="S23" s="2" t="s">
        <v>34</v>
      </c>
      <c r="T23" s="123">
        <v>3.8069999999999999</v>
      </c>
      <c r="U23" s="2" t="s">
        <v>2037</v>
      </c>
      <c r="V23" s="136">
        <v>4.4000000000000003E-3</v>
      </c>
      <c r="W23" s="138">
        <v>2.647E-2</v>
      </c>
      <c r="X23" s="3" t="s">
        <v>445</v>
      </c>
      <c r="Y23" s="3" t="s">
        <v>160</v>
      </c>
      <c r="Z23" s="123">
        <v>40000</v>
      </c>
      <c r="AA23" s="132">
        <v>1</v>
      </c>
      <c r="AB23" s="149">
        <v>107.59</v>
      </c>
      <c r="AC23" s="2"/>
      <c r="AD23" s="123">
        <v>43.036000000000001</v>
      </c>
      <c r="AE23" s="2"/>
      <c r="AF23" s="2"/>
      <c r="AG23" s="2" t="s">
        <v>36</v>
      </c>
      <c r="AH23" s="138">
        <v>3.8999999999999999E-5</v>
      </c>
      <c r="AI23" s="138">
        <v>8.0044727401309204E-3</v>
      </c>
      <c r="AJ23" s="138">
        <v>1.9100499836304399E-3</v>
      </c>
    </row>
    <row r="24" spans="1:36">
      <c r="A24" s="2">
        <v>161</v>
      </c>
      <c r="B24" s="2">
        <v>1434</v>
      </c>
      <c r="C24" s="2" t="s">
        <v>1834</v>
      </c>
      <c r="D24" s="2" t="s">
        <v>1835</v>
      </c>
      <c r="E24" s="3" t="s">
        <v>1351</v>
      </c>
      <c r="F24" s="2" t="s">
        <v>2038</v>
      </c>
      <c r="G24" s="2" t="s">
        <v>2039</v>
      </c>
      <c r="H24" s="2" t="s">
        <v>209</v>
      </c>
      <c r="I24" s="2" t="s">
        <v>998</v>
      </c>
      <c r="J24" s="2" t="s">
        <v>30</v>
      </c>
      <c r="K24" s="2" t="s">
        <v>30</v>
      </c>
      <c r="L24" s="2" t="s">
        <v>361</v>
      </c>
      <c r="M24" s="2" t="s">
        <v>31</v>
      </c>
      <c r="N24" s="2" t="s">
        <v>476</v>
      </c>
      <c r="O24" s="2" t="s">
        <v>160</v>
      </c>
      <c r="P24" s="2" t="s">
        <v>1355</v>
      </c>
      <c r="Q24" s="2" t="s">
        <v>448</v>
      </c>
      <c r="R24" s="2" t="s">
        <v>440</v>
      </c>
      <c r="S24" s="2" t="s">
        <v>34</v>
      </c>
      <c r="T24" s="123">
        <v>4.9370000000000003</v>
      </c>
      <c r="U24" s="2" t="s">
        <v>2040</v>
      </c>
      <c r="V24" s="136">
        <v>1.95E-2</v>
      </c>
      <c r="W24" s="138">
        <v>4.5429999999999998E-2</v>
      </c>
      <c r="X24" s="3" t="s">
        <v>445</v>
      </c>
      <c r="Y24" s="3" t="s">
        <v>160</v>
      </c>
      <c r="Z24" s="123">
        <v>73046.86</v>
      </c>
      <c r="AA24" s="132">
        <v>1</v>
      </c>
      <c r="AB24" s="149">
        <v>88.13</v>
      </c>
      <c r="AC24" s="2"/>
      <c r="AD24" s="123">
        <v>64.376000000000005</v>
      </c>
      <c r="AE24" s="2"/>
      <c r="AF24" s="2"/>
      <c r="AG24" s="2" t="s">
        <v>36</v>
      </c>
      <c r="AH24" s="138">
        <v>7.6000000000000004E-5</v>
      </c>
      <c r="AI24" s="138">
        <v>1.19736388081376E-2</v>
      </c>
      <c r="AJ24" s="138">
        <v>2.85718364619054E-3</v>
      </c>
    </row>
    <row r="25" spans="1:36">
      <c r="A25" s="2">
        <v>161</v>
      </c>
      <c r="B25" s="2">
        <v>1434</v>
      </c>
      <c r="C25" s="2" t="s">
        <v>2041</v>
      </c>
      <c r="D25" s="2" t="s">
        <v>2042</v>
      </c>
      <c r="E25" s="3" t="s">
        <v>1351</v>
      </c>
      <c r="F25" s="2" t="s">
        <v>2043</v>
      </c>
      <c r="G25" s="2" t="s">
        <v>2044</v>
      </c>
      <c r="H25" s="2" t="s">
        <v>209</v>
      </c>
      <c r="I25" s="2" t="s">
        <v>998</v>
      </c>
      <c r="J25" s="2" t="s">
        <v>30</v>
      </c>
      <c r="K25" s="2" t="s">
        <v>30</v>
      </c>
      <c r="L25" s="2" t="s">
        <v>361</v>
      </c>
      <c r="M25" s="2" t="s">
        <v>31</v>
      </c>
      <c r="N25" s="2" t="s">
        <v>482</v>
      </c>
      <c r="O25" s="2" t="s">
        <v>160</v>
      </c>
      <c r="P25" s="2" t="s">
        <v>1965</v>
      </c>
      <c r="Q25" s="2" t="s">
        <v>446</v>
      </c>
      <c r="R25" s="2" t="s">
        <v>440</v>
      </c>
      <c r="S25" s="2" t="s">
        <v>34</v>
      </c>
      <c r="T25" s="123">
        <v>2.06</v>
      </c>
      <c r="U25" s="2" t="s">
        <v>2014</v>
      </c>
      <c r="V25" s="136">
        <v>2.1999999999999999E-2</v>
      </c>
      <c r="W25" s="138">
        <v>4.895E-2</v>
      </c>
      <c r="X25" s="3" t="s">
        <v>445</v>
      </c>
      <c r="Y25" s="3" t="s">
        <v>160</v>
      </c>
      <c r="Z25" s="123">
        <v>112000</v>
      </c>
      <c r="AA25" s="132">
        <v>1</v>
      </c>
      <c r="AB25" s="149">
        <v>94.79</v>
      </c>
      <c r="AC25" s="2"/>
      <c r="AD25" s="123">
        <v>106.16500000000001</v>
      </c>
      <c r="AE25" s="2"/>
      <c r="AF25" s="2"/>
      <c r="AG25" s="2" t="s">
        <v>36</v>
      </c>
      <c r="AH25" s="138">
        <v>1.2899999999999999E-4</v>
      </c>
      <c r="AI25" s="138">
        <v>1.9746102043904E-2</v>
      </c>
      <c r="AJ25" s="138">
        <v>4.7118708639773497E-3</v>
      </c>
    </row>
    <row r="26" spans="1:36">
      <c r="A26" s="2">
        <v>161</v>
      </c>
      <c r="B26" s="2">
        <v>1434</v>
      </c>
      <c r="C26" s="2" t="s">
        <v>1948</v>
      </c>
      <c r="D26" s="2" t="s">
        <v>1949</v>
      </c>
      <c r="E26" s="3" t="s">
        <v>1351</v>
      </c>
      <c r="F26" s="2" t="s">
        <v>2045</v>
      </c>
      <c r="G26" s="2" t="s">
        <v>2046</v>
      </c>
      <c r="H26" s="2" t="s">
        <v>209</v>
      </c>
      <c r="I26" s="2" t="s">
        <v>998</v>
      </c>
      <c r="J26" s="2" t="s">
        <v>30</v>
      </c>
      <c r="K26" s="2" t="s">
        <v>30</v>
      </c>
      <c r="L26" s="2" t="s">
        <v>361</v>
      </c>
      <c r="M26" s="2" t="s">
        <v>58</v>
      </c>
      <c r="N26" s="2" t="s">
        <v>478</v>
      </c>
      <c r="O26" s="2" t="s">
        <v>160</v>
      </c>
      <c r="P26" s="2" t="s">
        <v>211</v>
      </c>
      <c r="Q26" s="2" t="s">
        <v>211</v>
      </c>
      <c r="R26" s="2" t="s">
        <v>211</v>
      </c>
      <c r="S26" s="2" t="s">
        <v>34</v>
      </c>
      <c r="T26" s="123">
        <v>1.9419999999999999</v>
      </c>
      <c r="U26" s="2" t="s">
        <v>2047</v>
      </c>
      <c r="V26" s="136">
        <v>6.5000000000000002E-2</v>
      </c>
      <c r="W26" s="138">
        <v>6.1740000000000003E-2</v>
      </c>
      <c r="X26" s="3" t="s">
        <v>445</v>
      </c>
      <c r="Y26" s="3" t="s">
        <v>160</v>
      </c>
      <c r="Z26" s="123">
        <v>21000</v>
      </c>
      <c r="AA26" s="132">
        <v>1</v>
      </c>
      <c r="AB26" s="149">
        <v>100.78</v>
      </c>
      <c r="AC26" s="123">
        <v>0.68200000000000005</v>
      </c>
      <c r="AD26" s="123">
        <v>21.846</v>
      </c>
      <c r="AE26" s="2"/>
      <c r="AF26" s="2"/>
      <c r="AG26" s="2" t="s">
        <v>36</v>
      </c>
      <c r="AH26" s="138">
        <v>7.1000000000000005E-5</v>
      </c>
      <c r="AI26" s="138">
        <v>4.0632984669282E-3</v>
      </c>
      <c r="AJ26" s="138">
        <v>9.6959580252313699E-4</v>
      </c>
    </row>
    <row r="27" spans="1:36">
      <c r="A27" s="2">
        <v>161</v>
      </c>
      <c r="B27" s="2">
        <v>1434</v>
      </c>
      <c r="C27" s="2" t="s">
        <v>2048</v>
      </c>
      <c r="D27" s="2" t="s">
        <v>2049</v>
      </c>
      <c r="E27" s="3" t="s">
        <v>1351</v>
      </c>
      <c r="F27" s="2" t="s">
        <v>2050</v>
      </c>
      <c r="G27" s="2" t="s">
        <v>2051</v>
      </c>
      <c r="H27" s="2" t="s">
        <v>209</v>
      </c>
      <c r="I27" s="2" t="s">
        <v>788</v>
      </c>
      <c r="J27" s="2" t="s">
        <v>30</v>
      </c>
      <c r="K27" s="2" t="s">
        <v>30</v>
      </c>
      <c r="L27" s="2" t="s">
        <v>361</v>
      </c>
      <c r="M27" s="2" t="s">
        <v>31</v>
      </c>
      <c r="N27" s="2" t="s">
        <v>471</v>
      </c>
      <c r="O27" s="2" t="s">
        <v>160</v>
      </c>
      <c r="P27" s="2" t="s">
        <v>1199</v>
      </c>
      <c r="Q27" s="2" t="s">
        <v>446</v>
      </c>
      <c r="R27" s="2" t="s">
        <v>440</v>
      </c>
      <c r="S27" s="2" t="s">
        <v>34</v>
      </c>
      <c r="T27" s="123">
        <v>0.65200000000000002</v>
      </c>
      <c r="U27" s="2" t="s">
        <v>2052</v>
      </c>
      <c r="V27" s="136">
        <v>4.4999999999999998E-2</v>
      </c>
      <c r="W27" s="138">
        <v>2.9680000000000002E-2</v>
      </c>
      <c r="X27" s="3" t="s">
        <v>445</v>
      </c>
      <c r="Y27" s="3" t="s">
        <v>160</v>
      </c>
      <c r="Z27" s="123">
        <v>35000</v>
      </c>
      <c r="AA27" s="132">
        <v>1</v>
      </c>
      <c r="AB27" s="149">
        <v>121.68</v>
      </c>
      <c r="AC27" s="2"/>
      <c r="AD27" s="123">
        <v>42.588000000000001</v>
      </c>
      <c r="AE27" s="2"/>
      <c r="AF27" s="2"/>
      <c r="AG27" s="2" t="s">
        <v>36</v>
      </c>
      <c r="AH27" s="138">
        <v>2.4000000000000001E-5</v>
      </c>
      <c r="AI27" s="138">
        <v>7.9211470642414697E-3</v>
      </c>
      <c r="AJ27" s="138">
        <v>1.89016657456207E-3</v>
      </c>
    </row>
    <row r="28" spans="1:36">
      <c r="A28" s="2">
        <v>161</v>
      </c>
      <c r="B28" s="2">
        <v>1434</v>
      </c>
      <c r="C28" s="2" t="s">
        <v>2048</v>
      </c>
      <c r="D28" s="2" t="s">
        <v>2049</v>
      </c>
      <c r="E28" s="3" t="s">
        <v>1351</v>
      </c>
      <c r="F28" s="2" t="s">
        <v>2053</v>
      </c>
      <c r="G28" s="2" t="s">
        <v>2054</v>
      </c>
      <c r="H28" s="2" t="s">
        <v>209</v>
      </c>
      <c r="I28" s="2" t="s">
        <v>788</v>
      </c>
      <c r="J28" s="2" t="s">
        <v>30</v>
      </c>
      <c r="K28" s="2" t="s">
        <v>30</v>
      </c>
      <c r="L28" s="2" t="s">
        <v>361</v>
      </c>
      <c r="M28" s="2" t="s">
        <v>31</v>
      </c>
      <c r="N28" s="2" t="s">
        <v>471</v>
      </c>
      <c r="O28" s="2" t="s">
        <v>160</v>
      </c>
      <c r="P28" s="2" t="s">
        <v>1199</v>
      </c>
      <c r="Q28" s="2" t="s">
        <v>446</v>
      </c>
      <c r="R28" s="2" t="s">
        <v>440</v>
      </c>
      <c r="S28" s="2" t="s">
        <v>34</v>
      </c>
      <c r="T28" s="123">
        <v>2.7709999999999999</v>
      </c>
      <c r="U28" s="2" t="s">
        <v>2055</v>
      </c>
      <c r="V28" s="136">
        <v>3.85E-2</v>
      </c>
      <c r="W28" s="138">
        <v>2.4639999999999999E-2</v>
      </c>
      <c r="X28" s="3" t="s">
        <v>445</v>
      </c>
      <c r="Y28" s="3" t="s">
        <v>160</v>
      </c>
      <c r="Z28" s="123">
        <v>132543.47</v>
      </c>
      <c r="AA28" s="132">
        <v>1</v>
      </c>
      <c r="AB28" s="149">
        <v>123.46</v>
      </c>
      <c r="AC28" s="2"/>
      <c r="AD28" s="123">
        <v>163.63800000000001</v>
      </c>
      <c r="AE28" s="2"/>
      <c r="AF28" s="2"/>
      <c r="AG28" s="2" t="s">
        <v>36</v>
      </c>
      <c r="AH28" s="138">
        <v>5.1999999999999997E-5</v>
      </c>
      <c r="AI28" s="138">
        <v>3.04358503461577E-2</v>
      </c>
      <c r="AJ28" s="138">
        <v>7.26268891691E-3</v>
      </c>
    </row>
    <row r="29" spans="1:36">
      <c r="A29" s="2">
        <v>161</v>
      </c>
      <c r="B29" s="2">
        <v>1434</v>
      </c>
      <c r="C29" s="2" t="s">
        <v>2048</v>
      </c>
      <c r="D29" s="2" t="s">
        <v>2049</v>
      </c>
      <c r="E29" s="3" t="s">
        <v>1351</v>
      </c>
      <c r="F29" s="2" t="s">
        <v>2056</v>
      </c>
      <c r="G29" s="2" t="s">
        <v>2057</v>
      </c>
      <c r="H29" s="2" t="s">
        <v>209</v>
      </c>
      <c r="I29" s="2" t="s">
        <v>788</v>
      </c>
      <c r="J29" s="2" t="s">
        <v>30</v>
      </c>
      <c r="K29" s="2" t="s">
        <v>30</v>
      </c>
      <c r="L29" s="2" t="s">
        <v>361</v>
      </c>
      <c r="M29" s="2" t="s">
        <v>31</v>
      </c>
      <c r="N29" s="2" t="s">
        <v>471</v>
      </c>
      <c r="O29" s="2" t="s">
        <v>160</v>
      </c>
      <c r="P29" s="2" t="s">
        <v>1199</v>
      </c>
      <c r="Q29" s="2" t="s">
        <v>446</v>
      </c>
      <c r="R29" s="2" t="s">
        <v>440</v>
      </c>
      <c r="S29" s="2" t="s">
        <v>34</v>
      </c>
      <c r="T29" s="123">
        <v>5.1180000000000003</v>
      </c>
      <c r="U29" s="2" t="s">
        <v>2058</v>
      </c>
      <c r="V29" s="136">
        <v>2.3900000000000001E-2</v>
      </c>
      <c r="W29" s="138">
        <v>2.6190000000000001E-2</v>
      </c>
      <c r="X29" s="3" t="s">
        <v>445</v>
      </c>
      <c r="Y29" s="3" t="s">
        <v>160</v>
      </c>
      <c r="Z29" s="123">
        <v>40000</v>
      </c>
      <c r="AA29" s="132">
        <v>1</v>
      </c>
      <c r="AB29" s="149">
        <v>116.21</v>
      </c>
      <c r="AC29" s="2"/>
      <c r="AD29" s="123">
        <v>46.484000000000002</v>
      </c>
      <c r="AE29" s="2"/>
      <c r="AF29" s="2"/>
      <c r="AG29" s="2" t="s">
        <v>36</v>
      </c>
      <c r="AH29" s="138">
        <v>1.0000000000000001E-5</v>
      </c>
      <c r="AI29" s="138">
        <v>8.6457828527801393E-3</v>
      </c>
      <c r="AJ29" s="138">
        <v>2.0630812212816601E-3</v>
      </c>
    </row>
    <row r="30" spans="1:36">
      <c r="A30" s="2">
        <v>161</v>
      </c>
      <c r="B30" s="2">
        <v>1434</v>
      </c>
      <c r="C30" s="2" t="s">
        <v>2048</v>
      </c>
      <c r="D30" s="2" t="s">
        <v>2049</v>
      </c>
      <c r="E30" s="3" t="s">
        <v>1351</v>
      </c>
      <c r="F30" s="2" t="s">
        <v>2059</v>
      </c>
      <c r="G30" s="2" t="s">
        <v>2060</v>
      </c>
      <c r="H30" s="2" t="s">
        <v>209</v>
      </c>
      <c r="I30" s="2" t="s">
        <v>788</v>
      </c>
      <c r="J30" s="2" t="s">
        <v>30</v>
      </c>
      <c r="K30" s="2" t="s">
        <v>30</v>
      </c>
      <c r="L30" s="2" t="s">
        <v>361</v>
      </c>
      <c r="M30" s="2" t="s">
        <v>31</v>
      </c>
      <c r="N30" s="2" t="s">
        <v>471</v>
      </c>
      <c r="O30" s="2" t="s">
        <v>160</v>
      </c>
      <c r="P30" s="2" t="s">
        <v>1199</v>
      </c>
      <c r="Q30" s="2" t="s">
        <v>446</v>
      </c>
      <c r="R30" s="2" t="s">
        <v>440</v>
      </c>
      <c r="S30" s="2" t="s">
        <v>34</v>
      </c>
      <c r="T30" s="123">
        <v>7.1369999999999996</v>
      </c>
      <c r="U30" s="2" t="s">
        <v>2061</v>
      </c>
      <c r="V30" s="136">
        <v>0.03</v>
      </c>
      <c r="W30" s="138">
        <v>2.597E-2</v>
      </c>
      <c r="X30" s="3" t="s">
        <v>445</v>
      </c>
      <c r="Y30" s="3" t="s">
        <v>160</v>
      </c>
      <c r="Z30" s="123">
        <v>45000</v>
      </c>
      <c r="AA30" s="132">
        <v>1</v>
      </c>
      <c r="AB30" s="149">
        <v>109.5</v>
      </c>
      <c r="AC30" s="2"/>
      <c r="AD30" s="123">
        <v>49.274999999999999</v>
      </c>
      <c r="AE30" s="2"/>
      <c r="AF30" s="2"/>
      <c r="AG30" s="2" t="s">
        <v>36</v>
      </c>
      <c r="AH30" s="138">
        <v>1.1E-5</v>
      </c>
      <c r="AI30" s="138">
        <v>9.1648943737789607E-3</v>
      </c>
      <c r="AJ30" s="138">
        <v>2.1869530844732298E-3</v>
      </c>
    </row>
    <row r="31" spans="1:36">
      <c r="A31" s="2">
        <v>161</v>
      </c>
      <c r="B31" s="2">
        <v>1434</v>
      </c>
      <c r="C31" s="2" t="s">
        <v>2062</v>
      </c>
      <c r="D31" s="2" t="s">
        <v>2063</v>
      </c>
      <c r="E31" s="3" t="s">
        <v>1351</v>
      </c>
      <c r="F31" s="2" t="s">
        <v>2064</v>
      </c>
      <c r="G31" s="2" t="s">
        <v>2065</v>
      </c>
      <c r="H31" s="2" t="s">
        <v>209</v>
      </c>
      <c r="I31" s="2" t="s">
        <v>788</v>
      </c>
      <c r="J31" s="2" t="s">
        <v>30</v>
      </c>
      <c r="K31" s="2" t="s">
        <v>30</v>
      </c>
      <c r="L31" s="2" t="s">
        <v>361</v>
      </c>
      <c r="M31" s="2" t="s">
        <v>31</v>
      </c>
      <c r="N31" s="2" t="s">
        <v>493</v>
      </c>
      <c r="O31" s="2" t="s">
        <v>160</v>
      </c>
      <c r="P31" s="2" t="s">
        <v>1969</v>
      </c>
      <c r="Q31" s="2" t="s">
        <v>446</v>
      </c>
      <c r="R31" s="2" t="s">
        <v>440</v>
      </c>
      <c r="S31" s="2" t="s">
        <v>34</v>
      </c>
      <c r="T31" s="123">
        <v>1.0900000000000001</v>
      </c>
      <c r="U31" s="2" t="s">
        <v>2066</v>
      </c>
      <c r="V31" s="136">
        <v>1.0500000000000001E-2</v>
      </c>
      <c r="W31" s="138">
        <v>3.2000000000000001E-2</v>
      </c>
      <c r="X31" s="3" t="s">
        <v>445</v>
      </c>
      <c r="Y31" s="3" t="s">
        <v>160</v>
      </c>
      <c r="Z31" s="123">
        <v>30000.01</v>
      </c>
      <c r="AA31" s="132">
        <v>1</v>
      </c>
      <c r="AB31" s="149">
        <v>113.64</v>
      </c>
      <c r="AC31" s="2"/>
      <c r="AD31" s="123">
        <v>34.091999999999999</v>
      </c>
      <c r="AE31" s="2"/>
      <c r="AF31" s="2"/>
      <c r="AG31" s="2" t="s">
        <v>36</v>
      </c>
      <c r="AH31" s="138">
        <v>7.2999999999999999E-5</v>
      </c>
      <c r="AI31" s="138">
        <v>6.3409372529828903E-3</v>
      </c>
      <c r="AJ31" s="138">
        <v>1.51309242837943E-3</v>
      </c>
    </row>
    <row r="32" spans="1:36">
      <c r="A32" s="2">
        <v>161</v>
      </c>
      <c r="B32" s="2">
        <v>1434</v>
      </c>
      <c r="C32" s="2" t="s">
        <v>2062</v>
      </c>
      <c r="D32" s="2" t="s">
        <v>2063</v>
      </c>
      <c r="E32" s="3" t="s">
        <v>1351</v>
      </c>
      <c r="F32" s="2" t="s">
        <v>2067</v>
      </c>
      <c r="G32" s="2" t="s">
        <v>2068</v>
      </c>
      <c r="H32" s="2" t="s">
        <v>209</v>
      </c>
      <c r="I32" s="2" t="s">
        <v>998</v>
      </c>
      <c r="J32" s="2" t="s">
        <v>30</v>
      </c>
      <c r="K32" s="2" t="s">
        <v>30</v>
      </c>
      <c r="L32" s="2" t="s">
        <v>361</v>
      </c>
      <c r="M32" s="2" t="s">
        <v>31</v>
      </c>
      <c r="N32" s="2" t="s">
        <v>493</v>
      </c>
      <c r="O32" s="2" t="s">
        <v>160</v>
      </c>
      <c r="P32" s="2" t="s">
        <v>1969</v>
      </c>
      <c r="Q32" s="2" t="s">
        <v>446</v>
      </c>
      <c r="R32" s="2" t="s">
        <v>440</v>
      </c>
      <c r="S32" s="2" t="s">
        <v>34</v>
      </c>
      <c r="T32" s="123">
        <v>1.7789999999999999</v>
      </c>
      <c r="U32" s="2" t="s">
        <v>2069</v>
      </c>
      <c r="V32" s="136">
        <v>2.18E-2</v>
      </c>
      <c r="W32" s="138">
        <v>4.8379999999999999E-2</v>
      </c>
      <c r="X32" s="3" t="s">
        <v>445</v>
      </c>
      <c r="Y32" s="3" t="s">
        <v>160</v>
      </c>
      <c r="Z32" s="123">
        <v>41666.660000000003</v>
      </c>
      <c r="AA32" s="132">
        <v>1</v>
      </c>
      <c r="AB32" s="149">
        <v>95.82</v>
      </c>
      <c r="AC32" s="2"/>
      <c r="AD32" s="123">
        <v>39.924999999999997</v>
      </c>
      <c r="AE32" s="2"/>
      <c r="AF32" s="2"/>
      <c r="AG32" s="2" t="s">
        <v>36</v>
      </c>
      <c r="AH32" s="138">
        <v>1.46E-4</v>
      </c>
      <c r="AI32" s="138">
        <v>7.4258416910761996E-3</v>
      </c>
      <c r="AJ32" s="138">
        <v>1.7719754018739201E-3</v>
      </c>
    </row>
    <row r="33" spans="1:36">
      <c r="A33" s="2">
        <v>161</v>
      </c>
      <c r="B33" s="2">
        <v>1434</v>
      </c>
      <c r="C33" s="2" t="s">
        <v>1846</v>
      </c>
      <c r="D33" s="2" t="s">
        <v>1847</v>
      </c>
      <c r="E33" s="3" t="s">
        <v>1351</v>
      </c>
      <c r="F33" s="2" t="s">
        <v>2070</v>
      </c>
      <c r="G33" s="2" t="s">
        <v>2071</v>
      </c>
      <c r="H33" s="2" t="s">
        <v>209</v>
      </c>
      <c r="I33" s="2" t="s">
        <v>788</v>
      </c>
      <c r="J33" s="2" t="s">
        <v>30</v>
      </c>
      <c r="K33" s="2" t="s">
        <v>30</v>
      </c>
      <c r="L33" s="2" t="s">
        <v>361</v>
      </c>
      <c r="M33" s="2" t="s">
        <v>31</v>
      </c>
      <c r="N33" s="2" t="s">
        <v>495</v>
      </c>
      <c r="O33" s="2" t="s">
        <v>160</v>
      </c>
      <c r="P33" s="2" t="s">
        <v>1956</v>
      </c>
      <c r="Q33" s="2" t="s">
        <v>446</v>
      </c>
      <c r="R33" s="2" t="s">
        <v>440</v>
      </c>
      <c r="S33" s="2" t="s">
        <v>34</v>
      </c>
      <c r="T33" s="123">
        <v>1.7569999999999999</v>
      </c>
      <c r="U33" s="2" t="s">
        <v>2072</v>
      </c>
      <c r="V33" s="136">
        <v>1.5800000000000002E-2</v>
      </c>
      <c r="W33" s="138">
        <v>2.7789999999999999E-2</v>
      </c>
      <c r="X33" s="3" t="s">
        <v>445</v>
      </c>
      <c r="Y33" s="3" t="s">
        <v>160</v>
      </c>
      <c r="Z33" s="123">
        <v>16998.14</v>
      </c>
      <c r="AA33" s="132">
        <v>1</v>
      </c>
      <c r="AB33" s="149">
        <v>116.04</v>
      </c>
      <c r="AC33" s="2"/>
      <c r="AD33" s="123">
        <v>19.725000000000001</v>
      </c>
      <c r="AE33" s="2"/>
      <c r="AF33" s="2"/>
      <c r="AG33" s="2" t="s">
        <v>36</v>
      </c>
      <c r="AH33" s="138">
        <v>4.3000000000000002E-5</v>
      </c>
      <c r="AI33" s="138">
        <v>3.6686810215703801E-3</v>
      </c>
      <c r="AJ33" s="138">
        <v>8.7543106869037899E-4</v>
      </c>
    </row>
    <row r="34" spans="1:36">
      <c r="A34" s="2">
        <v>161</v>
      </c>
      <c r="B34" s="2">
        <v>1434</v>
      </c>
      <c r="C34" s="2" t="s">
        <v>1846</v>
      </c>
      <c r="D34" s="2" t="s">
        <v>1847</v>
      </c>
      <c r="E34" s="3" t="s">
        <v>1351</v>
      </c>
      <c r="F34" s="2" t="s">
        <v>2073</v>
      </c>
      <c r="G34" s="2" t="s">
        <v>2074</v>
      </c>
      <c r="H34" s="2" t="s">
        <v>209</v>
      </c>
      <c r="I34" s="2" t="s">
        <v>788</v>
      </c>
      <c r="J34" s="2" t="s">
        <v>30</v>
      </c>
      <c r="K34" s="2" t="s">
        <v>30</v>
      </c>
      <c r="L34" s="2" t="s">
        <v>361</v>
      </c>
      <c r="M34" s="2" t="s">
        <v>31</v>
      </c>
      <c r="N34" s="2" t="s">
        <v>495</v>
      </c>
      <c r="O34" s="2" t="s">
        <v>160</v>
      </c>
      <c r="P34" s="2" t="s">
        <v>1956</v>
      </c>
      <c r="Q34" s="2" t="s">
        <v>446</v>
      </c>
      <c r="R34" s="2" t="s">
        <v>440</v>
      </c>
      <c r="S34" s="2" t="s">
        <v>34</v>
      </c>
      <c r="T34" s="123">
        <v>4.2240000000000002</v>
      </c>
      <c r="U34" s="2" t="s">
        <v>2075</v>
      </c>
      <c r="V34" s="136">
        <v>8.3999999999999995E-3</v>
      </c>
      <c r="W34" s="138">
        <v>2.7869999999999999E-2</v>
      </c>
      <c r="X34" s="3" t="s">
        <v>445</v>
      </c>
      <c r="Y34" s="3" t="s">
        <v>160</v>
      </c>
      <c r="Z34" s="123">
        <v>41098.9</v>
      </c>
      <c r="AA34" s="132">
        <v>1</v>
      </c>
      <c r="AB34" s="149">
        <v>107.28</v>
      </c>
      <c r="AC34" s="2"/>
      <c r="AD34" s="123">
        <v>44.091000000000001</v>
      </c>
      <c r="AE34" s="2"/>
      <c r="AF34" s="2"/>
      <c r="AG34" s="2" t="s">
        <v>36</v>
      </c>
      <c r="AH34" s="138">
        <v>5.3999999999999998E-5</v>
      </c>
      <c r="AI34" s="138">
        <v>8.2006786526973002E-3</v>
      </c>
      <c r="AJ34" s="138">
        <v>1.9568691948705199E-3</v>
      </c>
    </row>
    <row r="35" spans="1:36">
      <c r="A35" s="2">
        <v>161</v>
      </c>
      <c r="B35" s="2">
        <v>1434</v>
      </c>
      <c r="C35" s="2" t="s">
        <v>2076</v>
      </c>
      <c r="D35" s="2" t="s">
        <v>2077</v>
      </c>
      <c r="E35" s="3" t="s">
        <v>1351</v>
      </c>
      <c r="F35" s="2" t="s">
        <v>2078</v>
      </c>
      <c r="G35" s="2" t="s">
        <v>2079</v>
      </c>
      <c r="H35" s="2" t="s">
        <v>209</v>
      </c>
      <c r="I35" s="2" t="s">
        <v>998</v>
      </c>
      <c r="J35" s="2" t="s">
        <v>30</v>
      </c>
      <c r="K35" s="2" t="s">
        <v>30</v>
      </c>
      <c r="L35" s="2" t="s">
        <v>361</v>
      </c>
      <c r="M35" s="2" t="s">
        <v>31</v>
      </c>
      <c r="N35" s="2" t="s">
        <v>476</v>
      </c>
      <c r="O35" s="2" t="s">
        <v>160</v>
      </c>
      <c r="P35" s="2" t="s">
        <v>1969</v>
      </c>
      <c r="Q35" s="2" t="s">
        <v>446</v>
      </c>
      <c r="R35" s="2" t="s">
        <v>440</v>
      </c>
      <c r="S35" s="2" t="s">
        <v>34</v>
      </c>
      <c r="T35" s="123">
        <v>6.1639999999999997</v>
      </c>
      <c r="U35" s="2" t="s">
        <v>2080</v>
      </c>
      <c r="V35" s="136">
        <v>2.5000000000000001E-2</v>
      </c>
      <c r="W35" s="138">
        <v>4.8559999999999999E-2</v>
      </c>
      <c r="X35" s="3" t="s">
        <v>445</v>
      </c>
      <c r="Y35" s="3" t="s">
        <v>160</v>
      </c>
      <c r="Z35" s="123">
        <v>90000</v>
      </c>
      <c r="AA35" s="132">
        <v>1</v>
      </c>
      <c r="AB35" s="149">
        <v>87.5</v>
      </c>
      <c r="AC35" s="2"/>
      <c r="AD35" s="123">
        <v>78.75</v>
      </c>
      <c r="AE35" s="2"/>
      <c r="AF35" s="2"/>
      <c r="AG35" s="2" t="s">
        <v>36</v>
      </c>
      <c r="AH35" s="138">
        <v>6.7000000000000002E-5</v>
      </c>
      <c r="AI35" s="138">
        <v>1.46470914649435E-2</v>
      </c>
      <c r="AJ35" s="138">
        <v>3.4951305002996901E-3</v>
      </c>
    </row>
    <row r="36" spans="1:36">
      <c r="A36" s="2">
        <v>161</v>
      </c>
      <c r="B36" s="2">
        <v>1434</v>
      </c>
      <c r="C36" s="2" t="s">
        <v>1197</v>
      </c>
      <c r="D36" s="2" t="s">
        <v>1607</v>
      </c>
      <c r="E36" s="3" t="s">
        <v>1351</v>
      </c>
      <c r="F36" s="2" t="s">
        <v>2081</v>
      </c>
      <c r="G36" s="2" t="s">
        <v>2082</v>
      </c>
      <c r="H36" s="2" t="s">
        <v>209</v>
      </c>
      <c r="I36" s="2" t="s">
        <v>788</v>
      </c>
      <c r="J36" s="2" t="s">
        <v>30</v>
      </c>
      <c r="K36" s="2" t="s">
        <v>30</v>
      </c>
      <c r="L36" s="2" t="s">
        <v>361</v>
      </c>
      <c r="M36" s="2" t="s">
        <v>31</v>
      </c>
      <c r="N36" s="2" t="s">
        <v>479</v>
      </c>
      <c r="O36" s="2" t="s">
        <v>160</v>
      </c>
      <c r="P36" s="2" t="s">
        <v>1199</v>
      </c>
      <c r="Q36" s="2" t="s">
        <v>446</v>
      </c>
      <c r="R36" s="2" t="s">
        <v>440</v>
      </c>
      <c r="S36" s="2" t="s">
        <v>34</v>
      </c>
      <c r="T36" s="123">
        <v>2.0920000000000001</v>
      </c>
      <c r="U36" s="2" t="s">
        <v>2083</v>
      </c>
      <c r="V36" s="136">
        <v>1.8599999999999998E-2</v>
      </c>
      <c r="W36" s="138">
        <v>2.5680000000000001E-2</v>
      </c>
      <c r="X36" s="3" t="s">
        <v>445</v>
      </c>
      <c r="Y36" s="3" t="s">
        <v>160</v>
      </c>
      <c r="Z36" s="123">
        <v>30600</v>
      </c>
      <c r="AA36" s="132">
        <v>1</v>
      </c>
      <c r="AB36" s="149">
        <v>104.2</v>
      </c>
      <c r="AC36" s="2"/>
      <c r="AD36" s="123">
        <v>31.885000000000002</v>
      </c>
      <c r="AE36" s="2"/>
      <c r="AF36" s="2"/>
      <c r="AG36" s="2" t="s">
        <v>36</v>
      </c>
      <c r="AH36" s="138">
        <v>1.1E-5</v>
      </c>
      <c r="AI36" s="138">
        <v>5.9304817876573704E-3</v>
      </c>
      <c r="AJ36" s="138">
        <v>1.41514838130991E-3</v>
      </c>
    </row>
    <row r="37" spans="1:36">
      <c r="A37" s="2">
        <v>161</v>
      </c>
      <c r="B37" s="2">
        <v>1434</v>
      </c>
      <c r="C37" s="2" t="s">
        <v>1197</v>
      </c>
      <c r="D37" s="2" t="s">
        <v>1607</v>
      </c>
      <c r="E37" s="3" t="s">
        <v>1351</v>
      </c>
      <c r="F37" s="2" t="s">
        <v>2084</v>
      </c>
      <c r="G37" s="2" t="s">
        <v>2085</v>
      </c>
      <c r="H37" s="2" t="s">
        <v>209</v>
      </c>
      <c r="I37" s="2" t="s">
        <v>788</v>
      </c>
      <c r="J37" s="2" t="s">
        <v>30</v>
      </c>
      <c r="K37" s="2" t="s">
        <v>30</v>
      </c>
      <c r="L37" s="2" t="s">
        <v>361</v>
      </c>
      <c r="M37" s="2" t="s">
        <v>31</v>
      </c>
      <c r="N37" s="2" t="s">
        <v>479</v>
      </c>
      <c r="O37" s="2" t="s">
        <v>160</v>
      </c>
      <c r="P37" s="2" t="s">
        <v>1199</v>
      </c>
      <c r="Q37" s="2" t="s">
        <v>446</v>
      </c>
      <c r="R37" s="2" t="s">
        <v>440</v>
      </c>
      <c r="S37" s="2" t="s">
        <v>34</v>
      </c>
      <c r="T37" s="123">
        <v>0.995</v>
      </c>
      <c r="U37" s="2" t="s">
        <v>2086</v>
      </c>
      <c r="V37" s="136">
        <v>8.3000000000000001E-3</v>
      </c>
      <c r="W37" s="138">
        <v>2.4899999999999999E-2</v>
      </c>
      <c r="X37" s="3" t="s">
        <v>445</v>
      </c>
      <c r="Y37" s="3" t="s">
        <v>160</v>
      </c>
      <c r="Z37" s="123">
        <v>151500</v>
      </c>
      <c r="AA37" s="132">
        <v>1</v>
      </c>
      <c r="AB37" s="149">
        <v>115.16</v>
      </c>
      <c r="AC37" s="2"/>
      <c r="AD37" s="123">
        <v>174.46700000000001</v>
      </c>
      <c r="AE37" s="2"/>
      <c r="AF37" s="2"/>
      <c r="AG37" s="2" t="s">
        <v>36</v>
      </c>
      <c r="AH37" s="138">
        <v>1E-4</v>
      </c>
      <c r="AI37" s="138">
        <v>3.2450031307312902E-2</v>
      </c>
      <c r="AJ37" s="138">
        <v>7.74331848949823E-3</v>
      </c>
    </row>
    <row r="38" spans="1:36">
      <c r="A38" s="2">
        <v>161</v>
      </c>
      <c r="B38" s="2">
        <v>1434</v>
      </c>
      <c r="C38" s="2" t="s">
        <v>1197</v>
      </c>
      <c r="D38" s="2" t="s">
        <v>1607</v>
      </c>
      <c r="E38" s="3" t="s">
        <v>1351</v>
      </c>
      <c r="F38" s="2" t="s">
        <v>2087</v>
      </c>
      <c r="G38" s="2" t="s">
        <v>2088</v>
      </c>
      <c r="H38" s="2" t="s">
        <v>209</v>
      </c>
      <c r="I38" s="2" t="s">
        <v>788</v>
      </c>
      <c r="J38" s="2" t="s">
        <v>30</v>
      </c>
      <c r="K38" s="2" t="s">
        <v>30</v>
      </c>
      <c r="L38" s="2" t="s">
        <v>361</v>
      </c>
      <c r="M38" s="2" t="s">
        <v>31</v>
      </c>
      <c r="N38" s="2" t="s">
        <v>479</v>
      </c>
      <c r="O38" s="2" t="s">
        <v>160</v>
      </c>
      <c r="P38" s="2" t="s">
        <v>1199</v>
      </c>
      <c r="Q38" s="2" t="s">
        <v>446</v>
      </c>
      <c r="R38" s="2" t="s">
        <v>440</v>
      </c>
      <c r="S38" s="2" t="s">
        <v>34</v>
      </c>
      <c r="T38" s="123">
        <v>2.3969999999999998</v>
      </c>
      <c r="U38" s="2" t="s">
        <v>2089</v>
      </c>
      <c r="V38" s="136">
        <v>1E-3</v>
      </c>
      <c r="W38" s="138">
        <v>2.4969999999999999E-2</v>
      </c>
      <c r="X38" s="3" t="s">
        <v>445</v>
      </c>
      <c r="Y38" s="3" t="s">
        <v>160</v>
      </c>
      <c r="Z38" s="123">
        <v>38000</v>
      </c>
      <c r="AA38" s="132">
        <v>1</v>
      </c>
      <c r="AB38" s="149">
        <v>107.95</v>
      </c>
      <c r="AC38" s="2"/>
      <c r="AD38" s="123">
        <v>41.021000000000001</v>
      </c>
      <c r="AE38" s="2"/>
      <c r="AF38" s="2"/>
      <c r="AG38" s="2" t="s">
        <v>36</v>
      </c>
      <c r="AH38" s="138">
        <v>1.2E-5</v>
      </c>
      <c r="AI38" s="138">
        <v>7.6296931934406202E-3</v>
      </c>
      <c r="AJ38" s="138">
        <v>1.8206190254323E-3</v>
      </c>
    </row>
    <row r="39" spans="1:36">
      <c r="A39" s="2">
        <v>161</v>
      </c>
      <c r="B39" s="2">
        <v>1434</v>
      </c>
      <c r="C39" s="2" t="s">
        <v>1197</v>
      </c>
      <c r="D39" s="2" t="s">
        <v>1607</v>
      </c>
      <c r="E39" s="3" t="s">
        <v>1351</v>
      </c>
      <c r="F39" s="2" t="s">
        <v>2090</v>
      </c>
      <c r="G39" s="2" t="s">
        <v>2091</v>
      </c>
      <c r="H39" s="2" t="s">
        <v>209</v>
      </c>
      <c r="I39" s="2" t="s">
        <v>998</v>
      </c>
      <c r="J39" s="2" t="s">
        <v>30</v>
      </c>
      <c r="K39" s="2" t="s">
        <v>30</v>
      </c>
      <c r="L39" s="2" t="s">
        <v>361</v>
      </c>
      <c r="M39" s="2" t="s">
        <v>31</v>
      </c>
      <c r="N39" s="2" t="s">
        <v>479</v>
      </c>
      <c r="O39" s="2" t="s">
        <v>160</v>
      </c>
      <c r="P39" s="2" t="s">
        <v>1199</v>
      </c>
      <c r="Q39" s="2" t="s">
        <v>446</v>
      </c>
      <c r="R39" s="2" t="s">
        <v>440</v>
      </c>
      <c r="S39" s="2" t="s">
        <v>34</v>
      </c>
      <c r="T39" s="123">
        <v>2.4529999999999998</v>
      </c>
      <c r="U39" s="2" t="s">
        <v>2092</v>
      </c>
      <c r="V39" s="136">
        <v>2.76E-2</v>
      </c>
      <c r="W39" s="138">
        <v>4.3869999999999999E-2</v>
      </c>
      <c r="X39" s="3" t="s">
        <v>445</v>
      </c>
      <c r="Y39" s="3" t="s">
        <v>160</v>
      </c>
      <c r="Z39" s="123">
        <v>130000</v>
      </c>
      <c r="AA39" s="132">
        <v>1</v>
      </c>
      <c r="AB39" s="149">
        <v>96.65</v>
      </c>
      <c r="AC39" s="2"/>
      <c r="AD39" s="123">
        <v>125.645</v>
      </c>
      <c r="AE39" s="2"/>
      <c r="AF39" s="2"/>
      <c r="AG39" s="2" t="s">
        <v>36</v>
      </c>
      <c r="AH39" s="138">
        <v>6.0000000000000002E-5</v>
      </c>
      <c r="AI39" s="138">
        <v>2.33693181855598E-2</v>
      </c>
      <c r="AJ39" s="138">
        <v>5.5764529740971996E-3</v>
      </c>
    </row>
    <row r="40" spans="1:36">
      <c r="A40" s="2">
        <v>161</v>
      </c>
      <c r="B40" s="2">
        <v>1434</v>
      </c>
      <c r="C40" s="2" t="s">
        <v>1197</v>
      </c>
      <c r="D40" s="2" t="s">
        <v>1607</v>
      </c>
      <c r="E40" s="3" t="s">
        <v>1351</v>
      </c>
      <c r="F40" s="2" t="s">
        <v>2093</v>
      </c>
      <c r="G40" s="2" t="s">
        <v>2094</v>
      </c>
      <c r="H40" s="2" t="s">
        <v>209</v>
      </c>
      <c r="I40" s="2" t="s">
        <v>788</v>
      </c>
      <c r="J40" s="2" t="s">
        <v>30</v>
      </c>
      <c r="K40" s="2" t="s">
        <v>30</v>
      </c>
      <c r="L40" s="2" t="s">
        <v>361</v>
      </c>
      <c r="M40" s="2" t="s">
        <v>31</v>
      </c>
      <c r="N40" s="2" t="s">
        <v>479</v>
      </c>
      <c r="O40" s="2" t="s">
        <v>160</v>
      </c>
      <c r="P40" s="2" t="s">
        <v>1199</v>
      </c>
      <c r="Q40" s="2" t="s">
        <v>446</v>
      </c>
      <c r="R40" s="2" t="s">
        <v>440</v>
      </c>
      <c r="S40" s="2" t="s">
        <v>34</v>
      </c>
      <c r="T40" s="123">
        <v>4.3879999999999999</v>
      </c>
      <c r="U40" s="2" t="s">
        <v>2095</v>
      </c>
      <c r="V40" s="136">
        <v>2.0199999999999999E-2</v>
      </c>
      <c r="W40" s="138">
        <v>2.6360000000000001E-2</v>
      </c>
      <c r="X40" s="3" t="s">
        <v>445</v>
      </c>
      <c r="Y40" s="3" t="s">
        <v>160</v>
      </c>
      <c r="Z40" s="123">
        <v>34000</v>
      </c>
      <c r="AA40" s="132">
        <v>1</v>
      </c>
      <c r="AB40" s="149">
        <v>102.52</v>
      </c>
      <c r="AC40" s="2"/>
      <c r="AD40" s="123">
        <v>34.856999999999999</v>
      </c>
      <c r="AE40" s="2"/>
      <c r="AF40" s="2"/>
      <c r="AG40" s="2" t="s">
        <v>36</v>
      </c>
      <c r="AH40" s="138">
        <v>1.0000000000000001E-5</v>
      </c>
      <c r="AI40" s="138">
        <v>6.4831839717491299E-3</v>
      </c>
      <c r="AJ40" s="138">
        <v>1.54703574378217E-3</v>
      </c>
    </row>
    <row r="41" spans="1:36">
      <c r="A41" s="2">
        <v>161</v>
      </c>
      <c r="B41" s="2">
        <v>1434</v>
      </c>
      <c r="C41" s="2" t="s">
        <v>1197</v>
      </c>
      <c r="D41" s="2" t="s">
        <v>1607</v>
      </c>
      <c r="E41" s="3" t="s">
        <v>1351</v>
      </c>
      <c r="F41" s="2" t="s">
        <v>2096</v>
      </c>
      <c r="G41" s="2" t="s">
        <v>2097</v>
      </c>
      <c r="H41" s="2" t="s">
        <v>209</v>
      </c>
      <c r="I41" s="2" t="s">
        <v>788</v>
      </c>
      <c r="J41" s="2" t="s">
        <v>30</v>
      </c>
      <c r="K41" s="2" t="s">
        <v>30</v>
      </c>
      <c r="L41" s="2" t="s">
        <v>361</v>
      </c>
      <c r="M41" s="2" t="s">
        <v>31</v>
      </c>
      <c r="N41" s="2" t="s">
        <v>479</v>
      </c>
      <c r="O41" s="2" t="s">
        <v>160</v>
      </c>
      <c r="P41" s="2" t="s">
        <v>1199</v>
      </c>
      <c r="Q41" s="2" t="s">
        <v>446</v>
      </c>
      <c r="R41" s="2" t="s">
        <v>440</v>
      </c>
      <c r="S41" s="2" t="s">
        <v>34</v>
      </c>
      <c r="T41" s="123">
        <v>4.3920000000000003</v>
      </c>
      <c r="U41" s="2" t="s">
        <v>2098</v>
      </c>
      <c r="V41" s="136">
        <v>1E-3</v>
      </c>
      <c r="W41" s="138">
        <v>2.581E-2</v>
      </c>
      <c r="X41" s="3" t="s">
        <v>445</v>
      </c>
      <c r="Y41" s="3" t="s">
        <v>160</v>
      </c>
      <c r="Z41" s="123">
        <v>40000</v>
      </c>
      <c r="AA41" s="132">
        <v>1</v>
      </c>
      <c r="AB41" s="149">
        <v>102.6</v>
      </c>
      <c r="AC41" s="2"/>
      <c r="AD41" s="123">
        <v>41.04</v>
      </c>
      <c r="AE41" s="2"/>
      <c r="AF41" s="2"/>
      <c r="AG41" s="2" t="s">
        <v>36</v>
      </c>
      <c r="AH41" s="138">
        <v>9.0000000000000002E-6</v>
      </c>
      <c r="AI41" s="138">
        <v>7.6332270948734401E-3</v>
      </c>
      <c r="AJ41" s="138">
        <v>1.82146229501332E-3</v>
      </c>
    </row>
    <row r="42" spans="1:36">
      <c r="A42" s="2">
        <v>161</v>
      </c>
      <c r="B42" s="2">
        <v>1434</v>
      </c>
      <c r="C42" s="2" t="s">
        <v>1197</v>
      </c>
      <c r="D42" s="2" t="s">
        <v>1607</v>
      </c>
      <c r="E42" s="3" t="s">
        <v>1351</v>
      </c>
      <c r="F42" s="2" t="s">
        <v>2099</v>
      </c>
      <c r="G42" s="2" t="s">
        <v>2100</v>
      </c>
      <c r="H42" s="2" t="s">
        <v>209</v>
      </c>
      <c r="I42" s="2" t="s">
        <v>788</v>
      </c>
      <c r="J42" s="2" t="s">
        <v>30</v>
      </c>
      <c r="K42" s="2" t="s">
        <v>30</v>
      </c>
      <c r="L42" s="2" t="s">
        <v>361</v>
      </c>
      <c r="M42" s="2" t="s">
        <v>58</v>
      </c>
      <c r="N42" s="2" t="s">
        <v>479</v>
      </c>
      <c r="O42" s="2" t="s">
        <v>160</v>
      </c>
      <c r="P42" s="2" t="s">
        <v>1969</v>
      </c>
      <c r="Q42" s="2" t="s">
        <v>446</v>
      </c>
      <c r="R42" s="2" t="s">
        <v>440</v>
      </c>
      <c r="S42" s="2" t="s">
        <v>34</v>
      </c>
      <c r="T42" s="123">
        <v>5.2320000000000002</v>
      </c>
      <c r="U42" s="2" t="s">
        <v>2101</v>
      </c>
      <c r="V42" s="136">
        <v>3.1E-2</v>
      </c>
      <c r="W42" s="138">
        <v>2.937E-2</v>
      </c>
      <c r="X42" s="3" t="s">
        <v>445</v>
      </c>
      <c r="Y42" s="3" t="s">
        <v>160</v>
      </c>
      <c r="Z42" s="123">
        <v>70000</v>
      </c>
      <c r="AA42" s="132">
        <v>1</v>
      </c>
      <c r="AB42" s="149">
        <v>103.76</v>
      </c>
      <c r="AC42" s="2"/>
      <c r="AD42" s="123">
        <v>72.632000000000005</v>
      </c>
      <c r="AE42" s="2"/>
      <c r="AF42" s="2"/>
      <c r="AG42" s="2" t="s">
        <v>36</v>
      </c>
      <c r="AH42" s="138">
        <v>4.6E-5</v>
      </c>
      <c r="AI42" s="138">
        <v>1.3509175203578199E-2</v>
      </c>
      <c r="AJ42" s="138">
        <v>3.22359769520974E-3</v>
      </c>
    </row>
    <row r="43" spans="1:36">
      <c r="A43" s="2">
        <v>161</v>
      </c>
      <c r="B43" s="2">
        <v>1434</v>
      </c>
      <c r="C43" s="2" t="s">
        <v>1854</v>
      </c>
      <c r="D43" s="2" t="s">
        <v>1855</v>
      </c>
      <c r="E43" s="3" t="s">
        <v>1351</v>
      </c>
      <c r="F43" s="2" t="s">
        <v>2102</v>
      </c>
      <c r="G43" s="2" t="s">
        <v>2103</v>
      </c>
      <c r="H43" s="2" t="s">
        <v>209</v>
      </c>
      <c r="I43" s="2" t="s">
        <v>788</v>
      </c>
      <c r="J43" s="2" t="s">
        <v>30</v>
      </c>
      <c r="K43" s="2" t="s">
        <v>30</v>
      </c>
      <c r="L43" s="2" t="s">
        <v>361</v>
      </c>
      <c r="M43" s="2" t="s">
        <v>31</v>
      </c>
      <c r="N43" s="2" t="s">
        <v>495</v>
      </c>
      <c r="O43" s="2" t="s">
        <v>160</v>
      </c>
      <c r="P43" s="2" t="s">
        <v>1956</v>
      </c>
      <c r="Q43" s="2" t="s">
        <v>446</v>
      </c>
      <c r="R43" s="2" t="s">
        <v>440</v>
      </c>
      <c r="S43" s="2" t="s">
        <v>34</v>
      </c>
      <c r="T43" s="123">
        <v>2.7789999999999999</v>
      </c>
      <c r="U43" s="2" t="s">
        <v>2031</v>
      </c>
      <c r="V43" s="136">
        <v>2.81E-2</v>
      </c>
      <c r="W43" s="138">
        <v>2.716E-2</v>
      </c>
      <c r="X43" s="3" t="s">
        <v>445</v>
      </c>
      <c r="Y43" s="3" t="s">
        <v>160</v>
      </c>
      <c r="Z43" s="123">
        <v>23437.5</v>
      </c>
      <c r="AA43" s="132">
        <v>1</v>
      </c>
      <c r="AB43" s="149">
        <v>118.81</v>
      </c>
      <c r="AC43" s="2"/>
      <c r="AD43" s="123">
        <v>27.846</v>
      </c>
      <c r="AE43" s="2"/>
      <c r="AF43" s="2"/>
      <c r="AG43" s="2" t="s">
        <v>36</v>
      </c>
      <c r="AH43" s="138">
        <v>1.7E-5</v>
      </c>
      <c r="AI43" s="138">
        <v>5.17922897901769E-3</v>
      </c>
      <c r="AJ43" s="138">
        <v>1.2358823057756099E-3</v>
      </c>
    </row>
    <row r="44" spans="1:36">
      <c r="A44" s="2">
        <v>161</v>
      </c>
      <c r="B44" s="2">
        <v>1434</v>
      </c>
      <c r="C44" s="2" t="s">
        <v>2104</v>
      </c>
      <c r="D44" s="2" t="s">
        <v>2105</v>
      </c>
      <c r="E44" s="3" t="s">
        <v>1351</v>
      </c>
      <c r="F44" s="2" t="s">
        <v>2106</v>
      </c>
      <c r="G44" s="2" t="s">
        <v>2107</v>
      </c>
      <c r="H44" s="2" t="s">
        <v>209</v>
      </c>
      <c r="I44" s="2" t="s">
        <v>998</v>
      </c>
      <c r="J44" s="2" t="s">
        <v>30</v>
      </c>
      <c r="K44" s="2" t="s">
        <v>30</v>
      </c>
      <c r="L44" s="2" t="s">
        <v>361</v>
      </c>
      <c r="M44" s="2" t="s">
        <v>31</v>
      </c>
      <c r="N44" s="2" t="s">
        <v>476</v>
      </c>
      <c r="O44" s="2" t="s">
        <v>160</v>
      </c>
      <c r="P44" s="2" t="s">
        <v>2108</v>
      </c>
      <c r="Q44" s="2" t="s">
        <v>448</v>
      </c>
      <c r="R44" s="2" t="s">
        <v>440</v>
      </c>
      <c r="S44" s="2" t="s">
        <v>34</v>
      </c>
      <c r="T44" s="123">
        <v>1.4590000000000001</v>
      </c>
      <c r="U44" s="2" t="s">
        <v>2109</v>
      </c>
      <c r="V44" s="136">
        <v>4.1000000000000002E-2</v>
      </c>
      <c r="W44" s="138">
        <v>4.8800000000000003E-2</v>
      </c>
      <c r="X44" s="3" t="s">
        <v>445</v>
      </c>
      <c r="Y44" s="3" t="s">
        <v>160</v>
      </c>
      <c r="Z44" s="123">
        <v>45000</v>
      </c>
      <c r="AA44" s="132">
        <v>1</v>
      </c>
      <c r="AB44" s="149">
        <v>100.93</v>
      </c>
      <c r="AC44" s="2"/>
      <c r="AD44" s="123">
        <v>45.418999999999997</v>
      </c>
      <c r="AE44" s="2"/>
      <c r="AF44" s="2"/>
      <c r="AG44" s="2" t="s">
        <v>36</v>
      </c>
      <c r="AH44" s="138">
        <v>6.3E-5</v>
      </c>
      <c r="AI44" s="138">
        <v>8.4476053803243002E-3</v>
      </c>
      <c r="AJ44" s="138">
        <v>2.01579155082999E-3</v>
      </c>
    </row>
    <row r="45" spans="1:36">
      <c r="A45" s="2">
        <v>161</v>
      </c>
      <c r="B45" s="2">
        <v>1434</v>
      </c>
      <c r="C45" s="2" t="s">
        <v>2110</v>
      </c>
      <c r="D45" s="2" t="s">
        <v>2111</v>
      </c>
      <c r="E45" s="3" t="s">
        <v>1351</v>
      </c>
      <c r="F45" s="2" t="s">
        <v>2112</v>
      </c>
      <c r="G45" s="2" t="s">
        <v>2113</v>
      </c>
      <c r="H45" s="2" t="s">
        <v>209</v>
      </c>
      <c r="I45" s="2" t="s">
        <v>788</v>
      </c>
      <c r="J45" s="2" t="s">
        <v>30</v>
      </c>
      <c r="K45" s="2" t="s">
        <v>30</v>
      </c>
      <c r="L45" s="2" t="s">
        <v>361</v>
      </c>
      <c r="M45" s="2" t="s">
        <v>31</v>
      </c>
      <c r="N45" s="2" t="s">
        <v>495</v>
      </c>
      <c r="O45" s="2" t="s">
        <v>160</v>
      </c>
      <c r="P45" s="2" t="s">
        <v>1965</v>
      </c>
      <c r="Q45" s="2" t="s">
        <v>446</v>
      </c>
      <c r="R45" s="2" t="s">
        <v>440</v>
      </c>
      <c r="S45" s="2" t="s">
        <v>34</v>
      </c>
      <c r="T45" s="123">
        <v>1.133</v>
      </c>
      <c r="U45" s="2" t="s">
        <v>2114</v>
      </c>
      <c r="V45" s="136">
        <v>2.0500000000000001E-2</v>
      </c>
      <c r="W45" s="138">
        <v>3.2419999999999997E-2</v>
      </c>
      <c r="X45" s="3" t="s">
        <v>445</v>
      </c>
      <c r="Y45" s="3" t="s">
        <v>160</v>
      </c>
      <c r="Z45" s="123">
        <v>39176.67</v>
      </c>
      <c r="AA45" s="132">
        <v>1</v>
      </c>
      <c r="AB45" s="149">
        <v>117.83</v>
      </c>
      <c r="AC45" s="2"/>
      <c r="AD45" s="123">
        <v>46.161999999999999</v>
      </c>
      <c r="AE45" s="2"/>
      <c r="AF45" s="2"/>
      <c r="AG45" s="2" t="s">
        <v>36</v>
      </c>
      <c r="AH45" s="138">
        <v>5.1999999999999997E-5</v>
      </c>
      <c r="AI45" s="138">
        <v>8.5858683924536407E-3</v>
      </c>
      <c r="AJ45" s="138">
        <v>2.0487842628583901E-3</v>
      </c>
    </row>
    <row r="46" spans="1:36">
      <c r="A46" s="2">
        <v>161</v>
      </c>
      <c r="B46" s="2">
        <v>1434</v>
      </c>
      <c r="C46" s="2" t="s">
        <v>2115</v>
      </c>
      <c r="D46" s="2" t="s">
        <v>2116</v>
      </c>
      <c r="E46" s="3" t="s">
        <v>1351</v>
      </c>
      <c r="F46" s="2" t="s">
        <v>2117</v>
      </c>
      <c r="G46" s="2" t="s">
        <v>2118</v>
      </c>
      <c r="H46" s="2" t="s">
        <v>209</v>
      </c>
      <c r="I46" s="2" t="s">
        <v>788</v>
      </c>
      <c r="J46" s="2" t="s">
        <v>30</v>
      </c>
      <c r="K46" s="2" t="s">
        <v>30</v>
      </c>
      <c r="L46" s="2" t="s">
        <v>361</v>
      </c>
      <c r="M46" s="2" t="s">
        <v>31</v>
      </c>
      <c r="N46" s="2" t="s">
        <v>479</v>
      </c>
      <c r="O46" s="2" t="s">
        <v>160</v>
      </c>
      <c r="P46" s="2" t="s">
        <v>1199</v>
      </c>
      <c r="Q46" s="2" t="s">
        <v>446</v>
      </c>
      <c r="R46" s="2" t="s">
        <v>440</v>
      </c>
      <c r="S46" s="2" t="s">
        <v>34</v>
      </c>
      <c r="T46" s="123">
        <v>3.3029999999999999</v>
      </c>
      <c r="U46" s="2" t="s">
        <v>2119</v>
      </c>
      <c r="V46" s="136">
        <v>1E-3</v>
      </c>
      <c r="W46" s="138">
        <v>2.5829999999999999E-2</v>
      </c>
      <c r="X46" s="3" t="s">
        <v>445</v>
      </c>
      <c r="Y46" s="3" t="s">
        <v>160</v>
      </c>
      <c r="Z46" s="123">
        <v>161998</v>
      </c>
      <c r="AA46" s="132">
        <v>1</v>
      </c>
      <c r="AB46" s="149">
        <v>105.48</v>
      </c>
      <c r="AC46" s="2"/>
      <c r="AD46" s="123">
        <v>170.875</v>
      </c>
      <c r="AE46" s="2"/>
      <c r="AF46" s="2"/>
      <c r="AG46" s="2" t="s">
        <v>36</v>
      </c>
      <c r="AH46" s="138">
        <v>4.8000000000000001E-5</v>
      </c>
      <c r="AI46" s="138">
        <v>3.1781954755630303E-2</v>
      </c>
      <c r="AJ46" s="138">
        <v>7.5839001682629402E-3</v>
      </c>
    </row>
    <row r="47" spans="1:36">
      <c r="A47" s="2">
        <v>161</v>
      </c>
      <c r="B47" s="2">
        <v>1434</v>
      </c>
      <c r="C47" s="2" t="s">
        <v>2115</v>
      </c>
      <c r="D47" s="2" t="s">
        <v>2116</v>
      </c>
      <c r="E47" s="3" t="s">
        <v>1351</v>
      </c>
      <c r="F47" s="2" t="s">
        <v>2120</v>
      </c>
      <c r="G47" s="2" t="s">
        <v>2121</v>
      </c>
      <c r="H47" s="2" t="s">
        <v>209</v>
      </c>
      <c r="I47" s="2" t="s">
        <v>998</v>
      </c>
      <c r="J47" s="2" t="s">
        <v>30</v>
      </c>
      <c r="K47" s="2" t="s">
        <v>30</v>
      </c>
      <c r="L47" s="2" t="s">
        <v>361</v>
      </c>
      <c r="M47" s="2" t="s">
        <v>31</v>
      </c>
      <c r="N47" s="2" t="s">
        <v>479</v>
      </c>
      <c r="O47" s="2" t="s">
        <v>160</v>
      </c>
      <c r="P47" s="2" t="s">
        <v>1199</v>
      </c>
      <c r="Q47" s="2" t="s">
        <v>446</v>
      </c>
      <c r="R47" s="2" t="s">
        <v>440</v>
      </c>
      <c r="S47" s="2" t="s">
        <v>34</v>
      </c>
      <c r="T47" s="123">
        <v>3.0840000000000001</v>
      </c>
      <c r="U47" s="2" t="s">
        <v>2122</v>
      </c>
      <c r="V47" s="136">
        <v>2.7400000000000001E-2</v>
      </c>
      <c r="W47" s="138">
        <v>4.3369999999999999E-2</v>
      </c>
      <c r="X47" s="3" t="s">
        <v>445</v>
      </c>
      <c r="Y47" s="3" t="s">
        <v>160</v>
      </c>
      <c r="Z47" s="123">
        <v>38572.25</v>
      </c>
      <c r="AA47" s="132">
        <v>1</v>
      </c>
      <c r="AB47" s="149">
        <v>95.89</v>
      </c>
      <c r="AC47" s="2"/>
      <c r="AD47" s="123">
        <v>36.987000000000002</v>
      </c>
      <c r="AE47" s="2"/>
      <c r="AF47" s="2"/>
      <c r="AG47" s="2" t="s">
        <v>36</v>
      </c>
      <c r="AH47" s="138">
        <v>3.0000000000000001E-5</v>
      </c>
      <c r="AI47" s="138">
        <v>6.8793771988214297E-3</v>
      </c>
      <c r="AJ47" s="138">
        <v>1.6415764951161001E-3</v>
      </c>
    </row>
    <row r="48" spans="1:36">
      <c r="A48" s="2">
        <v>161</v>
      </c>
      <c r="B48" s="2">
        <v>1434</v>
      </c>
      <c r="C48" s="2" t="s">
        <v>2115</v>
      </c>
      <c r="D48" s="2" t="s">
        <v>2116</v>
      </c>
      <c r="E48" s="3" t="s">
        <v>1351</v>
      </c>
      <c r="F48" s="2" t="s">
        <v>2123</v>
      </c>
      <c r="G48" s="2" t="s">
        <v>2124</v>
      </c>
      <c r="H48" s="2" t="s">
        <v>209</v>
      </c>
      <c r="I48" s="2" t="s">
        <v>788</v>
      </c>
      <c r="J48" s="2" t="s">
        <v>30</v>
      </c>
      <c r="K48" s="2" t="s">
        <v>30</v>
      </c>
      <c r="L48" s="2" t="s">
        <v>361</v>
      </c>
      <c r="M48" s="2" t="s">
        <v>31</v>
      </c>
      <c r="N48" s="2" t="s">
        <v>479</v>
      </c>
      <c r="O48" s="2" t="s">
        <v>160</v>
      </c>
      <c r="P48" s="2" t="s">
        <v>2125</v>
      </c>
      <c r="Q48" s="2" t="s">
        <v>448</v>
      </c>
      <c r="R48" s="2" t="s">
        <v>440</v>
      </c>
      <c r="S48" s="2" t="s">
        <v>34</v>
      </c>
      <c r="T48" s="123">
        <v>1.42</v>
      </c>
      <c r="U48" s="2" t="s">
        <v>2126</v>
      </c>
      <c r="V48" s="136">
        <v>5.0000000000000001E-3</v>
      </c>
      <c r="W48" s="138">
        <v>2.6210000000000001E-2</v>
      </c>
      <c r="X48" s="3" t="s">
        <v>445</v>
      </c>
      <c r="Y48" s="3" t="s">
        <v>160</v>
      </c>
      <c r="Z48" s="123">
        <v>39000</v>
      </c>
      <c r="AA48" s="132">
        <v>1</v>
      </c>
      <c r="AB48" s="149">
        <v>112.82</v>
      </c>
      <c r="AC48" s="2"/>
      <c r="AD48" s="123">
        <v>44</v>
      </c>
      <c r="AE48" s="2"/>
      <c r="AF48" s="2"/>
      <c r="AG48" s="2" t="s">
        <v>36</v>
      </c>
      <c r="AH48" s="138">
        <v>5.1E-5</v>
      </c>
      <c r="AI48" s="138">
        <v>8.1837345401806101E-3</v>
      </c>
      <c r="AJ48" s="138">
        <v>1.9528259426931599E-3</v>
      </c>
    </row>
    <row r="49" spans="1:36">
      <c r="A49" s="2">
        <v>161</v>
      </c>
      <c r="B49" s="2">
        <v>1434</v>
      </c>
      <c r="C49" s="2" t="s">
        <v>2115</v>
      </c>
      <c r="D49" s="2" t="s">
        <v>2116</v>
      </c>
      <c r="E49" s="3" t="s">
        <v>1351</v>
      </c>
      <c r="F49" s="2" t="s">
        <v>2127</v>
      </c>
      <c r="G49" s="2" t="s">
        <v>2128</v>
      </c>
      <c r="H49" s="2" t="s">
        <v>209</v>
      </c>
      <c r="I49" s="2" t="s">
        <v>788</v>
      </c>
      <c r="J49" s="2" t="s">
        <v>30</v>
      </c>
      <c r="K49" s="2" t="s">
        <v>30</v>
      </c>
      <c r="L49" s="2" t="s">
        <v>361</v>
      </c>
      <c r="M49" s="2" t="s">
        <v>31</v>
      </c>
      <c r="N49" s="2" t="s">
        <v>479</v>
      </c>
      <c r="O49" s="2" t="s">
        <v>160</v>
      </c>
      <c r="P49" s="2" t="s">
        <v>1199</v>
      </c>
      <c r="Q49" s="2" t="s">
        <v>446</v>
      </c>
      <c r="R49" s="2" t="s">
        <v>440</v>
      </c>
      <c r="S49" s="2" t="s">
        <v>34</v>
      </c>
      <c r="T49" s="123">
        <v>4.9790000000000001</v>
      </c>
      <c r="U49" s="2" t="s">
        <v>2129</v>
      </c>
      <c r="V49" s="136">
        <v>2E-3</v>
      </c>
      <c r="W49" s="138">
        <v>2.6159999999999999E-2</v>
      </c>
      <c r="X49" s="3" t="s">
        <v>445</v>
      </c>
      <c r="Y49" s="3" t="s">
        <v>160</v>
      </c>
      <c r="Z49" s="123">
        <v>226000</v>
      </c>
      <c r="AA49" s="132">
        <v>1</v>
      </c>
      <c r="AB49" s="149">
        <v>104.05</v>
      </c>
      <c r="AC49" s="123">
        <v>0.53</v>
      </c>
      <c r="AD49" s="123">
        <v>235.68299999999999</v>
      </c>
      <c r="AE49" s="2"/>
      <c r="AF49" s="2"/>
      <c r="AG49" s="2" t="s">
        <v>36</v>
      </c>
      <c r="AH49" s="138">
        <v>6.4999999999999994E-5</v>
      </c>
      <c r="AI49" s="138">
        <v>4.3835729778669397E-2</v>
      </c>
      <c r="AJ49" s="138">
        <v>1.04602061452965E-2</v>
      </c>
    </row>
    <row r="50" spans="1:36">
      <c r="A50" s="2">
        <v>161</v>
      </c>
      <c r="B50" s="2">
        <v>1434</v>
      </c>
      <c r="C50" s="2" t="s">
        <v>2115</v>
      </c>
      <c r="D50" s="2" t="s">
        <v>2116</v>
      </c>
      <c r="E50" s="3" t="s">
        <v>1351</v>
      </c>
      <c r="F50" s="2" t="s">
        <v>2130</v>
      </c>
      <c r="G50" s="2" t="s">
        <v>2131</v>
      </c>
      <c r="H50" s="2" t="s">
        <v>209</v>
      </c>
      <c r="I50" s="2" t="s">
        <v>788</v>
      </c>
      <c r="J50" s="2" t="s">
        <v>30</v>
      </c>
      <c r="K50" s="2" t="s">
        <v>30</v>
      </c>
      <c r="L50" s="2" t="s">
        <v>361</v>
      </c>
      <c r="M50" s="2" t="s">
        <v>31</v>
      </c>
      <c r="N50" s="2" t="s">
        <v>479</v>
      </c>
      <c r="O50" s="2" t="s">
        <v>160</v>
      </c>
      <c r="P50" s="2" t="s">
        <v>1199</v>
      </c>
      <c r="Q50" s="2" t="s">
        <v>446</v>
      </c>
      <c r="R50" s="2" t="s">
        <v>440</v>
      </c>
      <c r="S50" s="2" t="s">
        <v>34</v>
      </c>
      <c r="T50" s="123">
        <v>0.97499999999999998</v>
      </c>
      <c r="U50" s="2" t="s">
        <v>2132</v>
      </c>
      <c r="V50" s="136">
        <v>3.8E-3</v>
      </c>
      <c r="W50" s="138">
        <v>2.5610000000000001E-2</v>
      </c>
      <c r="X50" s="3" t="s">
        <v>445</v>
      </c>
      <c r="Y50" s="3" t="s">
        <v>160</v>
      </c>
      <c r="Z50" s="123">
        <v>110758</v>
      </c>
      <c r="AA50" s="132">
        <v>1</v>
      </c>
      <c r="AB50" s="149">
        <v>112.93</v>
      </c>
      <c r="AC50" s="2"/>
      <c r="AD50" s="123">
        <v>125.07899999999999</v>
      </c>
      <c r="AE50" s="2"/>
      <c r="AF50" s="2"/>
      <c r="AG50" s="2" t="s">
        <v>36</v>
      </c>
      <c r="AH50" s="138">
        <v>3.6999999999999998E-5</v>
      </c>
      <c r="AI50" s="138">
        <v>2.3264046870175699E-2</v>
      </c>
      <c r="AJ50" s="138">
        <v>5.5513328343011004E-3</v>
      </c>
    </row>
    <row r="51" spans="1:36">
      <c r="A51" s="2">
        <v>161</v>
      </c>
      <c r="B51" s="2">
        <v>1434</v>
      </c>
      <c r="C51" s="2" t="s">
        <v>2115</v>
      </c>
      <c r="D51" s="2" t="s">
        <v>2116</v>
      </c>
      <c r="E51" s="3" t="s">
        <v>1351</v>
      </c>
      <c r="F51" s="2" t="s">
        <v>2133</v>
      </c>
      <c r="G51" s="2" t="s">
        <v>2134</v>
      </c>
      <c r="H51" s="2" t="s">
        <v>209</v>
      </c>
      <c r="I51" s="2" t="s">
        <v>788</v>
      </c>
      <c r="J51" s="2" t="s">
        <v>30</v>
      </c>
      <c r="K51" s="2" t="s">
        <v>30</v>
      </c>
      <c r="L51" s="2" t="s">
        <v>361</v>
      </c>
      <c r="M51" s="2" t="s">
        <v>31</v>
      </c>
      <c r="N51" s="2" t="s">
        <v>479</v>
      </c>
      <c r="O51" s="2" t="s">
        <v>160</v>
      </c>
      <c r="P51" s="2" t="s">
        <v>1199</v>
      </c>
      <c r="Q51" s="2" t="s">
        <v>446</v>
      </c>
      <c r="R51" s="2" t="s">
        <v>440</v>
      </c>
      <c r="S51" s="2" t="s">
        <v>34</v>
      </c>
      <c r="T51" s="123">
        <v>3.2029999999999998</v>
      </c>
      <c r="U51" s="2" t="s">
        <v>2122</v>
      </c>
      <c r="V51" s="136">
        <v>1E-3</v>
      </c>
      <c r="W51" s="138">
        <v>2.5860000000000001E-2</v>
      </c>
      <c r="X51" s="3" t="s">
        <v>445</v>
      </c>
      <c r="Y51" s="3" t="s">
        <v>160</v>
      </c>
      <c r="Z51" s="123">
        <v>97716.38</v>
      </c>
      <c r="AA51" s="132">
        <v>1</v>
      </c>
      <c r="AB51" s="149">
        <v>104.36</v>
      </c>
      <c r="AC51" s="2"/>
      <c r="AD51" s="123">
        <v>101.977</v>
      </c>
      <c r="AE51" s="2"/>
      <c r="AF51" s="2"/>
      <c r="AG51" s="2" t="s">
        <v>36</v>
      </c>
      <c r="AH51" s="138">
        <v>4.3999999999999999E-5</v>
      </c>
      <c r="AI51" s="138">
        <v>1.8967158405361902E-2</v>
      </c>
      <c r="AJ51" s="138">
        <v>4.5259971240885098E-3</v>
      </c>
    </row>
    <row r="52" spans="1:36">
      <c r="A52" s="2">
        <v>161</v>
      </c>
      <c r="B52" s="2">
        <v>1434</v>
      </c>
      <c r="C52" s="2" t="s">
        <v>2135</v>
      </c>
      <c r="D52" s="2" t="s">
        <v>2136</v>
      </c>
      <c r="E52" s="3" t="s">
        <v>1351</v>
      </c>
      <c r="F52" s="2" t="s">
        <v>2137</v>
      </c>
      <c r="G52" s="2" t="s">
        <v>2138</v>
      </c>
      <c r="H52" s="2" t="s">
        <v>209</v>
      </c>
      <c r="I52" s="2" t="s">
        <v>788</v>
      </c>
      <c r="J52" s="2" t="s">
        <v>30</v>
      </c>
      <c r="K52" s="2" t="s">
        <v>30</v>
      </c>
      <c r="L52" s="2" t="s">
        <v>361</v>
      </c>
      <c r="M52" s="2" t="s">
        <v>31</v>
      </c>
      <c r="N52" s="2" t="s">
        <v>474</v>
      </c>
      <c r="O52" s="2" t="s">
        <v>160</v>
      </c>
      <c r="P52" s="2" t="s">
        <v>2108</v>
      </c>
      <c r="Q52" s="2" t="s">
        <v>448</v>
      </c>
      <c r="R52" s="2" t="s">
        <v>440</v>
      </c>
      <c r="S52" s="2" t="s">
        <v>34</v>
      </c>
      <c r="T52" s="123">
        <v>2.782</v>
      </c>
      <c r="U52" s="2" t="s">
        <v>2139</v>
      </c>
      <c r="V52" s="136">
        <v>0.01</v>
      </c>
      <c r="W52" s="138">
        <v>3.107E-2</v>
      </c>
      <c r="X52" s="3" t="s">
        <v>445</v>
      </c>
      <c r="Y52" s="3" t="s">
        <v>160</v>
      </c>
      <c r="Z52" s="123">
        <v>74170</v>
      </c>
      <c r="AA52" s="132">
        <v>1</v>
      </c>
      <c r="AB52" s="149">
        <v>108.19</v>
      </c>
      <c r="AC52" s="2"/>
      <c r="AD52" s="123">
        <v>80.245000000000005</v>
      </c>
      <c r="AE52" s="2"/>
      <c r="AF52" s="2"/>
      <c r="AG52" s="2" t="s">
        <v>36</v>
      </c>
      <c r="AH52" s="138">
        <v>4.1E-5</v>
      </c>
      <c r="AI52" s="138">
        <v>1.4925064989736701E-2</v>
      </c>
      <c r="AJ52" s="138">
        <v>3.56146133103873E-3</v>
      </c>
    </row>
    <row r="53" spans="1:36">
      <c r="A53" s="2">
        <v>161</v>
      </c>
      <c r="B53" s="2">
        <v>1434</v>
      </c>
      <c r="C53" s="2" t="s">
        <v>2135</v>
      </c>
      <c r="D53" s="2" t="s">
        <v>2136</v>
      </c>
      <c r="E53" s="3" t="s">
        <v>1351</v>
      </c>
      <c r="F53" s="2" t="s">
        <v>2140</v>
      </c>
      <c r="G53" s="2" t="s">
        <v>2141</v>
      </c>
      <c r="H53" s="2" t="s">
        <v>209</v>
      </c>
      <c r="I53" s="2" t="s">
        <v>788</v>
      </c>
      <c r="J53" s="2" t="s">
        <v>30</v>
      </c>
      <c r="K53" s="2" t="s">
        <v>30</v>
      </c>
      <c r="L53" s="2" t="s">
        <v>361</v>
      </c>
      <c r="M53" s="2" t="s">
        <v>31</v>
      </c>
      <c r="N53" s="2" t="s">
        <v>474</v>
      </c>
      <c r="O53" s="2" t="s">
        <v>160</v>
      </c>
      <c r="P53" s="2" t="s">
        <v>2108</v>
      </c>
      <c r="Q53" s="2" t="s">
        <v>448</v>
      </c>
      <c r="R53" s="2" t="s">
        <v>440</v>
      </c>
      <c r="S53" s="2" t="s">
        <v>34</v>
      </c>
      <c r="T53" s="123">
        <v>1.056</v>
      </c>
      <c r="U53" s="2" t="s">
        <v>68</v>
      </c>
      <c r="V53" s="136">
        <v>3.5400000000000001E-2</v>
      </c>
      <c r="W53" s="138">
        <v>3.4250000000000003E-2</v>
      </c>
      <c r="X53" s="3" t="s">
        <v>445</v>
      </c>
      <c r="Y53" s="3" t="s">
        <v>160</v>
      </c>
      <c r="Z53" s="123">
        <v>43200</v>
      </c>
      <c r="AA53" s="132">
        <v>1</v>
      </c>
      <c r="AB53" s="149">
        <v>109.8</v>
      </c>
      <c r="AC53" s="2"/>
      <c r="AD53" s="123">
        <v>47.433999999999997</v>
      </c>
      <c r="AE53" s="2"/>
      <c r="AF53" s="2"/>
      <c r="AG53" s="2" t="s">
        <v>36</v>
      </c>
      <c r="AH53" s="138">
        <v>4.3000000000000002E-5</v>
      </c>
      <c r="AI53" s="138">
        <v>8.8224035264958204E-3</v>
      </c>
      <c r="AJ53" s="138">
        <v>2.10522694728908E-3</v>
      </c>
    </row>
    <row r="54" spans="1:36">
      <c r="A54" s="2">
        <v>161</v>
      </c>
      <c r="B54" s="2">
        <v>1434</v>
      </c>
      <c r="C54" s="2" t="s">
        <v>1675</v>
      </c>
      <c r="D54" s="2" t="s">
        <v>1676</v>
      </c>
      <c r="E54" s="3" t="s">
        <v>1351</v>
      </c>
      <c r="F54" s="2" t="s">
        <v>2142</v>
      </c>
      <c r="G54" s="2" t="s">
        <v>2143</v>
      </c>
      <c r="H54" s="2" t="s">
        <v>209</v>
      </c>
      <c r="I54" s="2" t="s">
        <v>788</v>
      </c>
      <c r="J54" s="2" t="s">
        <v>30</v>
      </c>
      <c r="K54" s="2" t="s">
        <v>30</v>
      </c>
      <c r="L54" s="2" t="s">
        <v>361</v>
      </c>
      <c r="M54" s="2" t="s">
        <v>31</v>
      </c>
      <c r="N54" s="2" t="s">
        <v>495</v>
      </c>
      <c r="O54" s="2" t="s">
        <v>160</v>
      </c>
      <c r="P54" s="2" t="s">
        <v>1956</v>
      </c>
      <c r="Q54" s="2" t="s">
        <v>446</v>
      </c>
      <c r="R54" s="2" t="s">
        <v>440</v>
      </c>
      <c r="S54" s="2" t="s">
        <v>34</v>
      </c>
      <c r="T54" s="123">
        <v>3.7440000000000002</v>
      </c>
      <c r="U54" s="2" t="s">
        <v>2144</v>
      </c>
      <c r="V54" s="136">
        <v>1.43E-2</v>
      </c>
      <c r="W54" s="138">
        <v>2.81E-2</v>
      </c>
      <c r="X54" s="3" t="s">
        <v>445</v>
      </c>
      <c r="Y54" s="3" t="s">
        <v>160</v>
      </c>
      <c r="Z54" s="123">
        <v>100308.55</v>
      </c>
      <c r="AA54" s="132">
        <v>1</v>
      </c>
      <c r="AB54" s="149">
        <v>111.28</v>
      </c>
      <c r="AC54" s="123">
        <v>2.153</v>
      </c>
      <c r="AD54" s="123">
        <v>113.777</v>
      </c>
      <c r="AE54" s="2"/>
      <c r="AF54" s="2"/>
      <c r="AG54" s="2" t="s">
        <v>36</v>
      </c>
      <c r="AH54" s="138">
        <v>5.1999999999999997E-5</v>
      </c>
      <c r="AI54" s="138">
        <v>2.1161841442097099E-2</v>
      </c>
      <c r="AJ54" s="138">
        <v>5.04969861380358E-3</v>
      </c>
    </row>
    <row r="55" spans="1:36">
      <c r="A55" s="2">
        <v>161</v>
      </c>
      <c r="B55" s="2">
        <v>1434</v>
      </c>
      <c r="C55" s="2" t="s">
        <v>1675</v>
      </c>
      <c r="D55" s="2" t="s">
        <v>1676</v>
      </c>
      <c r="E55" s="3" t="s">
        <v>1351</v>
      </c>
      <c r="F55" s="2" t="s">
        <v>2145</v>
      </c>
      <c r="G55" s="2" t="s">
        <v>2146</v>
      </c>
      <c r="H55" s="2" t="s">
        <v>209</v>
      </c>
      <c r="I55" s="2" t="s">
        <v>788</v>
      </c>
      <c r="J55" s="2" t="s">
        <v>30</v>
      </c>
      <c r="K55" s="2" t="s">
        <v>30</v>
      </c>
      <c r="L55" s="2" t="s">
        <v>361</v>
      </c>
      <c r="M55" s="2" t="s">
        <v>31</v>
      </c>
      <c r="N55" s="2" t="s">
        <v>495</v>
      </c>
      <c r="O55" s="2" t="s">
        <v>160</v>
      </c>
      <c r="P55" s="2" t="s">
        <v>1956</v>
      </c>
      <c r="Q55" s="2" t="s">
        <v>446</v>
      </c>
      <c r="R55" s="2" t="s">
        <v>440</v>
      </c>
      <c r="S55" s="2" t="s">
        <v>34</v>
      </c>
      <c r="T55" s="123">
        <v>0.80800000000000005</v>
      </c>
      <c r="U55" s="2" t="s">
        <v>2147</v>
      </c>
      <c r="V55" s="136">
        <v>2.1499999999999998E-2</v>
      </c>
      <c r="W55" s="138">
        <v>3.1850000000000003E-2</v>
      </c>
      <c r="X55" s="3" t="s">
        <v>445</v>
      </c>
      <c r="Y55" s="3" t="s">
        <v>160</v>
      </c>
      <c r="Z55" s="123">
        <v>58571.42</v>
      </c>
      <c r="AA55" s="132">
        <v>1</v>
      </c>
      <c r="AB55" s="149">
        <v>118.67</v>
      </c>
      <c r="AC55" s="2"/>
      <c r="AD55" s="123">
        <v>69.507000000000005</v>
      </c>
      <c r="AE55" s="2"/>
      <c r="AF55" s="2"/>
      <c r="AG55" s="2" t="s">
        <v>36</v>
      </c>
      <c r="AH55" s="138">
        <v>5.0000000000000002E-5</v>
      </c>
      <c r="AI55" s="138">
        <v>1.2927886382025701E-2</v>
      </c>
      <c r="AJ55" s="138">
        <v>3.08488890824314E-3</v>
      </c>
    </row>
    <row r="56" spans="1:36">
      <c r="A56" s="2">
        <v>161</v>
      </c>
      <c r="B56" s="2">
        <v>1434</v>
      </c>
      <c r="C56" s="2" t="s">
        <v>1675</v>
      </c>
      <c r="D56" s="2" t="s">
        <v>1676</v>
      </c>
      <c r="E56" s="3" t="s">
        <v>1351</v>
      </c>
      <c r="F56" s="2" t="s">
        <v>2148</v>
      </c>
      <c r="G56" s="2" t="s">
        <v>2149</v>
      </c>
      <c r="H56" s="2" t="s">
        <v>209</v>
      </c>
      <c r="I56" s="2" t="s">
        <v>788</v>
      </c>
      <c r="J56" s="2" t="s">
        <v>30</v>
      </c>
      <c r="K56" s="2" t="s">
        <v>30</v>
      </c>
      <c r="L56" s="2" t="s">
        <v>361</v>
      </c>
      <c r="M56" s="2" t="s">
        <v>31</v>
      </c>
      <c r="N56" s="2" t="s">
        <v>495</v>
      </c>
      <c r="O56" s="2" t="s">
        <v>160</v>
      </c>
      <c r="P56" s="2" t="s">
        <v>1956</v>
      </c>
      <c r="Q56" s="2" t="s">
        <v>446</v>
      </c>
      <c r="R56" s="2" t="s">
        <v>440</v>
      </c>
      <c r="S56" s="2" t="s">
        <v>34</v>
      </c>
      <c r="T56" s="123">
        <v>3.33</v>
      </c>
      <c r="U56" s="2" t="s">
        <v>2150</v>
      </c>
      <c r="V56" s="136">
        <v>2.2499999999999999E-2</v>
      </c>
      <c r="W56" s="138">
        <v>2.861E-2</v>
      </c>
      <c r="X56" s="3" t="s">
        <v>445</v>
      </c>
      <c r="Y56" s="3" t="s">
        <v>160</v>
      </c>
      <c r="Z56" s="123">
        <v>92083.33</v>
      </c>
      <c r="AA56" s="132">
        <v>1</v>
      </c>
      <c r="AB56" s="149">
        <v>116.27</v>
      </c>
      <c r="AC56" s="123">
        <v>2.927</v>
      </c>
      <c r="AD56" s="123">
        <v>109.992</v>
      </c>
      <c r="AE56" s="2"/>
      <c r="AF56" s="2"/>
      <c r="AG56" s="2" t="s">
        <v>36</v>
      </c>
      <c r="AH56" s="138">
        <v>5.3000000000000001E-5</v>
      </c>
      <c r="AI56" s="138">
        <v>2.0457953998133899E-2</v>
      </c>
      <c r="AJ56" s="138">
        <v>4.8817349959029196E-3</v>
      </c>
    </row>
    <row r="57" spans="1:36">
      <c r="A57" s="2">
        <v>161</v>
      </c>
      <c r="B57" s="2">
        <v>1434</v>
      </c>
      <c r="C57" s="2" t="s">
        <v>1675</v>
      </c>
      <c r="D57" s="2" t="s">
        <v>1676</v>
      </c>
      <c r="E57" s="3" t="s">
        <v>1351</v>
      </c>
      <c r="F57" s="2" t="s">
        <v>2151</v>
      </c>
      <c r="G57" s="2" t="s">
        <v>2152</v>
      </c>
      <c r="H57" s="2" t="s">
        <v>209</v>
      </c>
      <c r="I57" s="2" t="s">
        <v>788</v>
      </c>
      <c r="J57" s="2" t="s">
        <v>30</v>
      </c>
      <c r="K57" s="2" t="s">
        <v>30</v>
      </c>
      <c r="L57" s="2" t="s">
        <v>361</v>
      </c>
      <c r="M57" s="2" t="s">
        <v>31</v>
      </c>
      <c r="N57" s="2" t="s">
        <v>495</v>
      </c>
      <c r="O57" s="2" t="s">
        <v>160</v>
      </c>
      <c r="P57" s="2" t="s">
        <v>1956</v>
      </c>
      <c r="Q57" s="2" t="s">
        <v>446</v>
      </c>
      <c r="R57" s="2" t="s">
        <v>440</v>
      </c>
      <c r="S57" s="2" t="s">
        <v>34</v>
      </c>
      <c r="T57" s="123">
        <v>4.6920000000000002</v>
      </c>
      <c r="U57" s="2" t="s">
        <v>2129</v>
      </c>
      <c r="V57" s="136">
        <v>2.5000000000000001E-3</v>
      </c>
      <c r="W57" s="138">
        <v>2.7019999999999999E-2</v>
      </c>
      <c r="X57" s="3" t="s">
        <v>445</v>
      </c>
      <c r="Y57" s="3" t="s">
        <v>160</v>
      </c>
      <c r="Z57" s="123">
        <v>45580</v>
      </c>
      <c r="AA57" s="132">
        <v>1</v>
      </c>
      <c r="AB57" s="149">
        <v>102.52</v>
      </c>
      <c r="AC57" s="123">
        <v>0.67500000000000004</v>
      </c>
      <c r="AD57" s="123">
        <v>47.404000000000003</v>
      </c>
      <c r="AE57" s="2"/>
      <c r="AF57" s="2"/>
      <c r="AG57" s="2" t="s">
        <v>36</v>
      </c>
      <c r="AH57" s="138">
        <v>3.4E-5</v>
      </c>
      <c r="AI57" s="138">
        <v>8.8168136384083606E-3</v>
      </c>
      <c r="AJ57" s="138">
        <v>2.1038930723423399E-3</v>
      </c>
    </row>
    <row r="58" spans="1:36">
      <c r="A58" s="2">
        <v>161</v>
      </c>
      <c r="B58" s="2">
        <v>1434</v>
      </c>
      <c r="C58" s="2" t="s">
        <v>2153</v>
      </c>
      <c r="D58" s="2" t="s">
        <v>2154</v>
      </c>
      <c r="E58" s="3" t="s">
        <v>1351</v>
      </c>
      <c r="F58" s="2" t="s">
        <v>2155</v>
      </c>
      <c r="G58" s="2" t="s">
        <v>2156</v>
      </c>
      <c r="H58" s="2" t="s">
        <v>209</v>
      </c>
      <c r="I58" s="2" t="s">
        <v>998</v>
      </c>
      <c r="J58" s="2" t="s">
        <v>30</v>
      </c>
      <c r="K58" s="2" t="s">
        <v>30</v>
      </c>
      <c r="L58" s="2" t="s">
        <v>361</v>
      </c>
      <c r="M58" s="2" t="s">
        <v>31</v>
      </c>
      <c r="N58" s="2" t="s">
        <v>476</v>
      </c>
      <c r="O58" s="2" t="s">
        <v>160</v>
      </c>
      <c r="P58" s="2" t="s">
        <v>1999</v>
      </c>
      <c r="Q58" s="2" t="s">
        <v>448</v>
      </c>
      <c r="R58" s="2" t="s">
        <v>440</v>
      </c>
      <c r="S58" s="2" t="s">
        <v>34</v>
      </c>
      <c r="T58" s="123">
        <v>5.0960000000000001</v>
      </c>
      <c r="U58" s="2" t="s">
        <v>2157</v>
      </c>
      <c r="V58" s="136">
        <v>2.98E-2</v>
      </c>
      <c r="W58" s="138">
        <v>4.5560000000000003E-2</v>
      </c>
      <c r="X58" s="3" t="s">
        <v>445</v>
      </c>
      <c r="Y58" s="3" t="s">
        <v>160</v>
      </c>
      <c r="Z58" s="123">
        <v>60000</v>
      </c>
      <c r="AA58" s="132">
        <v>1</v>
      </c>
      <c r="AB58" s="149">
        <v>92.64</v>
      </c>
      <c r="AC58" s="2"/>
      <c r="AD58" s="123">
        <v>55.584000000000003</v>
      </c>
      <c r="AE58" s="2"/>
      <c r="AF58" s="2"/>
      <c r="AG58" s="2" t="s">
        <v>36</v>
      </c>
      <c r="AH58" s="138">
        <v>1.5300000000000001E-4</v>
      </c>
      <c r="AI58" s="138">
        <v>1.0338335644284701E-2</v>
      </c>
      <c r="AJ58" s="138">
        <v>2.4669629679829599E-3</v>
      </c>
    </row>
    <row r="59" spans="1:36">
      <c r="A59" s="2">
        <v>161</v>
      </c>
      <c r="B59" s="2">
        <v>1434</v>
      </c>
      <c r="C59" s="2" t="s">
        <v>1702</v>
      </c>
      <c r="D59" s="2" t="s">
        <v>1703</v>
      </c>
      <c r="E59" s="3" t="s">
        <v>1351</v>
      </c>
      <c r="F59" s="2" t="s">
        <v>2158</v>
      </c>
      <c r="G59" s="2" t="s">
        <v>2159</v>
      </c>
      <c r="H59" s="2" t="s">
        <v>209</v>
      </c>
      <c r="I59" s="2" t="s">
        <v>788</v>
      </c>
      <c r="J59" s="2" t="s">
        <v>30</v>
      </c>
      <c r="K59" s="2" t="s">
        <v>30</v>
      </c>
      <c r="L59" s="2" t="s">
        <v>361</v>
      </c>
      <c r="M59" s="2" t="s">
        <v>31</v>
      </c>
      <c r="N59" s="2" t="s">
        <v>495</v>
      </c>
      <c r="O59" s="2" t="s">
        <v>160</v>
      </c>
      <c r="P59" s="2" t="s">
        <v>88</v>
      </c>
      <c r="Q59" s="2" t="s">
        <v>446</v>
      </c>
      <c r="R59" s="2" t="s">
        <v>440</v>
      </c>
      <c r="S59" s="2" t="s">
        <v>34</v>
      </c>
      <c r="T59" s="123">
        <v>2.6779999999999999</v>
      </c>
      <c r="U59" s="2" t="s">
        <v>2160</v>
      </c>
      <c r="V59" s="136">
        <v>1.34E-2</v>
      </c>
      <c r="W59" s="138">
        <v>2.8029999999999999E-2</v>
      </c>
      <c r="X59" s="3" t="s">
        <v>445</v>
      </c>
      <c r="Y59" s="3" t="s">
        <v>160</v>
      </c>
      <c r="Z59" s="123">
        <v>96875</v>
      </c>
      <c r="AA59" s="132">
        <v>1</v>
      </c>
      <c r="AB59" s="149">
        <v>114.07</v>
      </c>
      <c r="AC59" s="123">
        <v>12.332000000000001</v>
      </c>
      <c r="AD59" s="123">
        <v>122.83799999999999</v>
      </c>
      <c r="AE59" s="2"/>
      <c r="AF59" s="2"/>
      <c r="AG59" s="2" t="s">
        <v>36</v>
      </c>
      <c r="AH59" s="138">
        <v>4.3999999999999999E-5</v>
      </c>
      <c r="AI59" s="138">
        <v>2.28471884337451E-2</v>
      </c>
      <c r="AJ59" s="138">
        <v>5.4518608921095097E-3</v>
      </c>
    </row>
    <row r="60" spans="1:36">
      <c r="A60" s="2">
        <v>161</v>
      </c>
      <c r="B60" s="2">
        <v>1434</v>
      </c>
      <c r="C60" s="2" t="s">
        <v>1702</v>
      </c>
      <c r="D60" s="2" t="s">
        <v>1703</v>
      </c>
      <c r="E60" s="3" t="s">
        <v>1351</v>
      </c>
      <c r="F60" s="2" t="s">
        <v>2161</v>
      </c>
      <c r="G60" s="2" t="s">
        <v>2162</v>
      </c>
      <c r="H60" s="2" t="s">
        <v>209</v>
      </c>
      <c r="I60" s="2" t="s">
        <v>788</v>
      </c>
      <c r="J60" s="2" t="s">
        <v>30</v>
      </c>
      <c r="K60" s="2" t="s">
        <v>30</v>
      </c>
      <c r="L60" s="2" t="s">
        <v>361</v>
      </c>
      <c r="M60" s="2" t="s">
        <v>31</v>
      </c>
      <c r="N60" s="2" t="s">
        <v>495</v>
      </c>
      <c r="O60" s="2" t="s">
        <v>160</v>
      </c>
      <c r="P60" s="2" t="s">
        <v>2163</v>
      </c>
      <c r="Q60" s="2" t="s">
        <v>448</v>
      </c>
      <c r="R60" s="2" t="s">
        <v>440</v>
      </c>
      <c r="S60" s="2" t="s">
        <v>34</v>
      </c>
      <c r="T60" s="123">
        <v>1.9570000000000001</v>
      </c>
      <c r="U60" s="2" t="s">
        <v>2014</v>
      </c>
      <c r="V60" s="136">
        <v>1.77E-2</v>
      </c>
      <c r="W60" s="138">
        <v>2.8219999999999999E-2</v>
      </c>
      <c r="X60" s="3" t="s">
        <v>445</v>
      </c>
      <c r="Y60" s="3" t="s">
        <v>160</v>
      </c>
      <c r="Z60" s="123">
        <v>193668.01</v>
      </c>
      <c r="AA60" s="132">
        <v>1</v>
      </c>
      <c r="AB60" s="149">
        <v>114.73</v>
      </c>
      <c r="AC60" s="2"/>
      <c r="AD60" s="123">
        <v>222.19499999999999</v>
      </c>
      <c r="AE60" s="2"/>
      <c r="AF60" s="2"/>
      <c r="AG60" s="2" t="s">
        <v>36</v>
      </c>
      <c r="AH60" s="138">
        <v>8.0000000000000007E-5</v>
      </c>
      <c r="AI60" s="138">
        <v>4.1327174571391997E-2</v>
      </c>
      <c r="AJ60" s="138">
        <v>9.8616075881955804E-3</v>
      </c>
    </row>
    <row r="61" spans="1:36">
      <c r="A61" s="2">
        <v>161</v>
      </c>
      <c r="B61" s="2">
        <v>1434</v>
      </c>
      <c r="C61" s="2" t="s">
        <v>1702</v>
      </c>
      <c r="D61" s="2" t="s">
        <v>1703</v>
      </c>
      <c r="E61" s="3" t="s">
        <v>1351</v>
      </c>
      <c r="F61" s="2" t="s">
        <v>2164</v>
      </c>
      <c r="G61" s="2" t="s">
        <v>2165</v>
      </c>
      <c r="H61" s="2" t="s">
        <v>209</v>
      </c>
      <c r="I61" s="2" t="s">
        <v>788</v>
      </c>
      <c r="J61" s="2" t="s">
        <v>30</v>
      </c>
      <c r="K61" s="2" t="s">
        <v>30</v>
      </c>
      <c r="L61" s="2" t="s">
        <v>361</v>
      </c>
      <c r="M61" s="2" t="s">
        <v>31</v>
      </c>
      <c r="N61" s="2" t="s">
        <v>495</v>
      </c>
      <c r="O61" s="2" t="s">
        <v>160</v>
      </c>
      <c r="P61" s="2" t="s">
        <v>88</v>
      </c>
      <c r="Q61" s="2" t="s">
        <v>446</v>
      </c>
      <c r="R61" s="2" t="s">
        <v>440</v>
      </c>
      <c r="S61" s="2" t="s">
        <v>34</v>
      </c>
      <c r="T61" s="123">
        <v>6.4160000000000004</v>
      </c>
      <c r="U61" s="2" t="s">
        <v>2166</v>
      </c>
      <c r="V61" s="136">
        <v>8.9999999999999993E-3</v>
      </c>
      <c r="W61" s="138">
        <v>2.8410000000000001E-2</v>
      </c>
      <c r="X61" s="3" t="s">
        <v>445</v>
      </c>
      <c r="Y61" s="3" t="s">
        <v>160</v>
      </c>
      <c r="Z61" s="123">
        <v>22080</v>
      </c>
      <c r="AA61" s="132">
        <v>1</v>
      </c>
      <c r="AB61" s="149">
        <v>101.93</v>
      </c>
      <c r="AC61" s="123">
        <v>0.64700000000000002</v>
      </c>
      <c r="AD61" s="123">
        <v>23.154</v>
      </c>
      <c r="AE61" s="2"/>
      <c r="AF61" s="2"/>
      <c r="AG61" s="2" t="s">
        <v>36</v>
      </c>
      <c r="AH61" s="138">
        <v>7.9999999999999996E-6</v>
      </c>
      <c r="AI61" s="138">
        <v>4.3064334894330298E-3</v>
      </c>
      <c r="AJ61" s="138">
        <v>1.0276133710541699E-3</v>
      </c>
    </row>
    <row r="62" spans="1:36">
      <c r="A62" s="2">
        <v>161</v>
      </c>
      <c r="B62" s="2">
        <v>1434</v>
      </c>
      <c r="C62" s="2" t="s">
        <v>1610</v>
      </c>
      <c r="D62" s="2" t="s">
        <v>1611</v>
      </c>
      <c r="E62" s="3" t="s">
        <v>1351</v>
      </c>
      <c r="F62" s="2" t="s">
        <v>2167</v>
      </c>
      <c r="G62" s="2" t="s">
        <v>2168</v>
      </c>
      <c r="H62" s="2" t="s">
        <v>209</v>
      </c>
      <c r="I62" s="2" t="s">
        <v>998</v>
      </c>
      <c r="J62" s="2" t="s">
        <v>30</v>
      </c>
      <c r="K62" s="2" t="s">
        <v>30</v>
      </c>
      <c r="L62" s="2" t="s">
        <v>361</v>
      </c>
      <c r="M62" s="2" t="s">
        <v>31</v>
      </c>
      <c r="N62" s="2" t="s">
        <v>479</v>
      </c>
      <c r="O62" s="2" t="s">
        <v>160</v>
      </c>
      <c r="P62" s="2" t="s">
        <v>1199</v>
      </c>
      <c r="Q62" s="2" t="s">
        <v>446</v>
      </c>
      <c r="R62" s="2" t="s">
        <v>440</v>
      </c>
      <c r="S62" s="2" t="s">
        <v>34</v>
      </c>
      <c r="T62" s="123">
        <v>3.181</v>
      </c>
      <c r="U62" s="2" t="s">
        <v>2169</v>
      </c>
      <c r="V62" s="136">
        <v>2.5000000000000001E-2</v>
      </c>
      <c r="W62" s="138">
        <v>4.3069999999999997E-2</v>
      </c>
      <c r="X62" s="3" t="s">
        <v>445</v>
      </c>
      <c r="Y62" s="3" t="s">
        <v>160</v>
      </c>
      <c r="Z62" s="123">
        <v>148750</v>
      </c>
      <c r="AA62" s="132">
        <v>1</v>
      </c>
      <c r="AB62" s="149">
        <v>95.85</v>
      </c>
      <c r="AC62" s="2"/>
      <c r="AD62" s="123">
        <v>142.577</v>
      </c>
      <c r="AE62" s="2"/>
      <c r="AF62" s="2"/>
      <c r="AG62" s="2" t="s">
        <v>36</v>
      </c>
      <c r="AH62" s="138">
        <v>7.2999999999999999E-5</v>
      </c>
      <c r="AI62" s="138">
        <v>2.6518559097280299E-2</v>
      </c>
      <c r="AJ62" s="138">
        <v>6.3279337707925799E-3</v>
      </c>
    </row>
    <row r="63" spans="1:36">
      <c r="A63" s="2">
        <v>161</v>
      </c>
      <c r="B63" s="2">
        <v>1434</v>
      </c>
      <c r="C63" s="2" t="s">
        <v>1610</v>
      </c>
      <c r="D63" s="2" t="s">
        <v>1611</v>
      </c>
      <c r="E63" s="3" t="s">
        <v>1351</v>
      </c>
      <c r="F63" s="2" t="s">
        <v>2170</v>
      </c>
      <c r="G63" s="2" t="s">
        <v>2171</v>
      </c>
      <c r="H63" s="2" t="s">
        <v>209</v>
      </c>
      <c r="I63" s="2" t="s">
        <v>788</v>
      </c>
      <c r="J63" s="2" t="s">
        <v>30</v>
      </c>
      <c r="K63" s="2" t="s">
        <v>30</v>
      </c>
      <c r="L63" s="2" t="s">
        <v>361</v>
      </c>
      <c r="M63" s="2" t="s">
        <v>31</v>
      </c>
      <c r="N63" s="2" t="s">
        <v>479</v>
      </c>
      <c r="O63" s="2" t="s">
        <v>160</v>
      </c>
      <c r="P63" s="2" t="s">
        <v>1199</v>
      </c>
      <c r="Q63" s="2" t="s">
        <v>446</v>
      </c>
      <c r="R63" s="2" t="s">
        <v>440</v>
      </c>
      <c r="S63" s="2" t="s">
        <v>34</v>
      </c>
      <c r="T63" s="123">
        <v>3.335</v>
      </c>
      <c r="U63" s="2" t="s">
        <v>2169</v>
      </c>
      <c r="V63" s="136">
        <v>1E-3</v>
      </c>
      <c r="W63" s="138">
        <v>2.5729999999999999E-2</v>
      </c>
      <c r="X63" s="3" t="s">
        <v>445</v>
      </c>
      <c r="Y63" s="3" t="s">
        <v>160</v>
      </c>
      <c r="Z63" s="123">
        <v>103106.5</v>
      </c>
      <c r="AA63" s="132">
        <v>1</v>
      </c>
      <c r="AB63" s="149">
        <v>105.19</v>
      </c>
      <c r="AC63" s="2"/>
      <c r="AD63" s="123">
        <v>108.458</v>
      </c>
      <c r="AE63" s="2"/>
      <c r="AF63" s="2"/>
      <c r="AG63" s="2" t="s">
        <v>36</v>
      </c>
      <c r="AH63" s="138">
        <v>1.05E-4</v>
      </c>
      <c r="AI63" s="138">
        <v>2.0172574635877599E-2</v>
      </c>
      <c r="AJ63" s="138">
        <v>4.8136369632275902E-3</v>
      </c>
    </row>
    <row r="64" spans="1:36">
      <c r="A64" s="2">
        <v>161</v>
      </c>
      <c r="B64" s="2">
        <v>1434</v>
      </c>
      <c r="C64" s="2" t="s">
        <v>1610</v>
      </c>
      <c r="D64" s="2" t="s">
        <v>1611</v>
      </c>
      <c r="E64" s="3" t="s">
        <v>1351</v>
      </c>
      <c r="F64" s="2" t="s">
        <v>2172</v>
      </c>
      <c r="G64" s="2" t="s">
        <v>2173</v>
      </c>
      <c r="H64" s="2" t="s">
        <v>209</v>
      </c>
      <c r="I64" s="2" t="s">
        <v>788</v>
      </c>
      <c r="J64" s="2" t="s">
        <v>30</v>
      </c>
      <c r="K64" s="2" t="s">
        <v>30</v>
      </c>
      <c r="L64" s="2" t="s">
        <v>361</v>
      </c>
      <c r="M64" s="2" t="s">
        <v>31</v>
      </c>
      <c r="N64" s="2" t="s">
        <v>479</v>
      </c>
      <c r="O64" s="2" t="s">
        <v>160</v>
      </c>
      <c r="P64" s="2" t="s">
        <v>1199</v>
      </c>
      <c r="Q64" s="2" t="s">
        <v>446</v>
      </c>
      <c r="R64" s="2" t="s">
        <v>440</v>
      </c>
      <c r="S64" s="2" t="s">
        <v>34</v>
      </c>
      <c r="T64" s="123">
        <v>3.7149999999999999</v>
      </c>
      <c r="U64" s="2" t="s">
        <v>2174</v>
      </c>
      <c r="V64" s="136">
        <v>1.3899999999999999E-2</v>
      </c>
      <c r="W64" s="138">
        <v>2.511E-2</v>
      </c>
      <c r="X64" s="3" t="s">
        <v>445</v>
      </c>
      <c r="Y64" s="3" t="s">
        <v>160</v>
      </c>
      <c r="Z64" s="123">
        <v>127288.89</v>
      </c>
      <c r="AA64" s="132">
        <v>1</v>
      </c>
      <c r="AB64" s="149">
        <v>105.13</v>
      </c>
      <c r="AC64" s="2"/>
      <c r="AD64" s="123">
        <v>133.81899999999999</v>
      </c>
      <c r="AE64" s="2"/>
      <c r="AF64" s="2"/>
      <c r="AG64" s="2" t="s">
        <v>36</v>
      </c>
      <c r="AH64" s="138">
        <v>8.0000000000000007E-5</v>
      </c>
      <c r="AI64" s="138">
        <v>2.4889604452505199E-2</v>
      </c>
      <c r="AJ64" s="138">
        <v>5.9392279942099202E-3</v>
      </c>
    </row>
    <row r="65" spans="1:36">
      <c r="A65" s="2">
        <v>161</v>
      </c>
      <c r="B65" s="2">
        <v>1434</v>
      </c>
      <c r="C65" s="2" t="s">
        <v>1610</v>
      </c>
      <c r="D65" s="2" t="s">
        <v>1611</v>
      </c>
      <c r="E65" s="3" t="s">
        <v>1351</v>
      </c>
      <c r="F65" s="2" t="s">
        <v>2175</v>
      </c>
      <c r="G65" s="2" t="s">
        <v>2176</v>
      </c>
      <c r="H65" s="2" t="s">
        <v>209</v>
      </c>
      <c r="I65" s="2" t="s">
        <v>788</v>
      </c>
      <c r="J65" s="2" t="s">
        <v>30</v>
      </c>
      <c r="K65" s="2" t="s">
        <v>30</v>
      </c>
      <c r="L65" s="2" t="s">
        <v>361</v>
      </c>
      <c r="M65" s="2" t="s">
        <v>31</v>
      </c>
      <c r="N65" s="2" t="s">
        <v>479</v>
      </c>
      <c r="O65" s="2" t="s">
        <v>160</v>
      </c>
      <c r="P65" s="2" t="s">
        <v>1199</v>
      </c>
      <c r="Q65" s="2" t="s">
        <v>446</v>
      </c>
      <c r="R65" s="2" t="s">
        <v>440</v>
      </c>
      <c r="S65" s="2" t="s">
        <v>34</v>
      </c>
      <c r="T65" s="123">
        <v>1.806</v>
      </c>
      <c r="U65" s="2" t="s">
        <v>2177</v>
      </c>
      <c r="V65" s="136">
        <v>6.0000000000000001E-3</v>
      </c>
      <c r="W65" s="138">
        <v>2.4760000000000001E-2</v>
      </c>
      <c r="X65" s="3" t="s">
        <v>445</v>
      </c>
      <c r="Y65" s="3" t="s">
        <v>160</v>
      </c>
      <c r="Z65" s="123">
        <v>54164.62</v>
      </c>
      <c r="AA65" s="132">
        <v>1</v>
      </c>
      <c r="AB65" s="149">
        <v>114.32</v>
      </c>
      <c r="AC65" s="2"/>
      <c r="AD65" s="123">
        <v>61.920999999999999</v>
      </c>
      <c r="AE65" s="2"/>
      <c r="AF65" s="2"/>
      <c r="AG65" s="2" t="s">
        <v>36</v>
      </c>
      <c r="AH65" s="138">
        <v>8.1000000000000004E-5</v>
      </c>
      <c r="AI65" s="138">
        <v>1.15169835761909E-2</v>
      </c>
      <c r="AJ65" s="138">
        <v>2.7482152798006302E-3</v>
      </c>
    </row>
    <row r="66" spans="1:36">
      <c r="A66" s="2">
        <v>161</v>
      </c>
      <c r="B66" s="2">
        <v>1434</v>
      </c>
      <c r="C66" s="2" t="s">
        <v>1610</v>
      </c>
      <c r="D66" s="2" t="s">
        <v>1611</v>
      </c>
      <c r="E66" s="3" t="s">
        <v>1351</v>
      </c>
      <c r="F66" s="2" t="s">
        <v>2178</v>
      </c>
      <c r="G66" s="2" t="s">
        <v>2179</v>
      </c>
      <c r="H66" s="2" t="s">
        <v>209</v>
      </c>
      <c r="I66" s="2" t="s">
        <v>788</v>
      </c>
      <c r="J66" s="2" t="s">
        <v>30</v>
      </c>
      <c r="K66" s="2" t="s">
        <v>30</v>
      </c>
      <c r="L66" s="2" t="s">
        <v>361</v>
      </c>
      <c r="M66" s="2" t="s">
        <v>31</v>
      </c>
      <c r="N66" s="2" t="s">
        <v>479</v>
      </c>
      <c r="O66" s="2" t="s">
        <v>160</v>
      </c>
      <c r="P66" s="2" t="s">
        <v>1199</v>
      </c>
      <c r="Q66" s="2" t="s">
        <v>446</v>
      </c>
      <c r="R66" s="2" t="s">
        <v>440</v>
      </c>
      <c r="S66" s="2" t="s">
        <v>34</v>
      </c>
      <c r="T66" s="123">
        <v>2.8039999999999998</v>
      </c>
      <c r="U66" s="2" t="s">
        <v>2180</v>
      </c>
      <c r="V66" s="136">
        <v>1.7500000000000002E-2</v>
      </c>
      <c r="W66" s="138">
        <v>2.4469999999999999E-2</v>
      </c>
      <c r="X66" s="3" t="s">
        <v>445</v>
      </c>
      <c r="Y66" s="3" t="s">
        <v>160</v>
      </c>
      <c r="Z66" s="123">
        <v>125369.52</v>
      </c>
      <c r="AA66" s="132">
        <v>1</v>
      </c>
      <c r="AB66" s="149">
        <v>115.29</v>
      </c>
      <c r="AC66" s="2"/>
      <c r="AD66" s="123">
        <v>144.53899999999999</v>
      </c>
      <c r="AE66" s="2"/>
      <c r="AF66" s="2"/>
      <c r="AG66" s="2" t="s">
        <v>36</v>
      </c>
      <c r="AH66" s="138">
        <v>5.5999999999999999E-5</v>
      </c>
      <c r="AI66" s="138">
        <v>2.6883414817852901E-2</v>
      </c>
      <c r="AJ66" s="138">
        <v>6.4149966774614004E-3</v>
      </c>
    </row>
    <row r="67" spans="1:36">
      <c r="A67" s="2">
        <v>161</v>
      </c>
      <c r="B67" s="2">
        <v>1434</v>
      </c>
      <c r="C67" s="2" t="s">
        <v>1610</v>
      </c>
      <c r="D67" s="2" t="s">
        <v>1611</v>
      </c>
      <c r="E67" s="3" t="s">
        <v>1351</v>
      </c>
      <c r="F67" s="2" t="s">
        <v>2181</v>
      </c>
      <c r="G67" s="2" t="s">
        <v>2182</v>
      </c>
      <c r="H67" s="2" t="s">
        <v>209</v>
      </c>
      <c r="I67" s="2" t="s">
        <v>788</v>
      </c>
      <c r="J67" s="2" t="s">
        <v>30</v>
      </c>
      <c r="K67" s="2" t="s">
        <v>30</v>
      </c>
      <c r="L67" s="2" t="s">
        <v>361</v>
      </c>
      <c r="M67" s="2" t="s">
        <v>58</v>
      </c>
      <c r="N67" s="2" t="s">
        <v>479</v>
      </c>
      <c r="O67" s="2" t="s">
        <v>160</v>
      </c>
      <c r="P67" s="2" t="s">
        <v>1969</v>
      </c>
      <c r="Q67" s="2" t="s">
        <v>446</v>
      </c>
      <c r="R67" s="2" t="s">
        <v>440</v>
      </c>
      <c r="S67" s="2" t="s">
        <v>34</v>
      </c>
      <c r="T67" s="123">
        <v>6.56</v>
      </c>
      <c r="U67" s="2" t="s">
        <v>2183</v>
      </c>
      <c r="V67" s="136">
        <v>3.4500000000000003E-2</v>
      </c>
      <c r="W67" s="138">
        <v>2.903E-2</v>
      </c>
      <c r="X67" s="3" t="s">
        <v>445</v>
      </c>
      <c r="Y67" s="3" t="s">
        <v>160</v>
      </c>
      <c r="Z67" s="123">
        <v>50000</v>
      </c>
      <c r="AA67" s="132">
        <v>1</v>
      </c>
      <c r="AB67" s="149">
        <v>106.85</v>
      </c>
      <c r="AC67" s="2"/>
      <c r="AD67" s="123">
        <v>53.424999999999997</v>
      </c>
      <c r="AE67" s="2"/>
      <c r="AF67" s="2"/>
      <c r="AG67" s="2" t="s">
        <v>36</v>
      </c>
      <c r="AH67" s="138">
        <v>3.4E-5</v>
      </c>
      <c r="AI67" s="138">
        <v>9.9367728446299597E-3</v>
      </c>
      <c r="AJ67" s="138">
        <v>2.3711409140128401E-3</v>
      </c>
    </row>
    <row r="68" spans="1:36">
      <c r="A68" s="2">
        <v>161</v>
      </c>
      <c r="B68" s="2">
        <v>1434</v>
      </c>
      <c r="C68" s="2" t="s">
        <v>1710</v>
      </c>
      <c r="D68" s="2" t="s">
        <v>1711</v>
      </c>
      <c r="E68" s="3" t="s">
        <v>1351</v>
      </c>
      <c r="F68" s="2" t="s">
        <v>2184</v>
      </c>
      <c r="G68" s="2" t="s">
        <v>2185</v>
      </c>
      <c r="H68" s="2" t="s">
        <v>209</v>
      </c>
      <c r="I68" s="2" t="s">
        <v>998</v>
      </c>
      <c r="J68" s="2" t="s">
        <v>30</v>
      </c>
      <c r="K68" s="2" t="s">
        <v>30</v>
      </c>
      <c r="L68" s="2" t="s">
        <v>361</v>
      </c>
      <c r="M68" s="2" t="s">
        <v>31</v>
      </c>
      <c r="N68" s="2" t="s">
        <v>508</v>
      </c>
      <c r="O68" s="2" t="s">
        <v>160</v>
      </c>
      <c r="P68" s="2" t="s">
        <v>1969</v>
      </c>
      <c r="Q68" s="2" t="s">
        <v>446</v>
      </c>
      <c r="R68" s="2" t="s">
        <v>440</v>
      </c>
      <c r="S68" s="2" t="s">
        <v>34</v>
      </c>
      <c r="T68" s="123">
        <v>0.90200000000000002</v>
      </c>
      <c r="U68" s="2" t="s">
        <v>2186</v>
      </c>
      <c r="V68" s="136">
        <v>2.29E-2</v>
      </c>
      <c r="W68" s="138">
        <v>4.7030000000000002E-2</v>
      </c>
      <c r="X68" s="3" t="s">
        <v>445</v>
      </c>
      <c r="Y68" s="3" t="s">
        <v>160</v>
      </c>
      <c r="Z68" s="123">
        <v>21923.08</v>
      </c>
      <c r="AA68" s="132">
        <v>1</v>
      </c>
      <c r="AB68" s="149">
        <v>98.11</v>
      </c>
      <c r="AC68" s="2"/>
      <c r="AD68" s="123">
        <v>21.509</v>
      </c>
      <c r="AE68" s="2"/>
      <c r="AF68" s="2"/>
      <c r="AG68" s="2" t="s">
        <v>36</v>
      </c>
      <c r="AH68" s="138">
        <v>6.6000000000000005E-5</v>
      </c>
      <c r="AI68" s="138">
        <v>4.0005129027042199E-3</v>
      </c>
      <c r="AJ68" s="138">
        <v>9.5461373314622503E-4</v>
      </c>
    </row>
    <row r="69" spans="1:36">
      <c r="A69" s="2">
        <v>161</v>
      </c>
      <c r="B69" s="2">
        <v>1434</v>
      </c>
      <c r="C69" s="2" t="s">
        <v>2187</v>
      </c>
      <c r="D69" s="2" t="s">
        <v>2188</v>
      </c>
      <c r="E69" s="3" t="s">
        <v>1351</v>
      </c>
      <c r="F69" s="2" t="s">
        <v>2189</v>
      </c>
      <c r="G69" s="2" t="s">
        <v>2190</v>
      </c>
      <c r="H69" s="2" t="s">
        <v>209</v>
      </c>
      <c r="I69" s="2" t="s">
        <v>788</v>
      </c>
      <c r="J69" s="2" t="s">
        <v>30</v>
      </c>
      <c r="K69" s="2" t="s">
        <v>30</v>
      </c>
      <c r="L69" s="2" t="s">
        <v>361</v>
      </c>
      <c r="M69" s="2" t="s">
        <v>31</v>
      </c>
      <c r="N69" s="2" t="s">
        <v>471</v>
      </c>
      <c r="O69" s="2" t="s">
        <v>160</v>
      </c>
      <c r="P69" s="2" t="s">
        <v>1969</v>
      </c>
      <c r="Q69" s="2" t="s">
        <v>446</v>
      </c>
      <c r="R69" s="2" t="s">
        <v>440</v>
      </c>
      <c r="S69" s="2" t="s">
        <v>34</v>
      </c>
      <c r="T69" s="123">
        <v>1.867</v>
      </c>
      <c r="U69" s="2" t="s">
        <v>2191</v>
      </c>
      <c r="V69" s="136">
        <v>1.9400000000000001E-2</v>
      </c>
      <c r="W69" s="138">
        <v>2.63E-2</v>
      </c>
      <c r="X69" s="3" t="s">
        <v>445</v>
      </c>
      <c r="Y69" s="3" t="s">
        <v>160</v>
      </c>
      <c r="Z69" s="123">
        <v>32007.68</v>
      </c>
      <c r="AA69" s="132">
        <v>1</v>
      </c>
      <c r="AB69" s="149">
        <v>116.7</v>
      </c>
      <c r="AC69" s="2"/>
      <c r="AD69" s="123">
        <v>37.353000000000002</v>
      </c>
      <c r="AE69" s="2"/>
      <c r="AF69" s="2"/>
      <c r="AG69" s="2" t="s">
        <v>36</v>
      </c>
      <c r="AH69" s="138">
        <v>1.3300000000000001E-4</v>
      </c>
      <c r="AI69" s="138">
        <v>6.9474572584499296E-3</v>
      </c>
      <c r="AJ69" s="138">
        <v>1.6578219520001099E-3</v>
      </c>
    </row>
    <row r="70" spans="1:36">
      <c r="A70" s="2">
        <v>161</v>
      </c>
      <c r="B70" s="2">
        <v>1434</v>
      </c>
      <c r="C70" s="2" t="s">
        <v>1885</v>
      </c>
      <c r="D70" s="2" t="s">
        <v>1886</v>
      </c>
      <c r="E70" s="3" t="s">
        <v>1351</v>
      </c>
      <c r="F70" s="2" t="s">
        <v>2192</v>
      </c>
      <c r="G70" s="2" t="s">
        <v>2193</v>
      </c>
      <c r="H70" s="2" t="s">
        <v>209</v>
      </c>
      <c r="I70" s="2" t="s">
        <v>998</v>
      </c>
      <c r="J70" s="2" t="s">
        <v>30</v>
      </c>
      <c r="K70" s="2" t="s">
        <v>30</v>
      </c>
      <c r="L70" s="2" t="s">
        <v>361</v>
      </c>
      <c r="M70" s="2" t="s">
        <v>31</v>
      </c>
      <c r="N70" s="2" t="s">
        <v>493</v>
      </c>
      <c r="O70" s="2" t="s">
        <v>160</v>
      </c>
      <c r="P70" s="2" t="s">
        <v>1969</v>
      </c>
      <c r="Q70" s="2" t="s">
        <v>446</v>
      </c>
      <c r="R70" s="2" t="s">
        <v>440</v>
      </c>
      <c r="S70" s="2" t="s">
        <v>34</v>
      </c>
      <c r="T70" s="123">
        <v>1.694</v>
      </c>
      <c r="U70" s="2" t="s">
        <v>2194</v>
      </c>
      <c r="V70" s="136">
        <v>2.1499999999999998E-2</v>
      </c>
      <c r="W70" s="138">
        <v>4.9500000000000002E-2</v>
      </c>
      <c r="X70" s="3" t="s">
        <v>445</v>
      </c>
      <c r="Y70" s="3" t="s">
        <v>160</v>
      </c>
      <c r="Z70" s="123">
        <v>104031.96</v>
      </c>
      <c r="AA70" s="132">
        <v>1</v>
      </c>
      <c r="AB70" s="149">
        <v>95.52</v>
      </c>
      <c r="AC70" s="123">
        <v>8.5860000000000003</v>
      </c>
      <c r="AD70" s="123">
        <v>107.95699999999999</v>
      </c>
      <c r="AE70" s="2"/>
      <c r="AF70" s="2"/>
      <c r="AG70" s="2" t="s">
        <v>36</v>
      </c>
      <c r="AH70" s="138">
        <v>1.47E-4</v>
      </c>
      <c r="AI70" s="138">
        <v>2.0079523447862999E-2</v>
      </c>
      <c r="AJ70" s="138">
        <v>4.7914328248771804E-3</v>
      </c>
    </row>
    <row r="71" spans="1:36">
      <c r="A71" s="2">
        <v>161</v>
      </c>
      <c r="B71" s="2">
        <v>1434</v>
      </c>
      <c r="C71" s="2" t="s">
        <v>2195</v>
      </c>
      <c r="D71" s="2" t="s">
        <v>2196</v>
      </c>
      <c r="E71" s="3" t="s">
        <v>1351</v>
      </c>
      <c r="F71" s="2" t="s">
        <v>2197</v>
      </c>
      <c r="G71" s="2" t="s">
        <v>2198</v>
      </c>
      <c r="H71" s="2" t="s">
        <v>209</v>
      </c>
      <c r="I71" s="2" t="s">
        <v>788</v>
      </c>
      <c r="J71" s="2" t="s">
        <v>30</v>
      </c>
      <c r="K71" s="2" t="s">
        <v>30</v>
      </c>
      <c r="L71" s="2" t="s">
        <v>361</v>
      </c>
      <c r="M71" s="2" t="s">
        <v>31</v>
      </c>
      <c r="N71" s="2" t="s">
        <v>495</v>
      </c>
      <c r="O71" s="2" t="s">
        <v>160</v>
      </c>
      <c r="P71" s="2" t="s">
        <v>1956</v>
      </c>
      <c r="Q71" s="2" t="s">
        <v>446</v>
      </c>
      <c r="R71" s="2" t="s">
        <v>440</v>
      </c>
      <c r="S71" s="2" t="s">
        <v>34</v>
      </c>
      <c r="T71" s="123">
        <v>6.0019999999999998</v>
      </c>
      <c r="U71" s="2" t="s">
        <v>2199</v>
      </c>
      <c r="V71" s="136">
        <v>2.5000000000000001E-2</v>
      </c>
      <c r="W71" s="138">
        <v>2.9499999999999998E-2</v>
      </c>
      <c r="X71" s="3" t="s">
        <v>445</v>
      </c>
      <c r="Y71" s="3" t="s">
        <v>160</v>
      </c>
      <c r="Z71" s="123">
        <v>19950</v>
      </c>
      <c r="AA71" s="132">
        <v>1</v>
      </c>
      <c r="AB71" s="149">
        <v>114.89</v>
      </c>
      <c r="AC71" s="2"/>
      <c r="AD71" s="123">
        <v>22.920999999999999</v>
      </c>
      <c r="AE71" s="2"/>
      <c r="AF71" s="2"/>
      <c r="AG71" s="2" t="s">
        <v>36</v>
      </c>
      <c r="AH71" s="138">
        <v>1.5E-5</v>
      </c>
      <c r="AI71" s="138">
        <v>4.26310432396532E-3</v>
      </c>
      <c r="AJ71" s="138">
        <v>1.0172740427212301E-3</v>
      </c>
    </row>
    <row r="72" spans="1:36">
      <c r="A72" s="2">
        <v>161</v>
      </c>
      <c r="B72" s="2">
        <v>1434</v>
      </c>
      <c r="C72" s="2" t="s">
        <v>2200</v>
      </c>
      <c r="D72" s="2" t="s">
        <v>2201</v>
      </c>
      <c r="E72" s="3" t="s">
        <v>1351</v>
      </c>
      <c r="F72" s="2" t="s">
        <v>2202</v>
      </c>
      <c r="G72" s="2" t="s">
        <v>2203</v>
      </c>
      <c r="H72" s="2" t="s">
        <v>209</v>
      </c>
      <c r="I72" s="2" t="s">
        <v>998</v>
      </c>
      <c r="J72" s="2" t="s">
        <v>30</v>
      </c>
      <c r="K72" s="2" t="s">
        <v>30</v>
      </c>
      <c r="L72" s="2" t="s">
        <v>361</v>
      </c>
      <c r="M72" s="2" t="s">
        <v>31</v>
      </c>
      <c r="N72" s="2" t="s">
        <v>471</v>
      </c>
      <c r="O72" s="2" t="s">
        <v>160</v>
      </c>
      <c r="P72" s="2" t="s">
        <v>2008</v>
      </c>
      <c r="Q72" s="2" t="s">
        <v>448</v>
      </c>
      <c r="R72" s="2" t="s">
        <v>440</v>
      </c>
      <c r="S72" s="2" t="s">
        <v>34</v>
      </c>
      <c r="T72" s="123">
        <v>4.2729999999999997</v>
      </c>
      <c r="U72" s="2" t="s">
        <v>2204</v>
      </c>
      <c r="V72" s="136">
        <v>6.7699999999999996E-2</v>
      </c>
      <c r="W72" s="138">
        <v>5.015E-2</v>
      </c>
      <c r="X72" s="3" t="s">
        <v>445</v>
      </c>
      <c r="Y72" s="3" t="s">
        <v>160</v>
      </c>
      <c r="Z72" s="123">
        <v>36000</v>
      </c>
      <c r="AA72" s="132">
        <v>1</v>
      </c>
      <c r="AB72" s="149">
        <v>107.74</v>
      </c>
      <c r="AC72" s="2"/>
      <c r="AD72" s="123">
        <v>38.786000000000001</v>
      </c>
      <c r="AE72" s="2"/>
      <c r="AF72" s="2"/>
      <c r="AG72" s="2" t="s">
        <v>36</v>
      </c>
      <c r="AH72" s="138">
        <v>5.3000000000000001E-5</v>
      </c>
      <c r="AI72" s="138">
        <v>7.2140691859795096E-3</v>
      </c>
      <c r="AJ72" s="138">
        <v>1.7214416461818901E-3</v>
      </c>
    </row>
    <row r="73" spans="1:36">
      <c r="A73" s="2">
        <v>161</v>
      </c>
      <c r="B73" s="2">
        <v>1434</v>
      </c>
      <c r="C73" s="2" t="s">
        <v>2205</v>
      </c>
      <c r="D73" s="2" t="s">
        <v>2206</v>
      </c>
      <c r="E73" s="3" t="s">
        <v>1351</v>
      </c>
      <c r="F73" s="2" t="s">
        <v>2207</v>
      </c>
      <c r="G73" s="2" t="s">
        <v>2208</v>
      </c>
      <c r="H73" s="2" t="s">
        <v>209</v>
      </c>
      <c r="I73" s="2" t="s">
        <v>788</v>
      </c>
      <c r="J73" s="2" t="s">
        <v>30</v>
      </c>
      <c r="K73" s="2" t="s">
        <v>30</v>
      </c>
      <c r="L73" s="2" t="s">
        <v>361</v>
      </c>
      <c r="M73" s="2" t="s">
        <v>31</v>
      </c>
      <c r="N73" s="2" t="s">
        <v>509</v>
      </c>
      <c r="O73" s="2" t="s">
        <v>160</v>
      </c>
      <c r="P73" s="2" t="s">
        <v>1956</v>
      </c>
      <c r="Q73" s="2" t="s">
        <v>446</v>
      </c>
      <c r="R73" s="2" t="s">
        <v>440</v>
      </c>
      <c r="S73" s="2" t="s">
        <v>34</v>
      </c>
      <c r="T73" s="123">
        <v>3.1760000000000002</v>
      </c>
      <c r="U73" s="2" t="s">
        <v>2209</v>
      </c>
      <c r="V73" s="136">
        <v>2.1999999999999999E-2</v>
      </c>
      <c r="W73" s="138">
        <v>2.818E-2</v>
      </c>
      <c r="X73" s="3" t="s">
        <v>445</v>
      </c>
      <c r="Y73" s="3" t="s">
        <v>160</v>
      </c>
      <c r="Z73" s="123">
        <v>39000.019999999997</v>
      </c>
      <c r="AA73" s="132">
        <v>1</v>
      </c>
      <c r="AB73" s="149">
        <v>106.33</v>
      </c>
      <c r="AC73" s="2"/>
      <c r="AD73" s="123">
        <v>41.469000000000001</v>
      </c>
      <c r="AE73" s="2"/>
      <c r="AF73" s="2"/>
      <c r="AG73" s="2" t="s">
        <v>36</v>
      </c>
      <c r="AH73" s="138">
        <v>6.7999999999999999E-5</v>
      </c>
      <c r="AI73" s="138">
        <v>7.7129670262520798E-3</v>
      </c>
      <c r="AJ73" s="138">
        <v>1.8404900635583901E-3</v>
      </c>
    </row>
    <row r="74" spans="1:36">
      <c r="A74" s="2">
        <v>161</v>
      </c>
      <c r="B74" s="2">
        <v>1434</v>
      </c>
      <c r="C74" s="2" t="s">
        <v>2210</v>
      </c>
      <c r="D74" s="2" t="s">
        <v>2211</v>
      </c>
      <c r="E74" s="3" t="s">
        <v>1351</v>
      </c>
      <c r="F74" s="2" t="s">
        <v>2212</v>
      </c>
      <c r="G74" s="2" t="s">
        <v>2213</v>
      </c>
      <c r="H74" s="2" t="s">
        <v>209</v>
      </c>
      <c r="I74" s="2" t="s">
        <v>789</v>
      </c>
      <c r="J74" s="2" t="s">
        <v>30</v>
      </c>
      <c r="K74" s="2" t="s">
        <v>30</v>
      </c>
      <c r="L74" s="2" t="s">
        <v>361</v>
      </c>
      <c r="M74" s="2" t="s">
        <v>31</v>
      </c>
      <c r="N74" s="2" t="s">
        <v>485</v>
      </c>
      <c r="O74" s="2" t="s">
        <v>160</v>
      </c>
      <c r="P74" s="2" t="s">
        <v>2108</v>
      </c>
      <c r="Q74" s="2" t="s">
        <v>448</v>
      </c>
      <c r="R74" s="2" t="s">
        <v>440</v>
      </c>
      <c r="S74" s="2" t="s">
        <v>34</v>
      </c>
      <c r="T74" s="123">
        <v>2.5830000000000002</v>
      </c>
      <c r="U74" s="2" t="s">
        <v>2214</v>
      </c>
      <c r="V74" s="136">
        <v>4.6899999999999997E-2</v>
      </c>
      <c r="W74" s="138">
        <v>6.2799999999999995E-2</v>
      </c>
      <c r="X74" s="3" t="s">
        <v>445</v>
      </c>
      <c r="Y74" s="3" t="s">
        <v>160</v>
      </c>
      <c r="Z74" s="123">
        <v>64534.58</v>
      </c>
      <c r="AA74" s="132">
        <v>1</v>
      </c>
      <c r="AB74" s="149">
        <v>95.53</v>
      </c>
      <c r="AC74" s="2"/>
      <c r="AD74" s="123">
        <v>61.65</v>
      </c>
      <c r="AE74" s="2"/>
      <c r="AF74" s="2"/>
      <c r="AG74" s="2" t="s">
        <v>36</v>
      </c>
      <c r="AH74" s="138">
        <v>5.5999999999999999E-5</v>
      </c>
      <c r="AI74" s="138">
        <v>1.14665586509773E-2</v>
      </c>
      <c r="AJ74" s="138">
        <v>2.7361827411556002E-3</v>
      </c>
    </row>
    <row r="75" spans="1:36">
      <c r="A75" s="2">
        <v>161</v>
      </c>
      <c r="B75" s="2">
        <v>1434</v>
      </c>
      <c r="C75" s="2" t="s">
        <v>1197</v>
      </c>
      <c r="D75" s="2" t="s">
        <v>1607</v>
      </c>
      <c r="E75" s="3" t="s">
        <v>1351</v>
      </c>
      <c r="F75" s="2" t="s">
        <v>2215</v>
      </c>
      <c r="G75" s="2" t="s">
        <v>2216</v>
      </c>
      <c r="H75" s="2" t="s">
        <v>209</v>
      </c>
      <c r="I75" s="2" t="s">
        <v>789</v>
      </c>
      <c r="J75" s="2" t="s">
        <v>30</v>
      </c>
      <c r="K75" s="2" t="s">
        <v>30</v>
      </c>
      <c r="L75" s="2" t="s">
        <v>361</v>
      </c>
      <c r="M75" s="2" t="s">
        <v>58</v>
      </c>
      <c r="N75" s="2" t="s">
        <v>568</v>
      </c>
      <c r="O75" s="2" t="s">
        <v>160</v>
      </c>
      <c r="P75" s="2" t="s">
        <v>2217</v>
      </c>
      <c r="Q75" s="2" t="s">
        <v>464</v>
      </c>
      <c r="R75" s="2" t="s">
        <v>440</v>
      </c>
      <c r="S75" s="2" t="s">
        <v>90</v>
      </c>
      <c r="T75" s="123">
        <v>4.8479999999999999</v>
      </c>
      <c r="U75" s="2" t="s">
        <v>2218</v>
      </c>
      <c r="V75" s="136">
        <v>3.2750000000000001E-2</v>
      </c>
      <c r="W75" s="138">
        <v>5.8430000000000003E-2</v>
      </c>
      <c r="X75" s="3" t="s">
        <v>445</v>
      </c>
      <c r="Y75" s="3" t="s">
        <v>160</v>
      </c>
      <c r="Z75" s="123">
        <v>5000</v>
      </c>
      <c r="AA75" s="132">
        <v>3.3719999999999999</v>
      </c>
      <c r="AB75" s="149">
        <v>99.06</v>
      </c>
      <c r="AC75" s="2"/>
      <c r="AD75" s="123">
        <v>16.701000000000001</v>
      </c>
      <c r="AE75" s="2"/>
      <c r="AF75" s="2"/>
      <c r="AG75" s="2" t="s">
        <v>36</v>
      </c>
      <c r="AH75" s="138">
        <v>6.9999999999999999E-6</v>
      </c>
      <c r="AI75" s="138">
        <v>3.1063851725376601E-3</v>
      </c>
      <c r="AJ75" s="138">
        <v>7.4125443868503502E-4</v>
      </c>
    </row>
    <row r="76" spans="1:36">
      <c r="A76" s="2">
        <v>161</v>
      </c>
      <c r="B76" s="2">
        <v>1434</v>
      </c>
      <c r="C76" s="2" t="s">
        <v>1671</v>
      </c>
      <c r="D76" s="2" t="s">
        <v>1672</v>
      </c>
      <c r="E76" s="3" t="s">
        <v>1351</v>
      </c>
      <c r="F76" s="2" t="s">
        <v>2219</v>
      </c>
      <c r="G76" s="2" t="s">
        <v>2220</v>
      </c>
      <c r="H76" s="2" t="s">
        <v>209</v>
      </c>
      <c r="I76" s="2" t="s">
        <v>789</v>
      </c>
      <c r="J76" s="2" t="s">
        <v>85</v>
      </c>
      <c r="K76" s="2" t="s">
        <v>30</v>
      </c>
      <c r="L76" s="2" t="s">
        <v>361</v>
      </c>
      <c r="M76" s="2" t="s">
        <v>135</v>
      </c>
      <c r="N76" s="2" t="s">
        <v>568</v>
      </c>
      <c r="O76" s="2" t="s">
        <v>160</v>
      </c>
      <c r="P76" s="2" t="s">
        <v>2217</v>
      </c>
      <c r="Q76" s="2" t="s">
        <v>464</v>
      </c>
      <c r="R76" s="2" t="s">
        <v>440</v>
      </c>
      <c r="S76" s="2" t="s">
        <v>90</v>
      </c>
      <c r="T76" s="123">
        <v>5.0060000000000002</v>
      </c>
      <c r="U76" s="2" t="s">
        <v>2221</v>
      </c>
      <c r="V76" s="136">
        <v>3.0769999999999999E-2</v>
      </c>
      <c r="W76" s="138">
        <v>6.2969999999999998E-2</v>
      </c>
      <c r="X76" s="3" t="s">
        <v>445</v>
      </c>
      <c r="Y76" s="3" t="s">
        <v>160</v>
      </c>
      <c r="Z76" s="123">
        <v>5000</v>
      </c>
      <c r="AA76" s="132">
        <v>3.3719999999999999</v>
      </c>
      <c r="AB76" s="149">
        <v>97.67</v>
      </c>
      <c r="AC76" s="2"/>
      <c r="AD76" s="123">
        <v>16.466999999999999</v>
      </c>
      <c r="AE76" s="2"/>
      <c r="AF76" s="2"/>
      <c r="AG76" s="2" t="s">
        <v>36</v>
      </c>
      <c r="AH76" s="138">
        <v>7.9999999999999996E-6</v>
      </c>
      <c r="AI76" s="138">
        <v>3.0628041958358498E-3</v>
      </c>
      <c r="AJ76" s="138">
        <v>7.3085502244134401E-4</v>
      </c>
    </row>
    <row r="77" spans="1:36">
      <c r="A77" s="2">
        <v>161</v>
      </c>
      <c r="B77" s="2">
        <v>9938</v>
      </c>
      <c r="C77" s="2" t="s">
        <v>1952</v>
      </c>
      <c r="D77" s="2" t="s">
        <v>1953</v>
      </c>
      <c r="E77" s="3" t="s">
        <v>1351</v>
      </c>
      <c r="F77" s="2" t="s">
        <v>1954</v>
      </c>
      <c r="G77" s="2" t="s">
        <v>1955</v>
      </c>
      <c r="H77" s="2" t="s">
        <v>209</v>
      </c>
      <c r="I77" s="2" t="s">
        <v>788</v>
      </c>
      <c r="J77" s="2" t="s">
        <v>30</v>
      </c>
      <c r="K77" s="2" t="s">
        <v>30</v>
      </c>
      <c r="L77" s="2" t="s">
        <v>361</v>
      </c>
      <c r="M77" s="2" t="s">
        <v>31</v>
      </c>
      <c r="N77" s="2" t="s">
        <v>495</v>
      </c>
      <c r="O77" s="2" t="s">
        <v>160</v>
      </c>
      <c r="P77" s="2" t="s">
        <v>1956</v>
      </c>
      <c r="Q77" s="2" t="s">
        <v>446</v>
      </c>
      <c r="R77" s="2" t="s">
        <v>440</v>
      </c>
      <c r="S77" s="2" t="s">
        <v>34</v>
      </c>
      <c r="T77" s="123">
        <v>2.0139999999999998</v>
      </c>
      <c r="U77" s="2" t="s">
        <v>1957</v>
      </c>
      <c r="V77" s="136">
        <v>2.3400000000000001E-2</v>
      </c>
      <c r="W77" s="138">
        <v>2.8719999999999999E-2</v>
      </c>
      <c r="X77" s="3" t="s">
        <v>445</v>
      </c>
      <c r="Y77" s="3" t="s">
        <v>160</v>
      </c>
      <c r="Z77" s="123">
        <v>193122.99</v>
      </c>
      <c r="AA77" s="132">
        <v>1</v>
      </c>
      <c r="AB77" s="149">
        <v>116.49</v>
      </c>
      <c r="AC77" s="2"/>
      <c r="AD77" s="123">
        <v>224.96899999999999</v>
      </c>
      <c r="AE77" s="2"/>
      <c r="AF77" s="2"/>
      <c r="AG77" s="2" t="s">
        <v>36</v>
      </c>
      <c r="AH77" s="138">
        <v>1.18E-4</v>
      </c>
      <c r="AI77" s="138">
        <v>2.0407747417599702E-2</v>
      </c>
      <c r="AJ77" s="138">
        <v>2.8052551491208298E-3</v>
      </c>
    </row>
    <row r="78" spans="1:36">
      <c r="A78" s="2">
        <v>161</v>
      </c>
      <c r="B78" s="2">
        <v>9938</v>
      </c>
      <c r="C78" s="2" t="s">
        <v>1952</v>
      </c>
      <c r="D78" s="2" t="s">
        <v>1953</v>
      </c>
      <c r="E78" s="3" t="s">
        <v>1351</v>
      </c>
      <c r="F78" s="2" t="s">
        <v>1958</v>
      </c>
      <c r="G78" s="2" t="s">
        <v>1959</v>
      </c>
      <c r="H78" s="2" t="s">
        <v>209</v>
      </c>
      <c r="I78" s="2" t="s">
        <v>998</v>
      </c>
      <c r="J78" s="2" t="s">
        <v>30</v>
      </c>
      <c r="K78" s="2" t="s">
        <v>30</v>
      </c>
      <c r="L78" s="2" t="s">
        <v>361</v>
      </c>
      <c r="M78" s="2" t="s">
        <v>31</v>
      </c>
      <c r="N78" s="2" t="s">
        <v>495</v>
      </c>
      <c r="O78" s="2" t="s">
        <v>160</v>
      </c>
      <c r="P78" s="2" t="s">
        <v>1956</v>
      </c>
      <c r="Q78" s="2" t="s">
        <v>446</v>
      </c>
      <c r="R78" s="2" t="s">
        <v>440</v>
      </c>
      <c r="S78" s="2" t="s">
        <v>34</v>
      </c>
      <c r="T78" s="123">
        <v>2.3820000000000001</v>
      </c>
      <c r="U78" s="2" t="s">
        <v>1960</v>
      </c>
      <c r="V78" s="136">
        <v>0.05</v>
      </c>
      <c r="W78" s="138">
        <v>4.6789999999999998E-2</v>
      </c>
      <c r="X78" s="3" t="s">
        <v>445</v>
      </c>
      <c r="Y78" s="3" t="s">
        <v>160</v>
      </c>
      <c r="Z78" s="123">
        <v>105000</v>
      </c>
      <c r="AA78" s="132">
        <v>1</v>
      </c>
      <c r="AB78" s="149">
        <v>101.73</v>
      </c>
      <c r="AC78" s="2"/>
      <c r="AD78" s="123">
        <v>106.81699999999999</v>
      </c>
      <c r="AE78" s="2"/>
      <c r="AF78" s="2"/>
      <c r="AG78" s="2" t="s">
        <v>36</v>
      </c>
      <c r="AH78" s="138">
        <v>2.9999999999999997E-4</v>
      </c>
      <c r="AI78" s="138">
        <v>9.6897102824809803E-3</v>
      </c>
      <c r="AJ78" s="138">
        <v>1.33195051404727E-3</v>
      </c>
    </row>
    <row r="79" spans="1:36">
      <c r="A79" s="2">
        <v>161</v>
      </c>
      <c r="B79" s="2">
        <v>9938</v>
      </c>
      <c r="C79" s="2" t="s">
        <v>1961</v>
      </c>
      <c r="D79" s="2" t="s">
        <v>1962</v>
      </c>
      <c r="E79" s="3" t="s">
        <v>1351</v>
      </c>
      <c r="F79" s="2" t="s">
        <v>2222</v>
      </c>
      <c r="G79" s="2" t="s">
        <v>2223</v>
      </c>
      <c r="H79" s="2" t="s">
        <v>209</v>
      </c>
      <c r="I79" s="2" t="s">
        <v>788</v>
      </c>
      <c r="J79" s="2" t="s">
        <v>30</v>
      </c>
      <c r="K79" s="2" t="s">
        <v>30</v>
      </c>
      <c r="L79" s="2" t="s">
        <v>361</v>
      </c>
      <c r="M79" s="2" t="s">
        <v>31</v>
      </c>
      <c r="N79" s="2" t="s">
        <v>509</v>
      </c>
      <c r="O79" s="2" t="s">
        <v>160</v>
      </c>
      <c r="P79" s="2" t="s">
        <v>1965</v>
      </c>
      <c r="Q79" s="2" t="s">
        <v>446</v>
      </c>
      <c r="R79" s="2" t="s">
        <v>440</v>
      </c>
      <c r="S79" s="2" t="s">
        <v>34</v>
      </c>
      <c r="T79" s="123">
        <v>1.4510000000000001</v>
      </c>
      <c r="U79" s="2" t="s">
        <v>2224</v>
      </c>
      <c r="V79" s="136">
        <v>3.2000000000000001E-2</v>
      </c>
      <c r="W79" s="138">
        <v>3.2230000000000002E-2</v>
      </c>
      <c r="X79" s="3" t="s">
        <v>445</v>
      </c>
      <c r="Y79" s="3" t="s">
        <v>160</v>
      </c>
      <c r="Z79" s="123">
        <v>33000</v>
      </c>
      <c r="AA79" s="132">
        <v>1</v>
      </c>
      <c r="AB79" s="149">
        <v>109.13</v>
      </c>
      <c r="AC79" s="2"/>
      <c r="AD79" s="123">
        <v>36.012999999999998</v>
      </c>
      <c r="AE79" s="2"/>
      <c r="AF79" s="2"/>
      <c r="AG79" s="2" t="s">
        <v>36</v>
      </c>
      <c r="AH79" s="138">
        <v>5.0000000000000002E-5</v>
      </c>
      <c r="AI79" s="138">
        <v>3.2668601520547801E-3</v>
      </c>
      <c r="AJ79" s="138">
        <v>4.4906358724853401E-4</v>
      </c>
    </row>
    <row r="80" spans="1:36">
      <c r="A80" s="2">
        <v>161</v>
      </c>
      <c r="B80" s="2">
        <v>9938</v>
      </c>
      <c r="C80" s="2" t="s">
        <v>1961</v>
      </c>
      <c r="D80" s="2" t="s">
        <v>1962</v>
      </c>
      <c r="E80" s="3" t="s">
        <v>1351</v>
      </c>
      <c r="F80" s="2" t="s">
        <v>1963</v>
      </c>
      <c r="G80" s="2" t="s">
        <v>1964</v>
      </c>
      <c r="H80" s="2" t="s">
        <v>209</v>
      </c>
      <c r="I80" s="2" t="s">
        <v>998</v>
      </c>
      <c r="J80" s="2" t="s">
        <v>30</v>
      </c>
      <c r="K80" s="2" t="s">
        <v>30</v>
      </c>
      <c r="L80" s="2" t="s">
        <v>361</v>
      </c>
      <c r="M80" s="2" t="s">
        <v>31</v>
      </c>
      <c r="N80" s="2" t="s">
        <v>509</v>
      </c>
      <c r="O80" s="2" t="s">
        <v>160</v>
      </c>
      <c r="P80" s="2" t="s">
        <v>1965</v>
      </c>
      <c r="Q80" s="2" t="s">
        <v>446</v>
      </c>
      <c r="R80" s="2" t="s">
        <v>440</v>
      </c>
      <c r="S80" s="2" t="s">
        <v>34</v>
      </c>
      <c r="T80" s="123">
        <v>1.518</v>
      </c>
      <c r="U80" s="2" t="s">
        <v>1966</v>
      </c>
      <c r="V80" s="136">
        <v>5.7000000000000002E-2</v>
      </c>
      <c r="W80" s="138">
        <v>5.1889999999999999E-2</v>
      </c>
      <c r="X80" s="3" t="s">
        <v>445</v>
      </c>
      <c r="Y80" s="3" t="s">
        <v>160</v>
      </c>
      <c r="Z80" s="123">
        <v>32400</v>
      </c>
      <c r="AA80" s="132">
        <v>1</v>
      </c>
      <c r="AB80" s="149">
        <v>101.09</v>
      </c>
      <c r="AC80" s="2"/>
      <c r="AD80" s="123">
        <v>32.753</v>
      </c>
      <c r="AE80" s="2"/>
      <c r="AF80" s="2"/>
      <c r="AG80" s="2" t="s">
        <v>36</v>
      </c>
      <c r="AH80" s="138">
        <v>4.1E-5</v>
      </c>
      <c r="AI80" s="138">
        <v>2.9711573702166298E-3</v>
      </c>
      <c r="AJ80" s="138">
        <v>4.0841619317870002E-4</v>
      </c>
    </row>
    <row r="81" spans="1:36">
      <c r="A81" s="2">
        <v>161</v>
      </c>
      <c r="B81" s="2">
        <v>9938</v>
      </c>
      <c r="C81" s="2" t="s">
        <v>2225</v>
      </c>
      <c r="D81" s="2" t="s">
        <v>2226</v>
      </c>
      <c r="E81" s="3" t="s">
        <v>1351</v>
      </c>
      <c r="F81" s="2" t="s">
        <v>2227</v>
      </c>
      <c r="G81" s="2" t="s">
        <v>2228</v>
      </c>
      <c r="H81" s="2" t="s">
        <v>209</v>
      </c>
      <c r="I81" s="2" t="s">
        <v>788</v>
      </c>
      <c r="J81" s="2" t="s">
        <v>30</v>
      </c>
      <c r="K81" s="2" t="s">
        <v>30</v>
      </c>
      <c r="L81" s="2" t="s">
        <v>361</v>
      </c>
      <c r="M81" s="2" t="s">
        <v>31</v>
      </c>
      <c r="N81" s="2" t="s">
        <v>509</v>
      </c>
      <c r="O81" s="2" t="s">
        <v>160</v>
      </c>
      <c r="P81" s="2" t="s">
        <v>1965</v>
      </c>
      <c r="Q81" s="2" t="s">
        <v>446</v>
      </c>
      <c r="R81" s="2" t="s">
        <v>440</v>
      </c>
      <c r="S81" s="2" t="s">
        <v>34</v>
      </c>
      <c r="T81" s="123">
        <v>2.1680000000000001</v>
      </c>
      <c r="U81" s="2" t="s">
        <v>2229</v>
      </c>
      <c r="V81" s="136">
        <v>3.2300000000000002E-2</v>
      </c>
      <c r="W81" s="138">
        <v>2.972E-2</v>
      </c>
      <c r="X81" s="3" t="s">
        <v>445</v>
      </c>
      <c r="Y81" s="3" t="s">
        <v>160</v>
      </c>
      <c r="Z81" s="123">
        <v>44520</v>
      </c>
      <c r="AA81" s="132">
        <v>1</v>
      </c>
      <c r="AB81" s="149">
        <v>110.07</v>
      </c>
      <c r="AC81" s="2"/>
      <c r="AD81" s="123">
        <v>49.003</v>
      </c>
      <c r="AE81" s="2"/>
      <c r="AF81" s="2"/>
      <c r="AG81" s="2" t="s">
        <v>36</v>
      </c>
      <c r="AH81" s="138">
        <v>8.6000000000000003E-5</v>
      </c>
      <c r="AI81" s="138">
        <v>4.44525388947308E-3</v>
      </c>
      <c r="AJ81" s="138">
        <v>6.11045947767834E-4</v>
      </c>
    </row>
    <row r="82" spans="1:36">
      <c r="A82" s="2">
        <v>161</v>
      </c>
      <c r="B82" s="2">
        <v>9938</v>
      </c>
      <c r="C82" s="2" t="s">
        <v>1626</v>
      </c>
      <c r="D82" s="2" t="s">
        <v>1627</v>
      </c>
      <c r="E82" s="3" t="s">
        <v>1351</v>
      </c>
      <c r="F82" s="2" t="s">
        <v>1967</v>
      </c>
      <c r="G82" s="2" t="s">
        <v>1968</v>
      </c>
      <c r="H82" s="2" t="s">
        <v>209</v>
      </c>
      <c r="I82" s="2" t="s">
        <v>788</v>
      </c>
      <c r="J82" s="2" t="s">
        <v>30</v>
      </c>
      <c r="K82" s="2" t="s">
        <v>30</v>
      </c>
      <c r="L82" s="2" t="s">
        <v>361</v>
      </c>
      <c r="M82" s="2" t="s">
        <v>31</v>
      </c>
      <c r="N82" s="2" t="s">
        <v>495</v>
      </c>
      <c r="O82" s="2" t="s">
        <v>160</v>
      </c>
      <c r="P82" s="2" t="s">
        <v>1969</v>
      </c>
      <c r="Q82" s="2" t="s">
        <v>446</v>
      </c>
      <c r="R82" s="2" t="s">
        <v>440</v>
      </c>
      <c r="S82" s="2" t="s">
        <v>34</v>
      </c>
      <c r="T82" s="123">
        <v>6.4370000000000003</v>
      </c>
      <c r="U82" s="2" t="s">
        <v>1970</v>
      </c>
      <c r="V82" s="136">
        <v>2.5600000000000001E-2</v>
      </c>
      <c r="W82" s="138">
        <v>3.2149999999999998E-2</v>
      </c>
      <c r="X82" s="3" t="s">
        <v>445</v>
      </c>
      <c r="Y82" s="3" t="s">
        <v>160</v>
      </c>
      <c r="Z82" s="123">
        <v>130000</v>
      </c>
      <c r="AA82" s="132">
        <v>1</v>
      </c>
      <c r="AB82" s="149">
        <v>105.66</v>
      </c>
      <c r="AC82" s="2"/>
      <c r="AD82" s="123">
        <v>137.358</v>
      </c>
      <c r="AE82" s="2"/>
      <c r="AF82" s="2"/>
      <c r="AG82" s="2" t="s">
        <v>36</v>
      </c>
      <c r="AH82" s="138">
        <v>1.2400000000000001E-4</v>
      </c>
      <c r="AI82" s="138">
        <v>1.2460239990835001E-2</v>
      </c>
      <c r="AJ82" s="138">
        <v>1.7127883679815901E-3</v>
      </c>
    </row>
    <row r="83" spans="1:36">
      <c r="A83" s="2">
        <v>161</v>
      </c>
      <c r="B83" s="2">
        <v>9938</v>
      </c>
      <c r="C83" s="2" t="s">
        <v>1626</v>
      </c>
      <c r="D83" s="2" t="s">
        <v>1627</v>
      </c>
      <c r="E83" s="3" t="s">
        <v>1351</v>
      </c>
      <c r="F83" s="2" t="s">
        <v>1971</v>
      </c>
      <c r="G83" s="2" t="s">
        <v>1972</v>
      </c>
      <c r="H83" s="2" t="s">
        <v>209</v>
      </c>
      <c r="I83" s="2" t="s">
        <v>998</v>
      </c>
      <c r="J83" s="2" t="s">
        <v>30</v>
      </c>
      <c r="K83" s="2" t="s">
        <v>30</v>
      </c>
      <c r="L83" s="2" t="s">
        <v>361</v>
      </c>
      <c r="M83" s="2" t="s">
        <v>31</v>
      </c>
      <c r="N83" s="2" t="s">
        <v>495</v>
      </c>
      <c r="O83" s="2" t="s">
        <v>160</v>
      </c>
      <c r="P83" s="2" t="s">
        <v>1969</v>
      </c>
      <c r="Q83" s="2" t="s">
        <v>446</v>
      </c>
      <c r="R83" s="2" t="s">
        <v>440</v>
      </c>
      <c r="S83" s="2" t="s">
        <v>34</v>
      </c>
      <c r="T83" s="123">
        <v>3.7050000000000001</v>
      </c>
      <c r="U83" s="2" t="s">
        <v>1973</v>
      </c>
      <c r="V83" s="136">
        <v>2.41E-2</v>
      </c>
      <c r="W83" s="138">
        <v>4.8559999999999999E-2</v>
      </c>
      <c r="X83" s="3" t="s">
        <v>445</v>
      </c>
      <c r="Y83" s="3" t="s">
        <v>160</v>
      </c>
      <c r="Z83" s="123">
        <v>150000</v>
      </c>
      <c r="AA83" s="132">
        <v>1</v>
      </c>
      <c r="AB83" s="149">
        <v>92.33</v>
      </c>
      <c r="AC83" s="2"/>
      <c r="AD83" s="123">
        <v>138.495</v>
      </c>
      <c r="AE83" s="2"/>
      <c r="AF83" s="2"/>
      <c r="AG83" s="2" t="s">
        <v>36</v>
      </c>
      <c r="AH83" s="138">
        <v>7.2999999999999999E-5</v>
      </c>
      <c r="AI83" s="138">
        <v>1.25633813649783E-2</v>
      </c>
      <c r="AJ83" s="138">
        <v>1.72696621255122E-3</v>
      </c>
    </row>
    <row r="84" spans="1:36">
      <c r="A84" s="2">
        <v>161</v>
      </c>
      <c r="B84" s="2">
        <v>9938</v>
      </c>
      <c r="C84" s="2" t="s">
        <v>1974</v>
      </c>
      <c r="D84" s="2" t="s">
        <v>1975</v>
      </c>
      <c r="E84" s="3" t="s">
        <v>1351</v>
      </c>
      <c r="F84" s="2" t="s">
        <v>1976</v>
      </c>
      <c r="G84" s="2" t="s">
        <v>1977</v>
      </c>
      <c r="H84" s="2" t="s">
        <v>209</v>
      </c>
      <c r="I84" s="2" t="s">
        <v>998</v>
      </c>
      <c r="J84" s="2" t="s">
        <v>30</v>
      </c>
      <c r="K84" s="2" t="s">
        <v>30</v>
      </c>
      <c r="L84" s="2" t="s">
        <v>361</v>
      </c>
      <c r="M84" s="2" t="s">
        <v>31</v>
      </c>
      <c r="N84" s="2" t="s">
        <v>482</v>
      </c>
      <c r="O84" s="2" t="s">
        <v>160</v>
      </c>
      <c r="P84" s="2" t="s">
        <v>1965</v>
      </c>
      <c r="Q84" s="2" t="s">
        <v>446</v>
      </c>
      <c r="R84" s="2" t="s">
        <v>440</v>
      </c>
      <c r="S84" s="2" t="s">
        <v>34</v>
      </c>
      <c r="T84" s="123">
        <v>2.7559999999999998</v>
      </c>
      <c r="U84" s="2" t="s">
        <v>1978</v>
      </c>
      <c r="V84" s="136">
        <v>0.04</v>
      </c>
      <c r="W84" s="138">
        <v>4.7919999999999997E-2</v>
      </c>
      <c r="X84" s="3" t="s">
        <v>445</v>
      </c>
      <c r="Y84" s="3" t="s">
        <v>160</v>
      </c>
      <c r="Z84" s="123">
        <v>153428.60999999999</v>
      </c>
      <c r="AA84" s="132">
        <v>1</v>
      </c>
      <c r="AB84" s="149">
        <v>99.88</v>
      </c>
      <c r="AC84" s="2"/>
      <c r="AD84" s="123">
        <v>153.244</v>
      </c>
      <c r="AE84" s="2"/>
      <c r="AF84" s="2"/>
      <c r="AG84" s="2" t="s">
        <v>36</v>
      </c>
      <c r="AH84" s="138">
        <v>2.6400000000000002E-4</v>
      </c>
      <c r="AI84" s="138">
        <v>1.3901361357167E-2</v>
      </c>
      <c r="AJ84" s="138">
        <v>1.9108853480493001E-3</v>
      </c>
    </row>
    <row r="85" spans="1:36">
      <c r="A85" s="2">
        <v>161</v>
      </c>
      <c r="B85" s="2">
        <v>9938</v>
      </c>
      <c r="C85" s="2" t="s">
        <v>1630</v>
      </c>
      <c r="D85" s="2" t="s">
        <v>1631</v>
      </c>
      <c r="E85" s="3" t="s">
        <v>1351</v>
      </c>
      <c r="F85" s="2" t="s">
        <v>1979</v>
      </c>
      <c r="G85" s="2" t="s">
        <v>1980</v>
      </c>
      <c r="H85" s="2" t="s">
        <v>209</v>
      </c>
      <c r="I85" s="2" t="s">
        <v>788</v>
      </c>
      <c r="J85" s="2" t="s">
        <v>30</v>
      </c>
      <c r="K85" s="2" t="s">
        <v>30</v>
      </c>
      <c r="L85" s="2" t="s">
        <v>361</v>
      </c>
      <c r="M85" s="2" t="s">
        <v>31</v>
      </c>
      <c r="N85" s="2" t="s">
        <v>495</v>
      </c>
      <c r="O85" s="2" t="s">
        <v>160</v>
      </c>
      <c r="P85" s="2" t="s">
        <v>1956</v>
      </c>
      <c r="Q85" s="2" t="s">
        <v>446</v>
      </c>
      <c r="R85" s="2" t="s">
        <v>440</v>
      </c>
      <c r="S85" s="2" t="s">
        <v>34</v>
      </c>
      <c r="T85" s="123">
        <v>2.5790000000000002</v>
      </c>
      <c r="U85" s="2" t="s">
        <v>1981</v>
      </c>
      <c r="V85" s="136">
        <v>1.14E-2</v>
      </c>
      <c r="W85" s="138">
        <v>2.819E-2</v>
      </c>
      <c r="X85" s="3" t="s">
        <v>445</v>
      </c>
      <c r="Y85" s="3" t="s">
        <v>160</v>
      </c>
      <c r="Z85" s="123">
        <v>205776</v>
      </c>
      <c r="AA85" s="132">
        <v>1</v>
      </c>
      <c r="AB85" s="149">
        <v>111.43</v>
      </c>
      <c r="AC85" s="2"/>
      <c r="AD85" s="123">
        <v>229.29599999999999</v>
      </c>
      <c r="AE85" s="2"/>
      <c r="AF85" s="2"/>
      <c r="AG85" s="2" t="s">
        <v>36</v>
      </c>
      <c r="AH85" s="138">
        <v>8.7000000000000001E-5</v>
      </c>
      <c r="AI85" s="138">
        <v>2.08002856849526E-2</v>
      </c>
      <c r="AJ85" s="138">
        <v>2.8592135783970102E-3</v>
      </c>
    </row>
    <row r="86" spans="1:36">
      <c r="A86" s="2">
        <v>161</v>
      </c>
      <c r="B86" s="2">
        <v>9938</v>
      </c>
      <c r="C86" s="2" t="s">
        <v>1630</v>
      </c>
      <c r="D86" s="2" t="s">
        <v>1631</v>
      </c>
      <c r="E86" s="3" t="s">
        <v>1351</v>
      </c>
      <c r="F86" s="2" t="s">
        <v>1982</v>
      </c>
      <c r="G86" s="2" t="s">
        <v>1983</v>
      </c>
      <c r="H86" s="2" t="s">
        <v>209</v>
      </c>
      <c r="I86" s="2" t="s">
        <v>998</v>
      </c>
      <c r="J86" s="2" t="s">
        <v>30</v>
      </c>
      <c r="K86" s="2" t="s">
        <v>30</v>
      </c>
      <c r="L86" s="2" t="s">
        <v>361</v>
      </c>
      <c r="M86" s="2" t="s">
        <v>31</v>
      </c>
      <c r="N86" s="2" t="s">
        <v>495</v>
      </c>
      <c r="O86" s="2" t="s">
        <v>160</v>
      </c>
      <c r="P86" s="2" t="s">
        <v>1956</v>
      </c>
      <c r="Q86" s="2" t="s">
        <v>446</v>
      </c>
      <c r="R86" s="2" t="s">
        <v>440</v>
      </c>
      <c r="S86" s="2" t="s">
        <v>34</v>
      </c>
      <c r="T86" s="123">
        <v>4.6719999999999997</v>
      </c>
      <c r="U86" s="2" t="s">
        <v>1984</v>
      </c>
      <c r="V86" s="136">
        <v>2.4400000000000002E-2</v>
      </c>
      <c r="W86" s="138">
        <v>4.7059999999999998E-2</v>
      </c>
      <c r="X86" s="3" t="s">
        <v>445</v>
      </c>
      <c r="Y86" s="3" t="s">
        <v>160</v>
      </c>
      <c r="Z86" s="123">
        <v>150000</v>
      </c>
      <c r="AA86" s="132">
        <v>1</v>
      </c>
      <c r="AB86" s="149">
        <v>91.3</v>
      </c>
      <c r="AC86" s="2"/>
      <c r="AD86" s="123">
        <v>136.94999999999999</v>
      </c>
      <c r="AE86" s="2"/>
      <c r="AF86" s="2"/>
      <c r="AG86" s="2" t="s">
        <v>36</v>
      </c>
      <c r="AH86" s="138">
        <v>1.2300000000000001E-4</v>
      </c>
      <c r="AI86" s="138">
        <v>1.24232288381081E-2</v>
      </c>
      <c r="AJ86" s="138">
        <v>1.7077008037033E-3</v>
      </c>
    </row>
    <row r="87" spans="1:36">
      <c r="A87" s="2">
        <v>161</v>
      </c>
      <c r="B87" s="2">
        <v>9938</v>
      </c>
      <c r="C87" s="2" t="s">
        <v>1630</v>
      </c>
      <c r="D87" s="2" t="s">
        <v>1631</v>
      </c>
      <c r="E87" s="3" t="s">
        <v>1351</v>
      </c>
      <c r="F87" s="2" t="s">
        <v>1985</v>
      </c>
      <c r="G87" s="2" t="s">
        <v>1986</v>
      </c>
      <c r="H87" s="2" t="s">
        <v>209</v>
      </c>
      <c r="I87" s="2" t="s">
        <v>788</v>
      </c>
      <c r="J87" s="2" t="s">
        <v>30</v>
      </c>
      <c r="K87" s="2" t="s">
        <v>30</v>
      </c>
      <c r="L87" s="2" t="s">
        <v>361</v>
      </c>
      <c r="M87" s="2" t="s">
        <v>31</v>
      </c>
      <c r="N87" s="2" t="s">
        <v>495</v>
      </c>
      <c r="O87" s="2" t="s">
        <v>160</v>
      </c>
      <c r="P87" s="2" t="s">
        <v>1956</v>
      </c>
      <c r="Q87" s="2" t="s">
        <v>446</v>
      </c>
      <c r="R87" s="2" t="s">
        <v>440</v>
      </c>
      <c r="S87" s="2" t="s">
        <v>34</v>
      </c>
      <c r="T87" s="123">
        <v>4.8689999999999998</v>
      </c>
      <c r="U87" s="2" t="s">
        <v>1984</v>
      </c>
      <c r="V87" s="136">
        <v>9.1999999999999998E-3</v>
      </c>
      <c r="W87" s="138">
        <v>2.8469999999999999E-2</v>
      </c>
      <c r="X87" s="3" t="s">
        <v>445</v>
      </c>
      <c r="Y87" s="3" t="s">
        <v>160</v>
      </c>
      <c r="Z87" s="123">
        <v>200000</v>
      </c>
      <c r="AA87" s="132">
        <v>1</v>
      </c>
      <c r="AB87" s="149">
        <v>107.4</v>
      </c>
      <c r="AC87" s="2"/>
      <c r="AD87" s="123">
        <v>214.8</v>
      </c>
      <c r="AE87" s="2"/>
      <c r="AF87" s="2"/>
      <c r="AG87" s="2" t="s">
        <v>36</v>
      </c>
      <c r="AH87" s="138">
        <v>7.7000000000000001E-5</v>
      </c>
      <c r="AI87" s="138">
        <v>1.9485283347394002E-2</v>
      </c>
      <c r="AJ87" s="138">
        <v>2.6784529582728699E-3</v>
      </c>
    </row>
    <row r="88" spans="1:36">
      <c r="A88" s="2">
        <v>161</v>
      </c>
      <c r="B88" s="2">
        <v>9938</v>
      </c>
      <c r="C88" s="2" t="s">
        <v>1634</v>
      </c>
      <c r="D88" s="2" t="s">
        <v>1635</v>
      </c>
      <c r="E88" s="3" t="s">
        <v>1351</v>
      </c>
      <c r="F88" s="2" t="s">
        <v>1987</v>
      </c>
      <c r="G88" s="2" t="s">
        <v>1988</v>
      </c>
      <c r="H88" s="2" t="s">
        <v>209</v>
      </c>
      <c r="I88" s="2" t="s">
        <v>998</v>
      </c>
      <c r="J88" s="2" t="s">
        <v>30</v>
      </c>
      <c r="K88" s="2" t="s">
        <v>86</v>
      </c>
      <c r="L88" s="2" t="s">
        <v>361</v>
      </c>
      <c r="M88" s="2" t="s">
        <v>31</v>
      </c>
      <c r="N88" s="2" t="s">
        <v>472</v>
      </c>
      <c r="O88" s="2" t="s">
        <v>160</v>
      </c>
      <c r="P88" s="2" t="s">
        <v>1989</v>
      </c>
      <c r="Q88" s="2" t="s">
        <v>448</v>
      </c>
      <c r="R88" s="2" t="s">
        <v>440</v>
      </c>
      <c r="S88" s="2" t="s">
        <v>34</v>
      </c>
      <c r="T88" s="123">
        <v>1.01</v>
      </c>
      <c r="U88" s="2" t="s">
        <v>1990</v>
      </c>
      <c r="V88" s="136">
        <v>3.4500000000000003E-2</v>
      </c>
      <c r="W88" s="138">
        <v>4.7660000000000001E-2</v>
      </c>
      <c r="X88" s="3" t="s">
        <v>445</v>
      </c>
      <c r="Y88" s="3" t="s">
        <v>160</v>
      </c>
      <c r="Z88" s="123">
        <v>182058.82</v>
      </c>
      <c r="AA88" s="132">
        <v>1</v>
      </c>
      <c r="AB88" s="149">
        <v>99.89</v>
      </c>
      <c r="AC88" s="2"/>
      <c r="AD88" s="123">
        <v>181.85900000000001</v>
      </c>
      <c r="AE88" s="2"/>
      <c r="AF88" s="2"/>
      <c r="AG88" s="2" t="s">
        <v>36</v>
      </c>
      <c r="AH88" s="138">
        <v>2.8299999999999999E-4</v>
      </c>
      <c r="AI88" s="138">
        <v>1.64970459922219E-2</v>
      </c>
      <c r="AJ88" s="138">
        <v>2.2676889451823E-3</v>
      </c>
    </row>
    <row r="89" spans="1:36">
      <c r="A89" s="2">
        <v>161</v>
      </c>
      <c r="B89" s="2">
        <v>9938</v>
      </c>
      <c r="C89" s="2" t="s">
        <v>1634</v>
      </c>
      <c r="D89" s="2" t="s">
        <v>1635</v>
      </c>
      <c r="E89" s="3" t="s">
        <v>1351</v>
      </c>
      <c r="F89" s="2" t="s">
        <v>1991</v>
      </c>
      <c r="G89" s="2" t="s">
        <v>1992</v>
      </c>
      <c r="H89" s="2" t="s">
        <v>209</v>
      </c>
      <c r="I89" s="2" t="s">
        <v>998</v>
      </c>
      <c r="J89" s="2" t="s">
        <v>30</v>
      </c>
      <c r="K89" s="2" t="s">
        <v>86</v>
      </c>
      <c r="L89" s="2" t="s">
        <v>361</v>
      </c>
      <c r="M89" s="2" t="s">
        <v>31</v>
      </c>
      <c r="N89" s="2" t="s">
        <v>472</v>
      </c>
      <c r="O89" s="2" t="s">
        <v>160</v>
      </c>
      <c r="P89" s="2" t="s">
        <v>1989</v>
      </c>
      <c r="Q89" s="2" t="s">
        <v>448</v>
      </c>
      <c r="R89" s="2" t="s">
        <v>440</v>
      </c>
      <c r="S89" s="2" t="s">
        <v>34</v>
      </c>
      <c r="T89" s="123">
        <v>3.0470000000000002</v>
      </c>
      <c r="U89" s="2" t="s">
        <v>1993</v>
      </c>
      <c r="V89" s="136">
        <v>1.4999999999999999E-2</v>
      </c>
      <c r="W89" s="138">
        <v>5.0639999999999998E-2</v>
      </c>
      <c r="X89" s="3" t="s">
        <v>445</v>
      </c>
      <c r="Y89" s="3" t="s">
        <v>160</v>
      </c>
      <c r="Z89" s="123">
        <v>68000</v>
      </c>
      <c r="AA89" s="132">
        <v>1</v>
      </c>
      <c r="AB89" s="149">
        <v>90.42</v>
      </c>
      <c r="AC89" s="2"/>
      <c r="AD89" s="123">
        <v>61.485999999999997</v>
      </c>
      <c r="AE89" s="2"/>
      <c r="AF89" s="2"/>
      <c r="AG89" s="2" t="s">
        <v>36</v>
      </c>
      <c r="AH89" s="138">
        <v>5.8E-5</v>
      </c>
      <c r="AI89" s="138">
        <v>5.57758071594288E-3</v>
      </c>
      <c r="AJ89" s="138">
        <v>7.66695936737349E-4</v>
      </c>
    </row>
    <row r="90" spans="1:36">
      <c r="A90" s="2">
        <v>161</v>
      </c>
      <c r="B90" s="2">
        <v>9938</v>
      </c>
      <c r="C90" s="2" t="s">
        <v>1638</v>
      </c>
      <c r="D90" s="2" t="s">
        <v>1639</v>
      </c>
      <c r="E90" s="3" t="s">
        <v>1351</v>
      </c>
      <c r="F90" s="2" t="s">
        <v>2230</v>
      </c>
      <c r="G90" s="2" t="s">
        <v>2231</v>
      </c>
      <c r="H90" s="2" t="s">
        <v>209</v>
      </c>
      <c r="I90" s="2" t="s">
        <v>998</v>
      </c>
      <c r="J90" s="2" t="s">
        <v>30</v>
      </c>
      <c r="K90" s="2" t="s">
        <v>30</v>
      </c>
      <c r="L90" s="2" t="s">
        <v>361</v>
      </c>
      <c r="M90" s="2" t="s">
        <v>31</v>
      </c>
      <c r="N90" s="2" t="s">
        <v>472</v>
      </c>
      <c r="O90" s="2" t="s">
        <v>160</v>
      </c>
      <c r="P90" s="2" t="s">
        <v>2030</v>
      </c>
      <c r="Q90" s="2" t="s">
        <v>446</v>
      </c>
      <c r="R90" s="2" t="s">
        <v>440</v>
      </c>
      <c r="S90" s="2" t="s">
        <v>34</v>
      </c>
      <c r="T90" s="123">
        <v>2.415</v>
      </c>
      <c r="U90" s="2" t="s">
        <v>2232</v>
      </c>
      <c r="V90" s="136">
        <v>2.0500000000000001E-2</v>
      </c>
      <c r="W90" s="138">
        <v>5.0180000000000002E-2</v>
      </c>
      <c r="X90" s="3" t="s">
        <v>445</v>
      </c>
      <c r="Y90" s="3" t="s">
        <v>160</v>
      </c>
      <c r="Z90" s="123">
        <v>160000</v>
      </c>
      <c r="AA90" s="132">
        <v>1</v>
      </c>
      <c r="AB90" s="149">
        <v>94.03</v>
      </c>
      <c r="AC90" s="2"/>
      <c r="AD90" s="123">
        <v>150.44800000000001</v>
      </c>
      <c r="AE90" s="2"/>
      <c r="AF90" s="2"/>
      <c r="AG90" s="2" t="s">
        <v>36</v>
      </c>
      <c r="AH90" s="138">
        <v>1.6699999999999999E-4</v>
      </c>
      <c r="AI90" s="138">
        <v>1.36476811408228E-2</v>
      </c>
      <c r="AJ90" s="138">
        <v>1.87601438857652E-3</v>
      </c>
    </row>
    <row r="91" spans="1:36">
      <c r="A91" s="2">
        <v>161</v>
      </c>
      <c r="B91" s="2">
        <v>9938</v>
      </c>
      <c r="C91" s="2" t="s">
        <v>1952</v>
      </c>
      <c r="D91" s="2" t="s">
        <v>1953</v>
      </c>
      <c r="E91" s="3" t="s">
        <v>1351</v>
      </c>
      <c r="F91" s="2" t="s">
        <v>1994</v>
      </c>
      <c r="G91" s="2" t="s">
        <v>1995</v>
      </c>
      <c r="H91" s="2" t="s">
        <v>209</v>
      </c>
      <c r="I91" s="2" t="s">
        <v>788</v>
      </c>
      <c r="J91" s="2" t="s">
        <v>30</v>
      </c>
      <c r="K91" s="2" t="s">
        <v>30</v>
      </c>
      <c r="L91" s="2" t="s">
        <v>361</v>
      </c>
      <c r="M91" s="2" t="s">
        <v>31</v>
      </c>
      <c r="N91" s="2" t="s">
        <v>495</v>
      </c>
      <c r="O91" s="2" t="s">
        <v>160</v>
      </c>
      <c r="P91" s="2" t="s">
        <v>1956</v>
      </c>
      <c r="Q91" s="2" t="s">
        <v>446</v>
      </c>
      <c r="R91" s="2" t="s">
        <v>440</v>
      </c>
      <c r="S91" s="2" t="s">
        <v>34</v>
      </c>
      <c r="T91" s="123">
        <v>4.6710000000000003</v>
      </c>
      <c r="U91" s="2" t="s">
        <v>1996</v>
      </c>
      <c r="V91" s="136">
        <v>6.4999999999999997E-3</v>
      </c>
      <c r="W91" s="138">
        <v>2.8320000000000001E-2</v>
      </c>
      <c r="X91" s="3" t="s">
        <v>445</v>
      </c>
      <c r="Y91" s="3" t="s">
        <v>160</v>
      </c>
      <c r="Z91" s="123">
        <v>150864.67000000001</v>
      </c>
      <c r="AA91" s="132">
        <v>1</v>
      </c>
      <c r="AB91" s="149">
        <v>105.26</v>
      </c>
      <c r="AC91" s="2"/>
      <c r="AD91" s="123">
        <v>158.80000000000001</v>
      </c>
      <c r="AE91" s="2"/>
      <c r="AF91" s="2"/>
      <c r="AG91" s="2" t="s">
        <v>36</v>
      </c>
      <c r="AH91" s="138">
        <v>6.7000000000000002E-5</v>
      </c>
      <c r="AI91" s="138">
        <v>1.44053349644018E-2</v>
      </c>
      <c r="AJ91" s="138">
        <v>1.9801617129408498E-3</v>
      </c>
    </row>
    <row r="92" spans="1:36">
      <c r="A92" s="2">
        <v>161</v>
      </c>
      <c r="B92" s="2">
        <v>9938</v>
      </c>
      <c r="C92" s="2" t="s">
        <v>1814</v>
      </c>
      <c r="D92" s="2" t="s">
        <v>1815</v>
      </c>
      <c r="E92" s="3" t="s">
        <v>1351</v>
      </c>
      <c r="F92" s="2" t="s">
        <v>1997</v>
      </c>
      <c r="G92" s="2" t="s">
        <v>1998</v>
      </c>
      <c r="H92" s="2" t="s">
        <v>209</v>
      </c>
      <c r="I92" s="2" t="s">
        <v>788</v>
      </c>
      <c r="J92" s="2" t="s">
        <v>30</v>
      </c>
      <c r="K92" s="2" t="s">
        <v>30</v>
      </c>
      <c r="L92" s="2" t="s">
        <v>361</v>
      </c>
      <c r="M92" s="2" t="s">
        <v>31</v>
      </c>
      <c r="N92" s="2" t="s">
        <v>495</v>
      </c>
      <c r="O92" s="2" t="s">
        <v>160</v>
      </c>
      <c r="P92" s="2" t="s">
        <v>1999</v>
      </c>
      <c r="Q92" s="2" t="s">
        <v>448</v>
      </c>
      <c r="R92" s="2" t="s">
        <v>440</v>
      </c>
      <c r="S92" s="2" t="s">
        <v>34</v>
      </c>
      <c r="T92" s="123">
        <v>3.7509999999999999</v>
      </c>
      <c r="U92" s="2" t="s">
        <v>2000</v>
      </c>
      <c r="V92" s="136">
        <v>1.17E-2</v>
      </c>
      <c r="W92" s="138">
        <v>2.811E-2</v>
      </c>
      <c r="X92" s="3" t="s">
        <v>445</v>
      </c>
      <c r="Y92" s="3" t="s">
        <v>160</v>
      </c>
      <c r="Z92" s="123">
        <v>41160</v>
      </c>
      <c r="AA92" s="132">
        <v>1</v>
      </c>
      <c r="AB92" s="149">
        <v>110.06</v>
      </c>
      <c r="AC92" s="2"/>
      <c r="AD92" s="123">
        <v>45.301000000000002</v>
      </c>
      <c r="AE92" s="2"/>
      <c r="AF92" s="2"/>
      <c r="AG92" s="2" t="s">
        <v>36</v>
      </c>
      <c r="AH92" s="138">
        <v>6.0000000000000002E-5</v>
      </c>
      <c r="AI92" s="138">
        <v>4.1093896526729996E-3</v>
      </c>
      <c r="AJ92" s="138">
        <v>5.6487794791908804E-4</v>
      </c>
    </row>
    <row r="93" spans="1:36">
      <c r="A93" s="2">
        <v>161</v>
      </c>
      <c r="B93" s="2">
        <v>9938</v>
      </c>
      <c r="C93" s="2" t="s">
        <v>1814</v>
      </c>
      <c r="D93" s="2" t="s">
        <v>1815</v>
      </c>
      <c r="E93" s="3" t="s">
        <v>1351</v>
      </c>
      <c r="F93" s="2" t="s">
        <v>2001</v>
      </c>
      <c r="G93" s="2" t="s">
        <v>2002</v>
      </c>
      <c r="H93" s="2" t="s">
        <v>209</v>
      </c>
      <c r="I93" s="2" t="s">
        <v>788</v>
      </c>
      <c r="J93" s="2" t="s">
        <v>30</v>
      </c>
      <c r="K93" s="2" t="s">
        <v>30</v>
      </c>
      <c r="L93" s="2" t="s">
        <v>361</v>
      </c>
      <c r="M93" s="2" t="s">
        <v>31</v>
      </c>
      <c r="N93" s="2" t="s">
        <v>495</v>
      </c>
      <c r="O93" s="2" t="s">
        <v>160</v>
      </c>
      <c r="P93" s="2" t="s">
        <v>1969</v>
      </c>
      <c r="Q93" s="2" t="s">
        <v>446</v>
      </c>
      <c r="R93" s="2" t="s">
        <v>440</v>
      </c>
      <c r="S93" s="2" t="s">
        <v>34</v>
      </c>
      <c r="T93" s="123">
        <v>4.93</v>
      </c>
      <c r="U93" s="2" t="s">
        <v>2003</v>
      </c>
      <c r="V93" s="136">
        <v>1.8700000000000001E-2</v>
      </c>
      <c r="W93" s="138">
        <v>2.9700000000000001E-2</v>
      </c>
      <c r="X93" s="3" t="s">
        <v>445</v>
      </c>
      <c r="Y93" s="3" t="s">
        <v>160</v>
      </c>
      <c r="Z93" s="123">
        <v>206800.37</v>
      </c>
      <c r="AA93" s="132">
        <v>1</v>
      </c>
      <c r="AB93" s="149">
        <v>106.87</v>
      </c>
      <c r="AC93" s="2"/>
      <c r="AD93" s="123">
        <v>221.00800000000001</v>
      </c>
      <c r="AE93" s="2"/>
      <c r="AF93" s="2"/>
      <c r="AG93" s="2" t="s">
        <v>36</v>
      </c>
      <c r="AH93" s="138">
        <v>2.12E-4</v>
      </c>
      <c r="AI93" s="138">
        <v>2.0048393106397101E-2</v>
      </c>
      <c r="AJ93" s="138">
        <v>2.7558581965208399E-3</v>
      </c>
    </row>
    <row r="94" spans="1:36">
      <c r="A94" s="2">
        <v>161</v>
      </c>
      <c r="B94" s="2">
        <v>9938</v>
      </c>
      <c r="C94" s="2" t="s">
        <v>2004</v>
      </c>
      <c r="D94" s="2" t="s">
        <v>2005</v>
      </c>
      <c r="E94" s="3" t="s">
        <v>1351</v>
      </c>
      <c r="F94" s="2" t="s">
        <v>2006</v>
      </c>
      <c r="G94" s="2" t="s">
        <v>2007</v>
      </c>
      <c r="H94" s="2" t="s">
        <v>209</v>
      </c>
      <c r="I94" s="2" t="s">
        <v>998</v>
      </c>
      <c r="J94" s="2" t="s">
        <v>30</v>
      </c>
      <c r="K94" s="2" t="s">
        <v>30</v>
      </c>
      <c r="L94" s="2" t="s">
        <v>361</v>
      </c>
      <c r="M94" s="2" t="s">
        <v>31</v>
      </c>
      <c r="N94" s="2" t="s">
        <v>471</v>
      </c>
      <c r="O94" s="2" t="s">
        <v>160</v>
      </c>
      <c r="P94" s="2" t="s">
        <v>2008</v>
      </c>
      <c r="Q94" s="2" t="s">
        <v>448</v>
      </c>
      <c r="R94" s="2" t="s">
        <v>440</v>
      </c>
      <c r="S94" s="2" t="s">
        <v>34</v>
      </c>
      <c r="T94" s="123">
        <v>2.7770000000000001</v>
      </c>
      <c r="U94" s="2" t="s">
        <v>1960</v>
      </c>
      <c r="V94" s="136">
        <v>7.2499999999999995E-2</v>
      </c>
      <c r="W94" s="138">
        <v>5.3060000000000003E-2</v>
      </c>
      <c r="X94" s="3" t="s">
        <v>445</v>
      </c>
      <c r="Y94" s="3" t="s">
        <v>160</v>
      </c>
      <c r="Z94" s="123">
        <v>214400</v>
      </c>
      <c r="AA94" s="132">
        <v>1</v>
      </c>
      <c r="AB94" s="149">
        <v>106.83</v>
      </c>
      <c r="AC94" s="2"/>
      <c r="AD94" s="123">
        <v>229.04400000000001</v>
      </c>
      <c r="AE94" s="2"/>
      <c r="AF94" s="2"/>
      <c r="AG94" s="2" t="s">
        <v>36</v>
      </c>
      <c r="AH94" s="138">
        <v>3.3500000000000001E-4</v>
      </c>
      <c r="AI94" s="138">
        <v>2.0777364460356201E-2</v>
      </c>
      <c r="AJ94" s="138">
        <v>2.8560628199126199E-3</v>
      </c>
    </row>
    <row r="95" spans="1:36">
      <c r="A95" s="2">
        <v>161</v>
      </c>
      <c r="B95" s="2">
        <v>9938</v>
      </c>
      <c r="C95" s="2" t="s">
        <v>2233</v>
      </c>
      <c r="D95" s="2" t="s">
        <v>2234</v>
      </c>
      <c r="E95" s="3" t="s">
        <v>1351</v>
      </c>
      <c r="F95" s="2" t="s">
        <v>2235</v>
      </c>
      <c r="G95" s="2" t="s">
        <v>2236</v>
      </c>
      <c r="H95" s="2" t="s">
        <v>209</v>
      </c>
      <c r="I95" s="2" t="s">
        <v>998</v>
      </c>
      <c r="J95" s="2" t="s">
        <v>30</v>
      </c>
      <c r="K95" s="2" t="s">
        <v>30</v>
      </c>
      <c r="L95" s="2" t="s">
        <v>361</v>
      </c>
      <c r="M95" s="2" t="s">
        <v>31</v>
      </c>
      <c r="N95" s="2" t="s">
        <v>495</v>
      </c>
      <c r="O95" s="2" t="s">
        <v>160</v>
      </c>
      <c r="P95" s="2" t="s">
        <v>1956</v>
      </c>
      <c r="Q95" s="2" t="s">
        <v>446</v>
      </c>
      <c r="R95" s="2" t="s">
        <v>440</v>
      </c>
      <c r="S95" s="2" t="s">
        <v>34</v>
      </c>
      <c r="T95" s="123">
        <v>4.8040000000000003</v>
      </c>
      <c r="U95" s="2" t="s">
        <v>2204</v>
      </c>
      <c r="V95" s="136">
        <v>2.5499999999999998E-2</v>
      </c>
      <c r="W95" s="138">
        <v>4.9270000000000001E-2</v>
      </c>
      <c r="X95" s="3" t="s">
        <v>445</v>
      </c>
      <c r="Y95" s="3" t="s">
        <v>160</v>
      </c>
      <c r="Z95" s="123">
        <v>163461.54</v>
      </c>
      <c r="AA95" s="132">
        <v>1</v>
      </c>
      <c r="AB95" s="149">
        <v>89.51</v>
      </c>
      <c r="AC95" s="2"/>
      <c r="AD95" s="123">
        <v>146.31399999999999</v>
      </c>
      <c r="AE95" s="2"/>
      <c r="AF95" s="2"/>
      <c r="AG95" s="2" t="s">
        <v>36</v>
      </c>
      <c r="AH95" s="138">
        <v>5.8999999999999998E-5</v>
      </c>
      <c r="AI95" s="138">
        <v>1.32727095823886E-2</v>
      </c>
      <c r="AJ95" s="138">
        <v>1.8244706844358E-3</v>
      </c>
    </row>
    <row r="96" spans="1:36">
      <c r="A96" s="2">
        <v>161</v>
      </c>
      <c r="B96" s="2">
        <v>9938</v>
      </c>
      <c r="C96" s="2" t="s">
        <v>2233</v>
      </c>
      <c r="D96" s="2" t="s">
        <v>2234</v>
      </c>
      <c r="E96" s="3" t="s">
        <v>1351</v>
      </c>
      <c r="F96" s="2" t="s">
        <v>2237</v>
      </c>
      <c r="G96" s="2" t="s">
        <v>2238</v>
      </c>
      <c r="H96" s="2" t="s">
        <v>209</v>
      </c>
      <c r="I96" s="2" t="s">
        <v>788</v>
      </c>
      <c r="J96" s="2" t="s">
        <v>30</v>
      </c>
      <c r="K96" s="2" t="s">
        <v>30</v>
      </c>
      <c r="L96" s="2" t="s">
        <v>361</v>
      </c>
      <c r="M96" s="2" t="s">
        <v>31</v>
      </c>
      <c r="N96" s="2" t="s">
        <v>495</v>
      </c>
      <c r="O96" s="2" t="s">
        <v>160</v>
      </c>
      <c r="P96" s="2" t="s">
        <v>1956</v>
      </c>
      <c r="Q96" s="2" t="s">
        <v>446</v>
      </c>
      <c r="R96" s="2" t="s">
        <v>440</v>
      </c>
      <c r="S96" s="2" t="s">
        <v>34</v>
      </c>
      <c r="T96" s="123">
        <v>3.992</v>
      </c>
      <c r="U96" s="2" t="s">
        <v>2239</v>
      </c>
      <c r="V96" s="136">
        <v>5.0000000000000001E-3</v>
      </c>
      <c r="W96" s="138">
        <v>2.8850000000000001E-2</v>
      </c>
      <c r="X96" s="3" t="s">
        <v>445</v>
      </c>
      <c r="Y96" s="3" t="s">
        <v>160</v>
      </c>
      <c r="Z96" s="123">
        <v>186792.46</v>
      </c>
      <c r="AA96" s="132">
        <v>1</v>
      </c>
      <c r="AB96" s="149">
        <v>106.2</v>
      </c>
      <c r="AC96" s="2"/>
      <c r="AD96" s="123">
        <v>198.374</v>
      </c>
      <c r="AE96" s="2"/>
      <c r="AF96" s="2"/>
      <c r="AG96" s="2" t="s">
        <v>36</v>
      </c>
      <c r="AH96" s="138">
        <v>1.3999999999999999E-4</v>
      </c>
      <c r="AI96" s="138">
        <v>1.7995184631716399E-2</v>
      </c>
      <c r="AJ96" s="138">
        <v>2.4736235369106699E-3</v>
      </c>
    </row>
    <row r="97" spans="1:36">
      <c r="A97" s="2">
        <v>161</v>
      </c>
      <c r="B97" s="2">
        <v>9938</v>
      </c>
      <c r="C97" s="2" t="s">
        <v>2233</v>
      </c>
      <c r="D97" s="2" t="s">
        <v>2234</v>
      </c>
      <c r="E97" s="3" t="s">
        <v>1351</v>
      </c>
      <c r="F97" s="2" t="s">
        <v>2240</v>
      </c>
      <c r="G97" s="2" t="s">
        <v>2241</v>
      </c>
      <c r="H97" s="2" t="s">
        <v>209</v>
      </c>
      <c r="I97" s="2" t="s">
        <v>788</v>
      </c>
      <c r="J97" s="2" t="s">
        <v>30</v>
      </c>
      <c r="K97" s="2" t="s">
        <v>30</v>
      </c>
      <c r="L97" s="2" t="s">
        <v>361</v>
      </c>
      <c r="M97" s="2" t="s">
        <v>58</v>
      </c>
      <c r="N97" s="2" t="s">
        <v>495</v>
      </c>
      <c r="O97" s="2" t="s">
        <v>160</v>
      </c>
      <c r="P97" s="2" t="s">
        <v>1956</v>
      </c>
      <c r="Q97" s="2" t="s">
        <v>446</v>
      </c>
      <c r="R97" s="2" t="s">
        <v>440</v>
      </c>
      <c r="S97" s="2" t="s">
        <v>34</v>
      </c>
      <c r="T97" s="123">
        <v>3.0670000000000002</v>
      </c>
      <c r="U97" s="2" t="s">
        <v>80</v>
      </c>
      <c r="V97" s="136">
        <v>3.3399999999999999E-2</v>
      </c>
      <c r="W97" s="138">
        <v>2.9409999999999999E-2</v>
      </c>
      <c r="X97" s="3" t="s">
        <v>445</v>
      </c>
      <c r="Y97" s="3" t="s">
        <v>160</v>
      </c>
      <c r="Z97" s="123">
        <v>180000</v>
      </c>
      <c r="AA97" s="132">
        <v>1</v>
      </c>
      <c r="AB97" s="149">
        <v>105.28</v>
      </c>
      <c r="AC97" s="2"/>
      <c r="AD97" s="123">
        <v>189.50399999999999</v>
      </c>
      <c r="AE97" s="2"/>
      <c r="AF97" s="2"/>
      <c r="AG97" s="2" t="s">
        <v>36</v>
      </c>
      <c r="AH97" s="138">
        <v>1.6699999999999999E-4</v>
      </c>
      <c r="AI97" s="138">
        <v>1.7190591878326601E-2</v>
      </c>
      <c r="AJ97" s="138">
        <v>2.3630239730192799E-3</v>
      </c>
    </row>
    <row r="98" spans="1:36">
      <c r="A98" s="2">
        <v>161</v>
      </c>
      <c r="B98" s="2">
        <v>9938</v>
      </c>
      <c r="C98" s="2" t="s">
        <v>2009</v>
      </c>
      <c r="D98" s="2" t="s">
        <v>2010</v>
      </c>
      <c r="E98" s="3" t="s">
        <v>1351</v>
      </c>
      <c r="F98" s="2" t="s">
        <v>2011</v>
      </c>
      <c r="G98" s="2" t="s">
        <v>2012</v>
      </c>
      <c r="H98" s="2" t="s">
        <v>209</v>
      </c>
      <c r="I98" s="2" t="s">
        <v>788</v>
      </c>
      <c r="J98" s="2" t="s">
        <v>30</v>
      </c>
      <c r="K98" s="2" t="s">
        <v>334</v>
      </c>
      <c r="L98" s="2" t="s">
        <v>361</v>
      </c>
      <c r="M98" s="2" t="s">
        <v>31</v>
      </c>
      <c r="N98" s="2" t="s">
        <v>496</v>
      </c>
      <c r="O98" s="2" t="s">
        <v>160</v>
      </c>
      <c r="P98" s="2" t="s">
        <v>2013</v>
      </c>
      <c r="Q98" s="2" t="s">
        <v>446</v>
      </c>
      <c r="R98" s="2" t="s">
        <v>440</v>
      </c>
      <c r="S98" s="2" t="s">
        <v>34</v>
      </c>
      <c r="T98" s="123">
        <v>2.4929999999999999</v>
      </c>
      <c r="U98" s="2" t="s">
        <v>2014</v>
      </c>
      <c r="V98" s="136">
        <v>3.2800000000000003E-2</v>
      </c>
      <c r="W98" s="138">
        <v>4.3709999999999999E-2</v>
      </c>
      <c r="X98" s="3" t="s">
        <v>445</v>
      </c>
      <c r="Y98" s="3" t="s">
        <v>160</v>
      </c>
      <c r="Z98" s="123">
        <v>93750</v>
      </c>
      <c r="AA98" s="132">
        <v>1</v>
      </c>
      <c r="AB98" s="149">
        <v>115.58</v>
      </c>
      <c r="AC98" s="2"/>
      <c r="AD98" s="123">
        <v>108.35599999999999</v>
      </c>
      <c r="AE98" s="2"/>
      <c r="AF98" s="2"/>
      <c r="AG98" s="2" t="s">
        <v>36</v>
      </c>
      <c r="AH98" s="138">
        <v>8.7000000000000001E-5</v>
      </c>
      <c r="AI98" s="138">
        <v>9.8293865629006799E-3</v>
      </c>
      <c r="AJ98" s="138">
        <v>1.3511504579136601E-3</v>
      </c>
    </row>
    <row r="99" spans="1:36">
      <c r="A99" s="2">
        <v>161</v>
      </c>
      <c r="B99" s="2">
        <v>9938</v>
      </c>
      <c r="C99" s="2" t="s">
        <v>1826</v>
      </c>
      <c r="D99" s="2" t="s">
        <v>1827</v>
      </c>
      <c r="E99" s="3" t="s">
        <v>1351</v>
      </c>
      <c r="F99" s="2" t="s">
        <v>2242</v>
      </c>
      <c r="G99" s="2" t="s">
        <v>2243</v>
      </c>
      <c r="H99" s="2" t="s">
        <v>209</v>
      </c>
      <c r="I99" s="2" t="s">
        <v>788</v>
      </c>
      <c r="J99" s="2" t="s">
        <v>30</v>
      </c>
      <c r="K99" s="2" t="s">
        <v>30</v>
      </c>
      <c r="L99" s="2" t="s">
        <v>361</v>
      </c>
      <c r="M99" s="2" t="s">
        <v>31</v>
      </c>
      <c r="N99" s="2" t="s">
        <v>482</v>
      </c>
      <c r="O99" s="2" t="s">
        <v>160</v>
      </c>
      <c r="P99" s="2" t="s">
        <v>1965</v>
      </c>
      <c r="Q99" s="2" t="s">
        <v>446</v>
      </c>
      <c r="R99" s="2" t="s">
        <v>440</v>
      </c>
      <c r="S99" s="2" t="s">
        <v>34</v>
      </c>
      <c r="T99" s="123">
        <v>3.4060000000000001</v>
      </c>
      <c r="U99" s="2" t="s">
        <v>2244</v>
      </c>
      <c r="V99" s="136">
        <v>7.4999999999999997E-3</v>
      </c>
      <c r="W99" s="138">
        <v>3.0300000000000001E-2</v>
      </c>
      <c r="X99" s="3" t="s">
        <v>445</v>
      </c>
      <c r="Y99" s="3" t="s">
        <v>160</v>
      </c>
      <c r="Z99" s="123">
        <v>0</v>
      </c>
      <c r="AA99" s="132">
        <v>1</v>
      </c>
      <c r="AB99" s="149">
        <v>0</v>
      </c>
      <c r="AC99" s="123">
        <v>0.39700000000000002</v>
      </c>
      <c r="AD99" s="123">
        <v>0.39700000000000002</v>
      </c>
      <c r="AE99" s="2"/>
      <c r="AF99" s="2"/>
      <c r="AG99" s="2" t="s">
        <v>36</v>
      </c>
      <c r="AH99" s="138">
        <v>0</v>
      </c>
      <c r="AI99" s="138">
        <v>3.5968853352305403E-5</v>
      </c>
      <c r="AJ99" s="138">
        <v>4.9442894901525896E-6</v>
      </c>
    </row>
    <row r="100" spans="1:36">
      <c r="A100" s="2">
        <v>161</v>
      </c>
      <c r="B100" s="2">
        <v>9938</v>
      </c>
      <c r="C100" s="2" t="s">
        <v>2015</v>
      </c>
      <c r="D100" s="2" t="s">
        <v>2016</v>
      </c>
      <c r="E100" s="3" t="s">
        <v>1351</v>
      </c>
      <c r="F100" s="2" t="s">
        <v>2017</v>
      </c>
      <c r="G100" s="2" t="s">
        <v>2018</v>
      </c>
      <c r="H100" s="2" t="s">
        <v>209</v>
      </c>
      <c r="I100" s="2" t="s">
        <v>788</v>
      </c>
      <c r="J100" s="2" t="s">
        <v>30</v>
      </c>
      <c r="K100" s="2" t="s">
        <v>30</v>
      </c>
      <c r="L100" s="2" t="s">
        <v>361</v>
      </c>
      <c r="M100" s="2" t="s">
        <v>31</v>
      </c>
      <c r="N100" s="2" t="s">
        <v>479</v>
      </c>
      <c r="O100" s="2" t="s">
        <v>160</v>
      </c>
      <c r="P100" s="2" t="s">
        <v>1199</v>
      </c>
      <c r="Q100" s="2" t="s">
        <v>446</v>
      </c>
      <c r="R100" s="2" t="s">
        <v>440</v>
      </c>
      <c r="S100" s="2" t="s">
        <v>34</v>
      </c>
      <c r="T100" s="123">
        <v>3.4950000000000001</v>
      </c>
      <c r="U100" s="2" t="s">
        <v>2019</v>
      </c>
      <c r="V100" s="136">
        <v>2E-3</v>
      </c>
      <c r="W100" s="138">
        <v>2.6020000000000001E-2</v>
      </c>
      <c r="X100" s="3" t="s">
        <v>445</v>
      </c>
      <c r="Y100" s="3" t="s">
        <v>160</v>
      </c>
      <c r="Z100" s="123">
        <v>256111.97</v>
      </c>
      <c r="AA100" s="132">
        <v>1</v>
      </c>
      <c r="AB100" s="149">
        <v>105.05</v>
      </c>
      <c r="AC100" s="2"/>
      <c r="AD100" s="123">
        <v>269.04599999999999</v>
      </c>
      <c r="AE100" s="2"/>
      <c r="AF100" s="2"/>
      <c r="AG100" s="2" t="s">
        <v>36</v>
      </c>
      <c r="AH100" s="138">
        <v>7.4999999999999993E-5</v>
      </c>
      <c r="AI100" s="138">
        <v>2.4406099750776501E-2</v>
      </c>
      <c r="AJ100" s="138">
        <v>3.35486987342747E-3</v>
      </c>
    </row>
    <row r="101" spans="1:36">
      <c r="A101" s="2">
        <v>161</v>
      </c>
      <c r="B101" s="2">
        <v>9938</v>
      </c>
      <c r="C101" s="2" t="s">
        <v>2015</v>
      </c>
      <c r="D101" s="2" t="s">
        <v>2016</v>
      </c>
      <c r="E101" s="3" t="s">
        <v>1351</v>
      </c>
      <c r="F101" s="2" t="s">
        <v>2245</v>
      </c>
      <c r="G101" s="2" t="s">
        <v>2246</v>
      </c>
      <c r="H101" s="2" t="s">
        <v>209</v>
      </c>
      <c r="I101" s="2" t="s">
        <v>788</v>
      </c>
      <c r="J101" s="2" t="s">
        <v>30</v>
      </c>
      <c r="K101" s="2" t="s">
        <v>30</v>
      </c>
      <c r="L101" s="2" t="s">
        <v>361</v>
      </c>
      <c r="M101" s="2" t="s">
        <v>58</v>
      </c>
      <c r="N101" s="2" t="s">
        <v>479</v>
      </c>
      <c r="O101" s="2" t="s">
        <v>160</v>
      </c>
      <c r="P101" s="2" t="s">
        <v>1199</v>
      </c>
      <c r="Q101" s="2" t="s">
        <v>446</v>
      </c>
      <c r="R101" s="2" t="s">
        <v>440</v>
      </c>
      <c r="S101" s="2" t="s">
        <v>34</v>
      </c>
      <c r="T101" s="123">
        <v>4.8159999999999998</v>
      </c>
      <c r="U101" s="2" t="s">
        <v>2247</v>
      </c>
      <c r="V101" s="136">
        <v>2.4E-2</v>
      </c>
      <c r="W101" s="138">
        <v>2.605E-2</v>
      </c>
      <c r="X101" s="3" t="s">
        <v>445</v>
      </c>
      <c r="Y101" s="3" t="s">
        <v>160</v>
      </c>
      <c r="Z101" s="123">
        <v>150000</v>
      </c>
      <c r="AA101" s="132">
        <v>1</v>
      </c>
      <c r="AB101" s="149">
        <v>101.7</v>
      </c>
      <c r="AC101" s="2"/>
      <c r="AD101" s="123">
        <v>152.55000000000001</v>
      </c>
      <c r="AE101" s="2"/>
      <c r="AF101" s="2"/>
      <c r="AG101" s="2" t="s">
        <v>36</v>
      </c>
      <c r="AH101" s="138">
        <v>6.7999999999999999E-5</v>
      </c>
      <c r="AI101" s="138">
        <v>1.3838361148254E-2</v>
      </c>
      <c r="AJ101" s="138">
        <v>1.90222532022592E-3</v>
      </c>
    </row>
    <row r="102" spans="1:36">
      <c r="A102" s="2">
        <v>161</v>
      </c>
      <c r="B102" s="2">
        <v>9938</v>
      </c>
      <c r="C102" s="2" t="s">
        <v>2015</v>
      </c>
      <c r="D102" s="2" t="s">
        <v>2016</v>
      </c>
      <c r="E102" s="3" t="s">
        <v>1351</v>
      </c>
      <c r="F102" s="2" t="s">
        <v>2020</v>
      </c>
      <c r="G102" s="2" t="s">
        <v>2021</v>
      </c>
      <c r="H102" s="2" t="s">
        <v>209</v>
      </c>
      <c r="I102" s="2" t="s">
        <v>998</v>
      </c>
      <c r="J102" s="2" t="s">
        <v>30</v>
      </c>
      <c r="K102" s="2" t="s">
        <v>30</v>
      </c>
      <c r="L102" s="2" t="s">
        <v>361</v>
      </c>
      <c r="M102" s="2" t="s">
        <v>31</v>
      </c>
      <c r="N102" s="2" t="s">
        <v>479</v>
      </c>
      <c r="O102" s="2" t="s">
        <v>160</v>
      </c>
      <c r="P102" s="2" t="s">
        <v>1199</v>
      </c>
      <c r="Q102" s="2" t="s">
        <v>446</v>
      </c>
      <c r="R102" s="2" t="s">
        <v>440</v>
      </c>
      <c r="S102" s="2" t="s">
        <v>34</v>
      </c>
      <c r="T102" s="123">
        <v>2.7370000000000001</v>
      </c>
      <c r="U102" s="2" t="s">
        <v>2022</v>
      </c>
      <c r="V102" s="136">
        <v>2.6800000000000001E-2</v>
      </c>
      <c r="W102" s="138">
        <v>4.3189999999999999E-2</v>
      </c>
      <c r="X102" s="3" t="s">
        <v>445</v>
      </c>
      <c r="Y102" s="3" t="s">
        <v>160</v>
      </c>
      <c r="Z102" s="123">
        <v>145730.94</v>
      </c>
      <c r="AA102" s="132">
        <v>1</v>
      </c>
      <c r="AB102" s="149">
        <v>97.18</v>
      </c>
      <c r="AC102" s="2"/>
      <c r="AD102" s="123">
        <v>141.62100000000001</v>
      </c>
      <c r="AE102" s="2"/>
      <c r="AF102" s="2"/>
      <c r="AG102" s="2" t="s">
        <v>36</v>
      </c>
      <c r="AH102" s="138">
        <v>7.3999999999999996E-5</v>
      </c>
      <c r="AI102" s="138">
        <v>1.28469818166467E-2</v>
      </c>
      <c r="AJ102" s="138">
        <v>1.7659500166456201E-3</v>
      </c>
    </row>
    <row r="103" spans="1:36">
      <c r="A103" s="2">
        <v>161</v>
      </c>
      <c r="B103" s="2">
        <v>9938</v>
      </c>
      <c r="C103" s="2" t="s">
        <v>2015</v>
      </c>
      <c r="D103" s="2" t="s">
        <v>2016</v>
      </c>
      <c r="E103" s="3" t="s">
        <v>1351</v>
      </c>
      <c r="F103" s="2" t="s">
        <v>2023</v>
      </c>
      <c r="G103" s="2" t="s">
        <v>2024</v>
      </c>
      <c r="H103" s="2" t="s">
        <v>209</v>
      </c>
      <c r="I103" s="2" t="s">
        <v>788</v>
      </c>
      <c r="J103" s="2" t="s">
        <v>30</v>
      </c>
      <c r="K103" s="2" t="s">
        <v>30</v>
      </c>
      <c r="L103" s="2" t="s">
        <v>361</v>
      </c>
      <c r="M103" s="2" t="s">
        <v>58</v>
      </c>
      <c r="N103" s="2" t="s">
        <v>479</v>
      </c>
      <c r="O103" s="2" t="s">
        <v>160</v>
      </c>
      <c r="P103" s="2" t="s">
        <v>1969</v>
      </c>
      <c r="Q103" s="2" t="s">
        <v>446</v>
      </c>
      <c r="R103" s="2" t="s">
        <v>440</v>
      </c>
      <c r="S103" s="2" t="s">
        <v>34</v>
      </c>
      <c r="T103" s="123">
        <v>4.93</v>
      </c>
      <c r="U103" s="2" t="s">
        <v>2025</v>
      </c>
      <c r="V103" s="136">
        <v>3.3203000000000003E-2</v>
      </c>
      <c r="W103" s="138">
        <v>3.0030000000000001E-2</v>
      </c>
      <c r="X103" s="3" t="s">
        <v>445</v>
      </c>
      <c r="Y103" s="3" t="s">
        <v>160</v>
      </c>
      <c r="Z103" s="123">
        <v>190000</v>
      </c>
      <c r="AA103" s="132">
        <v>1</v>
      </c>
      <c r="AB103" s="149">
        <v>106.72</v>
      </c>
      <c r="AC103" s="2"/>
      <c r="AD103" s="123">
        <v>202.768</v>
      </c>
      <c r="AE103" s="2"/>
      <c r="AF103" s="2"/>
      <c r="AG103" s="2" t="s">
        <v>36</v>
      </c>
      <c r="AH103" s="138">
        <v>1.5200000000000001E-4</v>
      </c>
      <c r="AI103" s="138">
        <v>1.83938171963892E-2</v>
      </c>
      <c r="AJ103" s="138">
        <v>2.5284196901446598E-3</v>
      </c>
    </row>
    <row r="104" spans="1:36">
      <c r="A104" s="2">
        <v>161</v>
      </c>
      <c r="B104" s="2">
        <v>9938</v>
      </c>
      <c r="C104" s="2" t="s">
        <v>2026</v>
      </c>
      <c r="D104" s="2" t="s">
        <v>2027</v>
      </c>
      <c r="E104" s="3" t="s">
        <v>1351</v>
      </c>
      <c r="F104" s="2" t="s">
        <v>2028</v>
      </c>
      <c r="G104" s="2" t="s">
        <v>2029</v>
      </c>
      <c r="H104" s="2" t="s">
        <v>209</v>
      </c>
      <c r="I104" s="2" t="s">
        <v>788</v>
      </c>
      <c r="J104" s="2" t="s">
        <v>30</v>
      </c>
      <c r="K104" s="2" t="s">
        <v>30</v>
      </c>
      <c r="L104" s="2" t="s">
        <v>361</v>
      </c>
      <c r="M104" s="2" t="s">
        <v>31</v>
      </c>
      <c r="N104" s="2" t="s">
        <v>495</v>
      </c>
      <c r="O104" s="2" t="s">
        <v>160</v>
      </c>
      <c r="P104" s="2" t="s">
        <v>2030</v>
      </c>
      <c r="Q104" s="2" t="s">
        <v>446</v>
      </c>
      <c r="R104" s="2" t="s">
        <v>440</v>
      </c>
      <c r="S104" s="2" t="s">
        <v>34</v>
      </c>
      <c r="T104" s="123">
        <v>2.8719999999999999</v>
      </c>
      <c r="U104" s="2" t="s">
        <v>2031</v>
      </c>
      <c r="V104" s="136">
        <v>2.7E-2</v>
      </c>
      <c r="W104" s="138">
        <v>2.9139999999999999E-2</v>
      </c>
      <c r="X104" s="3" t="s">
        <v>445</v>
      </c>
      <c r="Y104" s="3" t="s">
        <v>160</v>
      </c>
      <c r="Z104" s="123">
        <v>34200</v>
      </c>
      <c r="AA104" s="132">
        <v>1</v>
      </c>
      <c r="AB104" s="149">
        <v>108.07</v>
      </c>
      <c r="AC104" s="2"/>
      <c r="AD104" s="123">
        <v>36.96</v>
      </c>
      <c r="AE104" s="2"/>
      <c r="AF104" s="2"/>
      <c r="AG104" s="2" t="s">
        <v>36</v>
      </c>
      <c r="AH104" s="138">
        <v>8.7000000000000001E-5</v>
      </c>
      <c r="AI104" s="138">
        <v>3.35276956891379E-3</v>
      </c>
      <c r="AJ104" s="138">
        <v>4.6087272174389103E-4</v>
      </c>
    </row>
    <row r="105" spans="1:36">
      <c r="A105" s="2">
        <v>161</v>
      </c>
      <c r="B105" s="2">
        <v>9938</v>
      </c>
      <c r="C105" s="2" t="s">
        <v>2026</v>
      </c>
      <c r="D105" s="2" t="s">
        <v>2027</v>
      </c>
      <c r="E105" s="3" t="s">
        <v>1351</v>
      </c>
      <c r="F105" s="2" t="s">
        <v>2032</v>
      </c>
      <c r="G105" s="2" t="s">
        <v>2033</v>
      </c>
      <c r="H105" s="2" t="s">
        <v>209</v>
      </c>
      <c r="I105" s="2" t="s">
        <v>788</v>
      </c>
      <c r="J105" s="2" t="s">
        <v>30</v>
      </c>
      <c r="K105" s="2" t="s">
        <v>30</v>
      </c>
      <c r="L105" s="2" t="s">
        <v>361</v>
      </c>
      <c r="M105" s="2" t="s">
        <v>31</v>
      </c>
      <c r="N105" s="2" t="s">
        <v>495</v>
      </c>
      <c r="O105" s="2" t="s">
        <v>160</v>
      </c>
      <c r="P105" s="2" t="s">
        <v>2030</v>
      </c>
      <c r="Q105" s="2" t="s">
        <v>446</v>
      </c>
      <c r="R105" s="2" t="s">
        <v>440</v>
      </c>
      <c r="S105" s="2" t="s">
        <v>34</v>
      </c>
      <c r="T105" s="123">
        <v>2.2509999999999999</v>
      </c>
      <c r="U105" s="2" t="s">
        <v>2034</v>
      </c>
      <c r="V105" s="136">
        <v>1.7999999999999999E-2</v>
      </c>
      <c r="W105" s="138">
        <v>2.801E-2</v>
      </c>
      <c r="X105" s="3" t="s">
        <v>445</v>
      </c>
      <c r="Y105" s="3" t="s">
        <v>160</v>
      </c>
      <c r="Z105" s="123">
        <v>84375</v>
      </c>
      <c r="AA105" s="132">
        <v>1</v>
      </c>
      <c r="AB105" s="149">
        <v>115.55</v>
      </c>
      <c r="AC105" s="2"/>
      <c r="AD105" s="123">
        <v>97.495000000000005</v>
      </c>
      <c r="AE105" s="2"/>
      <c r="AF105" s="2"/>
      <c r="AG105" s="2" t="s">
        <v>36</v>
      </c>
      <c r="AH105" s="138">
        <v>1.1400000000000001E-4</v>
      </c>
      <c r="AI105" s="138">
        <v>8.8441517183669802E-3</v>
      </c>
      <c r="AJ105" s="138">
        <v>1.21571977738996E-3</v>
      </c>
    </row>
    <row r="106" spans="1:36">
      <c r="A106" s="2">
        <v>161</v>
      </c>
      <c r="B106" s="2">
        <v>9938</v>
      </c>
      <c r="C106" s="2" t="s">
        <v>1655</v>
      </c>
      <c r="D106" s="2" t="s">
        <v>1656</v>
      </c>
      <c r="E106" s="3" t="s">
        <v>1351</v>
      </c>
      <c r="F106" s="2" t="s">
        <v>2035</v>
      </c>
      <c r="G106" s="2" t="s">
        <v>2036</v>
      </c>
      <c r="H106" s="2" t="s">
        <v>209</v>
      </c>
      <c r="I106" s="2" t="s">
        <v>788</v>
      </c>
      <c r="J106" s="2" t="s">
        <v>30</v>
      </c>
      <c r="K106" s="2" t="s">
        <v>30</v>
      </c>
      <c r="L106" s="2" t="s">
        <v>361</v>
      </c>
      <c r="M106" s="2" t="s">
        <v>31</v>
      </c>
      <c r="N106" s="2" t="s">
        <v>476</v>
      </c>
      <c r="O106" s="2" t="s">
        <v>160</v>
      </c>
      <c r="P106" s="2" t="s">
        <v>1956</v>
      </c>
      <c r="Q106" s="2" t="s">
        <v>446</v>
      </c>
      <c r="R106" s="2" t="s">
        <v>440</v>
      </c>
      <c r="S106" s="2" t="s">
        <v>34</v>
      </c>
      <c r="T106" s="123">
        <v>3.8069999999999999</v>
      </c>
      <c r="U106" s="2" t="s">
        <v>2037</v>
      </c>
      <c r="V106" s="136">
        <v>4.4000000000000003E-3</v>
      </c>
      <c r="W106" s="138">
        <v>2.647E-2</v>
      </c>
      <c r="X106" s="3" t="s">
        <v>445</v>
      </c>
      <c r="Y106" s="3" t="s">
        <v>160</v>
      </c>
      <c r="Z106" s="123">
        <v>120000</v>
      </c>
      <c r="AA106" s="132">
        <v>1</v>
      </c>
      <c r="AB106" s="149">
        <v>107.59</v>
      </c>
      <c r="AC106" s="2"/>
      <c r="AD106" s="123">
        <v>129.108</v>
      </c>
      <c r="AE106" s="2"/>
      <c r="AF106" s="2"/>
      <c r="AG106" s="2" t="s">
        <v>36</v>
      </c>
      <c r="AH106" s="138">
        <v>1.17E-4</v>
      </c>
      <c r="AI106" s="138">
        <v>1.17118527114309E-2</v>
      </c>
      <c r="AJ106" s="138">
        <v>1.6099148255898201E-3</v>
      </c>
    </row>
    <row r="107" spans="1:36">
      <c r="A107" s="2">
        <v>161</v>
      </c>
      <c r="B107" s="2">
        <v>9938</v>
      </c>
      <c r="C107" s="2" t="s">
        <v>1834</v>
      </c>
      <c r="D107" s="2" t="s">
        <v>1835</v>
      </c>
      <c r="E107" s="3" t="s">
        <v>1351</v>
      </c>
      <c r="F107" s="2" t="s">
        <v>2038</v>
      </c>
      <c r="G107" s="2" t="s">
        <v>2039</v>
      </c>
      <c r="H107" s="2" t="s">
        <v>209</v>
      </c>
      <c r="I107" s="2" t="s">
        <v>998</v>
      </c>
      <c r="J107" s="2" t="s">
        <v>30</v>
      </c>
      <c r="K107" s="2" t="s">
        <v>30</v>
      </c>
      <c r="L107" s="2" t="s">
        <v>361</v>
      </c>
      <c r="M107" s="2" t="s">
        <v>31</v>
      </c>
      <c r="N107" s="2" t="s">
        <v>476</v>
      </c>
      <c r="O107" s="2" t="s">
        <v>160</v>
      </c>
      <c r="P107" s="2" t="s">
        <v>1355</v>
      </c>
      <c r="Q107" s="2" t="s">
        <v>448</v>
      </c>
      <c r="R107" s="2" t="s">
        <v>440</v>
      </c>
      <c r="S107" s="2" t="s">
        <v>34</v>
      </c>
      <c r="T107" s="123">
        <v>4.9370000000000003</v>
      </c>
      <c r="U107" s="2" t="s">
        <v>2040</v>
      </c>
      <c r="V107" s="136">
        <v>1.95E-2</v>
      </c>
      <c r="W107" s="138">
        <v>4.5429999999999998E-2</v>
      </c>
      <c r="X107" s="3" t="s">
        <v>445</v>
      </c>
      <c r="Y107" s="3" t="s">
        <v>160</v>
      </c>
      <c r="Z107" s="123">
        <v>200878.88</v>
      </c>
      <c r="AA107" s="132">
        <v>1</v>
      </c>
      <c r="AB107" s="149">
        <v>88.13</v>
      </c>
      <c r="AC107" s="2"/>
      <c r="AD107" s="123">
        <v>177.035</v>
      </c>
      <c r="AE107" s="2"/>
      <c r="AF107" s="2"/>
      <c r="AG107" s="2" t="s">
        <v>36</v>
      </c>
      <c r="AH107" s="138">
        <v>2.1000000000000001E-4</v>
      </c>
      <c r="AI107" s="138">
        <v>1.6059443688706699E-2</v>
      </c>
      <c r="AJ107" s="138">
        <v>2.2075359998286002E-3</v>
      </c>
    </row>
    <row r="108" spans="1:36">
      <c r="A108" s="2">
        <v>161</v>
      </c>
      <c r="B108" s="2">
        <v>9938</v>
      </c>
      <c r="C108" s="2" t="s">
        <v>2041</v>
      </c>
      <c r="D108" s="2" t="s">
        <v>2042</v>
      </c>
      <c r="E108" s="3" t="s">
        <v>1351</v>
      </c>
      <c r="F108" s="2" t="s">
        <v>2043</v>
      </c>
      <c r="G108" s="2" t="s">
        <v>2044</v>
      </c>
      <c r="H108" s="2" t="s">
        <v>209</v>
      </c>
      <c r="I108" s="2" t="s">
        <v>998</v>
      </c>
      <c r="J108" s="2" t="s">
        <v>30</v>
      </c>
      <c r="K108" s="2" t="s">
        <v>30</v>
      </c>
      <c r="L108" s="2" t="s">
        <v>361</v>
      </c>
      <c r="M108" s="2" t="s">
        <v>31</v>
      </c>
      <c r="N108" s="2" t="s">
        <v>482</v>
      </c>
      <c r="O108" s="2" t="s">
        <v>160</v>
      </c>
      <c r="P108" s="2" t="s">
        <v>1965</v>
      </c>
      <c r="Q108" s="2" t="s">
        <v>446</v>
      </c>
      <c r="R108" s="2" t="s">
        <v>440</v>
      </c>
      <c r="S108" s="2" t="s">
        <v>34</v>
      </c>
      <c r="T108" s="123">
        <v>2.06</v>
      </c>
      <c r="U108" s="2" t="s">
        <v>2014</v>
      </c>
      <c r="V108" s="136">
        <v>2.1999999999999999E-2</v>
      </c>
      <c r="W108" s="138">
        <v>4.895E-2</v>
      </c>
      <c r="X108" s="3" t="s">
        <v>445</v>
      </c>
      <c r="Y108" s="3" t="s">
        <v>160</v>
      </c>
      <c r="Z108" s="123">
        <v>104000</v>
      </c>
      <c r="AA108" s="132">
        <v>1</v>
      </c>
      <c r="AB108" s="149">
        <v>94.79</v>
      </c>
      <c r="AC108" s="2"/>
      <c r="AD108" s="123">
        <v>98.581999999999994</v>
      </c>
      <c r="AE108" s="2"/>
      <c r="AF108" s="2"/>
      <c r="AG108" s="2" t="s">
        <v>36</v>
      </c>
      <c r="AH108" s="138">
        <v>1.2E-4</v>
      </c>
      <c r="AI108" s="138">
        <v>8.9426927785822095E-3</v>
      </c>
      <c r="AJ108" s="138">
        <v>1.22926526141189E-3</v>
      </c>
    </row>
    <row r="109" spans="1:36">
      <c r="A109" s="2">
        <v>161</v>
      </c>
      <c r="B109" s="2">
        <v>9938</v>
      </c>
      <c r="C109" s="2" t="s">
        <v>1948</v>
      </c>
      <c r="D109" s="2" t="s">
        <v>1949</v>
      </c>
      <c r="E109" s="3" t="s">
        <v>1351</v>
      </c>
      <c r="F109" s="2" t="s">
        <v>2045</v>
      </c>
      <c r="G109" s="2" t="s">
        <v>2046</v>
      </c>
      <c r="H109" s="2" t="s">
        <v>209</v>
      </c>
      <c r="I109" s="2" t="s">
        <v>998</v>
      </c>
      <c r="J109" s="2" t="s">
        <v>30</v>
      </c>
      <c r="K109" s="2" t="s">
        <v>30</v>
      </c>
      <c r="L109" s="2" t="s">
        <v>361</v>
      </c>
      <c r="M109" s="2" t="s">
        <v>58</v>
      </c>
      <c r="N109" s="2" t="s">
        <v>478</v>
      </c>
      <c r="O109" s="2" t="s">
        <v>160</v>
      </c>
      <c r="P109" s="2" t="s">
        <v>211</v>
      </c>
      <c r="Q109" s="2" t="s">
        <v>211</v>
      </c>
      <c r="R109" s="2" t="s">
        <v>211</v>
      </c>
      <c r="S109" s="2" t="s">
        <v>34</v>
      </c>
      <c r="T109" s="123">
        <v>1.9419999999999999</v>
      </c>
      <c r="U109" s="2" t="s">
        <v>2047</v>
      </c>
      <c r="V109" s="136">
        <v>6.5000000000000002E-2</v>
      </c>
      <c r="W109" s="138">
        <v>6.1740000000000003E-2</v>
      </c>
      <c r="X109" s="3" t="s">
        <v>445</v>
      </c>
      <c r="Y109" s="3" t="s">
        <v>160</v>
      </c>
      <c r="Z109" s="123">
        <v>54000</v>
      </c>
      <c r="AA109" s="132">
        <v>1</v>
      </c>
      <c r="AB109" s="149">
        <v>100.78</v>
      </c>
      <c r="AC109" s="123">
        <v>1.7549999999999999</v>
      </c>
      <c r="AD109" s="123">
        <v>56.176000000000002</v>
      </c>
      <c r="AE109" s="2"/>
      <c r="AF109" s="2"/>
      <c r="AG109" s="2" t="s">
        <v>36</v>
      </c>
      <c r="AH109" s="138">
        <v>1.84E-4</v>
      </c>
      <c r="AI109" s="138">
        <v>5.0959458770012903E-3</v>
      </c>
      <c r="AJ109" s="138">
        <v>7.00490265710095E-4</v>
      </c>
    </row>
    <row r="110" spans="1:36">
      <c r="A110" s="2">
        <v>161</v>
      </c>
      <c r="B110" s="2">
        <v>9938</v>
      </c>
      <c r="C110" s="2" t="s">
        <v>2048</v>
      </c>
      <c r="D110" s="2" t="s">
        <v>2049</v>
      </c>
      <c r="E110" s="3" t="s">
        <v>1351</v>
      </c>
      <c r="F110" s="2" t="s">
        <v>2050</v>
      </c>
      <c r="G110" s="2" t="s">
        <v>2051</v>
      </c>
      <c r="H110" s="2" t="s">
        <v>209</v>
      </c>
      <c r="I110" s="2" t="s">
        <v>788</v>
      </c>
      <c r="J110" s="2" t="s">
        <v>30</v>
      </c>
      <c r="K110" s="2" t="s">
        <v>30</v>
      </c>
      <c r="L110" s="2" t="s">
        <v>361</v>
      </c>
      <c r="M110" s="2" t="s">
        <v>31</v>
      </c>
      <c r="N110" s="2" t="s">
        <v>471</v>
      </c>
      <c r="O110" s="2" t="s">
        <v>160</v>
      </c>
      <c r="P110" s="2" t="s">
        <v>1199</v>
      </c>
      <c r="Q110" s="2" t="s">
        <v>446</v>
      </c>
      <c r="R110" s="2" t="s">
        <v>440</v>
      </c>
      <c r="S110" s="2" t="s">
        <v>34</v>
      </c>
      <c r="T110" s="123">
        <v>0.65200000000000002</v>
      </c>
      <c r="U110" s="2" t="s">
        <v>2052</v>
      </c>
      <c r="V110" s="136">
        <v>4.4999999999999998E-2</v>
      </c>
      <c r="W110" s="138">
        <v>2.9680000000000002E-2</v>
      </c>
      <c r="X110" s="3" t="s">
        <v>445</v>
      </c>
      <c r="Y110" s="3" t="s">
        <v>160</v>
      </c>
      <c r="Z110" s="123">
        <v>30500</v>
      </c>
      <c r="AA110" s="132">
        <v>1</v>
      </c>
      <c r="AB110" s="149">
        <v>121.68</v>
      </c>
      <c r="AC110" s="2"/>
      <c r="AD110" s="123">
        <v>37.112000000000002</v>
      </c>
      <c r="AE110" s="2"/>
      <c r="AF110" s="2"/>
      <c r="AG110" s="2" t="s">
        <v>36</v>
      </c>
      <c r="AH110" s="138">
        <v>2.0999999999999999E-5</v>
      </c>
      <c r="AI110" s="138">
        <v>3.3665997658371802E-3</v>
      </c>
      <c r="AJ110" s="138">
        <v>4.6277382480729103E-4</v>
      </c>
    </row>
    <row r="111" spans="1:36">
      <c r="A111" s="2">
        <v>161</v>
      </c>
      <c r="B111" s="2">
        <v>9938</v>
      </c>
      <c r="C111" s="2" t="s">
        <v>2048</v>
      </c>
      <c r="D111" s="2" t="s">
        <v>2049</v>
      </c>
      <c r="E111" s="3" t="s">
        <v>1351</v>
      </c>
      <c r="F111" s="2" t="s">
        <v>2056</v>
      </c>
      <c r="G111" s="2" t="s">
        <v>2057</v>
      </c>
      <c r="H111" s="2" t="s">
        <v>209</v>
      </c>
      <c r="I111" s="2" t="s">
        <v>788</v>
      </c>
      <c r="J111" s="2" t="s">
        <v>30</v>
      </c>
      <c r="K111" s="2" t="s">
        <v>30</v>
      </c>
      <c r="L111" s="2" t="s">
        <v>361</v>
      </c>
      <c r="M111" s="2" t="s">
        <v>31</v>
      </c>
      <c r="N111" s="2" t="s">
        <v>471</v>
      </c>
      <c r="O111" s="2" t="s">
        <v>160</v>
      </c>
      <c r="P111" s="2" t="s">
        <v>1199</v>
      </c>
      <c r="Q111" s="2" t="s">
        <v>446</v>
      </c>
      <c r="R111" s="2" t="s">
        <v>440</v>
      </c>
      <c r="S111" s="2" t="s">
        <v>34</v>
      </c>
      <c r="T111" s="123">
        <v>5.1180000000000003</v>
      </c>
      <c r="U111" s="2" t="s">
        <v>2058</v>
      </c>
      <c r="V111" s="136">
        <v>2.3900000000000001E-2</v>
      </c>
      <c r="W111" s="138">
        <v>2.6190000000000001E-2</v>
      </c>
      <c r="X111" s="3" t="s">
        <v>445</v>
      </c>
      <c r="Y111" s="3" t="s">
        <v>160</v>
      </c>
      <c r="Z111" s="123">
        <v>110000</v>
      </c>
      <c r="AA111" s="132">
        <v>1</v>
      </c>
      <c r="AB111" s="149">
        <v>116.21</v>
      </c>
      <c r="AC111" s="2"/>
      <c r="AD111" s="123">
        <v>127.831</v>
      </c>
      <c r="AE111" s="2"/>
      <c r="AF111" s="2"/>
      <c r="AG111" s="2" t="s">
        <v>36</v>
      </c>
      <c r="AH111" s="138">
        <v>2.8E-5</v>
      </c>
      <c r="AI111" s="138">
        <v>1.15960114319401E-2</v>
      </c>
      <c r="AJ111" s="138">
        <v>1.59399124817961E-3</v>
      </c>
    </row>
    <row r="112" spans="1:36">
      <c r="A112" s="2">
        <v>161</v>
      </c>
      <c r="B112" s="2">
        <v>9938</v>
      </c>
      <c r="C112" s="2" t="s">
        <v>2048</v>
      </c>
      <c r="D112" s="2" t="s">
        <v>2049</v>
      </c>
      <c r="E112" s="3" t="s">
        <v>1351</v>
      </c>
      <c r="F112" s="2" t="s">
        <v>2059</v>
      </c>
      <c r="G112" s="2" t="s">
        <v>2060</v>
      </c>
      <c r="H112" s="2" t="s">
        <v>209</v>
      </c>
      <c r="I112" s="2" t="s">
        <v>788</v>
      </c>
      <c r="J112" s="2" t="s">
        <v>30</v>
      </c>
      <c r="K112" s="2" t="s">
        <v>30</v>
      </c>
      <c r="L112" s="2" t="s">
        <v>361</v>
      </c>
      <c r="M112" s="2" t="s">
        <v>31</v>
      </c>
      <c r="N112" s="2" t="s">
        <v>471</v>
      </c>
      <c r="O112" s="2" t="s">
        <v>160</v>
      </c>
      <c r="P112" s="2" t="s">
        <v>1199</v>
      </c>
      <c r="Q112" s="2" t="s">
        <v>446</v>
      </c>
      <c r="R112" s="2" t="s">
        <v>440</v>
      </c>
      <c r="S112" s="2" t="s">
        <v>34</v>
      </c>
      <c r="T112" s="123">
        <v>7.1369999999999996</v>
      </c>
      <c r="U112" s="2" t="s">
        <v>2061</v>
      </c>
      <c r="V112" s="136">
        <v>0.03</v>
      </c>
      <c r="W112" s="138">
        <v>2.597E-2</v>
      </c>
      <c r="X112" s="3" t="s">
        <v>445</v>
      </c>
      <c r="Y112" s="3" t="s">
        <v>160</v>
      </c>
      <c r="Z112" s="123">
        <v>120000</v>
      </c>
      <c r="AA112" s="132">
        <v>1</v>
      </c>
      <c r="AB112" s="149">
        <v>109.5</v>
      </c>
      <c r="AC112" s="2"/>
      <c r="AD112" s="123">
        <v>131.4</v>
      </c>
      <c r="AE112" s="2"/>
      <c r="AF112" s="2"/>
      <c r="AG112" s="2" t="s">
        <v>36</v>
      </c>
      <c r="AH112" s="138">
        <v>2.9E-5</v>
      </c>
      <c r="AI112" s="138">
        <v>1.1919768304690799E-2</v>
      </c>
      <c r="AJ112" s="138">
        <v>1.6384949660942999E-3</v>
      </c>
    </row>
    <row r="113" spans="1:36">
      <c r="A113" s="2">
        <v>161</v>
      </c>
      <c r="B113" s="2">
        <v>9938</v>
      </c>
      <c r="C113" s="2" t="s">
        <v>2062</v>
      </c>
      <c r="D113" s="2" t="s">
        <v>2063</v>
      </c>
      <c r="E113" s="3" t="s">
        <v>1351</v>
      </c>
      <c r="F113" s="2" t="s">
        <v>2064</v>
      </c>
      <c r="G113" s="2" t="s">
        <v>2065</v>
      </c>
      <c r="H113" s="2" t="s">
        <v>209</v>
      </c>
      <c r="I113" s="2" t="s">
        <v>788</v>
      </c>
      <c r="J113" s="2" t="s">
        <v>30</v>
      </c>
      <c r="K113" s="2" t="s">
        <v>30</v>
      </c>
      <c r="L113" s="2" t="s">
        <v>361</v>
      </c>
      <c r="M113" s="2" t="s">
        <v>31</v>
      </c>
      <c r="N113" s="2" t="s">
        <v>493</v>
      </c>
      <c r="O113" s="2" t="s">
        <v>160</v>
      </c>
      <c r="P113" s="2" t="s">
        <v>1969</v>
      </c>
      <c r="Q113" s="2" t="s">
        <v>446</v>
      </c>
      <c r="R113" s="2" t="s">
        <v>440</v>
      </c>
      <c r="S113" s="2" t="s">
        <v>34</v>
      </c>
      <c r="T113" s="123">
        <v>1.0900000000000001</v>
      </c>
      <c r="U113" s="2" t="s">
        <v>2066</v>
      </c>
      <c r="V113" s="136">
        <v>1.0500000000000001E-2</v>
      </c>
      <c r="W113" s="138">
        <v>3.2000000000000001E-2</v>
      </c>
      <c r="X113" s="3" t="s">
        <v>445</v>
      </c>
      <c r="Y113" s="3" t="s">
        <v>160</v>
      </c>
      <c r="Z113" s="123">
        <v>82500</v>
      </c>
      <c r="AA113" s="132">
        <v>1</v>
      </c>
      <c r="AB113" s="149">
        <v>113.64</v>
      </c>
      <c r="AC113" s="2"/>
      <c r="AD113" s="123">
        <v>93.753</v>
      </c>
      <c r="AE113" s="2"/>
      <c r="AF113" s="2"/>
      <c r="AG113" s="2" t="s">
        <v>36</v>
      </c>
      <c r="AH113" s="138">
        <v>2.0000000000000001E-4</v>
      </c>
      <c r="AI113" s="138">
        <v>8.5046730431481993E-3</v>
      </c>
      <c r="AJ113" s="138">
        <v>1.1690549357400201E-3</v>
      </c>
    </row>
    <row r="114" spans="1:36">
      <c r="A114" s="2">
        <v>161</v>
      </c>
      <c r="B114" s="2">
        <v>9938</v>
      </c>
      <c r="C114" s="2" t="s">
        <v>2062</v>
      </c>
      <c r="D114" s="2" t="s">
        <v>2063</v>
      </c>
      <c r="E114" s="3" t="s">
        <v>1351</v>
      </c>
      <c r="F114" s="2" t="s">
        <v>2067</v>
      </c>
      <c r="G114" s="2" t="s">
        <v>2068</v>
      </c>
      <c r="H114" s="2" t="s">
        <v>209</v>
      </c>
      <c r="I114" s="2" t="s">
        <v>998</v>
      </c>
      <c r="J114" s="2" t="s">
        <v>30</v>
      </c>
      <c r="K114" s="2" t="s">
        <v>30</v>
      </c>
      <c r="L114" s="2" t="s">
        <v>361</v>
      </c>
      <c r="M114" s="2" t="s">
        <v>31</v>
      </c>
      <c r="N114" s="2" t="s">
        <v>493</v>
      </c>
      <c r="O114" s="2" t="s">
        <v>160</v>
      </c>
      <c r="P114" s="2" t="s">
        <v>1969</v>
      </c>
      <c r="Q114" s="2" t="s">
        <v>446</v>
      </c>
      <c r="R114" s="2" t="s">
        <v>440</v>
      </c>
      <c r="S114" s="2" t="s">
        <v>34</v>
      </c>
      <c r="T114" s="123">
        <v>1.7789999999999999</v>
      </c>
      <c r="U114" s="2" t="s">
        <v>2069</v>
      </c>
      <c r="V114" s="136">
        <v>2.18E-2</v>
      </c>
      <c r="W114" s="138">
        <v>4.8379999999999999E-2</v>
      </c>
      <c r="X114" s="3" t="s">
        <v>445</v>
      </c>
      <c r="Y114" s="3" t="s">
        <v>160</v>
      </c>
      <c r="Z114" s="123">
        <v>116666.67</v>
      </c>
      <c r="AA114" s="132">
        <v>1</v>
      </c>
      <c r="AB114" s="149">
        <v>95.82</v>
      </c>
      <c r="AC114" s="2"/>
      <c r="AD114" s="123">
        <v>111.79</v>
      </c>
      <c r="AE114" s="2"/>
      <c r="AF114" s="2"/>
      <c r="AG114" s="2" t="s">
        <v>36</v>
      </c>
      <c r="AH114" s="138">
        <v>4.0900000000000002E-4</v>
      </c>
      <c r="AI114" s="138">
        <v>1.0140874709688901E-2</v>
      </c>
      <c r="AJ114" s="138">
        <v>1.3939677130367901E-3</v>
      </c>
    </row>
    <row r="115" spans="1:36">
      <c r="A115" s="2">
        <v>161</v>
      </c>
      <c r="B115" s="2">
        <v>9938</v>
      </c>
      <c r="C115" s="2" t="s">
        <v>2062</v>
      </c>
      <c r="D115" s="2" t="s">
        <v>2063</v>
      </c>
      <c r="E115" s="3" t="s">
        <v>1351</v>
      </c>
      <c r="F115" s="2" t="s">
        <v>2248</v>
      </c>
      <c r="G115" s="2" t="s">
        <v>2249</v>
      </c>
      <c r="H115" s="2" t="s">
        <v>209</v>
      </c>
      <c r="I115" s="2" t="s">
        <v>998</v>
      </c>
      <c r="J115" s="2" t="s">
        <v>30</v>
      </c>
      <c r="K115" s="2" t="s">
        <v>30</v>
      </c>
      <c r="L115" s="2" t="s">
        <v>361</v>
      </c>
      <c r="M115" s="2" t="s">
        <v>31</v>
      </c>
      <c r="N115" s="2" t="s">
        <v>493</v>
      </c>
      <c r="O115" s="2" t="s">
        <v>160</v>
      </c>
      <c r="P115" s="2" t="s">
        <v>1969</v>
      </c>
      <c r="Q115" s="2" t="s">
        <v>446</v>
      </c>
      <c r="R115" s="2" t="s">
        <v>440</v>
      </c>
      <c r="S115" s="2" t="s">
        <v>34</v>
      </c>
      <c r="T115" s="123">
        <v>2.6160000000000001</v>
      </c>
      <c r="U115" s="2" t="s">
        <v>2250</v>
      </c>
      <c r="V115" s="136">
        <v>4.6800000000000001E-2</v>
      </c>
      <c r="W115" s="138">
        <v>4.9119999999999997E-2</v>
      </c>
      <c r="X115" s="3" t="s">
        <v>445</v>
      </c>
      <c r="Y115" s="3" t="s">
        <v>160</v>
      </c>
      <c r="Z115" s="123">
        <v>141538.46</v>
      </c>
      <c r="AA115" s="132">
        <v>1</v>
      </c>
      <c r="AB115" s="149">
        <v>100.28</v>
      </c>
      <c r="AC115" s="2"/>
      <c r="AD115" s="123">
        <v>141.935</v>
      </c>
      <c r="AE115" s="2"/>
      <c r="AF115" s="2"/>
      <c r="AG115" s="2" t="s">
        <v>36</v>
      </c>
      <c r="AH115" s="138">
        <v>3.8099999999999999E-4</v>
      </c>
      <c r="AI115" s="138">
        <v>1.28754151082273E-2</v>
      </c>
      <c r="AJ115" s="138">
        <v>1.76985846552931E-3</v>
      </c>
    </row>
    <row r="116" spans="1:36">
      <c r="A116" s="2">
        <v>161</v>
      </c>
      <c r="B116" s="2">
        <v>9938</v>
      </c>
      <c r="C116" s="2" t="s">
        <v>1846</v>
      </c>
      <c r="D116" s="2" t="s">
        <v>1847</v>
      </c>
      <c r="E116" s="3" t="s">
        <v>1351</v>
      </c>
      <c r="F116" s="2" t="s">
        <v>2070</v>
      </c>
      <c r="G116" s="2" t="s">
        <v>2071</v>
      </c>
      <c r="H116" s="2" t="s">
        <v>209</v>
      </c>
      <c r="I116" s="2" t="s">
        <v>788</v>
      </c>
      <c r="J116" s="2" t="s">
        <v>30</v>
      </c>
      <c r="K116" s="2" t="s">
        <v>30</v>
      </c>
      <c r="L116" s="2" t="s">
        <v>361</v>
      </c>
      <c r="M116" s="2" t="s">
        <v>31</v>
      </c>
      <c r="N116" s="2" t="s">
        <v>495</v>
      </c>
      <c r="O116" s="2" t="s">
        <v>160</v>
      </c>
      <c r="P116" s="2" t="s">
        <v>1956</v>
      </c>
      <c r="Q116" s="2" t="s">
        <v>446</v>
      </c>
      <c r="R116" s="2" t="s">
        <v>440</v>
      </c>
      <c r="S116" s="2" t="s">
        <v>34</v>
      </c>
      <c r="T116" s="123">
        <v>1.7569999999999999</v>
      </c>
      <c r="U116" s="2" t="s">
        <v>2072</v>
      </c>
      <c r="V116" s="136">
        <v>1.5800000000000002E-2</v>
      </c>
      <c r="W116" s="138">
        <v>2.7789999999999999E-2</v>
      </c>
      <c r="X116" s="3" t="s">
        <v>445</v>
      </c>
      <c r="Y116" s="3" t="s">
        <v>160</v>
      </c>
      <c r="Z116" s="123">
        <v>40702.36</v>
      </c>
      <c r="AA116" s="132">
        <v>1</v>
      </c>
      <c r="AB116" s="149">
        <v>116.04</v>
      </c>
      <c r="AC116" s="2"/>
      <c r="AD116" s="123">
        <v>47.231000000000002</v>
      </c>
      <c r="AE116" s="2"/>
      <c r="AF116" s="2"/>
      <c r="AG116" s="2" t="s">
        <v>36</v>
      </c>
      <c r="AH116" s="138">
        <v>1.03E-4</v>
      </c>
      <c r="AI116" s="138">
        <v>4.2844961783792502E-3</v>
      </c>
      <c r="AJ116" s="138">
        <v>5.8894814404756798E-4</v>
      </c>
    </row>
    <row r="117" spans="1:36">
      <c r="A117" s="2">
        <v>161</v>
      </c>
      <c r="B117" s="2">
        <v>9938</v>
      </c>
      <c r="C117" s="2" t="s">
        <v>1846</v>
      </c>
      <c r="D117" s="2" t="s">
        <v>1847</v>
      </c>
      <c r="E117" s="3" t="s">
        <v>1351</v>
      </c>
      <c r="F117" s="2" t="s">
        <v>2073</v>
      </c>
      <c r="G117" s="2" t="s">
        <v>2074</v>
      </c>
      <c r="H117" s="2" t="s">
        <v>209</v>
      </c>
      <c r="I117" s="2" t="s">
        <v>788</v>
      </c>
      <c r="J117" s="2" t="s">
        <v>30</v>
      </c>
      <c r="K117" s="2" t="s">
        <v>30</v>
      </c>
      <c r="L117" s="2" t="s">
        <v>361</v>
      </c>
      <c r="M117" s="2" t="s">
        <v>31</v>
      </c>
      <c r="N117" s="2" t="s">
        <v>495</v>
      </c>
      <c r="O117" s="2" t="s">
        <v>160</v>
      </c>
      <c r="P117" s="2" t="s">
        <v>1956</v>
      </c>
      <c r="Q117" s="2" t="s">
        <v>446</v>
      </c>
      <c r="R117" s="2" t="s">
        <v>440</v>
      </c>
      <c r="S117" s="2" t="s">
        <v>34</v>
      </c>
      <c r="T117" s="123">
        <v>4.2240000000000002</v>
      </c>
      <c r="U117" s="2" t="s">
        <v>2075</v>
      </c>
      <c r="V117" s="136">
        <v>8.3999999999999995E-3</v>
      </c>
      <c r="W117" s="138">
        <v>2.7869999999999999E-2</v>
      </c>
      <c r="X117" s="3" t="s">
        <v>445</v>
      </c>
      <c r="Y117" s="3" t="s">
        <v>160</v>
      </c>
      <c r="Z117" s="123">
        <v>105549.46</v>
      </c>
      <c r="AA117" s="132">
        <v>1</v>
      </c>
      <c r="AB117" s="149">
        <v>107.28</v>
      </c>
      <c r="AC117" s="2"/>
      <c r="AD117" s="123">
        <v>113.233</v>
      </c>
      <c r="AE117" s="2"/>
      <c r="AF117" s="2"/>
      <c r="AG117" s="2" t="s">
        <v>36</v>
      </c>
      <c r="AH117" s="138">
        <v>1.3799999999999999E-4</v>
      </c>
      <c r="AI117" s="138">
        <v>1.0271815949309499E-2</v>
      </c>
      <c r="AJ117" s="138">
        <v>1.4119669355458499E-3</v>
      </c>
    </row>
    <row r="118" spans="1:36">
      <c r="A118" s="2">
        <v>161</v>
      </c>
      <c r="B118" s="2">
        <v>9938</v>
      </c>
      <c r="C118" s="2" t="s">
        <v>1667</v>
      </c>
      <c r="D118" s="2" t="s">
        <v>1668</v>
      </c>
      <c r="E118" s="3" t="s">
        <v>1351</v>
      </c>
      <c r="F118" s="2" t="s">
        <v>2251</v>
      </c>
      <c r="G118" s="2" t="s">
        <v>2252</v>
      </c>
      <c r="H118" s="2" t="s">
        <v>209</v>
      </c>
      <c r="I118" s="2" t="s">
        <v>998</v>
      </c>
      <c r="J118" s="2" t="s">
        <v>30</v>
      </c>
      <c r="K118" s="2" t="s">
        <v>30</v>
      </c>
      <c r="L118" s="2" t="s">
        <v>361</v>
      </c>
      <c r="M118" s="2" t="s">
        <v>31</v>
      </c>
      <c r="N118" s="2" t="s">
        <v>476</v>
      </c>
      <c r="O118" s="2" t="s">
        <v>160</v>
      </c>
      <c r="P118" s="2" t="s">
        <v>1969</v>
      </c>
      <c r="Q118" s="2" t="s">
        <v>446</v>
      </c>
      <c r="R118" s="2" t="s">
        <v>440</v>
      </c>
      <c r="S118" s="2" t="s">
        <v>34</v>
      </c>
      <c r="T118" s="123">
        <v>1.56</v>
      </c>
      <c r="U118" s="2" t="s">
        <v>2253</v>
      </c>
      <c r="V118" s="136">
        <v>4.7E-2</v>
      </c>
      <c r="W118" s="138">
        <v>4.385E-2</v>
      </c>
      <c r="X118" s="3" t="s">
        <v>445</v>
      </c>
      <c r="Y118" s="3" t="s">
        <v>160</v>
      </c>
      <c r="Z118" s="123">
        <v>200000</v>
      </c>
      <c r="AA118" s="132">
        <v>1</v>
      </c>
      <c r="AB118" s="149">
        <v>102.06</v>
      </c>
      <c r="AC118" s="2"/>
      <c r="AD118" s="123">
        <v>204.12</v>
      </c>
      <c r="AE118" s="2"/>
      <c r="AF118" s="2"/>
      <c r="AG118" s="2" t="s">
        <v>36</v>
      </c>
      <c r="AH118" s="138">
        <v>2.22E-4</v>
      </c>
      <c r="AI118" s="138">
        <v>1.8516461996601799E-2</v>
      </c>
      <c r="AJ118" s="138">
        <v>2.5452784815766199E-3</v>
      </c>
    </row>
    <row r="119" spans="1:36">
      <c r="A119" s="2">
        <v>161</v>
      </c>
      <c r="B119" s="2">
        <v>9938</v>
      </c>
      <c r="C119" s="2" t="s">
        <v>2076</v>
      </c>
      <c r="D119" s="2" t="s">
        <v>2077</v>
      </c>
      <c r="E119" s="3" t="s">
        <v>1351</v>
      </c>
      <c r="F119" s="2" t="s">
        <v>2078</v>
      </c>
      <c r="G119" s="2" t="s">
        <v>2079</v>
      </c>
      <c r="H119" s="2" t="s">
        <v>209</v>
      </c>
      <c r="I119" s="2" t="s">
        <v>998</v>
      </c>
      <c r="J119" s="2" t="s">
        <v>30</v>
      </c>
      <c r="K119" s="2" t="s">
        <v>30</v>
      </c>
      <c r="L119" s="2" t="s">
        <v>361</v>
      </c>
      <c r="M119" s="2" t="s">
        <v>31</v>
      </c>
      <c r="N119" s="2" t="s">
        <v>476</v>
      </c>
      <c r="O119" s="2" t="s">
        <v>160</v>
      </c>
      <c r="P119" s="2" t="s">
        <v>1969</v>
      </c>
      <c r="Q119" s="2" t="s">
        <v>446</v>
      </c>
      <c r="R119" s="2" t="s">
        <v>440</v>
      </c>
      <c r="S119" s="2" t="s">
        <v>34</v>
      </c>
      <c r="T119" s="123">
        <v>6.1639999999999997</v>
      </c>
      <c r="U119" s="2" t="s">
        <v>2080</v>
      </c>
      <c r="V119" s="136">
        <v>2.5000000000000001E-2</v>
      </c>
      <c r="W119" s="138">
        <v>4.8559999999999999E-2</v>
      </c>
      <c r="X119" s="3" t="s">
        <v>445</v>
      </c>
      <c r="Y119" s="3" t="s">
        <v>160</v>
      </c>
      <c r="Z119" s="123">
        <v>80000</v>
      </c>
      <c r="AA119" s="132">
        <v>1</v>
      </c>
      <c r="AB119" s="149">
        <v>87.5</v>
      </c>
      <c r="AC119" s="2"/>
      <c r="AD119" s="123">
        <v>70</v>
      </c>
      <c r="AE119" s="2"/>
      <c r="AF119" s="2"/>
      <c r="AG119" s="2" t="s">
        <v>36</v>
      </c>
      <c r="AH119" s="138">
        <v>6.0000000000000002E-5</v>
      </c>
      <c r="AI119" s="138">
        <v>6.3499526737317603E-3</v>
      </c>
      <c r="AJ119" s="138">
        <v>8.7286642029376596E-4</v>
      </c>
    </row>
    <row r="120" spans="1:36">
      <c r="A120" s="2">
        <v>161</v>
      </c>
      <c r="B120" s="2">
        <v>9938</v>
      </c>
      <c r="C120" s="2" t="s">
        <v>1197</v>
      </c>
      <c r="D120" s="2" t="s">
        <v>1607</v>
      </c>
      <c r="E120" s="3" t="s">
        <v>1351</v>
      </c>
      <c r="F120" s="2" t="s">
        <v>2081</v>
      </c>
      <c r="G120" s="2" t="s">
        <v>2082</v>
      </c>
      <c r="H120" s="2" t="s">
        <v>209</v>
      </c>
      <c r="I120" s="2" t="s">
        <v>788</v>
      </c>
      <c r="J120" s="2" t="s">
        <v>30</v>
      </c>
      <c r="K120" s="2" t="s">
        <v>30</v>
      </c>
      <c r="L120" s="2" t="s">
        <v>361</v>
      </c>
      <c r="M120" s="2" t="s">
        <v>31</v>
      </c>
      <c r="N120" s="2" t="s">
        <v>479</v>
      </c>
      <c r="O120" s="2" t="s">
        <v>160</v>
      </c>
      <c r="P120" s="2" t="s">
        <v>1199</v>
      </c>
      <c r="Q120" s="2" t="s">
        <v>446</v>
      </c>
      <c r="R120" s="2" t="s">
        <v>440</v>
      </c>
      <c r="S120" s="2" t="s">
        <v>34</v>
      </c>
      <c r="T120" s="123">
        <v>2.0920000000000001</v>
      </c>
      <c r="U120" s="2" t="s">
        <v>2083</v>
      </c>
      <c r="V120" s="136">
        <v>1.8599999999999998E-2</v>
      </c>
      <c r="W120" s="138">
        <v>2.5680000000000001E-2</v>
      </c>
      <c r="X120" s="3" t="s">
        <v>445</v>
      </c>
      <c r="Y120" s="3" t="s">
        <v>160</v>
      </c>
      <c r="Z120" s="123">
        <v>75600</v>
      </c>
      <c r="AA120" s="132">
        <v>1</v>
      </c>
      <c r="AB120" s="149">
        <v>104.2</v>
      </c>
      <c r="AC120" s="2"/>
      <c r="AD120" s="123">
        <v>78.775000000000006</v>
      </c>
      <c r="AE120" s="2"/>
      <c r="AF120" s="2"/>
      <c r="AG120" s="2" t="s">
        <v>36</v>
      </c>
      <c r="AH120" s="138">
        <v>2.5999999999999998E-5</v>
      </c>
      <c r="AI120" s="138">
        <v>7.1459827409107802E-3</v>
      </c>
      <c r="AJ120" s="138">
        <v>9.82288954741793E-4</v>
      </c>
    </row>
    <row r="121" spans="1:36">
      <c r="A121" s="2">
        <v>161</v>
      </c>
      <c r="B121" s="2">
        <v>9938</v>
      </c>
      <c r="C121" s="2" t="s">
        <v>1197</v>
      </c>
      <c r="D121" s="2" t="s">
        <v>1607</v>
      </c>
      <c r="E121" s="3" t="s">
        <v>1351</v>
      </c>
      <c r="F121" s="2" t="s">
        <v>2084</v>
      </c>
      <c r="G121" s="2" t="s">
        <v>2085</v>
      </c>
      <c r="H121" s="2" t="s">
        <v>209</v>
      </c>
      <c r="I121" s="2" t="s">
        <v>788</v>
      </c>
      <c r="J121" s="2" t="s">
        <v>30</v>
      </c>
      <c r="K121" s="2" t="s">
        <v>30</v>
      </c>
      <c r="L121" s="2" t="s">
        <v>361</v>
      </c>
      <c r="M121" s="2" t="s">
        <v>31</v>
      </c>
      <c r="N121" s="2" t="s">
        <v>479</v>
      </c>
      <c r="O121" s="2" t="s">
        <v>160</v>
      </c>
      <c r="P121" s="2" t="s">
        <v>1199</v>
      </c>
      <c r="Q121" s="2" t="s">
        <v>446</v>
      </c>
      <c r="R121" s="2" t="s">
        <v>440</v>
      </c>
      <c r="S121" s="2" t="s">
        <v>34</v>
      </c>
      <c r="T121" s="123">
        <v>0.995</v>
      </c>
      <c r="U121" s="2" t="s">
        <v>2086</v>
      </c>
      <c r="V121" s="136">
        <v>8.3000000000000001E-3</v>
      </c>
      <c r="W121" s="138">
        <v>2.4899999999999999E-2</v>
      </c>
      <c r="X121" s="3" t="s">
        <v>445</v>
      </c>
      <c r="Y121" s="3" t="s">
        <v>160</v>
      </c>
      <c r="Z121" s="123">
        <v>212051.5</v>
      </c>
      <c r="AA121" s="132">
        <v>1</v>
      </c>
      <c r="AB121" s="149">
        <v>115.16</v>
      </c>
      <c r="AC121" s="2"/>
      <c r="AD121" s="123">
        <v>244.19900000000001</v>
      </c>
      <c r="AE121" s="2"/>
      <c r="AF121" s="2"/>
      <c r="AG121" s="2" t="s">
        <v>36</v>
      </c>
      <c r="AH121" s="138">
        <v>1.3899999999999999E-4</v>
      </c>
      <c r="AI121" s="138">
        <v>2.21521280712276E-2</v>
      </c>
      <c r="AJ121" s="138">
        <v>3.04503824279027E-3</v>
      </c>
    </row>
    <row r="122" spans="1:36">
      <c r="A122" s="2">
        <v>161</v>
      </c>
      <c r="B122" s="2">
        <v>9938</v>
      </c>
      <c r="C122" s="2" t="s">
        <v>1197</v>
      </c>
      <c r="D122" s="2" t="s">
        <v>1607</v>
      </c>
      <c r="E122" s="3" t="s">
        <v>1351</v>
      </c>
      <c r="F122" s="2" t="s">
        <v>2087</v>
      </c>
      <c r="G122" s="2" t="s">
        <v>2088</v>
      </c>
      <c r="H122" s="2" t="s">
        <v>209</v>
      </c>
      <c r="I122" s="2" t="s">
        <v>788</v>
      </c>
      <c r="J122" s="2" t="s">
        <v>30</v>
      </c>
      <c r="K122" s="2" t="s">
        <v>30</v>
      </c>
      <c r="L122" s="2" t="s">
        <v>361</v>
      </c>
      <c r="M122" s="2" t="s">
        <v>31</v>
      </c>
      <c r="N122" s="2" t="s">
        <v>479</v>
      </c>
      <c r="O122" s="2" t="s">
        <v>160</v>
      </c>
      <c r="P122" s="2" t="s">
        <v>1199</v>
      </c>
      <c r="Q122" s="2" t="s">
        <v>446</v>
      </c>
      <c r="R122" s="2" t="s">
        <v>440</v>
      </c>
      <c r="S122" s="2" t="s">
        <v>34</v>
      </c>
      <c r="T122" s="123">
        <v>2.3969999999999998</v>
      </c>
      <c r="U122" s="2" t="s">
        <v>2089</v>
      </c>
      <c r="V122" s="136">
        <v>1E-3</v>
      </c>
      <c r="W122" s="138">
        <v>2.4969999999999999E-2</v>
      </c>
      <c r="X122" s="3" t="s">
        <v>445</v>
      </c>
      <c r="Y122" s="3" t="s">
        <v>160</v>
      </c>
      <c r="Z122" s="123">
        <v>85000</v>
      </c>
      <c r="AA122" s="132">
        <v>1</v>
      </c>
      <c r="AB122" s="149">
        <v>107.95</v>
      </c>
      <c r="AC122" s="2"/>
      <c r="AD122" s="123">
        <v>91.757000000000005</v>
      </c>
      <c r="AE122" s="2"/>
      <c r="AF122" s="2"/>
      <c r="AG122" s="2" t="s">
        <v>36</v>
      </c>
      <c r="AH122" s="138">
        <v>2.6999999999999999E-5</v>
      </c>
      <c r="AI122" s="138">
        <v>8.3236540351420297E-3</v>
      </c>
      <c r="AJ122" s="138">
        <v>1.1441720080015E-3</v>
      </c>
    </row>
    <row r="123" spans="1:36">
      <c r="A123" s="2">
        <v>161</v>
      </c>
      <c r="B123" s="2">
        <v>9938</v>
      </c>
      <c r="C123" s="2" t="s">
        <v>1197</v>
      </c>
      <c r="D123" s="2" t="s">
        <v>1607</v>
      </c>
      <c r="E123" s="3" t="s">
        <v>1351</v>
      </c>
      <c r="F123" s="2" t="s">
        <v>2090</v>
      </c>
      <c r="G123" s="2" t="s">
        <v>2091</v>
      </c>
      <c r="H123" s="2" t="s">
        <v>209</v>
      </c>
      <c r="I123" s="2" t="s">
        <v>998</v>
      </c>
      <c r="J123" s="2" t="s">
        <v>30</v>
      </c>
      <c r="K123" s="2" t="s">
        <v>30</v>
      </c>
      <c r="L123" s="2" t="s">
        <v>361</v>
      </c>
      <c r="M123" s="2" t="s">
        <v>31</v>
      </c>
      <c r="N123" s="2" t="s">
        <v>479</v>
      </c>
      <c r="O123" s="2" t="s">
        <v>160</v>
      </c>
      <c r="P123" s="2" t="s">
        <v>1199</v>
      </c>
      <c r="Q123" s="2" t="s">
        <v>446</v>
      </c>
      <c r="R123" s="2" t="s">
        <v>440</v>
      </c>
      <c r="S123" s="2" t="s">
        <v>34</v>
      </c>
      <c r="T123" s="123">
        <v>2.4529999999999998</v>
      </c>
      <c r="U123" s="2" t="s">
        <v>2092</v>
      </c>
      <c r="V123" s="136">
        <v>2.76E-2</v>
      </c>
      <c r="W123" s="138">
        <v>4.3869999999999999E-2</v>
      </c>
      <c r="X123" s="3" t="s">
        <v>445</v>
      </c>
      <c r="Y123" s="3" t="s">
        <v>160</v>
      </c>
      <c r="Z123" s="123">
        <v>300000</v>
      </c>
      <c r="AA123" s="132">
        <v>1</v>
      </c>
      <c r="AB123" s="149">
        <v>96.65</v>
      </c>
      <c r="AC123" s="2"/>
      <c r="AD123" s="123">
        <v>289.95</v>
      </c>
      <c r="AE123" s="2"/>
      <c r="AF123" s="2"/>
      <c r="AG123" s="2" t="s">
        <v>36</v>
      </c>
      <c r="AH123" s="138">
        <v>1.3799999999999999E-4</v>
      </c>
      <c r="AI123" s="138">
        <v>2.6302411110693199E-2</v>
      </c>
      <c r="AJ123" s="138">
        <v>3.6155374080596801E-3</v>
      </c>
    </row>
    <row r="124" spans="1:36">
      <c r="A124" s="2">
        <v>161</v>
      </c>
      <c r="B124" s="2">
        <v>9938</v>
      </c>
      <c r="C124" s="2" t="s">
        <v>1197</v>
      </c>
      <c r="D124" s="2" t="s">
        <v>1607</v>
      </c>
      <c r="E124" s="3" t="s">
        <v>1351</v>
      </c>
      <c r="F124" s="2" t="s">
        <v>2093</v>
      </c>
      <c r="G124" s="2" t="s">
        <v>2094</v>
      </c>
      <c r="H124" s="2" t="s">
        <v>209</v>
      </c>
      <c r="I124" s="2" t="s">
        <v>788</v>
      </c>
      <c r="J124" s="2" t="s">
        <v>30</v>
      </c>
      <c r="K124" s="2" t="s">
        <v>30</v>
      </c>
      <c r="L124" s="2" t="s">
        <v>361</v>
      </c>
      <c r="M124" s="2" t="s">
        <v>31</v>
      </c>
      <c r="N124" s="2" t="s">
        <v>479</v>
      </c>
      <c r="O124" s="2" t="s">
        <v>160</v>
      </c>
      <c r="P124" s="2" t="s">
        <v>1199</v>
      </c>
      <c r="Q124" s="2" t="s">
        <v>446</v>
      </c>
      <c r="R124" s="2" t="s">
        <v>440</v>
      </c>
      <c r="S124" s="2" t="s">
        <v>34</v>
      </c>
      <c r="T124" s="123">
        <v>4.3879999999999999</v>
      </c>
      <c r="U124" s="2" t="s">
        <v>2095</v>
      </c>
      <c r="V124" s="136">
        <v>2.0199999999999999E-2</v>
      </c>
      <c r="W124" s="138">
        <v>2.6360000000000001E-2</v>
      </c>
      <c r="X124" s="3" t="s">
        <v>445</v>
      </c>
      <c r="Y124" s="3" t="s">
        <v>160</v>
      </c>
      <c r="Z124" s="123">
        <v>84000</v>
      </c>
      <c r="AA124" s="132">
        <v>1</v>
      </c>
      <c r="AB124" s="149">
        <v>102.52</v>
      </c>
      <c r="AC124" s="2"/>
      <c r="AD124" s="123">
        <v>86.117000000000004</v>
      </c>
      <c r="AE124" s="2"/>
      <c r="AF124" s="2"/>
      <c r="AG124" s="2" t="s">
        <v>36</v>
      </c>
      <c r="AH124" s="138">
        <v>2.4000000000000001E-5</v>
      </c>
      <c r="AI124" s="138">
        <v>7.8119657773317603E-3</v>
      </c>
      <c r="AJ124" s="138">
        <v>1.0738351849022001E-3</v>
      </c>
    </row>
    <row r="125" spans="1:36">
      <c r="A125" s="2">
        <v>161</v>
      </c>
      <c r="B125" s="2">
        <v>9938</v>
      </c>
      <c r="C125" s="2" t="s">
        <v>1197</v>
      </c>
      <c r="D125" s="2" t="s">
        <v>1607</v>
      </c>
      <c r="E125" s="3" t="s">
        <v>1351</v>
      </c>
      <c r="F125" s="2" t="s">
        <v>2096</v>
      </c>
      <c r="G125" s="2" t="s">
        <v>2097</v>
      </c>
      <c r="H125" s="2" t="s">
        <v>209</v>
      </c>
      <c r="I125" s="2" t="s">
        <v>788</v>
      </c>
      <c r="J125" s="2" t="s">
        <v>30</v>
      </c>
      <c r="K125" s="2" t="s">
        <v>30</v>
      </c>
      <c r="L125" s="2" t="s">
        <v>361</v>
      </c>
      <c r="M125" s="2" t="s">
        <v>31</v>
      </c>
      <c r="N125" s="2" t="s">
        <v>479</v>
      </c>
      <c r="O125" s="2" t="s">
        <v>160</v>
      </c>
      <c r="P125" s="2" t="s">
        <v>1199</v>
      </c>
      <c r="Q125" s="2" t="s">
        <v>446</v>
      </c>
      <c r="R125" s="2" t="s">
        <v>440</v>
      </c>
      <c r="S125" s="2" t="s">
        <v>34</v>
      </c>
      <c r="T125" s="123">
        <v>4.3920000000000003</v>
      </c>
      <c r="U125" s="2" t="s">
        <v>2098</v>
      </c>
      <c r="V125" s="136">
        <v>1E-3</v>
      </c>
      <c r="W125" s="138">
        <v>2.581E-2</v>
      </c>
      <c r="X125" s="3" t="s">
        <v>445</v>
      </c>
      <c r="Y125" s="3" t="s">
        <v>160</v>
      </c>
      <c r="Z125" s="123">
        <v>89000</v>
      </c>
      <c r="AA125" s="132">
        <v>1</v>
      </c>
      <c r="AB125" s="149">
        <v>102.6</v>
      </c>
      <c r="AC125" s="2"/>
      <c r="AD125" s="123">
        <v>91.313999999999993</v>
      </c>
      <c r="AE125" s="2"/>
      <c r="AF125" s="2"/>
      <c r="AG125" s="2" t="s">
        <v>36</v>
      </c>
      <c r="AH125" s="138">
        <v>2.0999999999999999E-5</v>
      </c>
      <c r="AI125" s="138">
        <v>8.2834225492734604E-3</v>
      </c>
      <c r="AJ125" s="138">
        <v>1.1386417757529299E-3</v>
      </c>
    </row>
    <row r="126" spans="1:36">
      <c r="A126" s="2">
        <v>161</v>
      </c>
      <c r="B126" s="2">
        <v>9938</v>
      </c>
      <c r="C126" s="2" t="s">
        <v>1197</v>
      </c>
      <c r="D126" s="2" t="s">
        <v>1607</v>
      </c>
      <c r="E126" s="3" t="s">
        <v>1351</v>
      </c>
      <c r="F126" s="2" t="s">
        <v>2099</v>
      </c>
      <c r="G126" s="2" t="s">
        <v>2100</v>
      </c>
      <c r="H126" s="2" t="s">
        <v>209</v>
      </c>
      <c r="I126" s="2" t="s">
        <v>788</v>
      </c>
      <c r="J126" s="2" t="s">
        <v>30</v>
      </c>
      <c r="K126" s="2" t="s">
        <v>30</v>
      </c>
      <c r="L126" s="2" t="s">
        <v>361</v>
      </c>
      <c r="M126" s="2" t="s">
        <v>58</v>
      </c>
      <c r="N126" s="2" t="s">
        <v>479</v>
      </c>
      <c r="O126" s="2" t="s">
        <v>160</v>
      </c>
      <c r="P126" s="2" t="s">
        <v>1969</v>
      </c>
      <c r="Q126" s="2" t="s">
        <v>446</v>
      </c>
      <c r="R126" s="2" t="s">
        <v>440</v>
      </c>
      <c r="S126" s="2" t="s">
        <v>34</v>
      </c>
      <c r="T126" s="123">
        <v>5.2320000000000002</v>
      </c>
      <c r="U126" s="2" t="s">
        <v>2101</v>
      </c>
      <c r="V126" s="136">
        <v>3.1E-2</v>
      </c>
      <c r="W126" s="138">
        <v>2.937E-2</v>
      </c>
      <c r="X126" s="3" t="s">
        <v>445</v>
      </c>
      <c r="Y126" s="3" t="s">
        <v>160</v>
      </c>
      <c r="Z126" s="123">
        <v>180000</v>
      </c>
      <c r="AA126" s="132">
        <v>1</v>
      </c>
      <c r="AB126" s="149">
        <v>103.76</v>
      </c>
      <c r="AC126" s="2"/>
      <c r="AD126" s="123">
        <v>186.768</v>
      </c>
      <c r="AE126" s="2"/>
      <c r="AF126" s="2"/>
      <c r="AG126" s="2" t="s">
        <v>36</v>
      </c>
      <c r="AH126" s="138">
        <v>1.17E-4</v>
      </c>
      <c r="AI126" s="138">
        <v>1.6942399442393299E-2</v>
      </c>
      <c r="AJ126" s="138">
        <v>2.3289073655060901E-3</v>
      </c>
    </row>
    <row r="127" spans="1:36">
      <c r="A127" s="2">
        <v>161</v>
      </c>
      <c r="B127" s="2">
        <v>9938</v>
      </c>
      <c r="C127" s="2" t="s">
        <v>1854</v>
      </c>
      <c r="D127" s="2" t="s">
        <v>1855</v>
      </c>
      <c r="E127" s="3" t="s">
        <v>1351</v>
      </c>
      <c r="F127" s="2" t="s">
        <v>2254</v>
      </c>
      <c r="G127" s="2" t="s">
        <v>2255</v>
      </c>
      <c r="H127" s="2" t="s">
        <v>209</v>
      </c>
      <c r="I127" s="2" t="s">
        <v>788</v>
      </c>
      <c r="J127" s="2" t="s">
        <v>30</v>
      </c>
      <c r="K127" s="2" t="s">
        <v>30</v>
      </c>
      <c r="L127" s="2" t="s">
        <v>361</v>
      </c>
      <c r="M127" s="2" t="s">
        <v>31</v>
      </c>
      <c r="N127" s="2" t="s">
        <v>495</v>
      </c>
      <c r="O127" s="2" t="s">
        <v>160</v>
      </c>
      <c r="P127" s="2" t="s">
        <v>1956</v>
      </c>
      <c r="Q127" s="2" t="s">
        <v>446</v>
      </c>
      <c r="R127" s="2" t="s">
        <v>440</v>
      </c>
      <c r="S127" s="2" t="s">
        <v>34</v>
      </c>
      <c r="T127" s="123">
        <v>5.1150000000000002</v>
      </c>
      <c r="U127" s="2" t="s">
        <v>2256</v>
      </c>
      <c r="V127" s="136">
        <v>3.5000000000000001E-3</v>
      </c>
      <c r="W127" s="138">
        <v>2.9239999999999999E-2</v>
      </c>
      <c r="X127" s="3" t="s">
        <v>445</v>
      </c>
      <c r="Y127" s="3" t="s">
        <v>160</v>
      </c>
      <c r="Z127" s="123">
        <v>250000</v>
      </c>
      <c r="AA127" s="132">
        <v>1</v>
      </c>
      <c r="AB127" s="149">
        <v>100.33</v>
      </c>
      <c r="AC127" s="2"/>
      <c r="AD127" s="123">
        <v>250.82499999999999</v>
      </c>
      <c r="AE127" s="2"/>
      <c r="AF127" s="2"/>
      <c r="AG127" s="2" t="s">
        <v>36</v>
      </c>
      <c r="AH127" s="138">
        <v>7.2000000000000002E-5</v>
      </c>
      <c r="AI127" s="138">
        <v>2.2753241134125302E-2</v>
      </c>
      <c r="AJ127" s="138">
        <v>3.1276674267169098E-3</v>
      </c>
    </row>
    <row r="128" spans="1:36">
      <c r="A128" s="2">
        <v>161</v>
      </c>
      <c r="B128" s="2">
        <v>9938</v>
      </c>
      <c r="C128" s="2" t="s">
        <v>1854</v>
      </c>
      <c r="D128" s="2" t="s">
        <v>1855</v>
      </c>
      <c r="E128" s="3" t="s">
        <v>1351</v>
      </c>
      <c r="F128" s="2" t="s">
        <v>2102</v>
      </c>
      <c r="G128" s="2" t="s">
        <v>2103</v>
      </c>
      <c r="H128" s="2" t="s">
        <v>209</v>
      </c>
      <c r="I128" s="2" t="s">
        <v>788</v>
      </c>
      <c r="J128" s="2" t="s">
        <v>30</v>
      </c>
      <c r="K128" s="2" t="s">
        <v>30</v>
      </c>
      <c r="L128" s="2" t="s">
        <v>361</v>
      </c>
      <c r="M128" s="2" t="s">
        <v>31</v>
      </c>
      <c r="N128" s="2" t="s">
        <v>495</v>
      </c>
      <c r="O128" s="2" t="s">
        <v>160</v>
      </c>
      <c r="P128" s="2" t="s">
        <v>1956</v>
      </c>
      <c r="Q128" s="2" t="s">
        <v>446</v>
      </c>
      <c r="R128" s="2" t="s">
        <v>440</v>
      </c>
      <c r="S128" s="2" t="s">
        <v>34</v>
      </c>
      <c r="T128" s="123">
        <v>2.7789999999999999</v>
      </c>
      <c r="U128" s="2" t="s">
        <v>2031</v>
      </c>
      <c r="V128" s="136">
        <v>2.81E-2</v>
      </c>
      <c r="W128" s="138">
        <v>2.716E-2</v>
      </c>
      <c r="X128" s="3" t="s">
        <v>445</v>
      </c>
      <c r="Y128" s="3" t="s">
        <v>160</v>
      </c>
      <c r="Z128" s="123">
        <v>90474.5</v>
      </c>
      <c r="AA128" s="132">
        <v>1</v>
      </c>
      <c r="AB128" s="149">
        <v>118.81</v>
      </c>
      <c r="AC128" s="2"/>
      <c r="AD128" s="123">
        <v>107.49299999999999</v>
      </c>
      <c r="AE128" s="2"/>
      <c r="AF128" s="2"/>
      <c r="AG128" s="2" t="s">
        <v>36</v>
      </c>
      <c r="AH128" s="138">
        <v>6.6000000000000005E-5</v>
      </c>
      <c r="AI128" s="138">
        <v>9.7510556739516599E-3</v>
      </c>
      <c r="AJ128" s="138">
        <v>1.3403830701631701E-3</v>
      </c>
    </row>
    <row r="129" spans="1:36">
      <c r="A129" s="2">
        <v>161</v>
      </c>
      <c r="B129" s="2">
        <v>9938</v>
      </c>
      <c r="C129" s="2" t="s">
        <v>1854</v>
      </c>
      <c r="D129" s="2" t="s">
        <v>1855</v>
      </c>
      <c r="E129" s="3" t="s">
        <v>1351</v>
      </c>
      <c r="F129" s="2" t="s">
        <v>2257</v>
      </c>
      <c r="G129" s="2" t="s">
        <v>2258</v>
      </c>
      <c r="H129" s="2" t="s">
        <v>209</v>
      </c>
      <c r="I129" s="2" t="s">
        <v>788</v>
      </c>
      <c r="J129" s="2" t="s">
        <v>30</v>
      </c>
      <c r="K129" s="2" t="s">
        <v>30</v>
      </c>
      <c r="L129" s="2" t="s">
        <v>361</v>
      </c>
      <c r="M129" s="2" t="s">
        <v>31</v>
      </c>
      <c r="N129" s="2" t="s">
        <v>495</v>
      </c>
      <c r="O129" s="2" t="s">
        <v>160</v>
      </c>
      <c r="P129" s="2" t="s">
        <v>1956</v>
      </c>
      <c r="Q129" s="2" t="s">
        <v>446</v>
      </c>
      <c r="R129" s="2" t="s">
        <v>440</v>
      </c>
      <c r="S129" s="2" t="s">
        <v>34</v>
      </c>
      <c r="T129" s="123">
        <v>1.9359999999999999</v>
      </c>
      <c r="U129" s="2" t="s">
        <v>2014</v>
      </c>
      <c r="V129" s="136">
        <v>3.6999999999999998E-2</v>
      </c>
      <c r="W129" s="138">
        <v>2.853E-2</v>
      </c>
      <c r="X129" s="3" t="s">
        <v>445</v>
      </c>
      <c r="Y129" s="3" t="s">
        <v>160</v>
      </c>
      <c r="Z129" s="123">
        <v>2491.89</v>
      </c>
      <c r="AA129" s="132">
        <v>1</v>
      </c>
      <c r="AB129" s="149">
        <v>119.11</v>
      </c>
      <c r="AC129" s="2"/>
      <c r="AD129" s="123">
        <v>2.968</v>
      </c>
      <c r="AE129" s="2"/>
      <c r="AF129" s="2"/>
      <c r="AG129" s="2" t="s">
        <v>36</v>
      </c>
      <c r="AH129" s="138">
        <v>1.1E-5</v>
      </c>
      <c r="AI129" s="138">
        <v>2.6924617382882899E-4</v>
      </c>
      <c r="AJ129" s="138">
        <v>3.70106607093259E-5</v>
      </c>
    </row>
    <row r="130" spans="1:36">
      <c r="A130" s="2">
        <v>161</v>
      </c>
      <c r="B130" s="2">
        <v>9938</v>
      </c>
      <c r="C130" s="2" t="s">
        <v>2104</v>
      </c>
      <c r="D130" s="2" t="s">
        <v>2105</v>
      </c>
      <c r="E130" s="3" t="s">
        <v>1351</v>
      </c>
      <c r="F130" s="2" t="s">
        <v>2106</v>
      </c>
      <c r="G130" s="2" t="s">
        <v>2107</v>
      </c>
      <c r="H130" s="2" t="s">
        <v>209</v>
      </c>
      <c r="I130" s="2" t="s">
        <v>998</v>
      </c>
      <c r="J130" s="2" t="s">
        <v>30</v>
      </c>
      <c r="K130" s="2" t="s">
        <v>30</v>
      </c>
      <c r="L130" s="2" t="s">
        <v>361</v>
      </c>
      <c r="M130" s="2" t="s">
        <v>31</v>
      </c>
      <c r="N130" s="2" t="s">
        <v>476</v>
      </c>
      <c r="O130" s="2" t="s">
        <v>160</v>
      </c>
      <c r="P130" s="2" t="s">
        <v>2108</v>
      </c>
      <c r="Q130" s="2" t="s">
        <v>448</v>
      </c>
      <c r="R130" s="2" t="s">
        <v>440</v>
      </c>
      <c r="S130" s="2" t="s">
        <v>34</v>
      </c>
      <c r="T130" s="123">
        <v>1.4590000000000001</v>
      </c>
      <c r="U130" s="2" t="s">
        <v>2109</v>
      </c>
      <c r="V130" s="136">
        <v>4.1000000000000002E-2</v>
      </c>
      <c r="W130" s="138">
        <v>4.8800000000000003E-2</v>
      </c>
      <c r="X130" s="3" t="s">
        <v>445</v>
      </c>
      <c r="Y130" s="3" t="s">
        <v>160</v>
      </c>
      <c r="Z130" s="123">
        <v>100000</v>
      </c>
      <c r="AA130" s="132">
        <v>1</v>
      </c>
      <c r="AB130" s="149">
        <v>100.93</v>
      </c>
      <c r="AC130" s="2"/>
      <c r="AD130" s="123">
        <v>100.93</v>
      </c>
      <c r="AE130" s="2"/>
      <c r="AF130" s="2"/>
      <c r="AG130" s="2" t="s">
        <v>36</v>
      </c>
      <c r="AH130" s="138">
        <v>1.3999999999999999E-4</v>
      </c>
      <c r="AI130" s="138">
        <v>9.1557246194249493E-3</v>
      </c>
      <c r="AJ130" s="138">
        <v>1.25854868286071E-3</v>
      </c>
    </row>
    <row r="131" spans="1:36">
      <c r="A131" s="2">
        <v>161</v>
      </c>
      <c r="B131" s="2">
        <v>9938</v>
      </c>
      <c r="C131" s="2" t="s">
        <v>2110</v>
      </c>
      <c r="D131" s="2" t="s">
        <v>2111</v>
      </c>
      <c r="E131" s="3" t="s">
        <v>1351</v>
      </c>
      <c r="F131" s="2" t="s">
        <v>2112</v>
      </c>
      <c r="G131" s="2" t="s">
        <v>2113</v>
      </c>
      <c r="H131" s="2" t="s">
        <v>209</v>
      </c>
      <c r="I131" s="2" t="s">
        <v>788</v>
      </c>
      <c r="J131" s="2" t="s">
        <v>30</v>
      </c>
      <c r="K131" s="2" t="s">
        <v>30</v>
      </c>
      <c r="L131" s="2" t="s">
        <v>361</v>
      </c>
      <c r="M131" s="2" t="s">
        <v>31</v>
      </c>
      <c r="N131" s="2" t="s">
        <v>495</v>
      </c>
      <c r="O131" s="2" t="s">
        <v>160</v>
      </c>
      <c r="P131" s="2" t="s">
        <v>1965</v>
      </c>
      <c r="Q131" s="2" t="s">
        <v>446</v>
      </c>
      <c r="R131" s="2" t="s">
        <v>440</v>
      </c>
      <c r="S131" s="2" t="s">
        <v>34</v>
      </c>
      <c r="T131" s="123">
        <v>1.133</v>
      </c>
      <c r="U131" s="2" t="s">
        <v>2114</v>
      </c>
      <c r="V131" s="136">
        <v>2.0500000000000001E-2</v>
      </c>
      <c r="W131" s="138">
        <v>3.2419999999999997E-2</v>
      </c>
      <c r="X131" s="3" t="s">
        <v>445</v>
      </c>
      <c r="Y131" s="3" t="s">
        <v>160</v>
      </c>
      <c r="Z131" s="123">
        <v>93900</v>
      </c>
      <c r="AA131" s="132">
        <v>1</v>
      </c>
      <c r="AB131" s="149">
        <v>117.83</v>
      </c>
      <c r="AC131" s="2"/>
      <c r="AD131" s="123">
        <v>110.642</v>
      </c>
      <c r="AE131" s="2"/>
      <c r="AF131" s="2"/>
      <c r="AG131" s="2" t="s">
        <v>36</v>
      </c>
      <c r="AH131" s="138">
        <v>1.2400000000000001E-4</v>
      </c>
      <c r="AI131" s="138">
        <v>1.0036768760136001E-2</v>
      </c>
      <c r="AJ131" s="138">
        <v>1.37965727763883E-3</v>
      </c>
    </row>
    <row r="132" spans="1:36">
      <c r="A132" s="2">
        <v>161</v>
      </c>
      <c r="B132" s="2">
        <v>9938</v>
      </c>
      <c r="C132" s="2" t="s">
        <v>2115</v>
      </c>
      <c r="D132" s="2" t="s">
        <v>2116</v>
      </c>
      <c r="E132" s="3" t="s">
        <v>1351</v>
      </c>
      <c r="F132" s="2" t="s">
        <v>2117</v>
      </c>
      <c r="G132" s="2" t="s">
        <v>2118</v>
      </c>
      <c r="H132" s="2" t="s">
        <v>209</v>
      </c>
      <c r="I132" s="2" t="s">
        <v>788</v>
      </c>
      <c r="J132" s="2" t="s">
        <v>30</v>
      </c>
      <c r="K132" s="2" t="s">
        <v>30</v>
      </c>
      <c r="L132" s="2" t="s">
        <v>361</v>
      </c>
      <c r="M132" s="2" t="s">
        <v>31</v>
      </c>
      <c r="N132" s="2" t="s">
        <v>479</v>
      </c>
      <c r="O132" s="2" t="s">
        <v>160</v>
      </c>
      <c r="P132" s="2" t="s">
        <v>1199</v>
      </c>
      <c r="Q132" s="2" t="s">
        <v>446</v>
      </c>
      <c r="R132" s="2" t="s">
        <v>440</v>
      </c>
      <c r="S132" s="2" t="s">
        <v>34</v>
      </c>
      <c r="T132" s="123">
        <v>3.3029999999999999</v>
      </c>
      <c r="U132" s="2" t="s">
        <v>2119</v>
      </c>
      <c r="V132" s="136">
        <v>1E-3</v>
      </c>
      <c r="W132" s="138">
        <v>2.5829999999999999E-2</v>
      </c>
      <c r="X132" s="3" t="s">
        <v>445</v>
      </c>
      <c r="Y132" s="3" t="s">
        <v>160</v>
      </c>
      <c r="Z132" s="123">
        <v>25217</v>
      </c>
      <c r="AA132" s="132">
        <v>1</v>
      </c>
      <c r="AB132" s="149">
        <v>105.48</v>
      </c>
      <c r="AC132" s="2"/>
      <c r="AD132" s="123">
        <v>26.599</v>
      </c>
      <c r="AE132" s="2"/>
      <c r="AF132" s="2"/>
      <c r="AG132" s="2" t="s">
        <v>36</v>
      </c>
      <c r="AH132" s="138">
        <v>6.9999999999999999E-6</v>
      </c>
      <c r="AI132" s="138">
        <v>2.41288146905316E-3</v>
      </c>
      <c r="AJ132" s="138">
        <v>3.3167541849534198E-4</v>
      </c>
    </row>
    <row r="133" spans="1:36">
      <c r="A133" s="2">
        <v>161</v>
      </c>
      <c r="B133" s="2">
        <v>9938</v>
      </c>
      <c r="C133" s="2" t="s">
        <v>2115</v>
      </c>
      <c r="D133" s="2" t="s">
        <v>2116</v>
      </c>
      <c r="E133" s="3" t="s">
        <v>1351</v>
      </c>
      <c r="F133" s="2" t="s">
        <v>2123</v>
      </c>
      <c r="G133" s="2" t="s">
        <v>2124</v>
      </c>
      <c r="H133" s="2" t="s">
        <v>209</v>
      </c>
      <c r="I133" s="2" t="s">
        <v>788</v>
      </c>
      <c r="J133" s="2" t="s">
        <v>30</v>
      </c>
      <c r="K133" s="2" t="s">
        <v>30</v>
      </c>
      <c r="L133" s="2" t="s">
        <v>361</v>
      </c>
      <c r="M133" s="2" t="s">
        <v>31</v>
      </c>
      <c r="N133" s="2" t="s">
        <v>479</v>
      </c>
      <c r="O133" s="2" t="s">
        <v>160</v>
      </c>
      <c r="P133" s="2" t="s">
        <v>2125</v>
      </c>
      <c r="Q133" s="2" t="s">
        <v>448</v>
      </c>
      <c r="R133" s="2" t="s">
        <v>440</v>
      </c>
      <c r="S133" s="2" t="s">
        <v>34</v>
      </c>
      <c r="T133" s="123">
        <v>1.42</v>
      </c>
      <c r="U133" s="2" t="s">
        <v>2126</v>
      </c>
      <c r="V133" s="136">
        <v>5.0000000000000001E-3</v>
      </c>
      <c r="W133" s="138">
        <v>2.6210000000000001E-2</v>
      </c>
      <c r="X133" s="3" t="s">
        <v>445</v>
      </c>
      <c r="Y133" s="3" t="s">
        <v>160</v>
      </c>
      <c r="Z133" s="123">
        <v>45000</v>
      </c>
      <c r="AA133" s="132">
        <v>1</v>
      </c>
      <c r="AB133" s="149">
        <v>112.82</v>
      </c>
      <c r="AC133" s="2"/>
      <c r="AD133" s="123">
        <v>50.768999999999998</v>
      </c>
      <c r="AE133" s="2"/>
      <c r="AF133" s="2"/>
      <c r="AG133" s="2" t="s">
        <v>36</v>
      </c>
      <c r="AH133" s="138">
        <v>5.8999999999999998E-5</v>
      </c>
      <c r="AI133" s="138">
        <v>4.6054392470384004E-3</v>
      </c>
      <c r="AJ133" s="138">
        <v>6.3306507559848899E-4</v>
      </c>
    </row>
    <row r="134" spans="1:36">
      <c r="A134" s="2">
        <v>161</v>
      </c>
      <c r="B134" s="2">
        <v>9938</v>
      </c>
      <c r="C134" s="2" t="s">
        <v>2115</v>
      </c>
      <c r="D134" s="2" t="s">
        <v>2116</v>
      </c>
      <c r="E134" s="3" t="s">
        <v>1351</v>
      </c>
      <c r="F134" s="2" t="s">
        <v>2259</v>
      </c>
      <c r="G134" s="2" t="s">
        <v>2260</v>
      </c>
      <c r="H134" s="2" t="s">
        <v>209</v>
      </c>
      <c r="I134" s="2" t="s">
        <v>788</v>
      </c>
      <c r="J134" s="2" t="s">
        <v>30</v>
      </c>
      <c r="K134" s="2" t="s">
        <v>30</v>
      </c>
      <c r="L134" s="2" t="s">
        <v>361</v>
      </c>
      <c r="M134" s="2" t="s">
        <v>31</v>
      </c>
      <c r="N134" s="2" t="s">
        <v>479</v>
      </c>
      <c r="O134" s="2" t="s">
        <v>160</v>
      </c>
      <c r="P134" s="2" t="s">
        <v>1969</v>
      </c>
      <c r="Q134" s="2" t="s">
        <v>446</v>
      </c>
      <c r="R134" s="2" t="s">
        <v>440</v>
      </c>
      <c r="S134" s="2" t="s">
        <v>34</v>
      </c>
      <c r="T134" s="123">
        <v>3.7949999999999999</v>
      </c>
      <c r="U134" s="2" t="s">
        <v>2261</v>
      </c>
      <c r="V134" s="136">
        <v>3.3599999999999998E-2</v>
      </c>
      <c r="W134" s="138">
        <v>2.733E-2</v>
      </c>
      <c r="X134" s="3" t="s">
        <v>445</v>
      </c>
      <c r="Y134" s="3" t="s">
        <v>160</v>
      </c>
      <c r="Z134" s="123">
        <v>168000</v>
      </c>
      <c r="AA134" s="132">
        <v>1</v>
      </c>
      <c r="AB134" s="149">
        <v>107.56</v>
      </c>
      <c r="AC134" s="2"/>
      <c r="AD134" s="123">
        <v>180.70099999999999</v>
      </c>
      <c r="AE134" s="2"/>
      <c r="AF134" s="2"/>
      <c r="AG134" s="2" t="s">
        <v>36</v>
      </c>
      <c r="AH134" s="138">
        <v>1.44E-4</v>
      </c>
      <c r="AI134" s="138">
        <v>1.63920218300781E-2</v>
      </c>
      <c r="AJ134" s="138">
        <v>2.2532522920031398E-3</v>
      </c>
    </row>
    <row r="135" spans="1:36">
      <c r="A135" s="2">
        <v>161</v>
      </c>
      <c r="B135" s="2">
        <v>9938</v>
      </c>
      <c r="C135" s="2" t="s">
        <v>2115</v>
      </c>
      <c r="D135" s="2" t="s">
        <v>2116</v>
      </c>
      <c r="E135" s="3" t="s">
        <v>1351</v>
      </c>
      <c r="F135" s="2" t="s">
        <v>2133</v>
      </c>
      <c r="G135" s="2" t="s">
        <v>2134</v>
      </c>
      <c r="H135" s="2" t="s">
        <v>209</v>
      </c>
      <c r="I135" s="2" t="s">
        <v>788</v>
      </c>
      <c r="J135" s="2" t="s">
        <v>30</v>
      </c>
      <c r="K135" s="2" t="s">
        <v>30</v>
      </c>
      <c r="L135" s="2" t="s">
        <v>361</v>
      </c>
      <c r="M135" s="2" t="s">
        <v>31</v>
      </c>
      <c r="N135" s="2" t="s">
        <v>479</v>
      </c>
      <c r="O135" s="2" t="s">
        <v>160</v>
      </c>
      <c r="P135" s="2" t="s">
        <v>1199</v>
      </c>
      <c r="Q135" s="2" t="s">
        <v>446</v>
      </c>
      <c r="R135" s="2" t="s">
        <v>440</v>
      </c>
      <c r="S135" s="2" t="s">
        <v>34</v>
      </c>
      <c r="T135" s="123">
        <v>3.2029999999999998</v>
      </c>
      <c r="U135" s="2" t="s">
        <v>2122</v>
      </c>
      <c r="V135" s="136">
        <v>1E-3</v>
      </c>
      <c r="W135" s="138">
        <v>2.5860000000000001E-2</v>
      </c>
      <c r="X135" s="3" t="s">
        <v>445</v>
      </c>
      <c r="Y135" s="3" t="s">
        <v>160</v>
      </c>
      <c r="Z135" s="123">
        <v>321435.45</v>
      </c>
      <c r="AA135" s="132">
        <v>1</v>
      </c>
      <c r="AB135" s="149">
        <v>104.36</v>
      </c>
      <c r="AC135" s="2"/>
      <c r="AD135" s="123">
        <v>335.45</v>
      </c>
      <c r="AE135" s="2"/>
      <c r="AF135" s="2"/>
      <c r="AG135" s="2" t="s">
        <v>36</v>
      </c>
      <c r="AH135" s="138">
        <v>1.44E-4</v>
      </c>
      <c r="AI135" s="138">
        <v>3.0429883579837599E-2</v>
      </c>
      <c r="AJ135" s="138">
        <v>4.1829010254149403E-3</v>
      </c>
    </row>
    <row r="136" spans="1:36">
      <c r="A136" s="2">
        <v>161</v>
      </c>
      <c r="B136" s="2">
        <v>9938</v>
      </c>
      <c r="C136" s="2" t="s">
        <v>2135</v>
      </c>
      <c r="D136" s="2" t="s">
        <v>2136</v>
      </c>
      <c r="E136" s="3" t="s">
        <v>1351</v>
      </c>
      <c r="F136" s="2" t="s">
        <v>2137</v>
      </c>
      <c r="G136" s="2" t="s">
        <v>2138</v>
      </c>
      <c r="H136" s="2" t="s">
        <v>209</v>
      </c>
      <c r="I136" s="2" t="s">
        <v>788</v>
      </c>
      <c r="J136" s="2" t="s">
        <v>30</v>
      </c>
      <c r="K136" s="2" t="s">
        <v>30</v>
      </c>
      <c r="L136" s="2" t="s">
        <v>361</v>
      </c>
      <c r="M136" s="2" t="s">
        <v>31</v>
      </c>
      <c r="N136" s="2" t="s">
        <v>474</v>
      </c>
      <c r="O136" s="2" t="s">
        <v>160</v>
      </c>
      <c r="P136" s="2" t="s">
        <v>2108</v>
      </c>
      <c r="Q136" s="2" t="s">
        <v>448</v>
      </c>
      <c r="R136" s="2" t="s">
        <v>440</v>
      </c>
      <c r="S136" s="2" t="s">
        <v>34</v>
      </c>
      <c r="T136" s="123">
        <v>2.782</v>
      </c>
      <c r="U136" s="2" t="s">
        <v>2139</v>
      </c>
      <c r="V136" s="136">
        <v>0.01</v>
      </c>
      <c r="W136" s="138">
        <v>3.107E-2</v>
      </c>
      <c r="X136" s="3" t="s">
        <v>445</v>
      </c>
      <c r="Y136" s="3" t="s">
        <v>160</v>
      </c>
      <c r="Z136" s="123">
        <v>176061.38</v>
      </c>
      <c r="AA136" s="132">
        <v>1</v>
      </c>
      <c r="AB136" s="149">
        <v>108.19</v>
      </c>
      <c r="AC136" s="2"/>
      <c r="AD136" s="123">
        <v>190.48099999999999</v>
      </c>
      <c r="AE136" s="2"/>
      <c r="AF136" s="2"/>
      <c r="AG136" s="2" t="s">
        <v>36</v>
      </c>
      <c r="AH136" s="138">
        <v>9.7999999999999997E-5</v>
      </c>
      <c r="AI136" s="138">
        <v>1.7279201569199001E-2</v>
      </c>
      <c r="AJ136" s="138">
        <v>2.37520428799944E-3</v>
      </c>
    </row>
    <row r="137" spans="1:36">
      <c r="A137" s="2">
        <v>161</v>
      </c>
      <c r="B137" s="2">
        <v>9938</v>
      </c>
      <c r="C137" s="2" t="s">
        <v>2135</v>
      </c>
      <c r="D137" s="2" t="s">
        <v>2136</v>
      </c>
      <c r="E137" s="3" t="s">
        <v>1351</v>
      </c>
      <c r="F137" s="2" t="s">
        <v>2140</v>
      </c>
      <c r="G137" s="2" t="s">
        <v>2141</v>
      </c>
      <c r="H137" s="2" t="s">
        <v>209</v>
      </c>
      <c r="I137" s="2" t="s">
        <v>788</v>
      </c>
      <c r="J137" s="2" t="s">
        <v>30</v>
      </c>
      <c r="K137" s="2" t="s">
        <v>30</v>
      </c>
      <c r="L137" s="2" t="s">
        <v>361</v>
      </c>
      <c r="M137" s="2" t="s">
        <v>31</v>
      </c>
      <c r="N137" s="2" t="s">
        <v>474</v>
      </c>
      <c r="O137" s="2" t="s">
        <v>160</v>
      </c>
      <c r="P137" s="2" t="s">
        <v>2108</v>
      </c>
      <c r="Q137" s="2" t="s">
        <v>448</v>
      </c>
      <c r="R137" s="2" t="s">
        <v>440</v>
      </c>
      <c r="S137" s="2" t="s">
        <v>34</v>
      </c>
      <c r="T137" s="123">
        <v>1.056</v>
      </c>
      <c r="U137" s="2" t="s">
        <v>68</v>
      </c>
      <c r="V137" s="136">
        <v>3.5400000000000001E-2</v>
      </c>
      <c r="W137" s="138">
        <v>3.4250000000000003E-2</v>
      </c>
      <c r="X137" s="3" t="s">
        <v>445</v>
      </c>
      <c r="Y137" s="3" t="s">
        <v>160</v>
      </c>
      <c r="Z137" s="123">
        <v>96300</v>
      </c>
      <c r="AA137" s="132">
        <v>1</v>
      </c>
      <c r="AB137" s="149">
        <v>109.8</v>
      </c>
      <c r="AC137" s="2"/>
      <c r="AD137" s="123">
        <v>105.73699999999999</v>
      </c>
      <c r="AE137" s="2"/>
      <c r="AF137" s="2"/>
      <c r="AG137" s="2" t="s">
        <v>36</v>
      </c>
      <c r="AH137" s="138">
        <v>9.6000000000000002E-5</v>
      </c>
      <c r="AI137" s="138">
        <v>9.5918212263349199E-3</v>
      </c>
      <c r="AJ137" s="138">
        <v>1.31849465470243E-3</v>
      </c>
    </row>
    <row r="138" spans="1:36">
      <c r="A138" s="2">
        <v>161</v>
      </c>
      <c r="B138" s="2">
        <v>9938</v>
      </c>
      <c r="C138" s="2" t="s">
        <v>1675</v>
      </c>
      <c r="D138" s="2" t="s">
        <v>1676</v>
      </c>
      <c r="E138" s="3" t="s">
        <v>1351</v>
      </c>
      <c r="F138" s="2" t="s">
        <v>2142</v>
      </c>
      <c r="G138" s="2" t="s">
        <v>2143</v>
      </c>
      <c r="H138" s="2" t="s">
        <v>209</v>
      </c>
      <c r="I138" s="2" t="s">
        <v>788</v>
      </c>
      <c r="J138" s="2" t="s">
        <v>30</v>
      </c>
      <c r="K138" s="2" t="s">
        <v>30</v>
      </c>
      <c r="L138" s="2" t="s">
        <v>361</v>
      </c>
      <c r="M138" s="2" t="s">
        <v>31</v>
      </c>
      <c r="N138" s="2" t="s">
        <v>495</v>
      </c>
      <c r="O138" s="2" t="s">
        <v>160</v>
      </c>
      <c r="P138" s="2" t="s">
        <v>1956</v>
      </c>
      <c r="Q138" s="2" t="s">
        <v>446</v>
      </c>
      <c r="R138" s="2" t="s">
        <v>440</v>
      </c>
      <c r="S138" s="2" t="s">
        <v>34</v>
      </c>
      <c r="T138" s="123">
        <v>3.7440000000000002</v>
      </c>
      <c r="U138" s="2" t="s">
        <v>2144</v>
      </c>
      <c r="V138" s="136">
        <v>1.43E-2</v>
      </c>
      <c r="W138" s="138">
        <v>2.81E-2</v>
      </c>
      <c r="X138" s="3" t="s">
        <v>445</v>
      </c>
      <c r="Y138" s="3" t="s">
        <v>160</v>
      </c>
      <c r="Z138" s="123">
        <v>203225.8</v>
      </c>
      <c r="AA138" s="132">
        <v>1</v>
      </c>
      <c r="AB138" s="149">
        <v>111.28</v>
      </c>
      <c r="AC138" s="123">
        <v>4.3620000000000001</v>
      </c>
      <c r="AD138" s="123">
        <v>230.512</v>
      </c>
      <c r="AE138" s="2"/>
      <c r="AF138" s="2"/>
      <c r="AG138" s="2" t="s">
        <v>36</v>
      </c>
      <c r="AH138" s="138">
        <v>1.05E-4</v>
      </c>
      <c r="AI138" s="138">
        <v>2.0910574696453101E-2</v>
      </c>
      <c r="AJ138" s="138">
        <v>2.87437393936544E-3</v>
      </c>
    </row>
    <row r="139" spans="1:36">
      <c r="A139" s="2">
        <v>161</v>
      </c>
      <c r="B139" s="2">
        <v>9938</v>
      </c>
      <c r="C139" s="2" t="s">
        <v>1675</v>
      </c>
      <c r="D139" s="2" t="s">
        <v>1676</v>
      </c>
      <c r="E139" s="3" t="s">
        <v>1351</v>
      </c>
      <c r="F139" s="2" t="s">
        <v>2145</v>
      </c>
      <c r="G139" s="2" t="s">
        <v>2146</v>
      </c>
      <c r="H139" s="2" t="s">
        <v>209</v>
      </c>
      <c r="I139" s="2" t="s">
        <v>788</v>
      </c>
      <c r="J139" s="2" t="s">
        <v>30</v>
      </c>
      <c r="K139" s="2" t="s">
        <v>30</v>
      </c>
      <c r="L139" s="2" t="s">
        <v>361</v>
      </c>
      <c r="M139" s="2" t="s">
        <v>31</v>
      </c>
      <c r="N139" s="2" t="s">
        <v>495</v>
      </c>
      <c r="O139" s="2" t="s">
        <v>160</v>
      </c>
      <c r="P139" s="2" t="s">
        <v>1956</v>
      </c>
      <c r="Q139" s="2" t="s">
        <v>446</v>
      </c>
      <c r="R139" s="2" t="s">
        <v>440</v>
      </c>
      <c r="S139" s="2" t="s">
        <v>34</v>
      </c>
      <c r="T139" s="123">
        <v>0.80800000000000005</v>
      </c>
      <c r="U139" s="2" t="s">
        <v>2147</v>
      </c>
      <c r="V139" s="136">
        <v>2.1499999999999998E-2</v>
      </c>
      <c r="W139" s="138">
        <v>3.1850000000000003E-2</v>
      </c>
      <c r="X139" s="3" t="s">
        <v>445</v>
      </c>
      <c r="Y139" s="3" t="s">
        <v>160</v>
      </c>
      <c r="Z139" s="123">
        <v>107380.95</v>
      </c>
      <c r="AA139" s="132">
        <v>1</v>
      </c>
      <c r="AB139" s="149">
        <v>118.67</v>
      </c>
      <c r="AC139" s="2"/>
      <c r="AD139" s="123">
        <v>127.429</v>
      </c>
      <c r="AE139" s="2"/>
      <c r="AF139" s="2"/>
      <c r="AG139" s="2" t="s">
        <v>36</v>
      </c>
      <c r="AH139" s="138">
        <v>9.2E-5</v>
      </c>
      <c r="AI139" s="138">
        <v>1.15595421447139E-2</v>
      </c>
      <c r="AJ139" s="138">
        <v>1.58897816889739E-3</v>
      </c>
    </row>
    <row r="140" spans="1:36">
      <c r="A140" s="2">
        <v>161</v>
      </c>
      <c r="B140" s="2">
        <v>9938</v>
      </c>
      <c r="C140" s="2" t="s">
        <v>1675</v>
      </c>
      <c r="D140" s="2" t="s">
        <v>1676</v>
      </c>
      <c r="E140" s="3" t="s">
        <v>1351</v>
      </c>
      <c r="F140" s="2" t="s">
        <v>2151</v>
      </c>
      <c r="G140" s="2" t="s">
        <v>2152</v>
      </c>
      <c r="H140" s="2" t="s">
        <v>209</v>
      </c>
      <c r="I140" s="2" t="s">
        <v>788</v>
      </c>
      <c r="J140" s="2" t="s">
        <v>30</v>
      </c>
      <c r="K140" s="2" t="s">
        <v>30</v>
      </c>
      <c r="L140" s="2" t="s">
        <v>361</v>
      </c>
      <c r="M140" s="2" t="s">
        <v>31</v>
      </c>
      <c r="N140" s="2" t="s">
        <v>495</v>
      </c>
      <c r="O140" s="2" t="s">
        <v>160</v>
      </c>
      <c r="P140" s="2" t="s">
        <v>1956</v>
      </c>
      <c r="Q140" s="2" t="s">
        <v>446</v>
      </c>
      <c r="R140" s="2" t="s">
        <v>440</v>
      </c>
      <c r="S140" s="2" t="s">
        <v>34</v>
      </c>
      <c r="T140" s="123">
        <v>4.6920000000000002</v>
      </c>
      <c r="U140" s="2" t="s">
        <v>2129</v>
      </c>
      <c r="V140" s="136">
        <v>2.5000000000000001E-3</v>
      </c>
      <c r="W140" s="138">
        <v>2.7019999999999999E-2</v>
      </c>
      <c r="X140" s="3" t="s">
        <v>445</v>
      </c>
      <c r="Y140" s="3" t="s">
        <v>160</v>
      </c>
      <c r="Z140" s="123">
        <v>89440</v>
      </c>
      <c r="AA140" s="132">
        <v>1</v>
      </c>
      <c r="AB140" s="149">
        <v>102.52</v>
      </c>
      <c r="AC140" s="123">
        <v>1.3240000000000001</v>
      </c>
      <c r="AD140" s="123">
        <v>93.018000000000001</v>
      </c>
      <c r="AE140" s="2"/>
      <c r="AF140" s="2"/>
      <c r="AG140" s="2" t="s">
        <v>36</v>
      </c>
      <c r="AH140" s="138">
        <v>6.7000000000000002E-5</v>
      </c>
      <c r="AI140" s="138">
        <v>8.4380237584574906E-3</v>
      </c>
      <c r="AJ140" s="138">
        <v>1.15989330485358E-3</v>
      </c>
    </row>
    <row r="141" spans="1:36">
      <c r="A141" s="2">
        <v>161</v>
      </c>
      <c r="B141" s="2">
        <v>9938</v>
      </c>
      <c r="C141" s="2" t="s">
        <v>2153</v>
      </c>
      <c r="D141" s="2" t="s">
        <v>2154</v>
      </c>
      <c r="E141" s="3" t="s">
        <v>1351</v>
      </c>
      <c r="F141" s="2" t="s">
        <v>2155</v>
      </c>
      <c r="G141" s="2" t="s">
        <v>2156</v>
      </c>
      <c r="H141" s="2" t="s">
        <v>209</v>
      </c>
      <c r="I141" s="2" t="s">
        <v>998</v>
      </c>
      <c r="J141" s="2" t="s">
        <v>30</v>
      </c>
      <c r="K141" s="2" t="s">
        <v>30</v>
      </c>
      <c r="L141" s="2" t="s">
        <v>361</v>
      </c>
      <c r="M141" s="2" t="s">
        <v>31</v>
      </c>
      <c r="N141" s="2" t="s">
        <v>476</v>
      </c>
      <c r="O141" s="2" t="s">
        <v>160</v>
      </c>
      <c r="P141" s="2" t="s">
        <v>1999</v>
      </c>
      <c r="Q141" s="2" t="s">
        <v>448</v>
      </c>
      <c r="R141" s="2" t="s">
        <v>440</v>
      </c>
      <c r="S141" s="2" t="s">
        <v>34</v>
      </c>
      <c r="T141" s="123">
        <v>5.0960000000000001</v>
      </c>
      <c r="U141" s="2" t="s">
        <v>2157</v>
      </c>
      <c r="V141" s="136">
        <v>2.98E-2</v>
      </c>
      <c r="W141" s="138">
        <v>4.5560000000000003E-2</v>
      </c>
      <c r="X141" s="3" t="s">
        <v>445</v>
      </c>
      <c r="Y141" s="3" t="s">
        <v>160</v>
      </c>
      <c r="Z141" s="123">
        <v>150000</v>
      </c>
      <c r="AA141" s="132">
        <v>1</v>
      </c>
      <c r="AB141" s="149">
        <v>92.64</v>
      </c>
      <c r="AC141" s="2"/>
      <c r="AD141" s="123">
        <v>138.96</v>
      </c>
      <c r="AE141" s="2"/>
      <c r="AF141" s="2"/>
      <c r="AG141" s="2" t="s">
        <v>36</v>
      </c>
      <c r="AH141" s="138">
        <v>3.8200000000000002E-4</v>
      </c>
      <c r="AI141" s="138">
        <v>1.26055631934538E-2</v>
      </c>
      <c r="AJ141" s="138">
        <v>1.73276453948603E-3</v>
      </c>
    </row>
    <row r="142" spans="1:36">
      <c r="A142" s="2">
        <v>161</v>
      </c>
      <c r="B142" s="2">
        <v>9938</v>
      </c>
      <c r="C142" s="2" t="s">
        <v>1702</v>
      </c>
      <c r="D142" s="2" t="s">
        <v>1703</v>
      </c>
      <c r="E142" s="3" t="s">
        <v>1351</v>
      </c>
      <c r="F142" s="2" t="s">
        <v>2158</v>
      </c>
      <c r="G142" s="2" t="s">
        <v>2159</v>
      </c>
      <c r="H142" s="2" t="s">
        <v>209</v>
      </c>
      <c r="I142" s="2" t="s">
        <v>788</v>
      </c>
      <c r="J142" s="2" t="s">
        <v>30</v>
      </c>
      <c r="K142" s="2" t="s">
        <v>30</v>
      </c>
      <c r="L142" s="2" t="s">
        <v>361</v>
      </c>
      <c r="M142" s="2" t="s">
        <v>31</v>
      </c>
      <c r="N142" s="2" t="s">
        <v>495</v>
      </c>
      <c r="O142" s="2" t="s">
        <v>160</v>
      </c>
      <c r="P142" s="2" t="s">
        <v>88</v>
      </c>
      <c r="Q142" s="2" t="s">
        <v>446</v>
      </c>
      <c r="R142" s="2" t="s">
        <v>440</v>
      </c>
      <c r="S142" s="2" t="s">
        <v>34</v>
      </c>
      <c r="T142" s="123">
        <v>2.6779999999999999</v>
      </c>
      <c r="U142" s="2" t="s">
        <v>2160</v>
      </c>
      <c r="V142" s="136">
        <v>1.34E-2</v>
      </c>
      <c r="W142" s="138">
        <v>2.8029999999999999E-2</v>
      </c>
      <c r="X142" s="3" t="s">
        <v>445</v>
      </c>
      <c r="Y142" s="3" t="s">
        <v>160</v>
      </c>
      <c r="Z142" s="123">
        <v>147944.41</v>
      </c>
      <c r="AA142" s="132">
        <v>1</v>
      </c>
      <c r="AB142" s="149">
        <v>114.07</v>
      </c>
      <c r="AC142" s="123">
        <v>18.834</v>
      </c>
      <c r="AD142" s="123">
        <v>187.59399999999999</v>
      </c>
      <c r="AE142" s="2"/>
      <c r="AF142" s="2"/>
      <c r="AG142" s="2" t="s">
        <v>36</v>
      </c>
      <c r="AH142" s="138">
        <v>6.7000000000000002E-5</v>
      </c>
      <c r="AI142" s="138">
        <v>1.7017322396740999E-2</v>
      </c>
      <c r="AJ142" s="138">
        <v>2.3392062975327501E-3</v>
      </c>
    </row>
    <row r="143" spans="1:36">
      <c r="A143" s="2">
        <v>161</v>
      </c>
      <c r="B143" s="2">
        <v>9938</v>
      </c>
      <c r="C143" s="2" t="s">
        <v>1702</v>
      </c>
      <c r="D143" s="2" t="s">
        <v>1703</v>
      </c>
      <c r="E143" s="3" t="s">
        <v>1351</v>
      </c>
      <c r="F143" s="2" t="s">
        <v>2161</v>
      </c>
      <c r="G143" s="2" t="s">
        <v>2162</v>
      </c>
      <c r="H143" s="2" t="s">
        <v>209</v>
      </c>
      <c r="I143" s="2" t="s">
        <v>788</v>
      </c>
      <c r="J143" s="2" t="s">
        <v>30</v>
      </c>
      <c r="K143" s="2" t="s">
        <v>30</v>
      </c>
      <c r="L143" s="2" t="s">
        <v>361</v>
      </c>
      <c r="M143" s="2" t="s">
        <v>31</v>
      </c>
      <c r="N143" s="2" t="s">
        <v>495</v>
      </c>
      <c r="O143" s="2" t="s">
        <v>160</v>
      </c>
      <c r="P143" s="2" t="s">
        <v>2163</v>
      </c>
      <c r="Q143" s="2" t="s">
        <v>448</v>
      </c>
      <c r="R143" s="2" t="s">
        <v>440</v>
      </c>
      <c r="S143" s="2" t="s">
        <v>34</v>
      </c>
      <c r="T143" s="123">
        <v>1.9570000000000001</v>
      </c>
      <c r="U143" s="2" t="s">
        <v>2014</v>
      </c>
      <c r="V143" s="136">
        <v>1.77E-2</v>
      </c>
      <c r="W143" s="138">
        <v>2.8219999999999999E-2</v>
      </c>
      <c r="X143" s="3" t="s">
        <v>445</v>
      </c>
      <c r="Y143" s="3" t="s">
        <v>160</v>
      </c>
      <c r="Z143" s="123">
        <v>134250</v>
      </c>
      <c r="AA143" s="132">
        <v>1</v>
      </c>
      <c r="AB143" s="149">
        <v>114.73</v>
      </c>
      <c r="AC143" s="2"/>
      <c r="AD143" s="123">
        <v>154.02500000000001</v>
      </c>
      <c r="AE143" s="2"/>
      <c r="AF143" s="2"/>
      <c r="AG143" s="2" t="s">
        <v>36</v>
      </c>
      <c r="AH143" s="138">
        <v>5.5000000000000002E-5</v>
      </c>
      <c r="AI143" s="138">
        <v>1.39721659902907E-2</v>
      </c>
      <c r="AJ143" s="138">
        <v>1.9206181743915401E-3</v>
      </c>
    </row>
    <row r="144" spans="1:36">
      <c r="A144" s="2">
        <v>161</v>
      </c>
      <c r="B144" s="2">
        <v>9938</v>
      </c>
      <c r="C144" s="2" t="s">
        <v>1702</v>
      </c>
      <c r="D144" s="2" t="s">
        <v>1703</v>
      </c>
      <c r="E144" s="3" t="s">
        <v>1351</v>
      </c>
      <c r="F144" s="2" t="s">
        <v>2164</v>
      </c>
      <c r="G144" s="2" t="s">
        <v>2165</v>
      </c>
      <c r="H144" s="2" t="s">
        <v>209</v>
      </c>
      <c r="I144" s="2" t="s">
        <v>788</v>
      </c>
      <c r="J144" s="2" t="s">
        <v>30</v>
      </c>
      <c r="K144" s="2" t="s">
        <v>30</v>
      </c>
      <c r="L144" s="2" t="s">
        <v>361</v>
      </c>
      <c r="M144" s="2" t="s">
        <v>31</v>
      </c>
      <c r="N144" s="2" t="s">
        <v>495</v>
      </c>
      <c r="O144" s="2" t="s">
        <v>160</v>
      </c>
      <c r="P144" s="2" t="s">
        <v>88</v>
      </c>
      <c r="Q144" s="2" t="s">
        <v>446</v>
      </c>
      <c r="R144" s="2" t="s">
        <v>440</v>
      </c>
      <c r="S144" s="2" t="s">
        <v>34</v>
      </c>
      <c r="T144" s="123">
        <v>6.4160000000000004</v>
      </c>
      <c r="U144" s="2" t="s">
        <v>2166</v>
      </c>
      <c r="V144" s="136">
        <v>8.9999999999999993E-3</v>
      </c>
      <c r="W144" s="138">
        <v>2.8410000000000001E-2</v>
      </c>
      <c r="X144" s="3" t="s">
        <v>445</v>
      </c>
      <c r="Y144" s="3" t="s">
        <v>160</v>
      </c>
      <c r="Z144" s="123">
        <v>56640</v>
      </c>
      <c r="AA144" s="132">
        <v>1</v>
      </c>
      <c r="AB144" s="149">
        <v>101.93</v>
      </c>
      <c r="AC144" s="123">
        <v>1.661</v>
      </c>
      <c r="AD144" s="123">
        <v>59.393999999999998</v>
      </c>
      <c r="AE144" s="2"/>
      <c r="AF144" s="2"/>
      <c r="AG144" s="2" t="s">
        <v>36</v>
      </c>
      <c r="AH144" s="138">
        <v>2.0999999999999999E-5</v>
      </c>
      <c r="AI144" s="138">
        <v>5.3878252616209703E-3</v>
      </c>
      <c r="AJ144" s="138">
        <v>7.4061209443875096E-4</v>
      </c>
    </row>
    <row r="145" spans="1:36">
      <c r="A145" s="2">
        <v>161</v>
      </c>
      <c r="B145" s="2">
        <v>9938</v>
      </c>
      <c r="C145" s="2" t="s">
        <v>1610</v>
      </c>
      <c r="D145" s="2" t="s">
        <v>1611</v>
      </c>
      <c r="E145" s="3" t="s">
        <v>1351</v>
      </c>
      <c r="F145" s="2" t="s">
        <v>2170</v>
      </c>
      <c r="G145" s="2" t="s">
        <v>2171</v>
      </c>
      <c r="H145" s="2" t="s">
        <v>209</v>
      </c>
      <c r="I145" s="2" t="s">
        <v>788</v>
      </c>
      <c r="J145" s="2" t="s">
        <v>30</v>
      </c>
      <c r="K145" s="2" t="s">
        <v>30</v>
      </c>
      <c r="L145" s="2" t="s">
        <v>361</v>
      </c>
      <c r="M145" s="2" t="s">
        <v>31</v>
      </c>
      <c r="N145" s="2" t="s">
        <v>479</v>
      </c>
      <c r="O145" s="2" t="s">
        <v>160</v>
      </c>
      <c r="P145" s="2" t="s">
        <v>1199</v>
      </c>
      <c r="Q145" s="2" t="s">
        <v>446</v>
      </c>
      <c r="R145" s="2" t="s">
        <v>440</v>
      </c>
      <c r="S145" s="2" t="s">
        <v>34</v>
      </c>
      <c r="T145" s="123">
        <v>3.335</v>
      </c>
      <c r="U145" s="2" t="s">
        <v>2169</v>
      </c>
      <c r="V145" s="136">
        <v>1E-3</v>
      </c>
      <c r="W145" s="138">
        <v>2.5729999999999999E-2</v>
      </c>
      <c r="X145" s="3" t="s">
        <v>445</v>
      </c>
      <c r="Y145" s="3" t="s">
        <v>160</v>
      </c>
      <c r="Z145" s="123">
        <v>276921.40000000002</v>
      </c>
      <c r="AA145" s="132">
        <v>1</v>
      </c>
      <c r="AB145" s="149">
        <v>105.19</v>
      </c>
      <c r="AC145" s="2"/>
      <c r="AD145" s="123">
        <v>291.29399999999998</v>
      </c>
      <c r="AE145" s="2"/>
      <c r="AF145" s="2"/>
      <c r="AG145" s="2" t="s">
        <v>36</v>
      </c>
      <c r="AH145" s="138">
        <v>2.81E-4</v>
      </c>
      <c r="AI145" s="138">
        <v>2.6424295790728199E-2</v>
      </c>
      <c r="AJ145" s="138">
        <v>3.63229171314149E-3</v>
      </c>
    </row>
    <row r="146" spans="1:36">
      <c r="A146" s="2">
        <v>161</v>
      </c>
      <c r="B146" s="2">
        <v>9938</v>
      </c>
      <c r="C146" s="2" t="s">
        <v>1610</v>
      </c>
      <c r="D146" s="2" t="s">
        <v>1611</v>
      </c>
      <c r="E146" s="3" t="s">
        <v>1351</v>
      </c>
      <c r="F146" s="2" t="s">
        <v>2172</v>
      </c>
      <c r="G146" s="2" t="s">
        <v>2173</v>
      </c>
      <c r="H146" s="2" t="s">
        <v>209</v>
      </c>
      <c r="I146" s="2" t="s">
        <v>788</v>
      </c>
      <c r="J146" s="2" t="s">
        <v>30</v>
      </c>
      <c r="K146" s="2" t="s">
        <v>30</v>
      </c>
      <c r="L146" s="2" t="s">
        <v>361</v>
      </c>
      <c r="M146" s="2" t="s">
        <v>31</v>
      </c>
      <c r="N146" s="2" t="s">
        <v>479</v>
      </c>
      <c r="O146" s="2" t="s">
        <v>160</v>
      </c>
      <c r="P146" s="2" t="s">
        <v>1199</v>
      </c>
      <c r="Q146" s="2" t="s">
        <v>446</v>
      </c>
      <c r="R146" s="2" t="s">
        <v>440</v>
      </c>
      <c r="S146" s="2" t="s">
        <v>34</v>
      </c>
      <c r="T146" s="123">
        <v>3.7149999999999999</v>
      </c>
      <c r="U146" s="2" t="s">
        <v>2174</v>
      </c>
      <c r="V146" s="136">
        <v>1.3899999999999999E-2</v>
      </c>
      <c r="W146" s="138">
        <v>2.511E-2</v>
      </c>
      <c r="X146" s="3" t="s">
        <v>445</v>
      </c>
      <c r="Y146" s="3" t="s">
        <v>160</v>
      </c>
      <c r="Z146" s="123">
        <v>309422.23</v>
      </c>
      <c r="AA146" s="132">
        <v>1</v>
      </c>
      <c r="AB146" s="149">
        <v>105.13</v>
      </c>
      <c r="AC146" s="2"/>
      <c r="AD146" s="123">
        <v>325.29599999999999</v>
      </c>
      <c r="AE146" s="2"/>
      <c r="AF146" s="2"/>
      <c r="AG146" s="2" t="s">
        <v>36</v>
      </c>
      <c r="AH146" s="138">
        <v>1.93E-4</v>
      </c>
      <c r="AI146" s="138">
        <v>2.9508737200104E-2</v>
      </c>
      <c r="AJ146" s="138">
        <v>4.0562799646988897E-3</v>
      </c>
    </row>
    <row r="147" spans="1:36">
      <c r="A147" s="2">
        <v>161</v>
      </c>
      <c r="B147" s="2">
        <v>9938</v>
      </c>
      <c r="C147" s="2" t="s">
        <v>1610</v>
      </c>
      <c r="D147" s="2" t="s">
        <v>1611</v>
      </c>
      <c r="E147" s="3" t="s">
        <v>1351</v>
      </c>
      <c r="F147" s="2" t="s">
        <v>2175</v>
      </c>
      <c r="G147" s="2" t="s">
        <v>2176</v>
      </c>
      <c r="H147" s="2" t="s">
        <v>209</v>
      </c>
      <c r="I147" s="2" t="s">
        <v>788</v>
      </c>
      <c r="J147" s="2" t="s">
        <v>30</v>
      </c>
      <c r="K147" s="2" t="s">
        <v>30</v>
      </c>
      <c r="L147" s="2" t="s">
        <v>361</v>
      </c>
      <c r="M147" s="2" t="s">
        <v>31</v>
      </c>
      <c r="N147" s="2" t="s">
        <v>479</v>
      </c>
      <c r="O147" s="2" t="s">
        <v>160</v>
      </c>
      <c r="P147" s="2" t="s">
        <v>1199</v>
      </c>
      <c r="Q147" s="2" t="s">
        <v>446</v>
      </c>
      <c r="R147" s="2" t="s">
        <v>440</v>
      </c>
      <c r="S147" s="2" t="s">
        <v>34</v>
      </c>
      <c r="T147" s="123">
        <v>1.806</v>
      </c>
      <c r="U147" s="2" t="s">
        <v>2177</v>
      </c>
      <c r="V147" s="136">
        <v>6.0000000000000001E-3</v>
      </c>
      <c r="W147" s="138">
        <v>2.4760000000000001E-2</v>
      </c>
      <c r="X147" s="3" t="s">
        <v>445</v>
      </c>
      <c r="Y147" s="3" t="s">
        <v>160</v>
      </c>
      <c r="Z147" s="123">
        <v>16666.66</v>
      </c>
      <c r="AA147" s="132">
        <v>1</v>
      </c>
      <c r="AB147" s="149">
        <v>114.32</v>
      </c>
      <c r="AC147" s="2"/>
      <c r="AD147" s="123">
        <v>19.053000000000001</v>
      </c>
      <c r="AE147" s="2"/>
      <c r="AF147" s="2"/>
      <c r="AG147" s="2" t="s">
        <v>36</v>
      </c>
      <c r="AH147" s="138">
        <v>2.5000000000000001E-5</v>
      </c>
      <c r="AI147" s="138">
        <v>1.72839595069138E-3</v>
      </c>
      <c r="AJ147" s="138">
        <v>2.3758583155606601E-4</v>
      </c>
    </row>
    <row r="148" spans="1:36">
      <c r="A148" s="2">
        <v>161</v>
      </c>
      <c r="B148" s="2">
        <v>9938</v>
      </c>
      <c r="C148" s="2" t="s">
        <v>1610</v>
      </c>
      <c r="D148" s="2" t="s">
        <v>1611</v>
      </c>
      <c r="E148" s="3" t="s">
        <v>1351</v>
      </c>
      <c r="F148" s="2" t="s">
        <v>2178</v>
      </c>
      <c r="G148" s="2" t="s">
        <v>2179</v>
      </c>
      <c r="H148" s="2" t="s">
        <v>209</v>
      </c>
      <c r="I148" s="2" t="s">
        <v>788</v>
      </c>
      <c r="J148" s="2" t="s">
        <v>30</v>
      </c>
      <c r="K148" s="2" t="s">
        <v>30</v>
      </c>
      <c r="L148" s="2" t="s">
        <v>361</v>
      </c>
      <c r="M148" s="2" t="s">
        <v>31</v>
      </c>
      <c r="N148" s="2" t="s">
        <v>479</v>
      </c>
      <c r="O148" s="2" t="s">
        <v>160</v>
      </c>
      <c r="P148" s="2" t="s">
        <v>1199</v>
      </c>
      <c r="Q148" s="2" t="s">
        <v>446</v>
      </c>
      <c r="R148" s="2" t="s">
        <v>440</v>
      </c>
      <c r="S148" s="2" t="s">
        <v>34</v>
      </c>
      <c r="T148" s="123">
        <v>2.8039999999999998</v>
      </c>
      <c r="U148" s="2" t="s">
        <v>2180</v>
      </c>
      <c r="V148" s="136">
        <v>1.7500000000000002E-2</v>
      </c>
      <c r="W148" s="138">
        <v>2.4469999999999999E-2</v>
      </c>
      <c r="X148" s="3" t="s">
        <v>445</v>
      </c>
      <c r="Y148" s="3" t="s">
        <v>160</v>
      </c>
      <c r="Z148" s="123">
        <v>253899.24</v>
      </c>
      <c r="AA148" s="132">
        <v>1</v>
      </c>
      <c r="AB148" s="149">
        <v>115.29</v>
      </c>
      <c r="AC148" s="2"/>
      <c r="AD148" s="123">
        <v>292.72000000000003</v>
      </c>
      <c r="AE148" s="2"/>
      <c r="AF148" s="2"/>
      <c r="AG148" s="2" t="s">
        <v>36</v>
      </c>
      <c r="AH148" s="138">
        <v>1.1400000000000001E-4</v>
      </c>
      <c r="AI148" s="138">
        <v>2.6553727160554701E-2</v>
      </c>
      <c r="AJ148" s="138">
        <v>3.6500833884907601E-3</v>
      </c>
    </row>
    <row r="149" spans="1:36">
      <c r="A149" s="2">
        <v>161</v>
      </c>
      <c r="B149" s="2">
        <v>9938</v>
      </c>
      <c r="C149" s="2" t="s">
        <v>1610</v>
      </c>
      <c r="D149" s="2" t="s">
        <v>1611</v>
      </c>
      <c r="E149" s="3" t="s">
        <v>1351</v>
      </c>
      <c r="F149" s="2" t="s">
        <v>2181</v>
      </c>
      <c r="G149" s="2" t="s">
        <v>2182</v>
      </c>
      <c r="H149" s="2" t="s">
        <v>209</v>
      </c>
      <c r="I149" s="2" t="s">
        <v>788</v>
      </c>
      <c r="J149" s="2" t="s">
        <v>30</v>
      </c>
      <c r="K149" s="2" t="s">
        <v>30</v>
      </c>
      <c r="L149" s="2" t="s">
        <v>361</v>
      </c>
      <c r="M149" s="2" t="s">
        <v>58</v>
      </c>
      <c r="N149" s="2" t="s">
        <v>479</v>
      </c>
      <c r="O149" s="2" t="s">
        <v>160</v>
      </c>
      <c r="P149" s="2" t="s">
        <v>1969</v>
      </c>
      <c r="Q149" s="2" t="s">
        <v>446</v>
      </c>
      <c r="R149" s="2" t="s">
        <v>440</v>
      </c>
      <c r="S149" s="2" t="s">
        <v>34</v>
      </c>
      <c r="T149" s="123">
        <v>6.56</v>
      </c>
      <c r="U149" s="2" t="s">
        <v>2183</v>
      </c>
      <c r="V149" s="136">
        <v>3.4500000000000003E-2</v>
      </c>
      <c r="W149" s="138">
        <v>2.903E-2</v>
      </c>
      <c r="X149" s="3" t="s">
        <v>445</v>
      </c>
      <c r="Y149" s="3" t="s">
        <v>160</v>
      </c>
      <c r="Z149" s="123">
        <v>140000</v>
      </c>
      <c r="AA149" s="132">
        <v>1</v>
      </c>
      <c r="AB149" s="149">
        <v>106.85</v>
      </c>
      <c r="AC149" s="2"/>
      <c r="AD149" s="123">
        <v>149.59</v>
      </c>
      <c r="AE149" s="2"/>
      <c r="AF149" s="2"/>
      <c r="AG149" s="2" t="s">
        <v>36</v>
      </c>
      <c r="AH149" s="138">
        <v>9.5000000000000005E-5</v>
      </c>
      <c r="AI149" s="138">
        <v>1.35698488637648E-2</v>
      </c>
      <c r="AJ149" s="138">
        <v>1.8653155401677801E-3</v>
      </c>
    </row>
    <row r="150" spans="1:36">
      <c r="A150" s="2">
        <v>161</v>
      </c>
      <c r="B150" s="2">
        <v>9938</v>
      </c>
      <c r="C150" s="2" t="s">
        <v>1610</v>
      </c>
      <c r="D150" s="2" t="s">
        <v>1611</v>
      </c>
      <c r="E150" s="3" t="s">
        <v>1351</v>
      </c>
      <c r="F150" s="2" t="s">
        <v>2262</v>
      </c>
      <c r="G150" s="2" t="s">
        <v>2263</v>
      </c>
      <c r="H150" s="2" t="s">
        <v>209</v>
      </c>
      <c r="I150" s="2" t="s">
        <v>788</v>
      </c>
      <c r="J150" s="2" t="s">
        <v>30</v>
      </c>
      <c r="K150" s="2" t="s">
        <v>30</v>
      </c>
      <c r="L150" s="2" t="s">
        <v>361</v>
      </c>
      <c r="M150" s="2" t="s">
        <v>31</v>
      </c>
      <c r="N150" s="2" t="s">
        <v>479</v>
      </c>
      <c r="O150" s="2" t="s">
        <v>160</v>
      </c>
      <c r="P150" s="2" t="s">
        <v>1969</v>
      </c>
      <c r="Q150" s="2" t="s">
        <v>446</v>
      </c>
      <c r="R150" s="2" t="s">
        <v>440</v>
      </c>
      <c r="S150" s="2" t="s">
        <v>34</v>
      </c>
      <c r="T150" s="123">
        <v>1.097</v>
      </c>
      <c r="U150" s="2" t="s">
        <v>2264</v>
      </c>
      <c r="V150" s="136">
        <v>2.9700000000000001E-2</v>
      </c>
      <c r="W150" s="138">
        <v>3.0329999999999999E-2</v>
      </c>
      <c r="X150" s="3" t="s">
        <v>445</v>
      </c>
      <c r="Y150" s="3" t="s">
        <v>160</v>
      </c>
      <c r="Z150" s="123">
        <v>50000</v>
      </c>
      <c r="AA150" s="132">
        <v>1</v>
      </c>
      <c r="AB150" s="149">
        <v>119.99</v>
      </c>
      <c r="AC150" s="2"/>
      <c r="AD150" s="123">
        <v>59.994999999999997</v>
      </c>
      <c r="AE150" s="2"/>
      <c r="AF150" s="2"/>
      <c r="AG150" s="2" t="s">
        <v>36</v>
      </c>
      <c r="AH150" s="138">
        <v>7.1000000000000005E-5</v>
      </c>
      <c r="AI150" s="138">
        <v>5.4423630094362404E-3</v>
      </c>
      <c r="AJ150" s="138">
        <v>7.4810886979320701E-4</v>
      </c>
    </row>
    <row r="151" spans="1:36">
      <c r="A151" s="2">
        <v>161</v>
      </c>
      <c r="B151" s="2">
        <v>9938</v>
      </c>
      <c r="C151" s="2" t="s">
        <v>1710</v>
      </c>
      <c r="D151" s="2" t="s">
        <v>1711</v>
      </c>
      <c r="E151" s="3" t="s">
        <v>1351</v>
      </c>
      <c r="F151" s="2" t="s">
        <v>2184</v>
      </c>
      <c r="G151" s="2" t="s">
        <v>2185</v>
      </c>
      <c r="H151" s="2" t="s">
        <v>209</v>
      </c>
      <c r="I151" s="2" t="s">
        <v>998</v>
      </c>
      <c r="J151" s="2" t="s">
        <v>30</v>
      </c>
      <c r="K151" s="2" t="s">
        <v>30</v>
      </c>
      <c r="L151" s="2" t="s">
        <v>361</v>
      </c>
      <c r="M151" s="2" t="s">
        <v>31</v>
      </c>
      <c r="N151" s="2" t="s">
        <v>508</v>
      </c>
      <c r="O151" s="2" t="s">
        <v>160</v>
      </c>
      <c r="P151" s="2" t="s">
        <v>1969</v>
      </c>
      <c r="Q151" s="2" t="s">
        <v>446</v>
      </c>
      <c r="R151" s="2" t="s">
        <v>440</v>
      </c>
      <c r="S151" s="2" t="s">
        <v>34</v>
      </c>
      <c r="T151" s="123">
        <v>0.90200000000000002</v>
      </c>
      <c r="U151" s="2" t="s">
        <v>2186</v>
      </c>
      <c r="V151" s="136">
        <v>2.29E-2</v>
      </c>
      <c r="W151" s="138">
        <v>4.7030000000000002E-2</v>
      </c>
      <c r="X151" s="3" t="s">
        <v>445</v>
      </c>
      <c r="Y151" s="3" t="s">
        <v>160</v>
      </c>
      <c r="Z151" s="123">
        <v>53653.84</v>
      </c>
      <c r="AA151" s="132">
        <v>1</v>
      </c>
      <c r="AB151" s="149">
        <v>98.11</v>
      </c>
      <c r="AC151" s="2"/>
      <c r="AD151" s="123">
        <v>52.64</v>
      </c>
      <c r="AE151" s="2"/>
      <c r="AF151" s="2"/>
      <c r="AG151" s="2" t="s">
        <v>36</v>
      </c>
      <c r="AH151" s="138">
        <v>1.6200000000000001E-4</v>
      </c>
      <c r="AI151" s="138">
        <v>4.7751446735419603E-3</v>
      </c>
      <c r="AJ151" s="138">
        <v>6.5639283499256598E-4</v>
      </c>
    </row>
    <row r="152" spans="1:36">
      <c r="A152" s="2">
        <v>161</v>
      </c>
      <c r="B152" s="2">
        <v>9938</v>
      </c>
      <c r="C152" s="2" t="s">
        <v>2187</v>
      </c>
      <c r="D152" s="2" t="s">
        <v>2188</v>
      </c>
      <c r="E152" s="3" t="s">
        <v>1351</v>
      </c>
      <c r="F152" s="2" t="s">
        <v>2189</v>
      </c>
      <c r="G152" s="2" t="s">
        <v>2190</v>
      </c>
      <c r="H152" s="2" t="s">
        <v>209</v>
      </c>
      <c r="I152" s="2" t="s">
        <v>788</v>
      </c>
      <c r="J152" s="2" t="s">
        <v>30</v>
      </c>
      <c r="K152" s="2" t="s">
        <v>30</v>
      </c>
      <c r="L152" s="2" t="s">
        <v>361</v>
      </c>
      <c r="M152" s="2" t="s">
        <v>31</v>
      </c>
      <c r="N152" s="2" t="s">
        <v>471</v>
      </c>
      <c r="O152" s="2" t="s">
        <v>160</v>
      </c>
      <c r="P152" s="2" t="s">
        <v>1969</v>
      </c>
      <c r="Q152" s="2" t="s">
        <v>446</v>
      </c>
      <c r="R152" s="2" t="s">
        <v>440</v>
      </c>
      <c r="S152" s="2" t="s">
        <v>34</v>
      </c>
      <c r="T152" s="123">
        <v>1.867</v>
      </c>
      <c r="U152" s="2" t="s">
        <v>2191</v>
      </c>
      <c r="V152" s="136">
        <v>1.9400000000000001E-2</v>
      </c>
      <c r="W152" s="138">
        <v>2.63E-2</v>
      </c>
      <c r="X152" s="3" t="s">
        <v>445</v>
      </c>
      <c r="Y152" s="3" t="s">
        <v>160</v>
      </c>
      <c r="Z152" s="123">
        <v>88021.11</v>
      </c>
      <c r="AA152" s="132">
        <v>1</v>
      </c>
      <c r="AB152" s="149">
        <v>116.7</v>
      </c>
      <c r="AC152" s="2"/>
      <c r="AD152" s="123">
        <v>102.721</v>
      </c>
      <c r="AE152" s="2"/>
      <c r="AF152" s="2"/>
      <c r="AG152" s="2" t="s">
        <v>36</v>
      </c>
      <c r="AH152" s="138">
        <v>3.6499999999999998E-4</v>
      </c>
      <c r="AI152" s="138">
        <v>9.3181596173593801E-3</v>
      </c>
      <c r="AJ152" s="138">
        <v>1.2808770469387601E-3</v>
      </c>
    </row>
    <row r="153" spans="1:36">
      <c r="A153" s="2">
        <v>161</v>
      </c>
      <c r="B153" s="2">
        <v>9938</v>
      </c>
      <c r="C153" s="2" t="s">
        <v>2265</v>
      </c>
      <c r="D153" s="2" t="s">
        <v>2266</v>
      </c>
      <c r="E153" s="3" t="s">
        <v>1351</v>
      </c>
      <c r="F153" s="2" t="s">
        <v>2267</v>
      </c>
      <c r="G153" s="2" t="s">
        <v>2268</v>
      </c>
      <c r="H153" s="2" t="s">
        <v>209</v>
      </c>
      <c r="I153" s="2" t="s">
        <v>788</v>
      </c>
      <c r="J153" s="2" t="s">
        <v>30</v>
      </c>
      <c r="K153" s="2" t="s">
        <v>30</v>
      </c>
      <c r="L153" s="2" t="s">
        <v>361</v>
      </c>
      <c r="M153" s="2" t="s">
        <v>31</v>
      </c>
      <c r="N153" s="2" t="s">
        <v>476</v>
      </c>
      <c r="O153" s="2" t="s">
        <v>160</v>
      </c>
      <c r="P153" s="2" t="s">
        <v>1956</v>
      </c>
      <c r="Q153" s="2" t="s">
        <v>446</v>
      </c>
      <c r="R153" s="2" t="s">
        <v>440</v>
      </c>
      <c r="S153" s="2" t="s">
        <v>34</v>
      </c>
      <c r="T153" s="123">
        <v>1.3169999999999999</v>
      </c>
      <c r="U153" s="2" t="s">
        <v>2269</v>
      </c>
      <c r="V153" s="136">
        <v>2.2499999999999999E-2</v>
      </c>
      <c r="W153" s="138">
        <v>2.58E-2</v>
      </c>
      <c r="X153" s="3" t="s">
        <v>445</v>
      </c>
      <c r="Y153" s="3" t="s">
        <v>160</v>
      </c>
      <c r="Z153" s="123">
        <v>56700</v>
      </c>
      <c r="AA153" s="132">
        <v>1</v>
      </c>
      <c r="AB153" s="149">
        <v>118.52</v>
      </c>
      <c r="AC153" s="2"/>
      <c r="AD153" s="123">
        <v>67.200999999999993</v>
      </c>
      <c r="AE153" s="2"/>
      <c r="AF153" s="2"/>
      <c r="AG153" s="2" t="s">
        <v>36</v>
      </c>
      <c r="AH153" s="138">
        <v>1.3899999999999999E-4</v>
      </c>
      <c r="AI153" s="138">
        <v>6.0960307662145802E-3</v>
      </c>
      <c r="AJ153" s="138">
        <v>8.3796223787905905E-4</v>
      </c>
    </row>
    <row r="154" spans="1:36">
      <c r="A154" s="2">
        <v>161</v>
      </c>
      <c r="B154" s="2">
        <v>9938</v>
      </c>
      <c r="C154" s="2" t="s">
        <v>2195</v>
      </c>
      <c r="D154" s="2" t="s">
        <v>2196</v>
      </c>
      <c r="E154" s="3" t="s">
        <v>1351</v>
      </c>
      <c r="F154" s="2" t="s">
        <v>2197</v>
      </c>
      <c r="G154" s="2" t="s">
        <v>2198</v>
      </c>
      <c r="H154" s="2" t="s">
        <v>209</v>
      </c>
      <c r="I154" s="2" t="s">
        <v>788</v>
      </c>
      <c r="J154" s="2" t="s">
        <v>30</v>
      </c>
      <c r="K154" s="2" t="s">
        <v>30</v>
      </c>
      <c r="L154" s="2" t="s">
        <v>361</v>
      </c>
      <c r="M154" s="2" t="s">
        <v>31</v>
      </c>
      <c r="N154" s="2" t="s">
        <v>495</v>
      </c>
      <c r="O154" s="2" t="s">
        <v>160</v>
      </c>
      <c r="P154" s="2" t="s">
        <v>1956</v>
      </c>
      <c r="Q154" s="2" t="s">
        <v>446</v>
      </c>
      <c r="R154" s="2" t="s">
        <v>440</v>
      </c>
      <c r="S154" s="2" t="s">
        <v>34</v>
      </c>
      <c r="T154" s="123">
        <v>6.0019999999999998</v>
      </c>
      <c r="U154" s="2" t="s">
        <v>2199</v>
      </c>
      <c r="V154" s="136">
        <v>2.5000000000000001E-2</v>
      </c>
      <c r="W154" s="138">
        <v>2.9499999999999998E-2</v>
      </c>
      <c r="X154" s="3" t="s">
        <v>445</v>
      </c>
      <c r="Y154" s="3" t="s">
        <v>160</v>
      </c>
      <c r="Z154" s="123">
        <v>55100</v>
      </c>
      <c r="AA154" s="132">
        <v>1</v>
      </c>
      <c r="AB154" s="149">
        <v>114.89</v>
      </c>
      <c r="AC154" s="2"/>
      <c r="AD154" s="123">
        <v>63.304000000000002</v>
      </c>
      <c r="AE154" s="2"/>
      <c r="AF154" s="2"/>
      <c r="AG154" s="2" t="s">
        <v>36</v>
      </c>
      <c r="AH154" s="138">
        <v>4.1E-5</v>
      </c>
      <c r="AI154" s="138">
        <v>5.7425697219922597E-3</v>
      </c>
      <c r="AJ154" s="138">
        <v>7.8937537554543604E-4</v>
      </c>
    </row>
    <row r="155" spans="1:36">
      <c r="A155" s="2">
        <v>161</v>
      </c>
      <c r="B155" s="2">
        <v>9938</v>
      </c>
      <c r="C155" s="2" t="s">
        <v>2200</v>
      </c>
      <c r="D155" s="2" t="s">
        <v>2201</v>
      </c>
      <c r="E155" s="3" t="s">
        <v>1351</v>
      </c>
      <c r="F155" s="2" t="s">
        <v>2202</v>
      </c>
      <c r="G155" s="2" t="s">
        <v>2203</v>
      </c>
      <c r="H155" s="2" t="s">
        <v>209</v>
      </c>
      <c r="I155" s="2" t="s">
        <v>998</v>
      </c>
      <c r="J155" s="2" t="s">
        <v>30</v>
      </c>
      <c r="K155" s="2" t="s">
        <v>30</v>
      </c>
      <c r="L155" s="2" t="s">
        <v>361</v>
      </c>
      <c r="M155" s="2" t="s">
        <v>31</v>
      </c>
      <c r="N155" s="2" t="s">
        <v>471</v>
      </c>
      <c r="O155" s="2" t="s">
        <v>160</v>
      </c>
      <c r="P155" s="2" t="s">
        <v>2008</v>
      </c>
      <c r="Q155" s="2" t="s">
        <v>448</v>
      </c>
      <c r="R155" s="2" t="s">
        <v>440</v>
      </c>
      <c r="S155" s="2" t="s">
        <v>34</v>
      </c>
      <c r="T155" s="123">
        <v>4.2729999999999997</v>
      </c>
      <c r="U155" s="2" t="s">
        <v>2204</v>
      </c>
      <c r="V155" s="136">
        <v>6.7699999999999996E-2</v>
      </c>
      <c r="W155" s="138">
        <v>5.015E-2</v>
      </c>
      <c r="X155" s="3" t="s">
        <v>445</v>
      </c>
      <c r="Y155" s="3" t="s">
        <v>160</v>
      </c>
      <c r="Z155" s="123">
        <v>108000</v>
      </c>
      <c r="AA155" s="132">
        <v>1</v>
      </c>
      <c r="AB155" s="149">
        <v>107.74</v>
      </c>
      <c r="AC155" s="2"/>
      <c r="AD155" s="123">
        <v>116.35899999999999</v>
      </c>
      <c r="AE155" s="2"/>
      <c r="AF155" s="2"/>
      <c r="AG155" s="2" t="s">
        <v>36</v>
      </c>
      <c r="AH155" s="138">
        <v>1.6000000000000001E-4</v>
      </c>
      <c r="AI155" s="138">
        <v>1.0555363045047001E-2</v>
      </c>
      <c r="AJ155" s="138">
        <v>1.45094340531781E-3</v>
      </c>
    </row>
    <row r="156" spans="1:36">
      <c r="A156" s="2">
        <v>161</v>
      </c>
      <c r="B156" s="2">
        <v>9938</v>
      </c>
      <c r="C156" s="2" t="s">
        <v>2205</v>
      </c>
      <c r="D156" s="2" t="s">
        <v>2206</v>
      </c>
      <c r="E156" s="3" t="s">
        <v>1351</v>
      </c>
      <c r="F156" s="2" t="s">
        <v>2207</v>
      </c>
      <c r="G156" s="2" t="s">
        <v>2208</v>
      </c>
      <c r="H156" s="2" t="s">
        <v>209</v>
      </c>
      <c r="I156" s="2" t="s">
        <v>788</v>
      </c>
      <c r="J156" s="2" t="s">
        <v>30</v>
      </c>
      <c r="K156" s="2" t="s">
        <v>30</v>
      </c>
      <c r="L156" s="2" t="s">
        <v>361</v>
      </c>
      <c r="M156" s="2" t="s">
        <v>31</v>
      </c>
      <c r="N156" s="2" t="s">
        <v>509</v>
      </c>
      <c r="O156" s="2" t="s">
        <v>160</v>
      </c>
      <c r="P156" s="2" t="s">
        <v>1956</v>
      </c>
      <c r="Q156" s="2" t="s">
        <v>446</v>
      </c>
      <c r="R156" s="2" t="s">
        <v>440</v>
      </c>
      <c r="S156" s="2" t="s">
        <v>34</v>
      </c>
      <c r="T156" s="123">
        <v>3.1760000000000002</v>
      </c>
      <c r="U156" s="2" t="s">
        <v>2209</v>
      </c>
      <c r="V156" s="136">
        <v>2.1999999999999999E-2</v>
      </c>
      <c r="W156" s="138">
        <v>2.818E-2</v>
      </c>
      <c r="X156" s="3" t="s">
        <v>445</v>
      </c>
      <c r="Y156" s="3" t="s">
        <v>160</v>
      </c>
      <c r="Z156" s="123">
        <v>104000.06</v>
      </c>
      <c r="AA156" s="132">
        <v>1</v>
      </c>
      <c r="AB156" s="149">
        <v>106.33</v>
      </c>
      <c r="AC156" s="2"/>
      <c r="AD156" s="123">
        <v>110.583</v>
      </c>
      <c r="AE156" s="2"/>
      <c r="AF156" s="2"/>
      <c r="AG156" s="2" t="s">
        <v>36</v>
      </c>
      <c r="AH156" s="138">
        <v>1.8100000000000001E-4</v>
      </c>
      <c r="AI156" s="138">
        <v>1.00314070232014E-2</v>
      </c>
      <c r="AJ156" s="138">
        <v>1.37892025165374E-3</v>
      </c>
    </row>
    <row r="157" spans="1:36">
      <c r="A157" s="2">
        <v>161</v>
      </c>
      <c r="B157" s="2">
        <v>9938</v>
      </c>
      <c r="C157" s="2" t="s">
        <v>2210</v>
      </c>
      <c r="D157" s="2" t="s">
        <v>2211</v>
      </c>
      <c r="E157" s="3" t="s">
        <v>1351</v>
      </c>
      <c r="F157" s="2" t="s">
        <v>2212</v>
      </c>
      <c r="G157" s="2" t="s">
        <v>2213</v>
      </c>
      <c r="H157" s="2" t="s">
        <v>209</v>
      </c>
      <c r="I157" s="2" t="s">
        <v>789</v>
      </c>
      <c r="J157" s="2" t="s">
        <v>30</v>
      </c>
      <c r="K157" s="2" t="s">
        <v>30</v>
      </c>
      <c r="L157" s="2" t="s">
        <v>361</v>
      </c>
      <c r="M157" s="2" t="s">
        <v>31</v>
      </c>
      <c r="N157" s="2" t="s">
        <v>485</v>
      </c>
      <c r="O157" s="2" t="s">
        <v>160</v>
      </c>
      <c r="P157" s="2" t="s">
        <v>2108</v>
      </c>
      <c r="Q157" s="2" t="s">
        <v>448</v>
      </c>
      <c r="R157" s="2" t="s">
        <v>440</v>
      </c>
      <c r="S157" s="2" t="s">
        <v>34</v>
      </c>
      <c r="T157" s="123">
        <v>2.5830000000000002</v>
      </c>
      <c r="U157" s="2" t="s">
        <v>2214</v>
      </c>
      <c r="V157" s="136">
        <v>4.6899999999999997E-2</v>
      </c>
      <c r="W157" s="138">
        <v>6.2799999999999995E-2</v>
      </c>
      <c r="X157" s="3" t="s">
        <v>445</v>
      </c>
      <c r="Y157" s="3" t="s">
        <v>160</v>
      </c>
      <c r="Z157" s="123">
        <v>175165.31</v>
      </c>
      <c r="AA157" s="132">
        <v>1</v>
      </c>
      <c r="AB157" s="149">
        <v>95.53</v>
      </c>
      <c r="AC157" s="2"/>
      <c r="AD157" s="123">
        <v>167.33500000000001</v>
      </c>
      <c r="AE157" s="2"/>
      <c r="AF157" s="2"/>
      <c r="AG157" s="2" t="s">
        <v>36</v>
      </c>
      <c r="AH157" s="138">
        <v>1.5200000000000001E-4</v>
      </c>
      <c r="AI157" s="138">
        <v>1.51796000246007E-2</v>
      </c>
      <c r="AJ157" s="138">
        <v>2.0865924229286699E-3</v>
      </c>
    </row>
    <row r="158" spans="1:36">
      <c r="A158" s="2">
        <v>161</v>
      </c>
      <c r="B158" s="2">
        <v>9938</v>
      </c>
      <c r="C158" s="2" t="s">
        <v>1197</v>
      </c>
      <c r="D158" s="2" t="s">
        <v>1607</v>
      </c>
      <c r="E158" s="3" t="s">
        <v>1351</v>
      </c>
      <c r="F158" s="2" t="s">
        <v>2215</v>
      </c>
      <c r="G158" s="2" t="s">
        <v>2216</v>
      </c>
      <c r="H158" s="2" t="s">
        <v>209</v>
      </c>
      <c r="I158" s="2" t="s">
        <v>789</v>
      </c>
      <c r="J158" s="2" t="s">
        <v>30</v>
      </c>
      <c r="K158" s="2" t="s">
        <v>30</v>
      </c>
      <c r="L158" s="2" t="s">
        <v>361</v>
      </c>
      <c r="M158" s="2" t="s">
        <v>58</v>
      </c>
      <c r="N158" s="2" t="s">
        <v>568</v>
      </c>
      <c r="O158" s="2" t="s">
        <v>160</v>
      </c>
      <c r="P158" s="2" t="s">
        <v>2217</v>
      </c>
      <c r="Q158" s="2" t="s">
        <v>464</v>
      </c>
      <c r="R158" s="2" t="s">
        <v>440</v>
      </c>
      <c r="S158" s="2" t="s">
        <v>90</v>
      </c>
      <c r="T158" s="123">
        <v>4.8479999999999999</v>
      </c>
      <c r="U158" s="2" t="s">
        <v>2218</v>
      </c>
      <c r="V158" s="136">
        <v>3.2750000000000001E-2</v>
      </c>
      <c r="W158" s="138">
        <v>5.8430000000000003E-2</v>
      </c>
      <c r="X158" s="3" t="s">
        <v>445</v>
      </c>
      <c r="Y158" s="3" t="s">
        <v>160</v>
      </c>
      <c r="Z158" s="123">
        <v>14000</v>
      </c>
      <c r="AA158" s="132">
        <v>3.3719999999999999</v>
      </c>
      <c r="AB158" s="149">
        <v>99.06</v>
      </c>
      <c r="AC158" s="2"/>
      <c r="AD158" s="123">
        <v>46.764000000000003</v>
      </c>
      <c r="AE158" s="2"/>
      <c r="AF158" s="2"/>
      <c r="AG158" s="2" t="s">
        <v>36</v>
      </c>
      <c r="AH158" s="138">
        <v>1.9000000000000001E-5</v>
      </c>
      <c r="AI158" s="138">
        <v>4.2421395293566798E-3</v>
      </c>
      <c r="AJ158" s="138">
        <v>5.8312578622734298E-4</v>
      </c>
    </row>
    <row r="159" spans="1:36">
      <c r="A159" s="2">
        <v>161</v>
      </c>
      <c r="B159" s="2">
        <v>9938</v>
      </c>
      <c r="C159" s="2" t="s">
        <v>1671</v>
      </c>
      <c r="D159" s="2" t="s">
        <v>1672</v>
      </c>
      <c r="E159" s="3" t="s">
        <v>1351</v>
      </c>
      <c r="F159" s="2" t="s">
        <v>2219</v>
      </c>
      <c r="G159" s="2" t="s">
        <v>2220</v>
      </c>
      <c r="H159" s="2" t="s">
        <v>209</v>
      </c>
      <c r="I159" s="2" t="s">
        <v>789</v>
      </c>
      <c r="J159" s="2" t="s">
        <v>85</v>
      </c>
      <c r="K159" s="2" t="s">
        <v>30</v>
      </c>
      <c r="L159" s="2" t="s">
        <v>361</v>
      </c>
      <c r="M159" s="2" t="s">
        <v>135</v>
      </c>
      <c r="N159" s="2" t="s">
        <v>568</v>
      </c>
      <c r="O159" s="2" t="s">
        <v>160</v>
      </c>
      <c r="P159" s="2" t="s">
        <v>2217</v>
      </c>
      <c r="Q159" s="2" t="s">
        <v>464</v>
      </c>
      <c r="R159" s="2" t="s">
        <v>440</v>
      </c>
      <c r="S159" s="2" t="s">
        <v>90</v>
      </c>
      <c r="T159" s="123">
        <v>5.0060000000000002</v>
      </c>
      <c r="U159" s="2" t="s">
        <v>2221</v>
      </c>
      <c r="V159" s="136">
        <v>3.0769999999999999E-2</v>
      </c>
      <c r="W159" s="138">
        <v>6.2969999999999998E-2</v>
      </c>
      <c r="X159" s="3" t="s">
        <v>445</v>
      </c>
      <c r="Y159" s="3" t="s">
        <v>160</v>
      </c>
      <c r="Z159" s="123">
        <v>14000</v>
      </c>
      <c r="AA159" s="132">
        <v>3.3719999999999999</v>
      </c>
      <c r="AB159" s="149">
        <v>97.67</v>
      </c>
      <c r="AC159" s="2"/>
      <c r="AD159" s="123">
        <v>46.107999999999997</v>
      </c>
      <c r="AE159" s="2"/>
      <c r="AF159" s="2"/>
      <c r="AG159" s="2" t="s">
        <v>36</v>
      </c>
      <c r="AH159" s="138">
        <v>2.3E-5</v>
      </c>
      <c r="AI159" s="138">
        <v>4.1826245183118702E-3</v>
      </c>
      <c r="AJ159" s="138">
        <v>5.7494483475988803E-4</v>
      </c>
    </row>
    <row r="160" spans="1:36">
      <c r="A160" s="2">
        <v>161</v>
      </c>
      <c r="B160" s="2">
        <v>9942</v>
      </c>
      <c r="C160" s="2" t="s">
        <v>1952</v>
      </c>
      <c r="D160" s="2" t="s">
        <v>1953</v>
      </c>
      <c r="E160" s="3" t="s">
        <v>1351</v>
      </c>
      <c r="F160" s="2" t="s">
        <v>1954</v>
      </c>
      <c r="G160" s="2" t="s">
        <v>1955</v>
      </c>
      <c r="H160" s="2" t="s">
        <v>209</v>
      </c>
      <c r="I160" s="2" t="s">
        <v>788</v>
      </c>
      <c r="J160" s="2" t="s">
        <v>30</v>
      </c>
      <c r="K160" s="2" t="s">
        <v>30</v>
      </c>
      <c r="L160" s="2" t="s">
        <v>361</v>
      </c>
      <c r="M160" s="2" t="s">
        <v>31</v>
      </c>
      <c r="N160" s="2" t="s">
        <v>495</v>
      </c>
      <c r="O160" s="2" t="s">
        <v>160</v>
      </c>
      <c r="P160" s="2" t="s">
        <v>1956</v>
      </c>
      <c r="Q160" s="2" t="s">
        <v>446</v>
      </c>
      <c r="R160" s="2" t="s">
        <v>440</v>
      </c>
      <c r="S160" s="2" t="s">
        <v>34</v>
      </c>
      <c r="T160" s="123">
        <v>2.0139999999999998</v>
      </c>
      <c r="U160" s="2" t="s">
        <v>1957</v>
      </c>
      <c r="V160" s="136">
        <v>2.3400000000000001E-2</v>
      </c>
      <c r="W160" s="138">
        <v>2.8719999999999999E-2</v>
      </c>
      <c r="X160" s="3" t="s">
        <v>445</v>
      </c>
      <c r="Y160" s="3" t="s">
        <v>160</v>
      </c>
      <c r="Z160" s="123">
        <v>326873.83</v>
      </c>
      <c r="AA160" s="132">
        <v>1</v>
      </c>
      <c r="AB160" s="149">
        <v>116.49</v>
      </c>
      <c r="AC160" s="2"/>
      <c r="AD160" s="123">
        <v>380.77499999999998</v>
      </c>
      <c r="AE160" s="2"/>
      <c r="AF160" s="2"/>
      <c r="AG160" s="2" t="s">
        <v>36</v>
      </c>
      <c r="AH160" s="138">
        <v>2.0100000000000001E-4</v>
      </c>
      <c r="AI160" s="138">
        <v>2.5884811564865599E-2</v>
      </c>
      <c r="AJ160" s="138">
        <v>4.0101945615419604E-3</v>
      </c>
    </row>
    <row r="161" spans="1:36">
      <c r="A161" s="2">
        <v>161</v>
      </c>
      <c r="B161" s="2">
        <v>9942</v>
      </c>
      <c r="C161" s="2" t="s">
        <v>1952</v>
      </c>
      <c r="D161" s="2" t="s">
        <v>1953</v>
      </c>
      <c r="E161" s="3" t="s">
        <v>1351</v>
      </c>
      <c r="F161" s="2" t="s">
        <v>1958</v>
      </c>
      <c r="G161" s="2" t="s">
        <v>1959</v>
      </c>
      <c r="H161" s="2" t="s">
        <v>209</v>
      </c>
      <c r="I161" s="2" t="s">
        <v>998</v>
      </c>
      <c r="J161" s="2" t="s">
        <v>30</v>
      </c>
      <c r="K161" s="2" t="s">
        <v>30</v>
      </c>
      <c r="L161" s="2" t="s">
        <v>361</v>
      </c>
      <c r="M161" s="2" t="s">
        <v>31</v>
      </c>
      <c r="N161" s="2" t="s">
        <v>495</v>
      </c>
      <c r="O161" s="2" t="s">
        <v>160</v>
      </c>
      <c r="P161" s="2" t="s">
        <v>1956</v>
      </c>
      <c r="Q161" s="2" t="s">
        <v>446</v>
      </c>
      <c r="R161" s="2" t="s">
        <v>440</v>
      </c>
      <c r="S161" s="2" t="s">
        <v>34</v>
      </c>
      <c r="T161" s="123">
        <v>2.3820000000000001</v>
      </c>
      <c r="U161" s="2" t="s">
        <v>1960</v>
      </c>
      <c r="V161" s="136">
        <v>0.05</v>
      </c>
      <c r="W161" s="138">
        <v>4.6789999999999998E-2</v>
      </c>
      <c r="X161" s="3" t="s">
        <v>445</v>
      </c>
      <c r="Y161" s="3" t="s">
        <v>160</v>
      </c>
      <c r="Z161" s="123">
        <v>157500</v>
      </c>
      <c r="AA161" s="132">
        <v>1</v>
      </c>
      <c r="AB161" s="149">
        <v>101.73</v>
      </c>
      <c r="AC161" s="2"/>
      <c r="AD161" s="123">
        <v>160.22499999999999</v>
      </c>
      <c r="AE161" s="2"/>
      <c r="AF161" s="2"/>
      <c r="AG161" s="2" t="s">
        <v>36</v>
      </c>
      <c r="AH161" s="138">
        <v>4.4999999999999999E-4</v>
      </c>
      <c r="AI161" s="138">
        <v>1.0891954373603199E-2</v>
      </c>
      <c r="AJ161" s="138">
        <v>1.6874318781162599E-3</v>
      </c>
    </row>
    <row r="162" spans="1:36">
      <c r="A162" s="2">
        <v>161</v>
      </c>
      <c r="B162" s="2">
        <v>9942</v>
      </c>
      <c r="C162" s="2" t="s">
        <v>1961</v>
      </c>
      <c r="D162" s="2" t="s">
        <v>1962</v>
      </c>
      <c r="E162" s="3" t="s">
        <v>1351</v>
      </c>
      <c r="F162" s="2" t="s">
        <v>2222</v>
      </c>
      <c r="G162" s="2" t="s">
        <v>2223</v>
      </c>
      <c r="H162" s="2" t="s">
        <v>209</v>
      </c>
      <c r="I162" s="2" t="s">
        <v>788</v>
      </c>
      <c r="J162" s="2" t="s">
        <v>30</v>
      </c>
      <c r="K162" s="2" t="s">
        <v>30</v>
      </c>
      <c r="L162" s="2" t="s">
        <v>361</v>
      </c>
      <c r="M162" s="2" t="s">
        <v>31</v>
      </c>
      <c r="N162" s="2" t="s">
        <v>509</v>
      </c>
      <c r="O162" s="2" t="s">
        <v>160</v>
      </c>
      <c r="P162" s="2" t="s">
        <v>1965</v>
      </c>
      <c r="Q162" s="2" t="s">
        <v>446</v>
      </c>
      <c r="R162" s="2" t="s">
        <v>440</v>
      </c>
      <c r="S162" s="2" t="s">
        <v>34</v>
      </c>
      <c r="T162" s="123">
        <v>1.4510000000000001</v>
      </c>
      <c r="U162" s="2" t="s">
        <v>2224</v>
      </c>
      <c r="V162" s="136">
        <v>3.2000000000000001E-2</v>
      </c>
      <c r="W162" s="138">
        <v>3.2230000000000002E-2</v>
      </c>
      <c r="X162" s="3" t="s">
        <v>445</v>
      </c>
      <c r="Y162" s="3" t="s">
        <v>160</v>
      </c>
      <c r="Z162" s="123">
        <v>49800</v>
      </c>
      <c r="AA162" s="132">
        <v>1</v>
      </c>
      <c r="AB162" s="149">
        <v>109.13</v>
      </c>
      <c r="AC162" s="2"/>
      <c r="AD162" s="123">
        <v>54.347000000000001</v>
      </c>
      <c r="AE162" s="2"/>
      <c r="AF162" s="2"/>
      <c r="AG162" s="2" t="s">
        <v>36</v>
      </c>
      <c r="AH162" s="138">
        <v>7.6000000000000004E-5</v>
      </c>
      <c r="AI162" s="138">
        <v>3.6944492809885799E-3</v>
      </c>
      <c r="AJ162" s="138">
        <v>5.7236114612565104E-4</v>
      </c>
    </row>
    <row r="163" spans="1:36">
      <c r="A163" s="2">
        <v>161</v>
      </c>
      <c r="B163" s="2">
        <v>9942</v>
      </c>
      <c r="C163" s="2" t="s">
        <v>1961</v>
      </c>
      <c r="D163" s="2" t="s">
        <v>1962</v>
      </c>
      <c r="E163" s="3" t="s">
        <v>1351</v>
      </c>
      <c r="F163" s="2" t="s">
        <v>1963</v>
      </c>
      <c r="G163" s="2" t="s">
        <v>1964</v>
      </c>
      <c r="H163" s="2" t="s">
        <v>209</v>
      </c>
      <c r="I163" s="2" t="s">
        <v>998</v>
      </c>
      <c r="J163" s="2" t="s">
        <v>30</v>
      </c>
      <c r="K163" s="2" t="s">
        <v>30</v>
      </c>
      <c r="L163" s="2" t="s">
        <v>361</v>
      </c>
      <c r="M163" s="2" t="s">
        <v>31</v>
      </c>
      <c r="N163" s="2" t="s">
        <v>509</v>
      </c>
      <c r="O163" s="2" t="s">
        <v>160</v>
      </c>
      <c r="P163" s="2" t="s">
        <v>1965</v>
      </c>
      <c r="Q163" s="2" t="s">
        <v>446</v>
      </c>
      <c r="R163" s="2" t="s">
        <v>440</v>
      </c>
      <c r="S163" s="2" t="s">
        <v>34</v>
      </c>
      <c r="T163" s="123">
        <v>1.518</v>
      </c>
      <c r="U163" s="2" t="s">
        <v>1966</v>
      </c>
      <c r="V163" s="136">
        <v>5.7000000000000002E-2</v>
      </c>
      <c r="W163" s="138">
        <v>5.1889999999999999E-2</v>
      </c>
      <c r="X163" s="3" t="s">
        <v>445</v>
      </c>
      <c r="Y163" s="3" t="s">
        <v>160</v>
      </c>
      <c r="Z163" s="123">
        <v>49200</v>
      </c>
      <c r="AA163" s="132">
        <v>1</v>
      </c>
      <c r="AB163" s="149">
        <v>101.09</v>
      </c>
      <c r="AC163" s="2"/>
      <c r="AD163" s="123">
        <v>49.735999999999997</v>
      </c>
      <c r="AE163" s="2"/>
      <c r="AF163" s="2"/>
      <c r="AG163" s="2" t="s">
        <v>36</v>
      </c>
      <c r="AH163" s="138">
        <v>6.2000000000000003E-5</v>
      </c>
      <c r="AI163" s="138">
        <v>3.3810337820639599E-3</v>
      </c>
      <c r="AJ163" s="138">
        <v>5.2380536946330697E-4</v>
      </c>
    </row>
    <row r="164" spans="1:36">
      <c r="A164" s="2">
        <v>161</v>
      </c>
      <c r="B164" s="2">
        <v>9942</v>
      </c>
      <c r="C164" s="2" t="s">
        <v>2225</v>
      </c>
      <c r="D164" s="2" t="s">
        <v>2226</v>
      </c>
      <c r="E164" s="3" t="s">
        <v>1351</v>
      </c>
      <c r="F164" s="2" t="s">
        <v>2227</v>
      </c>
      <c r="G164" s="2" t="s">
        <v>2228</v>
      </c>
      <c r="H164" s="2" t="s">
        <v>209</v>
      </c>
      <c r="I164" s="2" t="s">
        <v>788</v>
      </c>
      <c r="J164" s="2" t="s">
        <v>30</v>
      </c>
      <c r="K164" s="2" t="s">
        <v>30</v>
      </c>
      <c r="L164" s="2" t="s">
        <v>361</v>
      </c>
      <c r="M164" s="2" t="s">
        <v>31</v>
      </c>
      <c r="N164" s="2" t="s">
        <v>509</v>
      </c>
      <c r="O164" s="2" t="s">
        <v>160</v>
      </c>
      <c r="P164" s="2" t="s">
        <v>1965</v>
      </c>
      <c r="Q164" s="2" t="s">
        <v>446</v>
      </c>
      <c r="R164" s="2" t="s">
        <v>440</v>
      </c>
      <c r="S164" s="2" t="s">
        <v>34</v>
      </c>
      <c r="T164" s="123">
        <v>2.1680000000000001</v>
      </c>
      <c r="U164" s="2" t="s">
        <v>2229</v>
      </c>
      <c r="V164" s="136">
        <v>3.2300000000000002E-2</v>
      </c>
      <c r="W164" s="138">
        <v>2.972E-2</v>
      </c>
      <c r="X164" s="3" t="s">
        <v>445</v>
      </c>
      <c r="Y164" s="3" t="s">
        <v>160</v>
      </c>
      <c r="Z164" s="123">
        <v>72240</v>
      </c>
      <c r="AA164" s="132">
        <v>1</v>
      </c>
      <c r="AB164" s="149">
        <v>110.07</v>
      </c>
      <c r="AC164" s="2"/>
      <c r="AD164" s="123">
        <v>79.515000000000001</v>
      </c>
      <c r="AE164" s="2"/>
      <c r="AF164" s="2"/>
      <c r="AG164" s="2" t="s">
        <v>36</v>
      </c>
      <c r="AH164" s="138">
        <v>1.3999999999999999E-4</v>
      </c>
      <c r="AI164" s="138">
        <v>5.40533873008238E-3</v>
      </c>
      <c r="AJ164" s="138">
        <v>8.3742004164676597E-4</v>
      </c>
    </row>
    <row r="165" spans="1:36">
      <c r="A165" s="2">
        <v>161</v>
      </c>
      <c r="B165" s="2">
        <v>9942</v>
      </c>
      <c r="C165" s="2" t="s">
        <v>1626</v>
      </c>
      <c r="D165" s="2" t="s">
        <v>1627</v>
      </c>
      <c r="E165" s="3" t="s">
        <v>1351</v>
      </c>
      <c r="F165" s="2" t="s">
        <v>1967</v>
      </c>
      <c r="G165" s="2" t="s">
        <v>1968</v>
      </c>
      <c r="H165" s="2" t="s">
        <v>209</v>
      </c>
      <c r="I165" s="2" t="s">
        <v>788</v>
      </c>
      <c r="J165" s="2" t="s">
        <v>30</v>
      </c>
      <c r="K165" s="2" t="s">
        <v>30</v>
      </c>
      <c r="L165" s="2" t="s">
        <v>361</v>
      </c>
      <c r="M165" s="2" t="s">
        <v>31</v>
      </c>
      <c r="N165" s="2" t="s">
        <v>495</v>
      </c>
      <c r="O165" s="2" t="s">
        <v>160</v>
      </c>
      <c r="P165" s="2" t="s">
        <v>1969</v>
      </c>
      <c r="Q165" s="2" t="s">
        <v>446</v>
      </c>
      <c r="R165" s="2" t="s">
        <v>440</v>
      </c>
      <c r="S165" s="2" t="s">
        <v>34</v>
      </c>
      <c r="T165" s="123">
        <v>6.4370000000000003</v>
      </c>
      <c r="U165" s="2" t="s">
        <v>1970</v>
      </c>
      <c r="V165" s="136">
        <v>2.5600000000000001E-2</v>
      </c>
      <c r="W165" s="138">
        <v>3.2149999999999998E-2</v>
      </c>
      <c r="X165" s="3" t="s">
        <v>445</v>
      </c>
      <c r="Y165" s="3" t="s">
        <v>160</v>
      </c>
      <c r="Z165" s="123">
        <v>180000</v>
      </c>
      <c r="AA165" s="132">
        <v>1</v>
      </c>
      <c r="AB165" s="149">
        <v>105.66</v>
      </c>
      <c r="AC165" s="2"/>
      <c r="AD165" s="123">
        <v>190.18799999999999</v>
      </c>
      <c r="AE165" s="2"/>
      <c r="AF165" s="2"/>
      <c r="AG165" s="2" t="s">
        <v>36</v>
      </c>
      <c r="AH165" s="138">
        <v>1.7100000000000001E-4</v>
      </c>
      <c r="AI165" s="138">
        <v>1.2928832895085399E-2</v>
      </c>
      <c r="AJ165" s="138">
        <v>2.0029945063741702E-3</v>
      </c>
    </row>
    <row r="166" spans="1:36">
      <c r="A166" s="2">
        <v>161</v>
      </c>
      <c r="B166" s="2">
        <v>9942</v>
      </c>
      <c r="C166" s="2" t="s">
        <v>1626</v>
      </c>
      <c r="D166" s="2" t="s">
        <v>1627</v>
      </c>
      <c r="E166" s="3" t="s">
        <v>1351</v>
      </c>
      <c r="F166" s="2" t="s">
        <v>1971</v>
      </c>
      <c r="G166" s="2" t="s">
        <v>1972</v>
      </c>
      <c r="H166" s="2" t="s">
        <v>209</v>
      </c>
      <c r="I166" s="2" t="s">
        <v>998</v>
      </c>
      <c r="J166" s="2" t="s">
        <v>30</v>
      </c>
      <c r="K166" s="2" t="s">
        <v>30</v>
      </c>
      <c r="L166" s="2" t="s">
        <v>361</v>
      </c>
      <c r="M166" s="2" t="s">
        <v>31</v>
      </c>
      <c r="N166" s="2" t="s">
        <v>495</v>
      </c>
      <c r="O166" s="2" t="s">
        <v>160</v>
      </c>
      <c r="P166" s="2" t="s">
        <v>1969</v>
      </c>
      <c r="Q166" s="2" t="s">
        <v>446</v>
      </c>
      <c r="R166" s="2" t="s">
        <v>440</v>
      </c>
      <c r="S166" s="2" t="s">
        <v>34</v>
      </c>
      <c r="T166" s="123">
        <v>3.7050000000000001</v>
      </c>
      <c r="U166" s="2" t="s">
        <v>1973</v>
      </c>
      <c r="V166" s="136">
        <v>2.41E-2</v>
      </c>
      <c r="W166" s="138">
        <v>4.8559999999999999E-2</v>
      </c>
      <c r="X166" s="3" t="s">
        <v>445</v>
      </c>
      <c r="Y166" s="3" t="s">
        <v>160</v>
      </c>
      <c r="Z166" s="123">
        <v>200000</v>
      </c>
      <c r="AA166" s="132">
        <v>1</v>
      </c>
      <c r="AB166" s="149">
        <v>92.33</v>
      </c>
      <c r="AC166" s="2"/>
      <c r="AD166" s="123">
        <v>184.66</v>
      </c>
      <c r="AE166" s="2"/>
      <c r="AF166" s="2"/>
      <c r="AG166" s="2" t="s">
        <v>36</v>
      </c>
      <c r="AH166" s="138">
        <v>9.7E-5</v>
      </c>
      <c r="AI166" s="138">
        <v>1.25530437378093E-2</v>
      </c>
      <c r="AJ166" s="138">
        <v>1.9447755144754301E-3</v>
      </c>
    </row>
    <row r="167" spans="1:36">
      <c r="A167" s="2">
        <v>161</v>
      </c>
      <c r="B167" s="2">
        <v>9942</v>
      </c>
      <c r="C167" s="2" t="s">
        <v>1974</v>
      </c>
      <c r="D167" s="2" t="s">
        <v>1975</v>
      </c>
      <c r="E167" s="3" t="s">
        <v>1351</v>
      </c>
      <c r="F167" s="2" t="s">
        <v>1976</v>
      </c>
      <c r="G167" s="2" t="s">
        <v>1977</v>
      </c>
      <c r="H167" s="2" t="s">
        <v>209</v>
      </c>
      <c r="I167" s="2" t="s">
        <v>998</v>
      </c>
      <c r="J167" s="2" t="s">
        <v>30</v>
      </c>
      <c r="K167" s="2" t="s">
        <v>30</v>
      </c>
      <c r="L167" s="2" t="s">
        <v>361</v>
      </c>
      <c r="M167" s="2" t="s">
        <v>31</v>
      </c>
      <c r="N167" s="2" t="s">
        <v>482</v>
      </c>
      <c r="O167" s="2" t="s">
        <v>160</v>
      </c>
      <c r="P167" s="2" t="s">
        <v>1965</v>
      </c>
      <c r="Q167" s="2" t="s">
        <v>446</v>
      </c>
      <c r="R167" s="2" t="s">
        <v>440</v>
      </c>
      <c r="S167" s="2" t="s">
        <v>34</v>
      </c>
      <c r="T167" s="123">
        <v>2.7559999999999998</v>
      </c>
      <c r="U167" s="2" t="s">
        <v>1978</v>
      </c>
      <c r="V167" s="136">
        <v>0.04</v>
      </c>
      <c r="W167" s="138">
        <v>4.7919999999999997E-2</v>
      </c>
      <c r="X167" s="3" t="s">
        <v>445</v>
      </c>
      <c r="Y167" s="3" t="s">
        <v>160</v>
      </c>
      <c r="Z167" s="123">
        <v>230357.19</v>
      </c>
      <c r="AA167" s="132">
        <v>1</v>
      </c>
      <c r="AB167" s="149">
        <v>99.88</v>
      </c>
      <c r="AC167" s="2"/>
      <c r="AD167" s="123">
        <v>230.08099999999999</v>
      </c>
      <c r="AE167" s="2"/>
      <c r="AF167" s="2"/>
      <c r="AG167" s="2" t="s">
        <v>36</v>
      </c>
      <c r="AH167" s="138">
        <v>3.97E-4</v>
      </c>
      <c r="AI167" s="138">
        <v>1.5640711906916401E-2</v>
      </c>
      <c r="AJ167" s="138">
        <v>2.42313132821472E-3</v>
      </c>
    </row>
    <row r="168" spans="1:36">
      <c r="A168" s="2">
        <v>161</v>
      </c>
      <c r="B168" s="2">
        <v>9942</v>
      </c>
      <c r="C168" s="2" t="s">
        <v>1630</v>
      </c>
      <c r="D168" s="2" t="s">
        <v>1631</v>
      </c>
      <c r="E168" s="3" t="s">
        <v>1351</v>
      </c>
      <c r="F168" s="2" t="s">
        <v>1982</v>
      </c>
      <c r="G168" s="2" t="s">
        <v>1983</v>
      </c>
      <c r="H168" s="2" t="s">
        <v>209</v>
      </c>
      <c r="I168" s="2" t="s">
        <v>998</v>
      </c>
      <c r="J168" s="2" t="s">
        <v>30</v>
      </c>
      <c r="K168" s="2" t="s">
        <v>30</v>
      </c>
      <c r="L168" s="2" t="s">
        <v>361</v>
      </c>
      <c r="M168" s="2" t="s">
        <v>31</v>
      </c>
      <c r="N168" s="2" t="s">
        <v>495</v>
      </c>
      <c r="O168" s="2" t="s">
        <v>160</v>
      </c>
      <c r="P168" s="2" t="s">
        <v>1956</v>
      </c>
      <c r="Q168" s="2" t="s">
        <v>446</v>
      </c>
      <c r="R168" s="2" t="s">
        <v>440</v>
      </c>
      <c r="S168" s="2" t="s">
        <v>34</v>
      </c>
      <c r="T168" s="123">
        <v>4.6719999999999997</v>
      </c>
      <c r="U168" s="2" t="s">
        <v>1984</v>
      </c>
      <c r="V168" s="136">
        <v>2.4400000000000002E-2</v>
      </c>
      <c r="W168" s="138">
        <v>4.7059999999999998E-2</v>
      </c>
      <c r="X168" s="3" t="s">
        <v>445</v>
      </c>
      <c r="Y168" s="3" t="s">
        <v>160</v>
      </c>
      <c r="Z168" s="123">
        <v>200000</v>
      </c>
      <c r="AA168" s="132">
        <v>1</v>
      </c>
      <c r="AB168" s="149">
        <v>91.3</v>
      </c>
      <c r="AC168" s="2"/>
      <c r="AD168" s="123">
        <v>182.6</v>
      </c>
      <c r="AE168" s="2"/>
      <c r="AF168" s="2"/>
      <c r="AG168" s="2" t="s">
        <v>36</v>
      </c>
      <c r="AH168" s="138">
        <v>1.65E-4</v>
      </c>
      <c r="AI168" s="138">
        <v>1.2413006533759201E-2</v>
      </c>
      <c r="AJ168" s="138">
        <v>1.9230803040356001E-3</v>
      </c>
    </row>
    <row r="169" spans="1:36">
      <c r="A169" s="2">
        <v>161</v>
      </c>
      <c r="B169" s="2">
        <v>9942</v>
      </c>
      <c r="C169" s="2" t="s">
        <v>1630</v>
      </c>
      <c r="D169" s="2" t="s">
        <v>1631</v>
      </c>
      <c r="E169" s="3" t="s">
        <v>1351</v>
      </c>
      <c r="F169" s="2" t="s">
        <v>1985</v>
      </c>
      <c r="G169" s="2" t="s">
        <v>1986</v>
      </c>
      <c r="H169" s="2" t="s">
        <v>209</v>
      </c>
      <c r="I169" s="2" t="s">
        <v>788</v>
      </c>
      <c r="J169" s="2" t="s">
        <v>30</v>
      </c>
      <c r="K169" s="2" t="s">
        <v>30</v>
      </c>
      <c r="L169" s="2" t="s">
        <v>361</v>
      </c>
      <c r="M169" s="2" t="s">
        <v>31</v>
      </c>
      <c r="N169" s="2" t="s">
        <v>495</v>
      </c>
      <c r="O169" s="2" t="s">
        <v>160</v>
      </c>
      <c r="P169" s="2" t="s">
        <v>1956</v>
      </c>
      <c r="Q169" s="2" t="s">
        <v>446</v>
      </c>
      <c r="R169" s="2" t="s">
        <v>440</v>
      </c>
      <c r="S169" s="2" t="s">
        <v>34</v>
      </c>
      <c r="T169" s="123">
        <v>4.8689999999999998</v>
      </c>
      <c r="U169" s="2" t="s">
        <v>1984</v>
      </c>
      <c r="V169" s="136">
        <v>9.1999999999999998E-3</v>
      </c>
      <c r="W169" s="138">
        <v>2.8469999999999999E-2</v>
      </c>
      <c r="X169" s="3" t="s">
        <v>445</v>
      </c>
      <c r="Y169" s="3" t="s">
        <v>160</v>
      </c>
      <c r="Z169" s="123">
        <v>260000</v>
      </c>
      <c r="AA169" s="132">
        <v>1</v>
      </c>
      <c r="AB169" s="149">
        <v>107.4</v>
      </c>
      <c r="AC169" s="2"/>
      <c r="AD169" s="123">
        <v>279.24</v>
      </c>
      <c r="AE169" s="2"/>
      <c r="AF169" s="2"/>
      <c r="AG169" s="2" t="s">
        <v>36</v>
      </c>
      <c r="AH169" s="138">
        <v>1.01E-4</v>
      </c>
      <c r="AI169" s="138">
        <v>1.89825188635648E-2</v>
      </c>
      <c r="AJ169" s="138">
        <v>2.9408594967081101E-3</v>
      </c>
    </row>
    <row r="170" spans="1:36">
      <c r="A170" s="2">
        <v>161</v>
      </c>
      <c r="B170" s="2">
        <v>9942</v>
      </c>
      <c r="C170" s="2" t="s">
        <v>1634</v>
      </c>
      <c r="D170" s="2" t="s">
        <v>1635</v>
      </c>
      <c r="E170" s="3" t="s">
        <v>1351</v>
      </c>
      <c r="F170" s="2" t="s">
        <v>1987</v>
      </c>
      <c r="G170" s="2" t="s">
        <v>1988</v>
      </c>
      <c r="H170" s="2" t="s">
        <v>209</v>
      </c>
      <c r="I170" s="2" t="s">
        <v>998</v>
      </c>
      <c r="J170" s="2" t="s">
        <v>30</v>
      </c>
      <c r="K170" s="2" t="s">
        <v>86</v>
      </c>
      <c r="L170" s="2" t="s">
        <v>361</v>
      </c>
      <c r="M170" s="2" t="s">
        <v>31</v>
      </c>
      <c r="N170" s="2" t="s">
        <v>472</v>
      </c>
      <c r="O170" s="2" t="s">
        <v>160</v>
      </c>
      <c r="P170" s="2" t="s">
        <v>1989</v>
      </c>
      <c r="Q170" s="2" t="s">
        <v>448</v>
      </c>
      <c r="R170" s="2" t="s">
        <v>440</v>
      </c>
      <c r="S170" s="2" t="s">
        <v>34</v>
      </c>
      <c r="T170" s="123">
        <v>1.01</v>
      </c>
      <c r="U170" s="2" t="s">
        <v>1990</v>
      </c>
      <c r="V170" s="136">
        <v>3.4500000000000003E-2</v>
      </c>
      <c r="W170" s="138">
        <v>4.7660000000000001E-2</v>
      </c>
      <c r="X170" s="3" t="s">
        <v>445</v>
      </c>
      <c r="Y170" s="3" t="s">
        <v>160</v>
      </c>
      <c r="Z170" s="123">
        <v>265882.34999999998</v>
      </c>
      <c r="AA170" s="132">
        <v>1</v>
      </c>
      <c r="AB170" s="149">
        <v>99.89</v>
      </c>
      <c r="AC170" s="2"/>
      <c r="AD170" s="123">
        <v>265.58999999999997</v>
      </c>
      <c r="AE170" s="2"/>
      <c r="AF170" s="2"/>
      <c r="AG170" s="2" t="s">
        <v>36</v>
      </c>
      <c r="AH170" s="138">
        <v>4.1399999999999998E-4</v>
      </c>
      <c r="AI170" s="138">
        <v>1.8054594241395001E-2</v>
      </c>
      <c r="AJ170" s="138">
        <v>2.7971011284456601E-3</v>
      </c>
    </row>
    <row r="171" spans="1:36">
      <c r="A171" s="2">
        <v>161</v>
      </c>
      <c r="B171" s="2">
        <v>9942</v>
      </c>
      <c r="C171" s="2" t="s">
        <v>1634</v>
      </c>
      <c r="D171" s="2" t="s">
        <v>1635</v>
      </c>
      <c r="E171" s="3" t="s">
        <v>1351</v>
      </c>
      <c r="F171" s="2" t="s">
        <v>1991</v>
      </c>
      <c r="G171" s="2" t="s">
        <v>1992</v>
      </c>
      <c r="H171" s="2" t="s">
        <v>209</v>
      </c>
      <c r="I171" s="2" t="s">
        <v>998</v>
      </c>
      <c r="J171" s="2" t="s">
        <v>30</v>
      </c>
      <c r="K171" s="2" t="s">
        <v>86</v>
      </c>
      <c r="L171" s="2" t="s">
        <v>361</v>
      </c>
      <c r="M171" s="2" t="s">
        <v>31</v>
      </c>
      <c r="N171" s="2" t="s">
        <v>472</v>
      </c>
      <c r="O171" s="2" t="s">
        <v>160</v>
      </c>
      <c r="P171" s="2" t="s">
        <v>1989</v>
      </c>
      <c r="Q171" s="2" t="s">
        <v>448</v>
      </c>
      <c r="R171" s="2" t="s">
        <v>440</v>
      </c>
      <c r="S171" s="2" t="s">
        <v>34</v>
      </c>
      <c r="T171" s="123">
        <v>3.0470000000000002</v>
      </c>
      <c r="U171" s="2" t="s">
        <v>1993</v>
      </c>
      <c r="V171" s="136">
        <v>1.4999999999999999E-2</v>
      </c>
      <c r="W171" s="138">
        <v>5.0639999999999998E-2</v>
      </c>
      <c r="X171" s="3" t="s">
        <v>445</v>
      </c>
      <c r="Y171" s="3" t="s">
        <v>160</v>
      </c>
      <c r="Z171" s="123">
        <v>98000</v>
      </c>
      <c r="AA171" s="132">
        <v>1</v>
      </c>
      <c r="AB171" s="149">
        <v>90.42</v>
      </c>
      <c r="AC171" s="2"/>
      <c r="AD171" s="123">
        <v>88.611999999999995</v>
      </c>
      <c r="AE171" s="2"/>
      <c r="AF171" s="2"/>
      <c r="AG171" s="2" t="s">
        <v>36</v>
      </c>
      <c r="AH171" s="138">
        <v>8.2999999999999998E-5</v>
      </c>
      <c r="AI171" s="138">
        <v>6.0237479176717401E-3</v>
      </c>
      <c r="AJ171" s="138">
        <v>9.3322684922826497E-4</v>
      </c>
    </row>
    <row r="172" spans="1:36">
      <c r="A172" s="2">
        <v>161</v>
      </c>
      <c r="B172" s="2">
        <v>9942</v>
      </c>
      <c r="C172" s="2" t="s">
        <v>1952</v>
      </c>
      <c r="D172" s="2" t="s">
        <v>1953</v>
      </c>
      <c r="E172" s="3" t="s">
        <v>1351</v>
      </c>
      <c r="F172" s="2" t="s">
        <v>1994</v>
      </c>
      <c r="G172" s="2" t="s">
        <v>1995</v>
      </c>
      <c r="H172" s="2" t="s">
        <v>209</v>
      </c>
      <c r="I172" s="2" t="s">
        <v>788</v>
      </c>
      <c r="J172" s="2" t="s">
        <v>30</v>
      </c>
      <c r="K172" s="2" t="s">
        <v>30</v>
      </c>
      <c r="L172" s="2" t="s">
        <v>361</v>
      </c>
      <c r="M172" s="2" t="s">
        <v>31</v>
      </c>
      <c r="N172" s="2" t="s">
        <v>495</v>
      </c>
      <c r="O172" s="2" t="s">
        <v>160</v>
      </c>
      <c r="P172" s="2" t="s">
        <v>1956</v>
      </c>
      <c r="Q172" s="2" t="s">
        <v>446</v>
      </c>
      <c r="R172" s="2" t="s">
        <v>440</v>
      </c>
      <c r="S172" s="2" t="s">
        <v>34</v>
      </c>
      <c r="T172" s="123">
        <v>4.6710000000000003</v>
      </c>
      <c r="U172" s="2" t="s">
        <v>1996</v>
      </c>
      <c r="V172" s="136">
        <v>6.4999999999999997E-3</v>
      </c>
      <c r="W172" s="138">
        <v>2.8320000000000001E-2</v>
      </c>
      <c r="X172" s="3" t="s">
        <v>445</v>
      </c>
      <c r="Y172" s="3" t="s">
        <v>160</v>
      </c>
      <c r="Z172" s="123">
        <v>235271.47</v>
      </c>
      <c r="AA172" s="132">
        <v>1</v>
      </c>
      <c r="AB172" s="149">
        <v>105.26</v>
      </c>
      <c r="AC172" s="2"/>
      <c r="AD172" s="123">
        <v>247.64699999999999</v>
      </c>
      <c r="AE172" s="2"/>
      <c r="AF172" s="2"/>
      <c r="AG172" s="2" t="s">
        <v>36</v>
      </c>
      <c r="AH172" s="138">
        <v>1.0399999999999999E-4</v>
      </c>
      <c r="AI172" s="138">
        <v>1.6834834158807401E-2</v>
      </c>
      <c r="AJ172" s="138">
        <v>2.60813026275783E-3</v>
      </c>
    </row>
    <row r="173" spans="1:36">
      <c r="A173" s="2">
        <v>161</v>
      </c>
      <c r="B173" s="2">
        <v>9942</v>
      </c>
      <c r="C173" s="2" t="s">
        <v>1814</v>
      </c>
      <c r="D173" s="2" t="s">
        <v>1815</v>
      </c>
      <c r="E173" s="3" t="s">
        <v>1351</v>
      </c>
      <c r="F173" s="2" t="s">
        <v>2001</v>
      </c>
      <c r="G173" s="2" t="s">
        <v>2002</v>
      </c>
      <c r="H173" s="2" t="s">
        <v>209</v>
      </c>
      <c r="I173" s="2" t="s">
        <v>788</v>
      </c>
      <c r="J173" s="2" t="s">
        <v>30</v>
      </c>
      <c r="K173" s="2" t="s">
        <v>30</v>
      </c>
      <c r="L173" s="2" t="s">
        <v>361</v>
      </c>
      <c r="M173" s="2" t="s">
        <v>31</v>
      </c>
      <c r="N173" s="2" t="s">
        <v>495</v>
      </c>
      <c r="O173" s="2" t="s">
        <v>160</v>
      </c>
      <c r="P173" s="2" t="s">
        <v>1969</v>
      </c>
      <c r="Q173" s="2" t="s">
        <v>446</v>
      </c>
      <c r="R173" s="2" t="s">
        <v>440</v>
      </c>
      <c r="S173" s="2" t="s">
        <v>34</v>
      </c>
      <c r="T173" s="123">
        <v>4.93</v>
      </c>
      <c r="U173" s="2" t="s">
        <v>2003</v>
      </c>
      <c r="V173" s="136">
        <v>1.8700000000000001E-2</v>
      </c>
      <c r="W173" s="138">
        <v>2.9700000000000001E-2</v>
      </c>
      <c r="X173" s="3" t="s">
        <v>445</v>
      </c>
      <c r="Y173" s="3" t="s">
        <v>160</v>
      </c>
      <c r="Z173" s="123">
        <v>305906.06</v>
      </c>
      <c r="AA173" s="132">
        <v>1</v>
      </c>
      <c r="AB173" s="149">
        <v>106.87</v>
      </c>
      <c r="AC173" s="2"/>
      <c r="AD173" s="123">
        <v>326.92200000000003</v>
      </c>
      <c r="AE173" s="2"/>
      <c r="AF173" s="2"/>
      <c r="AG173" s="2" t="s">
        <v>36</v>
      </c>
      <c r="AH173" s="138">
        <v>3.1300000000000002E-4</v>
      </c>
      <c r="AI173" s="138">
        <v>2.22238911166668E-2</v>
      </c>
      <c r="AJ173" s="138">
        <v>3.44302785705137E-3</v>
      </c>
    </row>
    <row r="174" spans="1:36">
      <c r="A174" s="2">
        <v>161</v>
      </c>
      <c r="B174" s="2">
        <v>9942</v>
      </c>
      <c r="C174" s="2" t="s">
        <v>2004</v>
      </c>
      <c r="D174" s="2" t="s">
        <v>2005</v>
      </c>
      <c r="E174" s="3" t="s">
        <v>1351</v>
      </c>
      <c r="F174" s="2" t="s">
        <v>2006</v>
      </c>
      <c r="G174" s="2" t="s">
        <v>2007</v>
      </c>
      <c r="H174" s="2" t="s">
        <v>209</v>
      </c>
      <c r="I174" s="2" t="s">
        <v>998</v>
      </c>
      <c r="J174" s="2" t="s">
        <v>30</v>
      </c>
      <c r="K174" s="2" t="s">
        <v>30</v>
      </c>
      <c r="L174" s="2" t="s">
        <v>361</v>
      </c>
      <c r="M174" s="2" t="s">
        <v>31</v>
      </c>
      <c r="N174" s="2" t="s">
        <v>471</v>
      </c>
      <c r="O174" s="2" t="s">
        <v>160</v>
      </c>
      <c r="P174" s="2" t="s">
        <v>2008</v>
      </c>
      <c r="Q174" s="2" t="s">
        <v>448</v>
      </c>
      <c r="R174" s="2" t="s">
        <v>440</v>
      </c>
      <c r="S174" s="2" t="s">
        <v>34</v>
      </c>
      <c r="T174" s="123">
        <v>2.7770000000000001</v>
      </c>
      <c r="U174" s="2" t="s">
        <v>1960</v>
      </c>
      <c r="V174" s="136">
        <v>7.2499999999999995E-2</v>
      </c>
      <c r="W174" s="138">
        <v>5.3060000000000003E-2</v>
      </c>
      <c r="X174" s="3" t="s">
        <v>445</v>
      </c>
      <c r="Y174" s="3" t="s">
        <v>160</v>
      </c>
      <c r="Z174" s="123">
        <v>346400</v>
      </c>
      <c r="AA174" s="132">
        <v>1</v>
      </c>
      <c r="AB174" s="149">
        <v>106.83</v>
      </c>
      <c r="AC174" s="2"/>
      <c r="AD174" s="123">
        <v>370.05900000000003</v>
      </c>
      <c r="AE174" s="2"/>
      <c r="AF174" s="2"/>
      <c r="AG174" s="2" t="s">
        <v>36</v>
      </c>
      <c r="AH174" s="138">
        <v>5.4100000000000003E-4</v>
      </c>
      <c r="AI174" s="138">
        <v>2.5156332280598E-2</v>
      </c>
      <c r="AJ174" s="138">
        <v>3.8973351862034399E-3</v>
      </c>
    </row>
    <row r="175" spans="1:36">
      <c r="A175" s="2">
        <v>161</v>
      </c>
      <c r="B175" s="2">
        <v>9942</v>
      </c>
      <c r="C175" s="2" t="s">
        <v>2233</v>
      </c>
      <c r="D175" s="2" t="s">
        <v>2234</v>
      </c>
      <c r="E175" s="3" t="s">
        <v>1351</v>
      </c>
      <c r="F175" s="2" t="s">
        <v>2235</v>
      </c>
      <c r="G175" s="2" t="s">
        <v>2236</v>
      </c>
      <c r="H175" s="2" t="s">
        <v>209</v>
      </c>
      <c r="I175" s="2" t="s">
        <v>998</v>
      </c>
      <c r="J175" s="2" t="s">
        <v>30</v>
      </c>
      <c r="K175" s="2" t="s">
        <v>30</v>
      </c>
      <c r="L175" s="2" t="s">
        <v>361</v>
      </c>
      <c r="M175" s="2" t="s">
        <v>31</v>
      </c>
      <c r="N175" s="2" t="s">
        <v>495</v>
      </c>
      <c r="O175" s="2" t="s">
        <v>160</v>
      </c>
      <c r="P175" s="2" t="s">
        <v>1956</v>
      </c>
      <c r="Q175" s="2" t="s">
        <v>446</v>
      </c>
      <c r="R175" s="2" t="s">
        <v>440</v>
      </c>
      <c r="S175" s="2" t="s">
        <v>34</v>
      </c>
      <c r="T175" s="123">
        <v>4.8040000000000003</v>
      </c>
      <c r="U175" s="2" t="s">
        <v>2204</v>
      </c>
      <c r="V175" s="136">
        <v>2.5499999999999998E-2</v>
      </c>
      <c r="W175" s="138">
        <v>4.9270000000000001E-2</v>
      </c>
      <c r="X175" s="3" t="s">
        <v>445</v>
      </c>
      <c r="Y175" s="3" t="s">
        <v>160</v>
      </c>
      <c r="Z175" s="123">
        <v>201923.08</v>
      </c>
      <c r="AA175" s="132">
        <v>1</v>
      </c>
      <c r="AB175" s="149">
        <v>89.51</v>
      </c>
      <c r="AC175" s="2"/>
      <c r="AD175" s="123">
        <v>180.74100000000001</v>
      </c>
      <c r="AE175" s="2"/>
      <c r="AF175" s="2"/>
      <c r="AG175" s="2" t="s">
        <v>36</v>
      </c>
      <c r="AH175" s="138">
        <v>7.2000000000000002E-5</v>
      </c>
      <c r="AI175" s="138">
        <v>1.22866568724834E-2</v>
      </c>
      <c r="AJ175" s="138">
        <v>1.9035056309408601E-3</v>
      </c>
    </row>
    <row r="176" spans="1:36">
      <c r="A176" s="2">
        <v>161</v>
      </c>
      <c r="B176" s="2">
        <v>9942</v>
      </c>
      <c r="C176" s="2" t="s">
        <v>2233</v>
      </c>
      <c r="D176" s="2" t="s">
        <v>2234</v>
      </c>
      <c r="E176" s="3" t="s">
        <v>1351</v>
      </c>
      <c r="F176" s="2" t="s">
        <v>2240</v>
      </c>
      <c r="G176" s="2" t="s">
        <v>2241</v>
      </c>
      <c r="H176" s="2" t="s">
        <v>209</v>
      </c>
      <c r="I176" s="2" t="s">
        <v>788</v>
      </c>
      <c r="J176" s="2" t="s">
        <v>30</v>
      </c>
      <c r="K176" s="2" t="s">
        <v>30</v>
      </c>
      <c r="L176" s="2" t="s">
        <v>361</v>
      </c>
      <c r="M176" s="2" t="s">
        <v>58</v>
      </c>
      <c r="N176" s="2" t="s">
        <v>495</v>
      </c>
      <c r="O176" s="2" t="s">
        <v>160</v>
      </c>
      <c r="P176" s="2" t="s">
        <v>1956</v>
      </c>
      <c r="Q176" s="2" t="s">
        <v>446</v>
      </c>
      <c r="R176" s="2" t="s">
        <v>440</v>
      </c>
      <c r="S176" s="2" t="s">
        <v>34</v>
      </c>
      <c r="T176" s="123">
        <v>3.0670000000000002</v>
      </c>
      <c r="U176" s="2" t="s">
        <v>80</v>
      </c>
      <c r="V176" s="136">
        <v>3.3399999999999999E-2</v>
      </c>
      <c r="W176" s="138">
        <v>2.9409999999999999E-2</v>
      </c>
      <c r="X176" s="3" t="s">
        <v>445</v>
      </c>
      <c r="Y176" s="3" t="s">
        <v>160</v>
      </c>
      <c r="Z176" s="123">
        <v>280000</v>
      </c>
      <c r="AA176" s="132">
        <v>1</v>
      </c>
      <c r="AB176" s="149">
        <v>105.28</v>
      </c>
      <c r="AC176" s="2"/>
      <c r="AD176" s="123">
        <v>294.78399999999999</v>
      </c>
      <c r="AE176" s="2"/>
      <c r="AF176" s="2"/>
      <c r="AG176" s="2" t="s">
        <v>36</v>
      </c>
      <c r="AH176" s="138">
        <v>2.5999999999999998E-4</v>
      </c>
      <c r="AI176" s="138">
        <v>2.0039187941115501E-2</v>
      </c>
      <c r="AJ176" s="138">
        <v>3.1045635506288601E-3</v>
      </c>
    </row>
    <row r="177" spans="1:36">
      <c r="A177" s="2">
        <v>161</v>
      </c>
      <c r="B177" s="2">
        <v>9942</v>
      </c>
      <c r="C177" s="2" t="s">
        <v>2009</v>
      </c>
      <c r="D177" s="2" t="s">
        <v>2010</v>
      </c>
      <c r="E177" s="3" t="s">
        <v>1351</v>
      </c>
      <c r="F177" s="2" t="s">
        <v>2011</v>
      </c>
      <c r="G177" s="2" t="s">
        <v>2012</v>
      </c>
      <c r="H177" s="2" t="s">
        <v>209</v>
      </c>
      <c r="I177" s="2" t="s">
        <v>788</v>
      </c>
      <c r="J177" s="2" t="s">
        <v>30</v>
      </c>
      <c r="K177" s="2" t="s">
        <v>334</v>
      </c>
      <c r="L177" s="2" t="s">
        <v>361</v>
      </c>
      <c r="M177" s="2" t="s">
        <v>31</v>
      </c>
      <c r="N177" s="2" t="s">
        <v>496</v>
      </c>
      <c r="O177" s="2" t="s">
        <v>160</v>
      </c>
      <c r="P177" s="2" t="s">
        <v>2013</v>
      </c>
      <c r="Q177" s="2" t="s">
        <v>446</v>
      </c>
      <c r="R177" s="2" t="s">
        <v>440</v>
      </c>
      <c r="S177" s="2" t="s">
        <v>34</v>
      </c>
      <c r="T177" s="123">
        <v>2.4929999999999999</v>
      </c>
      <c r="U177" s="2" t="s">
        <v>2014</v>
      </c>
      <c r="V177" s="136">
        <v>3.2800000000000003E-2</v>
      </c>
      <c r="W177" s="138">
        <v>4.3709999999999999E-2</v>
      </c>
      <c r="X177" s="3" t="s">
        <v>445</v>
      </c>
      <c r="Y177" s="3" t="s">
        <v>160</v>
      </c>
      <c r="Z177" s="123">
        <v>125000</v>
      </c>
      <c r="AA177" s="132">
        <v>1</v>
      </c>
      <c r="AB177" s="149">
        <v>115.58</v>
      </c>
      <c r="AC177" s="2"/>
      <c r="AD177" s="123">
        <v>144.47499999999999</v>
      </c>
      <c r="AE177" s="2"/>
      <c r="AF177" s="2"/>
      <c r="AG177" s="2" t="s">
        <v>36</v>
      </c>
      <c r="AH177" s="138">
        <v>1.17E-4</v>
      </c>
      <c r="AI177" s="138">
        <v>9.8212985704538101E-3</v>
      </c>
      <c r="AJ177" s="138">
        <v>1.52156093606541E-3</v>
      </c>
    </row>
    <row r="178" spans="1:36">
      <c r="A178" s="2">
        <v>161</v>
      </c>
      <c r="B178" s="2">
        <v>9942</v>
      </c>
      <c r="C178" s="2" t="s">
        <v>1826</v>
      </c>
      <c r="D178" s="2" t="s">
        <v>1827</v>
      </c>
      <c r="E178" s="3" t="s">
        <v>1351</v>
      </c>
      <c r="F178" s="2" t="s">
        <v>2242</v>
      </c>
      <c r="G178" s="2" t="s">
        <v>2243</v>
      </c>
      <c r="H178" s="2" t="s">
        <v>209</v>
      </c>
      <c r="I178" s="2" t="s">
        <v>788</v>
      </c>
      <c r="J178" s="2" t="s">
        <v>30</v>
      </c>
      <c r="K178" s="2" t="s">
        <v>30</v>
      </c>
      <c r="L178" s="2" t="s">
        <v>361</v>
      </c>
      <c r="M178" s="2" t="s">
        <v>31</v>
      </c>
      <c r="N178" s="2" t="s">
        <v>482</v>
      </c>
      <c r="O178" s="2" t="s">
        <v>160</v>
      </c>
      <c r="P178" s="2" t="s">
        <v>1965</v>
      </c>
      <c r="Q178" s="2" t="s">
        <v>446</v>
      </c>
      <c r="R178" s="2" t="s">
        <v>440</v>
      </c>
      <c r="S178" s="2" t="s">
        <v>34</v>
      </c>
      <c r="T178" s="123">
        <v>3.4060000000000001</v>
      </c>
      <c r="U178" s="2" t="s">
        <v>2244</v>
      </c>
      <c r="V178" s="136">
        <v>7.4999999999999997E-3</v>
      </c>
      <c r="W178" s="138">
        <v>3.0300000000000001E-2</v>
      </c>
      <c r="X178" s="3" t="s">
        <v>445</v>
      </c>
      <c r="Y178" s="3" t="s">
        <v>160</v>
      </c>
      <c r="Z178" s="123">
        <v>0</v>
      </c>
      <c r="AA178" s="132">
        <v>1</v>
      </c>
      <c r="AB178" s="149">
        <v>0</v>
      </c>
      <c r="AC178" s="123">
        <v>0.56000000000000005</v>
      </c>
      <c r="AD178" s="123">
        <v>0.56000000000000005</v>
      </c>
      <c r="AE178" s="2"/>
      <c r="AF178" s="2"/>
      <c r="AG178" s="2" t="s">
        <v>36</v>
      </c>
      <c r="AH178" s="138">
        <v>0</v>
      </c>
      <c r="AI178" s="138">
        <v>3.8059528850250697E-5</v>
      </c>
      <c r="AJ178" s="138">
        <v>5.8963579946353398E-6</v>
      </c>
    </row>
    <row r="179" spans="1:36">
      <c r="A179" s="2">
        <v>161</v>
      </c>
      <c r="B179" s="2">
        <v>9942</v>
      </c>
      <c r="C179" s="2" t="s">
        <v>2015</v>
      </c>
      <c r="D179" s="2" t="s">
        <v>2016</v>
      </c>
      <c r="E179" s="3" t="s">
        <v>1351</v>
      </c>
      <c r="F179" s="2" t="s">
        <v>2017</v>
      </c>
      <c r="G179" s="2" t="s">
        <v>2018</v>
      </c>
      <c r="H179" s="2" t="s">
        <v>209</v>
      </c>
      <c r="I179" s="2" t="s">
        <v>788</v>
      </c>
      <c r="J179" s="2" t="s">
        <v>30</v>
      </c>
      <c r="K179" s="2" t="s">
        <v>30</v>
      </c>
      <c r="L179" s="2" t="s">
        <v>361</v>
      </c>
      <c r="M179" s="2" t="s">
        <v>31</v>
      </c>
      <c r="N179" s="2" t="s">
        <v>479</v>
      </c>
      <c r="O179" s="2" t="s">
        <v>160</v>
      </c>
      <c r="P179" s="2" t="s">
        <v>1199</v>
      </c>
      <c r="Q179" s="2" t="s">
        <v>446</v>
      </c>
      <c r="R179" s="2" t="s">
        <v>440</v>
      </c>
      <c r="S179" s="2" t="s">
        <v>34</v>
      </c>
      <c r="T179" s="123">
        <v>3.4950000000000001</v>
      </c>
      <c r="U179" s="2" t="s">
        <v>2019</v>
      </c>
      <c r="V179" s="136">
        <v>2E-3</v>
      </c>
      <c r="W179" s="138">
        <v>2.6020000000000001E-2</v>
      </c>
      <c r="X179" s="3" t="s">
        <v>445</v>
      </c>
      <c r="Y179" s="3" t="s">
        <v>160</v>
      </c>
      <c r="Z179" s="123">
        <v>658119.51</v>
      </c>
      <c r="AA179" s="132">
        <v>1</v>
      </c>
      <c r="AB179" s="149">
        <v>105.05</v>
      </c>
      <c r="AC179" s="2"/>
      <c r="AD179" s="123">
        <v>691.35500000000002</v>
      </c>
      <c r="AE179" s="2"/>
      <c r="AF179" s="2"/>
      <c r="AG179" s="2" t="s">
        <v>36</v>
      </c>
      <c r="AH179" s="138">
        <v>1.93E-4</v>
      </c>
      <c r="AI179" s="138">
        <v>4.6997746371273103E-2</v>
      </c>
      <c r="AJ179" s="138">
        <v>7.2811079358454604E-3</v>
      </c>
    </row>
    <row r="180" spans="1:36">
      <c r="A180" s="2">
        <v>161</v>
      </c>
      <c r="B180" s="2">
        <v>9942</v>
      </c>
      <c r="C180" s="2" t="s">
        <v>2015</v>
      </c>
      <c r="D180" s="2" t="s">
        <v>2016</v>
      </c>
      <c r="E180" s="3" t="s">
        <v>1351</v>
      </c>
      <c r="F180" s="2" t="s">
        <v>2270</v>
      </c>
      <c r="G180" s="2" t="s">
        <v>2271</v>
      </c>
      <c r="H180" s="2" t="s">
        <v>209</v>
      </c>
      <c r="I180" s="2" t="s">
        <v>788</v>
      </c>
      <c r="J180" s="2" t="s">
        <v>30</v>
      </c>
      <c r="K180" s="2" t="s">
        <v>30</v>
      </c>
      <c r="L180" s="2" t="s">
        <v>361</v>
      </c>
      <c r="M180" s="2" t="s">
        <v>31</v>
      </c>
      <c r="N180" s="2" t="s">
        <v>479</v>
      </c>
      <c r="O180" s="2" t="s">
        <v>160</v>
      </c>
      <c r="P180" s="2" t="s">
        <v>1199</v>
      </c>
      <c r="Q180" s="2" t="s">
        <v>446</v>
      </c>
      <c r="R180" s="2" t="s">
        <v>440</v>
      </c>
      <c r="S180" s="2" t="s">
        <v>34</v>
      </c>
      <c r="T180" s="123">
        <v>4.8920000000000003</v>
      </c>
      <c r="U180" s="2" t="s">
        <v>2247</v>
      </c>
      <c r="V180" s="136">
        <v>2.47E-2</v>
      </c>
      <c r="W180" s="138">
        <v>2.63E-2</v>
      </c>
      <c r="X180" s="3" t="s">
        <v>445</v>
      </c>
      <c r="Y180" s="3" t="s">
        <v>160</v>
      </c>
      <c r="Z180" s="123">
        <v>200200</v>
      </c>
      <c r="AA180" s="132">
        <v>1</v>
      </c>
      <c r="AB180" s="149">
        <v>103.16</v>
      </c>
      <c r="AC180" s="2"/>
      <c r="AD180" s="123">
        <v>206.52600000000001</v>
      </c>
      <c r="AE180" s="2"/>
      <c r="AF180" s="2"/>
      <c r="AG180" s="2" t="s">
        <v>36</v>
      </c>
      <c r="AH180" s="138">
        <v>7.7000000000000001E-5</v>
      </c>
      <c r="AI180" s="138">
        <v>1.40394992308502E-2</v>
      </c>
      <c r="AJ180" s="138">
        <v>2.1750640649340299E-3</v>
      </c>
    </row>
    <row r="181" spans="1:36">
      <c r="A181" s="2">
        <v>161</v>
      </c>
      <c r="B181" s="2">
        <v>9942</v>
      </c>
      <c r="C181" s="2" t="s">
        <v>2015</v>
      </c>
      <c r="D181" s="2" t="s">
        <v>2016</v>
      </c>
      <c r="E181" s="3" t="s">
        <v>1351</v>
      </c>
      <c r="F181" s="2" t="s">
        <v>2020</v>
      </c>
      <c r="G181" s="2" t="s">
        <v>2021</v>
      </c>
      <c r="H181" s="2" t="s">
        <v>209</v>
      </c>
      <c r="I181" s="2" t="s">
        <v>998</v>
      </c>
      <c r="J181" s="2" t="s">
        <v>30</v>
      </c>
      <c r="K181" s="2" t="s">
        <v>30</v>
      </c>
      <c r="L181" s="2" t="s">
        <v>361</v>
      </c>
      <c r="M181" s="2" t="s">
        <v>31</v>
      </c>
      <c r="N181" s="2" t="s">
        <v>479</v>
      </c>
      <c r="O181" s="2" t="s">
        <v>160</v>
      </c>
      <c r="P181" s="2" t="s">
        <v>1199</v>
      </c>
      <c r="Q181" s="2" t="s">
        <v>446</v>
      </c>
      <c r="R181" s="2" t="s">
        <v>440</v>
      </c>
      <c r="S181" s="2" t="s">
        <v>34</v>
      </c>
      <c r="T181" s="123">
        <v>2.7370000000000001</v>
      </c>
      <c r="U181" s="2" t="s">
        <v>2022</v>
      </c>
      <c r="V181" s="136">
        <v>2.6800000000000001E-2</v>
      </c>
      <c r="W181" s="138">
        <v>4.3189999999999999E-2</v>
      </c>
      <c r="X181" s="3" t="s">
        <v>445</v>
      </c>
      <c r="Y181" s="3" t="s">
        <v>160</v>
      </c>
      <c r="Z181" s="123">
        <v>205737.79</v>
      </c>
      <c r="AA181" s="132">
        <v>1</v>
      </c>
      <c r="AB181" s="149">
        <v>97.18</v>
      </c>
      <c r="AC181" s="2"/>
      <c r="AD181" s="123">
        <v>199.93600000000001</v>
      </c>
      <c r="AE181" s="2"/>
      <c r="AF181" s="2"/>
      <c r="AG181" s="2" t="s">
        <v>36</v>
      </c>
      <c r="AH181" s="138">
        <v>1.05E-4</v>
      </c>
      <c r="AI181" s="138">
        <v>1.35914933172101E-2</v>
      </c>
      <c r="AJ181" s="138">
        <v>2.1056569195926E-3</v>
      </c>
    </row>
    <row r="182" spans="1:36">
      <c r="A182" s="2">
        <v>161</v>
      </c>
      <c r="B182" s="2">
        <v>9942</v>
      </c>
      <c r="C182" s="2" t="s">
        <v>2015</v>
      </c>
      <c r="D182" s="2" t="s">
        <v>2016</v>
      </c>
      <c r="E182" s="3" t="s">
        <v>1351</v>
      </c>
      <c r="F182" s="2" t="s">
        <v>2023</v>
      </c>
      <c r="G182" s="2" t="s">
        <v>2024</v>
      </c>
      <c r="H182" s="2" t="s">
        <v>209</v>
      </c>
      <c r="I182" s="2" t="s">
        <v>788</v>
      </c>
      <c r="J182" s="2" t="s">
        <v>30</v>
      </c>
      <c r="K182" s="2" t="s">
        <v>30</v>
      </c>
      <c r="L182" s="2" t="s">
        <v>361</v>
      </c>
      <c r="M182" s="2" t="s">
        <v>58</v>
      </c>
      <c r="N182" s="2" t="s">
        <v>479</v>
      </c>
      <c r="O182" s="2" t="s">
        <v>160</v>
      </c>
      <c r="P182" s="2" t="s">
        <v>1969</v>
      </c>
      <c r="Q182" s="2" t="s">
        <v>446</v>
      </c>
      <c r="R182" s="2" t="s">
        <v>440</v>
      </c>
      <c r="S182" s="2" t="s">
        <v>34</v>
      </c>
      <c r="T182" s="123">
        <v>4.93</v>
      </c>
      <c r="U182" s="2" t="s">
        <v>2025</v>
      </c>
      <c r="V182" s="136">
        <v>3.3203000000000003E-2</v>
      </c>
      <c r="W182" s="138">
        <v>3.0030000000000001E-2</v>
      </c>
      <c r="X182" s="3" t="s">
        <v>445</v>
      </c>
      <c r="Y182" s="3" t="s">
        <v>160</v>
      </c>
      <c r="Z182" s="123">
        <v>270000</v>
      </c>
      <c r="AA182" s="132">
        <v>1</v>
      </c>
      <c r="AB182" s="149">
        <v>106.72</v>
      </c>
      <c r="AC182" s="2"/>
      <c r="AD182" s="123">
        <v>288.14400000000001</v>
      </c>
      <c r="AE182" s="2"/>
      <c r="AF182" s="2"/>
      <c r="AG182" s="2" t="s">
        <v>36</v>
      </c>
      <c r="AH182" s="138">
        <v>2.1499999999999999E-4</v>
      </c>
      <c r="AI182" s="138">
        <v>1.95878058853424E-2</v>
      </c>
      <c r="AJ182" s="138">
        <v>3.0346333577548402E-3</v>
      </c>
    </row>
    <row r="183" spans="1:36">
      <c r="A183" s="2">
        <v>161</v>
      </c>
      <c r="B183" s="2">
        <v>9942</v>
      </c>
      <c r="C183" s="2" t="s">
        <v>2026</v>
      </c>
      <c r="D183" s="2" t="s">
        <v>2027</v>
      </c>
      <c r="E183" s="3" t="s">
        <v>1351</v>
      </c>
      <c r="F183" s="2" t="s">
        <v>2028</v>
      </c>
      <c r="G183" s="2" t="s">
        <v>2029</v>
      </c>
      <c r="H183" s="2" t="s">
        <v>209</v>
      </c>
      <c r="I183" s="2" t="s">
        <v>788</v>
      </c>
      <c r="J183" s="2" t="s">
        <v>30</v>
      </c>
      <c r="K183" s="2" t="s">
        <v>30</v>
      </c>
      <c r="L183" s="2" t="s">
        <v>361</v>
      </c>
      <c r="M183" s="2" t="s">
        <v>31</v>
      </c>
      <c r="N183" s="2" t="s">
        <v>495</v>
      </c>
      <c r="O183" s="2" t="s">
        <v>160</v>
      </c>
      <c r="P183" s="2" t="s">
        <v>2030</v>
      </c>
      <c r="Q183" s="2" t="s">
        <v>446</v>
      </c>
      <c r="R183" s="2" t="s">
        <v>440</v>
      </c>
      <c r="S183" s="2" t="s">
        <v>34</v>
      </c>
      <c r="T183" s="123">
        <v>2.8719999999999999</v>
      </c>
      <c r="U183" s="2" t="s">
        <v>2031</v>
      </c>
      <c r="V183" s="136">
        <v>2.7E-2</v>
      </c>
      <c r="W183" s="138">
        <v>2.9139999999999999E-2</v>
      </c>
      <c r="X183" s="3" t="s">
        <v>445</v>
      </c>
      <c r="Y183" s="3" t="s">
        <v>160</v>
      </c>
      <c r="Z183" s="123">
        <v>51300</v>
      </c>
      <c r="AA183" s="132">
        <v>1</v>
      </c>
      <c r="AB183" s="149">
        <v>108.07</v>
      </c>
      <c r="AC183" s="2"/>
      <c r="AD183" s="123">
        <v>55.44</v>
      </c>
      <c r="AE183" s="2"/>
      <c r="AF183" s="2"/>
      <c r="AG183" s="2" t="s">
        <v>36</v>
      </c>
      <c r="AH183" s="138">
        <v>1.2999999999999999E-4</v>
      </c>
      <c r="AI183" s="138">
        <v>3.7687621306737402E-3</v>
      </c>
      <c r="AJ183" s="138">
        <v>5.8387403602687003E-4</v>
      </c>
    </row>
    <row r="184" spans="1:36">
      <c r="A184" s="2">
        <v>161</v>
      </c>
      <c r="B184" s="2">
        <v>9942</v>
      </c>
      <c r="C184" s="2" t="s">
        <v>2026</v>
      </c>
      <c r="D184" s="2" t="s">
        <v>2027</v>
      </c>
      <c r="E184" s="3" t="s">
        <v>1351</v>
      </c>
      <c r="F184" s="2" t="s">
        <v>2032</v>
      </c>
      <c r="G184" s="2" t="s">
        <v>2033</v>
      </c>
      <c r="H184" s="2" t="s">
        <v>209</v>
      </c>
      <c r="I184" s="2" t="s">
        <v>788</v>
      </c>
      <c r="J184" s="2" t="s">
        <v>30</v>
      </c>
      <c r="K184" s="2" t="s">
        <v>30</v>
      </c>
      <c r="L184" s="2" t="s">
        <v>361</v>
      </c>
      <c r="M184" s="2" t="s">
        <v>31</v>
      </c>
      <c r="N184" s="2" t="s">
        <v>495</v>
      </c>
      <c r="O184" s="2" t="s">
        <v>160</v>
      </c>
      <c r="P184" s="2" t="s">
        <v>2030</v>
      </c>
      <c r="Q184" s="2" t="s">
        <v>446</v>
      </c>
      <c r="R184" s="2" t="s">
        <v>440</v>
      </c>
      <c r="S184" s="2" t="s">
        <v>34</v>
      </c>
      <c r="T184" s="123">
        <v>2.2509999999999999</v>
      </c>
      <c r="U184" s="2" t="s">
        <v>2034</v>
      </c>
      <c r="V184" s="136">
        <v>1.7999999999999999E-2</v>
      </c>
      <c r="W184" s="138">
        <v>2.801E-2</v>
      </c>
      <c r="X184" s="3" t="s">
        <v>445</v>
      </c>
      <c r="Y184" s="3" t="s">
        <v>160</v>
      </c>
      <c r="Z184" s="123">
        <v>245833.33</v>
      </c>
      <c r="AA184" s="132">
        <v>1</v>
      </c>
      <c r="AB184" s="149">
        <v>115.55</v>
      </c>
      <c r="AC184" s="2"/>
      <c r="AD184" s="123">
        <v>284.06</v>
      </c>
      <c r="AE184" s="2"/>
      <c r="AF184" s="2"/>
      <c r="AG184" s="2" t="s">
        <v>36</v>
      </c>
      <c r="AH184" s="138">
        <v>3.3199999999999999E-4</v>
      </c>
      <c r="AI184" s="138">
        <v>1.9310206792195701E-2</v>
      </c>
      <c r="AJ184" s="138">
        <v>2.9916264241004898E-3</v>
      </c>
    </row>
    <row r="185" spans="1:36">
      <c r="A185" s="2">
        <v>161</v>
      </c>
      <c r="B185" s="2">
        <v>9942</v>
      </c>
      <c r="C185" s="2" t="s">
        <v>1655</v>
      </c>
      <c r="D185" s="2" t="s">
        <v>1656</v>
      </c>
      <c r="E185" s="3" t="s">
        <v>1351</v>
      </c>
      <c r="F185" s="2" t="s">
        <v>2035</v>
      </c>
      <c r="G185" s="2" t="s">
        <v>2036</v>
      </c>
      <c r="H185" s="2" t="s">
        <v>209</v>
      </c>
      <c r="I185" s="2" t="s">
        <v>788</v>
      </c>
      <c r="J185" s="2" t="s">
        <v>30</v>
      </c>
      <c r="K185" s="2" t="s">
        <v>30</v>
      </c>
      <c r="L185" s="2" t="s">
        <v>361</v>
      </c>
      <c r="M185" s="2" t="s">
        <v>31</v>
      </c>
      <c r="N185" s="2" t="s">
        <v>476</v>
      </c>
      <c r="O185" s="2" t="s">
        <v>160</v>
      </c>
      <c r="P185" s="2" t="s">
        <v>1956</v>
      </c>
      <c r="Q185" s="2" t="s">
        <v>446</v>
      </c>
      <c r="R185" s="2" t="s">
        <v>440</v>
      </c>
      <c r="S185" s="2" t="s">
        <v>34</v>
      </c>
      <c r="T185" s="123">
        <v>3.8069999999999999</v>
      </c>
      <c r="U185" s="2" t="s">
        <v>2037</v>
      </c>
      <c r="V185" s="136">
        <v>4.4000000000000003E-3</v>
      </c>
      <c r="W185" s="138">
        <v>2.647E-2</v>
      </c>
      <c r="X185" s="3" t="s">
        <v>445</v>
      </c>
      <c r="Y185" s="3" t="s">
        <v>160</v>
      </c>
      <c r="Z185" s="123">
        <v>170000</v>
      </c>
      <c r="AA185" s="132">
        <v>1</v>
      </c>
      <c r="AB185" s="149">
        <v>107.59</v>
      </c>
      <c r="AC185" s="2"/>
      <c r="AD185" s="123">
        <v>182.90299999999999</v>
      </c>
      <c r="AE185" s="2"/>
      <c r="AF185" s="2"/>
      <c r="AG185" s="2" t="s">
        <v>36</v>
      </c>
      <c r="AH185" s="138">
        <v>1.65E-4</v>
      </c>
      <c r="AI185" s="138">
        <v>1.24336042390151E-2</v>
      </c>
      <c r="AJ185" s="138">
        <v>1.9262713956682601E-3</v>
      </c>
    </row>
    <row r="186" spans="1:36">
      <c r="A186" s="2">
        <v>161</v>
      </c>
      <c r="B186" s="2">
        <v>9942</v>
      </c>
      <c r="C186" s="2" t="s">
        <v>1834</v>
      </c>
      <c r="D186" s="2" t="s">
        <v>1835</v>
      </c>
      <c r="E186" s="3" t="s">
        <v>1351</v>
      </c>
      <c r="F186" s="2" t="s">
        <v>2038</v>
      </c>
      <c r="G186" s="2" t="s">
        <v>2039</v>
      </c>
      <c r="H186" s="2" t="s">
        <v>209</v>
      </c>
      <c r="I186" s="2" t="s">
        <v>998</v>
      </c>
      <c r="J186" s="2" t="s">
        <v>30</v>
      </c>
      <c r="K186" s="2" t="s">
        <v>30</v>
      </c>
      <c r="L186" s="2" t="s">
        <v>361</v>
      </c>
      <c r="M186" s="2" t="s">
        <v>31</v>
      </c>
      <c r="N186" s="2" t="s">
        <v>476</v>
      </c>
      <c r="O186" s="2" t="s">
        <v>160</v>
      </c>
      <c r="P186" s="2" t="s">
        <v>1355</v>
      </c>
      <c r="Q186" s="2" t="s">
        <v>448</v>
      </c>
      <c r="R186" s="2" t="s">
        <v>440</v>
      </c>
      <c r="S186" s="2" t="s">
        <v>34</v>
      </c>
      <c r="T186" s="123">
        <v>4.9370000000000003</v>
      </c>
      <c r="U186" s="2" t="s">
        <v>2040</v>
      </c>
      <c r="V186" s="136">
        <v>1.95E-2</v>
      </c>
      <c r="W186" s="138">
        <v>4.5429999999999998E-2</v>
      </c>
      <c r="X186" s="3" t="s">
        <v>445</v>
      </c>
      <c r="Y186" s="3" t="s">
        <v>160</v>
      </c>
      <c r="Z186" s="123">
        <v>283056.59999999998</v>
      </c>
      <c r="AA186" s="132">
        <v>1</v>
      </c>
      <c r="AB186" s="149">
        <v>88.13</v>
      </c>
      <c r="AC186" s="2"/>
      <c r="AD186" s="123">
        <v>249.458</v>
      </c>
      <c r="AE186" s="2"/>
      <c r="AF186" s="2"/>
      <c r="AG186" s="2" t="s">
        <v>36</v>
      </c>
      <c r="AH186" s="138">
        <v>2.9599999999999998E-4</v>
      </c>
      <c r="AI186" s="138">
        <v>1.6957946728639799E-2</v>
      </c>
      <c r="AJ186" s="138">
        <v>2.6272034306950298E-3</v>
      </c>
    </row>
    <row r="187" spans="1:36">
      <c r="A187" s="2">
        <v>161</v>
      </c>
      <c r="B187" s="2">
        <v>9942</v>
      </c>
      <c r="C187" s="2" t="s">
        <v>2041</v>
      </c>
      <c r="D187" s="2" t="s">
        <v>2042</v>
      </c>
      <c r="E187" s="3" t="s">
        <v>1351</v>
      </c>
      <c r="F187" s="2" t="s">
        <v>2043</v>
      </c>
      <c r="G187" s="2" t="s">
        <v>2044</v>
      </c>
      <c r="H187" s="2" t="s">
        <v>209</v>
      </c>
      <c r="I187" s="2" t="s">
        <v>998</v>
      </c>
      <c r="J187" s="2" t="s">
        <v>30</v>
      </c>
      <c r="K187" s="2" t="s">
        <v>30</v>
      </c>
      <c r="L187" s="2" t="s">
        <v>361</v>
      </c>
      <c r="M187" s="2" t="s">
        <v>31</v>
      </c>
      <c r="N187" s="2" t="s">
        <v>482</v>
      </c>
      <c r="O187" s="2" t="s">
        <v>160</v>
      </c>
      <c r="P187" s="2" t="s">
        <v>1965</v>
      </c>
      <c r="Q187" s="2" t="s">
        <v>446</v>
      </c>
      <c r="R187" s="2" t="s">
        <v>440</v>
      </c>
      <c r="S187" s="2" t="s">
        <v>34</v>
      </c>
      <c r="T187" s="123">
        <v>2.06</v>
      </c>
      <c r="U187" s="2" t="s">
        <v>2014</v>
      </c>
      <c r="V187" s="136">
        <v>2.1999999999999999E-2</v>
      </c>
      <c r="W187" s="138">
        <v>4.895E-2</v>
      </c>
      <c r="X187" s="3" t="s">
        <v>445</v>
      </c>
      <c r="Y187" s="3" t="s">
        <v>160</v>
      </c>
      <c r="Z187" s="123">
        <v>152000</v>
      </c>
      <c r="AA187" s="132">
        <v>1</v>
      </c>
      <c r="AB187" s="149">
        <v>94.79</v>
      </c>
      <c r="AC187" s="2"/>
      <c r="AD187" s="123">
        <v>144.08099999999999</v>
      </c>
      <c r="AE187" s="2"/>
      <c r="AF187" s="2"/>
      <c r="AG187" s="2" t="s">
        <v>36</v>
      </c>
      <c r="AH187" s="138">
        <v>1.75E-4</v>
      </c>
      <c r="AI187" s="138">
        <v>9.7945011598535494E-3</v>
      </c>
      <c r="AJ187" s="138">
        <v>1.51740935744629E-3</v>
      </c>
    </row>
    <row r="188" spans="1:36">
      <c r="A188" s="2">
        <v>161</v>
      </c>
      <c r="B188" s="2">
        <v>9942</v>
      </c>
      <c r="C188" s="2" t="s">
        <v>1948</v>
      </c>
      <c r="D188" s="2" t="s">
        <v>1949</v>
      </c>
      <c r="E188" s="3" t="s">
        <v>1351</v>
      </c>
      <c r="F188" s="2" t="s">
        <v>2045</v>
      </c>
      <c r="G188" s="2" t="s">
        <v>2046</v>
      </c>
      <c r="H188" s="2" t="s">
        <v>209</v>
      </c>
      <c r="I188" s="2" t="s">
        <v>998</v>
      </c>
      <c r="J188" s="2" t="s">
        <v>30</v>
      </c>
      <c r="K188" s="2" t="s">
        <v>30</v>
      </c>
      <c r="L188" s="2" t="s">
        <v>361</v>
      </c>
      <c r="M188" s="2" t="s">
        <v>58</v>
      </c>
      <c r="N188" s="2" t="s">
        <v>478</v>
      </c>
      <c r="O188" s="2" t="s">
        <v>160</v>
      </c>
      <c r="P188" s="2" t="s">
        <v>211</v>
      </c>
      <c r="Q188" s="2" t="s">
        <v>211</v>
      </c>
      <c r="R188" s="2" t="s">
        <v>211</v>
      </c>
      <c r="S188" s="2" t="s">
        <v>34</v>
      </c>
      <c r="T188" s="123">
        <v>1.9419999999999999</v>
      </c>
      <c r="U188" s="2" t="s">
        <v>2047</v>
      </c>
      <c r="V188" s="136">
        <v>6.5000000000000002E-2</v>
      </c>
      <c r="W188" s="138">
        <v>6.1740000000000003E-2</v>
      </c>
      <c r="X188" s="3" t="s">
        <v>445</v>
      </c>
      <c r="Y188" s="3" t="s">
        <v>160</v>
      </c>
      <c r="Z188" s="123">
        <v>80000</v>
      </c>
      <c r="AA188" s="132">
        <v>1</v>
      </c>
      <c r="AB188" s="149">
        <v>100.78</v>
      </c>
      <c r="AC188" s="123">
        <v>2.6</v>
      </c>
      <c r="AD188" s="123">
        <v>83.224000000000004</v>
      </c>
      <c r="AE188" s="2"/>
      <c r="AF188" s="2"/>
      <c r="AG188" s="2" t="s">
        <v>36</v>
      </c>
      <c r="AH188" s="138">
        <v>2.72E-4</v>
      </c>
      <c r="AI188" s="138">
        <v>5.6575030436231003E-3</v>
      </c>
      <c r="AJ188" s="138">
        <v>8.7648650176921602E-4</v>
      </c>
    </row>
    <row r="189" spans="1:36">
      <c r="A189" s="2">
        <v>161</v>
      </c>
      <c r="B189" s="2">
        <v>9942</v>
      </c>
      <c r="C189" s="2" t="s">
        <v>2048</v>
      </c>
      <c r="D189" s="2" t="s">
        <v>2049</v>
      </c>
      <c r="E189" s="3" t="s">
        <v>1351</v>
      </c>
      <c r="F189" s="2" t="s">
        <v>2050</v>
      </c>
      <c r="G189" s="2" t="s">
        <v>2051</v>
      </c>
      <c r="H189" s="2" t="s">
        <v>209</v>
      </c>
      <c r="I189" s="2" t="s">
        <v>788</v>
      </c>
      <c r="J189" s="2" t="s">
        <v>30</v>
      </c>
      <c r="K189" s="2" t="s">
        <v>30</v>
      </c>
      <c r="L189" s="2" t="s">
        <v>361</v>
      </c>
      <c r="M189" s="2" t="s">
        <v>31</v>
      </c>
      <c r="N189" s="2" t="s">
        <v>471</v>
      </c>
      <c r="O189" s="2" t="s">
        <v>160</v>
      </c>
      <c r="P189" s="2" t="s">
        <v>1199</v>
      </c>
      <c r="Q189" s="2" t="s">
        <v>446</v>
      </c>
      <c r="R189" s="2" t="s">
        <v>440</v>
      </c>
      <c r="S189" s="2" t="s">
        <v>34</v>
      </c>
      <c r="T189" s="123">
        <v>0.65200000000000002</v>
      </c>
      <c r="U189" s="2" t="s">
        <v>2052</v>
      </c>
      <c r="V189" s="136">
        <v>4.4999999999999998E-2</v>
      </c>
      <c r="W189" s="138">
        <v>2.9680000000000002E-2</v>
      </c>
      <c r="X189" s="3" t="s">
        <v>445</v>
      </c>
      <c r="Y189" s="3" t="s">
        <v>160</v>
      </c>
      <c r="Z189" s="123">
        <v>117000</v>
      </c>
      <c r="AA189" s="132">
        <v>1</v>
      </c>
      <c r="AB189" s="149">
        <v>121.68</v>
      </c>
      <c r="AC189" s="2"/>
      <c r="AD189" s="123">
        <v>142.36600000000001</v>
      </c>
      <c r="AE189" s="2"/>
      <c r="AF189" s="2"/>
      <c r="AG189" s="2" t="s">
        <v>36</v>
      </c>
      <c r="AH189" s="138">
        <v>7.8999999999999996E-5</v>
      </c>
      <c r="AI189" s="138">
        <v>9.6779031926755403E-3</v>
      </c>
      <c r="AJ189" s="138">
        <v>1.49934546184124E-3</v>
      </c>
    </row>
    <row r="190" spans="1:36">
      <c r="A190" s="2">
        <v>161</v>
      </c>
      <c r="B190" s="2">
        <v>9942</v>
      </c>
      <c r="C190" s="2" t="s">
        <v>2048</v>
      </c>
      <c r="D190" s="2" t="s">
        <v>2049</v>
      </c>
      <c r="E190" s="3" t="s">
        <v>1351</v>
      </c>
      <c r="F190" s="2" t="s">
        <v>2056</v>
      </c>
      <c r="G190" s="2" t="s">
        <v>2057</v>
      </c>
      <c r="H190" s="2" t="s">
        <v>209</v>
      </c>
      <c r="I190" s="2" t="s">
        <v>788</v>
      </c>
      <c r="J190" s="2" t="s">
        <v>30</v>
      </c>
      <c r="K190" s="2" t="s">
        <v>30</v>
      </c>
      <c r="L190" s="2" t="s">
        <v>361</v>
      </c>
      <c r="M190" s="2" t="s">
        <v>31</v>
      </c>
      <c r="N190" s="2" t="s">
        <v>471</v>
      </c>
      <c r="O190" s="2" t="s">
        <v>160</v>
      </c>
      <c r="P190" s="2" t="s">
        <v>1199</v>
      </c>
      <c r="Q190" s="2" t="s">
        <v>446</v>
      </c>
      <c r="R190" s="2" t="s">
        <v>440</v>
      </c>
      <c r="S190" s="2" t="s">
        <v>34</v>
      </c>
      <c r="T190" s="123">
        <v>5.1180000000000003</v>
      </c>
      <c r="U190" s="2" t="s">
        <v>2058</v>
      </c>
      <c r="V190" s="136">
        <v>2.3900000000000001E-2</v>
      </c>
      <c r="W190" s="138">
        <v>2.6190000000000001E-2</v>
      </c>
      <c r="X190" s="3" t="s">
        <v>445</v>
      </c>
      <c r="Y190" s="3" t="s">
        <v>160</v>
      </c>
      <c r="Z190" s="123">
        <v>160000</v>
      </c>
      <c r="AA190" s="132">
        <v>1</v>
      </c>
      <c r="AB190" s="149">
        <v>116.21</v>
      </c>
      <c r="AC190" s="2"/>
      <c r="AD190" s="123">
        <v>185.93600000000001</v>
      </c>
      <c r="AE190" s="2"/>
      <c r="AF190" s="2"/>
      <c r="AG190" s="2" t="s">
        <v>36</v>
      </c>
      <c r="AH190" s="138">
        <v>4.1E-5</v>
      </c>
      <c r="AI190" s="138">
        <v>1.263978522925E-2</v>
      </c>
      <c r="AJ190" s="138">
        <v>1.9582139069614702E-3</v>
      </c>
    </row>
    <row r="191" spans="1:36">
      <c r="A191" s="2">
        <v>161</v>
      </c>
      <c r="B191" s="2">
        <v>9942</v>
      </c>
      <c r="C191" s="2" t="s">
        <v>2048</v>
      </c>
      <c r="D191" s="2" t="s">
        <v>2049</v>
      </c>
      <c r="E191" s="3" t="s">
        <v>1351</v>
      </c>
      <c r="F191" s="2" t="s">
        <v>2059</v>
      </c>
      <c r="G191" s="2" t="s">
        <v>2060</v>
      </c>
      <c r="H191" s="2" t="s">
        <v>209</v>
      </c>
      <c r="I191" s="2" t="s">
        <v>788</v>
      </c>
      <c r="J191" s="2" t="s">
        <v>30</v>
      </c>
      <c r="K191" s="2" t="s">
        <v>30</v>
      </c>
      <c r="L191" s="2" t="s">
        <v>361</v>
      </c>
      <c r="M191" s="2" t="s">
        <v>31</v>
      </c>
      <c r="N191" s="2" t="s">
        <v>471</v>
      </c>
      <c r="O191" s="2" t="s">
        <v>160</v>
      </c>
      <c r="P191" s="2" t="s">
        <v>1199</v>
      </c>
      <c r="Q191" s="2" t="s">
        <v>446</v>
      </c>
      <c r="R191" s="2" t="s">
        <v>440</v>
      </c>
      <c r="S191" s="2" t="s">
        <v>34</v>
      </c>
      <c r="T191" s="123">
        <v>7.1369999999999996</v>
      </c>
      <c r="U191" s="2" t="s">
        <v>2061</v>
      </c>
      <c r="V191" s="136">
        <v>0.03</v>
      </c>
      <c r="W191" s="138">
        <v>2.597E-2</v>
      </c>
      <c r="X191" s="3" t="s">
        <v>445</v>
      </c>
      <c r="Y191" s="3" t="s">
        <v>160</v>
      </c>
      <c r="Z191" s="123">
        <v>180000</v>
      </c>
      <c r="AA191" s="132">
        <v>1</v>
      </c>
      <c r="AB191" s="149">
        <v>109.5</v>
      </c>
      <c r="AC191" s="2"/>
      <c r="AD191" s="123">
        <v>197.1</v>
      </c>
      <c r="AE191" s="2"/>
      <c r="AF191" s="2"/>
      <c r="AG191" s="2" t="s">
        <v>36</v>
      </c>
      <c r="AH191" s="138">
        <v>4.3999999999999999E-5</v>
      </c>
      <c r="AI191" s="138">
        <v>1.3398705300131101E-2</v>
      </c>
      <c r="AJ191" s="138">
        <v>2.0757893095586901E-3</v>
      </c>
    </row>
    <row r="192" spans="1:36">
      <c r="A192" s="2">
        <v>161</v>
      </c>
      <c r="B192" s="2">
        <v>9942</v>
      </c>
      <c r="C192" s="2" t="s">
        <v>2062</v>
      </c>
      <c r="D192" s="2" t="s">
        <v>2063</v>
      </c>
      <c r="E192" s="3" t="s">
        <v>1351</v>
      </c>
      <c r="F192" s="2" t="s">
        <v>2064</v>
      </c>
      <c r="G192" s="2" t="s">
        <v>2065</v>
      </c>
      <c r="H192" s="2" t="s">
        <v>209</v>
      </c>
      <c r="I192" s="2" t="s">
        <v>788</v>
      </c>
      <c r="J192" s="2" t="s">
        <v>30</v>
      </c>
      <c r="K192" s="2" t="s">
        <v>30</v>
      </c>
      <c r="L192" s="2" t="s">
        <v>361</v>
      </c>
      <c r="M192" s="2" t="s">
        <v>31</v>
      </c>
      <c r="N192" s="2" t="s">
        <v>493</v>
      </c>
      <c r="O192" s="2" t="s">
        <v>160</v>
      </c>
      <c r="P192" s="2" t="s">
        <v>1969</v>
      </c>
      <c r="Q192" s="2" t="s">
        <v>446</v>
      </c>
      <c r="R192" s="2" t="s">
        <v>440</v>
      </c>
      <c r="S192" s="2" t="s">
        <v>34</v>
      </c>
      <c r="T192" s="123">
        <v>1.0900000000000001</v>
      </c>
      <c r="U192" s="2" t="s">
        <v>2066</v>
      </c>
      <c r="V192" s="136">
        <v>1.0500000000000001E-2</v>
      </c>
      <c r="W192" s="138">
        <v>3.2000000000000001E-2</v>
      </c>
      <c r="X192" s="3" t="s">
        <v>445</v>
      </c>
      <c r="Y192" s="3" t="s">
        <v>160</v>
      </c>
      <c r="Z192" s="123">
        <v>120000.01</v>
      </c>
      <c r="AA192" s="132">
        <v>1</v>
      </c>
      <c r="AB192" s="149">
        <v>113.64</v>
      </c>
      <c r="AC192" s="2"/>
      <c r="AD192" s="123">
        <v>136.36799999999999</v>
      </c>
      <c r="AE192" s="2"/>
      <c r="AF192" s="2"/>
      <c r="AG192" s="2" t="s">
        <v>36</v>
      </c>
      <c r="AH192" s="138">
        <v>2.9100000000000003E-4</v>
      </c>
      <c r="AI192" s="138">
        <v>9.2701917637299392E-3</v>
      </c>
      <c r="AJ192" s="138">
        <v>1.4361809241763999E-3</v>
      </c>
    </row>
    <row r="193" spans="1:36">
      <c r="A193" s="2">
        <v>161</v>
      </c>
      <c r="B193" s="2">
        <v>9942</v>
      </c>
      <c r="C193" s="2" t="s">
        <v>2062</v>
      </c>
      <c r="D193" s="2" t="s">
        <v>2063</v>
      </c>
      <c r="E193" s="3" t="s">
        <v>1351</v>
      </c>
      <c r="F193" s="2" t="s">
        <v>2067</v>
      </c>
      <c r="G193" s="2" t="s">
        <v>2068</v>
      </c>
      <c r="H193" s="2" t="s">
        <v>209</v>
      </c>
      <c r="I193" s="2" t="s">
        <v>998</v>
      </c>
      <c r="J193" s="2" t="s">
        <v>30</v>
      </c>
      <c r="K193" s="2" t="s">
        <v>30</v>
      </c>
      <c r="L193" s="2" t="s">
        <v>361</v>
      </c>
      <c r="M193" s="2" t="s">
        <v>31</v>
      </c>
      <c r="N193" s="2" t="s">
        <v>493</v>
      </c>
      <c r="O193" s="2" t="s">
        <v>160</v>
      </c>
      <c r="P193" s="2" t="s">
        <v>1969</v>
      </c>
      <c r="Q193" s="2" t="s">
        <v>446</v>
      </c>
      <c r="R193" s="2" t="s">
        <v>440</v>
      </c>
      <c r="S193" s="2" t="s">
        <v>34</v>
      </c>
      <c r="T193" s="123">
        <v>1.7789999999999999</v>
      </c>
      <c r="U193" s="2" t="s">
        <v>2069</v>
      </c>
      <c r="V193" s="136">
        <v>2.18E-2</v>
      </c>
      <c r="W193" s="138">
        <v>4.8379999999999999E-2</v>
      </c>
      <c r="X193" s="3" t="s">
        <v>445</v>
      </c>
      <c r="Y193" s="3" t="s">
        <v>160</v>
      </c>
      <c r="Z193" s="123">
        <v>166666.66</v>
      </c>
      <c r="AA193" s="132">
        <v>1</v>
      </c>
      <c r="AB193" s="149">
        <v>95.82</v>
      </c>
      <c r="AC193" s="2"/>
      <c r="AD193" s="123">
        <v>159.69999999999999</v>
      </c>
      <c r="AE193" s="2"/>
      <c r="AF193" s="2"/>
      <c r="AG193" s="2" t="s">
        <v>36</v>
      </c>
      <c r="AH193" s="138">
        <v>5.8399999999999999E-4</v>
      </c>
      <c r="AI193" s="138">
        <v>1.0856281840893E-2</v>
      </c>
      <c r="AJ193" s="138">
        <v>1.6819053245884399E-3</v>
      </c>
    </row>
    <row r="194" spans="1:36">
      <c r="A194" s="2">
        <v>161</v>
      </c>
      <c r="B194" s="2">
        <v>9942</v>
      </c>
      <c r="C194" s="2" t="s">
        <v>1846</v>
      </c>
      <c r="D194" s="2" t="s">
        <v>1847</v>
      </c>
      <c r="E194" s="3" t="s">
        <v>1351</v>
      </c>
      <c r="F194" s="2" t="s">
        <v>2070</v>
      </c>
      <c r="G194" s="2" t="s">
        <v>2071</v>
      </c>
      <c r="H194" s="2" t="s">
        <v>209</v>
      </c>
      <c r="I194" s="2" t="s">
        <v>788</v>
      </c>
      <c r="J194" s="2" t="s">
        <v>30</v>
      </c>
      <c r="K194" s="2" t="s">
        <v>30</v>
      </c>
      <c r="L194" s="2" t="s">
        <v>361</v>
      </c>
      <c r="M194" s="2" t="s">
        <v>31</v>
      </c>
      <c r="N194" s="2" t="s">
        <v>495</v>
      </c>
      <c r="O194" s="2" t="s">
        <v>160</v>
      </c>
      <c r="P194" s="2" t="s">
        <v>1956</v>
      </c>
      <c r="Q194" s="2" t="s">
        <v>446</v>
      </c>
      <c r="R194" s="2" t="s">
        <v>440</v>
      </c>
      <c r="S194" s="2" t="s">
        <v>34</v>
      </c>
      <c r="T194" s="123">
        <v>1.7569999999999999</v>
      </c>
      <c r="U194" s="2" t="s">
        <v>2072</v>
      </c>
      <c r="V194" s="136">
        <v>1.5800000000000002E-2</v>
      </c>
      <c r="W194" s="138">
        <v>2.7789999999999999E-2</v>
      </c>
      <c r="X194" s="3" t="s">
        <v>445</v>
      </c>
      <c r="Y194" s="3" t="s">
        <v>160</v>
      </c>
      <c r="Z194" s="123">
        <v>63669.57</v>
      </c>
      <c r="AA194" s="132">
        <v>1</v>
      </c>
      <c r="AB194" s="149">
        <v>116.04</v>
      </c>
      <c r="AC194" s="2"/>
      <c r="AD194" s="123">
        <v>73.882000000000005</v>
      </c>
      <c r="AE194" s="2"/>
      <c r="AF194" s="2"/>
      <c r="AG194" s="2" t="s">
        <v>36</v>
      </c>
      <c r="AH194" s="138">
        <v>1.6200000000000001E-4</v>
      </c>
      <c r="AI194" s="138">
        <v>5.0224526115710197E-3</v>
      </c>
      <c r="AJ194" s="138">
        <v>7.7810155573480801E-4</v>
      </c>
    </row>
    <row r="195" spans="1:36">
      <c r="A195" s="2">
        <v>161</v>
      </c>
      <c r="B195" s="2">
        <v>9942</v>
      </c>
      <c r="C195" s="2" t="s">
        <v>1846</v>
      </c>
      <c r="D195" s="2" t="s">
        <v>1847</v>
      </c>
      <c r="E195" s="3" t="s">
        <v>1351</v>
      </c>
      <c r="F195" s="2" t="s">
        <v>2073</v>
      </c>
      <c r="G195" s="2" t="s">
        <v>2074</v>
      </c>
      <c r="H195" s="2" t="s">
        <v>209</v>
      </c>
      <c r="I195" s="2" t="s">
        <v>788</v>
      </c>
      <c r="J195" s="2" t="s">
        <v>30</v>
      </c>
      <c r="K195" s="2" t="s">
        <v>30</v>
      </c>
      <c r="L195" s="2" t="s">
        <v>361</v>
      </c>
      <c r="M195" s="2" t="s">
        <v>31</v>
      </c>
      <c r="N195" s="2" t="s">
        <v>495</v>
      </c>
      <c r="O195" s="2" t="s">
        <v>160</v>
      </c>
      <c r="P195" s="2" t="s">
        <v>1956</v>
      </c>
      <c r="Q195" s="2" t="s">
        <v>446</v>
      </c>
      <c r="R195" s="2" t="s">
        <v>440</v>
      </c>
      <c r="S195" s="2" t="s">
        <v>34</v>
      </c>
      <c r="T195" s="123">
        <v>4.2240000000000002</v>
      </c>
      <c r="U195" s="2" t="s">
        <v>2075</v>
      </c>
      <c r="V195" s="136">
        <v>8.3999999999999995E-3</v>
      </c>
      <c r="W195" s="138">
        <v>2.7869999999999999E-2</v>
      </c>
      <c r="X195" s="3" t="s">
        <v>445</v>
      </c>
      <c r="Y195" s="3" t="s">
        <v>160</v>
      </c>
      <c r="Z195" s="123">
        <v>159725.28</v>
      </c>
      <c r="AA195" s="132">
        <v>1</v>
      </c>
      <c r="AB195" s="149">
        <v>107.28</v>
      </c>
      <c r="AC195" s="2"/>
      <c r="AD195" s="123">
        <v>171.35300000000001</v>
      </c>
      <c r="AE195" s="2"/>
      <c r="AF195" s="2"/>
      <c r="AG195" s="2" t="s">
        <v>36</v>
      </c>
      <c r="AH195" s="138">
        <v>2.0799999999999999E-4</v>
      </c>
      <c r="AI195" s="138">
        <v>1.1648463247468099E-2</v>
      </c>
      <c r="AJ195" s="138">
        <v>1.80463372693516E-3</v>
      </c>
    </row>
    <row r="196" spans="1:36">
      <c r="A196" s="2">
        <v>161</v>
      </c>
      <c r="B196" s="2">
        <v>9942</v>
      </c>
      <c r="C196" s="2" t="s">
        <v>2076</v>
      </c>
      <c r="D196" s="2" t="s">
        <v>2077</v>
      </c>
      <c r="E196" s="3" t="s">
        <v>1351</v>
      </c>
      <c r="F196" s="2" t="s">
        <v>2078</v>
      </c>
      <c r="G196" s="2" t="s">
        <v>2079</v>
      </c>
      <c r="H196" s="2" t="s">
        <v>209</v>
      </c>
      <c r="I196" s="2" t="s">
        <v>998</v>
      </c>
      <c r="J196" s="2" t="s">
        <v>30</v>
      </c>
      <c r="K196" s="2" t="s">
        <v>30</v>
      </c>
      <c r="L196" s="2" t="s">
        <v>361</v>
      </c>
      <c r="M196" s="2" t="s">
        <v>31</v>
      </c>
      <c r="N196" s="2" t="s">
        <v>476</v>
      </c>
      <c r="O196" s="2" t="s">
        <v>160</v>
      </c>
      <c r="P196" s="2" t="s">
        <v>1969</v>
      </c>
      <c r="Q196" s="2" t="s">
        <v>446</v>
      </c>
      <c r="R196" s="2" t="s">
        <v>440</v>
      </c>
      <c r="S196" s="2" t="s">
        <v>34</v>
      </c>
      <c r="T196" s="123">
        <v>6.1639999999999997</v>
      </c>
      <c r="U196" s="2" t="s">
        <v>2080</v>
      </c>
      <c r="V196" s="136">
        <v>2.5000000000000001E-2</v>
      </c>
      <c r="W196" s="138">
        <v>4.8559999999999999E-2</v>
      </c>
      <c r="X196" s="3" t="s">
        <v>445</v>
      </c>
      <c r="Y196" s="3" t="s">
        <v>160</v>
      </c>
      <c r="Z196" s="123">
        <v>270000</v>
      </c>
      <c r="AA196" s="132">
        <v>1</v>
      </c>
      <c r="AB196" s="149">
        <v>87.5</v>
      </c>
      <c r="AC196" s="2"/>
      <c r="AD196" s="123">
        <v>236.25</v>
      </c>
      <c r="AE196" s="2"/>
      <c r="AF196" s="2"/>
      <c r="AG196" s="2" t="s">
        <v>36</v>
      </c>
      <c r="AH196" s="138">
        <v>2.02E-4</v>
      </c>
      <c r="AI196" s="138">
        <v>1.6060091969335302E-2</v>
      </c>
      <c r="AJ196" s="138">
        <v>2.4881036244710302E-3</v>
      </c>
    </row>
    <row r="197" spans="1:36">
      <c r="A197" s="2">
        <v>161</v>
      </c>
      <c r="B197" s="2">
        <v>9942</v>
      </c>
      <c r="C197" s="2" t="s">
        <v>1197</v>
      </c>
      <c r="D197" s="2" t="s">
        <v>1607</v>
      </c>
      <c r="E197" s="3" t="s">
        <v>1351</v>
      </c>
      <c r="F197" s="2" t="s">
        <v>2081</v>
      </c>
      <c r="G197" s="2" t="s">
        <v>2082</v>
      </c>
      <c r="H197" s="2" t="s">
        <v>209</v>
      </c>
      <c r="I197" s="2" t="s">
        <v>788</v>
      </c>
      <c r="J197" s="2" t="s">
        <v>30</v>
      </c>
      <c r="K197" s="2" t="s">
        <v>30</v>
      </c>
      <c r="L197" s="2" t="s">
        <v>361</v>
      </c>
      <c r="M197" s="2" t="s">
        <v>31</v>
      </c>
      <c r="N197" s="2" t="s">
        <v>479</v>
      </c>
      <c r="O197" s="2" t="s">
        <v>160</v>
      </c>
      <c r="P197" s="2" t="s">
        <v>1199</v>
      </c>
      <c r="Q197" s="2" t="s">
        <v>446</v>
      </c>
      <c r="R197" s="2" t="s">
        <v>440</v>
      </c>
      <c r="S197" s="2" t="s">
        <v>34</v>
      </c>
      <c r="T197" s="123">
        <v>2.0920000000000001</v>
      </c>
      <c r="U197" s="2" t="s">
        <v>2083</v>
      </c>
      <c r="V197" s="136">
        <v>1.8599999999999998E-2</v>
      </c>
      <c r="W197" s="138">
        <v>2.5680000000000001E-2</v>
      </c>
      <c r="X197" s="3" t="s">
        <v>445</v>
      </c>
      <c r="Y197" s="3" t="s">
        <v>160</v>
      </c>
      <c r="Z197" s="123">
        <v>114300</v>
      </c>
      <c r="AA197" s="132">
        <v>1</v>
      </c>
      <c r="AB197" s="149">
        <v>104.2</v>
      </c>
      <c r="AC197" s="2"/>
      <c r="AD197" s="123">
        <v>119.101</v>
      </c>
      <c r="AE197" s="2"/>
      <c r="AF197" s="2"/>
      <c r="AG197" s="2" t="s">
        <v>36</v>
      </c>
      <c r="AH197" s="138">
        <v>4.0000000000000003E-5</v>
      </c>
      <c r="AI197" s="138">
        <v>8.0963665168381407E-3</v>
      </c>
      <c r="AJ197" s="138">
        <v>1.2543264953933299E-3</v>
      </c>
    </row>
    <row r="198" spans="1:36">
      <c r="A198" s="2">
        <v>161</v>
      </c>
      <c r="B198" s="2">
        <v>9942</v>
      </c>
      <c r="C198" s="2" t="s">
        <v>1197</v>
      </c>
      <c r="D198" s="2" t="s">
        <v>1607</v>
      </c>
      <c r="E198" s="3" t="s">
        <v>1351</v>
      </c>
      <c r="F198" s="2" t="s">
        <v>2087</v>
      </c>
      <c r="G198" s="2" t="s">
        <v>2088</v>
      </c>
      <c r="H198" s="2" t="s">
        <v>209</v>
      </c>
      <c r="I198" s="2" t="s">
        <v>788</v>
      </c>
      <c r="J198" s="2" t="s">
        <v>30</v>
      </c>
      <c r="K198" s="2" t="s">
        <v>30</v>
      </c>
      <c r="L198" s="2" t="s">
        <v>361</v>
      </c>
      <c r="M198" s="2" t="s">
        <v>31</v>
      </c>
      <c r="N198" s="2" t="s">
        <v>479</v>
      </c>
      <c r="O198" s="2" t="s">
        <v>160</v>
      </c>
      <c r="P198" s="2" t="s">
        <v>1199</v>
      </c>
      <c r="Q198" s="2" t="s">
        <v>446</v>
      </c>
      <c r="R198" s="2" t="s">
        <v>440</v>
      </c>
      <c r="S198" s="2" t="s">
        <v>34</v>
      </c>
      <c r="T198" s="123">
        <v>2.3969999999999998</v>
      </c>
      <c r="U198" s="2" t="s">
        <v>2089</v>
      </c>
      <c r="V198" s="136">
        <v>1E-3</v>
      </c>
      <c r="W198" s="138">
        <v>2.4969999999999999E-2</v>
      </c>
      <c r="X198" s="3" t="s">
        <v>445</v>
      </c>
      <c r="Y198" s="3" t="s">
        <v>160</v>
      </c>
      <c r="Z198" s="123">
        <v>122000</v>
      </c>
      <c r="AA198" s="132">
        <v>1</v>
      </c>
      <c r="AB198" s="149">
        <v>107.95</v>
      </c>
      <c r="AC198" s="2"/>
      <c r="AD198" s="123">
        <v>131.69900000000001</v>
      </c>
      <c r="AE198" s="2"/>
      <c r="AF198" s="2"/>
      <c r="AG198" s="2" t="s">
        <v>36</v>
      </c>
      <c r="AH198" s="138">
        <v>3.8999999999999999E-5</v>
      </c>
      <c r="AI198" s="138">
        <v>8.9527959884422702E-3</v>
      </c>
      <c r="AJ198" s="138">
        <v>1.3870085047162401E-3</v>
      </c>
    </row>
    <row r="199" spans="1:36">
      <c r="A199" s="2">
        <v>161</v>
      </c>
      <c r="B199" s="2">
        <v>9942</v>
      </c>
      <c r="C199" s="2" t="s">
        <v>1197</v>
      </c>
      <c r="D199" s="2" t="s">
        <v>1607</v>
      </c>
      <c r="E199" s="3" t="s">
        <v>1351</v>
      </c>
      <c r="F199" s="2" t="s">
        <v>2090</v>
      </c>
      <c r="G199" s="2" t="s">
        <v>2091</v>
      </c>
      <c r="H199" s="2" t="s">
        <v>209</v>
      </c>
      <c r="I199" s="2" t="s">
        <v>998</v>
      </c>
      <c r="J199" s="2" t="s">
        <v>30</v>
      </c>
      <c r="K199" s="2" t="s">
        <v>30</v>
      </c>
      <c r="L199" s="2" t="s">
        <v>361</v>
      </c>
      <c r="M199" s="2" t="s">
        <v>31</v>
      </c>
      <c r="N199" s="2" t="s">
        <v>479</v>
      </c>
      <c r="O199" s="2" t="s">
        <v>160</v>
      </c>
      <c r="P199" s="2" t="s">
        <v>1199</v>
      </c>
      <c r="Q199" s="2" t="s">
        <v>446</v>
      </c>
      <c r="R199" s="2" t="s">
        <v>440</v>
      </c>
      <c r="S199" s="2" t="s">
        <v>34</v>
      </c>
      <c r="T199" s="123">
        <v>2.4529999999999998</v>
      </c>
      <c r="U199" s="2" t="s">
        <v>2092</v>
      </c>
      <c r="V199" s="136">
        <v>2.76E-2</v>
      </c>
      <c r="W199" s="138">
        <v>4.3869999999999999E-2</v>
      </c>
      <c r="X199" s="3" t="s">
        <v>445</v>
      </c>
      <c r="Y199" s="3" t="s">
        <v>160</v>
      </c>
      <c r="Z199" s="123">
        <v>380000</v>
      </c>
      <c r="AA199" s="132">
        <v>1</v>
      </c>
      <c r="AB199" s="149">
        <v>96.65</v>
      </c>
      <c r="AC199" s="2"/>
      <c r="AD199" s="123">
        <v>367.27</v>
      </c>
      <c r="AE199" s="2"/>
      <c r="AF199" s="2"/>
      <c r="AG199" s="2" t="s">
        <v>36</v>
      </c>
      <c r="AH199" s="138">
        <v>1.75E-4</v>
      </c>
      <c r="AI199" s="138">
        <v>2.4966730063821201E-2</v>
      </c>
      <c r="AJ199" s="138">
        <v>3.86796113506657E-3</v>
      </c>
    </row>
    <row r="200" spans="1:36">
      <c r="A200" s="2">
        <v>161</v>
      </c>
      <c r="B200" s="2">
        <v>9942</v>
      </c>
      <c r="C200" s="2" t="s">
        <v>1197</v>
      </c>
      <c r="D200" s="2" t="s">
        <v>1607</v>
      </c>
      <c r="E200" s="3" t="s">
        <v>1351</v>
      </c>
      <c r="F200" s="2" t="s">
        <v>2093</v>
      </c>
      <c r="G200" s="2" t="s">
        <v>2094</v>
      </c>
      <c r="H200" s="2" t="s">
        <v>209</v>
      </c>
      <c r="I200" s="2" t="s">
        <v>788</v>
      </c>
      <c r="J200" s="2" t="s">
        <v>30</v>
      </c>
      <c r="K200" s="2" t="s">
        <v>30</v>
      </c>
      <c r="L200" s="2" t="s">
        <v>361</v>
      </c>
      <c r="M200" s="2" t="s">
        <v>31</v>
      </c>
      <c r="N200" s="2" t="s">
        <v>479</v>
      </c>
      <c r="O200" s="2" t="s">
        <v>160</v>
      </c>
      <c r="P200" s="2" t="s">
        <v>1199</v>
      </c>
      <c r="Q200" s="2" t="s">
        <v>446</v>
      </c>
      <c r="R200" s="2" t="s">
        <v>440</v>
      </c>
      <c r="S200" s="2" t="s">
        <v>34</v>
      </c>
      <c r="T200" s="123">
        <v>4.3879999999999999</v>
      </c>
      <c r="U200" s="2" t="s">
        <v>2095</v>
      </c>
      <c r="V200" s="136">
        <v>2.0199999999999999E-2</v>
      </c>
      <c r="W200" s="138">
        <v>2.6360000000000001E-2</v>
      </c>
      <c r="X200" s="3" t="s">
        <v>445</v>
      </c>
      <c r="Y200" s="3" t="s">
        <v>160</v>
      </c>
      <c r="Z200" s="123">
        <v>127000</v>
      </c>
      <c r="AA200" s="132">
        <v>1</v>
      </c>
      <c r="AB200" s="149">
        <v>102.52</v>
      </c>
      <c r="AC200" s="2"/>
      <c r="AD200" s="123">
        <v>130.19999999999999</v>
      </c>
      <c r="AE200" s="2"/>
      <c r="AF200" s="2"/>
      <c r="AG200" s="2" t="s">
        <v>36</v>
      </c>
      <c r="AH200" s="138">
        <v>3.6000000000000001E-5</v>
      </c>
      <c r="AI200" s="138">
        <v>8.8509223214570994E-3</v>
      </c>
      <c r="AJ200" s="138">
        <v>1.3712257657040401E-3</v>
      </c>
    </row>
    <row r="201" spans="1:36">
      <c r="A201" s="2">
        <v>161</v>
      </c>
      <c r="B201" s="2">
        <v>9942</v>
      </c>
      <c r="C201" s="2" t="s">
        <v>1197</v>
      </c>
      <c r="D201" s="2" t="s">
        <v>1607</v>
      </c>
      <c r="E201" s="3" t="s">
        <v>1351</v>
      </c>
      <c r="F201" s="2" t="s">
        <v>2096</v>
      </c>
      <c r="G201" s="2" t="s">
        <v>2097</v>
      </c>
      <c r="H201" s="2" t="s">
        <v>209</v>
      </c>
      <c r="I201" s="2" t="s">
        <v>788</v>
      </c>
      <c r="J201" s="2" t="s">
        <v>30</v>
      </c>
      <c r="K201" s="2" t="s">
        <v>30</v>
      </c>
      <c r="L201" s="2" t="s">
        <v>361</v>
      </c>
      <c r="M201" s="2" t="s">
        <v>31</v>
      </c>
      <c r="N201" s="2" t="s">
        <v>479</v>
      </c>
      <c r="O201" s="2" t="s">
        <v>160</v>
      </c>
      <c r="P201" s="2" t="s">
        <v>1199</v>
      </c>
      <c r="Q201" s="2" t="s">
        <v>446</v>
      </c>
      <c r="R201" s="2" t="s">
        <v>440</v>
      </c>
      <c r="S201" s="2" t="s">
        <v>34</v>
      </c>
      <c r="T201" s="123">
        <v>4.3920000000000003</v>
      </c>
      <c r="U201" s="2" t="s">
        <v>2098</v>
      </c>
      <c r="V201" s="136">
        <v>1E-3</v>
      </c>
      <c r="W201" s="138">
        <v>2.581E-2</v>
      </c>
      <c r="X201" s="3" t="s">
        <v>445</v>
      </c>
      <c r="Y201" s="3" t="s">
        <v>160</v>
      </c>
      <c r="Z201" s="123">
        <v>127000</v>
      </c>
      <c r="AA201" s="132">
        <v>1</v>
      </c>
      <c r="AB201" s="149">
        <v>102.6</v>
      </c>
      <c r="AC201" s="2"/>
      <c r="AD201" s="123">
        <v>130.30199999999999</v>
      </c>
      <c r="AE201" s="2"/>
      <c r="AF201" s="2"/>
      <c r="AG201" s="2" t="s">
        <v>36</v>
      </c>
      <c r="AH201" s="138">
        <v>3.0000000000000001E-5</v>
      </c>
      <c r="AI201" s="138">
        <v>8.8578290107442295E-3</v>
      </c>
      <c r="AJ201" s="138">
        <v>1.3722957819082501E-3</v>
      </c>
    </row>
    <row r="202" spans="1:36">
      <c r="A202" s="2">
        <v>161</v>
      </c>
      <c r="B202" s="2">
        <v>9942</v>
      </c>
      <c r="C202" s="2" t="s">
        <v>1197</v>
      </c>
      <c r="D202" s="2" t="s">
        <v>1607</v>
      </c>
      <c r="E202" s="3" t="s">
        <v>1351</v>
      </c>
      <c r="F202" s="2" t="s">
        <v>2099</v>
      </c>
      <c r="G202" s="2" t="s">
        <v>2100</v>
      </c>
      <c r="H202" s="2" t="s">
        <v>209</v>
      </c>
      <c r="I202" s="2" t="s">
        <v>788</v>
      </c>
      <c r="J202" s="2" t="s">
        <v>30</v>
      </c>
      <c r="K202" s="2" t="s">
        <v>30</v>
      </c>
      <c r="L202" s="2" t="s">
        <v>361</v>
      </c>
      <c r="M202" s="2" t="s">
        <v>58</v>
      </c>
      <c r="N202" s="2" t="s">
        <v>479</v>
      </c>
      <c r="O202" s="2" t="s">
        <v>160</v>
      </c>
      <c r="P202" s="2" t="s">
        <v>1969</v>
      </c>
      <c r="Q202" s="2" t="s">
        <v>446</v>
      </c>
      <c r="R202" s="2" t="s">
        <v>440</v>
      </c>
      <c r="S202" s="2" t="s">
        <v>34</v>
      </c>
      <c r="T202" s="123">
        <v>5.2320000000000002</v>
      </c>
      <c r="U202" s="2" t="s">
        <v>2101</v>
      </c>
      <c r="V202" s="136">
        <v>3.1E-2</v>
      </c>
      <c r="W202" s="138">
        <v>2.937E-2</v>
      </c>
      <c r="X202" s="3" t="s">
        <v>445</v>
      </c>
      <c r="Y202" s="3" t="s">
        <v>160</v>
      </c>
      <c r="Z202" s="123">
        <v>280000</v>
      </c>
      <c r="AA202" s="132">
        <v>1</v>
      </c>
      <c r="AB202" s="149">
        <v>103.76</v>
      </c>
      <c r="AC202" s="2"/>
      <c r="AD202" s="123">
        <v>290.52800000000002</v>
      </c>
      <c r="AE202" s="2"/>
      <c r="AF202" s="2"/>
      <c r="AG202" s="2" t="s">
        <v>36</v>
      </c>
      <c r="AH202" s="138">
        <v>1.8200000000000001E-4</v>
      </c>
      <c r="AI202" s="138">
        <v>1.9749868358379E-2</v>
      </c>
      <c r="AJ202" s="138">
        <v>3.05974082459395E-3</v>
      </c>
    </row>
    <row r="203" spans="1:36">
      <c r="A203" s="2">
        <v>161</v>
      </c>
      <c r="B203" s="2">
        <v>9942</v>
      </c>
      <c r="C203" s="2" t="s">
        <v>1854</v>
      </c>
      <c r="D203" s="2" t="s">
        <v>1855</v>
      </c>
      <c r="E203" s="3" t="s">
        <v>1351</v>
      </c>
      <c r="F203" s="2" t="s">
        <v>2102</v>
      </c>
      <c r="G203" s="2" t="s">
        <v>2103</v>
      </c>
      <c r="H203" s="2" t="s">
        <v>209</v>
      </c>
      <c r="I203" s="2" t="s">
        <v>788</v>
      </c>
      <c r="J203" s="2" t="s">
        <v>30</v>
      </c>
      <c r="K203" s="2" t="s">
        <v>30</v>
      </c>
      <c r="L203" s="2" t="s">
        <v>361</v>
      </c>
      <c r="M203" s="2" t="s">
        <v>31</v>
      </c>
      <c r="N203" s="2" t="s">
        <v>495</v>
      </c>
      <c r="O203" s="2" t="s">
        <v>160</v>
      </c>
      <c r="P203" s="2" t="s">
        <v>1956</v>
      </c>
      <c r="Q203" s="2" t="s">
        <v>446</v>
      </c>
      <c r="R203" s="2" t="s">
        <v>440</v>
      </c>
      <c r="S203" s="2" t="s">
        <v>34</v>
      </c>
      <c r="T203" s="123">
        <v>2.7789999999999999</v>
      </c>
      <c r="U203" s="2" t="s">
        <v>2031</v>
      </c>
      <c r="V203" s="136">
        <v>2.81E-2</v>
      </c>
      <c r="W203" s="138">
        <v>2.716E-2</v>
      </c>
      <c r="X203" s="3" t="s">
        <v>445</v>
      </c>
      <c r="Y203" s="3" t="s">
        <v>160</v>
      </c>
      <c r="Z203" s="123">
        <v>90000</v>
      </c>
      <c r="AA203" s="132">
        <v>1</v>
      </c>
      <c r="AB203" s="149">
        <v>118.81</v>
      </c>
      <c r="AC203" s="2"/>
      <c r="AD203" s="123">
        <v>106.929</v>
      </c>
      <c r="AE203" s="2"/>
      <c r="AF203" s="2"/>
      <c r="AG203" s="2" t="s">
        <v>36</v>
      </c>
      <c r="AH203" s="138">
        <v>6.4999999999999994E-5</v>
      </c>
      <c r="AI203" s="138">
        <v>7.2689505785779899E-3</v>
      </c>
      <c r="AJ203" s="138">
        <v>1.12613939666059E-3</v>
      </c>
    </row>
    <row r="204" spans="1:36">
      <c r="A204" s="2">
        <v>161</v>
      </c>
      <c r="B204" s="2">
        <v>9942</v>
      </c>
      <c r="C204" s="2" t="s">
        <v>1854</v>
      </c>
      <c r="D204" s="2" t="s">
        <v>1855</v>
      </c>
      <c r="E204" s="3" t="s">
        <v>1351</v>
      </c>
      <c r="F204" s="2" t="s">
        <v>2257</v>
      </c>
      <c r="G204" s="2" t="s">
        <v>2258</v>
      </c>
      <c r="H204" s="2" t="s">
        <v>209</v>
      </c>
      <c r="I204" s="2" t="s">
        <v>788</v>
      </c>
      <c r="J204" s="2" t="s">
        <v>30</v>
      </c>
      <c r="K204" s="2" t="s">
        <v>30</v>
      </c>
      <c r="L204" s="2" t="s">
        <v>361</v>
      </c>
      <c r="M204" s="2" t="s">
        <v>31</v>
      </c>
      <c r="N204" s="2" t="s">
        <v>495</v>
      </c>
      <c r="O204" s="2" t="s">
        <v>160</v>
      </c>
      <c r="P204" s="2" t="s">
        <v>1956</v>
      </c>
      <c r="Q204" s="2" t="s">
        <v>446</v>
      </c>
      <c r="R204" s="2" t="s">
        <v>440</v>
      </c>
      <c r="S204" s="2" t="s">
        <v>34</v>
      </c>
      <c r="T204" s="123">
        <v>1.9359999999999999</v>
      </c>
      <c r="U204" s="2" t="s">
        <v>2014</v>
      </c>
      <c r="V204" s="136">
        <v>3.6999999999999998E-2</v>
      </c>
      <c r="W204" s="138">
        <v>2.853E-2</v>
      </c>
      <c r="X204" s="3" t="s">
        <v>445</v>
      </c>
      <c r="Y204" s="3" t="s">
        <v>160</v>
      </c>
      <c r="Z204" s="123">
        <v>92174.080000000002</v>
      </c>
      <c r="AA204" s="132">
        <v>1</v>
      </c>
      <c r="AB204" s="149">
        <v>119.11</v>
      </c>
      <c r="AC204" s="2"/>
      <c r="AD204" s="123">
        <v>109.789</v>
      </c>
      <c r="AE204" s="2"/>
      <c r="AF204" s="2"/>
      <c r="AG204" s="2" t="s">
        <v>36</v>
      </c>
      <c r="AH204" s="138">
        <v>4.0900000000000002E-4</v>
      </c>
      <c r="AI204" s="138">
        <v>7.4633403470431301E-3</v>
      </c>
      <c r="AJ204" s="138">
        <v>1.15625515741723E-3</v>
      </c>
    </row>
    <row r="205" spans="1:36">
      <c r="A205" s="2">
        <v>161</v>
      </c>
      <c r="B205" s="2">
        <v>9942</v>
      </c>
      <c r="C205" s="2" t="s">
        <v>2104</v>
      </c>
      <c r="D205" s="2" t="s">
        <v>2105</v>
      </c>
      <c r="E205" s="3" t="s">
        <v>1351</v>
      </c>
      <c r="F205" s="2" t="s">
        <v>2106</v>
      </c>
      <c r="G205" s="2" t="s">
        <v>2107</v>
      </c>
      <c r="H205" s="2" t="s">
        <v>209</v>
      </c>
      <c r="I205" s="2" t="s">
        <v>998</v>
      </c>
      <c r="J205" s="2" t="s">
        <v>30</v>
      </c>
      <c r="K205" s="2" t="s">
        <v>30</v>
      </c>
      <c r="L205" s="2" t="s">
        <v>361</v>
      </c>
      <c r="M205" s="2" t="s">
        <v>31</v>
      </c>
      <c r="N205" s="2" t="s">
        <v>476</v>
      </c>
      <c r="O205" s="2" t="s">
        <v>160</v>
      </c>
      <c r="P205" s="2" t="s">
        <v>2108</v>
      </c>
      <c r="Q205" s="2" t="s">
        <v>448</v>
      </c>
      <c r="R205" s="2" t="s">
        <v>440</v>
      </c>
      <c r="S205" s="2" t="s">
        <v>34</v>
      </c>
      <c r="T205" s="123">
        <v>1.4590000000000001</v>
      </c>
      <c r="U205" s="2" t="s">
        <v>2109</v>
      </c>
      <c r="V205" s="136">
        <v>4.1000000000000002E-2</v>
      </c>
      <c r="W205" s="138">
        <v>4.8800000000000003E-2</v>
      </c>
      <c r="X205" s="3" t="s">
        <v>445</v>
      </c>
      <c r="Y205" s="3" t="s">
        <v>160</v>
      </c>
      <c r="Z205" s="123">
        <v>130000</v>
      </c>
      <c r="AA205" s="132">
        <v>1</v>
      </c>
      <c r="AB205" s="149">
        <v>100.93</v>
      </c>
      <c r="AC205" s="2"/>
      <c r="AD205" s="123">
        <v>131.209</v>
      </c>
      <c r="AE205" s="2"/>
      <c r="AF205" s="2"/>
      <c r="AG205" s="2" t="s">
        <v>36</v>
      </c>
      <c r="AH205" s="138">
        <v>1.8200000000000001E-4</v>
      </c>
      <c r="AI205" s="138">
        <v>8.9194861680614197E-3</v>
      </c>
      <c r="AJ205" s="138">
        <v>1.38184799349511E-3</v>
      </c>
    </row>
    <row r="206" spans="1:36">
      <c r="A206" s="2">
        <v>161</v>
      </c>
      <c r="B206" s="2">
        <v>9942</v>
      </c>
      <c r="C206" s="2" t="s">
        <v>2110</v>
      </c>
      <c r="D206" s="2" t="s">
        <v>2111</v>
      </c>
      <c r="E206" s="3" t="s">
        <v>1351</v>
      </c>
      <c r="F206" s="2" t="s">
        <v>2112</v>
      </c>
      <c r="G206" s="2" t="s">
        <v>2113</v>
      </c>
      <c r="H206" s="2" t="s">
        <v>209</v>
      </c>
      <c r="I206" s="2" t="s">
        <v>788</v>
      </c>
      <c r="J206" s="2" t="s">
        <v>30</v>
      </c>
      <c r="K206" s="2" t="s">
        <v>30</v>
      </c>
      <c r="L206" s="2" t="s">
        <v>361</v>
      </c>
      <c r="M206" s="2" t="s">
        <v>31</v>
      </c>
      <c r="N206" s="2" t="s">
        <v>495</v>
      </c>
      <c r="O206" s="2" t="s">
        <v>160</v>
      </c>
      <c r="P206" s="2" t="s">
        <v>1965</v>
      </c>
      <c r="Q206" s="2" t="s">
        <v>446</v>
      </c>
      <c r="R206" s="2" t="s">
        <v>440</v>
      </c>
      <c r="S206" s="2" t="s">
        <v>34</v>
      </c>
      <c r="T206" s="123">
        <v>1.133</v>
      </c>
      <c r="U206" s="2" t="s">
        <v>2114</v>
      </c>
      <c r="V206" s="136">
        <v>2.0500000000000001E-2</v>
      </c>
      <c r="W206" s="138">
        <v>3.2419999999999997E-2</v>
      </c>
      <c r="X206" s="3" t="s">
        <v>445</v>
      </c>
      <c r="Y206" s="3" t="s">
        <v>160</v>
      </c>
      <c r="Z206" s="123">
        <v>146954.67000000001</v>
      </c>
      <c r="AA206" s="132">
        <v>1</v>
      </c>
      <c r="AB206" s="149">
        <v>117.83</v>
      </c>
      <c r="AC206" s="2"/>
      <c r="AD206" s="123">
        <v>173.15700000000001</v>
      </c>
      <c r="AE206" s="2"/>
      <c r="AF206" s="2"/>
      <c r="AG206" s="2" t="s">
        <v>36</v>
      </c>
      <c r="AH206" s="138">
        <v>1.95E-4</v>
      </c>
      <c r="AI206" s="138">
        <v>1.17710574769995E-2</v>
      </c>
      <c r="AJ206" s="138">
        <v>1.8236265911988701E-3</v>
      </c>
    </row>
    <row r="207" spans="1:36">
      <c r="A207" s="2">
        <v>161</v>
      </c>
      <c r="B207" s="2">
        <v>9942</v>
      </c>
      <c r="C207" s="2" t="s">
        <v>2115</v>
      </c>
      <c r="D207" s="2" t="s">
        <v>2116</v>
      </c>
      <c r="E207" s="3" t="s">
        <v>1351</v>
      </c>
      <c r="F207" s="2" t="s">
        <v>2117</v>
      </c>
      <c r="G207" s="2" t="s">
        <v>2118</v>
      </c>
      <c r="H207" s="2" t="s">
        <v>209</v>
      </c>
      <c r="I207" s="2" t="s">
        <v>788</v>
      </c>
      <c r="J207" s="2" t="s">
        <v>30</v>
      </c>
      <c r="K207" s="2" t="s">
        <v>30</v>
      </c>
      <c r="L207" s="2" t="s">
        <v>361</v>
      </c>
      <c r="M207" s="2" t="s">
        <v>31</v>
      </c>
      <c r="N207" s="2" t="s">
        <v>479</v>
      </c>
      <c r="O207" s="2" t="s">
        <v>160</v>
      </c>
      <c r="P207" s="2" t="s">
        <v>1199</v>
      </c>
      <c r="Q207" s="2" t="s">
        <v>446</v>
      </c>
      <c r="R207" s="2" t="s">
        <v>440</v>
      </c>
      <c r="S207" s="2" t="s">
        <v>34</v>
      </c>
      <c r="T207" s="123">
        <v>3.3029999999999999</v>
      </c>
      <c r="U207" s="2" t="s">
        <v>2119</v>
      </c>
      <c r="V207" s="136">
        <v>1E-3</v>
      </c>
      <c r="W207" s="138">
        <v>2.5829999999999999E-2</v>
      </c>
      <c r="X207" s="3" t="s">
        <v>445</v>
      </c>
      <c r="Y207" s="3" t="s">
        <v>160</v>
      </c>
      <c r="Z207" s="123">
        <v>36957</v>
      </c>
      <c r="AA207" s="132">
        <v>1</v>
      </c>
      <c r="AB207" s="149">
        <v>105.48</v>
      </c>
      <c r="AC207" s="2"/>
      <c r="AD207" s="123">
        <v>38.981999999999999</v>
      </c>
      <c r="AE207" s="2"/>
      <c r="AF207" s="2"/>
      <c r="AG207" s="2" t="s">
        <v>36</v>
      </c>
      <c r="AH207" s="138">
        <v>1.1E-5</v>
      </c>
      <c r="AI207" s="138">
        <v>2.6499827190985402E-3</v>
      </c>
      <c r="AJ207" s="138">
        <v>4.1054756229067798E-4</v>
      </c>
    </row>
    <row r="208" spans="1:36">
      <c r="A208" s="2">
        <v>161</v>
      </c>
      <c r="B208" s="2">
        <v>9942</v>
      </c>
      <c r="C208" s="2" t="s">
        <v>2115</v>
      </c>
      <c r="D208" s="2" t="s">
        <v>2116</v>
      </c>
      <c r="E208" s="3" t="s">
        <v>1351</v>
      </c>
      <c r="F208" s="2" t="s">
        <v>2123</v>
      </c>
      <c r="G208" s="2" t="s">
        <v>2124</v>
      </c>
      <c r="H208" s="2" t="s">
        <v>209</v>
      </c>
      <c r="I208" s="2" t="s">
        <v>788</v>
      </c>
      <c r="J208" s="2" t="s">
        <v>30</v>
      </c>
      <c r="K208" s="2" t="s">
        <v>30</v>
      </c>
      <c r="L208" s="2" t="s">
        <v>361</v>
      </c>
      <c r="M208" s="2" t="s">
        <v>31</v>
      </c>
      <c r="N208" s="2" t="s">
        <v>479</v>
      </c>
      <c r="O208" s="2" t="s">
        <v>160</v>
      </c>
      <c r="P208" s="2" t="s">
        <v>2125</v>
      </c>
      <c r="Q208" s="2" t="s">
        <v>448</v>
      </c>
      <c r="R208" s="2" t="s">
        <v>440</v>
      </c>
      <c r="S208" s="2" t="s">
        <v>34</v>
      </c>
      <c r="T208" s="123">
        <v>1.42</v>
      </c>
      <c r="U208" s="2" t="s">
        <v>2126</v>
      </c>
      <c r="V208" s="136">
        <v>5.0000000000000001E-3</v>
      </c>
      <c r="W208" s="138">
        <v>2.6210000000000001E-2</v>
      </c>
      <c r="X208" s="3" t="s">
        <v>445</v>
      </c>
      <c r="Y208" s="3" t="s">
        <v>160</v>
      </c>
      <c r="Z208" s="123">
        <v>89000</v>
      </c>
      <c r="AA208" s="132">
        <v>1</v>
      </c>
      <c r="AB208" s="149">
        <v>112.82</v>
      </c>
      <c r="AC208" s="2"/>
      <c r="AD208" s="123">
        <v>100.41</v>
      </c>
      <c r="AE208" s="2"/>
      <c r="AF208" s="2"/>
      <c r="AG208" s="2" t="s">
        <v>36</v>
      </c>
      <c r="AH208" s="138">
        <v>1.17E-4</v>
      </c>
      <c r="AI208" s="138">
        <v>6.8257804132171801E-3</v>
      </c>
      <c r="AJ208" s="138">
        <v>1.0574814277774E-3</v>
      </c>
    </row>
    <row r="209" spans="1:36">
      <c r="A209" s="2">
        <v>161</v>
      </c>
      <c r="B209" s="2">
        <v>9942</v>
      </c>
      <c r="C209" s="2" t="s">
        <v>2115</v>
      </c>
      <c r="D209" s="2" t="s">
        <v>2116</v>
      </c>
      <c r="E209" s="3" t="s">
        <v>1351</v>
      </c>
      <c r="F209" s="2" t="s">
        <v>2130</v>
      </c>
      <c r="G209" s="2" t="s">
        <v>2131</v>
      </c>
      <c r="H209" s="2" t="s">
        <v>209</v>
      </c>
      <c r="I209" s="2" t="s">
        <v>788</v>
      </c>
      <c r="J209" s="2" t="s">
        <v>30</v>
      </c>
      <c r="K209" s="2" t="s">
        <v>30</v>
      </c>
      <c r="L209" s="2" t="s">
        <v>361</v>
      </c>
      <c r="M209" s="2" t="s">
        <v>31</v>
      </c>
      <c r="N209" s="2" t="s">
        <v>479</v>
      </c>
      <c r="O209" s="2" t="s">
        <v>160</v>
      </c>
      <c r="P209" s="2" t="s">
        <v>1199</v>
      </c>
      <c r="Q209" s="2" t="s">
        <v>446</v>
      </c>
      <c r="R209" s="2" t="s">
        <v>440</v>
      </c>
      <c r="S209" s="2" t="s">
        <v>34</v>
      </c>
      <c r="T209" s="123">
        <v>0.97499999999999998</v>
      </c>
      <c r="U209" s="2" t="s">
        <v>2132</v>
      </c>
      <c r="V209" s="136">
        <v>3.8E-3</v>
      </c>
      <c r="W209" s="138">
        <v>2.5610000000000001E-2</v>
      </c>
      <c r="X209" s="3" t="s">
        <v>445</v>
      </c>
      <c r="Y209" s="3" t="s">
        <v>160</v>
      </c>
      <c r="Z209" s="123">
        <v>112734</v>
      </c>
      <c r="AA209" s="132">
        <v>1</v>
      </c>
      <c r="AB209" s="149">
        <v>112.93</v>
      </c>
      <c r="AC209" s="2"/>
      <c r="AD209" s="123">
        <v>127.31100000000001</v>
      </c>
      <c r="AE209" s="2"/>
      <c r="AF209" s="2"/>
      <c r="AG209" s="2" t="s">
        <v>36</v>
      </c>
      <c r="AH209" s="138">
        <v>3.8000000000000002E-5</v>
      </c>
      <c r="AI209" s="138">
        <v>8.6544695798291098E-3</v>
      </c>
      <c r="AJ209" s="138">
        <v>1.3407903996167699E-3</v>
      </c>
    </row>
    <row r="210" spans="1:36">
      <c r="A210" s="2">
        <v>161</v>
      </c>
      <c r="B210" s="2">
        <v>9942</v>
      </c>
      <c r="C210" s="2" t="s">
        <v>2135</v>
      </c>
      <c r="D210" s="2" t="s">
        <v>2136</v>
      </c>
      <c r="E210" s="3" t="s">
        <v>1351</v>
      </c>
      <c r="F210" s="2" t="s">
        <v>2137</v>
      </c>
      <c r="G210" s="2" t="s">
        <v>2138</v>
      </c>
      <c r="H210" s="2" t="s">
        <v>209</v>
      </c>
      <c r="I210" s="2" t="s">
        <v>788</v>
      </c>
      <c r="J210" s="2" t="s">
        <v>30</v>
      </c>
      <c r="K210" s="2" t="s">
        <v>30</v>
      </c>
      <c r="L210" s="2" t="s">
        <v>361</v>
      </c>
      <c r="M210" s="2" t="s">
        <v>31</v>
      </c>
      <c r="N210" s="2" t="s">
        <v>474</v>
      </c>
      <c r="O210" s="2" t="s">
        <v>160</v>
      </c>
      <c r="P210" s="2" t="s">
        <v>2108</v>
      </c>
      <c r="Q210" s="2" t="s">
        <v>448</v>
      </c>
      <c r="R210" s="2" t="s">
        <v>440</v>
      </c>
      <c r="S210" s="2" t="s">
        <v>34</v>
      </c>
      <c r="T210" s="123">
        <v>2.782</v>
      </c>
      <c r="U210" s="2" t="s">
        <v>2139</v>
      </c>
      <c r="V210" s="136">
        <v>0.01</v>
      </c>
      <c r="W210" s="138">
        <v>3.107E-2</v>
      </c>
      <c r="X210" s="3" t="s">
        <v>445</v>
      </c>
      <c r="Y210" s="3" t="s">
        <v>160</v>
      </c>
      <c r="Z210" s="123">
        <v>293141.38</v>
      </c>
      <c r="AA210" s="132">
        <v>1</v>
      </c>
      <c r="AB210" s="149">
        <v>108.19</v>
      </c>
      <c r="AC210" s="2"/>
      <c r="AD210" s="123">
        <v>317.14999999999998</v>
      </c>
      <c r="AE210" s="2"/>
      <c r="AF210" s="2"/>
      <c r="AG210" s="2" t="s">
        <v>36</v>
      </c>
      <c r="AH210" s="138">
        <v>1.63E-4</v>
      </c>
      <c r="AI210" s="138">
        <v>2.1559588114017501E-2</v>
      </c>
      <c r="AJ210" s="138">
        <v>3.3401109676715001E-3</v>
      </c>
    </row>
    <row r="211" spans="1:36">
      <c r="A211" s="2">
        <v>161</v>
      </c>
      <c r="B211" s="2">
        <v>9942</v>
      </c>
      <c r="C211" s="2" t="s">
        <v>2135</v>
      </c>
      <c r="D211" s="2" t="s">
        <v>2136</v>
      </c>
      <c r="E211" s="3" t="s">
        <v>1351</v>
      </c>
      <c r="F211" s="2" t="s">
        <v>2140</v>
      </c>
      <c r="G211" s="2" t="s">
        <v>2141</v>
      </c>
      <c r="H211" s="2" t="s">
        <v>209</v>
      </c>
      <c r="I211" s="2" t="s">
        <v>788</v>
      </c>
      <c r="J211" s="2" t="s">
        <v>30</v>
      </c>
      <c r="K211" s="2" t="s">
        <v>30</v>
      </c>
      <c r="L211" s="2" t="s">
        <v>361</v>
      </c>
      <c r="M211" s="2" t="s">
        <v>31</v>
      </c>
      <c r="N211" s="2" t="s">
        <v>474</v>
      </c>
      <c r="O211" s="2" t="s">
        <v>160</v>
      </c>
      <c r="P211" s="2" t="s">
        <v>2108</v>
      </c>
      <c r="Q211" s="2" t="s">
        <v>448</v>
      </c>
      <c r="R211" s="2" t="s">
        <v>440</v>
      </c>
      <c r="S211" s="2" t="s">
        <v>34</v>
      </c>
      <c r="T211" s="123">
        <v>1.056</v>
      </c>
      <c r="U211" s="2" t="s">
        <v>68</v>
      </c>
      <c r="V211" s="136">
        <v>3.5400000000000001E-2</v>
      </c>
      <c r="W211" s="138">
        <v>3.4250000000000003E-2</v>
      </c>
      <c r="X211" s="3" t="s">
        <v>445</v>
      </c>
      <c r="Y211" s="3" t="s">
        <v>160</v>
      </c>
      <c r="Z211" s="123">
        <v>157500</v>
      </c>
      <c r="AA211" s="132">
        <v>1</v>
      </c>
      <c r="AB211" s="149">
        <v>109.8</v>
      </c>
      <c r="AC211" s="2"/>
      <c r="AD211" s="123">
        <v>172.935</v>
      </c>
      <c r="AE211" s="2"/>
      <c r="AF211" s="2"/>
      <c r="AG211" s="2" t="s">
        <v>36</v>
      </c>
      <c r="AH211" s="138">
        <v>1.5699999999999999E-4</v>
      </c>
      <c r="AI211" s="138">
        <v>1.1755987321553399E-2</v>
      </c>
      <c r="AJ211" s="138">
        <v>1.8212918531128001E-3</v>
      </c>
    </row>
    <row r="212" spans="1:36">
      <c r="A212" s="2">
        <v>161</v>
      </c>
      <c r="B212" s="2">
        <v>9942</v>
      </c>
      <c r="C212" s="2" t="s">
        <v>1675</v>
      </c>
      <c r="D212" s="2" t="s">
        <v>1676</v>
      </c>
      <c r="E212" s="3" t="s">
        <v>1351</v>
      </c>
      <c r="F212" s="2" t="s">
        <v>2142</v>
      </c>
      <c r="G212" s="2" t="s">
        <v>2143</v>
      </c>
      <c r="H212" s="2" t="s">
        <v>209</v>
      </c>
      <c r="I212" s="2" t="s">
        <v>788</v>
      </c>
      <c r="J212" s="2" t="s">
        <v>30</v>
      </c>
      <c r="K212" s="2" t="s">
        <v>30</v>
      </c>
      <c r="L212" s="2" t="s">
        <v>361</v>
      </c>
      <c r="M212" s="2" t="s">
        <v>31</v>
      </c>
      <c r="N212" s="2" t="s">
        <v>495</v>
      </c>
      <c r="O212" s="2" t="s">
        <v>160</v>
      </c>
      <c r="P212" s="2" t="s">
        <v>1956</v>
      </c>
      <c r="Q212" s="2" t="s">
        <v>446</v>
      </c>
      <c r="R212" s="2" t="s">
        <v>440</v>
      </c>
      <c r="S212" s="2" t="s">
        <v>34</v>
      </c>
      <c r="T212" s="123">
        <v>3.7440000000000002</v>
      </c>
      <c r="U212" s="2" t="s">
        <v>2144</v>
      </c>
      <c r="V212" s="136">
        <v>1.43E-2</v>
      </c>
      <c r="W212" s="138">
        <v>2.81E-2</v>
      </c>
      <c r="X212" s="3" t="s">
        <v>445</v>
      </c>
      <c r="Y212" s="3" t="s">
        <v>160</v>
      </c>
      <c r="Z212" s="123">
        <v>156774.19</v>
      </c>
      <c r="AA212" s="132">
        <v>1</v>
      </c>
      <c r="AB212" s="149">
        <v>111.28</v>
      </c>
      <c r="AC212" s="123">
        <v>3.3650000000000002</v>
      </c>
      <c r="AD212" s="123">
        <v>177.82400000000001</v>
      </c>
      <c r="AE212" s="2"/>
      <c r="AF212" s="2"/>
      <c r="AG212" s="2" t="s">
        <v>36</v>
      </c>
      <c r="AH212" s="138">
        <v>8.1000000000000004E-5</v>
      </c>
      <c r="AI212" s="138">
        <v>1.2088306390444699E-2</v>
      </c>
      <c r="AJ212" s="138">
        <v>1.8727762581441001E-3</v>
      </c>
    </row>
    <row r="213" spans="1:36">
      <c r="A213" s="2">
        <v>161</v>
      </c>
      <c r="B213" s="2">
        <v>9942</v>
      </c>
      <c r="C213" s="2" t="s">
        <v>1675</v>
      </c>
      <c r="D213" s="2" t="s">
        <v>1676</v>
      </c>
      <c r="E213" s="3" t="s">
        <v>1351</v>
      </c>
      <c r="F213" s="2" t="s">
        <v>2145</v>
      </c>
      <c r="G213" s="2" t="s">
        <v>2146</v>
      </c>
      <c r="H213" s="2" t="s">
        <v>209</v>
      </c>
      <c r="I213" s="2" t="s">
        <v>788</v>
      </c>
      <c r="J213" s="2" t="s">
        <v>30</v>
      </c>
      <c r="K213" s="2" t="s">
        <v>30</v>
      </c>
      <c r="L213" s="2" t="s">
        <v>361</v>
      </c>
      <c r="M213" s="2" t="s">
        <v>31</v>
      </c>
      <c r="N213" s="2" t="s">
        <v>495</v>
      </c>
      <c r="O213" s="2" t="s">
        <v>160</v>
      </c>
      <c r="P213" s="2" t="s">
        <v>1956</v>
      </c>
      <c r="Q213" s="2" t="s">
        <v>446</v>
      </c>
      <c r="R213" s="2" t="s">
        <v>440</v>
      </c>
      <c r="S213" s="2" t="s">
        <v>34</v>
      </c>
      <c r="T213" s="123">
        <v>0.80800000000000005</v>
      </c>
      <c r="U213" s="2" t="s">
        <v>2147</v>
      </c>
      <c r="V213" s="136">
        <v>2.1499999999999998E-2</v>
      </c>
      <c r="W213" s="138">
        <v>3.1850000000000003E-2</v>
      </c>
      <c r="X213" s="3" t="s">
        <v>445</v>
      </c>
      <c r="Y213" s="3" t="s">
        <v>160</v>
      </c>
      <c r="Z213" s="123">
        <v>269578.74</v>
      </c>
      <c r="AA213" s="132">
        <v>1</v>
      </c>
      <c r="AB213" s="149">
        <v>118.67</v>
      </c>
      <c r="AC213" s="2"/>
      <c r="AD213" s="123">
        <v>319.90899999999999</v>
      </c>
      <c r="AE213" s="2"/>
      <c r="AF213" s="2"/>
      <c r="AG213" s="2" t="s">
        <v>36</v>
      </c>
      <c r="AH213" s="138">
        <v>2.31E-4</v>
      </c>
      <c r="AI213" s="138">
        <v>2.1747172145608101E-2</v>
      </c>
      <c r="AJ213" s="138">
        <v>3.3691723522379399E-3</v>
      </c>
    </row>
    <row r="214" spans="1:36">
      <c r="A214" s="2">
        <v>161</v>
      </c>
      <c r="B214" s="2">
        <v>9942</v>
      </c>
      <c r="C214" s="2" t="s">
        <v>1675</v>
      </c>
      <c r="D214" s="2" t="s">
        <v>1676</v>
      </c>
      <c r="E214" s="3" t="s">
        <v>1351</v>
      </c>
      <c r="F214" s="2" t="s">
        <v>2148</v>
      </c>
      <c r="G214" s="2" t="s">
        <v>2149</v>
      </c>
      <c r="H214" s="2" t="s">
        <v>209</v>
      </c>
      <c r="I214" s="2" t="s">
        <v>788</v>
      </c>
      <c r="J214" s="2" t="s">
        <v>30</v>
      </c>
      <c r="K214" s="2" t="s">
        <v>30</v>
      </c>
      <c r="L214" s="2" t="s">
        <v>361</v>
      </c>
      <c r="M214" s="2" t="s">
        <v>31</v>
      </c>
      <c r="N214" s="2" t="s">
        <v>495</v>
      </c>
      <c r="O214" s="2" t="s">
        <v>160</v>
      </c>
      <c r="P214" s="2" t="s">
        <v>1956</v>
      </c>
      <c r="Q214" s="2" t="s">
        <v>446</v>
      </c>
      <c r="R214" s="2" t="s">
        <v>440</v>
      </c>
      <c r="S214" s="2" t="s">
        <v>34</v>
      </c>
      <c r="T214" s="123">
        <v>3.33</v>
      </c>
      <c r="U214" s="2" t="s">
        <v>2150</v>
      </c>
      <c r="V214" s="136">
        <v>2.2499999999999999E-2</v>
      </c>
      <c r="W214" s="138">
        <v>2.861E-2</v>
      </c>
      <c r="X214" s="3" t="s">
        <v>445</v>
      </c>
      <c r="Y214" s="3" t="s">
        <v>160</v>
      </c>
      <c r="Z214" s="123">
        <v>35745.71</v>
      </c>
      <c r="AA214" s="132">
        <v>1</v>
      </c>
      <c r="AB214" s="149">
        <v>116.27</v>
      </c>
      <c r="AC214" s="123">
        <v>1.1359999999999999</v>
      </c>
      <c r="AD214" s="123">
        <v>42.698</v>
      </c>
      <c r="AE214" s="2"/>
      <c r="AF214" s="2"/>
      <c r="AG214" s="2" t="s">
        <v>36</v>
      </c>
      <c r="AH214" s="138">
        <v>2.0999999999999999E-5</v>
      </c>
      <c r="AI214" s="138">
        <v>2.9025550043174299E-3</v>
      </c>
      <c r="AJ214" s="138">
        <v>4.4967722726980399E-4</v>
      </c>
    </row>
    <row r="215" spans="1:36">
      <c r="A215" s="2">
        <v>161</v>
      </c>
      <c r="B215" s="2">
        <v>9942</v>
      </c>
      <c r="C215" s="2" t="s">
        <v>1675</v>
      </c>
      <c r="D215" s="2" t="s">
        <v>1676</v>
      </c>
      <c r="E215" s="3" t="s">
        <v>1351</v>
      </c>
      <c r="F215" s="2" t="s">
        <v>2151</v>
      </c>
      <c r="G215" s="2" t="s">
        <v>2152</v>
      </c>
      <c r="H215" s="2" t="s">
        <v>209</v>
      </c>
      <c r="I215" s="2" t="s">
        <v>788</v>
      </c>
      <c r="J215" s="2" t="s">
        <v>30</v>
      </c>
      <c r="K215" s="2" t="s">
        <v>30</v>
      </c>
      <c r="L215" s="2" t="s">
        <v>361</v>
      </c>
      <c r="M215" s="2" t="s">
        <v>31</v>
      </c>
      <c r="N215" s="2" t="s">
        <v>495</v>
      </c>
      <c r="O215" s="2" t="s">
        <v>160</v>
      </c>
      <c r="P215" s="2" t="s">
        <v>1956</v>
      </c>
      <c r="Q215" s="2" t="s">
        <v>446</v>
      </c>
      <c r="R215" s="2" t="s">
        <v>440</v>
      </c>
      <c r="S215" s="2" t="s">
        <v>34</v>
      </c>
      <c r="T215" s="123">
        <v>4.6920000000000002</v>
      </c>
      <c r="U215" s="2" t="s">
        <v>2129</v>
      </c>
      <c r="V215" s="136">
        <v>2.5000000000000001E-3</v>
      </c>
      <c r="W215" s="138">
        <v>2.7019999999999999E-2</v>
      </c>
      <c r="X215" s="3" t="s">
        <v>445</v>
      </c>
      <c r="Y215" s="3" t="s">
        <v>160</v>
      </c>
      <c r="Z215" s="123">
        <v>127279.98</v>
      </c>
      <c r="AA215" s="132">
        <v>1</v>
      </c>
      <c r="AB215" s="149">
        <v>102.52</v>
      </c>
      <c r="AC215" s="123">
        <v>1.885</v>
      </c>
      <c r="AD215" s="123">
        <v>132.37200000000001</v>
      </c>
      <c r="AE215" s="2"/>
      <c r="AF215" s="2"/>
      <c r="AG215" s="2" t="s">
        <v>36</v>
      </c>
      <c r="AH215" s="138">
        <v>9.5000000000000005E-5</v>
      </c>
      <c r="AI215" s="138">
        <v>8.9985552179600806E-3</v>
      </c>
      <c r="AJ215" s="138">
        <v>1.3940977359008201E-3</v>
      </c>
    </row>
    <row r="216" spans="1:36">
      <c r="A216" s="2">
        <v>161</v>
      </c>
      <c r="B216" s="2">
        <v>9942</v>
      </c>
      <c r="C216" s="2" t="s">
        <v>2153</v>
      </c>
      <c r="D216" s="2" t="s">
        <v>2154</v>
      </c>
      <c r="E216" s="3" t="s">
        <v>1351</v>
      </c>
      <c r="F216" s="2" t="s">
        <v>2155</v>
      </c>
      <c r="G216" s="2" t="s">
        <v>2156</v>
      </c>
      <c r="H216" s="2" t="s">
        <v>209</v>
      </c>
      <c r="I216" s="2" t="s">
        <v>998</v>
      </c>
      <c r="J216" s="2" t="s">
        <v>30</v>
      </c>
      <c r="K216" s="2" t="s">
        <v>30</v>
      </c>
      <c r="L216" s="2" t="s">
        <v>361</v>
      </c>
      <c r="M216" s="2" t="s">
        <v>31</v>
      </c>
      <c r="N216" s="2" t="s">
        <v>476</v>
      </c>
      <c r="O216" s="2" t="s">
        <v>160</v>
      </c>
      <c r="P216" s="2" t="s">
        <v>1999</v>
      </c>
      <c r="Q216" s="2" t="s">
        <v>448</v>
      </c>
      <c r="R216" s="2" t="s">
        <v>440</v>
      </c>
      <c r="S216" s="2" t="s">
        <v>34</v>
      </c>
      <c r="T216" s="123">
        <v>5.0960000000000001</v>
      </c>
      <c r="U216" s="2" t="s">
        <v>2157</v>
      </c>
      <c r="V216" s="136">
        <v>2.98E-2</v>
      </c>
      <c r="W216" s="138">
        <v>4.5560000000000003E-2</v>
      </c>
      <c r="X216" s="3" t="s">
        <v>445</v>
      </c>
      <c r="Y216" s="3" t="s">
        <v>160</v>
      </c>
      <c r="Z216" s="123">
        <v>200000</v>
      </c>
      <c r="AA216" s="132">
        <v>1</v>
      </c>
      <c r="AB216" s="149">
        <v>92.64</v>
      </c>
      <c r="AC216" s="2"/>
      <c r="AD216" s="123">
        <v>185.28</v>
      </c>
      <c r="AE216" s="2"/>
      <c r="AF216" s="2"/>
      <c r="AG216" s="2" t="s">
        <v>36</v>
      </c>
      <c r="AH216" s="138">
        <v>5.0900000000000001E-4</v>
      </c>
      <c r="AI216" s="138">
        <v>1.2595190857474899E-2</v>
      </c>
      <c r="AJ216" s="138">
        <v>1.95130514091849E-3</v>
      </c>
    </row>
    <row r="217" spans="1:36">
      <c r="A217" s="2">
        <v>161</v>
      </c>
      <c r="B217" s="2">
        <v>9942</v>
      </c>
      <c r="C217" s="2" t="s">
        <v>1702</v>
      </c>
      <c r="D217" s="2" t="s">
        <v>1703</v>
      </c>
      <c r="E217" s="3" t="s">
        <v>1351</v>
      </c>
      <c r="F217" s="2" t="s">
        <v>2158</v>
      </c>
      <c r="G217" s="2" t="s">
        <v>2159</v>
      </c>
      <c r="H217" s="2" t="s">
        <v>209</v>
      </c>
      <c r="I217" s="2" t="s">
        <v>788</v>
      </c>
      <c r="J217" s="2" t="s">
        <v>30</v>
      </c>
      <c r="K217" s="2" t="s">
        <v>30</v>
      </c>
      <c r="L217" s="2" t="s">
        <v>361</v>
      </c>
      <c r="M217" s="2" t="s">
        <v>31</v>
      </c>
      <c r="N217" s="2" t="s">
        <v>495</v>
      </c>
      <c r="O217" s="2" t="s">
        <v>160</v>
      </c>
      <c r="P217" s="2" t="s">
        <v>88</v>
      </c>
      <c r="Q217" s="2" t="s">
        <v>446</v>
      </c>
      <c r="R217" s="2" t="s">
        <v>440</v>
      </c>
      <c r="S217" s="2" t="s">
        <v>34</v>
      </c>
      <c r="T217" s="123">
        <v>2.6779999999999999</v>
      </c>
      <c r="U217" s="2" t="s">
        <v>2160</v>
      </c>
      <c r="V217" s="136">
        <v>1.34E-2</v>
      </c>
      <c r="W217" s="138">
        <v>2.8029999999999999E-2</v>
      </c>
      <c r="X217" s="3" t="s">
        <v>445</v>
      </c>
      <c r="Y217" s="3" t="s">
        <v>160</v>
      </c>
      <c r="Z217" s="123">
        <v>225912.25</v>
      </c>
      <c r="AA217" s="132">
        <v>1</v>
      </c>
      <c r="AB217" s="149">
        <v>114.07</v>
      </c>
      <c r="AC217" s="123">
        <v>28.759</v>
      </c>
      <c r="AD217" s="123">
        <v>286.45699999999999</v>
      </c>
      <c r="AE217" s="2"/>
      <c r="AF217" s="2"/>
      <c r="AG217" s="2" t="s">
        <v>36</v>
      </c>
      <c r="AH217" s="138">
        <v>1.02E-4</v>
      </c>
      <c r="AI217" s="138">
        <v>1.9473150327656001E-2</v>
      </c>
      <c r="AJ217" s="138">
        <v>3.0168703891996201E-3</v>
      </c>
    </row>
    <row r="218" spans="1:36">
      <c r="A218" s="2">
        <v>161</v>
      </c>
      <c r="B218" s="2">
        <v>9942</v>
      </c>
      <c r="C218" s="2" t="s">
        <v>1702</v>
      </c>
      <c r="D218" s="2" t="s">
        <v>1703</v>
      </c>
      <c r="E218" s="3" t="s">
        <v>1351</v>
      </c>
      <c r="F218" s="2" t="s">
        <v>2161</v>
      </c>
      <c r="G218" s="2" t="s">
        <v>2162</v>
      </c>
      <c r="H218" s="2" t="s">
        <v>209</v>
      </c>
      <c r="I218" s="2" t="s">
        <v>788</v>
      </c>
      <c r="J218" s="2" t="s">
        <v>30</v>
      </c>
      <c r="K218" s="2" t="s">
        <v>30</v>
      </c>
      <c r="L218" s="2" t="s">
        <v>361</v>
      </c>
      <c r="M218" s="2" t="s">
        <v>31</v>
      </c>
      <c r="N218" s="2" t="s">
        <v>495</v>
      </c>
      <c r="O218" s="2" t="s">
        <v>160</v>
      </c>
      <c r="P218" s="2" t="s">
        <v>2163</v>
      </c>
      <c r="Q218" s="2" t="s">
        <v>448</v>
      </c>
      <c r="R218" s="2" t="s">
        <v>440</v>
      </c>
      <c r="S218" s="2" t="s">
        <v>34</v>
      </c>
      <c r="T218" s="123">
        <v>1.9570000000000001</v>
      </c>
      <c r="U218" s="2" t="s">
        <v>2014</v>
      </c>
      <c r="V218" s="136">
        <v>1.77E-2</v>
      </c>
      <c r="W218" s="138">
        <v>2.8219999999999999E-2</v>
      </c>
      <c r="X218" s="3" t="s">
        <v>445</v>
      </c>
      <c r="Y218" s="3" t="s">
        <v>160</v>
      </c>
      <c r="Z218" s="123">
        <v>210505.16</v>
      </c>
      <c r="AA218" s="132">
        <v>1</v>
      </c>
      <c r="AB218" s="149">
        <v>114.73</v>
      </c>
      <c r="AC218" s="2"/>
      <c r="AD218" s="123">
        <v>241.51300000000001</v>
      </c>
      <c r="AE218" s="2"/>
      <c r="AF218" s="2"/>
      <c r="AG218" s="2" t="s">
        <v>36</v>
      </c>
      <c r="AH218" s="138">
        <v>8.7000000000000001E-5</v>
      </c>
      <c r="AI218" s="138">
        <v>1.6417837405471401E-2</v>
      </c>
      <c r="AJ218" s="138">
        <v>2.5435271997523998E-3</v>
      </c>
    </row>
    <row r="219" spans="1:36">
      <c r="A219" s="2">
        <v>161</v>
      </c>
      <c r="B219" s="2">
        <v>9942</v>
      </c>
      <c r="C219" s="2" t="s">
        <v>1702</v>
      </c>
      <c r="D219" s="2" t="s">
        <v>1703</v>
      </c>
      <c r="E219" s="3" t="s">
        <v>1351</v>
      </c>
      <c r="F219" s="2" t="s">
        <v>2164</v>
      </c>
      <c r="G219" s="2" t="s">
        <v>2165</v>
      </c>
      <c r="H219" s="2" t="s">
        <v>209</v>
      </c>
      <c r="I219" s="2" t="s">
        <v>788</v>
      </c>
      <c r="J219" s="2" t="s">
        <v>30</v>
      </c>
      <c r="K219" s="2" t="s">
        <v>30</v>
      </c>
      <c r="L219" s="2" t="s">
        <v>361</v>
      </c>
      <c r="M219" s="2" t="s">
        <v>31</v>
      </c>
      <c r="N219" s="2" t="s">
        <v>495</v>
      </c>
      <c r="O219" s="2" t="s">
        <v>160</v>
      </c>
      <c r="P219" s="2" t="s">
        <v>88</v>
      </c>
      <c r="Q219" s="2" t="s">
        <v>446</v>
      </c>
      <c r="R219" s="2" t="s">
        <v>440</v>
      </c>
      <c r="S219" s="2" t="s">
        <v>34</v>
      </c>
      <c r="T219" s="123">
        <v>6.4160000000000004</v>
      </c>
      <c r="U219" s="2" t="s">
        <v>2166</v>
      </c>
      <c r="V219" s="136">
        <v>8.9999999999999993E-3</v>
      </c>
      <c r="W219" s="138">
        <v>2.8410000000000001E-2</v>
      </c>
      <c r="X219" s="3" t="s">
        <v>445</v>
      </c>
      <c r="Y219" s="3" t="s">
        <v>160</v>
      </c>
      <c r="Z219" s="123">
        <v>84480</v>
      </c>
      <c r="AA219" s="132">
        <v>1</v>
      </c>
      <c r="AB219" s="149">
        <v>101.93</v>
      </c>
      <c r="AC219" s="123">
        <v>2.4769999999999999</v>
      </c>
      <c r="AD219" s="123">
        <v>88.587000000000003</v>
      </c>
      <c r="AE219" s="2"/>
      <c r="AF219" s="2"/>
      <c r="AG219" s="2" t="s">
        <v>36</v>
      </c>
      <c r="AH219" s="138">
        <v>3.1000000000000001E-5</v>
      </c>
      <c r="AI219" s="138">
        <v>6.0220996933759204E-3</v>
      </c>
      <c r="AJ219" s="138">
        <v>9.32971498707719E-4</v>
      </c>
    </row>
    <row r="220" spans="1:36">
      <c r="A220" s="2">
        <v>161</v>
      </c>
      <c r="B220" s="2">
        <v>9942</v>
      </c>
      <c r="C220" s="2" t="s">
        <v>1610</v>
      </c>
      <c r="D220" s="2" t="s">
        <v>1611</v>
      </c>
      <c r="E220" s="3" t="s">
        <v>1351</v>
      </c>
      <c r="F220" s="2" t="s">
        <v>2167</v>
      </c>
      <c r="G220" s="2" t="s">
        <v>2168</v>
      </c>
      <c r="H220" s="2" t="s">
        <v>209</v>
      </c>
      <c r="I220" s="2" t="s">
        <v>998</v>
      </c>
      <c r="J220" s="2" t="s">
        <v>30</v>
      </c>
      <c r="K220" s="2" t="s">
        <v>30</v>
      </c>
      <c r="L220" s="2" t="s">
        <v>361</v>
      </c>
      <c r="M220" s="2" t="s">
        <v>31</v>
      </c>
      <c r="N220" s="2" t="s">
        <v>479</v>
      </c>
      <c r="O220" s="2" t="s">
        <v>160</v>
      </c>
      <c r="P220" s="2" t="s">
        <v>1199</v>
      </c>
      <c r="Q220" s="2" t="s">
        <v>446</v>
      </c>
      <c r="R220" s="2" t="s">
        <v>440</v>
      </c>
      <c r="S220" s="2" t="s">
        <v>34</v>
      </c>
      <c r="T220" s="123">
        <v>3.181</v>
      </c>
      <c r="U220" s="2" t="s">
        <v>2169</v>
      </c>
      <c r="V220" s="136">
        <v>2.5000000000000001E-2</v>
      </c>
      <c r="W220" s="138">
        <v>4.3069999999999997E-2</v>
      </c>
      <c r="X220" s="3" t="s">
        <v>445</v>
      </c>
      <c r="Y220" s="3" t="s">
        <v>160</v>
      </c>
      <c r="Z220" s="123">
        <v>498750</v>
      </c>
      <c r="AA220" s="132">
        <v>1</v>
      </c>
      <c r="AB220" s="149">
        <v>95.85</v>
      </c>
      <c r="AC220" s="2"/>
      <c r="AD220" s="123">
        <v>478.05200000000002</v>
      </c>
      <c r="AE220" s="2"/>
      <c r="AF220" s="2"/>
      <c r="AG220" s="2" t="s">
        <v>36</v>
      </c>
      <c r="AH220" s="138">
        <v>2.4600000000000002E-4</v>
      </c>
      <c r="AI220" s="138">
        <v>3.2497596099949899E-2</v>
      </c>
      <c r="AJ220" s="138">
        <v>5.0346776841171401E-3</v>
      </c>
    </row>
    <row r="221" spans="1:36">
      <c r="A221" s="2">
        <v>161</v>
      </c>
      <c r="B221" s="2">
        <v>9942</v>
      </c>
      <c r="C221" s="2" t="s">
        <v>1610</v>
      </c>
      <c r="D221" s="2" t="s">
        <v>1611</v>
      </c>
      <c r="E221" s="3" t="s">
        <v>1351</v>
      </c>
      <c r="F221" s="2" t="s">
        <v>2170</v>
      </c>
      <c r="G221" s="2" t="s">
        <v>2171</v>
      </c>
      <c r="H221" s="2" t="s">
        <v>209</v>
      </c>
      <c r="I221" s="2" t="s">
        <v>788</v>
      </c>
      <c r="J221" s="2" t="s">
        <v>30</v>
      </c>
      <c r="K221" s="2" t="s">
        <v>30</v>
      </c>
      <c r="L221" s="2" t="s">
        <v>361</v>
      </c>
      <c r="M221" s="2" t="s">
        <v>31</v>
      </c>
      <c r="N221" s="2" t="s">
        <v>479</v>
      </c>
      <c r="O221" s="2" t="s">
        <v>160</v>
      </c>
      <c r="P221" s="2" t="s">
        <v>1199</v>
      </c>
      <c r="Q221" s="2" t="s">
        <v>446</v>
      </c>
      <c r="R221" s="2" t="s">
        <v>440</v>
      </c>
      <c r="S221" s="2" t="s">
        <v>34</v>
      </c>
      <c r="T221" s="123">
        <v>3.335</v>
      </c>
      <c r="U221" s="2" t="s">
        <v>2169</v>
      </c>
      <c r="V221" s="136">
        <v>1E-3</v>
      </c>
      <c r="W221" s="138">
        <v>2.5729999999999999E-2</v>
      </c>
      <c r="X221" s="3" t="s">
        <v>445</v>
      </c>
      <c r="Y221" s="3" t="s">
        <v>160</v>
      </c>
      <c r="Z221" s="123">
        <v>397491.5</v>
      </c>
      <c r="AA221" s="132">
        <v>1</v>
      </c>
      <c r="AB221" s="149">
        <v>105.19</v>
      </c>
      <c r="AC221" s="2"/>
      <c r="AD221" s="123">
        <v>418.12099999999998</v>
      </c>
      <c r="AE221" s="2"/>
      <c r="AF221" s="2"/>
      <c r="AG221" s="2" t="s">
        <v>36</v>
      </c>
      <c r="AH221" s="138">
        <v>4.0400000000000001E-4</v>
      </c>
      <c r="AI221" s="138">
        <v>2.8423562643258599E-2</v>
      </c>
      <c r="AJ221" s="138">
        <v>4.4035096043100897E-3</v>
      </c>
    </row>
    <row r="222" spans="1:36">
      <c r="A222" s="2">
        <v>161</v>
      </c>
      <c r="B222" s="2">
        <v>9942</v>
      </c>
      <c r="C222" s="2" t="s">
        <v>1610</v>
      </c>
      <c r="D222" s="2" t="s">
        <v>1611</v>
      </c>
      <c r="E222" s="3" t="s">
        <v>1351</v>
      </c>
      <c r="F222" s="2" t="s">
        <v>2172</v>
      </c>
      <c r="G222" s="2" t="s">
        <v>2173</v>
      </c>
      <c r="H222" s="2" t="s">
        <v>209</v>
      </c>
      <c r="I222" s="2" t="s">
        <v>788</v>
      </c>
      <c r="J222" s="2" t="s">
        <v>30</v>
      </c>
      <c r="K222" s="2" t="s">
        <v>30</v>
      </c>
      <c r="L222" s="2" t="s">
        <v>361</v>
      </c>
      <c r="M222" s="2" t="s">
        <v>31</v>
      </c>
      <c r="N222" s="2" t="s">
        <v>479</v>
      </c>
      <c r="O222" s="2" t="s">
        <v>160</v>
      </c>
      <c r="P222" s="2" t="s">
        <v>1199</v>
      </c>
      <c r="Q222" s="2" t="s">
        <v>446</v>
      </c>
      <c r="R222" s="2" t="s">
        <v>440</v>
      </c>
      <c r="S222" s="2" t="s">
        <v>34</v>
      </c>
      <c r="T222" s="123">
        <v>3.7149999999999999</v>
      </c>
      <c r="U222" s="2" t="s">
        <v>2174</v>
      </c>
      <c r="V222" s="136">
        <v>1.3899999999999999E-2</v>
      </c>
      <c r="W222" s="138">
        <v>2.511E-2</v>
      </c>
      <c r="X222" s="3" t="s">
        <v>445</v>
      </c>
      <c r="Y222" s="3" t="s">
        <v>160</v>
      </c>
      <c r="Z222" s="123">
        <v>659111.12</v>
      </c>
      <c r="AA222" s="132">
        <v>1</v>
      </c>
      <c r="AB222" s="149">
        <v>105.13</v>
      </c>
      <c r="AC222" s="2"/>
      <c r="AD222" s="123">
        <v>692.92399999999998</v>
      </c>
      <c r="AE222" s="2"/>
      <c r="AF222" s="2"/>
      <c r="AG222" s="2" t="s">
        <v>36</v>
      </c>
      <c r="AH222" s="138">
        <v>4.1199999999999999E-4</v>
      </c>
      <c r="AI222" s="138">
        <v>4.7104404089900201E-2</v>
      </c>
      <c r="AJ222" s="138">
        <v>7.29763184223408E-3</v>
      </c>
    </row>
    <row r="223" spans="1:36">
      <c r="A223" s="2">
        <v>161</v>
      </c>
      <c r="B223" s="2">
        <v>9942</v>
      </c>
      <c r="C223" s="2" t="s">
        <v>1610</v>
      </c>
      <c r="D223" s="2" t="s">
        <v>1611</v>
      </c>
      <c r="E223" s="3" t="s">
        <v>1351</v>
      </c>
      <c r="F223" s="2" t="s">
        <v>2178</v>
      </c>
      <c r="G223" s="2" t="s">
        <v>2179</v>
      </c>
      <c r="H223" s="2" t="s">
        <v>209</v>
      </c>
      <c r="I223" s="2" t="s">
        <v>788</v>
      </c>
      <c r="J223" s="2" t="s">
        <v>30</v>
      </c>
      <c r="K223" s="2" t="s">
        <v>30</v>
      </c>
      <c r="L223" s="2" t="s">
        <v>361</v>
      </c>
      <c r="M223" s="2" t="s">
        <v>31</v>
      </c>
      <c r="N223" s="2" t="s">
        <v>479</v>
      </c>
      <c r="O223" s="2" t="s">
        <v>160</v>
      </c>
      <c r="P223" s="2" t="s">
        <v>1199</v>
      </c>
      <c r="Q223" s="2" t="s">
        <v>446</v>
      </c>
      <c r="R223" s="2" t="s">
        <v>440</v>
      </c>
      <c r="S223" s="2" t="s">
        <v>34</v>
      </c>
      <c r="T223" s="123">
        <v>2.8039999999999998</v>
      </c>
      <c r="U223" s="2" t="s">
        <v>2180</v>
      </c>
      <c r="V223" s="136">
        <v>1.7500000000000002E-2</v>
      </c>
      <c r="W223" s="138">
        <v>2.4469999999999999E-2</v>
      </c>
      <c r="X223" s="3" t="s">
        <v>445</v>
      </c>
      <c r="Y223" s="3" t="s">
        <v>160</v>
      </c>
      <c r="Z223" s="123">
        <v>374343.89</v>
      </c>
      <c r="AA223" s="132">
        <v>1</v>
      </c>
      <c r="AB223" s="149">
        <v>115.29</v>
      </c>
      <c r="AC223" s="2"/>
      <c r="AD223" s="123">
        <v>431.58100000000002</v>
      </c>
      <c r="AE223" s="2"/>
      <c r="AF223" s="2"/>
      <c r="AG223" s="2" t="s">
        <v>36</v>
      </c>
      <c r="AH223" s="138">
        <v>1.6799999999999999E-4</v>
      </c>
      <c r="AI223" s="138">
        <v>2.93385468316066E-2</v>
      </c>
      <c r="AJ223" s="138">
        <v>4.5452631807970196E-3</v>
      </c>
    </row>
    <row r="224" spans="1:36">
      <c r="A224" s="2">
        <v>161</v>
      </c>
      <c r="B224" s="2">
        <v>9942</v>
      </c>
      <c r="C224" s="2" t="s">
        <v>1610</v>
      </c>
      <c r="D224" s="2" t="s">
        <v>1611</v>
      </c>
      <c r="E224" s="3" t="s">
        <v>1351</v>
      </c>
      <c r="F224" s="2" t="s">
        <v>2181</v>
      </c>
      <c r="G224" s="2" t="s">
        <v>2182</v>
      </c>
      <c r="H224" s="2" t="s">
        <v>209</v>
      </c>
      <c r="I224" s="2" t="s">
        <v>788</v>
      </c>
      <c r="J224" s="2" t="s">
        <v>30</v>
      </c>
      <c r="K224" s="2" t="s">
        <v>30</v>
      </c>
      <c r="L224" s="2" t="s">
        <v>361</v>
      </c>
      <c r="M224" s="2" t="s">
        <v>58</v>
      </c>
      <c r="N224" s="2" t="s">
        <v>479</v>
      </c>
      <c r="O224" s="2" t="s">
        <v>160</v>
      </c>
      <c r="P224" s="2" t="s">
        <v>1969</v>
      </c>
      <c r="Q224" s="2" t="s">
        <v>446</v>
      </c>
      <c r="R224" s="2" t="s">
        <v>440</v>
      </c>
      <c r="S224" s="2" t="s">
        <v>34</v>
      </c>
      <c r="T224" s="123">
        <v>6.56</v>
      </c>
      <c r="U224" s="2" t="s">
        <v>2183</v>
      </c>
      <c r="V224" s="136">
        <v>3.4500000000000003E-2</v>
      </c>
      <c r="W224" s="138">
        <v>2.903E-2</v>
      </c>
      <c r="X224" s="3" t="s">
        <v>445</v>
      </c>
      <c r="Y224" s="3" t="s">
        <v>160</v>
      </c>
      <c r="Z224" s="123">
        <v>220000</v>
      </c>
      <c r="AA224" s="132">
        <v>1</v>
      </c>
      <c r="AB224" s="149">
        <v>106.85</v>
      </c>
      <c r="AC224" s="2"/>
      <c r="AD224" s="123">
        <v>235.07</v>
      </c>
      <c r="AE224" s="2"/>
      <c r="AF224" s="2"/>
      <c r="AG224" s="2" t="s">
        <v>36</v>
      </c>
      <c r="AH224" s="138">
        <v>1.4899999999999999E-4</v>
      </c>
      <c r="AI224" s="138">
        <v>1.59798764835202E-2</v>
      </c>
      <c r="AJ224" s="138">
        <v>2.47567627091812E-3</v>
      </c>
    </row>
    <row r="225" spans="1:36">
      <c r="A225" s="2">
        <v>161</v>
      </c>
      <c r="B225" s="2">
        <v>9942</v>
      </c>
      <c r="C225" s="2" t="s">
        <v>1710</v>
      </c>
      <c r="D225" s="2" t="s">
        <v>1711</v>
      </c>
      <c r="E225" s="3" t="s">
        <v>1351</v>
      </c>
      <c r="F225" s="2" t="s">
        <v>2184</v>
      </c>
      <c r="G225" s="2" t="s">
        <v>2185</v>
      </c>
      <c r="H225" s="2" t="s">
        <v>209</v>
      </c>
      <c r="I225" s="2" t="s">
        <v>998</v>
      </c>
      <c r="J225" s="2" t="s">
        <v>30</v>
      </c>
      <c r="K225" s="2" t="s">
        <v>30</v>
      </c>
      <c r="L225" s="2" t="s">
        <v>361</v>
      </c>
      <c r="M225" s="2" t="s">
        <v>31</v>
      </c>
      <c r="N225" s="2" t="s">
        <v>508</v>
      </c>
      <c r="O225" s="2" t="s">
        <v>160</v>
      </c>
      <c r="P225" s="2" t="s">
        <v>1969</v>
      </c>
      <c r="Q225" s="2" t="s">
        <v>446</v>
      </c>
      <c r="R225" s="2" t="s">
        <v>440</v>
      </c>
      <c r="S225" s="2" t="s">
        <v>34</v>
      </c>
      <c r="T225" s="123">
        <v>0.90200000000000002</v>
      </c>
      <c r="U225" s="2" t="s">
        <v>2186</v>
      </c>
      <c r="V225" s="136">
        <v>2.29E-2</v>
      </c>
      <c r="W225" s="138">
        <v>4.7030000000000002E-2</v>
      </c>
      <c r="X225" s="3" t="s">
        <v>445</v>
      </c>
      <c r="Y225" s="3" t="s">
        <v>160</v>
      </c>
      <c r="Z225" s="123">
        <v>83076.92</v>
      </c>
      <c r="AA225" s="132">
        <v>1</v>
      </c>
      <c r="AB225" s="149">
        <v>98.11</v>
      </c>
      <c r="AC225" s="2"/>
      <c r="AD225" s="123">
        <v>81.507000000000005</v>
      </c>
      <c r="AE225" s="2"/>
      <c r="AF225" s="2"/>
      <c r="AG225" s="2" t="s">
        <v>36</v>
      </c>
      <c r="AH225" s="138">
        <v>2.5099999999999998E-4</v>
      </c>
      <c r="AI225" s="138">
        <v>5.5407668211125E-3</v>
      </c>
      <c r="AJ225" s="138">
        <v>8.5840118700948403E-4</v>
      </c>
    </row>
    <row r="226" spans="1:36">
      <c r="A226" s="2">
        <v>161</v>
      </c>
      <c r="B226" s="2">
        <v>9942</v>
      </c>
      <c r="C226" s="2" t="s">
        <v>2187</v>
      </c>
      <c r="D226" s="2" t="s">
        <v>2188</v>
      </c>
      <c r="E226" s="3" t="s">
        <v>1351</v>
      </c>
      <c r="F226" s="2" t="s">
        <v>2189</v>
      </c>
      <c r="G226" s="2" t="s">
        <v>2190</v>
      </c>
      <c r="H226" s="2" t="s">
        <v>209</v>
      </c>
      <c r="I226" s="2" t="s">
        <v>788</v>
      </c>
      <c r="J226" s="2" t="s">
        <v>30</v>
      </c>
      <c r="K226" s="2" t="s">
        <v>30</v>
      </c>
      <c r="L226" s="2" t="s">
        <v>361</v>
      </c>
      <c r="M226" s="2" t="s">
        <v>31</v>
      </c>
      <c r="N226" s="2" t="s">
        <v>471</v>
      </c>
      <c r="O226" s="2" t="s">
        <v>160</v>
      </c>
      <c r="P226" s="2" t="s">
        <v>1969</v>
      </c>
      <c r="Q226" s="2" t="s">
        <v>446</v>
      </c>
      <c r="R226" s="2" t="s">
        <v>440</v>
      </c>
      <c r="S226" s="2" t="s">
        <v>34</v>
      </c>
      <c r="T226" s="123">
        <v>1.867</v>
      </c>
      <c r="U226" s="2" t="s">
        <v>2191</v>
      </c>
      <c r="V226" s="136">
        <v>1.9400000000000001E-2</v>
      </c>
      <c r="W226" s="138">
        <v>2.63E-2</v>
      </c>
      <c r="X226" s="3" t="s">
        <v>445</v>
      </c>
      <c r="Y226" s="3" t="s">
        <v>160</v>
      </c>
      <c r="Z226" s="123">
        <v>128030.7</v>
      </c>
      <c r="AA226" s="132">
        <v>1</v>
      </c>
      <c r="AB226" s="149">
        <v>116.7</v>
      </c>
      <c r="AC226" s="2"/>
      <c r="AD226" s="123">
        <v>149.41200000000001</v>
      </c>
      <c r="AE226" s="2"/>
      <c r="AF226" s="2"/>
      <c r="AG226" s="2" t="s">
        <v>36</v>
      </c>
      <c r="AH226" s="138">
        <v>5.31E-4</v>
      </c>
      <c r="AI226" s="138">
        <v>1.0156900238393199E-2</v>
      </c>
      <c r="AJ226" s="138">
        <v>1.57355389650256E-3</v>
      </c>
    </row>
    <row r="227" spans="1:36">
      <c r="A227" s="2">
        <v>161</v>
      </c>
      <c r="B227" s="2">
        <v>9942</v>
      </c>
      <c r="C227" s="2" t="s">
        <v>2265</v>
      </c>
      <c r="D227" s="2" t="s">
        <v>2266</v>
      </c>
      <c r="E227" s="3" t="s">
        <v>1351</v>
      </c>
      <c r="F227" s="2" t="s">
        <v>2267</v>
      </c>
      <c r="G227" s="2" t="s">
        <v>2268</v>
      </c>
      <c r="H227" s="2" t="s">
        <v>209</v>
      </c>
      <c r="I227" s="2" t="s">
        <v>788</v>
      </c>
      <c r="J227" s="2" t="s">
        <v>30</v>
      </c>
      <c r="K227" s="2" t="s">
        <v>30</v>
      </c>
      <c r="L227" s="2" t="s">
        <v>361</v>
      </c>
      <c r="M227" s="2" t="s">
        <v>31</v>
      </c>
      <c r="N227" s="2" t="s">
        <v>476</v>
      </c>
      <c r="O227" s="2" t="s">
        <v>160</v>
      </c>
      <c r="P227" s="2" t="s">
        <v>1956</v>
      </c>
      <c r="Q227" s="2" t="s">
        <v>446</v>
      </c>
      <c r="R227" s="2" t="s">
        <v>440</v>
      </c>
      <c r="S227" s="2" t="s">
        <v>34</v>
      </c>
      <c r="T227" s="123">
        <v>1.3169999999999999</v>
      </c>
      <c r="U227" s="2" t="s">
        <v>2269</v>
      </c>
      <c r="V227" s="136">
        <v>2.2499999999999999E-2</v>
      </c>
      <c r="W227" s="138">
        <v>2.58E-2</v>
      </c>
      <c r="X227" s="3" t="s">
        <v>445</v>
      </c>
      <c r="Y227" s="3" t="s">
        <v>160</v>
      </c>
      <c r="Z227" s="123">
        <v>100000</v>
      </c>
      <c r="AA227" s="132">
        <v>1</v>
      </c>
      <c r="AB227" s="149">
        <v>118.52</v>
      </c>
      <c r="AC227" s="2"/>
      <c r="AD227" s="123">
        <v>118.52</v>
      </c>
      <c r="AE227" s="2"/>
      <c r="AF227" s="2"/>
      <c r="AG227" s="2" t="s">
        <v>36</v>
      </c>
      <c r="AH227" s="138">
        <v>2.4399999999999999E-4</v>
      </c>
      <c r="AI227" s="138">
        <v>8.0568977786481099E-3</v>
      </c>
      <c r="AJ227" s="138">
        <v>1.24821181617908E-3</v>
      </c>
    </row>
    <row r="228" spans="1:36">
      <c r="A228" s="2">
        <v>161</v>
      </c>
      <c r="B228" s="2">
        <v>9942</v>
      </c>
      <c r="C228" s="2" t="s">
        <v>2195</v>
      </c>
      <c r="D228" s="2" t="s">
        <v>2196</v>
      </c>
      <c r="E228" s="3" t="s">
        <v>1351</v>
      </c>
      <c r="F228" s="2" t="s">
        <v>2197</v>
      </c>
      <c r="G228" s="2" t="s">
        <v>2198</v>
      </c>
      <c r="H228" s="2" t="s">
        <v>209</v>
      </c>
      <c r="I228" s="2" t="s">
        <v>788</v>
      </c>
      <c r="J228" s="2" t="s">
        <v>30</v>
      </c>
      <c r="K228" s="2" t="s">
        <v>30</v>
      </c>
      <c r="L228" s="2" t="s">
        <v>361</v>
      </c>
      <c r="M228" s="2" t="s">
        <v>31</v>
      </c>
      <c r="N228" s="2" t="s">
        <v>495</v>
      </c>
      <c r="O228" s="2" t="s">
        <v>160</v>
      </c>
      <c r="P228" s="2" t="s">
        <v>1956</v>
      </c>
      <c r="Q228" s="2" t="s">
        <v>446</v>
      </c>
      <c r="R228" s="2" t="s">
        <v>440</v>
      </c>
      <c r="S228" s="2" t="s">
        <v>34</v>
      </c>
      <c r="T228" s="123">
        <v>6.0019999999999998</v>
      </c>
      <c r="U228" s="2" t="s">
        <v>2199</v>
      </c>
      <c r="V228" s="136">
        <v>2.5000000000000001E-2</v>
      </c>
      <c r="W228" s="138">
        <v>2.9499999999999998E-2</v>
      </c>
      <c r="X228" s="3" t="s">
        <v>445</v>
      </c>
      <c r="Y228" s="3" t="s">
        <v>160</v>
      </c>
      <c r="Z228" s="123">
        <v>80750</v>
      </c>
      <c r="AA228" s="132">
        <v>1</v>
      </c>
      <c r="AB228" s="149">
        <v>114.89</v>
      </c>
      <c r="AC228" s="2"/>
      <c r="AD228" s="123">
        <v>92.774000000000001</v>
      </c>
      <c r="AE228" s="2"/>
      <c r="AF228" s="2"/>
      <c r="AG228" s="2" t="s">
        <v>36</v>
      </c>
      <c r="AH228" s="138">
        <v>6.0000000000000002E-5</v>
      </c>
      <c r="AI228" s="138">
        <v>6.306682551675E-3</v>
      </c>
      <c r="AJ228" s="138">
        <v>9.7706038951533391E-4</v>
      </c>
    </row>
    <row r="229" spans="1:36">
      <c r="A229" s="2">
        <v>161</v>
      </c>
      <c r="B229" s="2">
        <v>9942</v>
      </c>
      <c r="C229" s="2" t="s">
        <v>2200</v>
      </c>
      <c r="D229" s="2" t="s">
        <v>2201</v>
      </c>
      <c r="E229" s="3" t="s">
        <v>1351</v>
      </c>
      <c r="F229" s="2" t="s">
        <v>2202</v>
      </c>
      <c r="G229" s="2" t="s">
        <v>2203</v>
      </c>
      <c r="H229" s="2" t="s">
        <v>209</v>
      </c>
      <c r="I229" s="2" t="s">
        <v>998</v>
      </c>
      <c r="J229" s="2" t="s">
        <v>30</v>
      </c>
      <c r="K229" s="2" t="s">
        <v>30</v>
      </c>
      <c r="L229" s="2" t="s">
        <v>361</v>
      </c>
      <c r="M229" s="2" t="s">
        <v>31</v>
      </c>
      <c r="N229" s="2" t="s">
        <v>471</v>
      </c>
      <c r="O229" s="2" t="s">
        <v>160</v>
      </c>
      <c r="P229" s="2" t="s">
        <v>2008</v>
      </c>
      <c r="Q229" s="2" t="s">
        <v>448</v>
      </c>
      <c r="R229" s="2" t="s">
        <v>440</v>
      </c>
      <c r="S229" s="2" t="s">
        <v>34</v>
      </c>
      <c r="T229" s="123">
        <v>4.2729999999999997</v>
      </c>
      <c r="U229" s="2" t="s">
        <v>2204</v>
      </c>
      <c r="V229" s="136">
        <v>6.7699999999999996E-2</v>
      </c>
      <c r="W229" s="138">
        <v>5.015E-2</v>
      </c>
      <c r="X229" s="3" t="s">
        <v>445</v>
      </c>
      <c r="Y229" s="3" t="s">
        <v>160</v>
      </c>
      <c r="Z229" s="123">
        <v>153000</v>
      </c>
      <c r="AA229" s="132">
        <v>1</v>
      </c>
      <c r="AB229" s="149">
        <v>107.74</v>
      </c>
      <c r="AC229" s="2"/>
      <c r="AD229" s="123">
        <v>164.84200000000001</v>
      </c>
      <c r="AE229" s="2"/>
      <c r="AF229" s="2"/>
      <c r="AG229" s="2" t="s">
        <v>36</v>
      </c>
      <c r="AH229" s="138">
        <v>2.2699999999999999E-4</v>
      </c>
      <c r="AI229" s="138">
        <v>1.12058450473124E-2</v>
      </c>
      <c r="AJ229" s="138">
        <v>1.7360612710509201E-3</v>
      </c>
    </row>
    <row r="230" spans="1:36">
      <c r="A230" s="2">
        <v>161</v>
      </c>
      <c r="B230" s="2">
        <v>9942</v>
      </c>
      <c r="C230" s="2" t="s">
        <v>2205</v>
      </c>
      <c r="D230" s="2" t="s">
        <v>2206</v>
      </c>
      <c r="E230" s="3" t="s">
        <v>1351</v>
      </c>
      <c r="F230" s="2" t="s">
        <v>2207</v>
      </c>
      <c r="G230" s="2" t="s">
        <v>2208</v>
      </c>
      <c r="H230" s="2" t="s">
        <v>209</v>
      </c>
      <c r="I230" s="2" t="s">
        <v>788</v>
      </c>
      <c r="J230" s="2" t="s">
        <v>30</v>
      </c>
      <c r="K230" s="2" t="s">
        <v>30</v>
      </c>
      <c r="L230" s="2" t="s">
        <v>361</v>
      </c>
      <c r="M230" s="2" t="s">
        <v>31</v>
      </c>
      <c r="N230" s="2" t="s">
        <v>509</v>
      </c>
      <c r="O230" s="2" t="s">
        <v>160</v>
      </c>
      <c r="P230" s="2" t="s">
        <v>1956</v>
      </c>
      <c r="Q230" s="2" t="s">
        <v>446</v>
      </c>
      <c r="R230" s="2" t="s">
        <v>440</v>
      </c>
      <c r="S230" s="2" t="s">
        <v>34</v>
      </c>
      <c r="T230" s="123">
        <v>3.1760000000000002</v>
      </c>
      <c r="U230" s="2" t="s">
        <v>2209</v>
      </c>
      <c r="V230" s="136">
        <v>2.1999999999999999E-2</v>
      </c>
      <c r="W230" s="138">
        <v>2.818E-2</v>
      </c>
      <c r="X230" s="3" t="s">
        <v>445</v>
      </c>
      <c r="Y230" s="3" t="s">
        <v>160</v>
      </c>
      <c r="Z230" s="123">
        <v>147333.42000000001</v>
      </c>
      <c r="AA230" s="132">
        <v>1</v>
      </c>
      <c r="AB230" s="149">
        <v>106.33</v>
      </c>
      <c r="AC230" s="2"/>
      <c r="AD230" s="123">
        <v>156.66</v>
      </c>
      <c r="AE230" s="2"/>
      <c r="AF230" s="2"/>
      <c r="AG230" s="2" t="s">
        <v>36</v>
      </c>
      <c r="AH230" s="138">
        <v>2.5599999999999999E-4</v>
      </c>
      <c r="AI230" s="138">
        <v>1.0649599971161E-2</v>
      </c>
      <c r="AJ230" s="138">
        <v>1.64988521473012E-3</v>
      </c>
    </row>
    <row r="231" spans="1:36">
      <c r="A231" s="2">
        <v>161</v>
      </c>
      <c r="B231" s="2">
        <v>9942</v>
      </c>
      <c r="C231" s="2" t="s">
        <v>2210</v>
      </c>
      <c r="D231" s="2" t="s">
        <v>2211</v>
      </c>
      <c r="E231" s="3" t="s">
        <v>1351</v>
      </c>
      <c r="F231" s="2" t="s">
        <v>2212</v>
      </c>
      <c r="G231" s="2" t="s">
        <v>2213</v>
      </c>
      <c r="H231" s="2" t="s">
        <v>209</v>
      </c>
      <c r="I231" s="2" t="s">
        <v>789</v>
      </c>
      <c r="J231" s="2" t="s">
        <v>30</v>
      </c>
      <c r="K231" s="2" t="s">
        <v>30</v>
      </c>
      <c r="L231" s="2" t="s">
        <v>361</v>
      </c>
      <c r="M231" s="2" t="s">
        <v>31</v>
      </c>
      <c r="N231" s="2" t="s">
        <v>485</v>
      </c>
      <c r="O231" s="2" t="s">
        <v>160</v>
      </c>
      <c r="P231" s="2" t="s">
        <v>2108</v>
      </c>
      <c r="Q231" s="2" t="s">
        <v>448</v>
      </c>
      <c r="R231" s="2" t="s">
        <v>440</v>
      </c>
      <c r="S231" s="2" t="s">
        <v>34</v>
      </c>
      <c r="T231" s="123">
        <v>2.5830000000000002</v>
      </c>
      <c r="U231" s="2" t="s">
        <v>2214</v>
      </c>
      <c r="V231" s="136">
        <v>4.6899999999999997E-2</v>
      </c>
      <c r="W231" s="138">
        <v>6.2799999999999995E-2</v>
      </c>
      <c r="X231" s="3" t="s">
        <v>445</v>
      </c>
      <c r="Y231" s="3" t="s">
        <v>160</v>
      </c>
      <c r="Z231" s="123">
        <v>248919.12</v>
      </c>
      <c r="AA231" s="132">
        <v>1</v>
      </c>
      <c r="AB231" s="149">
        <v>95.53</v>
      </c>
      <c r="AC231" s="2"/>
      <c r="AD231" s="123">
        <v>237.792</v>
      </c>
      <c r="AE231" s="2"/>
      <c r="AF231" s="2"/>
      <c r="AG231" s="2" t="s">
        <v>36</v>
      </c>
      <c r="AH231" s="138">
        <v>2.1699999999999999E-4</v>
      </c>
      <c r="AI231" s="138">
        <v>1.6164945528501E-2</v>
      </c>
      <c r="AJ231" s="138">
        <v>2.50434802214305E-3</v>
      </c>
    </row>
    <row r="232" spans="1:36">
      <c r="A232" s="2">
        <v>161</v>
      </c>
      <c r="B232" s="2">
        <v>9942</v>
      </c>
      <c r="C232" s="2" t="s">
        <v>1197</v>
      </c>
      <c r="D232" s="2" t="s">
        <v>1607</v>
      </c>
      <c r="E232" s="3" t="s">
        <v>1351</v>
      </c>
      <c r="F232" s="2" t="s">
        <v>2215</v>
      </c>
      <c r="G232" s="2" t="s">
        <v>2216</v>
      </c>
      <c r="H232" s="2" t="s">
        <v>209</v>
      </c>
      <c r="I232" s="2" t="s">
        <v>789</v>
      </c>
      <c r="J232" s="2" t="s">
        <v>30</v>
      </c>
      <c r="K232" s="2" t="s">
        <v>30</v>
      </c>
      <c r="L232" s="2" t="s">
        <v>361</v>
      </c>
      <c r="M232" s="2" t="s">
        <v>58</v>
      </c>
      <c r="N232" s="2" t="s">
        <v>568</v>
      </c>
      <c r="O232" s="2" t="s">
        <v>160</v>
      </c>
      <c r="P232" s="2" t="s">
        <v>2217</v>
      </c>
      <c r="Q232" s="2" t="s">
        <v>464</v>
      </c>
      <c r="R232" s="2" t="s">
        <v>440</v>
      </c>
      <c r="S232" s="2" t="s">
        <v>90</v>
      </c>
      <c r="T232" s="123">
        <v>4.8479999999999999</v>
      </c>
      <c r="U232" s="2" t="s">
        <v>2218</v>
      </c>
      <c r="V232" s="136">
        <v>3.2750000000000001E-2</v>
      </c>
      <c r="W232" s="138">
        <v>5.8430000000000003E-2</v>
      </c>
      <c r="X232" s="3" t="s">
        <v>445</v>
      </c>
      <c r="Y232" s="3" t="s">
        <v>160</v>
      </c>
      <c r="Z232" s="123">
        <v>20000</v>
      </c>
      <c r="AA232" s="132">
        <v>3.3719999999999999</v>
      </c>
      <c r="AB232" s="149">
        <v>99.06</v>
      </c>
      <c r="AC232" s="2"/>
      <c r="AD232" s="123">
        <v>66.805999999999997</v>
      </c>
      <c r="AE232" s="2"/>
      <c r="AF232" s="2"/>
      <c r="AG232" s="2" t="s">
        <v>36</v>
      </c>
      <c r="AH232" s="138">
        <v>2.6999999999999999E-5</v>
      </c>
      <c r="AI232" s="138">
        <v>4.5414095741728704E-3</v>
      </c>
      <c r="AJ232" s="138">
        <v>7.0357614659255702E-4</v>
      </c>
    </row>
    <row r="233" spans="1:36">
      <c r="A233" s="2">
        <v>161</v>
      </c>
      <c r="B233" s="2">
        <v>9942</v>
      </c>
      <c r="C233" s="2" t="s">
        <v>1671</v>
      </c>
      <c r="D233" s="2" t="s">
        <v>1672</v>
      </c>
      <c r="E233" s="3" t="s">
        <v>1351</v>
      </c>
      <c r="F233" s="2" t="s">
        <v>2219</v>
      </c>
      <c r="G233" s="2" t="s">
        <v>2220</v>
      </c>
      <c r="H233" s="2" t="s">
        <v>209</v>
      </c>
      <c r="I233" s="2" t="s">
        <v>789</v>
      </c>
      <c r="J233" s="2" t="s">
        <v>85</v>
      </c>
      <c r="K233" s="2" t="s">
        <v>30</v>
      </c>
      <c r="L233" s="2" t="s">
        <v>361</v>
      </c>
      <c r="M233" s="2" t="s">
        <v>135</v>
      </c>
      <c r="N233" s="2" t="s">
        <v>568</v>
      </c>
      <c r="O233" s="2" t="s">
        <v>160</v>
      </c>
      <c r="P233" s="2" t="s">
        <v>2217</v>
      </c>
      <c r="Q233" s="2" t="s">
        <v>464</v>
      </c>
      <c r="R233" s="2" t="s">
        <v>440</v>
      </c>
      <c r="S233" s="2" t="s">
        <v>90</v>
      </c>
      <c r="T233" s="123">
        <v>5.0060000000000002</v>
      </c>
      <c r="U233" s="2" t="s">
        <v>2221</v>
      </c>
      <c r="V233" s="136">
        <v>3.0769999999999999E-2</v>
      </c>
      <c r="W233" s="138">
        <v>6.2969999999999998E-2</v>
      </c>
      <c r="X233" s="3" t="s">
        <v>445</v>
      </c>
      <c r="Y233" s="3" t="s">
        <v>160</v>
      </c>
      <c r="Z233" s="123">
        <v>20000</v>
      </c>
      <c r="AA233" s="132">
        <v>3.3719999999999999</v>
      </c>
      <c r="AB233" s="149">
        <v>97.67</v>
      </c>
      <c r="AC233" s="2"/>
      <c r="AD233" s="123">
        <v>65.869</v>
      </c>
      <c r="AE233" s="2"/>
      <c r="AF233" s="2"/>
      <c r="AG233" s="2" t="s">
        <v>36</v>
      </c>
      <c r="AH233" s="138">
        <v>3.3000000000000003E-5</v>
      </c>
      <c r="AI233" s="138">
        <v>4.4776959698887902E-3</v>
      </c>
      <c r="AJ233" s="138">
        <v>6.9370534074349795E-4</v>
      </c>
    </row>
    <row r="234" spans="1:36">
      <c r="A234" s="2">
        <v>161</v>
      </c>
      <c r="B234" s="2">
        <v>9943</v>
      </c>
      <c r="C234" s="2" t="s">
        <v>1952</v>
      </c>
      <c r="D234" s="2" t="s">
        <v>1953</v>
      </c>
      <c r="E234" s="3" t="s">
        <v>1351</v>
      </c>
      <c r="F234" s="2" t="s">
        <v>1954</v>
      </c>
      <c r="G234" s="2" t="s">
        <v>1955</v>
      </c>
      <c r="H234" s="2" t="s">
        <v>209</v>
      </c>
      <c r="I234" s="2" t="s">
        <v>788</v>
      </c>
      <c r="J234" s="2" t="s">
        <v>30</v>
      </c>
      <c r="K234" s="2" t="s">
        <v>30</v>
      </c>
      <c r="L234" s="2" t="s">
        <v>361</v>
      </c>
      <c r="M234" s="2" t="s">
        <v>31</v>
      </c>
      <c r="N234" s="2" t="s">
        <v>495</v>
      </c>
      <c r="O234" s="2" t="s">
        <v>160</v>
      </c>
      <c r="P234" s="2" t="s">
        <v>1956</v>
      </c>
      <c r="Q234" s="2" t="s">
        <v>446</v>
      </c>
      <c r="R234" s="2" t="s">
        <v>440</v>
      </c>
      <c r="S234" s="2" t="s">
        <v>34</v>
      </c>
      <c r="T234" s="123">
        <v>2.0139999999999998</v>
      </c>
      <c r="U234" s="2" t="s">
        <v>1957</v>
      </c>
      <c r="V234" s="136">
        <v>2.3400000000000001E-2</v>
      </c>
      <c r="W234" s="138">
        <v>2.8719999999999999E-2</v>
      </c>
      <c r="X234" s="3" t="s">
        <v>445</v>
      </c>
      <c r="Y234" s="3" t="s">
        <v>160</v>
      </c>
      <c r="Z234" s="123">
        <v>2942383.07</v>
      </c>
      <c r="AA234" s="132">
        <v>1</v>
      </c>
      <c r="AB234" s="149">
        <v>116.49</v>
      </c>
      <c r="AC234" s="2"/>
      <c r="AD234" s="123">
        <v>3427.5819999999999</v>
      </c>
      <c r="AE234" s="2"/>
      <c r="AF234" s="2"/>
      <c r="AG234" s="2" t="s">
        <v>36</v>
      </c>
      <c r="AH234" s="138">
        <v>1.805E-3</v>
      </c>
      <c r="AI234" s="138">
        <v>1.2078580866819901E-2</v>
      </c>
      <c r="AJ234" s="138">
        <v>1.8176997670060399E-3</v>
      </c>
    </row>
    <row r="235" spans="1:36">
      <c r="A235" s="2">
        <v>161</v>
      </c>
      <c r="B235" s="2">
        <v>9943</v>
      </c>
      <c r="C235" s="2" t="s">
        <v>1952</v>
      </c>
      <c r="D235" s="2" t="s">
        <v>1953</v>
      </c>
      <c r="E235" s="3" t="s">
        <v>1351</v>
      </c>
      <c r="F235" s="2" t="s">
        <v>1958</v>
      </c>
      <c r="G235" s="2" t="s">
        <v>1959</v>
      </c>
      <c r="H235" s="2" t="s">
        <v>209</v>
      </c>
      <c r="I235" s="2" t="s">
        <v>998</v>
      </c>
      <c r="J235" s="2" t="s">
        <v>30</v>
      </c>
      <c r="K235" s="2" t="s">
        <v>30</v>
      </c>
      <c r="L235" s="2" t="s">
        <v>361</v>
      </c>
      <c r="M235" s="2" t="s">
        <v>31</v>
      </c>
      <c r="N235" s="2" t="s">
        <v>495</v>
      </c>
      <c r="O235" s="2" t="s">
        <v>160</v>
      </c>
      <c r="P235" s="2" t="s">
        <v>1956</v>
      </c>
      <c r="Q235" s="2" t="s">
        <v>446</v>
      </c>
      <c r="R235" s="2" t="s">
        <v>440</v>
      </c>
      <c r="S235" s="2" t="s">
        <v>34</v>
      </c>
      <c r="T235" s="123">
        <v>2.3820000000000001</v>
      </c>
      <c r="U235" s="2" t="s">
        <v>1960</v>
      </c>
      <c r="V235" s="136">
        <v>0.05</v>
      </c>
      <c r="W235" s="138">
        <v>4.6789999999999998E-2</v>
      </c>
      <c r="X235" s="3" t="s">
        <v>445</v>
      </c>
      <c r="Y235" s="3" t="s">
        <v>160</v>
      </c>
      <c r="Z235" s="123">
        <v>1487500</v>
      </c>
      <c r="AA235" s="132">
        <v>1</v>
      </c>
      <c r="AB235" s="149">
        <v>101.73</v>
      </c>
      <c r="AC235" s="2"/>
      <c r="AD235" s="123">
        <v>1513.2339999999999</v>
      </c>
      <c r="AE235" s="2"/>
      <c r="AF235" s="2"/>
      <c r="AG235" s="2" t="s">
        <v>36</v>
      </c>
      <c r="AH235" s="138">
        <v>4.2500000000000003E-3</v>
      </c>
      <c r="AI235" s="138">
        <v>5.3325393866124502E-3</v>
      </c>
      <c r="AJ235" s="138">
        <v>8.0249126180234501E-4</v>
      </c>
    </row>
    <row r="236" spans="1:36">
      <c r="A236" s="2">
        <v>161</v>
      </c>
      <c r="B236" s="2">
        <v>9943</v>
      </c>
      <c r="C236" s="2" t="s">
        <v>1961</v>
      </c>
      <c r="D236" s="2" t="s">
        <v>1962</v>
      </c>
      <c r="E236" s="3" t="s">
        <v>1351</v>
      </c>
      <c r="F236" s="2" t="s">
        <v>2222</v>
      </c>
      <c r="G236" s="2" t="s">
        <v>2223</v>
      </c>
      <c r="H236" s="2" t="s">
        <v>209</v>
      </c>
      <c r="I236" s="2" t="s">
        <v>788</v>
      </c>
      <c r="J236" s="2" t="s">
        <v>30</v>
      </c>
      <c r="K236" s="2" t="s">
        <v>30</v>
      </c>
      <c r="L236" s="2" t="s">
        <v>361</v>
      </c>
      <c r="M236" s="2" t="s">
        <v>31</v>
      </c>
      <c r="N236" s="2" t="s">
        <v>509</v>
      </c>
      <c r="O236" s="2" t="s">
        <v>160</v>
      </c>
      <c r="P236" s="2" t="s">
        <v>1965</v>
      </c>
      <c r="Q236" s="2" t="s">
        <v>446</v>
      </c>
      <c r="R236" s="2" t="s">
        <v>440</v>
      </c>
      <c r="S236" s="2" t="s">
        <v>34</v>
      </c>
      <c r="T236" s="123">
        <v>1.4510000000000001</v>
      </c>
      <c r="U236" s="2" t="s">
        <v>2224</v>
      </c>
      <c r="V236" s="136">
        <v>3.2000000000000001E-2</v>
      </c>
      <c r="W236" s="138">
        <v>3.2230000000000002E-2</v>
      </c>
      <c r="X236" s="3" t="s">
        <v>445</v>
      </c>
      <c r="Y236" s="3" t="s">
        <v>160</v>
      </c>
      <c r="Z236" s="123">
        <v>168595.48</v>
      </c>
      <c r="AA236" s="132">
        <v>1</v>
      </c>
      <c r="AB236" s="149">
        <v>109.13</v>
      </c>
      <c r="AC236" s="2"/>
      <c r="AD236" s="123">
        <v>183.988</v>
      </c>
      <c r="AE236" s="2"/>
      <c r="AF236" s="2"/>
      <c r="AG236" s="2" t="s">
        <v>36</v>
      </c>
      <c r="AH236" s="138">
        <v>2.5599999999999999E-4</v>
      </c>
      <c r="AI236" s="138">
        <v>6.4836286894144602E-4</v>
      </c>
      <c r="AJ236" s="138">
        <v>9.7571813179450105E-5</v>
      </c>
    </row>
    <row r="237" spans="1:36">
      <c r="A237" s="2">
        <v>161</v>
      </c>
      <c r="B237" s="2">
        <v>9943</v>
      </c>
      <c r="C237" s="2" t="s">
        <v>1961</v>
      </c>
      <c r="D237" s="2" t="s">
        <v>1962</v>
      </c>
      <c r="E237" s="3" t="s">
        <v>1351</v>
      </c>
      <c r="F237" s="2" t="s">
        <v>1963</v>
      </c>
      <c r="G237" s="2" t="s">
        <v>1964</v>
      </c>
      <c r="H237" s="2" t="s">
        <v>209</v>
      </c>
      <c r="I237" s="2" t="s">
        <v>998</v>
      </c>
      <c r="J237" s="2" t="s">
        <v>30</v>
      </c>
      <c r="K237" s="2" t="s">
        <v>30</v>
      </c>
      <c r="L237" s="2" t="s">
        <v>361</v>
      </c>
      <c r="M237" s="2" t="s">
        <v>31</v>
      </c>
      <c r="N237" s="2" t="s">
        <v>509</v>
      </c>
      <c r="O237" s="2" t="s">
        <v>160</v>
      </c>
      <c r="P237" s="2" t="s">
        <v>1965</v>
      </c>
      <c r="Q237" s="2" t="s">
        <v>446</v>
      </c>
      <c r="R237" s="2" t="s">
        <v>440</v>
      </c>
      <c r="S237" s="2" t="s">
        <v>34</v>
      </c>
      <c r="T237" s="123">
        <v>1.518</v>
      </c>
      <c r="U237" s="2" t="s">
        <v>1966</v>
      </c>
      <c r="V237" s="136">
        <v>5.7000000000000002E-2</v>
      </c>
      <c r="W237" s="138">
        <v>5.1889999999999999E-2</v>
      </c>
      <c r="X237" s="3" t="s">
        <v>445</v>
      </c>
      <c r="Y237" s="3" t="s">
        <v>160</v>
      </c>
      <c r="Z237" s="123">
        <v>195610.44</v>
      </c>
      <c r="AA237" s="132">
        <v>1</v>
      </c>
      <c r="AB237" s="149">
        <v>101.09</v>
      </c>
      <c r="AC237" s="2"/>
      <c r="AD237" s="123">
        <v>197.74299999999999</v>
      </c>
      <c r="AE237" s="2"/>
      <c r="AF237" s="2"/>
      <c r="AG237" s="2" t="s">
        <v>36</v>
      </c>
      <c r="AH237" s="138">
        <v>2.4800000000000001E-4</v>
      </c>
      <c r="AI237" s="138">
        <v>6.9683231016231097E-4</v>
      </c>
      <c r="AJ237" s="138">
        <v>1.0486595584285701E-4</v>
      </c>
    </row>
    <row r="238" spans="1:36">
      <c r="A238" s="2">
        <v>161</v>
      </c>
      <c r="B238" s="2">
        <v>9943</v>
      </c>
      <c r="C238" s="2" t="s">
        <v>2225</v>
      </c>
      <c r="D238" s="2" t="s">
        <v>2226</v>
      </c>
      <c r="E238" s="3" t="s">
        <v>1351</v>
      </c>
      <c r="F238" s="2" t="s">
        <v>2227</v>
      </c>
      <c r="G238" s="2" t="s">
        <v>2228</v>
      </c>
      <c r="H238" s="2" t="s">
        <v>209</v>
      </c>
      <c r="I238" s="2" t="s">
        <v>788</v>
      </c>
      <c r="J238" s="2" t="s">
        <v>30</v>
      </c>
      <c r="K238" s="2" t="s">
        <v>30</v>
      </c>
      <c r="L238" s="2" t="s">
        <v>361</v>
      </c>
      <c r="M238" s="2" t="s">
        <v>31</v>
      </c>
      <c r="N238" s="2" t="s">
        <v>509</v>
      </c>
      <c r="O238" s="2" t="s">
        <v>160</v>
      </c>
      <c r="P238" s="2" t="s">
        <v>1965</v>
      </c>
      <c r="Q238" s="2" t="s">
        <v>446</v>
      </c>
      <c r="R238" s="2" t="s">
        <v>440</v>
      </c>
      <c r="S238" s="2" t="s">
        <v>34</v>
      </c>
      <c r="T238" s="123">
        <v>2.1680000000000001</v>
      </c>
      <c r="U238" s="2" t="s">
        <v>2229</v>
      </c>
      <c r="V238" s="136">
        <v>3.2300000000000002E-2</v>
      </c>
      <c r="W238" s="138">
        <v>2.972E-2</v>
      </c>
      <c r="X238" s="3" t="s">
        <v>445</v>
      </c>
      <c r="Y238" s="3" t="s">
        <v>160</v>
      </c>
      <c r="Z238" s="123">
        <v>230048.87</v>
      </c>
      <c r="AA238" s="132">
        <v>1</v>
      </c>
      <c r="AB238" s="149">
        <v>110.07</v>
      </c>
      <c r="AC238" s="2"/>
      <c r="AD238" s="123">
        <v>253.215</v>
      </c>
      <c r="AE238" s="2"/>
      <c r="AF238" s="2"/>
      <c r="AG238" s="2" t="s">
        <v>36</v>
      </c>
      <c r="AH238" s="138">
        <v>4.46E-4</v>
      </c>
      <c r="AI238" s="138">
        <v>8.9231280190178199E-4</v>
      </c>
      <c r="AJ238" s="138">
        <v>1.34283720082458E-4</v>
      </c>
    </row>
    <row r="239" spans="1:36">
      <c r="A239" s="2">
        <v>161</v>
      </c>
      <c r="B239" s="2">
        <v>9943</v>
      </c>
      <c r="C239" s="2" t="s">
        <v>1626</v>
      </c>
      <c r="D239" s="2" t="s">
        <v>1627</v>
      </c>
      <c r="E239" s="3" t="s">
        <v>1351</v>
      </c>
      <c r="F239" s="2" t="s">
        <v>1967</v>
      </c>
      <c r="G239" s="2" t="s">
        <v>1968</v>
      </c>
      <c r="H239" s="2" t="s">
        <v>209</v>
      </c>
      <c r="I239" s="2" t="s">
        <v>788</v>
      </c>
      <c r="J239" s="2" t="s">
        <v>30</v>
      </c>
      <c r="K239" s="2" t="s">
        <v>30</v>
      </c>
      <c r="L239" s="2" t="s">
        <v>361</v>
      </c>
      <c r="M239" s="2" t="s">
        <v>31</v>
      </c>
      <c r="N239" s="2" t="s">
        <v>495</v>
      </c>
      <c r="O239" s="2" t="s">
        <v>160</v>
      </c>
      <c r="P239" s="2" t="s">
        <v>1969</v>
      </c>
      <c r="Q239" s="2" t="s">
        <v>446</v>
      </c>
      <c r="R239" s="2" t="s">
        <v>440</v>
      </c>
      <c r="S239" s="2" t="s">
        <v>34</v>
      </c>
      <c r="T239" s="123">
        <v>6.4370000000000003</v>
      </c>
      <c r="U239" s="2" t="s">
        <v>1970</v>
      </c>
      <c r="V239" s="136">
        <v>2.5600000000000001E-2</v>
      </c>
      <c r="W239" s="138">
        <v>3.2149999999999998E-2</v>
      </c>
      <c r="X239" s="3" t="s">
        <v>445</v>
      </c>
      <c r="Y239" s="3" t="s">
        <v>160</v>
      </c>
      <c r="Z239" s="123">
        <v>1560000</v>
      </c>
      <c r="AA239" s="132">
        <v>1</v>
      </c>
      <c r="AB239" s="149">
        <v>105.66</v>
      </c>
      <c r="AC239" s="2"/>
      <c r="AD239" s="123">
        <v>1648.296</v>
      </c>
      <c r="AE239" s="2"/>
      <c r="AF239" s="2"/>
      <c r="AG239" s="2" t="s">
        <v>36</v>
      </c>
      <c r="AH239" s="138">
        <v>1.485E-3</v>
      </c>
      <c r="AI239" s="138">
        <v>5.8084901561280596E-3</v>
      </c>
      <c r="AJ239" s="138">
        <v>8.7411686189510301E-4</v>
      </c>
    </row>
    <row r="240" spans="1:36">
      <c r="A240" s="2">
        <v>161</v>
      </c>
      <c r="B240" s="2">
        <v>9943</v>
      </c>
      <c r="C240" s="2" t="s">
        <v>1626</v>
      </c>
      <c r="D240" s="2" t="s">
        <v>1627</v>
      </c>
      <c r="E240" s="3" t="s">
        <v>1351</v>
      </c>
      <c r="F240" s="2" t="s">
        <v>1971</v>
      </c>
      <c r="G240" s="2" t="s">
        <v>1972</v>
      </c>
      <c r="H240" s="2" t="s">
        <v>209</v>
      </c>
      <c r="I240" s="2" t="s">
        <v>998</v>
      </c>
      <c r="J240" s="2" t="s">
        <v>30</v>
      </c>
      <c r="K240" s="2" t="s">
        <v>30</v>
      </c>
      <c r="L240" s="2" t="s">
        <v>361</v>
      </c>
      <c r="M240" s="2" t="s">
        <v>31</v>
      </c>
      <c r="N240" s="2" t="s">
        <v>495</v>
      </c>
      <c r="O240" s="2" t="s">
        <v>160</v>
      </c>
      <c r="P240" s="2" t="s">
        <v>1969</v>
      </c>
      <c r="Q240" s="2" t="s">
        <v>446</v>
      </c>
      <c r="R240" s="2" t="s">
        <v>440</v>
      </c>
      <c r="S240" s="2" t="s">
        <v>34</v>
      </c>
      <c r="T240" s="123">
        <v>3.7050000000000001</v>
      </c>
      <c r="U240" s="2" t="s">
        <v>1973</v>
      </c>
      <c r="V240" s="136">
        <v>2.41E-2</v>
      </c>
      <c r="W240" s="138">
        <v>4.8559999999999999E-2</v>
      </c>
      <c r="X240" s="3" t="s">
        <v>445</v>
      </c>
      <c r="Y240" s="3" t="s">
        <v>160</v>
      </c>
      <c r="Z240" s="123">
        <v>2833333.35</v>
      </c>
      <c r="AA240" s="132">
        <v>1</v>
      </c>
      <c r="AB240" s="149">
        <v>92.33</v>
      </c>
      <c r="AC240" s="2"/>
      <c r="AD240" s="123">
        <v>2616.0169999999998</v>
      </c>
      <c r="AE240" s="2"/>
      <c r="AF240" s="2"/>
      <c r="AG240" s="2" t="s">
        <v>36</v>
      </c>
      <c r="AH240" s="138">
        <v>1.379E-3</v>
      </c>
      <c r="AI240" s="138">
        <v>9.2186762244058501E-3</v>
      </c>
      <c r="AJ240" s="138">
        <v>1.38731410667936E-3</v>
      </c>
    </row>
    <row r="241" spans="1:36">
      <c r="A241" s="2">
        <v>161</v>
      </c>
      <c r="B241" s="2">
        <v>9943</v>
      </c>
      <c r="C241" s="2" t="s">
        <v>1974</v>
      </c>
      <c r="D241" s="2" t="s">
        <v>1975</v>
      </c>
      <c r="E241" s="3" t="s">
        <v>1351</v>
      </c>
      <c r="F241" s="2" t="s">
        <v>1976</v>
      </c>
      <c r="G241" s="2" t="s">
        <v>1977</v>
      </c>
      <c r="H241" s="2" t="s">
        <v>209</v>
      </c>
      <c r="I241" s="2" t="s">
        <v>998</v>
      </c>
      <c r="J241" s="2" t="s">
        <v>30</v>
      </c>
      <c r="K241" s="2" t="s">
        <v>30</v>
      </c>
      <c r="L241" s="2" t="s">
        <v>361</v>
      </c>
      <c r="M241" s="2" t="s">
        <v>31</v>
      </c>
      <c r="N241" s="2" t="s">
        <v>482</v>
      </c>
      <c r="O241" s="2" t="s">
        <v>160</v>
      </c>
      <c r="P241" s="2" t="s">
        <v>1965</v>
      </c>
      <c r="Q241" s="2" t="s">
        <v>446</v>
      </c>
      <c r="R241" s="2" t="s">
        <v>440</v>
      </c>
      <c r="S241" s="2" t="s">
        <v>34</v>
      </c>
      <c r="T241" s="123">
        <v>2.7559999999999998</v>
      </c>
      <c r="U241" s="2" t="s">
        <v>1978</v>
      </c>
      <c r="V241" s="136">
        <v>0.04</v>
      </c>
      <c r="W241" s="138">
        <v>4.7919999999999997E-2</v>
      </c>
      <c r="X241" s="3" t="s">
        <v>445</v>
      </c>
      <c r="Y241" s="3" t="s">
        <v>160</v>
      </c>
      <c r="Z241" s="123">
        <v>987515.31</v>
      </c>
      <c r="AA241" s="132">
        <v>1</v>
      </c>
      <c r="AB241" s="149">
        <v>99.88</v>
      </c>
      <c r="AC241" s="2"/>
      <c r="AD241" s="123">
        <v>986.33</v>
      </c>
      <c r="AE241" s="2"/>
      <c r="AF241" s="2"/>
      <c r="AG241" s="2" t="s">
        <v>36</v>
      </c>
      <c r="AH241" s="138">
        <v>1.701E-3</v>
      </c>
      <c r="AI241" s="138">
        <v>3.4757651475294201E-3</v>
      </c>
      <c r="AJ241" s="138">
        <v>5.2306620856323698E-4</v>
      </c>
    </row>
    <row r="242" spans="1:36">
      <c r="A242" s="2">
        <v>161</v>
      </c>
      <c r="B242" s="2">
        <v>9943</v>
      </c>
      <c r="C242" s="2" t="s">
        <v>1630</v>
      </c>
      <c r="D242" s="2" t="s">
        <v>1631</v>
      </c>
      <c r="E242" s="3" t="s">
        <v>1351</v>
      </c>
      <c r="F242" s="2" t="s">
        <v>2272</v>
      </c>
      <c r="G242" s="2" t="s">
        <v>2273</v>
      </c>
      <c r="H242" s="2" t="s">
        <v>209</v>
      </c>
      <c r="I242" s="2" t="s">
        <v>788</v>
      </c>
      <c r="J242" s="2" t="s">
        <v>30</v>
      </c>
      <c r="K242" s="2" t="s">
        <v>30</v>
      </c>
      <c r="L242" s="2" t="s">
        <v>361</v>
      </c>
      <c r="M242" s="2" t="s">
        <v>31</v>
      </c>
      <c r="N242" s="2" t="s">
        <v>495</v>
      </c>
      <c r="O242" s="2" t="s">
        <v>160</v>
      </c>
      <c r="P242" s="2" t="s">
        <v>1956</v>
      </c>
      <c r="Q242" s="2" t="s">
        <v>446</v>
      </c>
      <c r="R242" s="2" t="s">
        <v>440</v>
      </c>
      <c r="S242" s="2" t="s">
        <v>34</v>
      </c>
      <c r="T242" s="123">
        <v>1.962</v>
      </c>
      <c r="U242" s="2" t="s">
        <v>2274</v>
      </c>
      <c r="V242" s="136">
        <v>3.2000000000000001E-2</v>
      </c>
      <c r="W242" s="138">
        <v>2.8170000000000001E-2</v>
      </c>
      <c r="X242" s="3" t="s">
        <v>445</v>
      </c>
      <c r="Y242" s="3" t="s">
        <v>160</v>
      </c>
      <c r="Z242" s="123">
        <v>1080000</v>
      </c>
      <c r="AA242" s="132">
        <v>1</v>
      </c>
      <c r="AB242" s="149">
        <v>117.65</v>
      </c>
      <c r="AC242" s="123">
        <v>474.29399999999998</v>
      </c>
      <c r="AD242" s="123">
        <v>1744.914</v>
      </c>
      <c r="AE242" s="2"/>
      <c r="AF242" s="2"/>
      <c r="AG242" s="2" t="s">
        <v>36</v>
      </c>
      <c r="AH242" s="138">
        <v>2.6080000000000001E-3</v>
      </c>
      <c r="AI242" s="138">
        <v>6.1489675631380596E-3</v>
      </c>
      <c r="AJ242" s="138">
        <v>9.2535514147585999E-4</v>
      </c>
    </row>
    <row r="243" spans="1:36">
      <c r="A243" s="2">
        <v>161</v>
      </c>
      <c r="B243" s="2">
        <v>9943</v>
      </c>
      <c r="C243" s="2" t="s">
        <v>1630</v>
      </c>
      <c r="D243" s="2" t="s">
        <v>1631</v>
      </c>
      <c r="E243" s="3" t="s">
        <v>1351</v>
      </c>
      <c r="F243" s="2" t="s">
        <v>1982</v>
      </c>
      <c r="G243" s="2" t="s">
        <v>1983</v>
      </c>
      <c r="H243" s="2" t="s">
        <v>209</v>
      </c>
      <c r="I243" s="2" t="s">
        <v>998</v>
      </c>
      <c r="J243" s="2" t="s">
        <v>30</v>
      </c>
      <c r="K243" s="2" t="s">
        <v>30</v>
      </c>
      <c r="L243" s="2" t="s">
        <v>361</v>
      </c>
      <c r="M243" s="2" t="s">
        <v>31</v>
      </c>
      <c r="N243" s="2" t="s">
        <v>495</v>
      </c>
      <c r="O243" s="2" t="s">
        <v>160</v>
      </c>
      <c r="P243" s="2" t="s">
        <v>1956</v>
      </c>
      <c r="Q243" s="2" t="s">
        <v>446</v>
      </c>
      <c r="R243" s="2" t="s">
        <v>440</v>
      </c>
      <c r="S243" s="2" t="s">
        <v>34</v>
      </c>
      <c r="T243" s="123">
        <v>4.6719999999999997</v>
      </c>
      <c r="U243" s="2" t="s">
        <v>1984</v>
      </c>
      <c r="V243" s="136">
        <v>2.4400000000000002E-2</v>
      </c>
      <c r="W243" s="138">
        <v>4.7059999999999998E-2</v>
      </c>
      <c r="X243" s="3" t="s">
        <v>445</v>
      </c>
      <c r="Y243" s="3" t="s">
        <v>160</v>
      </c>
      <c r="Z243" s="123">
        <v>1600000</v>
      </c>
      <c r="AA243" s="132">
        <v>1</v>
      </c>
      <c r="AB243" s="149">
        <v>91.3</v>
      </c>
      <c r="AC243" s="2"/>
      <c r="AD243" s="123">
        <v>1460.8</v>
      </c>
      <c r="AE243" s="2"/>
      <c r="AF243" s="2"/>
      <c r="AG243" s="2" t="s">
        <v>36</v>
      </c>
      <c r="AH243" s="138">
        <v>1.317E-3</v>
      </c>
      <c r="AI243" s="138">
        <v>5.1477661900968504E-3</v>
      </c>
      <c r="AJ243" s="138">
        <v>7.7468483321949805E-4</v>
      </c>
    </row>
    <row r="244" spans="1:36">
      <c r="A244" s="2">
        <v>161</v>
      </c>
      <c r="B244" s="2">
        <v>9943</v>
      </c>
      <c r="C244" s="2" t="s">
        <v>1630</v>
      </c>
      <c r="D244" s="2" t="s">
        <v>1631</v>
      </c>
      <c r="E244" s="3" t="s">
        <v>1351</v>
      </c>
      <c r="F244" s="2" t="s">
        <v>1985</v>
      </c>
      <c r="G244" s="2" t="s">
        <v>1986</v>
      </c>
      <c r="H244" s="2" t="s">
        <v>209</v>
      </c>
      <c r="I244" s="2" t="s">
        <v>788</v>
      </c>
      <c r="J244" s="2" t="s">
        <v>30</v>
      </c>
      <c r="K244" s="2" t="s">
        <v>30</v>
      </c>
      <c r="L244" s="2" t="s">
        <v>361</v>
      </c>
      <c r="M244" s="2" t="s">
        <v>31</v>
      </c>
      <c r="N244" s="2" t="s">
        <v>495</v>
      </c>
      <c r="O244" s="2" t="s">
        <v>160</v>
      </c>
      <c r="P244" s="2" t="s">
        <v>1956</v>
      </c>
      <c r="Q244" s="2" t="s">
        <v>446</v>
      </c>
      <c r="R244" s="2" t="s">
        <v>440</v>
      </c>
      <c r="S244" s="2" t="s">
        <v>34</v>
      </c>
      <c r="T244" s="123">
        <v>4.8689999999999998</v>
      </c>
      <c r="U244" s="2" t="s">
        <v>1984</v>
      </c>
      <c r="V244" s="136">
        <v>9.1999999999999998E-3</v>
      </c>
      <c r="W244" s="138">
        <v>2.8469999999999999E-2</v>
      </c>
      <c r="X244" s="3" t="s">
        <v>445</v>
      </c>
      <c r="Y244" s="3" t="s">
        <v>160</v>
      </c>
      <c r="Z244" s="123">
        <v>1700000</v>
      </c>
      <c r="AA244" s="132">
        <v>1</v>
      </c>
      <c r="AB244" s="149">
        <v>107.4</v>
      </c>
      <c r="AC244" s="2"/>
      <c r="AD244" s="123">
        <v>1825.8</v>
      </c>
      <c r="AE244" s="2"/>
      <c r="AF244" s="2"/>
      <c r="AG244" s="2" t="s">
        <v>36</v>
      </c>
      <c r="AH244" s="138">
        <v>6.5700000000000003E-4</v>
      </c>
      <c r="AI244" s="138">
        <v>6.4340029503551699E-3</v>
      </c>
      <c r="AJ244" s="138">
        <v>9.6824997843110601E-4</v>
      </c>
    </row>
    <row r="245" spans="1:36">
      <c r="A245" s="2">
        <v>161</v>
      </c>
      <c r="B245" s="2">
        <v>9943</v>
      </c>
      <c r="C245" s="2" t="s">
        <v>1634</v>
      </c>
      <c r="D245" s="2" t="s">
        <v>1635</v>
      </c>
      <c r="E245" s="3" t="s">
        <v>1351</v>
      </c>
      <c r="F245" s="2" t="s">
        <v>1987</v>
      </c>
      <c r="G245" s="2" t="s">
        <v>1988</v>
      </c>
      <c r="H245" s="2" t="s">
        <v>209</v>
      </c>
      <c r="I245" s="2" t="s">
        <v>998</v>
      </c>
      <c r="J245" s="2" t="s">
        <v>30</v>
      </c>
      <c r="K245" s="2" t="s">
        <v>86</v>
      </c>
      <c r="L245" s="2" t="s">
        <v>361</v>
      </c>
      <c r="M245" s="2" t="s">
        <v>31</v>
      </c>
      <c r="N245" s="2" t="s">
        <v>472</v>
      </c>
      <c r="O245" s="2" t="s">
        <v>160</v>
      </c>
      <c r="P245" s="2" t="s">
        <v>1989</v>
      </c>
      <c r="Q245" s="2" t="s">
        <v>448</v>
      </c>
      <c r="R245" s="2" t="s">
        <v>440</v>
      </c>
      <c r="S245" s="2" t="s">
        <v>34</v>
      </c>
      <c r="T245" s="123">
        <v>1.01</v>
      </c>
      <c r="U245" s="2" t="s">
        <v>1990</v>
      </c>
      <c r="V245" s="136">
        <v>3.4500000000000003E-2</v>
      </c>
      <c r="W245" s="138">
        <v>4.7660000000000001E-2</v>
      </c>
      <c r="X245" s="3" t="s">
        <v>445</v>
      </c>
      <c r="Y245" s="3" t="s">
        <v>160</v>
      </c>
      <c r="Z245" s="123">
        <v>2214233.06</v>
      </c>
      <c r="AA245" s="132">
        <v>1</v>
      </c>
      <c r="AB245" s="149">
        <v>99.89</v>
      </c>
      <c r="AC245" s="2"/>
      <c r="AD245" s="123">
        <v>2211.797</v>
      </c>
      <c r="AE245" s="2"/>
      <c r="AF245" s="2"/>
      <c r="AG245" s="2" t="s">
        <v>36</v>
      </c>
      <c r="AH245" s="138">
        <v>3.4450000000000001E-3</v>
      </c>
      <c r="AI245" s="138">
        <v>7.7942332241039804E-3</v>
      </c>
      <c r="AJ245" s="138">
        <v>1.17295037154266E-3</v>
      </c>
    </row>
    <row r="246" spans="1:36">
      <c r="A246" s="2">
        <v>161</v>
      </c>
      <c r="B246" s="2">
        <v>9943</v>
      </c>
      <c r="C246" s="2" t="s">
        <v>1634</v>
      </c>
      <c r="D246" s="2" t="s">
        <v>1635</v>
      </c>
      <c r="E246" s="3" t="s">
        <v>1351</v>
      </c>
      <c r="F246" s="2" t="s">
        <v>1991</v>
      </c>
      <c r="G246" s="2" t="s">
        <v>1992</v>
      </c>
      <c r="H246" s="2" t="s">
        <v>209</v>
      </c>
      <c r="I246" s="2" t="s">
        <v>998</v>
      </c>
      <c r="J246" s="2" t="s">
        <v>30</v>
      </c>
      <c r="K246" s="2" t="s">
        <v>86</v>
      </c>
      <c r="L246" s="2" t="s">
        <v>361</v>
      </c>
      <c r="M246" s="2" t="s">
        <v>31</v>
      </c>
      <c r="N246" s="2" t="s">
        <v>472</v>
      </c>
      <c r="O246" s="2" t="s">
        <v>160</v>
      </c>
      <c r="P246" s="2" t="s">
        <v>1989</v>
      </c>
      <c r="Q246" s="2" t="s">
        <v>448</v>
      </c>
      <c r="R246" s="2" t="s">
        <v>440</v>
      </c>
      <c r="S246" s="2" t="s">
        <v>34</v>
      </c>
      <c r="T246" s="123">
        <v>3.0470000000000002</v>
      </c>
      <c r="U246" s="2" t="s">
        <v>1993</v>
      </c>
      <c r="V246" s="136">
        <v>1.4999999999999999E-2</v>
      </c>
      <c r="W246" s="138">
        <v>5.0639999999999998E-2</v>
      </c>
      <c r="X246" s="3" t="s">
        <v>445</v>
      </c>
      <c r="Y246" s="3" t="s">
        <v>160</v>
      </c>
      <c r="Z246" s="123">
        <v>344314</v>
      </c>
      <c r="AA246" s="132">
        <v>1</v>
      </c>
      <c r="AB246" s="149">
        <v>90.42</v>
      </c>
      <c r="AC246" s="2"/>
      <c r="AD246" s="123">
        <v>311.32900000000001</v>
      </c>
      <c r="AE246" s="2"/>
      <c r="AF246" s="2"/>
      <c r="AG246" s="2" t="s">
        <v>36</v>
      </c>
      <c r="AH246" s="138">
        <v>2.9300000000000002E-4</v>
      </c>
      <c r="AI246" s="138">
        <v>1.0971025825881799E-3</v>
      </c>
      <c r="AJ246" s="138">
        <v>1.6510243469333101E-4</v>
      </c>
    </row>
    <row r="247" spans="1:36">
      <c r="A247" s="2">
        <v>161</v>
      </c>
      <c r="B247" s="2">
        <v>9943</v>
      </c>
      <c r="C247" s="2" t="s">
        <v>1952</v>
      </c>
      <c r="D247" s="2" t="s">
        <v>1953</v>
      </c>
      <c r="E247" s="3" t="s">
        <v>1351</v>
      </c>
      <c r="F247" s="2" t="s">
        <v>1994</v>
      </c>
      <c r="G247" s="2" t="s">
        <v>1995</v>
      </c>
      <c r="H247" s="2" t="s">
        <v>209</v>
      </c>
      <c r="I247" s="2" t="s">
        <v>788</v>
      </c>
      <c r="J247" s="2" t="s">
        <v>30</v>
      </c>
      <c r="K247" s="2" t="s">
        <v>30</v>
      </c>
      <c r="L247" s="2" t="s">
        <v>361</v>
      </c>
      <c r="M247" s="2" t="s">
        <v>31</v>
      </c>
      <c r="N247" s="2" t="s">
        <v>495</v>
      </c>
      <c r="O247" s="2" t="s">
        <v>160</v>
      </c>
      <c r="P247" s="2" t="s">
        <v>1956</v>
      </c>
      <c r="Q247" s="2" t="s">
        <v>446</v>
      </c>
      <c r="R247" s="2" t="s">
        <v>440</v>
      </c>
      <c r="S247" s="2" t="s">
        <v>34</v>
      </c>
      <c r="T247" s="123">
        <v>4.6710000000000003</v>
      </c>
      <c r="U247" s="2" t="s">
        <v>1996</v>
      </c>
      <c r="V247" s="136">
        <v>6.4999999999999997E-3</v>
      </c>
      <c r="W247" s="138">
        <v>2.8320000000000001E-2</v>
      </c>
      <c r="X247" s="3" t="s">
        <v>445</v>
      </c>
      <c r="Y247" s="3" t="s">
        <v>160</v>
      </c>
      <c r="Z247" s="123">
        <v>1279438.3899999999</v>
      </c>
      <c r="AA247" s="132">
        <v>1</v>
      </c>
      <c r="AB247" s="149">
        <v>105.26</v>
      </c>
      <c r="AC247" s="2"/>
      <c r="AD247" s="123">
        <v>1346.7370000000001</v>
      </c>
      <c r="AE247" s="2"/>
      <c r="AF247" s="2"/>
      <c r="AG247" s="2" t="s">
        <v>36</v>
      </c>
      <c r="AH247" s="138">
        <v>5.6599999999999999E-4</v>
      </c>
      <c r="AI247" s="138">
        <v>4.7458149095400901E-3</v>
      </c>
      <c r="AJ247" s="138">
        <v>7.1419538027202095E-4</v>
      </c>
    </row>
    <row r="248" spans="1:36">
      <c r="A248" s="2">
        <v>161</v>
      </c>
      <c r="B248" s="2">
        <v>9943</v>
      </c>
      <c r="C248" s="2" t="s">
        <v>2275</v>
      </c>
      <c r="D248" s="2" t="s">
        <v>2276</v>
      </c>
      <c r="E248" s="3" t="s">
        <v>1351</v>
      </c>
      <c r="F248" s="2" t="s">
        <v>2277</v>
      </c>
      <c r="G248" s="2" t="s">
        <v>2278</v>
      </c>
      <c r="H248" s="2" t="s">
        <v>209</v>
      </c>
      <c r="I248" s="2" t="s">
        <v>789</v>
      </c>
      <c r="J248" s="2" t="s">
        <v>30</v>
      </c>
      <c r="K248" s="2" t="s">
        <v>30</v>
      </c>
      <c r="L248" s="2" t="s">
        <v>361</v>
      </c>
      <c r="M248" s="2" t="s">
        <v>31</v>
      </c>
      <c r="N248" s="2" t="s">
        <v>471</v>
      </c>
      <c r="O248" s="2" t="s">
        <v>160</v>
      </c>
      <c r="P248" s="2" t="s">
        <v>1965</v>
      </c>
      <c r="Q248" s="2" t="s">
        <v>446</v>
      </c>
      <c r="R248" s="2" t="s">
        <v>440</v>
      </c>
      <c r="S248" s="2" t="s">
        <v>34</v>
      </c>
      <c r="T248" s="123">
        <v>0.247</v>
      </c>
      <c r="U248" s="2" t="s">
        <v>2279</v>
      </c>
      <c r="V248" s="136">
        <v>4.7E-2</v>
      </c>
      <c r="W248" s="138">
        <v>7.2179999999999994E-2</v>
      </c>
      <c r="X248" s="3" t="s">
        <v>445</v>
      </c>
      <c r="Y248" s="3" t="s">
        <v>160</v>
      </c>
      <c r="Z248" s="123">
        <v>176470.6</v>
      </c>
      <c r="AA248" s="132">
        <v>1</v>
      </c>
      <c r="AB248" s="149">
        <v>93.14</v>
      </c>
      <c r="AC248" s="2"/>
      <c r="AD248" s="123">
        <v>164.36500000000001</v>
      </c>
      <c r="AE248" s="2"/>
      <c r="AF248" s="2"/>
      <c r="AG248" s="2" t="s">
        <v>36</v>
      </c>
      <c r="AH248" s="138">
        <v>7.2000000000000005E-4</v>
      </c>
      <c r="AI248" s="138">
        <v>5.7921079695632096E-4</v>
      </c>
      <c r="AJ248" s="138">
        <v>8.7165151459724397E-5</v>
      </c>
    </row>
    <row r="249" spans="1:36">
      <c r="A249" s="2">
        <v>161</v>
      </c>
      <c r="B249" s="2">
        <v>9943</v>
      </c>
      <c r="C249" s="2" t="s">
        <v>1814</v>
      </c>
      <c r="D249" s="2" t="s">
        <v>1815</v>
      </c>
      <c r="E249" s="3" t="s">
        <v>1351</v>
      </c>
      <c r="F249" s="2" t="s">
        <v>1997</v>
      </c>
      <c r="G249" s="2" t="s">
        <v>1998</v>
      </c>
      <c r="H249" s="2" t="s">
        <v>209</v>
      </c>
      <c r="I249" s="2" t="s">
        <v>788</v>
      </c>
      <c r="J249" s="2" t="s">
        <v>30</v>
      </c>
      <c r="K249" s="2" t="s">
        <v>30</v>
      </c>
      <c r="L249" s="2" t="s">
        <v>361</v>
      </c>
      <c r="M249" s="2" t="s">
        <v>31</v>
      </c>
      <c r="N249" s="2" t="s">
        <v>495</v>
      </c>
      <c r="O249" s="2" t="s">
        <v>160</v>
      </c>
      <c r="P249" s="2" t="s">
        <v>1999</v>
      </c>
      <c r="Q249" s="2" t="s">
        <v>448</v>
      </c>
      <c r="R249" s="2" t="s">
        <v>440</v>
      </c>
      <c r="S249" s="2" t="s">
        <v>34</v>
      </c>
      <c r="T249" s="123">
        <v>3.7509999999999999</v>
      </c>
      <c r="U249" s="2" t="s">
        <v>2000</v>
      </c>
      <c r="V249" s="136">
        <v>1.17E-2</v>
      </c>
      <c r="W249" s="138">
        <v>2.811E-2</v>
      </c>
      <c r="X249" s="3" t="s">
        <v>445</v>
      </c>
      <c r="Y249" s="3" t="s">
        <v>160</v>
      </c>
      <c r="Z249" s="123">
        <v>286564</v>
      </c>
      <c r="AA249" s="132">
        <v>1</v>
      </c>
      <c r="AB249" s="149">
        <v>110.06</v>
      </c>
      <c r="AC249" s="2"/>
      <c r="AD249" s="123">
        <v>315.392</v>
      </c>
      <c r="AE249" s="2"/>
      <c r="AF249" s="2"/>
      <c r="AG249" s="2" t="s">
        <v>36</v>
      </c>
      <c r="AH249" s="138">
        <v>4.1599999999999997E-4</v>
      </c>
      <c r="AI249" s="138">
        <v>1.11142251932578E-3</v>
      </c>
      <c r="AJ249" s="138">
        <v>1.67257435016506E-4</v>
      </c>
    </row>
    <row r="250" spans="1:36">
      <c r="A250" s="2">
        <v>161</v>
      </c>
      <c r="B250" s="2">
        <v>9943</v>
      </c>
      <c r="C250" s="2" t="s">
        <v>1814</v>
      </c>
      <c r="D250" s="2" t="s">
        <v>1815</v>
      </c>
      <c r="E250" s="3" t="s">
        <v>1351</v>
      </c>
      <c r="F250" s="2" t="s">
        <v>2001</v>
      </c>
      <c r="G250" s="2" t="s">
        <v>2002</v>
      </c>
      <c r="H250" s="2" t="s">
        <v>209</v>
      </c>
      <c r="I250" s="2" t="s">
        <v>788</v>
      </c>
      <c r="J250" s="2" t="s">
        <v>30</v>
      </c>
      <c r="K250" s="2" t="s">
        <v>30</v>
      </c>
      <c r="L250" s="2" t="s">
        <v>361</v>
      </c>
      <c r="M250" s="2" t="s">
        <v>31</v>
      </c>
      <c r="N250" s="2" t="s">
        <v>495</v>
      </c>
      <c r="O250" s="2" t="s">
        <v>160</v>
      </c>
      <c r="P250" s="2" t="s">
        <v>1969</v>
      </c>
      <c r="Q250" s="2" t="s">
        <v>446</v>
      </c>
      <c r="R250" s="2" t="s">
        <v>440</v>
      </c>
      <c r="S250" s="2" t="s">
        <v>34</v>
      </c>
      <c r="T250" s="123">
        <v>4.93</v>
      </c>
      <c r="U250" s="2" t="s">
        <v>2003</v>
      </c>
      <c r="V250" s="136">
        <v>1.8700000000000001E-2</v>
      </c>
      <c r="W250" s="138">
        <v>2.9700000000000001E-2</v>
      </c>
      <c r="X250" s="3" t="s">
        <v>445</v>
      </c>
      <c r="Y250" s="3" t="s">
        <v>160</v>
      </c>
      <c r="Z250" s="123">
        <v>2908912.5</v>
      </c>
      <c r="AA250" s="132">
        <v>1</v>
      </c>
      <c r="AB250" s="149">
        <v>106.87</v>
      </c>
      <c r="AC250" s="2"/>
      <c r="AD250" s="123">
        <v>3108.7550000000001</v>
      </c>
      <c r="AE250" s="2"/>
      <c r="AF250" s="2"/>
      <c r="AG250" s="2" t="s">
        <v>36</v>
      </c>
      <c r="AH250" s="138">
        <v>2.9780000000000002E-3</v>
      </c>
      <c r="AI250" s="138">
        <v>1.0955053939504999E-2</v>
      </c>
      <c r="AJ250" s="138">
        <v>1.6486207455114401E-3</v>
      </c>
    </row>
    <row r="251" spans="1:36">
      <c r="A251" s="2">
        <v>161</v>
      </c>
      <c r="B251" s="2">
        <v>9943</v>
      </c>
      <c r="C251" s="2" t="s">
        <v>2004</v>
      </c>
      <c r="D251" s="2" t="s">
        <v>2005</v>
      </c>
      <c r="E251" s="3" t="s">
        <v>1351</v>
      </c>
      <c r="F251" s="2" t="s">
        <v>2006</v>
      </c>
      <c r="G251" s="2" t="s">
        <v>2007</v>
      </c>
      <c r="H251" s="2" t="s">
        <v>209</v>
      </c>
      <c r="I251" s="2" t="s">
        <v>998</v>
      </c>
      <c r="J251" s="2" t="s">
        <v>30</v>
      </c>
      <c r="K251" s="2" t="s">
        <v>30</v>
      </c>
      <c r="L251" s="2" t="s">
        <v>361</v>
      </c>
      <c r="M251" s="2" t="s">
        <v>31</v>
      </c>
      <c r="N251" s="2" t="s">
        <v>471</v>
      </c>
      <c r="O251" s="2" t="s">
        <v>160</v>
      </c>
      <c r="P251" s="2" t="s">
        <v>2008</v>
      </c>
      <c r="Q251" s="2" t="s">
        <v>448</v>
      </c>
      <c r="R251" s="2" t="s">
        <v>440</v>
      </c>
      <c r="S251" s="2" t="s">
        <v>34</v>
      </c>
      <c r="T251" s="123">
        <v>2.7770000000000001</v>
      </c>
      <c r="U251" s="2" t="s">
        <v>1960</v>
      </c>
      <c r="V251" s="136">
        <v>7.2499999999999995E-2</v>
      </c>
      <c r="W251" s="138">
        <v>5.3060000000000003E-2</v>
      </c>
      <c r="X251" s="3" t="s">
        <v>445</v>
      </c>
      <c r="Y251" s="3" t="s">
        <v>160</v>
      </c>
      <c r="Z251" s="123">
        <v>1584026.95</v>
      </c>
      <c r="AA251" s="132">
        <v>1</v>
      </c>
      <c r="AB251" s="149">
        <v>106.83</v>
      </c>
      <c r="AC251" s="2"/>
      <c r="AD251" s="123">
        <v>1692.2159999999999</v>
      </c>
      <c r="AE251" s="2"/>
      <c r="AF251" s="2"/>
      <c r="AG251" s="2" t="s">
        <v>36</v>
      </c>
      <c r="AH251" s="138">
        <v>2.4750000000000002E-3</v>
      </c>
      <c r="AI251" s="138">
        <v>5.9632614068931304E-3</v>
      </c>
      <c r="AJ251" s="138">
        <v>8.9740831223656704E-4</v>
      </c>
    </row>
    <row r="252" spans="1:36">
      <c r="A252" s="2">
        <v>161</v>
      </c>
      <c r="B252" s="2">
        <v>9943</v>
      </c>
      <c r="C252" s="2" t="s">
        <v>2233</v>
      </c>
      <c r="D252" s="2" t="s">
        <v>2234</v>
      </c>
      <c r="E252" s="3" t="s">
        <v>1351</v>
      </c>
      <c r="F252" s="2" t="s">
        <v>2235</v>
      </c>
      <c r="G252" s="2" t="s">
        <v>2236</v>
      </c>
      <c r="H252" s="2" t="s">
        <v>209</v>
      </c>
      <c r="I252" s="2" t="s">
        <v>998</v>
      </c>
      <c r="J252" s="2" t="s">
        <v>30</v>
      </c>
      <c r="K252" s="2" t="s">
        <v>30</v>
      </c>
      <c r="L252" s="2" t="s">
        <v>361</v>
      </c>
      <c r="M252" s="2" t="s">
        <v>31</v>
      </c>
      <c r="N252" s="2" t="s">
        <v>495</v>
      </c>
      <c r="O252" s="2" t="s">
        <v>160</v>
      </c>
      <c r="P252" s="2" t="s">
        <v>1956</v>
      </c>
      <c r="Q252" s="2" t="s">
        <v>446</v>
      </c>
      <c r="R252" s="2" t="s">
        <v>440</v>
      </c>
      <c r="S252" s="2" t="s">
        <v>34</v>
      </c>
      <c r="T252" s="123">
        <v>4.8040000000000003</v>
      </c>
      <c r="U252" s="2" t="s">
        <v>2204</v>
      </c>
      <c r="V252" s="136">
        <v>2.5499999999999998E-2</v>
      </c>
      <c r="W252" s="138">
        <v>4.9270000000000001E-2</v>
      </c>
      <c r="X252" s="3" t="s">
        <v>445</v>
      </c>
      <c r="Y252" s="3" t="s">
        <v>160</v>
      </c>
      <c r="Z252" s="123">
        <v>1923077</v>
      </c>
      <c r="AA252" s="132">
        <v>1</v>
      </c>
      <c r="AB252" s="149">
        <v>89.51</v>
      </c>
      <c r="AC252" s="2"/>
      <c r="AD252" s="123">
        <v>1721.346</v>
      </c>
      <c r="AE252" s="2"/>
      <c r="AF252" s="2"/>
      <c r="AG252" s="2" t="s">
        <v>36</v>
      </c>
      <c r="AH252" s="138">
        <v>6.8900000000000005E-4</v>
      </c>
      <c r="AI252" s="138">
        <v>6.0659144897768202E-3</v>
      </c>
      <c r="AJ252" s="138">
        <v>9.1285652481199505E-4</v>
      </c>
    </row>
    <row r="253" spans="1:36">
      <c r="A253" s="2">
        <v>161</v>
      </c>
      <c r="B253" s="2">
        <v>9943</v>
      </c>
      <c r="C253" s="2" t="s">
        <v>2009</v>
      </c>
      <c r="D253" s="2" t="s">
        <v>2010</v>
      </c>
      <c r="E253" s="3" t="s">
        <v>1351</v>
      </c>
      <c r="F253" s="2" t="s">
        <v>2280</v>
      </c>
      <c r="G253" s="2" t="s">
        <v>2281</v>
      </c>
      <c r="H253" s="2" t="s">
        <v>209</v>
      </c>
      <c r="I253" s="2" t="s">
        <v>788</v>
      </c>
      <c r="J253" s="2" t="s">
        <v>30</v>
      </c>
      <c r="K253" s="2" t="s">
        <v>334</v>
      </c>
      <c r="L253" s="2" t="s">
        <v>361</v>
      </c>
      <c r="M253" s="2" t="s">
        <v>31</v>
      </c>
      <c r="N253" s="2" t="s">
        <v>496</v>
      </c>
      <c r="O253" s="2" t="s">
        <v>160</v>
      </c>
      <c r="P253" s="2" t="s">
        <v>2013</v>
      </c>
      <c r="Q253" s="2" t="s">
        <v>446</v>
      </c>
      <c r="R253" s="2" t="s">
        <v>440</v>
      </c>
      <c r="S253" s="2" t="s">
        <v>34</v>
      </c>
      <c r="T253" s="123">
        <v>1.46</v>
      </c>
      <c r="U253" s="2" t="s">
        <v>2282</v>
      </c>
      <c r="V253" s="136">
        <v>0.04</v>
      </c>
      <c r="W253" s="138">
        <v>4.2619999999999998E-2</v>
      </c>
      <c r="X253" s="3" t="s">
        <v>445</v>
      </c>
      <c r="Y253" s="3" t="s">
        <v>160</v>
      </c>
      <c r="Z253" s="123">
        <v>1497925.74</v>
      </c>
      <c r="AA253" s="132">
        <v>1</v>
      </c>
      <c r="AB253" s="149">
        <v>116.46</v>
      </c>
      <c r="AC253" s="2"/>
      <c r="AD253" s="123">
        <v>1744.4839999999999</v>
      </c>
      <c r="AE253" s="2"/>
      <c r="AF253" s="2"/>
      <c r="AG253" s="2" t="s">
        <v>36</v>
      </c>
      <c r="AH253" s="138">
        <v>1.026E-3</v>
      </c>
      <c r="AI253" s="138">
        <v>6.1474516601847202E-3</v>
      </c>
      <c r="AJ253" s="138">
        <v>9.2512701397681903E-4</v>
      </c>
    </row>
    <row r="254" spans="1:36">
      <c r="A254" s="2">
        <v>161</v>
      </c>
      <c r="B254" s="2">
        <v>9943</v>
      </c>
      <c r="C254" s="2" t="s">
        <v>2009</v>
      </c>
      <c r="D254" s="2" t="s">
        <v>2010</v>
      </c>
      <c r="E254" s="3" t="s">
        <v>1351</v>
      </c>
      <c r="F254" s="2" t="s">
        <v>2283</v>
      </c>
      <c r="G254" s="2" t="s">
        <v>2284</v>
      </c>
      <c r="H254" s="2" t="s">
        <v>209</v>
      </c>
      <c r="I254" s="2" t="s">
        <v>788</v>
      </c>
      <c r="J254" s="2" t="s">
        <v>30</v>
      </c>
      <c r="K254" s="2" t="s">
        <v>334</v>
      </c>
      <c r="L254" s="2" t="s">
        <v>361</v>
      </c>
      <c r="M254" s="2" t="s">
        <v>31</v>
      </c>
      <c r="N254" s="2" t="s">
        <v>496</v>
      </c>
      <c r="O254" s="2" t="s">
        <v>160</v>
      </c>
      <c r="P254" s="2" t="s">
        <v>2013</v>
      </c>
      <c r="Q254" s="2" t="s">
        <v>446</v>
      </c>
      <c r="R254" s="2" t="s">
        <v>440</v>
      </c>
      <c r="S254" s="2" t="s">
        <v>34</v>
      </c>
      <c r="T254" s="123">
        <v>4.9050000000000002</v>
      </c>
      <c r="U254" s="2" t="s">
        <v>2285</v>
      </c>
      <c r="V254" s="136">
        <v>1.7899999999999999E-2</v>
      </c>
      <c r="W254" s="138">
        <v>5.1740000000000001E-2</v>
      </c>
      <c r="X254" s="3" t="s">
        <v>445</v>
      </c>
      <c r="Y254" s="3" t="s">
        <v>160</v>
      </c>
      <c r="Z254" s="123">
        <v>1057890.76</v>
      </c>
      <c r="AA254" s="132">
        <v>1</v>
      </c>
      <c r="AB254" s="149">
        <v>99.49</v>
      </c>
      <c r="AC254" s="2"/>
      <c r="AD254" s="123">
        <v>1052.4960000000001</v>
      </c>
      <c r="AE254" s="2"/>
      <c r="AF254" s="2"/>
      <c r="AG254" s="2" t="s">
        <v>36</v>
      </c>
      <c r="AH254" s="138">
        <v>7.6199999999999998E-4</v>
      </c>
      <c r="AI254" s="138">
        <v>3.7089271894026701E-3</v>
      </c>
      <c r="AJ254" s="138">
        <v>5.5815465097718703E-4</v>
      </c>
    </row>
    <row r="255" spans="1:36">
      <c r="A255" s="2">
        <v>161</v>
      </c>
      <c r="B255" s="2">
        <v>9943</v>
      </c>
      <c r="C255" s="2" t="s">
        <v>2015</v>
      </c>
      <c r="D255" s="2" t="s">
        <v>2016</v>
      </c>
      <c r="E255" s="3" t="s">
        <v>1351</v>
      </c>
      <c r="F255" s="2" t="s">
        <v>2017</v>
      </c>
      <c r="G255" s="2" t="s">
        <v>2018</v>
      </c>
      <c r="H255" s="2" t="s">
        <v>209</v>
      </c>
      <c r="I255" s="2" t="s">
        <v>788</v>
      </c>
      <c r="J255" s="2" t="s">
        <v>30</v>
      </c>
      <c r="K255" s="2" t="s">
        <v>30</v>
      </c>
      <c r="L255" s="2" t="s">
        <v>361</v>
      </c>
      <c r="M255" s="2" t="s">
        <v>31</v>
      </c>
      <c r="N255" s="2" t="s">
        <v>479</v>
      </c>
      <c r="O255" s="2" t="s">
        <v>160</v>
      </c>
      <c r="P255" s="2" t="s">
        <v>1199</v>
      </c>
      <c r="Q255" s="2" t="s">
        <v>446</v>
      </c>
      <c r="R255" s="2" t="s">
        <v>440</v>
      </c>
      <c r="S255" s="2" t="s">
        <v>34</v>
      </c>
      <c r="T255" s="123">
        <v>3.4950000000000001</v>
      </c>
      <c r="U255" s="2" t="s">
        <v>2019</v>
      </c>
      <c r="V255" s="136">
        <v>2E-3</v>
      </c>
      <c r="W255" s="138">
        <v>2.6020000000000001E-2</v>
      </c>
      <c r="X255" s="3" t="s">
        <v>445</v>
      </c>
      <c r="Y255" s="3" t="s">
        <v>160</v>
      </c>
      <c r="Z255" s="123">
        <v>2563927.7999999998</v>
      </c>
      <c r="AA255" s="132">
        <v>1</v>
      </c>
      <c r="AB255" s="149">
        <v>105.05</v>
      </c>
      <c r="AC255" s="2"/>
      <c r="AD255" s="123">
        <v>2693.4059999999999</v>
      </c>
      <c r="AE255" s="2"/>
      <c r="AF255" s="2"/>
      <c r="AG255" s="2" t="s">
        <v>36</v>
      </c>
      <c r="AH255" s="138">
        <v>7.5199999999999996E-4</v>
      </c>
      <c r="AI255" s="138">
        <v>9.4913917957593196E-3</v>
      </c>
      <c r="AJ255" s="138">
        <v>1.4283549405301099E-3</v>
      </c>
    </row>
    <row r="256" spans="1:36">
      <c r="A256" s="2">
        <v>161</v>
      </c>
      <c r="B256" s="2">
        <v>9943</v>
      </c>
      <c r="C256" s="2" t="s">
        <v>2015</v>
      </c>
      <c r="D256" s="2" t="s">
        <v>2016</v>
      </c>
      <c r="E256" s="3" t="s">
        <v>1351</v>
      </c>
      <c r="F256" s="2" t="s">
        <v>2270</v>
      </c>
      <c r="G256" s="2" t="s">
        <v>2271</v>
      </c>
      <c r="H256" s="2" t="s">
        <v>209</v>
      </c>
      <c r="I256" s="2" t="s">
        <v>788</v>
      </c>
      <c r="J256" s="2" t="s">
        <v>30</v>
      </c>
      <c r="K256" s="2" t="s">
        <v>30</v>
      </c>
      <c r="L256" s="2" t="s">
        <v>361</v>
      </c>
      <c r="M256" s="2" t="s">
        <v>31</v>
      </c>
      <c r="N256" s="2" t="s">
        <v>479</v>
      </c>
      <c r="O256" s="2" t="s">
        <v>160</v>
      </c>
      <c r="P256" s="2" t="s">
        <v>1199</v>
      </c>
      <c r="Q256" s="2" t="s">
        <v>446</v>
      </c>
      <c r="R256" s="2" t="s">
        <v>440</v>
      </c>
      <c r="S256" s="2" t="s">
        <v>34</v>
      </c>
      <c r="T256" s="123">
        <v>4.8920000000000003</v>
      </c>
      <c r="U256" s="2" t="s">
        <v>2247</v>
      </c>
      <c r="V256" s="136">
        <v>2.47E-2</v>
      </c>
      <c r="W256" s="138">
        <v>2.63E-2</v>
      </c>
      <c r="X256" s="3" t="s">
        <v>445</v>
      </c>
      <c r="Y256" s="3" t="s">
        <v>160</v>
      </c>
      <c r="Z256" s="123">
        <v>1456000</v>
      </c>
      <c r="AA256" s="132">
        <v>1</v>
      </c>
      <c r="AB256" s="149">
        <v>103.16</v>
      </c>
      <c r="AC256" s="2"/>
      <c r="AD256" s="123">
        <v>1502.01</v>
      </c>
      <c r="AE256" s="2"/>
      <c r="AF256" s="2"/>
      <c r="AG256" s="2" t="s">
        <v>36</v>
      </c>
      <c r="AH256" s="138">
        <v>5.5999999999999995E-4</v>
      </c>
      <c r="AI256" s="138">
        <v>5.2929861966599804E-3</v>
      </c>
      <c r="AJ256" s="138">
        <v>7.96538921460902E-4</v>
      </c>
    </row>
    <row r="257" spans="1:36">
      <c r="A257" s="2">
        <v>161</v>
      </c>
      <c r="B257" s="2">
        <v>9943</v>
      </c>
      <c r="C257" s="2" t="s">
        <v>2015</v>
      </c>
      <c r="D257" s="2" t="s">
        <v>2016</v>
      </c>
      <c r="E257" s="3" t="s">
        <v>1351</v>
      </c>
      <c r="F257" s="2" t="s">
        <v>2020</v>
      </c>
      <c r="G257" s="2" t="s">
        <v>2021</v>
      </c>
      <c r="H257" s="2" t="s">
        <v>209</v>
      </c>
      <c r="I257" s="2" t="s">
        <v>998</v>
      </c>
      <c r="J257" s="2" t="s">
        <v>30</v>
      </c>
      <c r="K257" s="2" t="s">
        <v>30</v>
      </c>
      <c r="L257" s="2" t="s">
        <v>361</v>
      </c>
      <c r="M257" s="2" t="s">
        <v>31</v>
      </c>
      <c r="N257" s="2" t="s">
        <v>479</v>
      </c>
      <c r="O257" s="2" t="s">
        <v>160</v>
      </c>
      <c r="P257" s="2" t="s">
        <v>1199</v>
      </c>
      <c r="Q257" s="2" t="s">
        <v>446</v>
      </c>
      <c r="R257" s="2" t="s">
        <v>440</v>
      </c>
      <c r="S257" s="2" t="s">
        <v>34</v>
      </c>
      <c r="T257" s="123">
        <v>2.7370000000000001</v>
      </c>
      <c r="U257" s="2" t="s">
        <v>2022</v>
      </c>
      <c r="V257" s="136">
        <v>2.6800000000000001E-2</v>
      </c>
      <c r="W257" s="138">
        <v>4.3189999999999999E-2</v>
      </c>
      <c r="X257" s="3" t="s">
        <v>445</v>
      </c>
      <c r="Y257" s="3" t="s">
        <v>160</v>
      </c>
      <c r="Z257" s="123">
        <v>1857072.46</v>
      </c>
      <c r="AA257" s="132">
        <v>1</v>
      </c>
      <c r="AB257" s="149">
        <v>97.18</v>
      </c>
      <c r="AC257" s="2"/>
      <c r="AD257" s="123">
        <v>1804.703</v>
      </c>
      <c r="AE257" s="2"/>
      <c r="AF257" s="2"/>
      <c r="AG257" s="2" t="s">
        <v>36</v>
      </c>
      <c r="AH257" s="138">
        <v>9.4899999999999997E-4</v>
      </c>
      <c r="AI257" s="138">
        <v>6.3596585242082504E-3</v>
      </c>
      <c r="AJ257" s="138">
        <v>9.5706192185596097E-4</v>
      </c>
    </row>
    <row r="258" spans="1:36">
      <c r="A258" s="2">
        <v>161</v>
      </c>
      <c r="B258" s="2">
        <v>9943</v>
      </c>
      <c r="C258" s="2" t="s">
        <v>2015</v>
      </c>
      <c r="D258" s="2" t="s">
        <v>2016</v>
      </c>
      <c r="E258" s="3" t="s">
        <v>1351</v>
      </c>
      <c r="F258" s="2" t="s">
        <v>2023</v>
      </c>
      <c r="G258" s="2" t="s">
        <v>2024</v>
      </c>
      <c r="H258" s="2" t="s">
        <v>209</v>
      </c>
      <c r="I258" s="2" t="s">
        <v>788</v>
      </c>
      <c r="J258" s="2" t="s">
        <v>30</v>
      </c>
      <c r="K258" s="2" t="s">
        <v>30</v>
      </c>
      <c r="L258" s="2" t="s">
        <v>361</v>
      </c>
      <c r="M258" s="2" t="s">
        <v>58</v>
      </c>
      <c r="N258" s="2" t="s">
        <v>479</v>
      </c>
      <c r="O258" s="2" t="s">
        <v>160</v>
      </c>
      <c r="P258" s="2" t="s">
        <v>1969</v>
      </c>
      <c r="Q258" s="2" t="s">
        <v>446</v>
      </c>
      <c r="R258" s="2" t="s">
        <v>440</v>
      </c>
      <c r="S258" s="2" t="s">
        <v>34</v>
      </c>
      <c r="T258" s="123">
        <v>4.93</v>
      </c>
      <c r="U258" s="2" t="s">
        <v>2025</v>
      </c>
      <c r="V258" s="136">
        <v>3.3203000000000003E-2</v>
      </c>
      <c r="W258" s="138">
        <v>3.0030000000000001E-2</v>
      </c>
      <c r="X258" s="3" t="s">
        <v>445</v>
      </c>
      <c r="Y258" s="3" t="s">
        <v>160</v>
      </c>
      <c r="Z258" s="123">
        <v>1200000</v>
      </c>
      <c r="AA258" s="132">
        <v>1</v>
      </c>
      <c r="AB258" s="149">
        <v>106.72</v>
      </c>
      <c r="AC258" s="2"/>
      <c r="AD258" s="123">
        <v>1280.6400000000001</v>
      </c>
      <c r="AE258" s="2"/>
      <c r="AF258" s="2"/>
      <c r="AG258" s="2" t="s">
        <v>36</v>
      </c>
      <c r="AH258" s="138">
        <v>9.5699999999999995E-4</v>
      </c>
      <c r="AI258" s="138">
        <v>4.5128938209786596E-3</v>
      </c>
      <c r="AJ258" s="138">
        <v>6.7914319880491405E-4</v>
      </c>
    </row>
    <row r="259" spans="1:36">
      <c r="A259" s="2">
        <v>161</v>
      </c>
      <c r="B259" s="2">
        <v>9943</v>
      </c>
      <c r="C259" s="2" t="s">
        <v>2026</v>
      </c>
      <c r="D259" s="2" t="s">
        <v>2027</v>
      </c>
      <c r="E259" s="3" t="s">
        <v>1351</v>
      </c>
      <c r="F259" s="2" t="s">
        <v>2028</v>
      </c>
      <c r="G259" s="2" t="s">
        <v>2029</v>
      </c>
      <c r="H259" s="2" t="s">
        <v>209</v>
      </c>
      <c r="I259" s="2" t="s">
        <v>788</v>
      </c>
      <c r="J259" s="2" t="s">
        <v>30</v>
      </c>
      <c r="K259" s="2" t="s">
        <v>30</v>
      </c>
      <c r="L259" s="2" t="s">
        <v>361</v>
      </c>
      <c r="M259" s="2" t="s">
        <v>31</v>
      </c>
      <c r="N259" s="2" t="s">
        <v>495</v>
      </c>
      <c r="O259" s="2" t="s">
        <v>160</v>
      </c>
      <c r="P259" s="2" t="s">
        <v>2030</v>
      </c>
      <c r="Q259" s="2" t="s">
        <v>446</v>
      </c>
      <c r="R259" s="2" t="s">
        <v>440</v>
      </c>
      <c r="S259" s="2" t="s">
        <v>34</v>
      </c>
      <c r="T259" s="123">
        <v>2.8719999999999999</v>
      </c>
      <c r="U259" s="2" t="s">
        <v>2031</v>
      </c>
      <c r="V259" s="136">
        <v>2.7E-2</v>
      </c>
      <c r="W259" s="138">
        <v>2.9139999999999999E-2</v>
      </c>
      <c r="X259" s="3" t="s">
        <v>445</v>
      </c>
      <c r="Y259" s="3" t="s">
        <v>160</v>
      </c>
      <c r="Z259" s="123">
        <v>174531.6</v>
      </c>
      <c r="AA259" s="132">
        <v>1</v>
      </c>
      <c r="AB259" s="149">
        <v>108.07</v>
      </c>
      <c r="AC259" s="2"/>
      <c r="AD259" s="123">
        <v>188.61600000000001</v>
      </c>
      <c r="AE259" s="2"/>
      <c r="AF259" s="2"/>
      <c r="AG259" s="2" t="s">
        <v>36</v>
      </c>
      <c r="AH259" s="138">
        <v>4.4299999999999998E-4</v>
      </c>
      <c r="AI259" s="138">
        <v>6.6467183232399795E-4</v>
      </c>
      <c r="AJ259" s="138">
        <v>1.00026141156175E-4</v>
      </c>
    </row>
    <row r="260" spans="1:36">
      <c r="A260" s="2">
        <v>161</v>
      </c>
      <c r="B260" s="2">
        <v>9943</v>
      </c>
      <c r="C260" s="2" t="s">
        <v>2026</v>
      </c>
      <c r="D260" s="2" t="s">
        <v>2027</v>
      </c>
      <c r="E260" s="3" t="s">
        <v>1351</v>
      </c>
      <c r="F260" s="2" t="s">
        <v>2032</v>
      </c>
      <c r="G260" s="2" t="s">
        <v>2033</v>
      </c>
      <c r="H260" s="2" t="s">
        <v>209</v>
      </c>
      <c r="I260" s="2" t="s">
        <v>788</v>
      </c>
      <c r="J260" s="2" t="s">
        <v>30</v>
      </c>
      <c r="K260" s="2" t="s">
        <v>30</v>
      </c>
      <c r="L260" s="2" t="s">
        <v>361</v>
      </c>
      <c r="M260" s="2" t="s">
        <v>31</v>
      </c>
      <c r="N260" s="2" t="s">
        <v>495</v>
      </c>
      <c r="O260" s="2" t="s">
        <v>160</v>
      </c>
      <c r="P260" s="2" t="s">
        <v>2030</v>
      </c>
      <c r="Q260" s="2" t="s">
        <v>446</v>
      </c>
      <c r="R260" s="2" t="s">
        <v>440</v>
      </c>
      <c r="S260" s="2" t="s">
        <v>34</v>
      </c>
      <c r="T260" s="123">
        <v>2.2509999999999999</v>
      </c>
      <c r="U260" s="2" t="s">
        <v>2034</v>
      </c>
      <c r="V260" s="136">
        <v>1.7999999999999999E-2</v>
      </c>
      <c r="W260" s="138">
        <v>2.801E-2</v>
      </c>
      <c r="X260" s="3" t="s">
        <v>445</v>
      </c>
      <c r="Y260" s="3" t="s">
        <v>160</v>
      </c>
      <c r="Z260" s="123">
        <v>1125000</v>
      </c>
      <c r="AA260" s="132">
        <v>1</v>
      </c>
      <c r="AB260" s="149">
        <v>115.55</v>
      </c>
      <c r="AC260" s="2"/>
      <c r="AD260" s="123">
        <v>1299.9380000000001</v>
      </c>
      <c r="AE260" s="2"/>
      <c r="AF260" s="2"/>
      <c r="AG260" s="2" t="s">
        <v>36</v>
      </c>
      <c r="AH260" s="138">
        <v>1.521E-3</v>
      </c>
      <c r="AI260" s="138">
        <v>4.5808969822966998E-3</v>
      </c>
      <c r="AJ260" s="138">
        <v>6.8937696151647799E-4</v>
      </c>
    </row>
    <row r="261" spans="1:36">
      <c r="A261" s="2">
        <v>161</v>
      </c>
      <c r="B261" s="2">
        <v>9943</v>
      </c>
      <c r="C261" s="2" t="s">
        <v>2026</v>
      </c>
      <c r="D261" s="2" t="s">
        <v>2027</v>
      </c>
      <c r="E261" s="3" t="s">
        <v>1351</v>
      </c>
      <c r="F261" s="2" t="s">
        <v>2286</v>
      </c>
      <c r="G261" s="2" t="s">
        <v>2287</v>
      </c>
      <c r="H261" s="2" t="s">
        <v>209</v>
      </c>
      <c r="I261" s="2" t="s">
        <v>788</v>
      </c>
      <c r="J261" s="2" t="s">
        <v>30</v>
      </c>
      <c r="K261" s="2" t="s">
        <v>30</v>
      </c>
      <c r="L261" s="2" t="s">
        <v>361</v>
      </c>
      <c r="M261" s="2" t="s">
        <v>31</v>
      </c>
      <c r="N261" s="2" t="s">
        <v>495</v>
      </c>
      <c r="O261" s="2" t="s">
        <v>160</v>
      </c>
      <c r="P261" s="2" t="s">
        <v>2013</v>
      </c>
      <c r="Q261" s="2" t="s">
        <v>446</v>
      </c>
      <c r="R261" s="2" t="s">
        <v>440</v>
      </c>
      <c r="S261" s="2" t="s">
        <v>34</v>
      </c>
      <c r="T261" s="123">
        <v>1.4690000000000001</v>
      </c>
      <c r="U261" s="2" t="s">
        <v>2282</v>
      </c>
      <c r="V261" s="136">
        <v>2.2499999999999999E-2</v>
      </c>
      <c r="W261" s="138">
        <v>2.9739999999999999E-2</v>
      </c>
      <c r="X261" s="3" t="s">
        <v>445</v>
      </c>
      <c r="Y261" s="3" t="s">
        <v>160</v>
      </c>
      <c r="Z261" s="123">
        <v>476199.41</v>
      </c>
      <c r="AA261" s="132">
        <v>1</v>
      </c>
      <c r="AB261" s="149">
        <v>116.57</v>
      </c>
      <c r="AC261" s="2"/>
      <c r="AD261" s="123">
        <v>555.10599999999999</v>
      </c>
      <c r="AE261" s="2"/>
      <c r="AF261" s="2"/>
      <c r="AG261" s="2" t="s">
        <v>36</v>
      </c>
      <c r="AH261" s="138">
        <v>1.908E-3</v>
      </c>
      <c r="AI261" s="138">
        <v>1.95615697461479E-3</v>
      </c>
      <c r="AJ261" s="138">
        <v>2.9438111283024398E-4</v>
      </c>
    </row>
    <row r="262" spans="1:36">
      <c r="A262" s="2">
        <v>161</v>
      </c>
      <c r="B262" s="2">
        <v>9943</v>
      </c>
      <c r="C262" s="2" t="s">
        <v>1655</v>
      </c>
      <c r="D262" s="2" t="s">
        <v>1656</v>
      </c>
      <c r="E262" s="3" t="s">
        <v>1351</v>
      </c>
      <c r="F262" s="2" t="s">
        <v>2035</v>
      </c>
      <c r="G262" s="2" t="s">
        <v>2036</v>
      </c>
      <c r="H262" s="2" t="s">
        <v>209</v>
      </c>
      <c r="I262" s="2" t="s">
        <v>788</v>
      </c>
      <c r="J262" s="2" t="s">
        <v>30</v>
      </c>
      <c r="K262" s="2" t="s">
        <v>30</v>
      </c>
      <c r="L262" s="2" t="s">
        <v>361</v>
      </c>
      <c r="M262" s="2" t="s">
        <v>31</v>
      </c>
      <c r="N262" s="2" t="s">
        <v>476</v>
      </c>
      <c r="O262" s="2" t="s">
        <v>160</v>
      </c>
      <c r="P262" s="2" t="s">
        <v>1956</v>
      </c>
      <c r="Q262" s="2" t="s">
        <v>446</v>
      </c>
      <c r="R262" s="2" t="s">
        <v>440</v>
      </c>
      <c r="S262" s="2" t="s">
        <v>34</v>
      </c>
      <c r="T262" s="123">
        <v>3.8069999999999999</v>
      </c>
      <c r="U262" s="2" t="s">
        <v>2037</v>
      </c>
      <c r="V262" s="136">
        <v>4.4000000000000003E-3</v>
      </c>
      <c r="W262" s="138">
        <v>2.647E-2</v>
      </c>
      <c r="X262" s="3" t="s">
        <v>445</v>
      </c>
      <c r="Y262" s="3" t="s">
        <v>160</v>
      </c>
      <c r="Z262" s="123">
        <v>1700000</v>
      </c>
      <c r="AA262" s="132">
        <v>1</v>
      </c>
      <c r="AB262" s="149">
        <v>107.59</v>
      </c>
      <c r="AC262" s="2"/>
      <c r="AD262" s="123">
        <v>1829.03</v>
      </c>
      <c r="AE262" s="2"/>
      <c r="AF262" s="2"/>
      <c r="AG262" s="2" t="s">
        <v>36</v>
      </c>
      <c r="AH262" s="138">
        <v>1.655E-3</v>
      </c>
      <c r="AI262" s="138">
        <v>6.4453852646993697E-3</v>
      </c>
      <c r="AJ262" s="138">
        <v>9.6996289738736201E-4</v>
      </c>
    </row>
    <row r="263" spans="1:36">
      <c r="A263" s="2">
        <v>161</v>
      </c>
      <c r="B263" s="2">
        <v>9943</v>
      </c>
      <c r="C263" s="2" t="s">
        <v>2288</v>
      </c>
      <c r="D263" s="2" t="s">
        <v>2289</v>
      </c>
      <c r="E263" s="3" t="s">
        <v>1351</v>
      </c>
      <c r="F263" s="2" t="s">
        <v>2290</v>
      </c>
      <c r="G263" s="2" t="s">
        <v>2291</v>
      </c>
      <c r="H263" s="2" t="s">
        <v>209</v>
      </c>
      <c r="I263" s="2" t="s">
        <v>998</v>
      </c>
      <c r="J263" s="2" t="s">
        <v>30</v>
      </c>
      <c r="K263" s="2" t="s">
        <v>30</v>
      </c>
      <c r="L263" s="2" t="s">
        <v>361</v>
      </c>
      <c r="M263" s="2" t="s">
        <v>31</v>
      </c>
      <c r="N263" s="2" t="s">
        <v>476</v>
      </c>
      <c r="O263" s="2" t="s">
        <v>160</v>
      </c>
      <c r="P263" s="2" t="s">
        <v>1969</v>
      </c>
      <c r="Q263" s="2" t="s">
        <v>446</v>
      </c>
      <c r="R263" s="2" t="s">
        <v>440</v>
      </c>
      <c r="S263" s="2" t="s">
        <v>34</v>
      </c>
      <c r="T263" s="123">
        <v>0.98699999999999999</v>
      </c>
      <c r="U263" s="2" t="s">
        <v>2086</v>
      </c>
      <c r="V263" s="136">
        <v>2.9100000000000001E-2</v>
      </c>
      <c r="W263" s="138">
        <v>4.8590000000000001E-2</v>
      </c>
      <c r="X263" s="3" t="s">
        <v>445</v>
      </c>
      <c r="Y263" s="3" t="s">
        <v>160</v>
      </c>
      <c r="Z263" s="123">
        <v>60000</v>
      </c>
      <c r="AA263" s="132">
        <v>1</v>
      </c>
      <c r="AB263" s="149">
        <v>98.2</v>
      </c>
      <c r="AC263" s="2"/>
      <c r="AD263" s="123">
        <v>58.92</v>
      </c>
      <c r="AE263" s="2"/>
      <c r="AF263" s="2"/>
      <c r="AG263" s="2" t="s">
        <v>36</v>
      </c>
      <c r="AH263" s="138">
        <v>1E-4</v>
      </c>
      <c r="AI263" s="138">
        <v>2.0763032853265799E-4</v>
      </c>
      <c r="AJ263" s="138">
        <v>3.12461872763505E-5</v>
      </c>
    </row>
    <row r="264" spans="1:36">
      <c r="A264" s="2">
        <v>161</v>
      </c>
      <c r="B264" s="2">
        <v>9943</v>
      </c>
      <c r="C264" s="2" t="s">
        <v>1834</v>
      </c>
      <c r="D264" s="2" t="s">
        <v>1835</v>
      </c>
      <c r="E264" s="3" t="s">
        <v>1351</v>
      </c>
      <c r="F264" s="2" t="s">
        <v>2038</v>
      </c>
      <c r="G264" s="2" t="s">
        <v>2039</v>
      </c>
      <c r="H264" s="2" t="s">
        <v>209</v>
      </c>
      <c r="I264" s="2" t="s">
        <v>998</v>
      </c>
      <c r="J264" s="2" t="s">
        <v>30</v>
      </c>
      <c r="K264" s="2" t="s">
        <v>30</v>
      </c>
      <c r="L264" s="2" t="s">
        <v>361</v>
      </c>
      <c r="M264" s="2" t="s">
        <v>31</v>
      </c>
      <c r="N264" s="2" t="s">
        <v>476</v>
      </c>
      <c r="O264" s="2" t="s">
        <v>160</v>
      </c>
      <c r="P264" s="2" t="s">
        <v>1355</v>
      </c>
      <c r="Q264" s="2" t="s">
        <v>448</v>
      </c>
      <c r="R264" s="2" t="s">
        <v>440</v>
      </c>
      <c r="S264" s="2" t="s">
        <v>34</v>
      </c>
      <c r="T264" s="123">
        <v>4.9370000000000003</v>
      </c>
      <c r="U264" s="2" t="s">
        <v>2040</v>
      </c>
      <c r="V264" s="136">
        <v>1.95E-2</v>
      </c>
      <c r="W264" s="138">
        <v>4.5429999999999998E-2</v>
      </c>
      <c r="X264" s="3" t="s">
        <v>445</v>
      </c>
      <c r="Y264" s="3" t="s">
        <v>160</v>
      </c>
      <c r="Z264" s="123">
        <v>2867581.08</v>
      </c>
      <c r="AA264" s="132">
        <v>1</v>
      </c>
      <c r="AB264" s="149">
        <v>88.13</v>
      </c>
      <c r="AC264" s="2"/>
      <c r="AD264" s="123">
        <v>2527.1990000000001</v>
      </c>
      <c r="AE264" s="2"/>
      <c r="AF264" s="2"/>
      <c r="AG264" s="2" t="s">
        <v>36</v>
      </c>
      <c r="AH264" s="138">
        <v>2.9940000000000001E-3</v>
      </c>
      <c r="AI264" s="138">
        <v>8.9056890931526796E-3</v>
      </c>
      <c r="AJ264" s="138">
        <v>1.34021282534277E-3</v>
      </c>
    </row>
    <row r="265" spans="1:36">
      <c r="A265" s="2">
        <v>161</v>
      </c>
      <c r="B265" s="2">
        <v>9943</v>
      </c>
      <c r="C265" s="2" t="s">
        <v>2041</v>
      </c>
      <c r="D265" s="2" t="s">
        <v>2042</v>
      </c>
      <c r="E265" s="3" t="s">
        <v>1351</v>
      </c>
      <c r="F265" s="2" t="s">
        <v>2043</v>
      </c>
      <c r="G265" s="2" t="s">
        <v>2044</v>
      </c>
      <c r="H265" s="2" t="s">
        <v>209</v>
      </c>
      <c r="I265" s="2" t="s">
        <v>998</v>
      </c>
      <c r="J265" s="2" t="s">
        <v>30</v>
      </c>
      <c r="K265" s="2" t="s">
        <v>30</v>
      </c>
      <c r="L265" s="2" t="s">
        <v>361</v>
      </c>
      <c r="M265" s="2" t="s">
        <v>31</v>
      </c>
      <c r="N265" s="2" t="s">
        <v>482</v>
      </c>
      <c r="O265" s="2" t="s">
        <v>160</v>
      </c>
      <c r="P265" s="2" t="s">
        <v>1965</v>
      </c>
      <c r="Q265" s="2" t="s">
        <v>446</v>
      </c>
      <c r="R265" s="2" t="s">
        <v>440</v>
      </c>
      <c r="S265" s="2" t="s">
        <v>34</v>
      </c>
      <c r="T265" s="123">
        <v>2.06</v>
      </c>
      <c r="U265" s="2" t="s">
        <v>2014</v>
      </c>
      <c r="V265" s="136">
        <v>2.1999999999999999E-2</v>
      </c>
      <c r="W265" s="138">
        <v>4.895E-2</v>
      </c>
      <c r="X265" s="3" t="s">
        <v>445</v>
      </c>
      <c r="Y265" s="3" t="s">
        <v>160</v>
      </c>
      <c r="Z265" s="123">
        <v>720000</v>
      </c>
      <c r="AA265" s="132">
        <v>1</v>
      </c>
      <c r="AB265" s="149">
        <v>94.79</v>
      </c>
      <c r="AC265" s="2"/>
      <c r="AD265" s="123">
        <v>682.48800000000006</v>
      </c>
      <c r="AE265" s="2"/>
      <c r="AF265" s="2"/>
      <c r="AG265" s="2" t="s">
        <v>36</v>
      </c>
      <c r="AH265" s="138">
        <v>8.3000000000000001E-4</v>
      </c>
      <c r="AI265" s="138">
        <v>2.4050442576306302E-3</v>
      </c>
      <c r="AJ265" s="138">
        <v>3.6193394198679401E-4</v>
      </c>
    </row>
    <row r="266" spans="1:36">
      <c r="A266" s="2">
        <v>161</v>
      </c>
      <c r="B266" s="2">
        <v>9943</v>
      </c>
      <c r="C266" s="2" t="s">
        <v>1948</v>
      </c>
      <c r="D266" s="2" t="s">
        <v>1949</v>
      </c>
      <c r="E266" s="3" t="s">
        <v>1351</v>
      </c>
      <c r="F266" s="2" t="s">
        <v>2045</v>
      </c>
      <c r="G266" s="2" t="s">
        <v>2046</v>
      </c>
      <c r="H266" s="2" t="s">
        <v>209</v>
      </c>
      <c r="I266" s="2" t="s">
        <v>998</v>
      </c>
      <c r="J266" s="2" t="s">
        <v>30</v>
      </c>
      <c r="K266" s="2" t="s">
        <v>30</v>
      </c>
      <c r="L266" s="2" t="s">
        <v>361</v>
      </c>
      <c r="M266" s="2" t="s">
        <v>58</v>
      </c>
      <c r="N266" s="2" t="s">
        <v>478</v>
      </c>
      <c r="O266" s="2" t="s">
        <v>160</v>
      </c>
      <c r="P266" s="2" t="s">
        <v>211</v>
      </c>
      <c r="Q266" s="2" t="s">
        <v>211</v>
      </c>
      <c r="R266" s="2" t="s">
        <v>211</v>
      </c>
      <c r="S266" s="2" t="s">
        <v>34</v>
      </c>
      <c r="T266" s="123">
        <v>1.9419999999999999</v>
      </c>
      <c r="U266" s="2" t="s">
        <v>2047</v>
      </c>
      <c r="V266" s="136">
        <v>6.5000000000000002E-2</v>
      </c>
      <c r="W266" s="138">
        <v>6.1740000000000003E-2</v>
      </c>
      <c r="X266" s="3" t="s">
        <v>445</v>
      </c>
      <c r="Y266" s="3" t="s">
        <v>160</v>
      </c>
      <c r="Z266" s="123">
        <v>277034</v>
      </c>
      <c r="AA266" s="132">
        <v>1</v>
      </c>
      <c r="AB266" s="149">
        <v>100.78</v>
      </c>
      <c r="AC266" s="123">
        <v>9.0039999999999996</v>
      </c>
      <c r="AD266" s="123">
        <v>288.19799999999998</v>
      </c>
      <c r="AE266" s="2"/>
      <c r="AF266" s="2"/>
      <c r="AG266" s="2" t="s">
        <v>36</v>
      </c>
      <c r="AH266" s="138">
        <v>9.4300000000000004E-4</v>
      </c>
      <c r="AI266" s="138">
        <v>1.01559307685653E-3</v>
      </c>
      <c r="AJ266" s="138">
        <v>1.52836108772197E-4</v>
      </c>
    </row>
    <row r="267" spans="1:36">
      <c r="A267" s="2">
        <v>161</v>
      </c>
      <c r="B267" s="2">
        <v>9943</v>
      </c>
      <c r="C267" s="2" t="s">
        <v>2048</v>
      </c>
      <c r="D267" s="2" t="s">
        <v>2049</v>
      </c>
      <c r="E267" s="3" t="s">
        <v>1351</v>
      </c>
      <c r="F267" s="2" t="s">
        <v>2053</v>
      </c>
      <c r="G267" s="2" t="s">
        <v>2054</v>
      </c>
      <c r="H267" s="2" t="s">
        <v>209</v>
      </c>
      <c r="I267" s="2" t="s">
        <v>788</v>
      </c>
      <c r="J267" s="2" t="s">
        <v>30</v>
      </c>
      <c r="K267" s="2" t="s">
        <v>30</v>
      </c>
      <c r="L267" s="2" t="s">
        <v>361</v>
      </c>
      <c r="M267" s="2" t="s">
        <v>31</v>
      </c>
      <c r="N267" s="2" t="s">
        <v>471</v>
      </c>
      <c r="O267" s="2" t="s">
        <v>160</v>
      </c>
      <c r="P267" s="2" t="s">
        <v>1199</v>
      </c>
      <c r="Q267" s="2" t="s">
        <v>446</v>
      </c>
      <c r="R267" s="2" t="s">
        <v>440</v>
      </c>
      <c r="S267" s="2" t="s">
        <v>34</v>
      </c>
      <c r="T267" s="123">
        <v>2.7709999999999999</v>
      </c>
      <c r="U267" s="2" t="s">
        <v>2055</v>
      </c>
      <c r="V267" s="136">
        <v>3.85E-2</v>
      </c>
      <c r="W267" s="138">
        <v>2.4639999999999999E-2</v>
      </c>
      <c r="X267" s="3" t="s">
        <v>445</v>
      </c>
      <c r="Y267" s="3" t="s">
        <v>160</v>
      </c>
      <c r="Z267" s="123">
        <v>1548936.09</v>
      </c>
      <c r="AA267" s="132">
        <v>1</v>
      </c>
      <c r="AB267" s="149">
        <v>123.46</v>
      </c>
      <c r="AC267" s="2"/>
      <c r="AD267" s="123">
        <v>1912.316</v>
      </c>
      <c r="AE267" s="2"/>
      <c r="AF267" s="2"/>
      <c r="AG267" s="2" t="s">
        <v>36</v>
      </c>
      <c r="AH267" s="138">
        <v>6.1300000000000005E-4</v>
      </c>
      <c r="AI267" s="138">
        <v>6.7388815762245199E-3</v>
      </c>
      <c r="AJ267" s="138">
        <v>1.0141310147315E-3</v>
      </c>
    </row>
    <row r="268" spans="1:36">
      <c r="A268" s="2">
        <v>161</v>
      </c>
      <c r="B268" s="2">
        <v>9943</v>
      </c>
      <c r="C268" s="2" t="s">
        <v>2048</v>
      </c>
      <c r="D268" s="2" t="s">
        <v>2049</v>
      </c>
      <c r="E268" s="3" t="s">
        <v>1351</v>
      </c>
      <c r="F268" s="2" t="s">
        <v>2292</v>
      </c>
      <c r="G268" s="2" t="s">
        <v>2293</v>
      </c>
      <c r="H268" s="2" t="s">
        <v>209</v>
      </c>
      <c r="I268" s="2" t="s">
        <v>788</v>
      </c>
      <c r="J268" s="2" t="s">
        <v>30</v>
      </c>
      <c r="K268" s="2" t="s">
        <v>30</v>
      </c>
      <c r="L268" s="2" t="s">
        <v>361</v>
      </c>
      <c r="M268" s="2" t="s">
        <v>31</v>
      </c>
      <c r="N268" s="2" t="s">
        <v>471</v>
      </c>
      <c r="O268" s="2" t="s">
        <v>160</v>
      </c>
      <c r="P268" s="2" t="s">
        <v>1199</v>
      </c>
      <c r="Q268" s="2" t="s">
        <v>446</v>
      </c>
      <c r="R268" s="2" t="s">
        <v>440</v>
      </c>
      <c r="S268" s="2" t="s">
        <v>34</v>
      </c>
      <c r="T268" s="123">
        <v>10.196</v>
      </c>
      <c r="U268" s="2" t="s">
        <v>131</v>
      </c>
      <c r="V268" s="136">
        <v>1.2500000000000001E-2</v>
      </c>
      <c r="W268" s="138">
        <v>2.793E-2</v>
      </c>
      <c r="X268" s="3" t="s">
        <v>445</v>
      </c>
      <c r="Y268" s="3" t="s">
        <v>160</v>
      </c>
      <c r="Z268" s="123">
        <v>2100000</v>
      </c>
      <c r="AA268" s="132">
        <v>1</v>
      </c>
      <c r="AB268" s="149">
        <v>98.88</v>
      </c>
      <c r="AC268" s="2"/>
      <c r="AD268" s="123">
        <v>2076.48</v>
      </c>
      <c r="AE268" s="2"/>
      <c r="AF268" s="2"/>
      <c r="AG268" s="2" t="s">
        <v>36</v>
      </c>
      <c r="AH268" s="138">
        <v>4.8899999999999996E-4</v>
      </c>
      <c r="AI268" s="138">
        <v>7.3173833094279201E-3</v>
      </c>
      <c r="AJ268" s="138">
        <v>1.1011894595315101E-3</v>
      </c>
    </row>
    <row r="269" spans="1:36">
      <c r="A269" s="2">
        <v>161</v>
      </c>
      <c r="B269" s="2">
        <v>9943</v>
      </c>
      <c r="C269" s="2" t="s">
        <v>2048</v>
      </c>
      <c r="D269" s="2" t="s">
        <v>2049</v>
      </c>
      <c r="E269" s="3" t="s">
        <v>1351</v>
      </c>
      <c r="F269" s="2" t="s">
        <v>2059</v>
      </c>
      <c r="G269" s="2" t="s">
        <v>2060</v>
      </c>
      <c r="H269" s="2" t="s">
        <v>209</v>
      </c>
      <c r="I269" s="2" t="s">
        <v>788</v>
      </c>
      <c r="J269" s="2" t="s">
        <v>30</v>
      </c>
      <c r="K269" s="2" t="s">
        <v>30</v>
      </c>
      <c r="L269" s="2" t="s">
        <v>361</v>
      </c>
      <c r="M269" s="2" t="s">
        <v>31</v>
      </c>
      <c r="N269" s="2" t="s">
        <v>471</v>
      </c>
      <c r="O269" s="2" t="s">
        <v>160</v>
      </c>
      <c r="P269" s="2" t="s">
        <v>1199</v>
      </c>
      <c r="Q269" s="2" t="s">
        <v>446</v>
      </c>
      <c r="R269" s="2" t="s">
        <v>440</v>
      </c>
      <c r="S269" s="2" t="s">
        <v>34</v>
      </c>
      <c r="T269" s="123">
        <v>7.1369999999999996</v>
      </c>
      <c r="U269" s="2" t="s">
        <v>2061</v>
      </c>
      <c r="V269" s="136">
        <v>0.03</v>
      </c>
      <c r="W269" s="138">
        <v>2.597E-2</v>
      </c>
      <c r="X269" s="3" t="s">
        <v>445</v>
      </c>
      <c r="Y269" s="3" t="s">
        <v>160</v>
      </c>
      <c r="Z269" s="123">
        <v>2401000</v>
      </c>
      <c r="AA269" s="132">
        <v>1</v>
      </c>
      <c r="AB269" s="149">
        <v>109.5</v>
      </c>
      <c r="AC269" s="2"/>
      <c r="AD269" s="123">
        <v>2629.0949999999998</v>
      </c>
      <c r="AE269" s="2"/>
      <c r="AF269" s="2"/>
      <c r="AG269" s="2" t="s">
        <v>36</v>
      </c>
      <c r="AH269" s="138">
        <v>5.8900000000000001E-4</v>
      </c>
      <c r="AI269" s="138">
        <v>9.2647633841406608E-3</v>
      </c>
      <c r="AJ269" s="138">
        <v>1.39424974095921E-3</v>
      </c>
    </row>
    <row r="270" spans="1:36">
      <c r="A270" s="2">
        <v>161</v>
      </c>
      <c r="B270" s="2">
        <v>9943</v>
      </c>
      <c r="C270" s="2" t="s">
        <v>1846</v>
      </c>
      <c r="D270" s="2" t="s">
        <v>1847</v>
      </c>
      <c r="E270" s="3" t="s">
        <v>1351</v>
      </c>
      <c r="F270" s="2" t="s">
        <v>2070</v>
      </c>
      <c r="G270" s="2" t="s">
        <v>2071</v>
      </c>
      <c r="H270" s="2" t="s">
        <v>209</v>
      </c>
      <c r="I270" s="2" t="s">
        <v>788</v>
      </c>
      <c r="J270" s="2" t="s">
        <v>30</v>
      </c>
      <c r="K270" s="2" t="s">
        <v>30</v>
      </c>
      <c r="L270" s="2" t="s">
        <v>361</v>
      </c>
      <c r="M270" s="2" t="s">
        <v>31</v>
      </c>
      <c r="N270" s="2" t="s">
        <v>495</v>
      </c>
      <c r="O270" s="2" t="s">
        <v>160</v>
      </c>
      <c r="P270" s="2" t="s">
        <v>1956</v>
      </c>
      <c r="Q270" s="2" t="s">
        <v>446</v>
      </c>
      <c r="R270" s="2" t="s">
        <v>440</v>
      </c>
      <c r="S270" s="2" t="s">
        <v>34</v>
      </c>
      <c r="T270" s="123">
        <v>1.7569999999999999</v>
      </c>
      <c r="U270" s="2" t="s">
        <v>2072</v>
      </c>
      <c r="V270" s="136">
        <v>1.5800000000000002E-2</v>
      </c>
      <c r="W270" s="138">
        <v>2.7789999999999999E-2</v>
      </c>
      <c r="X270" s="3" t="s">
        <v>445</v>
      </c>
      <c r="Y270" s="3" t="s">
        <v>160</v>
      </c>
      <c r="Z270" s="123">
        <v>208557.26</v>
      </c>
      <c r="AA270" s="132">
        <v>1</v>
      </c>
      <c r="AB270" s="149">
        <v>116.04</v>
      </c>
      <c r="AC270" s="2"/>
      <c r="AD270" s="123">
        <v>242.01</v>
      </c>
      <c r="AE270" s="2"/>
      <c r="AF270" s="2"/>
      <c r="AG270" s="2" t="s">
        <v>36</v>
      </c>
      <c r="AH270" s="138">
        <v>5.2999999999999998E-4</v>
      </c>
      <c r="AI270" s="138">
        <v>8.52827283138203E-4</v>
      </c>
      <c r="AJ270" s="138">
        <v>1.28341563545357E-4</v>
      </c>
    </row>
    <row r="271" spans="1:36">
      <c r="A271" s="2">
        <v>161</v>
      </c>
      <c r="B271" s="2">
        <v>9943</v>
      </c>
      <c r="C271" s="2" t="s">
        <v>1846</v>
      </c>
      <c r="D271" s="2" t="s">
        <v>1847</v>
      </c>
      <c r="E271" s="3" t="s">
        <v>1351</v>
      </c>
      <c r="F271" s="2" t="s">
        <v>2073</v>
      </c>
      <c r="G271" s="2" t="s">
        <v>2074</v>
      </c>
      <c r="H271" s="2" t="s">
        <v>209</v>
      </c>
      <c r="I271" s="2" t="s">
        <v>788</v>
      </c>
      <c r="J271" s="2" t="s">
        <v>30</v>
      </c>
      <c r="K271" s="2" t="s">
        <v>30</v>
      </c>
      <c r="L271" s="2" t="s">
        <v>361</v>
      </c>
      <c r="M271" s="2" t="s">
        <v>31</v>
      </c>
      <c r="N271" s="2" t="s">
        <v>495</v>
      </c>
      <c r="O271" s="2" t="s">
        <v>160</v>
      </c>
      <c r="P271" s="2" t="s">
        <v>1956</v>
      </c>
      <c r="Q271" s="2" t="s">
        <v>446</v>
      </c>
      <c r="R271" s="2" t="s">
        <v>440</v>
      </c>
      <c r="S271" s="2" t="s">
        <v>34</v>
      </c>
      <c r="T271" s="123">
        <v>4.2240000000000002</v>
      </c>
      <c r="U271" s="2" t="s">
        <v>2075</v>
      </c>
      <c r="V271" s="136">
        <v>8.3999999999999995E-3</v>
      </c>
      <c r="W271" s="138">
        <v>2.7869999999999999E-2</v>
      </c>
      <c r="X271" s="3" t="s">
        <v>445</v>
      </c>
      <c r="Y271" s="3" t="s">
        <v>160</v>
      </c>
      <c r="Z271" s="123">
        <v>539717.16</v>
      </c>
      <c r="AA271" s="132">
        <v>1</v>
      </c>
      <c r="AB271" s="149">
        <v>107.28</v>
      </c>
      <c r="AC271" s="2"/>
      <c r="AD271" s="123">
        <v>579.00900000000001</v>
      </c>
      <c r="AE271" s="2"/>
      <c r="AF271" s="2"/>
      <c r="AG271" s="2" t="s">
        <v>36</v>
      </c>
      <c r="AH271" s="138">
        <v>7.0399999999999998E-4</v>
      </c>
      <c r="AI271" s="138">
        <v>2.0403893322502799E-3</v>
      </c>
      <c r="AJ271" s="138">
        <v>3.0705719941165598E-4</v>
      </c>
    </row>
    <row r="272" spans="1:36">
      <c r="A272" s="2">
        <v>161</v>
      </c>
      <c r="B272" s="2">
        <v>9943</v>
      </c>
      <c r="C272" s="2" t="s">
        <v>1667</v>
      </c>
      <c r="D272" s="2" t="s">
        <v>1668</v>
      </c>
      <c r="E272" s="3" t="s">
        <v>1351</v>
      </c>
      <c r="F272" s="2" t="s">
        <v>2251</v>
      </c>
      <c r="G272" s="2" t="s">
        <v>2252</v>
      </c>
      <c r="H272" s="2" t="s">
        <v>209</v>
      </c>
      <c r="I272" s="2" t="s">
        <v>998</v>
      </c>
      <c r="J272" s="2" t="s">
        <v>30</v>
      </c>
      <c r="K272" s="2" t="s">
        <v>30</v>
      </c>
      <c r="L272" s="2" t="s">
        <v>361</v>
      </c>
      <c r="M272" s="2" t="s">
        <v>31</v>
      </c>
      <c r="N272" s="2" t="s">
        <v>476</v>
      </c>
      <c r="O272" s="2" t="s">
        <v>160</v>
      </c>
      <c r="P272" s="2" t="s">
        <v>1969</v>
      </c>
      <c r="Q272" s="2" t="s">
        <v>446</v>
      </c>
      <c r="R272" s="2" t="s">
        <v>440</v>
      </c>
      <c r="S272" s="2" t="s">
        <v>34</v>
      </c>
      <c r="T272" s="123">
        <v>1.56</v>
      </c>
      <c r="U272" s="2" t="s">
        <v>2253</v>
      </c>
      <c r="V272" s="136">
        <v>4.7E-2</v>
      </c>
      <c r="W272" s="138">
        <v>4.385E-2</v>
      </c>
      <c r="X272" s="3" t="s">
        <v>445</v>
      </c>
      <c r="Y272" s="3" t="s">
        <v>160</v>
      </c>
      <c r="Z272" s="123">
        <v>1300000</v>
      </c>
      <c r="AA272" s="132">
        <v>1</v>
      </c>
      <c r="AB272" s="149">
        <v>102.06</v>
      </c>
      <c r="AC272" s="2"/>
      <c r="AD272" s="123">
        <v>1326.78</v>
      </c>
      <c r="AE272" s="2"/>
      <c r="AF272" s="2"/>
      <c r="AG272" s="2" t="s">
        <v>36</v>
      </c>
      <c r="AH272" s="138">
        <v>1.446E-3</v>
      </c>
      <c r="AI272" s="138">
        <v>4.6754882432206296E-3</v>
      </c>
      <c r="AJ272" s="138">
        <v>7.0361195442152601E-4</v>
      </c>
    </row>
    <row r="273" spans="1:36">
      <c r="A273" s="2">
        <v>161</v>
      </c>
      <c r="B273" s="2">
        <v>9943</v>
      </c>
      <c r="C273" s="2" t="s">
        <v>2076</v>
      </c>
      <c r="D273" s="2" t="s">
        <v>2077</v>
      </c>
      <c r="E273" s="3" t="s">
        <v>1351</v>
      </c>
      <c r="F273" s="2" t="s">
        <v>2078</v>
      </c>
      <c r="G273" s="2" t="s">
        <v>2079</v>
      </c>
      <c r="H273" s="2" t="s">
        <v>209</v>
      </c>
      <c r="I273" s="2" t="s">
        <v>998</v>
      </c>
      <c r="J273" s="2" t="s">
        <v>30</v>
      </c>
      <c r="K273" s="2" t="s">
        <v>30</v>
      </c>
      <c r="L273" s="2" t="s">
        <v>361</v>
      </c>
      <c r="M273" s="2" t="s">
        <v>31</v>
      </c>
      <c r="N273" s="2" t="s">
        <v>476</v>
      </c>
      <c r="O273" s="2" t="s">
        <v>160</v>
      </c>
      <c r="P273" s="2" t="s">
        <v>1969</v>
      </c>
      <c r="Q273" s="2" t="s">
        <v>446</v>
      </c>
      <c r="R273" s="2" t="s">
        <v>440</v>
      </c>
      <c r="S273" s="2" t="s">
        <v>34</v>
      </c>
      <c r="T273" s="123">
        <v>6.1639999999999997</v>
      </c>
      <c r="U273" s="2" t="s">
        <v>2080</v>
      </c>
      <c r="V273" s="136">
        <v>2.5000000000000001E-2</v>
      </c>
      <c r="W273" s="138">
        <v>4.8559999999999999E-2</v>
      </c>
      <c r="X273" s="3" t="s">
        <v>445</v>
      </c>
      <c r="Y273" s="3" t="s">
        <v>160</v>
      </c>
      <c r="Z273" s="123">
        <v>356187</v>
      </c>
      <c r="AA273" s="132">
        <v>1</v>
      </c>
      <c r="AB273" s="149">
        <v>87.5</v>
      </c>
      <c r="AC273" s="2"/>
      <c r="AD273" s="123">
        <v>311.66399999999999</v>
      </c>
      <c r="AE273" s="2"/>
      <c r="AF273" s="2"/>
      <c r="AG273" s="2" t="s">
        <v>36</v>
      </c>
      <c r="AH273" s="138">
        <v>2.6699999999999998E-4</v>
      </c>
      <c r="AI273" s="138">
        <v>1.0982827707133201E-3</v>
      </c>
      <c r="AJ273" s="138">
        <v>1.6528004063096199E-4</v>
      </c>
    </row>
    <row r="274" spans="1:36">
      <c r="A274" s="2">
        <v>161</v>
      </c>
      <c r="B274" s="2">
        <v>9943</v>
      </c>
      <c r="C274" s="2" t="s">
        <v>2076</v>
      </c>
      <c r="D274" s="2" t="s">
        <v>2077</v>
      </c>
      <c r="E274" s="3" t="s">
        <v>1351</v>
      </c>
      <c r="F274" s="2" t="s">
        <v>2294</v>
      </c>
      <c r="G274" s="2" t="s">
        <v>2295</v>
      </c>
      <c r="H274" s="2" t="s">
        <v>209</v>
      </c>
      <c r="I274" s="2" t="s">
        <v>788</v>
      </c>
      <c r="J274" s="2" t="s">
        <v>30</v>
      </c>
      <c r="K274" s="2" t="s">
        <v>30</v>
      </c>
      <c r="L274" s="2" t="s">
        <v>361</v>
      </c>
      <c r="M274" s="2" t="s">
        <v>31</v>
      </c>
      <c r="N274" s="2" t="s">
        <v>476</v>
      </c>
      <c r="O274" s="2" t="s">
        <v>160</v>
      </c>
      <c r="P274" s="2" t="s">
        <v>1969</v>
      </c>
      <c r="Q274" s="2" t="s">
        <v>446</v>
      </c>
      <c r="R274" s="2" t="s">
        <v>440</v>
      </c>
      <c r="S274" s="2" t="s">
        <v>34</v>
      </c>
      <c r="T274" s="123">
        <v>7.9000000000000001E-2</v>
      </c>
      <c r="U274" s="2" t="s">
        <v>1340</v>
      </c>
      <c r="V274" s="136">
        <v>2.4799999999999999E-2</v>
      </c>
      <c r="W274" s="138">
        <v>5.1540000000000002E-2</v>
      </c>
      <c r="X274" s="3" t="s">
        <v>445</v>
      </c>
      <c r="Y274" s="3" t="s">
        <v>160</v>
      </c>
      <c r="Z274" s="123">
        <v>1200000</v>
      </c>
      <c r="AA274" s="132">
        <v>1</v>
      </c>
      <c r="AB274" s="149">
        <v>118.24</v>
      </c>
      <c r="AC274" s="2"/>
      <c r="AD274" s="123">
        <v>1418.88</v>
      </c>
      <c r="AE274" s="2"/>
      <c r="AF274" s="2"/>
      <c r="AG274" s="2" t="s">
        <v>36</v>
      </c>
      <c r="AH274" s="138">
        <v>2.8340000000000001E-3</v>
      </c>
      <c r="AI274" s="138">
        <v>5.0000427791652598E-3</v>
      </c>
      <c r="AJ274" s="138">
        <v>7.5245400887081202E-4</v>
      </c>
    </row>
    <row r="275" spans="1:36">
      <c r="A275" s="2">
        <v>161</v>
      </c>
      <c r="B275" s="2">
        <v>9943</v>
      </c>
      <c r="C275" s="2" t="s">
        <v>1197</v>
      </c>
      <c r="D275" s="2" t="s">
        <v>1607</v>
      </c>
      <c r="E275" s="3" t="s">
        <v>1351</v>
      </c>
      <c r="F275" s="2" t="s">
        <v>2081</v>
      </c>
      <c r="G275" s="2" t="s">
        <v>2082</v>
      </c>
      <c r="H275" s="2" t="s">
        <v>209</v>
      </c>
      <c r="I275" s="2" t="s">
        <v>788</v>
      </c>
      <c r="J275" s="2" t="s">
        <v>30</v>
      </c>
      <c r="K275" s="2" t="s">
        <v>30</v>
      </c>
      <c r="L275" s="2" t="s">
        <v>361</v>
      </c>
      <c r="M275" s="2" t="s">
        <v>31</v>
      </c>
      <c r="N275" s="2" t="s">
        <v>479</v>
      </c>
      <c r="O275" s="2" t="s">
        <v>160</v>
      </c>
      <c r="P275" s="2" t="s">
        <v>1199</v>
      </c>
      <c r="Q275" s="2" t="s">
        <v>446</v>
      </c>
      <c r="R275" s="2" t="s">
        <v>440</v>
      </c>
      <c r="S275" s="2" t="s">
        <v>34</v>
      </c>
      <c r="T275" s="123">
        <v>2.0920000000000001</v>
      </c>
      <c r="U275" s="2" t="s">
        <v>2083</v>
      </c>
      <c r="V275" s="136">
        <v>1.8599999999999998E-2</v>
      </c>
      <c r="W275" s="138">
        <v>2.5680000000000001E-2</v>
      </c>
      <c r="X275" s="3" t="s">
        <v>445</v>
      </c>
      <c r="Y275" s="3" t="s">
        <v>160</v>
      </c>
      <c r="Z275" s="123">
        <v>383969.7</v>
      </c>
      <c r="AA275" s="132">
        <v>1</v>
      </c>
      <c r="AB275" s="149">
        <v>104.2</v>
      </c>
      <c r="AC275" s="2"/>
      <c r="AD275" s="123">
        <v>400.096</v>
      </c>
      <c r="AE275" s="2"/>
      <c r="AF275" s="2"/>
      <c r="AG275" s="2" t="s">
        <v>36</v>
      </c>
      <c r="AH275" s="138">
        <v>1.34E-4</v>
      </c>
      <c r="AI275" s="138">
        <v>1.40991433580795E-3</v>
      </c>
      <c r="AJ275" s="138">
        <v>2.1217732347486701E-4</v>
      </c>
    </row>
    <row r="276" spans="1:36">
      <c r="A276" s="2">
        <v>161</v>
      </c>
      <c r="B276" s="2">
        <v>9943</v>
      </c>
      <c r="C276" s="2" t="s">
        <v>1197</v>
      </c>
      <c r="D276" s="2" t="s">
        <v>1607</v>
      </c>
      <c r="E276" s="3" t="s">
        <v>1351</v>
      </c>
      <c r="F276" s="2" t="s">
        <v>2084</v>
      </c>
      <c r="G276" s="2" t="s">
        <v>2085</v>
      </c>
      <c r="H276" s="2" t="s">
        <v>209</v>
      </c>
      <c r="I276" s="2" t="s">
        <v>788</v>
      </c>
      <c r="J276" s="2" t="s">
        <v>30</v>
      </c>
      <c r="K276" s="2" t="s">
        <v>30</v>
      </c>
      <c r="L276" s="2" t="s">
        <v>361</v>
      </c>
      <c r="M276" s="2" t="s">
        <v>31</v>
      </c>
      <c r="N276" s="2" t="s">
        <v>479</v>
      </c>
      <c r="O276" s="2" t="s">
        <v>160</v>
      </c>
      <c r="P276" s="2" t="s">
        <v>1199</v>
      </c>
      <c r="Q276" s="2" t="s">
        <v>446</v>
      </c>
      <c r="R276" s="2" t="s">
        <v>440</v>
      </c>
      <c r="S276" s="2" t="s">
        <v>34</v>
      </c>
      <c r="T276" s="123">
        <v>0.995</v>
      </c>
      <c r="U276" s="2" t="s">
        <v>2086</v>
      </c>
      <c r="V276" s="136">
        <v>8.3000000000000001E-3</v>
      </c>
      <c r="W276" s="138">
        <v>2.4899999999999999E-2</v>
      </c>
      <c r="X276" s="3" t="s">
        <v>445</v>
      </c>
      <c r="Y276" s="3" t="s">
        <v>160</v>
      </c>
      <c r="Z276" s="123">
        <v>917140</v>
      </c>
      <c r="AA276" s="132">
        <v>1</v>
      </c>
      <c r="AB276" s="149">
        <v>115.16</v>
      </c>
      <c r="AC276" s="2"/>
      <c r="AD276" s="123">
        <v>1056.1780000000001</v>
      </c>
      <c r="AE276" s="2"/>
      <c r="AF276" s="2"/>
      <c r="AG276" s="2" t="s">
        <v>36</v>
      </c>
      <c r="AH276" s="138">
        <v>6.0300000000000002E-4</v>
      </c>
      <c r="AI276" s="138">
        <v>3.7219055187410798E-3</v>
      </c>
      <c r="AJ276" s="138">
        <v>5.6010775345459495E-4</v>
      </c>
    </row>
    <row r="277" spans="1:36">
      <c r="A277" s="2">
        <v>161</v>
      </c>
      <c r="B277" s="2">
        <v>9943</v>
      </c>
      <c r="C277" s="2" t="s">
        <v>1197</v>
      </c>
      <c r="D277" s="2" t="s">
        <v>1607</v>
      </c>
      <c r="E277" s="3" t="s">
        <v>1351</v>
      </c>
      <c r="F277" s="2" t="s">
        <v>2087</v>
      </c>
      <c r="G277" s="2" t="s">
        <v>2088</v>
      </c>
      <c r="H277" s="2" t="s">
        <v>209</v>
      </c>
      <c r="I277" s="2" t="s">
        <v>788</v>
      </c>
      <c r="J277" s="2" t="s">
        <v>30</v>
      </c>
      <c r="K277" s="2" t="s">
        <v>30</v>
      </c>
      <c r="L277" s="2" t="s">
        <v>361</v>
      </c>
      <c r="M277" s="2" t="s">
        <v>31</v>
      </c>
      <c r="N277" s="2" t="s">
        <v>479</v>
      </c>
      <c r="O277" s="2" t="s">
        <v>160</v>
      </c>
      <c r="P277" s="2" t="s">
        <v>1199</v>
      </c>
      <c r="Q277" s="2" t="s">
        <v>446</v>
      </c>
      <c r="R277" s="2" t="s">
        <v>440</v>
      </c>
      <c r="S277" s="2" t="s">
        <v>34</v>
      </c>
      <c r="T277" s="123">
        <v>2.3969999999999998</v>
      </c>
      <c r="U277" s="2" t="s">
        <v>2089</v>
      </c>
      <c r="V277" s="136">
        <v>1E-3</v>
      </c>
      <c r="W277" s="138">
        <v>2.4969999999999999E-2</v>
      </c>
      <c r="X277" s="3" t="s">
        <v>445</v>
      </c>
      <c r="Y277" s="3" t="s">
        <v>160</v>
      </c>
      <c r="Z277" s="123">
        <v>2846700</v>
      </c>
      <c r="AA277" s="132">
        <v>1</v>
      </c>
      <c r="AB277" s="149">
        <v>107.95</v>
      </c>
      <c r="AC277" s="2"/>
      <c r="AD277" s="123">
        <v>3073.0129999999999</v>
      </c>
      <c r="AE277" s="2"/>
      <c r="AF277" s="2"/>
      <c r="AG277" s="2" t="s">
        <v>36</v>
      </c>
      <c r="AH277" s="138">
        <v>9.0700000000000004E-4</v>
      </c>
      <c r="AI277" s="138">
        <v>1.0829100918270799E-2</v>
      </c>
      <c r="AJ277" s="138">
        <v>1.6296661365324901E-3</v>
      </c>
    </row>
    <row r="278" spans="1:36">
      <c r="A278" s="2">
        <v>161</v>
      </c>
      <c r="B278" s="2">
        <v>9943</v>
      </c>
      <c r="C278" s="2" t="s">
        <v>1197</v>
      </c>
      <c r="D278" s="2" t="s">
        <v>1607</v>
      </c>
      <c r="E278" s="3" t="s">
        <v>1351</v>
      </c>
      <c r="F278" s="2" t="s">
        <v>2090</v>
      </c>
      <c r="G278" s="2" t="s">
        <v>2091</v>
      </c>
      <c r="H278" s="2" t="s">
        <v>209</v>
      </c>
      <c r="I278" s="2" t="s">
        <v>998</v>
      </c>
      <c r="J278" s="2" t="s">
        <v>30</v>
      </c>
      <c r="K278" s="2" t="s">
        <v>30</v>
      </c>
      <c r="L278" s="2" t="s">
        <v>361</v>
      </c>
      <c r="M278" s="2" t="s">
        <v>31</v>
      </c>
      <c r="N278" s="2" t="s">
        <v>479</v>
      </c>
      <c r="O278" s="2" t="s">
        <v>160</v>
      </c>
      <c r="P278" s="2" t="s">
        <v>1199</v>
      </c>
      <c r="Q278" s="2" t="s">
        <v>446</v>
      </c>
      <c r="R278" s="2" t="s">
        <v>440</v>
      </c>
      <c r="S278" s="2" t="s">
        <v>34</v>
      </c>
      <c r="T278" s="123">
        <v>2.4529999999999998</v>
      </c>
      <c r="U278" s="2" t="s">
        <v>2092</v>
      </c>
      <c r="V278" s="136">
        <v>2.76E-2</v>
      </c>
      <c r="W278" s="138">
        <v>4.3869999999999999E-2</v>
      </c>
      <c r="X278" s="3" t="s">
        <v>445</v>
      </c>
      <c r="Y278" s="3" t="s">
        <v>160</v>
      </c>
      <c r="Z278" s="123">
        <v>3530000</v>
      </c>
      <c r="AA278" s="132">
        <v>1</v>
      </c>
      <c r="AB278" s="149">
        <v>96.65</v>
      </c>
      <c r="AC278" s="2"/>
      <c r="AD278" s="123">
        <v>3411.7449999999999</v>
      </c>
      <c r="AE278" s="2"/>
      <c r="AF278" s="2"/>
      <c r="AG278" s="2" t="s">
        <v>36</v>
      </c>
      <c r="AH278" s="138">
        <v>1.6260000000000001E-3</v>
      </c>
      <c r="AI278" s="138">
        <v>1.2022772152404101E-2</v>
      </c>
      <c r="AJ278" s="138">
        <v>1.8093011406848699E-3</v>
      </c>
    </row>
    <row r="279" spans="1:36">
      <c r="A279" s="2">
        <v>161</v>
      </c>
      <c r="B279" s="2">
        <v>9943</v>
      </c>
      <c r="C279" s="2" t="s">
        <v>1197</v>
      </c>
      <c r="D279" s="2" t="s">
        <v>1607</v>
      </c>
      <c r="E279" s="3" t="s">
        <v>1351</v>
      </c>
      <c r="F279" s="2" t="s">
        <v>2093</v>
      </c>
      <c r="G279" s="2" t="s">
        <v>2094</v>
      </c>
      <c r="H279" s="2" t="s">
        <v>209</v>
      </c>
      <c r="I279" s="2" t="s">
        <v>788</v>
      </c>
      <c r="J279" s="2" t="s">
        <v>30</v>
      </c>
      <c r="K279" s="2" t="s">
        <v>30</v>
      </c>
      <c r="L279" s="2" t="s">
        <v>361</v>
      </c>
      <c r="M279" s="2" t="s">
        <v>31</v>
      </c>
      <c r="N279" s="2" t="s">
        <v>479</v>
      </c>
      <c r="O279" s="2" t="s">
        <v>160</v>
      </c>
      <c r="P279" s="2" t="s">
        <v>1199</v>
      </c>
      <c r="Q279" s="2" t="s">
        <v>446</v>
      </c>
      <c r="R279" s="2" t="s">
        <v>440</v>
      </c>
      <c r="S279" s="2" t="s">
        <v>34</v>
      </c>
      <c r="T279" s="123">
        <v>4.3879999999999999</v>
      </c>
      <c r="U279" s="2" t="s">
        <v>2095</v>
      </c>
      <c r="V279" s="136">
        <v>2.0199999999999999E-2</v>
      </c>
      <c r="W279" s="138">
        <v>2.6360000000000001E-2</v>
      </c>
      <c r="X279" s="3" t="s">
        <v>445</v>
      </c>
      <c r="Y279" s="3" t="s">
        <v>160</v>
      </c>
      <c r="Z279" s="123">
        <v>4526633</v>
      </c>
      <c r="AA279" s="132">
        <v>1</v>
      </c>
      <c r="AB279" s="149">
        <v>102.52</v>
      </c>
      <c r="AC279" s="2"/>
      <c r="AD279" s="123">
        <v>4640.7039999999997</v>
      </c>
      <c r="AE279" s="2"/>
      <c r="AF279" s="2"/>
      <c r="AG279" s="2" t="s">
        <v>36</v>
      </c>
      <c r="AH279" s="138">
        <v>1.2689999999999999E-3</v>
      </c>
      <c r="AI279" s="138">
        <v>1.6353545954167999E-2</v>
      </c>
      <c r="AJ279" s="138">
        <v>2.4610371862700399E-3</v>
      </c>
    </row>
    <row r="280" spans="1:36">
      <c r="A280" s="2">
        <v>161</v>
      </c>
      <c r="B280" s="2">
        <v>9943</v>
      </c>
      <c r="C280" s="2" t="s">
        <v>1197</v>
      </c>
      <c r="D280" s="2" t="s">
        <v>1607</v>
      </c>
      <c r="E280" s="3" t="s">
        <v>1351</v>
      </c>
      <c r="F280" s="2" t="s">
        <v>2096</v>
      </c>
      <c r="G280" s="2" t="s">
        <v>2097</v>
      </c>
      <c r="H280" s="2" t="s">
        <v>209</v>
      </c>
      <c r="I280" s="2" t="s">
        <v>788</v>
      </c>
      <c r="J280" s="2" t="s">
        <v>30</v>
      </c>
      <c r="K280" s="2" t="s">
        <v>30</v>
      </c>
      <c r="L280" s="2" t="s">
        <v>361</v>
      </c>
      <c r="M280" s="2" t="s">
        <v>31</v>
      </c>
      <c r="N280" s="2" t="s">
        <v>479</v>
      </c>
      <c r="O280" s="2" t="s">
        <v>160</v>
      </c>
      <c r="P280" s="2" t="s">
        <v>1199</v>
      </c>
      <c r="Q280" s="2" t="s">
        <v>446</v>
      </c>
      <c r="R280" s="2" t="s">
        <v>440</v>
      </c>
      <c r="S280" s="2" t="s">
        <v>34</v>
      </c>
      <c r="T280" s="123">
        <v>4.3920000000000003</v>
      </c>
      <c r="U280" s="2" t="s">
        <v>2098</v>
      </c>
      <c r="V280" s="136">
        <v>1E-3</v>
      </c>
      <c r="W280" s="138">
        <v>2.581E-2</v>
      </c>
      <c r="X280" s="3" t="s">
        <v>445</v>
      </c>
      <c r="Y280" s="3" t="s">
        <v>160</v>
      </c>
      <c r="Z280" s="123">
        <v>461460</v>
      </c>
      <c r="AA280" s="132">
        <v>1</v>
      </c>
      <c r="AB280" s="149">
        <v>102.6</v>
      </c>
      <c r="AC280" s="2"/>
      <c r="AD280" s="123">
        <v>473.45800000000003</v>
      </c>
      <c r="AE280" s="2"/>
      <c r="AF280" s="2"/>
      <c r="AG280" s="2" t="s">
        <v>36</v>
      </c>
      <c r="AH280" s="138">
        <v>1.08E-4</v>
      </c>
      <c r="AI280" s="138">
        <v>1.6684357057230501E-3</v>
      </c>
      <c r="AJ280" s="138">
        <v>2.5108207884655197E-4</v>
      </c>
    </row>
    <row r="281" spans="1:36">
      <c r="A281" s="2">
        <v>161</v>
      </c>
      <c r="B281" s="2">
        <v>9943</v>
      </c>
      <c r="C281" s="2" t="s">
        <v>1197</v>
      </c>
      <c r="D281" s="2" t="s">
        <v>1607</v>
      </c>
      <c r="E281" s="3" t="s">
        <v>1351</v>
      </c>
      <c r="F281" s="2" t="s">
        <v>2296</v>
      </c>
      <c r="G281" s="2" t="s">
        <v>2297</v>
      </c>
      <c r="H281" s="2" t="s">
        <v>209</v>
      </c>
      <c r="I281" s="2" t="s">
        <v>788</v>
      </c>
      <c r="J281" s="2" t="s">
        <v>30</v>
      </c>
      <c r="K281" s="2" t="s">
        <v>30</v>
      </c>
      <c r="L281" s="2" t="s">
        <v>361</v>
      </c>
      <c r="M281" s="2" t="s">
        <v>31</v>
      </c>
      <c r="N281" s="2" t="s">
        <v>479</v>
      </c>
      <c r="O281" s="2" t="s">
        <v>160</v>
      </c>
      <c r="P281" s="2" t="s">
        <v>1969</v>
      </c>
      <c r="Q281" s="2" t="s">
        <v>446</v>
      </c>
      <c r="R281" s="2" t="s">
        <v>440</v>
      </c>
      <c r="S281" s="2" t="s">
        <v>34</v>
      </c>
      <c r="T281" s="123">
        <v>2.6920000000000002</v>
      </c>
      <c r="U281" s="2" t="s">
        <v>2298</v>
      </c>
      <c r="V281" s="136">
        <v>1.4999999999999999E-2</v>
      </c>
      <c r="W281" s="138">
        <v>2.954E-2</v>
      </c>
      <c r="X281" s="3" t="s">
        <v>445</v>
      </c>
      <c r="Y281" s="3" t="s">
        <v>160</v>
      </c>
      <c r="Z281" s="123">
        <v>1700000</v>
      </c>
      <c r="AA281" s="132">
        <v>1</v>
      </c>
      <c r="AB281" s="149">
        <v>109.15</v>
      </c>
      <c r="AC281" s="2"/>
      <c r="AD281" s="123">
        <v>1855.55</v>
      </c>
      <c r="AE281" s="2"/>
      <c r="AF281" s="2"/>
      <c r="AG281" s="2" t="s">
        <v>36</v>
      </c>
      <c r="AH281" s="138">
        <v>1.2110000000000001E-3</v>
      </c>
      <c r="AI281" s="138">
        <v>6.5388400561570397E-3</v>
      </c>
      <c r="AJ281" s="138">
        <v>9.8402686355451808E-4</v>
      </c>
    </row>
    <row r="282" spans="1:36">
      <c r="A282" s="2">
        <v>161</v>
      </c>
      <c r="B282" s="2">
        <v>9943</v>
      </c>
      <c r="C282" s="2" t="s">
        <v>1197</v>
      </c>
      <c r="D282" s="2" t="s">
        <v>1607</v>
      </c>
      <c r="E282" s="3" t="s">
        <v>1351</v>
      </c>
      <c r="F282" s="2" t="s">
        <v>2099</v>
      </c>
      <c r="G282" s="2" t="s">
        <v>2100</v>
      </c>
      <c r="H282" s="2" t="s">
        <v>209</v>
      </c>
      <c r="I282" s="2" t="s">
        <v>788</v>
      </c>
      <c r="J282" s="2" t="s">
        <v>30</v>
      </c>
      <c r="K282" s="2" t="s">
        <v>30</v>
      </c>
      <c r="L282" s="2" t="s">
        <v>361</v>
      </c>
      <c r="M282" s="2" t="s">
        <v>58</v>
      </c>
      <c r="N282" s="2" t="s">
        <v>479</v>
      </c>
      <c r="O282" s="2" t="s">
        <v>160</v>
      </c>
      <c r="P282" s="2" t="s">
        <v>1969</v>
      </c>
      <c r="Q282" s="2" t="s">
        <v>446</v>
      </c>
      <c r="R282" s="2" t="s">
        <v>440</v>
      </c>
      <c r="S282" s="2" t="s">
        <v>34</v>
      </c>
      <c r="T282" s="123">
        <v>5.2320000000000002</v>
      </c>
      <c r="U282" s="2" t="s">
        <v>2101</v>
      </c>
      <c r="V282" s="136">
        <v>3.1E-2</v>
      </c>
      <c r="W282" s="138">
        <v>2.937E-2</v>
      </c>
      <c r="X282" s="3" t="s">
        <v>445</v>
      </c>
      <c r="Y282" s="3" t="s">
        <v>160</v>
      </c>
      <c r="Z282" s="123">
        <v>2300000</v>
      </c>
      <c r="AA282" s="132">
        <v>1</v>
      </c>
      <c r="AB282" s="149">
        <v>103.76</v>
      </c>
      <c r="AC282" s="2"/>
      <c r="AD282" s="123">
        <v>2386.48</v>
      </c>
      <c r="AE282" s="2"/>
      <c r="AF282" s="2"/>
      <c r="AG282" s="2" t="s">
        <v>36</v>
      </c>
      <c r="AH282" s="138">
        <v>1.498E-3</v>
      </c>
      <c r="AI282" s="138">
        <v>8.4098035715651203E-3</v>
      </c>
      <c r="AJ282" s="138">
        <v>1.26558725409479E-3</v>
      </c>
    </row>
    <row r="283" spans="1:36">
      <c r="A283" s="2">
        <v>161</v>
      </c>
      <c r="B283" s="2">
        <v>9943</v>
      </c>
      <c r="C283" s="2" t="s">
        <v>1854</v>
      </c>
      <c r="D283" s="2" t="s">
        <v>1855</v>
      </c>
      <c r="E283" s="3" t="s">
        <v>1351</v>
      </c>
      <c r="F283" s="2" t="s">
        <v>2254</v>
      </c>
      <c r="G283" s="2" t="s">
        <v>2255</v>
      </c>
      <c r="H283" s="2" t="s">
        <v>209</v>
      </c>
      <c r="I283" s="2" t="s">
        <v>788</v>
      </c>
      <c r="J283" s="2" t="s">
        <v>30</v>
      </c>
      <c r="K283" s="2" t="s">
        <v>30</v>
      </c>
      <c r="L283" s="2" t="s">
        <v>361</v>
      </c>
      <c r="M283" s="2" t="s">
        <v>31</v>
      </c>
      <c r="N283" s="2" t="s">
        <v>495</v>
      </c>
      <c r="O283" s="2" t="s">
        <v>160</v>
      </c>
      <c r="P283" s="2" t="s">
        <v>1956</v>
      </c>
      <c r="Q283" s="2" t="s">
        <v>446</v>
      </c>
      <c r="R283" s="2" t="s">
        <v>440</v>
      </c>
      <c r="S283" s="2" t="s">
        <v>34</v>
      </c>
      <c r="T283" s="123">
        <v>5.1150000000000002</v>
      </c>
      <c r="U283" s="2" t="s">
        <v>2256</v>
      </c>
      <c r="V283" s="136">
        <v>3.5000000000000001E-3</v>
      </c>
      <c r="W283" s="138">
        <v>2.9239999999999999E-2</v>
      </c>
      <c r="X283" s="3" t="s">
        <v>445</v>
      </c>
      <c r="Y283" s="3" t="s">
        <v>160</v>
      </c>
      <c r="Z283" s="123">
        <v>48790</v>
      </c>
      <c r="AA283" s="132">
        <v>1</v>
      </c>
      <c r="AB283" s="149">
        <v>100.33</v>
      </c>
      <c r="AC283" s="2"/>
      <c r="AD283" s="123">
        <v>48.951000000000001</v>
      </c>
      <c r="AE283" s="2"/>
      <c r="AF283" s="2"/>
      <c r="AG283" s="2" t="s">
        <v>36</v>
      </c>
      <c r="AH283" s="138">
        <v>1.4E-5</v>
      </c>
      <c r="AI283" s="138">
        <v>1.7250023193167701E-4</v>
      </c>
      <c r="AJ283" s="138">
        <v>2.5959476104683401E-5</v>
      </c>
    </row>
    <row r="284" spans="1:36">
      <c r="A284" s="2">
        <v>161</v>
      </c>
      <c r="B284" s="2">
        <v>9943</v>
      </c>
      <c r="C284" s="2" t="s">
        <v>1854</v>
      </c>
      <c r="D284" s="2" t="s">
        <v>1855</v>
      </c>
      <c r="E284" s="3" t="s">
        <v>1351</v>
      </c>
      <c r="F284" s="2" t="s">
        <v>2299</v>
      </c>
      <c r="G284" s="2" t="s">
        <v>2300</v>
      </c>
      <c r="H284" s="2" t="s">
        <v>209</v>
      </c>
      <c r="I284" s="2" t="s">
        <v>788</v>
      </c>
      <c r="J284" s="2" t="s">
        <v>30</v>
      </c>
      <c r="K284" s="2" t="s">
        <v>30</v>
      </c>
      <c r="L284" s="2" t="s">
        <v>361</v>
      </c>
      <c r="M284" s="2" t="s">
        <v>31</v>
      </c>
      <c r="N284" s="2" t="s">
        <v>495</v>
      </c>
      <c r="O284" s="2" t="s">
        <v>160</v>
      </c>
      <c r="P284" s="2" t="s">
        <v>1956</v>
      </c>
      <c r="Q284" s="2" t="s">
        <v>446</v>
      </c>
      <c r="R284" s="2" t="s">
        <v>440</v>
      </c>
      <c r="S284" s="2" t="s">
        <v>34</v>
      </c>
      <c r="T284" s="123">
        <v>1.1559999999999999</v>
      </c>
      <c r="U284" s="2" t="s">
        <v>2301</v>
      </c>
      <c r="V284" s="136">
        <v>2.4E-2</v>
      </c>
      <c r="W284" s="138">
        <v>2.861E-2</v>
      </c>
      <c r="X284" s="3" t="s">
        <v>445</v>
      </c>
      <c r="Y284" s="3" t="s">
        <v>160</v>
      </c>
      <c r="Z284" s="123">
        <v>1936493.58</v>
      </c>
      <c r="AA284" s="132">
        <v>1</v>
      </c>
      <c r="AB284" s="149">
        <v>117.85</v>
      </c>
      <c r="AC284" s="2"/>
      <c r="AD284" s="123">
        <v>2282.1579999999999</v>
      </c>
      <c r="AE284" s="2"/>
      <c r="AF284" s="2"/>
      <c r="AG284" s="2" t="s">
        <v>36</v>
      </c>
      <c r="AH284" s="138">
        <v>3.6029999999999999E-3</v>
      </c>
      <c r="AI284" s="138">
        <v>8.0421783723434795E-3</v>
      </c>
      <c r="AJ284" s="138">
        <v>1.2102635164522001E-3</v>
      </c>
    </row>
    <row r="285" spans="1:36">
      <c r="A285" s="2">
        <v>161</v>
      </c>
      <c r="B285" s="2">
        <v>9943</v>
      </c>
      <c r="C285" s="2" t="s">
        <v>1854</v>
      </c>
      <c r="D285" s="2" t="s">
        <v>1855</v>
      </c>
      <c r="E285" s="3" t="s">
        <v>1351</v>
      </c>
      <c r="F285" s="2" t="s">
        <v>2102</v>
      </c>
      <c r="G285" s="2" t="s">
        <v>2103</v>
      </c>
      <c r="H285" s="2" t="s">
        <v>209</v>
      </c>
      <c r="I285" s="2" t="s">
        <v>788</v>
      </c>
      <c r="J285" s="2" t="s">
        <v>30</v>
      </c>
      <c r="K285" s="2" t="s">
        <v>30</v>
      </c>
      <c r="L285" s="2" t="s">
        <v>361</v>
      </c>
      <c r="M285" s="2" t="s">
        <v>31</v>
      </c>
      <c r="N285" s="2" t="s">
        <v>495</v>
      </c>
      <c r="O285" s="2" t="s">
        <v>160</v>
      </c>
      <c r="P285" s="2" t="s">
        <v>1956</v>
      </c>
      <c r="Q285" s="2" t="s">
        <v>446</v>
      </c>
      <c r="R285" s="2" t="s">
        <v>440</v>
      </c>
      <c r="S285" s="2" t="s">
        <v>34</v>
      </c>
      <c r="T285" s="123">
        <v>2.7789999999999999</v>
      </c>
      <c r="U285" s="2" t="s">
        <v>2031</v>
      </c>
      <c r="V285" s="136">
        <v>2.81E-2</v>
      </c>
      <c r="W285" s="138">
        <v>2.716E-2</v>
      </c>
      <c r="X285" s="3" t="s">
        <v>445</v>
      </c>
      <c r="Y285" s="3" t="s">
        <v>160</v>
      </c>
      <c r="Z285" s="123">
        <v>310179</v>
      </c>
      <c r="AA285" s="132">
        <v>1</v>
      </c>
      <c r="AB285" s="149">
        <v>118.81</v>
      </c>
      <c r="AC285" s="2"/>
      <c r="AD285" s="123">
        <v>368.524</v>
      </c>
      <c r="AE285" s="2"/>
      <c r="AF285" s="2"/>
      <c r="AG285" s="2" t="s">
        <v>36</v>
      </c>
      <c r="AH285" s="138">
        <v>2.2499999999999999E-4</v>
      </c>
      <c r="AI285" s="138">
        <v>1.2986539486320001E-3</v>
      </c>
      <c r="AJ285" s="138">
        <v>1.9543380185783101E-4</v>
      </c>
    </row>
    <row r="286" spans="1:36">
      <c r="A286" s="2">
        <v>161</v>
      </c>
      <c r="B286" s="2">
        <v>9943</v>
      </c>
      <c r="C286" s="2" t="s">
        <v>1854</v>
      </c>
      <c r="D286" s="2" t="s">
        <v>1855</v>
      </c>
      <c r="E286" s="3" t="s">
        <v>1351</v>
      </c>
      <c r="F286" s="2" t="s">
        <v>2302</v>
      </c>
      <c r="G286" s="2" t="s">
        <v>2303</v>
      </c>
      <c r="H286" s="2" t="s">
        <v>209</v>
      </c>
      <c r="I286" s="2" t="s">
        <v>998</v>
      </c>
      <c r="J286" s="2" t="s">
        <v>30</v>
      </c>
      <c r="K286" s="2" t="s">
        <v>30</v>
      </c>
      <c r="L286" s="2" t="s">
        <v>361</v>
      </c>
      <c r="M286" s="2" t="s">
        <v>31</v>
      </c>
      <c r="N286" s="2" t="s">
        <v>495</v>
      </c>
      <c r="O286" s="2" t="s">
        <v>160</v>
      </c>
      <c r="P286" s="2" t="s">
        <v>1956</v>
      </c>
      <c r="Q286" s="2" t="s">
        <v>446</v>
      </c>
      <c r="R286" s="2" t="s">
        <v>440</v>
      </c>
      <c r="S286" s="2" t="s">
        <v>34</v>
      </c>
      <c r="T286" s="123">
        <v>1.9039999999999999</v>
      </c>
      <c r="U286" s="2" t="s">
        <v>2014</v>
      </c>
      <c r="V286" s="136">
        <v>5.6500000000000002E-2</v>
      </c>
      <c r="W286" s="138">
        <v>4.7449999999999999E-2</v>
      </c>
      <c r="X286" s="3" t="s">
        <v>445</v>
      </c>
      <c r="Y286" s="3" t="s">
        <v>160</v>
      </c>
      <c r="Z286" s="123">
        <v>253667.62</v>
      </c>
      <c r="AA286" s="132">
        <v>1</v>
      </c>
      <c r="AB286" s="149">
        <v>101.82</v>
      </c>
      <c r="AC286" s="2"/>
      <c r="AD286" s="123">
        <v>258.28399999999999</v>
      </c>
      <c r="AE286" s="2"/>
      <c r="AF286" s="2"/>
      <c r="AG286" s="2" t="s">
        <v>36</v>
      </c>
      <c r="AH286" s="138">
        <v>2.1670000000000001E-3</v>
      </c>
      <c r="AI286" s="138">
        <v>9.1017767718889401E-4</v>
      </c>
      <c r="AJ286" s="138">
        <v>1.36972196485855E-4</v>
      </c>
    </row>
    <row r="287" spans="1:36">
      <c r="A287" s="2">
        <v>161</v>
      </c>
      <c r="B287" s="2">
        <v>9943</v>
      </c>
      <c r="C287" s="2" t="s">
        <v>1854</v>
      </c>
      <c r="D287" s="2" t="s">
        <v>1855</v>
      </c>
      <c r="E287" s="3" t="s">
        <v>1351</v>
      </c>
      <c r="F287" s="2" t="s">
        <v>2257</v>
      </c>
      <c r="G287" s="2" t="s">
        <v>2258</v>
      </c>
      <c r="H287" s="2" t="s">
        <v>209</v>
      </c>
      <c r="I287" s="2" t="s">
        <v>788</v>
      </c>
      <c r="J287" s="2" t="s">
        <v>30</v>
      </c>
      <c r="K287" s="2" t="s">
        <v>30</v>
      </c>
      <c r="L287" s="2" t="s">
        <v>361</v>
      </c>
      <c r="M287" s="2" t="s">
        <v>31</v>
      </c>
      <c r="N287" s="2" t="s">
        <v>495</v>
      </c>
      <c r="O287" s="2" t="s">
        <v>160</v>
      </c>
      <c r="P287" s="2" t="s">
        <v>1956</v>
      </c>
      <c r="Q287" s="2" t="s">
        <v>446</v>
      </c>
      <c r="R287" s="2" t="s">
        <v>440</v>
      </c>
      <c r="S287" s="2" t="s">
        <v>34</v>
      </c>
      <c r="T287" s="123">
        <v>1.9359999999999999</v>
      </c>
      <c r="U287" s="2" t="s">
        <v>2014</v>
      </c>
      <c r="V287" s="136">
        <v>3.6999999999999998E-2</v>
      </c>
      <c r="W287" s="138">
        <v>2.853E-2</v>
      </c>
      <c r="X287" s="3" t="s">
        <v>445</v>
      </c>
      <c r="Y287" s="3" t="s">
        <v>160</v>
      </c>
      <c r="Z287" s="123">
        <v>523361.26</v>
      </c>
      <c r="AA287" s="132">
        <v>1</v>
      </c>
      <c r="AB287" s="149">
        <v>119.11</v>
      </c>
      <c r="AC287" s="2"/>
      <c r="AD287" s="123">
        <v>623.37599999999998</v>
      </c>
      <c r="AE287" s="2"/>
      <c r="AF287" s="2"/>
      <c r="AG287" s="2" t="s">
        <v>36</v>
      </c>
      <c r="AH287" s="138">
        <v>2.32E-3</v>
      </c>
      <c r="AI287" s="138">
        <v>2.1967359124222502E-3</v>
      </c>
      <c r="AJ287" s="138">
        <v>3.30585720310287E-4</v>
      </c>
    </row>
    <row r="288" spans="1:36">
      <c r="A288" s="2">
        <v>161</v>
      </c>
      <c r="B288" s="2">
        <v>9943</v>
      </c>
      <c r="C288" s="2" t="s">
        <v>2104</v>
      </c>
      <c r="D288" s="2" t="s">
        <v>2105</v>
      </c>
      <c r="E288" s="3" t="s">
        <v>1351</v>
      </c>
      <c r="F288" s="2" t="s">
        <v>2106</v>
      </c>
      <c r="G288" s="2" t="s">
        <v>2107</v>
      </c>
      <c r="H288" s="2" t="s">
        <v>209</v>
      </c>
      <c r="I288" s="2" t="s">
        <v>998</v>
      </c>
      <c r="J288" s="2" t="s">
        <v>30</v>
      </c>
      <c r="K288" s="2" t="s">
        <v>30</v>
      </c>
      <c r="L288" s="2" t="s">
        <v>361</v>
      </c>
      <c r="M288" s="2" t="s">
        <v>31</v>
      </c>
      <c r="N288" s="2" t="s">
        <v>476</v>
      </c>
      <c r="O288" s="2" t="s">
        <v>160</v>
      </c>
      <c r="P288" s="2" t="s">
        <v>2108</v>
      </c>
      <c r="Q288" s="2" t="s">
        <v>448</v>
      </c>
      <c r="R288" s="2" t="s">
        <v>440</v>
      </c>
      <c r="S288" s="2" t="s">
        <v>34</v>
      </c>
      <c r="T288" s="123">
        <v>1.4590000000000001</v>
      </c>
      <c r="U288" s="2" t="s">
        <v>2109</v>
      </c>
      <c r="V288" s="136">
        <v>4.1000000000000002E-2</v>
      </c>
      <c r="W288" s="138">
        <v>4.8800000000000003E-2</v>
      </c>
      <c r="X288" s="3" t="s">
        <v>445</v>
      </c>
      <c r="Y288" s="3" t="s">
        <v>160</v>
      </c>
      <c r="Z288" s="123">
        <v>1300000</v>
      </c>
      <c r="AA288" s="132">
        <v>1</v>
      </c>
      <c r="AB288" s="149">
        <v>100.93</v>
      </c>
      <c r="AC288" s="2"/>
      <c r="AD288" s="123">
        <v>1312.09</v>
      </c>
      <c r="AE288" s="2"/>
      <c r="AF288" s="2"/>
      <c r="AG288" s="2" t="s">
        <v>36</v>
      </c>
      <c r="AH288" s="138">
        <v>1.823E-3</v>
      </c>
      <c r="AI288" s="138">
        <v>4.6237216185406396E-3</v>
      </c>
      <c r="AJ288" s="138">
        <v>6.9582162022109205E-4</v>
      </c>
    </row>
    <row r="289" spans="1:36">
      <c r="A289" s="2">
        <v>161</v>
      </c>
      <c r="B289" s="2">
        <v>9943</v>
      </c>
      <c r="C289" s="2" t="s">
        <v>2110</v>
      </c>
      <c r="D289" s="2" t="s">
        <v>2111</v>
      </c>
      <c r="E289" s="3" t="s">
        <v>1351</v>
      </c>
      <c r="F289" s="2" t="s">
        <v>2112</v>
      </c>
      <c r="G289" s="2" t="s">
        <v>2113</v>
      </c>
      <c r="H289" s="2" t="s">
        <v>209</v>
      </c>
      <c r="I289" s="2" t="s">
        <v>788</v>
      </c>
      <c r="J289" s="2" t="s">
        <v>30</v>
      </c>
      <c r="K289" s="2" t="s">
        <v>30</v>
      </c>
      <c r="L289" s="2" t="s">
        <v>361</v>
      </c>
      <c r="M289" s="2" t="s">
        <v>31</v>
      </c>
      <c r="N289" s="2" t="s">
        <v>495</v>
      </c>
      <c r="O289" s="2" t="s">
        <v>160</v>
      </c>
      <c r="P289" s="2" t="s">
        <v>1965</v>
      </c>
      <c r="Q289" s="2" t="s">
        <v>446</v>
      </c>
      <c r="R289" s="2" t="s">
        <v>440</v>
      </c>
      <c r="S289" s="2" t="s">
        <v>34</v>
      </c>
      <c r="T289" s="123">
        <v>1.133</v>
      </c>
      <c r="U289" s="2" t="s">
        <v>2114</v>
      </c>
      <c r="V289" s="136">
        <v>2.0500000000000001E-2</v>
      </c>
      <c r="W289" s="138">
        <v>3.2419999999999997E-2</v>
      </c>
      <c r="X289" s="3" t="s">
        <v>445</v>
      </c>
      <c r="Y289" s="3" t="s">
        <v>160</v>
      </c>
      <c r="Z289" s="123">
        <v>1230642.92</v>
      </c>
      <c r="AA289" s="132">
        <v>1</v>
      </c>
      <c r="AB289" s="149">
        <v>117.83</v>
      </c>
      <c r="AC289" s="2"/>
      <c r="AD289" s="123">
        <v>1450.067</v>
      </c>
      <c r="AE289" s="2"/>
      <c r="AF289" s="2"/>
      <c r="AG289" s="2" t="s">
        <v>36</v>
      </c>
      <c r="AH289" s="138">
        <v>1.629E-3</v>
      </c>
      <c r="AI289" s="138">
        <v>5.1099422049903399E-3</v>
      </c>
      <c r="AJ289" s="138">
        <v>7.6899272007529597E-4</v>
      </c>
    </row>
    <row r="290" spans="1:36">
      <c r="A290" s="2">
        <v>161</v>
      </c>
      <c r="B290" s="2">
        <v>9943</v>
      </c>
      <c r="C290" s="2" t="s">
        <v>2115</v>
      </c>
      <c r="D290" s="2" t="s">
        <v>2116</v>
      </c>
      <c r="E290" s="3" t="s">
        <v>1351</v>
      </c>
      <c r="F290" s="2" t="s">
        <v>2304</v>
      </c>
      <c r="G290" s="2" t="s">
        <v>2305</v>
      </c>
      <c r="H290" s="2" t="s">
        <v>209</v>
      </c>
      <c r="I290" s="2" t="s">
        <v>788</v>
      </c>
      <c r="J290" s="2" t="s">
        <v>30</v>
      </c>
      <c r="K290" s="2" t="s">
        <v>30</v>
      </c>
      <c r="L290" s="2" t="s">
        <v>361</v>
      </c>
      <c r="M290" s="2" t="s">
        <v>31</v>
      </c>
      <c r="N290" s="2" t="s">
        <v>479</v>
      </c>
      <c r="O290" s="2" t="s">
        <v>160</v>
      </c>
      <c r="P290" s="2" t="s">
        <v>1199</v>
      </c>
      <c r="Q290" s="2" t="s">
        <v>446</v>
      </c>
      <c r="R290" s="2" t="s">
        <v>440</v>
      </c>
      <c r="S290" s="2" t="s">
        <v>34</v>
      </c>
      <c r="T290" s="123">
        <v>2.2040000000000002</v>
      </c>
      <c r="U290" s="2" t="s">
        <v>2306</v>
      </c>
      <c r="V290" s="136">
        <v>1.2200000000000001E-2</v>
      </c>
      <c r="W290" s="138">
        <v>2.5080000000000002E-2</v>
      </c>
      <c r="X290" s="3" t="s">
        <v>445</v>
      </c>
      <c r="Y290" s="3" t="s">
        <v>160</v>
      </c>
      <c r="Z290" s="123">
        <v>6918496</v>
      </c>
      <c r="AA290" s="132">
        <v>1</v>
      </c>
      <c r="AB290" s="149">
        <v>116.02</v>
      </c>
      <c r="AC290" s="2"/>
      <c r="AD290" s="123">
        <v>8026.8389999999999</v>
      </c>
      <c r="AE290" s="2"/>
      <c r="AF290" s="2"/>
      <c r="AG290" s="2" t="s">
        <v>36</v>
      </c>
      <c r="AH290" s="138">
        <v>2.294E-3</v>
      </c>
      <c r="AI290" s="138">
        <v>2.8286069771562498E-2</v>
      </c>
      <c r="AJ290" s="138">
        <v>4.2567568988609696E-3</v>
      </c>
    </row>
    <row r="291" spans="1:36">
      <c r="A291" s="2">
        <v>161</v>
      </c>
      <c r="B291" s="2">
        <v>9943</v>
      </c>
      <c r="C291" s="2" t="s">
        <v>2115</v>
      </c>
      <c r="D291" s="2" t="s">
        <v>2116</v>
      </c>
      <c r="E291" s="3" t="s">
        <v>1351</v>
      </c>
      <c r="F291" s="2" t="s">
        <v>2117</v>
      </c>
      <c r="G291" s="2" t="s">
        <v>2118</v>
      </c>
      <c r="H291" s="2" t="s">
        <v>209</v>
      </c>
      <c r="I291" s="2" t="s">
        <v>788</v>
      </c>
      <c r="J291" s="2" t="s">
        <v>30</v>
      </c>
      <c r="K291" s="2" t="s">
        <v>30</v>
      </c>
      <c r="L291" s="2" t="s">
        <v>361</v>
      </c>
      <c r="M291" s="2" t="s">
        <v>31</v>
      </c>
      <c r="N291" s="2" t="s">
        <v>479</v>
      </c>
      <c r="O291" s="2" t="s">
        <v>160</v>
      </c>
      <c r="P291" s="2" t="s">
        <v>1199</v>
      </c>
      <c r="Q291" s="2" t="s">
        <v>446</v>
      </c>
      <c r="R291" s="2" t="s">
        <v>440</v>
      </c>
      <c r="S291" s="2" t="s">
        <v>34</v>
      </c>
      <c r="T291" s="123">
        <v>3.3029999999999999</v>
      </c>
      <c r="U291" s="2" t="s">
        <v>2119</v>
      </c>
      <c r="V291" s="136">
        <v>1E-3</v>
      </c>
      <c r="W291" s="138">
        <v>2.5829999999999999E-2</v>
      </c>
      <c r="X291" s="3" t="s">
        <v>445</v>
      </c>
      <c r="Y291" s="3" t="s">
        <v>160</v>
      </c>
      <c r="Z291" s="123">
        <v>1712290</v>
      </c>
      <c r="AA291" s="132">
        <v>1</v>
      </c>
      <c r="AB291" s="149">
        <v>105.48</v>
      </c>
      <c r="AC291" s="2"/>
      <c r="AD291" s="123">
        <v>1806.123</v>
      </c>
      <c r="AE291" s="2"/>
      <c r="AF291" s="2"/>
      <c r="AG291" s="2" t="s">
        <v>36</v>
      </c>
      <c r="AH291" s="138">
        <v>5.0699999999999996E-4</v>
      </c>
      <c r="AI291" s="138">
        <v>6.3646641889767604E-3</v>
      </c>
      <c r="AJ291" s="138">
        <v>9.5781522191527803E-4</v>
      </c>
    </row>
    <row r="292" spans="1:36">
      <c r="A292" s="2">
        <v>161</v>
      </c>
      <c r="B292" s="2">
        <v>9943</v>
      </c>
      <c r="C292" s="2" t="s">
        <v>2115</v>
      </c>
      <c r="D292" s="2" t="s">
        <v>2116</v>
      </c>
      <c r="E292" s="3" t="s">
        <v>1351</v>
      </c>
      <c r="F292" s="2" t="s">
        <v>2307</v>
      </c>
      <c r="G292" s="2" t="s">
        <v>2308</v>
      </c>
      <c r="H292" s="2" t="s">
        <v>209</v>
      </c>
      <c r="I292" s="2" t="s">
        <v>788</v>
      </c>
      <c r="J292" s="2" t="s">
        <v>30</v>
      </c>
      <c r="K292" s="2" t="s">
        <v>30</v>
      </c>
      <c r="L292" s="2" t="s">
        <v>361</v>
      </c>
      <c r="M292" s="2" t="s">
        <v>31</v>
      </c>
      <c r="N292" s="2" t="s">
        <v>479</v>
      </c>
      <c r="O292" s="2" t="s">
        <v>160</v>
      </c>
      <c r="P292" s="2" t="s">
        <v>1199</v>
      </c>
      <c r="Q292" s="2" t="s">
        <v>446</v>
      </c>
      <c r="R292" s="2" t="s">
        <v>440</v>
      </c>
      <c r="S292" s="2" t="s">
        <v>34</v>
      </c>
      <c r="T292" s="123">
        <v>4.2160000000000002</v>
      </c>
      <c r="U292" s="2" t="s">
        <v>2061</v>
      </c>
      <c r="V292" s="136">
        <v>2.06E-2</v>
      </c>
      <c r="W292" s="138">
        <v>2.5899999999999999E-2</v>
      </c>
      <c r="X292" s="3" t="s">
        <v>445</v>
      </c>
      <c r="Y292" s="3" t="s">
        <v>160</v>
      </c>
      <c r="Z292" s="123">
        <v>1240000.02</v>
      </c>
      <c r="AA292" s="132">
        <v>1</v>
      </c>
      <c r="AB292" s="149">
        <v>103.97</v>
      </c>
      <c r="AC292" s="2"/>
      <c r="AD292" s="123">
        <v>1289.2280000000001</v>
      </c>
      <c r="AE292" s="2"/>
      <c r="AF292" s="2"/>
      <c r="AG292" s="2" t="s">
        <v>36</v>
      </c>
      <c r="AH292" s="138">
        <v>7.7499999999999997E-4</v>
      </c>
      <c r="AI292" s="138">
        <v>4.5431574594529201E-3</v>
      </c>
      <c r="AJ292" s="138">
        <v>6.8369755905716301E-4</v>
      </c>
    </row>
    <row r="293" spans="1:36">
      <c r="A293" s="2">
        <v>161</v>
      </c>
      <c r="B293" s="2">
        <v>9943</v>
      </c>
      <c r="C293" s="2" t="s">
        <v>2115</v>
      </c>
      <c r="D293" s="2" t="s">
        <v>2116</v>
      </c>
      <c r="E293" s="3" t="s">
        <v>1351</v>
      </c>
      <c r="F293" s="2" t="s">
        <v>2309</v>
      </c>
      <c r="G293" s="2" t="s">
        <v>2310</v>
      </c>
      <c r="H293" s="2" t="s">
        <v>209</v>
      </c>
      <c r="I293" s="2" t="s">
        <v>788</v>
      </c>
      <c r="J293" s="2" t="s">
        <v>30</v>
      </c>
      <c r="K293" s="2" t="s">
        <v>30</v>
      </c>
      <c r="L293" s="2" t="s">
        <v>361</v>
      </c>
      <c r="M293" s="2" t="s">
        <v>31</v>
      </c>
      <c r="N293" s="2" t="s">
        <v>479</v>
      </c>
      <c r="O293" s="2" t="s">
        <v>160</v>
      </c>
      <c r="P293" s="2" t="s">
        <v>1199</v>
      </c>
      <c r="Q293" s="2" t="s">
        <v>446</v>
      </c>
      <c r="R293" s="2" t="s">
        <v>440</v>
      </c>
      <c r="S293" s="2" t="s">
        <v>34</v>
      </c>
      <c r="T293" s="123">
        <v>4.1950000000000003</v>
      </c>
      <c r="U293" s="2" t="s">
        <v>2311</v>
      </c>
      <c r="V293" s="136">
        <v>1.9900000000000001E-2</v>
      </c>
      <c r="W293" s="138">
        <v>2.581E-2</v>
      </c>
      <c r="X293" s="3" t="s">
        <v>445</v>
      </c>
      <c r="Y293" s="3" t="s">
        <v>160</v>
      </c>
      <c r="Z293" s="123">
        <v>1710000</v>
      </c>
      <c r="AA293" s="132">
        <v>1</v>
      </c>
      <c r="AB293" s="149">
        <v>103.57</v>
      </c>
      <c r="AC293" s="2"/>
      <c r="AD293" s="123">
        <v>1771.047</v>
      </c>
      <c r="AE293" s="2"/>
      <c r="AF293" s="2"/>
      <c r="AG293" s="2" t="s">
        <v>36</v>
      </c>
      <c r="AH293" s="138">
        <v>7.0399999999999998E-4</v>
      </c>
      <c r="AI293" s="138">
        <v>6.2410568645074301E-3</v>
      </c>
      <c r="AJ293" s="138">
        <v>9.3921361570296598E-4</v>
      </c>
    </row>
    <row r="294" spans="1:36">
      <c r="A294" s="2">
        <v>161</v>
      </c>
      <c r="B294" s="2">
        <v>9943</v>
      </c>
      <c r="C294" s="2" t="s">
        <v>2115</v>
      </c>
      <c r="D294" s="2" t="s">
        <v>2116</v>
      </c>
      <c r="E294" s="3" t="s">
        <v>1351</v>
      </c>
      <c r="F294" s="2" t="s">
        <v>2123</v>
      </c>
      <c r="G294" s="2" t="s">
        <v>2124</v>
      </c>
      <c r="H294" s="2" t="s">
        <v>209</v>
      </c>
      <c r="I294" s="2" t="s">
        <v>788</v>
      </c>
      <c r="J294" s="2" t="s">
        <v>30</v>
      </c>
      <c r="K294" s="2" t="s">
        <v>30</v>
      </c>
      <c r="L294" s="2" t="s">
        <v>361</v>
      </c>
      <c r="M294" s="2" t="s">
        <v>31</v>
      </c>
      <c r="N294" s="2" t="s">
        <v>479</v>
      </c>
      <c r="O294" s="2" t="s">
        <v>160</v>
      </c>
      <c r="P294" s="2" t="s">
        <v>2125</v>
      </c>
      <c r="Q294" s="2" t="s">
        <v>448</v>
      </c>
      <c r="R294" s="2" t="s">
        <v>440</v>
      </c>
      <c r="S294" s="2" t="s">
        <v>34</v>
      </c>
      <c r="T294" s="123">
        <v>1.42</v>
      </c>
      <c r="U294" s="2" t="s">
        <v>2126</v>
      </c>
      <c r="V294" s="136">
        <v>5.0000000000000001E-3</v>
      </c>
      <c r="W294" s="138">
        <v>2.6210000000000001E-2</v>
      </c>
      <c r="X294" s="3" t="s">
        <v>445</v>
      </c>
      <c r="Y294" s="3" t="s">
        <v>160</v>
      </c>
      <c r="Z294" s="123">
        <v>1468553</v>
      </c>
      <c r="AA294" s="132">
        <v>1</v>
      </c>
      <c r="AB294" s="149">
        <v>112.82</v>
      </c>
      <c r="AC294" s="2"/>
      <c r="AD294" s="123">
        <v>1656.8209999999999</v>
      </c>
      <c r="AE294" s="2"/>
      <c r="AF294" s="2"/>
      <c r="AG294" s="2" t="s">
        <v>36</v>
      </c>
      <c r="AH294" s="138">
        <v>1.9239999999999999E-3</v>
      </c>
      <c r="AI294" s="138">
        <v>5.8385334562757402E-3</v>
      </c>
      <c r="AJ294" s="138">
        <v>8.7863806353962197E-4</v>
      </c>
    </row>
    <row r="295" spans="1:36">
      <c r="A295" s="2">
        <v>161</v>
      </c>
      <c r="B295" s="2">
        <v>9943</v>
      </c>
      <c r="C295" s="2" t="s">
        <v>2115</v>
      </c>
      <c r="D295" s="2" t="s">
        <v>2116</v>
      </c>
      <c r="E295" s="3" t="s">
        <v>1351</v>
      </c>
      <c r="F295" s="2" t="s">
        <v>2259</v>
      </c>
      <c r="G295" s="2" t="s">
        <v>2260</v>
      </c>
      <c r="H295" s="2" t="s">
        <v>209</v>
      </c>
      <c r="I295" s="2" t="s">
        <v>788</v>
      </c>
      <c r="J295" s="2" t="s">
        <v>30</v>
      </c>
      <c r="K295" s="2" t="s">
        <v>30</v>
      </c>
      <c r="L295" s="2" t="s">
        <v>361</v>
      </c>
      <c r="M295" s="2" t="s">
        <v>31</v>
      </c>
      <c r="N295" s="2" t="s">
        <v>479</v>
      </c>
      <c r="O295" s="2" t="s">
        <v>160</v>
      </c>
      <c r="P295" s="2" t="s">
        <v>1969</v>
      </c>
      <c r="Q295" s="2" t="s">
        <v>446</v>
      </c>
      <c r="R295" s="2" t="s">
        <v>440</v>
      </c>
      <c r="S295" s="2" t="s">
        <v>34</v>
      </c>
      <c r="T295" s="123">
        <v>3.7949999999999999</v>
      </c>
      <c r="U295" s="2" t="s">
        <v>2261</v>
      </c>
      <c r="V295" s="136">
        <v>3.3599999999999998E-2</v>
      </c>
      <c r="W295" s="138">
        <v>2.733E-2</v>
      </c>
      <c r="X295" s="3" t="s">
        <v>445</v>
      </c>
      <c r="Y295" s="3" t="s">
        <v>160</v>
      </c>
      <c r="Z295" s="123">
        <v>751950</v>
      </c>
      <c r="AA295" s="132">
        <v>1</v>
      </c>
      <c r="AB295" s="149">
        <v>107.56</v>
      </c>
      <c r="AC295" s="2"/>
      <c r="AD295" s="123">
        <v>808.79700000000003</v>
      </c>
      <c r="AE295" s="2"/>
      <c r="AF295" s="2"/>
      <c r="AG295" s="2" t="s">
        <v>36</v>
      </c>
      <c r="AH295" s="138">
        <v>6.4400000000000004E-4</v>
      </c>
      <c r="AI295" s="138">
        <v>2.8501506115235198E-3</v>
      </c>
      <c r="AJ295" s="138">
        <v>4.2891778095636703E-4</v>
      </c>
    </row>
    <row r="296" spans="1:36">
      <c r="A296" s="2">
        <v>161</v>
      </c>
      <c r="B296" s="2">
        <v>9943</v>
      </c>
      <c r="C296" s="2" t="s">
        <v>2115</v>
      </c>
      <c r="D296" s="2" t="s">
        <v>2116</v>
      </c>
      <c r="E296" s="3" t="s">
        <v>1351</v>
      </c>
      <c r="F296" s="2" t="s">
        <v>2130</v>
      </c>
      <c r="G296" s="2" t="s">
        <v>2131</v>
      </c>
      <c r="H296" s="2" t="s">
        <v>209</v>
      </c>
      <c r="I296" s="2" t="s">
        <v>788</v>
      </c>
      <c r="J296" s="2" t="s">
        <v>30</v>
      </c>
      <c r="K296" s="2" t="s">
        <v>30</v>
      </c>
      <c r="L296" s="2" t="s">
        <v>361</v>
      </c>
      <c r="M296" s="2" t="s">
        <v>31</v>
      </c>
      <c r="N296" s="2" t="s">
        <v>479</v>
      </c>
      <c r="O296" s="2" t="s">
        <v>160</v>
      </c>
      <c r="P296" s="2" t="s">
        <v>1199</v>
      </c>
      <c r="Q296" s="2" t="s">
        <v>446</v>
      </c>
      <c r="R296" s="2" t="s">
        <v>440</v>
      </c>
      <c r="S296" s="2" t="s">
        <v>34</v>
      </c>
      <c r="T296" s="123">
        <v>0.97499999999999998</v>
      </c>
      <c r="U296" s="2" t="s">
        <v>2132</v>
      </c>
      <c r="V296" s="136">
        <v>3.8E-3</v>
      </c>
      <c r="W296" s="138">
        <v>2.5610000000000001E-2</v>
      </c>
      <c r="X296" s="3" t="s">
        <v>445</v>
      </c>
      <c r="Y296" s="3" t="s">
        <v>160</v>
      </c>
      <c r="Z296" s="123">
        <v>6846772</v>
      </c>
      <c r="AA296" s="132">
        <v>1</v>
      </c>
      <c r="AB296" s="149">
        <v>112.93</v>
      </c>
      <c r="AC296" s="2"/>
      <c r="AD296" s="123">
        <v>7732.06</v>
      </c>
      <c r="AE296" s="2"/>
      <c r="AF296" s="2"/>
      <c r="AG296" s="2" t="s">
        <v>36</v>
      </c>
      <c r="AH296" s="138">
        <v>2.2820000000000002E-3</v>
      </c>
      <c r="AI296" s="138">
        <v>2.7247285795173899E-2</v>
      </c>
      <c r="AJ296" s="138">
        <v>4.10043080288406E-3</v>
      </c>
    </row>
    <row r="297" spans="1:36">
      <c r="A297" s="2">
        <v>161</v>
      </c>
      <c r="B297" s="2">
        <v>9943</v>
      </c>
      <c r="C297" s="2" t="s">
        <v>2115</v>
      </c>
      <c r="D297" s="2" t="s">
        <v>2116</v>
      </c>
      <c r="E297" s="3" t="s">
        <v>1351</v>
      </c>
      <c r="F297" s="2" t="s">
        <v>2133</v>
      </c>
      <c r="G297" s="2" t="s">
        <v>2134</v>
      </c>
      <c r="H297" s="2" t="s">
        <v>209</v>
      </c>
      <c r="I297" s="2" t="s">
        <v>788</v>
      </c>
      <c r="J297" s="2" t="s">
        <v>30</v>
      </c>
      <c r="K297" s="2" t="s">
        <v>30</v>
      </c>
      <c r="L297" s="2" t="s">
        <v>361</v>
      </c>
      <c r="M297" s="2" t="s">
        <v>31</v>
      </c>
      <c r="N297" s="2" t="s">
        <v>479</v>
      </c>
      <c r="O297" s="2" t="s">
        <v>160</v>
      </c>
      <c r="P297" s="2" t="s">
        <v>1199</v>
      </c>
      <c r="Q297" s="2" t="s">
        <v>446</v>
      </c>
      <c r="R297" s="2" t="s">
        <v>440</v>
      </c>
      <c r="S297" s="2" t="s">
        <v>34</v>
      </c>
      <c r="T297" s="123">
        <v>3.2029999999999998</v>
      </c>
      <c r="U297" s="2" t="s">
        <v>2122</v>
      </c>
      <c r="V297" s="136">
        <v>1E-3</v>
      </c>
      <c r="W297" s="138">
        <v>2.5860000000000001E-2</v>
      </c>
      <c r="X297" s="3" t="s">
        <v>445</v>
      </c>
      <c r="Y297" s="3" t="s">
        <v>160</v>
      </c>
      <c r="Z297" s="123">
        <v>765309.52</v>
      </c>
      <c r="AA297" s="132">
        <v>1</v>
      </c>
      <c r="AB297" s="149">
        <v>104.36</v>
      </c>
      <c r="AC297" s="2"/>
      <c r="AD297" s="123">
        <v>798.67700000000002</v>
      </c>
      <c r="AE297" s="2"/>
      <c r="AF297" s="2"/>
      <c r="AG297" s="2" t="s">
        <v>36</v>
      </c>
      <c r="AH297" s="138">
        <v>3.4299999999999999E-4</v>
      </c>
      <c r="AI297" s="138">
        <v>2.81448694892875E-3</v>
      </c>
      <c r="AJ297" s="138">
        <v>4.2355077369749401E-4</v>
      </c>
    </row>
    <row r="298" spans="1:36">
      <c r="A298" s="2">
        <v>161</v>
      </c>
      <c r="B298" s="2">
        <v>9943</v>
      </c>
      <c r="C298" s="2" t="s">
        <v>2312</v>
      </c>
      <c r="D298" s="2" t="s">
        <v>2313</v>
      </c>
      <c r="E298" s="3" t="s">
        <v>1351</v>
      </c>
      <c r="F298" s="2" t="s">
        <v>2314</v>
      </c>
      <c r="G298" s="2" t="s">
        <v>2315</v>
      </c>
      <c r="H298" s="2" t="s">
        <v>209</v>
      </c>
      <c r="I298" s="2" t="s">
        <v>788</v>
      </c>
      <c r="J298" s="2" t="s">
        <v>30</v>
      </c>
      <c r="K298" s="2" t="s">
        <v>30</v>
      </c>
      <c r="L298" s="2" t="s">
        <v>361</v>
      </c>
      <c r="M298" s="2" t="s">
        <v>31</v>
      </c>
      <c r="N298" s="2" t="s">
        <v>510</v>
      </c>
      <c r="O298" s="2" t="s">
        <v>160</v>
      </c>
      <c r="P298" s="2" t="s">
        <v>2108</v>
      </c>
      <c r="Q298" s="2" t="s">
        <v>448</v>
      </c>
      <c r="R298" s="2" t="s">
        <v>440</v>
      </c>
      <c r="S298" s="2" t="s">
        <v>34</v>
      </c>
      <c r="T298" s="123">
        <v>0.441</v>
      </c>
      <c r="U298" s="2" t="s">
        <v>2316</v>
      </c>
      <c r="V298" s="136">
        <v>3.95E-2</v>
      </c>
      <c r="W298" s="138">
        <v>2.1739999999999999E-2</v>
      </c>
      <c r="X298" s="3" t="s">
        <v>445</v>
      </c>
      <c r="Y298" s="3" t="s">
        <v>160</v>
      </c>
      <c r="Z298" s="123">
        <v>352803.99</v>
      </c>
      <c r="AA298" s="132">
        <v>1</v>
      </c>
      <c r="AB298" s="149">
        <v>125.2</v>
      </c>
      <c r="AC298" s="2"/>
      <c r="AD298" s="123">
        <v>441.71100000000001</v>
      </c>
      <c r="AE298" s="2"/>
      <c r="AF298" s="2"/>
      <c r="AG298" s="2" t="s">
        <v>36</v>
      </c>
      <c r="AH298" s="138">
        <v>4.3299999999999996E-3</v>
      </c>
      <c r="AI298" s="138">
        <v>1.5565600145259399E-3</v>
      </c>
      <c r="AJ298" s="138">
        <v>2.3424596042627901E-4</v>
      </c>
    </row>
    <row r="299" spans="1:36">
      <c r="A299" s="2">
        <v>161</v>
      </c>
      <c r="B299" s="2">
        <v>9943</v>
      </c>
      <c r="C299" s="2" t="s">
        <v>2135</v>
      </c>
      <c r="D299" s="2" t="s">
        <v>2136</v>
      </c>
      <c r="E299" s="3" t="s">
        <v>1351</v>
      </c>
      <c r="F299" s="2" t="s">
        <v>2137</v>
      </c>
      <c r="G299" s="2" t="s">
        <v>2138</v>
      </c>
      <c r="H299" s="2" t="s">
        <v>209</v>
      </c>
      <c r="I299" s="2" t="s">
        <v>788</v>
      </c>
      <c r="J299" s="2" t="s">
        <v>30</v>
      </c>
      <c r="K299" s="2" t="s">
        <v>30</v>
      </c>
      <c r="L299" s="2" t="s">
        <v>361</v>
      </c>
      <c r="M299" s="2" t="s">
        <v>31</v>
      </c>
      <c r="N299" s="2" t="s">
        <v>474</v>
      </c>
      <c r="O299" s="2" t="s">
        <v>160</v>
      </c>
      <c r="P299" s="2" t="s">
        <v>2108</v>
      </c>
      <c r="Q299" s="2" t="s">
        <v>448</v>
      </c>
      <c r="R299" s="2" t="s">
        <v>440</v>
      </c>
      <c r="S299" s="2" t="s">
        <v>34</v>
      </c>
      <c r="T299" s="123">
        <v>2.782</v>
      </c>
      <c r="U299" s="2" t="s">
        <v>2139</v>
      </c>
      <c r="V299" s="136">
        <v>0.01</v>
      </c>
      <c r="W299" s="138">
        <v>3.107E-2</v>
      </c>
      <c r="X299" s="3" t="s">
        <v>445</v>
      </c>
      <c r="Y299" s="3" t="s">
        <v>160</v>
      </c>
      <c r="Z299" s="123">
        <v>843898.86</v>
      </c>
      <c r="AA299" s="132">
        <v>1</v>
      </c>
      <c r="AB299" s="149">
        <v>108.19</v>
      </c>
      <c r="AC299" s="2"/>
      <c r="AD299" s="123">
        <v>913.01400000000001</v>
      </c>
      <c r="AE299" s="2"/>
      <c r="AF299" s="2"/>
      <c r="AG299" s="2" t="s">
        <v>36</v>
      </c>
      <c r="AH299" s="138">
        <v>4.6900000000000002E-4</v>
      </c>
      <c r="AI299" s="138">
        <v>3.2174038263661098E-3</v>
      </c>
      <c r="AJ299" s="138">
        <v>4.8418553885045703E-4</v>
      </c>
    </row>
    <row r="300" spans="1:36">
      <c r="A300" s="2">
        <v>161</v>
      </c>
      <c r="B300" s="2">
        <v>9943</v>
      </c>
      <c r="C300" s="2" t="s">
        <v>2135</v>
      </c>
      <c r="D300" s="2" t="s">
        <v>2136</v>
      </c>
      <c r="E300" s="3" t="s">
        <v>1351</v>
      </c>
      <c r="F300" s="2" t="s">
        <v>2140</v>
      </c>
      <c r="G300" s="2" t="s">
        <v>2141</v>
      </c>
      <c r="H300" s="2" t="s">
        <v>209</v>
      </c>
      <c r="I300" s="2" t="s">
        <v>788</v>
      </c>
      <c r="J300" s="2" t="s">
        <v>30</v>
      </c>
      <c r="K300" s="2" t="s">
        <v>30</v>
      </c>
      <c r="L300" s="2" t="s">
        <v>361</v>
      </c>
      <c r="M300" s="2" t="s">
        <v>31</v>
      </c>
      <c r="N300" s="2" t="s">
        <v>474</v>
      </c>
      <c r="O300" s="2" t="s">
        <v>160</v>
      </c>
      <c r="P300" s="2" t="s">
        <v>2108</v>
      </c>
      <c r="Q300" s="2" t="s">
        <v>448</v>
      </c>
      <c r="R300" s="2" t="s">
        <v>440</v>
      </c>
      <c r="S300" s="2" t="s">
        <v>34</v>
      </c>
      <c r="T300" s="123">
        <v>1.056</v>
      </c>
      <c r="U300" s="2" t="s">
        <v>68</v>
      </c>
      <c r="V300" s="136">
        <v>3.5400000000000001E-2</v>
      </c>
      <c r="W300" s="138">
        <v>3.4250000000000003E-2</v>
      </c>
      <c r="X300" s="3" t="s">
        <v>445</v>
      </c>
      <c r="Y300" s="3" t="s">
        <v>160</v>
      </c>
      <c r="Z300" s="123">
        <v>373949.3</v>
      </c>
      <c r="AA300" s="132">
        <v>1</v>
      </c>
      <c r="AB300" s="149">
        <v>109.8</v>
      </c>
      <c r="AC300" s="2"/>
      <c r="AD300" s="123">
        <v>410.596</v>
      </c>
      <c r="AE300" s="2"/>
      <c r="AF300" s="2"/>
      <c r="AG300" s="2" t="s">
        <v>36</v>
      </c>
      <c r="AH300" s="138">
        <v>3.7199999999999999E-4</v>
      </c>
      <c r="AI300" s="138">
        <v>1.44691532896955E-3</v>
      </c>
      <c r="AJ300" s="138">
        <v>2.1774558496108099E-4</v>
      </c>
    </row>
    <row r="301" spans="1:36">
      <c r="A301" s="2">
        <v>161</v>
      </c>
      <c r="B301" s="2">
        <v>9943</v>
      </c>
      <c r="C301" s="2" t="s">
        <v>2135</v>
      </c>
      <c r="D301" s="2" t="s">
        <v>2136</v>
      </c>
      <c r="E301" s="3" t="s">
        <v>1351</v>
      </c>
      <c r="F301" s="2" t="s">
        <v>2317</v>
      </c>
      <c r="G301" s="2" t="s">
        <v>2141</v>
      </c>
      <c r="H301" s="2" t="s">
        <v>209</v>
      </c>
      <c r="I301" s="2" t="s">
        <v>788</v>
      </c>
      <c r="J301" s="2" t="s">
        <v>30</v>
      </c>
      <c r="K301" s="2" t="s">
        <v>30</v>
      </c>
      <c r="L301" s="2" t="s">
        <v>363</v>
      </c>
      <c r="M301" s="2" t="s">
        <v>31</v>
      </c>
      <c r="N301" s="2" t="s">
        <v>474</v>
      </c>
      <c r="O301" s="2" t="s">
        <v>160</v>
      </c>
      <c r="P301" s="2" t="s">
        <v>2108</v>
      </c>
      <c r="Q301" s="2" t="s">
        <v>448</v>
      </c>
      <c r="R301" s="2" t="s">
        <v>440</v>
      </c>
      <c r="S301" s="2" t="s">
        <v>34</v>
      </c>
      <c r="T301" s="123">
        <v>1.107</v>
      </c>
      <c r="U301" s="2" t="s">
        <v>68</v>
      </c>
      <c r="V301" s="136">
        <v>3.5400000000000001E-2</v>
      </c>
      <c r="W301" s="138">
        <v>3.576E-2</v>
      </c>
      <c r="X301" s="3" t="s">
        <v>445</v>
      </c>
      <c r="Y301" s="3" t="s">
        <v>160</v>
      </c>
      <c r="Z301" s="123">
        <v>1240000</v>
      </c>
      <c r="AA301" s="132">
        <v>1</v>
      </c>
      <c r="AB301" s="149">
        <v>109.8</v>
      </c>
      <c r="AC301" s="2"/>
      <c r="AD301" s="123">
        <v>1361.52</v>
      </c>
      <c r="AE301" s="2"/>
      <c r="AF301" s="2"/>
      <c r="AG301" s="2" t="s">
        <v>36</v>
      </c>
      <c r="AH301" s="138">
        <v>0</v>
      </c>
      <c r="AI301" s="138">
        <v>4.7979097913065901E-3</v>
      </c>
      <c r="AJ301" s="138">
        <v>7.2203511372194104E-4</v>
      </c>
    </row>
    <row r="302" spans="1:36">
      <c r="A302" s="2">
        <v>161</v>
      </c>
      <c r="B302" s="2">
        <v>9943</v>
      </c>
      <c r="C302" s="2" t="s">
        <v>1675</v>
      </c>
      <c r="D302" s="2" t="s">
        <v>1676</v>
      </c>
      <c r="E302" s="3" t="s">
        <v>1351</v>
      </c>
      <c r="F302" s="2" t="s">
        <v>2318</v>
      </c>
      <c r="G302" s="2" t="s">
        <v>2319</v>
      </c>
      <c r="H302" s="2" t="s">
        <v>209</v>
      </c>
      <c r="I302" s="2" t="s">
        <v>788</v>
      </c>
      <c r="J302" s="2" t="s">
        <v>30</v>
      </c>
      <c r="K302" s="2" t="s">
        <v>30</v>
      </c>
      <c r="L302" s="2" t="s">
        <v>361</v>
      </c>
      <c r="M302" s="2" t="s">
        <v>31</v>
      </c>
      <c r="N302" s="2" t="s">
        <v>495</v>
      </c>
      <c r="O302" s="2" t="s">
        <v>160</v>
      </c>
      <c r="P302" s="2" t="s">
        <v>1956</v>
      </c>
      <c r="Q302" s="2" t="s">
        <v>446</v>
      </c>
      <c r="R302" s="2" t="s">
        <v>440</v>
      </c>
      <c r="S302" s="2" t="s">
        <v>34</v>
      </c>
      <c r="T302" s="123">
        <v>2.8919999999999999</v>
      </c>
      <c r="U302" s="2" t="s">
        <v>2274</v>
      </c>
      <c r="V302" s="136">
        <v>6.4999999999999997E-3</v>
      </c>
      <c r="W302" s="138">
        <v>2.564E-2</v>
      </c>
      <c r="X302" s="3" t="s">
        <v>445</v>
      </c>
      <c r="Y302" s="3" t="s">
        <v>160</v>
      </c>
      <c r="Z302" s="123">
        <v>946808.48</v>
      </c>
      <c r="AA302" s="132">
        <v>1</v>
      </c>
      <c r="AB302" s="149">
        <v>110.61</v>
      </c>
      <c r="AC302" s="123">
        <v>16.061</v>
      </c>
      <c r="AD302" s="123">
        <v>1063.326</v>
      </c>
      <c r="AE302" s="2"/>
      <c r="AF302" s="2"/>
      <c r="AG302" s="2" t="s">
        <v>36</v>
      </c>
      <c r="AH302" s="138">
        <v>1.771E-3</v>
      </c>
      <c r="AI302" s="138">
        <v>3.7470913937878501E-3</v>
      </c>
      <c r="AJ302" s="138">
        <v>5.6389796355536196E-4</v>
      </c>
    </row>
    <row r="303" spans="1:36">
      <c r="A303" s="2">
        <v>161</v>
      </c>
      <c r="B303" s="2">
        <v>9943</v>
      </c>
      <c r="C303" s="2" t="s">
        <v>1675</v>
      </c>
      <c r="D303" s="2" t="s">
        <v>1676</v>
      </c>
      <c r="E303" s="3" t="s">
        <v>1351</v>
      </c>
      <c r="F303" s="2" t="s">
        <v>2142</v>
      </c>
      <c r="G303" s="2" t="s">
        <v>2143</v>
      </c>
      <c r="H303" s="2" t="s">
        <v>209</v>
      </c>
      <c r="I303" s="2" t="s">
        <v>788</v>
      </c>
      <c r="J303" s="2" t="s">
        <v>30</v>
      </c>
      <c r="K303" s="2" t="s">
        <v>30</v>
      </c>
      <c r="L303" s="2" t="s">
        <v>361</v>
      </c>
      <c r="M303" s="2" t="s">
        <v>31</v>
      </c>
      <c r="N303" s="2" t="s">
        <v>495</v>
      </c>
      <c r="O303" s="2" t="s">
        <v>160</v>
      </c>
      <c r="P303" s="2" t="s">
        <v>1956</v>
      </c>
      <c r="Q303" s="2" t="s">
        <v>446</v>
      </c>
      <c r="R303" s="2" t="s">
        <v>440</v>
      </c>
      <c r="S303" s="2" t="s">
        <v>34</v>
      </c>
      <c r="T303" s="123">
        <v>3.7440000000000002</v>
      </c>
      <c r="U303" s="2" t="s">
        <v>2144</v>
      </c>
      <c r="V303" s="136">
        <v>1.43E-2</v>
      </c>
      <c r="W303" s="138">
        <v>2.81E-2</v>
      </c>
      <c r="X303" s="3" t="s">
        <v>445</v>
      </c>
      <c r="Y303" s="3" t="s">
        <v>160</v>
      </c>
      <c r="Z303" s="123">
        <v>536195.53</v>
      </c>
      <c r="AA303" s="132">
        <v>1</v>
      </c>
      <c r="AB303" s="149">
        <v>111.28</v>
      </c>
      <c r="AC303" s="123">
        <v>11.51</v>
      </c>
      <c r="AD303" s="123">
        <v>608.18799999999999</v>
      </c>
      <c r="AE303" s="2"/>
      <c r="AF303" s="2"/>
      <c r="AG303" s="2" t="s">
        <v>36</v>
      </c>
      <c r="AH303" s="138">
        <v>2.7799999999999998E-4</v>
      </c>
      <c r="AI303" s="138">
        <v>2.1432158792118201E-3</v>
      </c>
      <c r="AJ303" s="138">
        <v>3.2253151651189302E-4</v>
      </c>
    </row>
    <row r="304" spans="1:36">
      <c r="A304" s="2">
        <v>161</v>
      </c>
      <c r="B304" s="2">
        <v>9943</v>
      </c>
      <c r="C304" s="2" t="s">
        <v>1675</v>
      </c>
      <c r="D304" s="2" t="s">
        <v>1676</v>
      </c>
      <c r="E304" s="3" t="s">
        <v>1351</v>
      </c>
      <c r="F304" s="2" t="s">
        <v>2145</v>
      </c>
      <c r="G304" s="2" t="s">
        <v>2146</v>
      </c>
      <c r="H304" s="2" t="s">
        <v>209</v>
      </c>
      <c r="I304" s="2" t="s">
        <v>788</v>
      </c>
      <c r="J304" s="2" t="s">
        <v>30</v>
      </c>
      <c r="K304" s="2" t="s">
        <v>30</v>
      </c>
      <c r="L304" s="2" t="s">
        <v>361</v>
      </c>
      <c r="M304" s="2" t="s">
        <v>31</v>
      </c>
      <c r="N304" s="2" t="s">
        <v>495</v>
      </c>
      <c r="O304" s="2" t="s">
        <v>160</v>
      </c>
      <c r="P304" s="2" t="s">
        <v>1956</v>
      </c>
      <c r="Q304" s="2" t="s">
        <v>446</v>
      </c>
      <c r="R304" s="2" t="s">
        <v>440</v>
      </c>
      <c r="S304" s="2" t="s">
        <v>34</v>
      </c>
      <c r="T304" s="123">
        <v>0.80800000000000005</v>
      </c>
      <c r="U304" s="2" t="s">
        <v>2147</v>
      </c>
      <c r="V304" s="136">
        <v>2.1499999999999998E-2</v>
      </c>
      <c r="W304" s="138">
        <v>3.1850000000000003E-2</v>
      </c>
      <c r="X304" s="3" t="s">
        <v>445</v>
      </c>
      <c r="Y304" s="3" t="s">
        <v>160</v>
      </c>
      <c r="Z304" s="123">
        <v>1571272.21</v>
      </c>
      <c r="AA304" s="132">
        <v>1</v>
      </c>
      <c r="AB304" s="149">
        <v>118.67</v>
      </c>
      <c r="AC304" s="2"/>
      <c r="AD304" s="123">
        <v>1864.6289999999999</v>
      </c>
      <c r="AE304" s="2"/>
      <c r="AF304" s="2"/>
      <c r="AG304" s="2" t="s">
        <v>36</v>
      </c>
      <c r="AH304" s="138">
        <v>1.3489999999999999E-3</v>
      </c>
      <c r="AI304" s="138">
        <v>6.5708329282924997E-3</v>
      </c>
      <c r="AJ304" s="138">
        <v>9.8884145534039805E-4</v>
      </c>
    </row>
    <row r="305" spans="1:36">
      <c r="A305" s="2">
        <v>161</v>
      </c>
      <c r="B305" s="2">
        <v>9943</v>
      </c>
      <c r="C305" s="2" t="s">
        <v>1675</v>
      </c>
      <c r="D305" s="2" t="s">
        <v>1676</v>
      </c>
      <c r="E305" s="3" t="s">
        <v>1351</v>
      </c>
      <c r="F305" s="2" t="s">
        <v>2148</v>
      </c>
      <c r="G305" s="2" t="s">
        <v>2149</v>
      </c>
      <c r="H305" s="2" t="s">
        <v>209</v>
      </c>
      <c r="I305" s="2" t="s">
        <v>788</v>
      </c>
      <c r="J305" s="2" t="s">
        <v>30</v>
      </c>
      <c r="K305" s="2" t="s">
        <v>30</v>
      </c>
      <c r="L305" s="2" t="s">
        <v>361</v>
      </c>
      <c r="M305" s="2" t="s">
        <v>31</v>
      </c>
      <c r="N305" s="2" t="s">
        <v>495</v>
      </c>
      <c r="O305" s="2" t="s">
        <v>160</v>
      </c>
      <c r="P305" s="2" t="s">
        <v>1956</v>
      </c>
      <c r="Q305" s="2" t="s">
        <v>446</v>
      </c>
      <c r="R305" s="2" t="s">
        <v>440</v>
      </c>
      <c r="S305" s="2" t="s">
        <v>34</v>
      </c>
      <c r="T305" s="123">
        <v>3.33</v>
      </c>
      <c r="U305" s="2" t="s">
        <v>2150</v>
      </c>
      <c r="V305" s="136">
        <v>2.2499999999999999E-2</v>
      </c>
      <c r="W305" s="138">
        <v>2.861E-2</v>
      </c>
      <c r="X305" s="3" t="s">
        <v>445</v>
      </c>
      <c r="Y305" s="3" t="s">
        <v>160</v>
      </c>
      <c r="Z305" s="123">
        <v>1940298.48</v>
      </c>
      <c r="AA305" s="132">
        <v>1</v>
      </c>
      <c r="AB305" s="149">
        <v>116.27</v>
      </c>
      <c r="AC305" s="123">
        <v>61.670999999999999</v>
      </c>
      <c r="AD305" s="123">
        <v>2317.6559999999999</v>
      </c>
      <c r="AE305" s="2"/>
      <c r="AF305" s="2"/>
      <c r="AG305" s="2" t="s">
        <v>36</v>
      </c>
      <c r="AH305" s="138">
        <v>1.1169999999999999E-3</v>
      </c>
      <c r="AI305" s="138">
        <v>8.16727074231198E-3</v>
      </c>
      <c r="AJ305" s="138">
        <v>1.2290886064402599E-3</v>
      </c>
    </row>
    <row r="306" spans="1:36">
      <c r="A306" s="2">
        <v>161</v>
      </c>
      <c r="B306" s="2">
        <v>9943</v>
      </c>
      <c r="C306" s="2" t="s">
        <v>1675</v>
      </c>
      <c r="D306" s="2" t="s">
        <v>1676</v>
      </c>
      <c r="E306" s="3" t="s">
        <v>1351</v>
      </c>
      <c r="F306" s="2" t="s">
        <v>2151</v>
      </c>
      <c r="G306" s="2" t="s">
        <v>2152</v>
      </c>
      <c r="H306" s="2" t="s">
        <v>209</v>
      </c>
      <c r="I306" s="2" t="s">
        <v>788</v>
      </c>
      <c r="J306" s="2" t="s">
        <v>30</v>
      </c>
      <c r="K306" s="2" t="s">
        <v>30</v>
      </c>
      <c r="L306" s="2" t="s">
        <v>361</v>
      </c>
      <c r="M306" s="2" t="s">
        <v>31</v>
      </c>
      <c r="N306" s="2" t="s">
        <v>495</v>
      </c>
      <c r="O306" s="2" t="s">
        <v>160</v>
      </c>
      <c r="P306" s="2" t="s">
        <v>1956</v>
      </c>
      <c r="Q306" s="2" t="s">
        <v>446</v>
      </c>
      <c r="R306" s="2" t="s">
        <v>440</v>
      </c>
      <c r="S306" s="2" t="s">
        <v>34</v>
      </c>
      <c r="T306" s="123">
        <v>4.6920000000000002</v>
      </c>
      <c r="U306" s="2" t="s">
        <v>2129</v>
      </c>
      <c r="V306" s="136">
        <v>2.5000000000000001E-3</v>
      </c>
      <c r="W306" s="138">
        <v>2.7019999999999999E-2</v>
      </c>
      <c r="X306" s="3" t="s">
        <v>445</v>
      </c>
      <c r="Y306" s="3" t="s">
        <v>160</v>
      </c>
      <c r="Z306" s="123">
        <v>479902.48</v>
      </c>
      <c r="AA306" s="132">
        <v>1</v>
      </c>
      <c r="AB306" s="149">
        <v>102.52</v>
      </c>
      <c r="AC306" s="123">
        <v>7.1059999999999999</v>
      </c>
      <c r="AD306" s="123">
        <v>499.10199999999998</v>
      </c>
      <c r="AE306" s="2"/>
      <c r="AF306" s="2"/>
      <c r="AG306" s="2" t="s">
        <v>36</v>
      </c>
      <c r="AH306" s="138">
        <v>3.59E-4</v>
      </c>
      <c r="AI306" s="138">
        <v>1.75880431301784E-3</v>
      </c>
      <c r="AJ306" s="138">
        <v>2.6468160665827002E-4</v>
      </c>
    </row>
    <row r="307" spans="1:36">
      <c r="A307" s="2">
        <v>161</v>
      </c>
      <c r="B307" s="2">
        <v>9943</v>
      </c>
      <c r="C307" s="2" t="s">
        <v>1679</v>
      </c>
      <c r="D307" s="2" t="s">
        <v>1680</v>
      </c>
      <c r="E307" s="3" t="s">
        <v>1351</v>
      </c>
      <c r="F307" s="2" t="s">
        <v>2320</v>
      </c>
      <c r="G307" s="2" t="s">
        <v>2321</v>
      </c>
      <c r="H307" s="2" t="s">
        <v>209</v>
      </c>
      <c r="I307" s="2" t="s">
        <v>998</v>
      </c>
      <c r="J307" s="2" t="s">
        <v>30</v>
      </c>
      <c r="K307" s="2" t="s">
        <v>30</v>
      </c>
      <c r="L307" s="2" t="s">
        <v>361</v>
      </c>
      <c r="M307" s="2" t="s">
        <v>31</v>
      </c>
      <c r="N307" s="2" t="s">
        <v>476</v>
      </c>
      <c r="O307" s="2" t="s">
        <v>160</v>
      </c>
      <c r="P307" s="2" t="s">
        <v>1355</v>
      </c>
      <c r="Q307" s="2" t="s">
        <v>448</v>
      </c>
      <c r="R307" s="2" t="s">
        <v>440</v>
      </c>
      <c r="S307" s="2" t="s">
        <v>34</v>
      </c>
      <c r="T307" s="123">
        <v>0.73199999999999998</v>
      </c>
      <c r="U307" s="2" t="s">
        <v>2301</v>
      </c>
      <c r="V307" s="136">
        <v>2.9399999999999999E-2</v>
      </c>
      <c r="W307" s="138">
        <v>4.8599999999999997E-2</v>
      </c>
      <c r="X307" s="3" t="s">
        <v>445</v>
      </c>
      <c r="Y307" s="3" t="s">
        <v>160</v>
      </c>
      <c r="Z307" s="123">
        <v>254595.58</v>
      </c>
      <c r="AA307" s="132">
        <v>1</v>
      </c>
      <c r="AB307" s="149">
        <v>100.83</v>
      </c>
      <c r="AC307" s="2"/>
      <c r="AD307" s="123">
        <v>256.709</v>
      </c>
      <c r="AE307" s="2"/>
      <c r="AF307" s="2"/>
      <c r="AG307" s="2" t="s">
        <v>36</v>
      </c>
      <c r="AH307" s="138">
        <v>2.3739999999999998E-3</v>
      </c>
      <c r="AI307" s="138">
        <v>9.0462519617931004E-4</v>
      </c>
      <c r="AJ307" s="138">
        <v>1.3613660631605701E-4</v>
      </c>
    </row>
    <row r="308" spans="1:36">
      <c r="A308" s="2">
        <v>161</v>
      </c>
      <c r="B308" s="2">
        <v>9943</v>
      </c>
      <c r="C308" s="2" t="s">
        <v>1702</v>
      </c>
      <c r="D308" s="2" t="s">
        <v>1703</v>
      </c>
      <c r="E308" s="3" t="s">
        <v>1351</v>
      </c>
      <c r="F308" s="2" t="s">
        <v>2158</v>
      </c>
      <c r="G308" s="2" t="s">
        <v>2159</v>
      </c>
      <c r="H308" s="2" t="s">
        <v>209</v>
      </c>
      <c r="I308" s="2" t="s">
        <v>788</v>
      </c>
      <c r="J308" s="2" t="s">
        <v>30</v>
      </c>
      <c r="K308" s="2" t="s">
        <v>30</v>
      </c>
      <c r="L308" s="2" t="s">
        <v>361</v>
      </c>
      <c r="M308" s="2" t="s">
        <v>31</v>
      </c>
      <c r="N308" s="2" t="s">
        <v>495</v>
      </c>
      <c r="O308" s="2" t="s">
        <v>160</v>
      </c>
      <c r="P308" s="2" t="s">
        <v>88</v>
      </c>
      <c r="Q308" s="2" t="s">
        <v>446</v>
      </c>
      <c r="R308" s="2" t="s">
        <v>440</v>
      </c>
      <c r="S308" s="2" t="s">
        <v>34</v>
      </c>
      <c r="T308" s="123">
        <v>2.6779999999999999</v>
      </c>
      <c r="U308" s="2" t="s">
        <v>2160</v>
      </c>
      <c r="V308" s="136">
        <v>1.34E-2</v>
      </c>
      <c r="W308" s="138">
        <v>2.8029999999999999E-2</v>
      </c>
      <c r="X308" s="3" t="s">
        <v>445</v>
      </c>
      <c r="Y308" s="3" t="s">
        <v>160</v>
      </c>
      <c r="Z308" s="123">
        <v>724376.96</v>
      </c>
      <c r="AA308" s="132">
        <v>1</v>
      </c>
      <c r="AB308" s="149">
        <v>114.07</v>
      </c>
      <c r="AC308" s="123">
        <v>92.215000000000003</v>
      </c>
      <c r="AD308" s="123">
        <v>918.51199999999994</v>
      </c>
      <c r="AE308" s="2"/>
      <c r="AF308" s="2"/>
      <c r="AG308" s="2" t="s">
        <v>36</v>
      </c>
      <c r="AH308" s="138">
        <v>3.28E-4</v>
      </c>
      <c r="AI308" s="138">
        <v>3.2367779054873198E-3</v>
      </c>
      <c r="AJ308" s="138">
        <v>4.8710113460569398E-4</v>
      </c>
    </row>
    <row r="309" spans="1:36">
      <c r="A309" s="2">
        <v>161</v>
      </c>
      <c r="B309" s="2">
        <v>9943</v>
      </c>
      <c r="C309" s="2" t="s">
        <v>1702</v>
      </c>
      <c r="D309" s="2" t="s">
        <v>1703</v>
      </c>
      <c r="E309" s="3" t="s">
        <v>1351</v>
      </c>
      <c r="F309" s="2" t="s">
        <v>2161</v>
      </c>
      <c r="G309" s="2" t="s">
        <v>2162</v>
      </c>
      <c r="H309" s="2" t="s">
        <v>209</v>
      </c>
      <c r="I309" s="2" t="s">
        <v>788</v>
      </c>
      <c r="J309" s="2" t="s">
        <v>30</v>
      </c>
      <c r="K309" s="2" t="s">
        <v>30</v>
      </c>
      <c r="L309" s="2" t="s">
        <v>361</v>
      </c>
      <c r="M309" s="2" t="s">
        <v>31</v>
      </c>
      <c r="N309" s="2" t="s">
        <v>495</v>
      </c>
      <c r="O309" s="2" t="s">
        <v>160</v>
      </c>
      <c r="P309" s="2" t="s">
        <v>2163</v>
      </c>
      <c r="Q309" s="2" t="s">
        <v>448</v>
      </c>
      <c r="R309" s="2" t="s">
        <v>440</v>
      </c>
      <c r="S309" s="2" t="s">
        <v>34</v>
      </c>
      <c r="T309" s="123">
        <v>1.9570000000000001</v>
      </c>
      <c r="U309" s="2" t="s">
        <v>2014</v>
      </c>
      <c r="V309" s="136">
        <v>1.77E-2</v>
      </c>
      <c r="W309" s="138">
        <v>2.8219999999999999E-2</v>
      </c>
      <c r="X309" s="3" t="s">
        <v>445</v>
      </c>
      <c r="Y309" s="3" t="s">
        <v>160</v>
      </c>
      <c r="Z309" s="123">
        <v>700699.69</v>
      </c>
      <c r="AA309" s="132">
        <v>1</v>
      </c>
      <c r="AB309" s="149">
        <v>114.73</v>
      </c>
      <c r="AC309" s="2"/>
      <c r="AD309" s="123">
        <v>803.91300000000001</v>
      </c>
      <c r="AE309" s="2"/>
      <c r="AF309" s="2"/>
      <c r="AG309" s="2" t="s">
        <v>36</v>
      </c>
      <c r="AH309" s="138">
        <v>2.8800000000000001E-4</v>
      </c>
      <c r="AI309" s="138">
        <v>2.8329373607363399E-3</v>
      </c>
      <c r="AJ309" s="138">
        <v>4.2632736720741102E-4</v>
      </c>
    </row>
    <row r="310" spans="1:36">
      <c r="A310" s="2">
        <v>161</v>
      </c>
      <c r="B310" s="2">
        <v>9943</v>
      </c>
      <c r="C310" s="2" t="s">
        <v>1610</v>
      </c>
      <c r="D310" s="2" t="s">
        <v>1611</v>
      </c>
      <c r="E310" s="3" t="s">
        <v>1351</v>
      </c>
      <c r="F310" s="2" t="s">
        <v>2170</v>
      </c>
      <c r="G310" s="2" t="s">
        <v>2171</v>
      </c>
      <c r="H310" s="2" t="s">
        <v>209</v>
      </c>
      <c r="I310" s="2" t="s">
        <v>788</v>
      </c>
      <c r="J310" s="2" t="s">
        <v>30</v>
      </c>
      <c r="K310" s="2" t="s">
        <v>30</v>
      </c>
      <c r="L310" s="2" t="s">
        <v>361</v>
      </c>
      <c r="M310" s="2" t="s">
        <v>31</v>
      </c>
      <c r="N310" s="2" t="s">
        <v>479</v>
      </c>
      <c r="O310" s="2" t="s">
        <v>160</v>
      </c>
      <c r="P310" s="2" t="s">
        <v>1199</v>
      </c>
      <c r="Q310" s="2" t="s">
        <v>446</v>
      </c>
      <c r="R310" s="2" t="s">
        <v>440</v>
      </c>
      <c r="S310" s="2" t="s">
        <v>34</v>
      </c>
      <c r="T310" s="123">
        <v>3.335</v>
      </c>
      <c r="U310" s="2" t="s">
        <v>2169</v>
      </c>
      <c r="V310" s="136">
        <v>1E-3</v>
      </c>
      <c r="W310" s="138">
        <v>2.5729999999999999E-2</v>
      </c>
      <c r="X310" s="3" t="s">
        <v>445</v>
      </c>
      <c r="Y310" s="3" t="s">
        <v>160</v>
      </c>
      <c r="Z310" s="123">
        <v>2598862.79</v>
      </c>
      <c r="AA310" s="132">
        <v>1</v>
      </c>
      <c r="AB310" s="149">
        <v>105.19</v>
      </c>
      <c r="AC310" s="2"/>
      <c r="AD310" s="123">
        <v>2733.7440000000001</v>
      </c>
      <c r="AE310" s="2"/>
      <c r="AF310" s="2"/>
      <c r="AG310" s="2" t="s">
        <v>36</v>
      </c>
      <c r="AH310" s="138">
        <v>2.6410000000000001E-3</v>
      </c>
      <c r="AI310" s="138">
        <v>9.6335389823533207E-3</v>
      </c>
      <c r="AJ310" s="138">
        <v>1.44974660158711E-3</v>
      </c>
    </row>
    <row r="311" spans="1:36">
      <c r="A311" s="2">
        <v>161</v>
      </c>
      <c r="B311" s="2">
        <v>9943</v>
      </c>
      <c r="C311" s="2" t="s">
        <v>1610</v>
      </c>
      <c r="D311" s="2" t="s">
        <v>1611</v>
      </c>
      <c r="E311" s="3" t="s">
        <v>1351</v>
      </c>
      <c r="F311" s="2" t="s">
        <v>2172</v>
      </c>
      <c r="G311" s="2" t="s">
        <v>2173</v>
      </c>
      <c r="H311" s="2" t="s">
        <v>209</v>
      </c>
      <c r="I311" s="2" t="s">
        <v>788</v>
      </c>
      <c r="J311" s="2" t="s">
        <v>30</v>
      </c>
      <c r="K311" s="2" t="s">
        <v>30</v>
      </c>
      <c r="L311" s="2" t="s">
        <v>361</v>
      </c>
      <c r="M311" s="2" t="s">
        <v>31</v>
      </c>
      <c r="N311" s="2" t="s">
        <v>479</v>
      </c>
      <c r="O311" s="2" t="s">
        <v>160</v>
      </c>
      <c r="P311" s="2" t="s">
        <v>1199</v>
      </c>
      <c r="Q311" s="2" t="s">
        <v>446</v>
      </c>
      <c r="R311" s="2" t="s">
        <v>440</v>
      </c>
      <c r="S311" s="2" t="s">
        <v>34</v>
      </c>
      <c r="T311" s="123">
        <v>3.7149999999999999</v>
      </c>
      <c r="U311" s="2" t="s">
        <v>2174</v>
      </c>
      <c r="V311" s="136">
        <v>1.3899999999999999E-2</v>
      </c>
      <c r="W311" s="138">
        <v>2.511E-2</v>
      </c>
      <c r="X311" s="3" t="s">
        <v>445</v>
      </c>
      <c r="Y311" s="3" t="s">
        <v>160</v>
      </c>
      <c r="Z311" s="123">
        <v>2982814.62</v>
      </c>
      <c r="AA311" s="132">
        <v>1</v>
      </c>
      <c r="AB311" s="149">
        <v>105.13</v>
      </c>
      <c r="AC311" s="2"/>
      <c r="AD311" s="123">
        <v>3135.8330000000001</v>
      </c>
      <c r="AE311" s="2"/>
      <c r="AF311" s="2"/>
      <c r="AG311" s="2" t="s">
        <v>36</v>
      </c>
      <c r="AH311" s="138">
        <v>1.864E-3</v>
      </c>
      <c r="AI311" s="138">
        <v>1.10504758671266E-2</v>
      </c>
      <c r="AJ311" s="138">
        <v>1.66298074504429E-3</v>
      </c>
    </row>
    <row r="312" spans="1:36">
      <c r="A312" s="2">
        <v>161</v>
      </c>
      <c r="B312" s="2">
        <v>9943</v>
      </c>
      <c r="C312" s="2" t="s">
        <v>1610</v>
      </c>
      <c r="D312" s="2" t="s">
        <v>1611</v>
      </c>
      <c r="E312" s="3" t="s">
        <v>1351</v>
      </c>
      <c r="F312" s="2" t="s">
        <v>2175</v>
      </c>
      <c r="G312" s="2" t="s">
        <v>2176</v>
      </c>
      <c r="H312" s="2" t="s">
        <v>209</v>
      </c>
      <c r="I312" s="2" t="s">
        <v>788</v>
      </c>
      <c r="J312" s="2" t="s">
        <v>30</v>
      </c>
      <c r="K312" s="2" t="s">
        <v>30</v>
      </c>
      <c r="L312" s="2" t="s">
        <v>361</v>
      </c>
      <c r="M312" s="2" t="s">
        <v>31</v>
      </c>
      <c r="N312" s="2" t="s">
        <v>479</v>
      </c>
      <c r="O312" s="2" t="s">
        <v>160</v>
      </c>
      <c r="P312" s="2" t="s">
        <v>1199</v>
      </c>
      <c r="Q312" s="2" t="s">
        <v>446</v>
      </c>
      <c r="R312" s="2" t="s">
        <v>440</v>
      </c>
      <c r="S312" s="2" t="s">
        <v>34</v>
      </c>
      <c r="T312" s="123">
        <v>1.806</v>
      </c>
      <c r="U312" s="2" t="s">
        <v>2177</v>
      </c>
      <c r="V312" s="136">
        <v>6.0000000000000001E-3</v>
      </c>
      <c r="W312" s="138">
        <v>2.4760000000000001E-2</v>
      </c>
      <c r="X312" s="3" t="s">
        <v>445</v>
      </c>
      <c r="Y312" s="3" t="s">
        <v>160</v>
      </c>
      <c r="Z312" s="123">
        <v>309770.25</v>
      </c>
      <c r="AA312" s="132">
        <v>1</v>
      </c>
      <c r="AB312" s="149">
        <v>114.32</v>
      </c>
      <c r="AC312" s="2"/>
      <c r="AD312" s="123">
        <v>354.12900000000002</v>
      </c>
      <c r="AE312" s="2"/>
      <c r="AF312" s="2"/>
      <c r="AG312" s="2" t="s">
        <v>36</v>
      </c>
      <c r="AH312" s="138">
        <v>4.64E-4</v>
      </c>
      <c r="AI312" s="138">
        <v>1.24792928109352E-3</v>
      </c>
      <c r="AJ312" s="138">
        <v>1.8780027128145001E-4</v>
      </c>
    </row>
    <row r="313" spans="1:36">
      <c r="A313" s="2">
        <v>161</v>
      </c>
      <c r="B313" s="2">
        <v>9943</v>
      </c>
      <c r="C313" s="2" t="s">
        <v>1610</v>
      </c>
      <c r="D313" s="2" t="s">
        <v>1611</v>
      </c>
      <c r="E313" s="3" t="s">
        <v>1351</v>
      </c>
      <c r="F313" s="2" t="s">
        <v>2178</v>
      </c>
      <c r="G313" s="2" t="s">
        <v>2179</v>
      </c>
      <c r="H313" s="2" t="s">
        <v>209</v>
      </c>
      <c r="I313" s="2" t="s">
        <v>788</v>
      </c>
      <c r="J313" s="2" t="s">
        <v>30</v>
      </c>
      <c r="K313" s="2" t="s">
        <v>30</v>
      </c>
      <c r="L313" s="2" t="s">
        <v>361</v>
      </c>
      <c r="M313" s="2" t="s">
        <v>31</v>
      </c>
      <c r="N313" s="2" t="s">
        <v>479</v>
      </c>
      <c r="O313" s="2" t="s">
        <v>160</v>
      </c>
      <c r="P313" s="2" t="s">
        <v>1199</v>
      </c>
      <c r="Q313" s="2" t="s">
        <v>446</v>
      </c>
      <c r="R313" s="2" t="s">
        <v>440</v>
      </c>
      <c r="S313" s="2" t="s">
        <v>34</v>
      </c>
      <c r="T313" s="123">
        <v>2.8039999999999998</v>
      </c>
      <c r="U313" s="2" t="s">
        <v>2180</v>
      </c>
      <c r="V313" s="136">
        <v>1.7500000000000002E-2</v>
      </c>
      <c r="W313" s="138">
        <v>2.4469999999999999E-2</v>
      </c>
      <c r="X313" s="3" t="s">
        <v>445</v>
      </c>
      <c r="Y313" s="3" t="s">
        <v>160</v>
      </c>
      <c r="Z313" s="123">
        <v>2985664.39</v>
      </c>
      <c r="AA313" s="132">
        <v>1</v>
      </c>
      <c r="AB313" s="149">
        <v>115.29</v>
      </c>
      <c r="AC313" s="2"/>
      <c r="AD313" s="123">
        <v>3442.172</v>
      </c>
      <c r="AE313" s="2"/>
      <c r="AF313" s="2"/>
      <c r="AG313" s="2" t="s">
        <v>36</v>
      </c>
      <c r="AH313" s="138">
        <v>1.3389999999999999E-3</v>
      </c>
      <c r="AI313" s="138">
        <v>1.21299966377849E-2</v>
      </c>
      <c r="AJ313" s="138">
        <v>1.8254373014013399E-3</v>
      </c>
    </row>
    <row r="314" spans="1:36">
      <c r="A314" s="2">
        <v>161</v>
      </c>
      <c r="B314" s="2">
        <v>9943</v>
      </c>
      <c r="C314" s="2" t="s">
        <v>1610</v>
      </c>
      <c r="D314" s="2" t="s">
        <v>1611</v>
      </c>
      <c r="E314" s="3" t="s">
        <v>1351</v>
      </c>
      <c r="F314" s="2" t="s">
        <v>2181</v>
      </c>
      <c r="G314" s="2" t="s">
        <v>2182</v>
      </c>
      <c r="H314" s="2" t="s">
        <v>209</v>
      </c>
      <c r="I314" s="2" t="s">
        <v>788</v>
      </c>
      <c r="J314" s="2" t="s">
        <v>30</v>
      </c>
      <c r="K314" s="2" t="s">
        <v>30</v>
      </c>
      <c r="L314" s="2" t="s">
        <v>361</v>
      </c>
      <c r="M314" s="2" t="s">
        <v>58</v>
      </c>
      <c r="N314" s="2" t="s">
        <v>479</v>
      </c>
      <c r="O314" s="2" t="s">
        <v>160</v>
      </c>
      <c r="P314" s="2" t="s">
        <v>1969</v>
      </c>
      <c r="Q314" s="2" t="s">
        <v>446</v>
      </c>
      <c r="R314" s="2" t="s">
        <v>440</v>
      </c>
      <c r="S314" s="2" t="s">
        <v>34</v>
      </c>
      <c r="T314" s="123">
        <v>6.56</v>
      </c>
      <c r="U314" s="2" t="s">
        <v>2183</v>
      </c>
      <c r="V314" s="136">
        <v>3.4500000000000003E-2</v>
      </c>
      <c r="W314" s="138">
        <v>2.903E-2</v>
      </c>
      <c r="X314" s="3" t="s">
        <v>445</v>
      </c>
      <c r="Y314" s="3" t="s">
        <v>160</v>
      </c>
      <c r="Z314" s="123">
        <v>1700000</v>
      </c>
      <c r="AA314" s="132">
        <v>1</v>
      </c>
      <c r="AB314" s="149">
        <v>106.85</v>
      </c>
      <c r="AC314" s="2"/>
      <c r="AD314" s="123">
        <v>1816.45</v>
      </c>
      <c r="AE314" s="2"/>
      <c r="AF314" s="2"/>
      <c r="AG314" s="2" t="s">
        <v>36</v>
      </c>
      <c r="AH314" s="138">
        <v>1.155E-3</v>
      </c>
      <c r="AI314" s="138">
        <v>6.4010541456745798E-3</v>
      </c>
      <c r="AJ314" s="138">
        <v>9.6329152882089096E-4</v>
      </c>
    </row>
    <row r="315" spans="1:36">
      <c r="A315" s="2">
        <v>161</v>
      </c>
      <c r="B315" s="2">
        <v>9943</v>
      </c>
      <c r="C315" s="2" t="s">
        <v>1710</v>
      </c>
      <c r="D315" s="2" t="s">
        <v>1711</v>
      </c>
      <c r="E315" s="3" t="s">
        <v>1351</v>
      </c>
      <c r="F315" s="2" t="s">
        <v>2184</v>
      </c>
      <c r="G315" s="2" t="s">
        <v>2185</v>
      </c>
      <c r="H315" s="2" t="s">
        <v>209</v>
      </c>
      <c r="I315" s="2" t="s">
        <v>998</v>
      </c>
      <c r="J315" s="2" t="s">
        <v>30</v>
      </c>
      <c r="K315" s="2" t="s">
        <v>30</v>
      </c>
      <c r="L315" s="2" t="s">
        <v>361</v>
      </c>
      <c r="M315" s="2" t="s">
        <v>31</v>
      </c>
      <c r="N315" s="2" t="s">
        <v>508</v>
      </c>
      <c r="O315" s="2" t="s">
        <v>160</v>
      </c>
      <c r="P315" s="2" t="s">
        <v>1969</v>
      </c>
      <c r="Q315" s="2" t="s">
        <v>446</v>
      </c>
      <c r="R315" s="2" t="s">
        <v>440</v>
      </c>
      <c r="S315" s="2" t="s">
        <v>34</v>
      </c>
      <c r="T315" s="123">
        <v>0.90200000000000002</v>
      </c>
      <c r="U315" s="2" t="s">
        <v>2186</v>
      </c>
      <c r="V315" s="136">
        <v>2.29E-2</v>
      </c>
      <c r="W315" s="138">
        <v>4.7030000000000002E-2</v>
      </c>
      <c r="X315" s="3" t="s">
        <v>445</v>
      </c>
      <c r="Y315" s="3" t="s">
        <v>160</v>
      </c>
      <c r="Z315" s="123">
        <v>273989.71999999997</v>
      </c>
      <c r="AA315" s="132">
        <v>1</v>
      </c>
      <c r="AB315" s="149">
        <v>98.11</v>
      </c>
      <c r="AC315" s="2"/>
      <c r="AD315" s="123">
        <v>268.81099999999998</v>
      </c>
      <c r="AE315" s="2"/>
      <c r="AF315" s="2"/>
      <c r="AG315" s="2" t="s">
        <v>36</v>
      </c>
      <c r="AH315" s="138">
        <v>8.2700000000000004E-4</v>
      </c>
      <c r="AI315" s="138">
        <v>9.4727395620745804E-4</v>
      </c>
      <c r="AJ315" s="138">
        <v>1.4255479749439499E-4</v>
      </c>
    </row>
    <row r="316" spans="1:36">
      <c r="A316" s="2">
        <v>161</v>
      </c>
      <c r="B316" s="2">
        <v>9943</v>
      </c>
      <c r="C316" s="2" t="s">
        <v>2265</v>
      </c>
      <c r="D316" s="2" t="s">
        <v>2266</v>
      </c>
      <c r="E316" s="3" t="s">
        <v>1351</v>
      </c>
      <c r="F316" s="2" t="s">
        <v>2322</v>
      </c>
      <c r="G316" s="2" t="s">
        <v>2323</v>
      </c>
      <c r="H316" s="2" t="s">
        <v>209</v>
      </c>
      <c r="I316" s="2" t="s">
        <v>998</v>
      </c>
      <c r="J316" s="2" t="s">
        <v>30</v>
      </c>
      <c r="K316" s="2" t="s">
        <v>30</v>
      </c>
      <c r="L316" s="2" t="s">
        <v>361</v>
      </c>
      <c r="M316" s="2" t="s">
        <v>31</v>
      </c>
      <c r="N316" s="2" t="s">
        <v>476</v>
      </c>
      <c r="O316" s="2" t="s">
        <v>160</v>
      </c>
      <c r="P316" s="2" t="s">
        <v>1956</v>
      </c>
      <c r="Q316" s="2" t="s">
        <v>446</v>
      </c>
      <c r="R316" s="2" t="s">
        <v>440</v>
      </c>
      <c r="S316" s="2" t="s">
        <v>34</v>
      </c>
      <c r="T316" s="123">
        <v>7.9000000000000001E-2</v>
      </c>
      <c r="U316" s="2" t="s">
        <v>1340</v>
      </c>
      <c r="V316" s="136">
        <v>3.61E-2</v>
      </c>
      <c r="W316" s="138">
        <v>5.4059999999999997E-2</v>
      </c>
      <c r="X316" s="3" t="s">
        <v>445</v>
      </c>
      <c r="Y316" s="3" t="s">
        <v>160</v>
      </c>
      <c r="Z316" s="123">
        <v>1192562</v>
      </c>
      <c r="AA316" s="132">
        <v>1</v>
      </c>
      <c r="AB316" s="149">
        <v>101.38</v>
      </c>
      <c r="AC316" s="2"/>
      <c r="AD316" s="123">
        <v>1209.019</v>
      </c>
      <c r="AE316" s="2"/>
      <c r="AF316" s="2"/>
      <c r="AG316" s="2" t="s">
        <v>36</v>
      </c>
      <c r="AH316" s="138">
        <v>1.554E-3</v>
      </c>
      <c r="AI316" s="138">
        <v>4.2605072302371004E-3</v>
      </c>
      <c r="AJ316" s="138">
        <v>6.41161663370846E-4</v>
      </c>
    </row>
    <row r="317" spans="1:36">
      <c r="A317" s="2">
        <v>161</v>
      </c>
      <c r="B317" s="2">
        <v>9943</v>
      </c>
      <c r="C317" s="2" t="s">
        <v>2324</v>
      </c>
      <c r="D317" s="2" t="s">
        <v>2325</v>
      </c>
      <c r="E317" s="3" t="s">
        <v>1351</v>
      </c>
      <c r="F317" s="2" t="s">
        <v>2326</v>
      </c>
      <c r="G317" s="2" t="s">
        <v>2327</v>
      </c>
      <c r="H317" s="2" t="s">
        <v>209</v>
      </c>
      <c r="I317" s="2" t="s">
        <v>998</v>
      </c>
      <c r="J317" s="2" t="s">
        <v>30</v>
      </c>
      <c r="K317" s="2" t="s">
        <v>30</v>
      </c>
      <c r="L317" s="2" t="s">
        <v>361</v>
      </c>
      <c r="M317" s="2" t="s">
        <v>31</v>
      </c>
      <c r="N317" s="2" t="s">
        <v>496</v>
      </c>
      <c r="O317" s="2" t="s">
        <v>160</v>
      </c>
      <c r="P317" s="2" t="s">
        <v>1989</v>
      </c>
      <c r="Q317" s="2" t="s">
        <v>448</v>
      </c>
      <c r="R317" s="2" t="s">
        <v>440</v>
      </c>
      <c r="S317" s="2" t="s">
        <v>34</v>
      </c>
      <c r="T317" s="123">
        <v>0.121</v>
      </c>
      <c r="U317" s="2" t="s">
        <v>2328</v>
      </c>
      <c r="V317" s="136">
        <v>3.5000000000000003E-2</v>
      </c>
      <c r="W317" s="138">
        <v>2.7310000000000001E-2</v>
      </c>
      <c r="X317" s="3" t="s">
        <v>445</v>
      </c>
      <c r="Y317" s="3" t="s">
        <v>160</v>
      </c>
      <c r="Z317" s="123">
        <v>66689.3</v>
      </c>
      <c r="AA317" s="132">
        <v>1</v>
      </c>
      <c r="AB317" s="149">
        <v>101.42</v>
      </c>
      <c r="AC317" s="2"/>
      <c r="AD317" s="123">
        <v>67.635999999999996</v>
      </c>
      <c r="AE317" s="2"/>
      <c r="AF317" s="2"/>
      <c r="AG317" s="2" t="s">
        <v>36</v>
      </c>
      <c r="AH317" s="138">
        <v>1.3910000000000001E-3</v>
      </c>
      <c r="AI317" s="138">
        <v>2.3834597268546E-4</v>
      </c>
      <c r="AJ317" s="138">
        <v>3.5868569643583703E-5</v>
      </c>
    </row>
    <row r="318" spans="1:36">
      <c r="A318" s="2">
        <v>161</v>
      </c>
      <c r="B318" s="2">
        <v>9943</v>
      </c>
      <c r="C318" s="2" t="s">
        <v>2329</v>
      </c>
      <c r="D318" s="2" t="s">
        <v>2330</v>
      </c>
      <c r="E318" s="3" t="s">
        <v>1351</v>
      </c>
      <c r="F318" s="2" t="s">
        <v>2331</v>
      </c>
      <c r="G318" s="2" t="s">
        <v>2332</v>
      </c>
      <c r="H318" s="2" t="s">
        <v>209</v>
      </c>
      <c r="I318" s="2" t="s">
        <v>788</v>
      </c>
      <c r="J318" s="2" t="s">
        <v>30</v>
      </c>
      <c r="K318" s="2" t="s">
        <v>30</v>
      </c>
      <c r="L318" s="2" t="s">
        <v>361</v>
      </c>
      <c r="M318" s="2" t="s">
        <v>31</v>
      </c>
      <c r="N318" s="2" t="s">
        <v>495</v>
      </c>
      <c r="O318" s="2" t="s">
        <v>160</v>
      </c>
      <c r="P318" s="2" t="s">
        <v>1969</v>
      </c>
      <c r="Q318" s="2" t="s">
        <v>446</v>
      </c>
      <c r="R318" s="2" t="s">
        <v>440</v>
      </c>
      <c r="S318" s="2" t="s">
        <v>34</v>
      </c>
      <c r="T318" s="123">
        <v>0.90400000000000003</v>
      </c>
      <c r="U318" s="2" t="s">
        <v>2333</v>
      </c>
      <c r="V318" s="136">
        <v>2.1499999999999998E-2</v>
      </c>
      <c r="W318" s="138">
        <v>2.8510000000000001E-2</v>
      </c>
      <c r="X318" s="3" t="s">
        <v>445</v>
      </c>
      <c r="Y318" s="3" t="s">
        <v>160</v>
      </c>
      <c r="Z318" s="123">
        <v>699999.99</v>
      </c>
      <c r="AA318" s="132">
        <v>1</v>
      </c>
      <c r="AB318" s="149">
        <v>118.18</v>
      </c>
      <c r="AC318" s="2"/>
      <c r="AD318" s="123">
        <v>827.26</v>
      </c>
      <c r="AE318" s="2"/>
      <c r="AF318" s="2"/>
      <c r="AG318" s="2" t="s">
        <v>36</v>
      </c>
      <c r="AH318" s="138">
        <v>5.0000000000000001E-4</v>
      </c>
      <c r="AI318" s="138">
        <v>2.9152115262754798E-3</v>
      </c>
      <c r="AJ318" s="138">
        <v>4.38708766411512E-4</v>
      </c>
    </row>
    <row r="319" spans="1:36">
      <c r="A319" s="2">
        <v>161</v>
      </c>
      <c r="B319" s="2">
        <v>9943</v>
      </c>
      <c r="C319" s="2" t="s">
        <v>2329</v>
      </c>
      <c r="D319" s="2" t="s">
        <v>2330</v>
      </c>
      <c r="E319" s="3" t="s">
        <v>1351</v>
      </c>
      <c r="F319" s="2" t="s">
        <v>2334</v>
      </c>
      <c r="G319" s="2" t="s">
        <v>2335</v>
      </c>
      <c r="H319" s="2" t="s">
        <v>209</v>
      </c>
      <c r="I319" s="2" t="s">
        <v>788</v>
      </c>
      <c r="J319" s="2" t="s">
        <v>30</v>
      </c>
      <c r="K319" s="2" t="s">
        <v>30</v>
      </c>
      <c r="L319" s="2" t="s">
        <v>361</v>
      </c>
      <c r="M319" s="2" t="s">
        <v>31</v>
      </c>
      <c r="N319" s="2" t="s">
        <v>495</v>
      </c>
      <c r="O319" s="2" t="s">
        <v>160</v>
      </c>
      <c r="P319" s="2" t="s">
        <v>1956</v>
      </c>
      <c r="Q319" s="2" t="s">
        <v>446</v>
      </c>
      <c r="R319" s="2" t="s">
        <v>440</v>
      </c>
      <c r="S319" s="2" t="s">
        <v>34</v>
      </c>
      <c r="T319" s="123">
        <v>0.91700000000000004</v>
      </c>
      <c r="U319" s="2" t="s">
        <v>2333</v>
      </c>
      <c r="V319" s="136">
        <v>1.6E-2</v>
      </c>
      <c r="W319" s="138">
        <v>2.7320000000000001E-2</v>
      </c>
      <c r="X319" s="3" t="s">
        <v>445</v>
      </c>
      <c r="Y319" s="3" t="s">
        <v>160</v>
      </c>
      <c r="Z319" s="123">
        <v>223833.25</v>
      </c>
      <c r="AA319" s="132">
        <v>1</v>
      </c>
      <c r="AB319" s="149">
        <v>117.65</v>
      </c>
      <c r="AC319" s="2"/>
      <c r="AD319" s="123">
        <v>263.33999999999997</v>
      </c>
      <c r="AE319" s="2"/>
      <c r="AF319" s="2"/>
      <c r="AG319" s="2" t="s">
        <v>36</v>
      </c>
      <c r="AH319" s="138">
        <v>7.8899999999999999E-4</v>
      </c>
      <c r="AI319" s="138">
        <v>9.2799275384995304E-4</v>
      </c>
      <c r="AJ319" s="138">
        <v>1.3965317871820999E-4</v>
      </c>
    </row>
    <row r="320" spans="1:36">
      <c r="A320" s="2">
        <v>161</v>
      </c>
      <c r="B320" s="2">
        <v>9943</v>
      </c>
      <c r="C320" s="2" t="s">
        <v>2195</v>
      </c>
      <c r="D320" s="2" t="s">
        <v>2196</v>
      </c>
      <c r="E320" s="3" t="s">
        <v>1351</v>
      </c>
      <c r="F320" s="2" t="s">
        <v>2197</v>
      </c>
      <c r="G320" s="2" t="s">
        <v>2198</v>
      </c>
      <c r="H320" s="2" t="s">
        <v>209</v>
      </c>
      <c r="I320" s="2" t="s">
        <v>788</v>
      </c>
      <c r="J320" s="2" t="s">
        <v>30</v>
      </c>
      <c r="K320" s="2" t="s">
        <v>30</v>
      </c>
      <c r="L320" s="2" t="s">
        <v>361</v>
      </c>
      <c r="M320" s="2" t="s">
        <v>31</v>
      </c>
      <c r="N320" s="2" t="s">
        <v>495</v>
      </c>
      <c r="O320" s="2" t="s">
        <v>160</v>
      </c>
      <c r="P320" s="2" t="s">
        <v>1956</v>
      </c>
      <c r="Q320" s="2" t="s">
        <v>446</v>
      </c>
      <c r="R320" s="2" t="s">
        <v>440</v>
      </c>
      <c r="S320" s="2" t="s">
        <v>34</v>
      </c>
      <c r="T320" s="123">
        <v>6.0019999999999998</v>
      </c>
      <c r="U320" s="2" t="s">
        <v>2199</v>
      </c>
      <c r="V320" s="136">
        <v>2.5000000000000001E-2</v>
      </c>
      <c r="W320" s="138">
        <v>2.9499999999999998E-2</v>
      </c>
      <c r="X320" s="3" t="s">
        <v>445</v>
      </c>
      <c r="Y320" s="3" t="s">
        <v>160</v>
      </c>
      <c r="Z320" s="123">
        <v>280477.05</v>
      </c>
      <c r="AA320" s="132">
        <v>1</v>
      </c>
      <c r="AB320" s="149">
        <v>114.89</v>
      </c>
      <c r="AC320" s="2"/>
      <c r="AD320" s="123">
        <v>322.24</v>
      </c>
      <c r="AE320" s="2"/>
      <c r="AF320" s="2"/>
      <c r="AG320" s="2" t="s">
        <v>36</v>
      </c>
      <c r="AH320" s="138">
        <v>2.0799999999999999E-4</v>
      </c>
      <c r="AI320" s="138">
        <v>1.1355535343980799E-3</v>
      </c>
      <c r="AJ320" s="138">
        <v>1.70888899752155E-4</v>
      </c>
    </row>
    <row r="321" spans="1:36">
      <c r="A321" s="2">
        <v>161</v>
      </c>
      <c r="B321" s="2">
        <v>9943</v>
      </c>
      <c r="C321" s="2" t="s">
        <v>2336</v>
      </c>
      <c r="D321" s="2" t="s">
        <v>2337</v>
      </c>
      <c r="E321" s="3" t="s">
        <v>1351</v>
      </c>
      <c r="F321" s="2" t="s">
        <v>2338</v>
      </c>
      <c r="G321" s="2" t="s">
        <v>2339</v>
      </c>
      <c r="H321" s="2" t="s">
        <v>209</v>
      </c>
      <c r="I321" s="2" t="s">
        <v>788</v>
      </c>
      <c r="J321" s="2" t="s">
        <v>30</v>
      </c>
      <c r="K321" s="2" t="s">
        <v>30</v>
      </c>
      <c r="L321" s="2" t="s">
        <v>361</v>
      </c>
      <c r="M321" s="2" t="s">
        <v>31</v>
      </c>
      <c r="N321" s="2" t="s">
        <v>478</v>
      </c>
      <c r="O321" s="2" t="s">
        <v>160</v>
      </c>
      <c r="P321" s="2" t="s">
        <v>2030</v>
      </c>
      <c r="Q321" s="2" t="s">
        <v>446</v>
      </c>
      <c r="R321" s="2" t="s">
        <v>440</v>
      </c>
      <c r="S321" s="2" t="s">
        <v>34</v>
      </c>
      <c r="T321" s="123">
        <v>2.226</v>
      </c>
      <c r="U321" s="2" t="s">
        <v>2340</v>
      </c>
      <c r="V321" s="136">
        <v>3.9E-2</v>
      </c>
      <c r="W321" s="138">
        <v>3.1789999999999999E-2</v>
      </c>
      <c r="X321" s="3" t="s">
        <v>445</v>
      </c>
      <c r="Y321" s="3" t="s">
        <v>160</v>
      </c>
      <c r="Z321" s="123">
        <v>673297.72</v>
      </c>
      <c r="AA321" s="132">
        <v>1</v>
      </c>
      <c r="AB321" s="149">
        <v>120.32</v>
      </c>
      <c r="AC321" s="2"/>
      <c r="AD321" s="123">
        <v>810.11199999999997</v>
      </c>
      <c r="AE321" s="2"/>
      <c r="AF321" s="2"/>
      <c r="AG321" s="2" t="s">
        <v>36</v>
      </c>
      <c r="AH321" s="138">
        <v>4.8799999999999999E-4</v>
      </c>
      <c r="AI321" s="138">
        <v>2.8547824618200901E-3</v>
      </c>
      <c r="AJ321" s="138">
        <v>4.2961482585739499E-4</v>
      </c>
    </row>
    <row r="322" spans="1:36">
      <c r="A322" s="2">
        <v>161</v>
      </c>
      <c r="B322" s="2">
        <v>9943</v>
      </c>
      <c r="C322" s="2" t="s">
        <v>2200</v>
      </c>
      <c r="D322" s="2" t="s">
        <v>2201</v>
      </c>
      <c r="E322" s="3" t="s">
        <v>1351</v>
      </c>
      <c r="F322" s="2" t="s">
        <v>2202</v>
      </c>
      <c r="G322" s="2" t="s">
        <v>2203</v>
      </c>
      <c r="H322" s="2" t="s">
        <v>209</v>
      </c>
      <c r="I322" s="2" t="s">
        <v>998</v>
      </c>
      <c r="J322" s="2" t="s">
        <v>30</v>
      </c>
      <c r="K322" s="2" t="s">
        <v>30</v>
      </c>
      <c r="L322" s="2" t="s">
        <v>361</v>
      </c>
      <c r="M322" s="2" t="s">
        <v>31</v>
      </c>
      <c r="N322" s="2" t="s">
        <v>471</v>
      </c>
      <c r="O322" s="2" t="s">
        <v>160</v>
      </c>
      <c r="P322" s="2" t="s">
        <v>2008</v>
      </c>
      <c r="Q322" s="2" t="s">
        <v>448</v>
      </c>
      <c r="R322" s="2" t="s">
        <v>440</v>
      </c>
      <c r="S322" s="2" t="s">
        <v>34</v>
      </c>
      <c r="T322" s="123">
        <v>4.2729999999999997</v>
      </c>
      <c r="U322" s="2" t="s">
        <v>2204</v>
      </c>
      <c r="V322" s="136">
        <v>6.7699999999999996E-2</v>
      </c>
      <c r="W322" s="138">
        <v>5.015E-2</v>
      </c>
      <c r="X322" s="3" t="s">
        <v>445</v>
      </c>
      <c r="Y322" s="3" t="s">
        <v>160</v>
      </c>
      <c r="Z322" s="123">
        <v>1530000</v>
      </c>
      <c r="AA322" s="132">
        <v>1</v>
      </c>
      <c r="AB322" s="149">
        <v>107.74</v>
      </c>
      <c r="AC322" s="2"/>
      <c r="AD322" s="123">
        <v>1648.422</v>
      </c>
      <c r="AE322" s="2"/>
      <c r="AF322" s="2"/>
      <c r="AG322" s="2" t="s">
        <v>36</v>
      </c>
      <c r="AH322" s="138">
        <v>2.2669999999999999E-3</v>
      </c>
      <c r="AI322" s="138">
        <v>5.8089341721055798E-3</v>
      </c>
      <c r="AJ322" s="138">
        <v>8.7418368164386001E-4</v>
      </c>
    </row>
    <row r="323" spans="1:36">
      <c r="A323" s="2">
        <v>161</v>
      </c>
      <c r="B323" s="2">
        <v>9943</v>
      </c>
      <c r="C323" s="2" t="s">
        <v>2210</v>
      </c>
      <c r="D323" s="2" t="s">
        <v>2211</v>
      </c>
      <c r="E323" s="3" t="s">
        <v>1351</v>
      </c>
      <c r="F323" s="2" t="s">
        <v>2212</v>
      </c>
      <c r="G323" s="2" t="s">
        <v>2213</v>
      </c>
      <c r="H323" s="2" t="s">
        <v>209</v>
      </c>
      <c r="I323" s="2" t="s">
        <v>789</v>
      </c>
      <c r="J323" s="2" t="s">
        <v>30</v>
      </c>
      <c r="K323" s="2" t="s">
        <v>30</v>
      </c>
      <c r="L323" s="2" t="s">
        <v>361</v>
      </c>
      <c r="M323" s="2" t="s">
        <v>31</v>
      </c>
      <c r="N323" s="2" t="s">
        <v>485</v>
      </c>
      <c r="O323" s="2" t="s">
        <v>160</v>
      </c>
      <c r="P323" s="2" t="s">
        <v>2108</v>
      </c>
      <c r="Q323" s="2" t="s">
        <v>448</v>
      </c>
      <c r="R323" s="2" t="s">
        <v>440</v>
      </c>
      <c r="S323" s="2" t="s">
        <v>34</v>
      </c>
      <c r="T323" s="123">
        <v>2.5830000000000002</v>
      </c>
      <c r="U323" s="2" t="s">
        <v>2214</v>
      </c>
      <c r="V323" s="136">
        <v>4.6899999999999997E-2</v>
      </c>
      <c r="W323" s="138">
        <v>6.2799999999999995E-2</v>
      </c>
      <c r="X323" s="3" t="s">
        <v>445</v>
      </c>
      <c r="Y323" s="3" t="s">
        <v>160</v>
      </c>
      <c r="Z323" s="123">
        <v>2451882.38</v>
      </c>
      <c r="AA323" s="132">
        <v>1</v>
      </c>
      <c r="AB323" s="149">
        <v>95.53</v>
      </c>
      <c r="AC323" s="2"/>
      <c r="AD323" s="123">
        <v>2342.2829999999999</v>
      </c>
      <c r="AE323" s="2"/>
      <c r="AF323" s="2"/>
      <c r="AG323" s="2" t="s">
        <v>36</v>
      </c>
      <c r="AH323" s="138">
        <v>2.134E-3</v>
      </c>
      <c r="AI323" s="138">
        <v>8.2540569949479305E-3</v>
      </c>
      <c r="AJ323" s="138">
        <v>1.2421490274396401E-3</v>
      </c>
    </row>
    <row r="324" spans="1:36">
      <c r="A324" s="2">
        <v>161</v>
      </c>
      <c r="B324" s="2">
        <v>9943</v>
      </c>
      <c r="C324" s="2" t="s">
        <v>1787</v>
      </c>
      <c r="D324" s="2" t="s">
        <v>1788</v>
      </c>
      <c r="E324" s="3" t="s">
        <v>1351</v>
      </c>
      <c r="F324" s="2" t="s">
        <v>2341</v>
      </c>
      <c r="G324" s="2" t="s">
        <v>2342</v>
      </c>
      <c r="H324" s="2" t="s">
        <v>209</v>
      </c>
      <c r="I324" s="2" t="s">
        <v>998</v>
      </c>
      <c r="J324" s="2" t="s">
        <v>30</v>
      </c>
      <c r="K324" s="2" t="s">
        <v>30</v>
      </c>
      <c r="L324" s="2" t="s">
        <v>361</v>
      </c>
      <c r="M324" s="2" t="s">
        <v>31</v>
      </c>
      <c r="N324" s="2" t="s">
        <v>478</v>
      </c>
      <c r="O324" s="2" t="s">
        <v>160</v>
      </c>
      <c r="P324" s="2" t="s">
        <v>1989</v>
      </c>
      <c r="Q324" s="2" t="s">
        <v>448</v>
      </c>
      <c r="R324" s="2" t="s">
        <v>440</v>
      </c>
      <c r="S324" s="2" t="s">
        <v>34</v>
      </c>
      <c r="T324" s="123">
        <v>1.2070000000000001</v>
      </c>
      <c r="U324" s="2" t="s">
        <v>2343</v>
      </c>
      <c r="V324" s="136">
        <v>3.5000000000000003E-2</v>
      </c>
      <c r="W324" s="138">
        <v>4.8849999999999998E-2</v>
      </c>
      <c r="X324" s="3" t="s">
        <v>445</v>
      </c>
      <c r="Y324" s="3" t="s">
        <v>160</v>
      </c>
      <c r="Z324" s="123">
        <v>72359.679999999993</v>
      </c>
      <c r="AA324" s="132">
        <v>1</v>
      </c>
      <c r="AB324" s="149">
        <v>99.31</v>
      </c>
      <c r="AC324" s="2"/>
      <c r="AD324" s="123">
        <v>71.86</v>
      </c>
      <c r="AE324" s="2"/>
      <c r="AF324" s="2"/>
      <c r="AG324" s="2" t="s">
        <v>36</v>
      </c>
      <c r="AH324" s="138">
        <v>5.2099999999999998E-4</v>
      </c>
      <c r="AI324" s="138">
        <v>2.5323146789570002E-4</v>
      </c>
      <c r="AJ324" s="138">
        <v>3.8108680586562999E-5</v>
      </c>
    </row>
    <row r="325" spans="1:36">
      <c r="A325" s="2">
        <v>161</v>
      </c>
      <c r="B325" s="2">
        <v>9943</v>
      </c>
      <c r="C325" s="2" t="s">
        <v>1787</v>
      </c>
      <c r="D325" s="2" t="s">
        <v>1788</v>
      </c>
      <c r="E325" s="3" t="s">
        <v>1351</v>
      </c>
      <c r="F325" s="2" t="s">
        <v>2344</v>
      </c>
      <c r="G325" s="2" t="s">
        <v>2345</v>
      </c>
      <c r="H325" s="2" t="s">
        <v>209</v>
      </c>
      <c r="I325" s="2" t="s">
        <v>788</v>
      </c>
      <c r="J325" s="2" t="s">
        <v>30</v>
      </c>
      <c r="K325" s="2" t="s">
        <v>30</v>
      </c>
      <c r="L325" s="2" t="s">
        <v>361</v>
      </c>
      <c r="M325" s="2" t="s">
        <v>31</v>
      </c>
      <c r="N325" s="2" t="s">
        <v>478</v>
      </c>
      <c r="O325" s="2" t="s">
        <v>160</v>
      </c>
      <c r="P325" s="2" t="s">
        <v>1989</v>
      </c>
      <c r="Q325" s="2" t="s">
        <v>448</v>
      </c>
      <c r="R325" s="2" t="s">
        <v>440</v>
      </c>
      <c r="S325" s="2" t="s">
        <v>34</v>
      </c>
      <c r="T325" s="123">
        <v>2.1160000000000001</v>
      </c>
      <c r="U325" s="2" t="s">
        <v>2346</v>
      </c>
      <c r="V325" s="136">
        <v>3.85E-2</v>
      </c>
      <c r="W325" s="138">
        <v>3.2370000000000003E-2</v>
      </c>
      <c r="X325" s="3" t="s">
        <v>445</v>
      </c>
      <c r="Y325" s="3" t="s">
        <v>160</v>
      </c>
      <c r="Z325" s="123">
        <v>125710</v>
      </c>
      <c r="AA325" s="132">
        <v>1</v>
      </c>
      <c r="AB325" s="149">
        <v>111.11</v>
      </c>
      <c r="AC325" s="2"/>
      <c r="AD325" s="123">
        <v>139.67599999999999</v>
      </c>
      <c r="AE325" s="2"/>
      <c r="AF325" s="2"/>
      <c r="AG325" s="2" t="s">
        <v>36</v>
      </c>
      <c r="AH325" s="138">
        <v>4.1899999999999999E-4</v>
      </c>
      <c r="AI325" s="138">
        <v>4.9221067337547005E-4</v>
      </c>
      <c r="AJ325" s="138">
        <v>7.4072545125744801E-5</v>
      </c>
    </row>
    <row r="326" spans="1:36">
      <c r="A326" s="2">
        <v>161</v>
      </c>
      <c r="B326" s="2">
        <v>9943</v>
      </c>
      <c r="C326" s="2" t="s">
        <v>1791</v>
      </c>
      <c r="D326" s="2" t="s">
        <v>1792</v>
      </c>
      <c r="E326" s="3" t="s">
        <v>1351</v>
      </c>
      <c r="F326" s="2" t="s">
        <v>2347</v>
      </c>
      <c r="G326" s="2" t="s">
        <v>2348</v>
      </c>
      <c r="H326" s="2" t="s">
        <v>209</v>
      </c>
      <c r="I326" s="2" t="s">
        <v>998</v>
      </c>
      <c r="J326" s="2" t="s">
        <v>30</v>
      </c>
      <c r="K326" s="2" t="s">
        <v>30</v>
      </c>
      <c r="L326" s="2" t="s">
        <v>361</v>
      </c>
      <c r="M326" s="2" t="s">
        <v>58</v>
      </c>
      <c r="N326" s="2" t="s">
        <v>478</v>
      </c>
      <c r="O326" s="2" t="s">
        <v>160</v>
      </c>
      <c r="P326" s="2" t="s">
        <v>211</v>
      </c>
      <c r="Q326" s="2" t="s">
        <v>211</v>
      </c>
      <c r="R326" s="2" t="s">
        <v>211</v>
      </c>
      <c r="S326" s="2" t="s">
        <v>34</v>
      </c>
      <c r="T326" s="123">
        <v>2.706</v>
      </c>
      <c r="U326" s="2" t="s">
        <v>2349</v>
      </c>
      <c r="V326" s="136">
        <v>7.1999999999999995E-2</v>
      </c>
      <c r="W326" s="138">
        <v>6.3570000000000002E-2</v>
      </c>
      <c r="X326" s="3" t="s">
        <v>445</v>
      </c>
      <c r="Y326" s="3" t="s">
        <v>160</v>
      </c>
      <c r="Z326" s="123">
        <v>2000000</v>
      </c>
      <c r="AA326" s="132">
        <v>1</v>
      </c>
      <c r="AB326" s="149">
        <v>102.5</v>
      </c>
      <c r="AC326" s="2"/>
      <c r="AD326" s="123">
        <v>2050</v>
      </c>
      <c r="AE326" s="2"/>
      <c r="AF326" s="2"/>
      <c r="AG326" s="2" t="s">
        <v>36</v>
      </c>
      <c r="AH326" s="138">
        <v>1.9081000000000001E-2</v>
      </c>
      <c r="AI326" s="138">
        <v>7.2240694754234303E-3</v>
      </c>
      <c r="AJ326" s="138">
        <v>1.0871467059829999E-3</v>
      </c>
    </row>
    <row r="327" spans="1:36">
      <c r="A327" s="2">
        <v>161</v>
      </c>
      <c r="B327" s="2">
        <v>9943</v>
      </c>
      <c r="C327" s="2" t="s">
        <v>2350</v>
      </c>
      <c r="D327" s="2" t="s">
        <v>2351</v>
      </c>
      <c r="E327" s="3" t="s">
        <v>1351</v>
      </c>
      <c r="F327" s="2" t="s">
        <v>2352</v>
      </c>
      <c r="G327" s="2" t="s">
        <v>2353</v>
      </c>
      <c r="H327" s="2" t="s">
        <v>209</v>
      </c>
      <c r="I327" s="2" t="s">
        <v>788</v>
      </c>
      <c r="J327" s="2" t="s">
        <v>30</v>
      </c>
      <c r="K327" s="2" t="s">
        <v>334</v>
      </c>
      <c r="L327" s="2" t="s">
        <v>361</v>
      </c>
      <c r="M327" s="2" t="s">
        <v>31</v>
      </c>
      <c r="N327" s="2" t="s">
        <v>496</v>
      </c>
      <c r="O327" s="2" t="s">
        <v>160</v>
      </c>
      <c r="P327" s="2" t="s">
        <v>1989</v>
      </c>
      <c r="Q327" s="2" t="s">
        <v>448</v>
      </c>
      <c r="R327" s="2" t="s">
        <v>440</v>
      </c>
      <c r="S327" s="2" t="s">
        <v>34</v>
      </c>
      <c r="T327" s="123">
        <v>1.1359999999999999</v>
      </c>
      <c r="U327" s="2" t="s">
        <v>2354</v>
      </c>
      <c r="V327" s="136">
        <v>2.8500000000000001E-2</v>
      </c>
      <c r="W327" s="138">
        <v>3.0040000000000001E-2</v>
      </c>
      <c r="X327" s="3" t="s">
        <v>445</v>
      </c>
      <c r="Y327" s="3" t="s">
        <v>160</v>
      </c>
      <c r="Z327" s="123">
        <v>84432</v>
      </c>
      <c r="AA327" s="132">
        <v>1</v>
      </c>
      <c r="AB327" s="149">
        <v>119.39</v>
      </c>
      <c r="AC327" s="2"/>
      <c r="AD327" s="123">
        <v>100.803</v>
      </c>
      <c r="AE327" s="2"/>
      <c r="AF327" s="2"/>
      <c r="AG327" s="2" t="s">
        <v>36</v>
      </c>
      <c r="AH327" s="138">
        <v>2.0699999999999999E-4</v>
      </c>
      <c r="AI327" s="138">
        <v>3.55224639352025E-4</v>
      </c>
      <c r="AJ327" s="138">
        <v>5.34575834118649E-5</v>
      </c>
    </row>
    <row r="328" spans="1:36">
      <c r="A328" s="2">
        <v>161</v>
      </c>
      <c r="B328" s="2">
        <v>9943</v>
      </c>
      <c r="C328" s="2" t="s">
        <v>2350</v>
      </c>
      <c r="D328" s="2" t="s">
        <v>2351</v>
      </c>
      <c r="E328" s="3" t="s">
        <v>1351</v>
      </c>
      <c r="F328" s="2" t="s">
        <v>2355</v>
      </c>
      <c r="G328" s="2" t="s">
        <v>2356</v>
      </c>
      <c r="H328" s="2" t="s">
        <v>209</v>
      </c>
      <c r="I328" s="2" t="s">
        <v>788</v>
      </c>
      <c r="J328" s="2" t="s">
        <v>30</v>
      </c>
      <c r="K328" s="2" t="s">
        <v>334</v>
      </c>
      <c r="L328" s="2" t="s">
        <v>361</v>
      </c>
      <c r="M328" s="2" t="s">
        <v>31</v>
      </c>
      <c r="N328" s="2" t="s">
        <v>496</v>
      </c>
      <c r="O328" s="2" t="s">
        <v>160</v>
      </c>
      <c r="P328" s="2" t="s">
        <v>1989</v>
      </c>
      <c r="Q328" s="2" t="s">
        <v>448</v>
      </c>
      <c r="R328" s="2" t="s">
        <v>440</v>
      </c>
      <c r="S328" s="2" t="s">
        <v>34</v>
      </c>
      <c r="T328" s="123">
        <v>3.3330000000000002</v>
      </c>
      <c r="U328" s="2" t="s">
        <v>2357</v>
      </c>
      <c r="V328" s="136">
        <v>4.3E-3</v>
      </c>
      <c r="W328" s="138">
        <v>3.2210000000000003E-2</v>
      </c>
      <c r="X328" s="3" t="s">
        <v>445</v>
      </c>
      <c r="Y328" s="3" t="s">
        <v>160</v>
      </c>
      <c r="Z328" s="123">
        <v>1898849</v>
      </c>
      <c r="AA328" s="132">
        <v>1</v>
      </c>
      <c r="AB328" s="149">
        <v>104.31</v>
      </c>
      <c r="AC328" s="2"/>
      <c r="AD328" s="123">
        <v>1980.6890000000001</v>
      </c>
      <c r="AE328" s="2"/>
      <c r="AF328" s="2"/>
      <c r="AG328" s="2" t="s">
        <v>36</v>
      </c>
      <c r="AH328" s="138">
        <v>3.0379999999999999E-3</v>
      </c>
      <c r="AI328" s="138">
        <v>6.97982330552184E-3</v>
      </c>
      <c r="AJ328" s="138">
        <v>1.05039021852662E-3</v>
      </c>
    </row>
    <row r="329" spans="1:36">
      <c r="A329" s="2">
        <v>161</v>
      </c>
      <c r="B329" s="2">
        <v>9943</v>
      </c>
      <c r="C329" s="2" t="s">
        <v>2350</v>
      </c>
      <c r="D329" s="2" t="s">
        <v>2351</v>
      </c>
      <c r="E329" s="3" t="s">
        <v>1351</v>
      </c>
      <c r="F329" s="2" t="s">
        <v>2358</v>
      </c>
      <c r="G329" s="2" t="s">
        <v>2359</v>
      </c>
      <c r="H329" s="2" t="s">
        <v>209</v>
      </c>
      <c r="I329" s="2" t="s">
        <v>788</v>
      </c>
      <c r="J329" s="2" t="s">
        <v>30</v>
      </c>
      <c r="K329" s="2" t="s">
        <v>334</v>
      </c>
      <c r="L329" s="2" t="s">
        <v>361</v>
      </c>
      <c r="M329" s="2" t="s">
        <v>31</v>
      </c>
      <c r="N329" s="2" t="s">
        <v>496</v>
      </c>
      <c r="O329" s="2" t="s">
        <v>160</v>
      </c>
      <c r="P329" s="2" t="s">
        <v>1989</v>
      </c>
      <c r="Q329" s="2" t="s">
        <v>448</v>
      </c>
      <c r="R329" s="2" t="s">
        <v>440</v>
      </c>
      <c r="S329" s="2" t="s">
        <v>34</v>
      </c>
      <c r="T329" s="123">
        <v>2.6240000000000001</v>
      </c>
      <c r="U329" s="2" t="s">
        <v>80</v>
      </c>
      <c r="V329" s="136">
        <v>2.4500000000000001E-2</v>
      </c>
      <c r="W329" s="138">
        <v>3.057E-2</v>
      </c>
      <c r="X329" s="3" t="s">
        <v>445</v>
      </c>
      <c r="Y329" s="3" t="s">
        <v>160</v>
      </c>
      <c r="Z329" s="123">
        <v>33310.11</v>
      </c>
      <c r="AA329" s="132">
        <v>1</v>
      </c>
      <c r="AB329" s="149">
        <v>115.76</v>
      </c>
      <c r="AC329" s="2"/>
      <c r="AD329" s="123">
        <v>38.56</v>
      </c>
      <c r="AE329" s="2"/>
      <c r="AF329" s="2"/>
      <c r="AG329" s="2" t="s">
        <v>36</v>
      </c>
      <c r="AH329" s="138">
        <v>7.1000000000000005E-5</v>
      </c>
      <c r="AI329" s="138">
        <v>1.3588222135440899E-4</v>
      </c>
      <c r="AJ329" s="138">
        <v>2.0448849481536899E-5</v>
      </c>
    </row>
    <row r="330" spans="1:36">
      <c r="A330" s="2">
        <v>161</v>
      </c>
      <c r="B330" s="2">
        <v>9943</v>
      </c>
      <c r="C330" s="2" t="s">
        <v>2360</v>
      </c>
      <c r="D330" s="2" t="s">
        <v>2361</v>
      </c>
      <c r="E330" s="3" t="s">
        <v>1351</v>
      </c>
      <c r="F330" s="2" t="s">
        <v>2362</v>
      </c>
      <c r="G330" s="2" t="s">
        <v>2363</v>
      </c>
      <c r="H330" s="2" t="s">
        <v>209</v>
      </c>
      <c r="I330" s="2" t="s">
        <v>998</v>
      </c>
      <c r="J330" s="2" t="s">
        <v>30</v>
      </c>
      <c r="K330" s="2" t="s">
        <v>30</v>
      </c>
      <c r="L330" s="2" t="s">
        <v>361</v>
      </c>
      <c r="M330" s="2" t="s">
        <v>31</v>
      </c>
      <c r="N330" s="2" t="s">
        <v>478</v>
      </c>
      <c r="O330" s="2" t="s">
        <v>160</v>
      </c>
      <c r="P330" s="2" t="s">
        <v>2108</v>
      </c>
      <c r="Q330" s="2" t="s">
        <v>448</v>
      </c>
      <c r="R330" s="2" t="s">
        <v>440</v>
      </c>
      <c r="S330" s="2" t="s">
        <v>34</v>
      </c>
      <c r="T330" s="123">
        <v>1.9470000000000001</v>
      </c>
      <c r="U330" s="2" t="s">
        <v>2349</v>
      </c>
      <c r="V330" s="136">
        <v>2.5499999999999998E-2</v>
      </c>
      <c r="W330" s="138">
        <v>4.9639999999999997E-2</v>
      </c>
      <c r="X330" s="3" t="s">
        <v>445</v>
      </c>
      <c r="Y330" s="3" t="s">
        <v>160</v>
      </c>
      <c r="Z330" s="123">
        <v>2352562</v>
      </c>
      <c r="AA330" s="132">
        <v>1</v>
      </c>
      <c r="AB330" s="149">
        <v>95.58</v>
      </c>
      <c r="AC330" s="2"/>
      <c r="AD330" s="123">
        <v>2248.5790000000002</v>
      </c>
      <c r="AE330" s="2"/>
      <c r="AF330" s="2"/>
      <c r="AG330" s="2" t="s">
        <v>36</v>
      </c>
      <c r="AH330" s="138">
        <v>3.5999999999999999E-3</v>
      </c>
      <c r="AI330" s="138">
        <v>7.9238483806399196E-3</v>
      </c>
      <c r="AJ330" s="138">
        <v>1.1924560934841401E-3</v>
      </c>
    </row>
    <row r="331" spans="1:36">
      <c r="A331" s="2">
        <v>161</v>
      </c>
      <c r="B331" s="2">
        <v>9943</v>
      </c>
      <c r="C331" s="2" t="s">
        <v>2364</v>
      </c>
      <c r="D331" s="2" t="s">
        <v>2365</v>
      </c>
      <c r="E331" s="3" t="s">
        <v>1351</v>
      </c>
      <c r="F331" s="2" t="s">
        <v>2366</v>
      </c>
      <c r="G331" s="2" t="s">
        <v>2367</v>
      </c>
      <c r="H331" s="2" t="s">
        <v>209</v>
      </c>
      <c r="I331" s="2" t="s">
        <v>998</v>
      </c>
      <c r="J331" s="2" t="s">
        <v>30</v>
      </c>
      <c r="K331" s="2" t="s">
        <v>30</v>
      </c>
      <c r="L331" s="2" t="s">
        <v>361</v>
      </c>
      <c r="M331" s="2" t="s">
        <v>31</v>
      </c>
      <c r="N331" s="2" t="s">
        <v>487</v>
      </c>
      <c r="O331" s="2" t="s">
        <v>160</v>
      </c>
      <c r="P331" s="2" t="s">
        <v>1956</v>
      </c>
      <c r="Q331" s="2" t="s">
        <v>446</v>
      </c>
      <c r="R331" s="2" t="s">
        <v>440</v>
      </c>
      <c r="S331" s="2" t="s">
        <v>34</v>
      </c>
      <c r="T331" s="123">
        <v>7.3310000000000004</v>
      </c>
      <c r="U331" s="2" t="s">
        <v>2368</v>
      </c>
      <c r="V331" s="136">
        <v>2.4E-2</v>
      </c>
      <c r="W331" s="138">
        <v>4.6940000000000003E-2</v>
      </c>
      <c r="X331" s="3" t="s">
        <v>445</v>
      </c>
      <c r="Y331" s="3" t="s">
        <v>160</v>
      </c>
      <c r="Z331" s="123">
        <v>1711631.89</v>
      </c>
      <c r="AA331" s="132">
        <v>1</v>
      </c>
      <c r="AB331" s="149">
        <v>84.92</v>
      </c>
      <c r="AC331" s="2"/>
      <c r="AD331" s="123">
        <v>1453.518</v>
      </c>
      <c r="AE331" s="2"/>
      <c r="AF331" s="2"/>
      <c r="AG331" s="2" t="s">
        <v>36</v>
      </c>
      <c r="AH331" s="138">
        <v>1.09E-3</v>
      </c>
      <c r="AI331" s="138">
        <v>5.1221041844400003E-3</v>
      </c>
      <c r="AJ331" s="138">
        <v>7.7082297045451796E-4</v>
      </c>
    </row>
    <row r="332" spans="1:36">
      <c r="A332" s="2">
        <v>161</v>
      </c>
      <c r="B332" s="2">
        <v>9943</v>
      </c>
      <c r="C332" s="2" t="s">
        <v>1952</v>
      </c>
      <c r="D332" s="2" t="s">
        <v>1953</v>
      </c>
      <c r="E332" s="3" t="s">
        <v>1351</v>
      </c>
      <c r="F332" s="2" t="s">
        <v>1954</v>
      </c>
      <c r="G332" s="2" t="s">
        <v>1955</v>
      </c>
      <c r="H332" s="2" t="s">
        <v>209</v>
      </c>
      <c r="I332" s="2" t="s">
        <v>788</v>
      </c>
      <c r="J332" s="2" t="s">
        <v>30</v>
      </c>
      <c r="K332" s="2" t="s">
        <v>30</v>
      </c>
      <c r="L332" s="2" t="s">
        <v>361</v>
      </c>
      <c r="M332" s="2" t="s">
        <v>31</v>
      </c>
      <c r="N332" s="2" t="s">
        <v>495</v>
      </c>
      <c r="O332" s="2" t="s">
        <v>160</v>
      </c>
      <c r="P332" s="2" t="s">
        <v>1956</v>
      </c>
      <c r="Q332" s="2" t="s">
        <v>446</v>
      </c>
      <c r="R332" s="2" t="s">
        <v>440</v>
      </c>
      <c r="S332" s="2" t="s">
        <v>34</v>
      </c>
      <c r="T332" s="123">
        <v>2.0139999999999998</v>
      </c>
      <c r="U332" s="2" t="s">
        <v>1957</v>
      </c>
      <c r="V332" s="136">
        <v>2.3400000000000001E-2</v>
      </c>
      <c r="W332" s="138">
        <v>2.8719999999999999E-2</v>
      </c>
      <c r="X332" s="3" t="s">
        <v>445</v>
      </c>
      <c r="Y332" s="3" t="s">
        <v>160</v>
      </c>
      <c r="Z332" s="123">
        <v>270017.15000000002</v>
      </c>
      <c r="AA332" s="132">
        <v>1</v>
      </c>
      <c r="AB332" s="149">
        <v>116.49</v>
      </c>
      <c r="AC332" s="2"/>
      <c r="AD332" s="123">
        <v>314.54300000000001</v>
      </c>
      <c r="AE332" s="2"/>
      <c r="AF332" s="2"/>
      <c r="AG332" s="2" t="s">
        <v>36</v>
      </c>
      <c r="AH332" s="138">
        <v>1.66E-4</v>
      </c>
      <c r="AI332" s="138">
        <v>1.1084294274787401E-3</v>
      </c>
      <c r="AJ332" s="138">
        <v>1.6680700607845601E-4</v>
      </c>
    </row>
    <row r="333" spans="1:36">
      <c r="A333" s="2">
        <v>161</v>
      </c>
      <c r="B333" s="2">
        <v>9943</v>
      </c>
      <c r="C333" s="2" t="s">
        <v>1961</v>
      </c>
      <c r="D333" s="2" t="s">
        <v>1962</v>
      </c>
      <c r="E333" s="3" t="s">
        <v>1351</v>
      </c>
      <c r="F333" s="2" t="s">
        <v>2222</v>
      </c>
      <c r="G333" s="2" t="s">
        <v>2223</v>
      </c>
      <c r="H333" s="2" t="s">
        <v>209</v>
      </c>
      <c r="I333" s="2" t="s">
        <v>788</v>
      </c>
      <c r="J333" s="2" t="s">
        <v>30</v>
      </c>
      <c r="K333" s="2" t="s">
        <v>30</v>
      </c>
      <c r="L333" s="2" t="s">
        <v>361</v>
      </c>
      <c r="M333" s="2" t="s">
        <v>31</v>
      </c>
      <c r="N333" s="2" t="s">
        <v>509</v>
      </c>
      <c r="O333" s="2" t="s">
        <v>160</v>
      </c>
      <c r="P333" s="2" t="s">
        <v>1965</v>
      </c>
      <c r="Q333" s="2" t="s">
        <v>446</v>
      </c>
      <c r="R333" s="2" t="s">
        <v>440</v>
      </c>
      <c r="S333" s="2" t="s">
        <v>34</v>
      </c>
      <c r="T333" s="123">
        <v>1.4510000000000001</v>
      </c>
      <c r="U333" s="2" t="s">
        <v>2224</v>
      </c>
      <c r="V333" s="136">
        <v>3.2000000000000001E-2</v>
      </c>
      <c r="W333" s="138">
        <v>3.2230000000000002E-2</v>
      </c>
      <c r="X333" s="3" t="s">
        <v>445</v>
      </c>
      <c r="Y333" s="3" t="s">
        <v>160</v>
      </c>
      <c r="Z333" s="123">
        <v>44404.49</v>
      </c>
      <c r="AA333" s="132">
        <v>1</v>
      </c>
      <c r="AB333" s="149">
        <v>109.13</v>
      </c>
      <c r="AC333" s="2"/>
      <c r="AD333" s="123">
        <v>48.459000000000003</v>
      </c>
      <c r="AE333" s="2"/>
      <c r="AF333" s="2"/>
      <c r="AG333" s="2" t="s">
        <v>36</v>
      </c>
      <c r="AH333" s="138">
        <v>6.7000000000000002E-5</v>
      </c>
      <c r="AI333" s="138">
        <v>1.7076509127220799E-4</v>
      </c>
      <c r="AJ333" s="138">
        <v>2.5698355629752101E-5</v>
      </c>
    </row>
    <row r="334" spans="1:36">
      <c r="A334" s="2">
        <v>161</v>
      </c>
      <c r="B334" s="2">
        <v>9943</v>
      </c>
      <c r="C334" s="2" t="s">
        <v>1961</v>
      </c>
      <c r="D334" s="2" t="s">
        <v>1962</v>
      </c>
      <c r="E334" s="3" t="s">
        <v>1351</v>
      </c>
      <c r="F334" s="2" t="s">
        <v>1963</v>
      </c>
      <c r="G334" s="2" t="s">
        <v>1964</v>
      </c>
      <c r="H334" s="2" t="s">
        <v>209</v>
      </c>
      <c r="I334" s="2" t="s">
        <v>998</v>
      </c>
      <c r="J334" s="2" t="s">
        <v>30</v>
      </c>
      <c r="K334" s="2" t="s">
        <v>30</v>
      </c>
      <c r="L334" s="2" t="s">
        <v>361</v>
      </c>
      <c r="M334" s="2" t="s">
        <v>31</v>
      </c>
      <c r="N334" s="2" t="s">
        <v>509</v>
      </c>
      <c r="O334" s="2" t="s">
        <v>160</v>
      </c>
      <c r="P334" s="2" t="s">
        <v>1965</v>
      </c>
      <c r="Q334" s="2" t="s">
        <v>446</v>
      </c>
      <c r="R334" s="2" t="s">
        <v>440</v>
      </c>
      <c r="S334" s="2" t="s">
        <v>34</v>
      </c>
      <c r="T334" s="123">
        <v>1.518</v>
      </c>
      <c r="U334" s="2" t="s">
        <v>1966</v>
      </c>
      <c r="V334" s="136">
        <v>5.7000000000000002E-2</v>
      </c>
      <c r="W334" s="138">
        <v>5.1889999999999999E-2</v>
      </c>
      <c r="X334" s="3" t="s">
        <v>445</v>
      </c>
      <c r="Y334" s="3" t="s">
        <v>160</v>
      </c>
      <c r="Z334" s="123">
        <v>711182.76</v>
      </c>
      <c r="AA334" s="132">
        <v>1</v>
      </c>
      <c r="AB334" s="149">
        <v>101.09</v>
      </c>
      <c r="AC334" s="2"/>
      <c r="AD334" s="123">
        <v>718.93499999999995</v>
      </c>
      <c r="AE334" s="2"/>
      <c r="AF334" s="2"/>
      <c r="AG334" s="2" t="s">
        <v>36</v>
      </c>
      <c r="AH334" s="138">
        <v>9.0300000000000005E-4</v>
      </c>
      <c r="AI334" s="138">
        <v>2.5334799389971599E-3</v>
      </c>
      <c r="AJ334" s="138">
        <v>3.8126216528300402E-4</v>
      </c>
    </row>
    <row r="335" spans="1:36">
      <c r="A335" s="2">
        <v>161</v>
      </c>
      <c r="B335" s="2">
        <v>9943</v>
      </c>
      <c r="C335" s="2" t="s">
        <v>2369</v>
      </c>
      <c r="D335" s="2" t="s">
        <v>2370</v>
      </c>
      <c r="E335" s="3" t="s">
        <v>1351</v>
      </c>
      <c r="F335" s="2" t="s">
        <v>2371</v>
      </c>
      <c r="G335" s="2" t="s">
        <v>2372</v>
      </c>
      <c r="H335" s="2" t="s">
        <v>209</v>
      </c>
      <c r="I335" s="2" t="s">
        <v>998</v>
      </c>
      <c r="J335" s="2" t="s">
        <v>30</v>
      </c>
      <c r="K335" s="2" t="s">
        <v>30</v>
      </c>
      <c r="L335" s="2" t="s">
        <v>361</v>
      </c>
      <c r="M335" s="2" t="s">
        <v>31</v>
      </c>
      <c r="N335" s="2" t="s">
        <v>472</v>
      </c>
      <c r="O335" s="2" t="s">
        <v>160</v>
      </c>
      <c r="P335" s="2" t="s">
        <v>211</v>
      </c>
      <c r="Q335" s="2" t="s">
        <v>211</v>
      </c>
      <c r="R335" s="2" t="s">
        <v>211</v>
      </c>
      <c r="S335" s="2" t="s">
        <v>34</v>
      </c>
      <c r="T335" s="123">
        <v>2.7330000000000001</v>
      </c>
      <c r="U335" s="2" t="s">
        <v>80</v>
      </c>
      <c r="V335" s="136">
        <v>5.5E-2</v>
      </c>
      <c r="W335" s="138">
        <v>6.3310000000000005E-2</v>
      </c>
      <c r="X335" s="3" t="s">
        <v>445</v>
      </c>
      <c r="Y335" s="3" t="s">
        <v>160</v>
      </c>
      <c r="Z335" s="123">
        <v>56728</v>
      </c>
      <c r="AA335" s="132">
        <v>1</v>
      </c>
      <c r="AB335" s="149">
        <v>99.42</v>
      </c>
      <c r="AC335" s="2"/>
      <c r="AD335" s="123">
        <v>56.399000000000001</v>
      </c>
      <c r="AE335" s="2"/>
      <c r="AF335" s="2"/>
      <c r="AG335" s="2" t="s">
        <v>36</v>
      </c>
      <c r="AH335" s="138">
        <v>1.73E-4</v>
      </c>
      <c r="AI335" s="138">
        <v>1.9874640610987801E-4</v>
      </c>
      <c r="AJ335" s="138">
        <v>2.9909250106658099E-5</v>
      </c>
    </row>
    <row r="336" spans="1:36">
      <c r="A336" s="2">
        <v>161</v>
      </c>
      <c r="B336" s="2">
        <v>9943</v>
      </c>
      <c r="C336" s="2" t="s">
        <v>1626</v>
      </c>
      <c r="D336" s="2" t="s">
        <v>1627</v>
      </c>
      <c r="E336" s="3" t="s">
        <v>1351</v>
      </c>
      <c r="F336" s="2" t="s">
        <v>1967</v>
      </c>
      <c r="G336" s="2" t="s">
        <v>1968</v>
      </c>
      <c r="H336" s="2" t="s">
        <v>209</v>
      </c>
      <c r="I336" s="2" t="s">
        <v>788</v>
      </c>
      <c r="J336" s="2" t="s">
        <v>30</v>
      </c>
      <c r="K336" s="2" t="s">
        <v>30</v>
      </c>
      <c r="L336" s="2" t="s">
        <v>361</v>
      </c>
      <c r="M336" s="2" t="s">
        <v>31</v>
      </c>
      <c r="N336" s="2" t="s">
        <v>495</v>
      </c>
      <c r="O336" s="2" t="s">
        <v>160</v>
      </c>
      <c r="P336" s="2" t="s">
        <v>1969</v>
      </c>
      <c r="Q336" s="2" t="s">
        <v>446</v>
      </c>
      <c r="R336" s="2" t="s">
        <v>440</v>
      </c>
      <c r="S336" s="2" t="s">
        <v>34</v>
      </c>
      <c r="T336" s="123">
        <v>6.4370000000000003</v>
      </c>
      <c r="U336" s="2" t="s">
        <v>1970</v>
      </c>
      <c r="V336" s="136">
        <v>2.5600000000000001E-2</v>
      </c>
      <c r="W336" s="138">
        <v>3.2149999999999998E-2</v>
      </c>
      <c r="X336" s="3" t="s">
        <v>445</v>
      </c>
      <c r="Y336" s="3" t="s">
        <v>160</v>
      </c>
      <c r="Z336" s="123">
        <v>1473063</v>
      </c>
      <c r="AA336" s="132">
        <v>1</v>
      </c>
      <c r="AB336" s="149">
        <v>105.66</v>
      </c>
      <c r="AC336" s="2"/>
      <c r="AD336" s="123">
        <v>1556.4380000000001</v>
      </c>
      <c r="AE336" s="2"/>
      <c r="AF336" s="2"/>
      <c r="AG336" s="2" t="s">
        <v>36</v>
      </c>
      <c r="AH336" s="138">
        <v>1.402E-3</v>
      </c>
      <c r="AI336" s="138">
        <v>5.4847897018310702E-3</v>
      </c>
      <c r="AJ336" s="138">
        <v>8.2540333777806805E-4</v>
      </c>
    </row>
    <row r="337" spans="1:36">
      <c r="A337" s="2">
        <v>161</v>
      </c>
      <c r="B337" s="2">
        <v>9943</v>
      </c>
      <c r="C337" s="2" t="s">
        <v>1626</v>
      </c>
      <c r="D337" s="2" t="s">
        <v>1627</v>
      </c>
      <c r="E337" s="3" t="s">
        <v>1351</v>
      </c>
      <c r="F337" s="2" t="s">
        <v>1971</v>
      </c>
      <c r="G337" s="2" t="s">
        <v>1972</v>
      </c>
      <c r="H337" s="2" t="s">
        <v>209</v>
      </c>
      <c r="I337" s="2" t="s">
        <v>998</v>
      </c>
      <c r="J337" s="2" t="s">
        <v>30</v>
      </c>
      <c r="K337" s="2" t="s">
        <v>30</v>
      </c>
      <c r="L337" s="2" t="s">
        <v>361</v>
      </c>
      <c r="M337" s="2" t="s">
        <v>31</v>
      </c>
      <c r="N337" s="2" t="s">
        <v>495</v>
      </c>
      <c r="O337" s="2" t="s">
        <v>160</v>
      </c>
      <c r="P337" s="2" t="s">
        <v>1969</v>
      </c>
      <c r="Q337" s="2" t="s">
        <v>446</v>
      </c>
      <c r="R337" s="2" t="s">
        <v>440</v>
      </c>
      <c r="S337" s="2" t="s">
        <v>34</v>
      </c>
      <c r="T337" s="123">
        <v>3.7050000000000001</v>
      </c>
      <c r="U337" s="2" t="s">
        <v>1973</v>
      </c>
      <c r="V337" s="136">
        <v>2.41E-2</v>
      </c>
      <c r="W337" s="138">
        <v>4.8559999999999999E-2</v>
      </c>
      <c r="X337" s="3" t="s">
        <v>445</v>
      </c>
      <c r="Y337" s="3" t="s">
        <v>160</v>
      </c>
      <c r="Z337" s="123">
        <v>1000000</v>
      </c>
      <c r="AA337" s="132">
        <v>1</v>
      </c>
      <c r="AB337" s="149">
        <v>92.33</v>
      </c>
      <c r="AC337" s="2"/>
      <c r="AD337" s="123">
        <v>923.3</v>
      </c>
      <c r="AE337" s="2"/>
      <c r="AF337" s="2"/>
      <c r="AG337" s="2" t="s">
        <v>36</v>
      </c>
      <c r="AH337" s="138">
        <v>4.8700000000000002E-4</v>
      </c>
      <c r="AI337" s="138">
        <v>3.2536504130041199E-3</v>
      </c>
      <c r="AJ337" s="138">
        <v>4.8964027006541801E-4</v>
      </c>
    </row>
    <row r="338" spans="1:36">
      <c r="A338" s="2">
        <v>161</v>
      </c>
      <c r="B338" s="2">
        <v>9943</v>
      </c>
      <c r="C338" s="2" t="s">
        <v>1626</v>
      </c>
      <c r="D338" s="2" t="s">
        <v>1627</v>
      </c>
      <c r="E338" s="3" t="s">
        <v>1351</v>
      </c>
      <c r="F338" s="2" t="s">
        <v>2373</v>
      </c>
      <c r="G338" s="2" t="s">
        <v>2374</v>
      </c>
      <c r="H338" s="2" t="s">
        <v>209</v>
      </c>
      <c r="I338" s="2" t="s">
        <v>998</v>
      </c>
      <c r="J338" s="2" t="s">
        <v>30</v>
      </c>
      <c r="K338" s="2" t="s">
        <v>30</v>
      </c>
      <c r="L338" s="2" t="s">
        <v>361</v>
      </c>
      <c r="M338" s="2" t="s">
        <v>31</v>
      </c>
      <c r="N338" s="2" t="s">
        <v>495</v>
      </c>
      <c r="O338" s="2" t="s">
        <v>160</v>
      </c>
      <c r="P338" s="2" t="s">
        <v>1969</v>
      </c>
      <c r="Q338" s="2" t="s">
        <v>446</v>
      </c>
      <c r="R338" s="2" t="s">
        <v>440</v>
      </c>
      <c r="S338" s="2" t="s">
        <v>34</v>
      </c>
      <c r="T338" s="123">
        <v>5.9409999999999998</v>
      </c>
      <c r="U338" s="2" t="s">
        <v>1970</v>
      </c>
      <c r="V338" s="136">
        <v>4.9399999999999999E-2</v>
      </c>
      <c r="W338" s="138">
        <v>5.2420000000000001E-2</v>
      </c>
      <c r="X338" s="3" t="s">
        <v>445</v>
      </c>
      <c r="Y338" s="3" t="s">
        <v>160</v>
      </c>
      <c r="Z338" s="123">
        <v>3907828</v>
      </c>
      <c r="AA338" s="132">
        <v>1</v>
      </c>
      <c r="AB338" s="149">
        <v>99.91</v>
      </c>
      <c r="AC338" s="2"/>
      <c r="AD338" s="123">
        <v>3904.3110000000001</v>
      </c>
      <c r="AE338" s="2"/>
      <c r="AF338" s="2"/>
      <c r="AG338" s="2" t="s">
        <v>36</v>
      </c>
      <c r="AH338" s="138">
        <v>2.0999999999999999E-3</v>
      </c>
      <c r="AI338" s="138">
        <v>1.3758543215186299E-2</v>
      </c>
      <c r="AJ338" s="138">
        <v>2.0705164847044798E-3</v>
      </c>
    </row>
    <row r="339" spans="1:36">
      <c r="A339" s="2">
        <v>161</v>
      </c>
      <c r="B339" s="2">
        <v>9943</v>
      </c>
      <c r="C339" s="2" t="s">
        <v>1974</v>
      </c>
      <c r="D339" s="2" t="s">
        <v>1975</v>
      </c>
      <c r="E339" s="3" t="s">
        <v>1351</v>
      </c>
      <c r="F339" s="2" t="s">
        <v>1976</v>
      </c>
      <c r="G339" s="2" t="s">
        <v>1977</v>
      </c>
      <c r="H339" s="2" t="s">
        <v>209</v>
      </c>
      <c r="I339" s="2" t="s">
        <v>998</v>
      </c>
      <c r="J339" s="2" t="s">
        <v>30</v>
      </c>
      <c r="K339" s="2" t="s">
        <v>30</v>
      </c>
      <c r="L339" s="2" t="s">
        <v>361</v>
      </c>
      <c r="M339" s="2" t="s">
        <v>31</v>
      </c>
      <c r="N339" s="2" t="s">
        <v>482</v>
      </c>
      <c r="O339" s="2" t="s">
        <v>160</v>
      </c>
      <c r="P339" s="2" t="s">
        <v>1965</v>
      </c>
      <c r="Q339" s="2" t="s">
        <v>446</v>
      </c>
      <c r="R339" s="2" t="s">
        <v>440</v>
      </c>
      <c r="S339" s="2" t="s">
        <v>34</v>
      </c>
      <c r="T339" s="123">
        <v>2.7559999999999998</v>
      </c>
      <c r="U339" s="2" t="s">
        <v>1978</v>
      </c>
      <c r="V339" s="136">
        <v>0.04</v>
      </c>
      <c r="W339" s="138">
        <v>4.7919999999999997E-2</v>
      </c>
      <c r="X339" s="3" t="s">
        <v>445</v>
      </c>
      <c r="Y339" s="3" t="s">
        <v>160</v>
      </c>
      <c r="Z339" s="123">
        <v>56913.440000000002</v>
      </c>
      <c r="AA339" s="132">
        <v>1</v>
      </c>
      <c r="AB339" s="149">
        <v>99.88</v>
      </c>
      <c r="AC339" s="2"/>
      <c r="AD339" s="123">
        <v>56.844999999999999</v>
      </c>
      <c r="AE339" s="2"/>
      <c r="AF339" s="2"/>
      <c r="AG339" s="2" t="s">
        <v>36</v>
      </c>
      <c r="AH339" s="138">
        <v>9.7999999999999997E-5</v>
      </c>
      <c r="AI339" s="138">
        <v>2.00318667644765E-4</v>
      </c>
      <c r="AJ339" s="138">
        <v>3.0145858981256001E-5</v>
      </c>
    </row>
    <row r="340" spans="1:36">
      <c r="A340" s="2">
        <v>161</v>
      </c>
      <c r="B340" s="2">
        <v>9943</v>
      </c>
      <c r="C340" s="2" t="s">
        <v>1630</v>
      </c>
      <c r="D340" s="2" t="s">
        <v>1631</v>
      </c>
      <c r="E340" s="3" t="s">
        <v>1351</v>
      </c>
      <c r="F340" s="2" t="s">
        <v>2272</v>
      </c>
      <c r="G340" s="2" t="s">
        <v>2273</v>
      </c>
      <c r="H340" s="2" t="s">
        <v>209</v>
      </c>
      <c r="I340" s="2" t="s">
        <v>788</v>
      </c>
      <c r="J340" s="2" t="s">
        <v>30</v>
      </c>
      <c r="K340" s="2" t="s">
        <v>30</v>
      </c>
      <c r="L340" s="2" t="s">
        <v>361</v>
      </c>
      <c r="M340" s="2" t="s">
        <v>31</v>
      </c>
      <c r="N340" s="2" t="s">
        <v>495</v>
      </c>
      <c r="O340" s="2" t="s">
        <v>160</v>
      </c>
      <c r="P340" s="2" t="s">
        <v>1956</v>
      </c>
      <c r="Q340" s="2" t="s">
        <v>446</v>
      </c>
      <c r="R340" s="2" t="s">
        <v>440</v>
      </c>
      <c r="S340" s="2" t="s">
        <v>34</v>
      </c>
      <c r="T340" s="123">
        <v>1.962</v>
      </c>
      <c r="U340" s="2" t="s">
        <v>2274</v>
      </c>
      <c r="V340" s="136">
        <v>3.2000000000000001E-2</v>
      </c>
      <c r="W340" s="138">
        <v>2.8170000000000001E-2</v>
      </c>
      <c r="X340" s="3" t="s">
        <v>445</v>
      </c>
      <c r="Y340" s="3" t="s">
        <v>160</v>
      </c>
      <c r="Z340" s="123">
        <v>1406250</v>
      </c>
      <c r="AA340" s="132">
        <v>1</v>
      </c>
      <c r="AB340" s="149">
        <v>117.65</v>
      </c>
      <c r="AC340" s="123">
        <v>617.57100000000003</v>
      </c>
      <c r="AD340" s="123">
        <v>2272.0239999999999</v>
      </c>
      <c r="AE340" s="2"/>
      <c r="AF340" s="2"/>
      <c r="AG340" s="2" t="s">
        <v>36</v>
      </c>
      <c r="AH340" s="138">
        <v>3.3960000000000001E-3</v>
      </c>
      <c r="AI340" s="138">
        <v>8.0064681793339705E-3</v>
      </c>
      <c r="AJ340" s="138">
        <v>1.20488950685382E-3</v>
      </c>
    </row>
    <row r="341" spans="1:36">
      <c r="A341" s="2">
        <v>161</v>
      </c>
      <c r="B341" s="2">
        <v>9943</v>
      </c>
      <c r="C341" s="2" t="s">
        <v>1630</v>
      </c>
      <c r="D341" s="2" t="s">
        <v>1631</v>
      </c>
      <c r="E341" s="3" t="s">
        <v>1351</v>
      </c>
      <c r="F341" s="2" t="s">
        <v>1979</v>
      </c>
      <c r="G341" s="2" t="s">
        <v>1980</v>
      </c>
      <c r="H341" s="2" t="s">
        <v>209</v>
      </c>
      <c r="I341" s="2" t="s">
        <v>788</v>
      </c>
      <c r="J341" s="2" t="s">
        <v>30</v>
      </c>
      <c r="K341" s="2" t="s">
        <v>30</v>
      </c>
      <c r="L341" s="2" t="s">
        <v>361</v>
      </c>
      <c r="M341" s="2" t="s">
        <v>31</v>
      </c>
      <c r="N341" s="2" t="s">
        <v>495</v>
      </c>
      <c r="O341" s="2" t="s">
        <v>160</v>
      </c>
      <c r="P341" s="2" t="s">
        <v>1956</v>
      </c>
      <c r="Q341" s="2" t="s">
        <v>446</v>
      </c>
      <c r="R341" s="2" t="s">
        <v>440</v>
      </c>
      <c r="S341" s="2" t="s">
        <v>34</v>
      </c>
      <c r="T341" s="123">
        <v>2.5790000000000002</v>
      </c>
      <c r="U341" s="2" t="s">
        <v>1981</v>
      </c>
      <c r="V341" s="136">
        <v>1.14E-2</v>
      </c>
      <c r="W341" s="138">
        <v>2.819E-2</v>
      </c>
      <c r="X341" s="3" t="s">
        <v>445</v>
      </c>
      <c r="Y341" s="3" t="s">
        <v>160</v>
      </c>
      <c r="Z341" s="123">
        <v>2250000</v>
      </c>
      <c r="AA341" s="132">
        <v>1</v>
      </c>
      <c r="AB341" s="149">
        <v>111.43</v>
      </c>
      <c r="AC341" s="2"/>
      <c r="AD341" s="123">
        <v>2507.1750000000002</v>
      </c>
      <c r="AE341" s="2"/>
      <c r="AF341" s="2"/>
      <c r="AG341" s="2" t="s">
        <v>36</v>
      </c>
      <c r="AH341" s="138">
        <v>9.5200000000000005E-4</v>
      </c>
      <c r="AI341" s="138">
        <v>8.8351250668510899E-3</v>
      </c>
      <c r="AJ341" s="138">
        <v>1.3295936793038701E-3</v>
      </c>
    </row>
    <row r="342" spans="1:36">
      <c r="A342" s="2">
        <v>161</v>
      </c>
      <c r="B342" s="2">
        <v>9943</v>
      </c>
      <c r="C342" s="2" t="s">
        <v>1630</v>
      </c>
      <c r="D342" s="2" t="s">
        <v>1631</v>
      </c>
      <c r="E342" s="3" t="s">
        <v>1351</v>
      </c>
      <c r="F342" s="2" t="s">
        <v>1982</v>
      </c>
      <c r="G342" s="2" t="s">
        <v>1983</v>
      </c>
      <c r="H342" s="2" t="s">
        <v>209</v>
      </c>
      <c r="I342" s="2" t="s">
        <v>998</v>
      </c>
      <c r="J342" s="2" t="s">
        <v>30</v>
      </c>
      <c r="K342" s="2" t="s">
        <v>30</v>
      </c>
      <c r="L342" s="2" t="s">
        <v>361</v>
      </c>
      <c r="M342" s="2" t="s">
        <v>31</v>
      </c>
      <c r="N342" s="2" t="s">
        <v>495</v>
      </c>
      <c r="O342" s="2" t="s">
        <v>160</v>
      </c>
      <c r="P342" s="2" t="s">
        <v>1956</v>
      </c>
      <c r="Q342" s="2" t="s">
        <v>446</v>
      </c>
      <c r="R342" s="2" t="s">
        <v>440</v>
      </c>
      <c r="S342" s="2" t="s">
        <v>34</v>
      </c>
      <c r="T342" s="123">
        <v>4.6719999999999997</v>
      </c>
      <c r="U342" s="2" t="s">
        <v>1984</v>
      </c>
      <c r="V342" s="136">
        <v>2.4400000000000002E-2</v>
      </c>
      <c r="W342" s="138">
        <v>4.7059999999999998E-2</v>
      </c>
      <c r="X342" s="3" t="s">
        <v>445</v>
      </c>
      <c r="Y342" s="3" t="s">
        <v>160</v>
      </c>
      <c r="Z342" s="123">
        <v>1714784</v>
      </c>
      <c r="AA342" s="132">
        <v>1</v>
      </c>
      <c r="AB342" s="149">
        <v>91.3</v>
      </c>
      <c r="AC342" s="2"/>
      <c r="AD342" s="123">
        <v>1565.598</v>
      </c>
      <c r="AE342" s="2"/>
      <c r="AF342" s="2"/>
      <c r="AG342" s="2" t="s">
        <v>36</v>
      </c>
      <c r="AH342" s="138">
        <v>1.4109999999999999E-3</v>
      </c>
      <c r="AI342" s="138">
        <v>5.5170669365743998E-3</v>
      </c>
      <c r="AJ342" s="138">
        <v>8.3026072315466504E-4</v>
      </c>
    </row>
    <row r="343" spans="1:36">
      <c r="A343" s="2">
        <v>161</v>
      </c>
      <c r="B343" s="2">
        <v>9943</v>
      </c>
      <c r="C343" s="2" t="s">
        <v>1630</v>
      </c>
      <c r="D343" s="2" t="s">
        <v>1631</v>
      </c>
      <c r="E343" s="3" t="s">
        <v>1351</v>
      </c>
      <c r="F343" s="2" t="s">
        <v>1985</v>
      </c>
      <c r="G343" s="2" t="s">
        <v>1986</v>
      </c>
      <c r="H343" s="2" t="s">
        <v>209</v>
      </c>
      <c r="I343" s="2" t="s">
        <v>788</v>
      </c>
      <c r="J343" s="2" t="s">
        <v>30</v>
      </c>
      <c r="K343" s="2" t="s">
        <v>30</v>
      </c>
      <c r="L343" s="2" t="s">
        <v>361</v>
      </c>
      <c r="M343" s="2" t="s">
        <v>31</v>
      </c>
      <c r="N343" s="2" t="s">
        <v>495</v>
      </c>
      <c r="O343" s="2" t="s">
        <v>160</v>
      </c>
      <c r="P343" s="2" t="s">
        <v>1956</v>
      </c>
      <c r="Q343" s="2" t="s">
        <v>446</v>
      </c>
      <c r="R343" s="2" t="s">
        <v>440</v>
      </c>
      <c r="S343" s="2" t="s">
        <v>34</v>
      </c>
      <c r="T343" s="123">
        <v>4.8689999999999998</v>
      </c>
      <c r="U343" s="2" t="s">
        <v>1984</v>
      </c>
      <c r="V343" s="136">
        <v>9.1999999999999998E-3</v>
      </c>
      <c r="W343" s="138">
        <v>2.8469999999999999E-2</v>
      </c>
      <c r="X343" s="3" t="s">
        <v>445</v>
      </c>
      <c r="Y343" s="3" t="s">
        <v>160</v>
      </c>
      <c r="Z343" s="123">
        <v>903251</v>
      </c>
      <c r="AA343" s="132">
        <v>1</v>
      </c>
      <c r="AB343" s="149">
        <v>107.4</v>
      </c>
      <c r="AC343" s="2"/>
      <c r="AD343" s="123">
        <v>970.09199999999998</v>
      </c>
      <c r="AE343" s="2"/>
      <c r="AF343" s="2"/>
      <c r="AG343" s="2" t="s">
        <v>36</v>
      </c>
      <c r="AH343" s="138">
        <v>3.4900000000000003E-4</v>
      </c>
      <c r="AI343" s="138">
        <v>3.41854094053603E-3</v>
      </c>
      <c r="AJ343" s="138">
        <v>5.1445456545169102E-4</v>
      </c>
    </row>
    <row r="344" spans="1:36">
      <c r="A344" s="2">
        <v>161</v>
      </c>
      <c r="B344" s="2">
        <v>9943</v>
      </c>
      <c r="C344" s="2" t="s">
        <v>1634</v>
      </c>
      <c r="D344" s="2" t="s">
        <v>1635</v>
      </c>
      <c r="E344" s="3" t="s">
        <v>1351</v>
      </c>
      <c r="F344" s="2" t="s">
        <v>1987</v>
      </c>
      <c r="G344" s="2" t="s">
        <v>1988</v>
      </c>
      <c r="H344" s="2" t="s">
        <v>209</v>
      </c>
      <c r="I344" s="2" t="s">
        <v>998</v>
      </c>
      <c r="J344" s="2" t="s">
        <v>30</v>
      </c>
      <c r="K344" s="2" t="s">
        <v>86</v>
      </c>
      <c r="L344" s="2" t="s">
        <v>361</v>
      </c>
      <c r="M344" s="2" t="s">
        <v>31</v>
      </c>
      <c r="N344" s="2" t="s">
        <v>472</v>
      </c>
      <c r="O344" s="2" t="s">
        <v>160</v>
      </c>
      <c r="P344" s="2" t="s">
        <v>1989</v>
      </c>
      <c r="Q344" s="2" t="s">
        <v>448</v>
      </c>
      <c r="R344" s="2" t="s">
        <v>440</v>
      </c>
      <c r="S344" s="2" t="s">
        <v>34</v>
      </c>
      <c r="T344" s="123">
        <v>1.01</v>
      </c>
      <c r="U344" s="2" t="s">
        <v>1990</v>
      </c>
      <c r="V344" s="136">
        <v>3.4500000000000003E-2</v>
      </c>
      <c r="W344" s="138">
        <v>4.7660000000000001E-2</v>
      </c>
      <c r="X344" s="3" t="s">
        <v>445</v>
      </c>
      <c r="Y344" s="3" t="s">
        <v>160</v>
      </c>
      <c r="Z344" s="123">
        <v>67876.759999999995</v>
      </c>
      <c r="AA344" s="132">
        <v>1</v>
      </c>
      <c r="AB344" s="149">
        <v>99.89</v>
      </c>
      <c r="AC344" s="2"/>
      <c r="AD344" s="123">
        <v>67.802000000000007</v>
      </c>
      <c r="AE344" s="2"/>
      <c r="AF344" s="2"/>
      <c r="AG344" s="2" t="s">
        <v>36</v>
      </c>
      <c r="AH344" s="138">
        <v>1.06E-4</v>
      </c>
      <c r="AI344" s="138">
        <v>2.3893026777250501E-4</v>
      </c>
      <c r="AJ344" s="138">
        <v>3.5956499927389002E-5</v>
      </c>
    </row>
    <row r="345" spans="1:36">
      <c r="A345" s="2">
        <v>161</v>
      </c>
      <c r="B345" s="2">
        <v>9943</v>
      </c>
      <c r="C345" s="2" t="s">
        <v>1634</v>
      </c>
      <c r="D345" s="2" t="s">
        <v>1635</v>
      </c>
      <c r="E345" s="3" t="s">
        <v>1351</v>
      </c>
      <c r="F345" s="2" t="s">
        <v>1991</v>
      </c>
      <c r="G345" s="2" t="s">
        <v>1992</v>
      </c>
      <c r="H345" s="2" t="s">
        <v>209</v>
      </c>
      <c r="I345" s="2" t="s">
        <v>998</v>
      </c>
      <c r="J345" s="2" t="s">
        <v>30</v>
      </c>
      <c r="K345" s="2" t="s">
        <v>86</v>
      </c>
      <c r="L345" s="2" t="s">
        <v>361</v>
      </c>
      <c r="M345" s="2" t="s">
        <v>31</v>
      </c>
      <c r="N345" s="2" t="s">
        <v>472</v>
      </c>
      <c r="O345" s="2" t="s">
        <v>160</v>
      </c>
      <c r="P345" s="2" t="s">
        <v>1989</v>
      </c>
      <c r="Q345" s="2" t="s">
        <v>448</v>
      </c>
      <c r="R345" s="2" t="s">
        <v>440</v>
      </c>
      <c r="S345" s="2" t="s">
        <v>34</v>
      </c>
      <c r="T345" s="123">
        <v>3.0470000000000002</v>
      </c>
      <c r="U345" s="2" t="s">
        <v>1993</v>
      </c>
      <c r="V345" s="136">
        <v>1.4999999999999999E-2</v>
      </c>
      <c r="W345" s="138">
        <v>5.0639999999999998E-2</v>
      </c>
      <c r="X345" s="3" t="s">
        <v>445</v>
      </c>
      <c r="Y345" s="3" t="s">
        <v>160</v>
      </c>
      <c r="Z345" s="123">
        <v>90686</v>
      </c>
      <c r="AA345" s="132">
        <v>1</v>
      </c>
      <c r="AB345" s="149">
        <v>90.42</v>
      </c>
      <c r="AC345" s="2"/>
      <c r="AD345" s="123">
        <v>81.998000000000005</v>
      </c>
      <c r="AE345" s="2"/>
      <c r="AF345" s="2"/>
      <c r="AG345" s="2" t="s">
        <v>36</v>
      </c>
      <c r="AH345" s="138">
        <v>7.7000000000000001E-5</v>
      </c>
      <c r="AI345" s="138">
        <v>2.88956722075174E-4</v>
      </c>
      <c r="AJ345" s="138">
        <v>4.3484956733096602E-5</v>
      </c>
    </row>
    <row r="346" spans="1:36">
      <c r="A346" s="2">
        <v>161</v>
      </c>
      <c r="B346" s="2">
        <v>9943</v>
      </c>
      <c r="C346" s="2" t="s">
        <v>2375</v>
      </c>
      <c r="D346" s="2" t="s">
        <v>2376</v>
      </c>
      <c r="E346" s="3" t="s">
        <v>1351</v>
      </c>
      <c r="F346" s="2" t="s">
        <v>2377</v>
      </c>
      <c r="G346" s="2" t="s">
        <v>2378</v>
      </c>
      <c r="H346" s="2" t="s">
        <v>209</v>
      </c>
      <c r="I346" s="2" t="s">
        <v>788</v>
      </c>
      <c r="J346" s="2" t="s">
        <v>30</v>
      </c>
      <c r="K346" s="2" t="s">
        <v>30</v>
      </c>
      <c r="L346" s="2" t="s">
        <v>361</v>
      </c>
      <c r="M346" s="2" t="s">
        <v>31</v>
      </c>
      <c r="N346" s="2" t="s">
        <v>496</v>
      </c>
      <c r="O346" s="2" t="s">
        <v>160</v>
      </c>
      <c r="P346" s="2" t="s">
        <v>1965</v>
      </c>
      <c r="Q346" s="2" t="s">
        <v>446</v>
      </c>
      <c r="R346" s="2" t="s">
        <v>440</v>
      </c>
      <c r="S346" s="2" t="s">
        <v>34</v>
      </c>
      <c r="T346" s="123">
        <v>1.0569999999999999</v>
      </c>
      <c r="U346" s="2" t="s">
        <v>2379</v>
      </c>
      <c r="V346" s="136">
        <v>2.5700000000000001E-2</v>
      </c>
      <c r="W346" s="138">
        <v>3.1800000000000002E-2</v>
      </c>
      <c r="X346" s="3" t="s">
        <v>445</v>
      </c>
      <c r="Y346" s="3" t="s">
        <v>160</v>
      </c>
      <c r="Z346" s="123">
        <v>1085059.3500000001</v>
      </c>
      <c r="AA346" s="132">
        <v>1</v>
      </c>
      <c r="AB346" s="149">
        <v>118.01</v>
      </c>
      <c r="AC346" s="2"/>
      <c r="AD346" s="123">
        <v>1280.479</v>
      </c>
      <c r="AE346" s="2"/>
      <c r="AF346" s="2"/>
      <c r="AG346" s="2" t="s">
        <v>36</v>
      </c>
      <c r="AH346" s="138">
        <v>1.0269999999999999E-3</v>
      </c>
      <c r="AI346" s="138">
        <v>4.5123248424659103E-3</v>
      </c>
      <c r="AJ346" s="138">
        <v>6.7905757350493403E-4</v>
      </c>
    </row>
    <row r="347" spans="1:36">
      <c r="A347" s="2">
        <v>161</v>
      </c>
      <c r="B347" s="2">
        <v>9943</v>
      </c>
      <c r="C347" s="2" t="s">
        <v>2375</v>
      </c>
      <c r="D347" s="2" t="s">
        <v>2376</v>
      </c>
      <c r="E347" s="3" t="s">
        <v>1351</v>
      </c>
      <c r="F347" s="2" t="s">
        <v>2380</v>
      </c>
      <c r="G347" s="2" t="s">
        <v>2381</v>
      </c>
      <c r="H347" s="2" t="s">
        <v>209</v>
      </c>
      <c r="I347" s="2" t="s">
        <v>788</v>
      </c>
      <c r="J347" s="2" t="s">
        <v>30</v>
      </c>
      <c r="K347" s="2" t="s">
        <v>30</v>
      </c>
      <c r="L347" s="2" t="s">
        <v>361</v>
      </c>
      <c r="M347" s="2" t="s">
        <v>31</v>
      </c>
      <c r="N347" s="2" t="s">
        <v>496</v>
      </c>
      <c r="O347" s="2" t="s">
        <v>160</v>
      </c>
      <c r="P347" s="2" t="s">
        <v>1965</v>
      </c>
      <c r="Q347" s="2" t="s">
        <v>446</v>
      </c>
      <c r="R347" s="2" t="s">
        <v>440</v>
      </c>
      <c r="S347" s="2" t="s">
        <v>34</v>
      </c>
      <c r="T347" s="123">
        <v>3.4340000000000002</v>
      </c>
      <c r="U347" s="2" t="s">
        <v>2144</v>
      </c>
      <c r="V347" s="136">
        <v>1.09E-2</v>
      </c>
      <c r="W347" s="138">
        <v>3.0700000000000002E-2</v>
      </c>
      <c r="X347" s="3" t="s">
        <v>445</v>
      </c>
      <c r="Y347" s="3" t="s">
        <v>160</v>
      </c>
      <c r="Z347" s="123">
        <v>77969</v>
      </c>
      <c r="AA347" s="132">
        <v>1</v>
      </c>
      <c r="AB347" s="149">
        <v>107.99</v>
      </c>
      <c r="AC347" s="2"/>
      <c r="AD347" s="123">
        <v>84.198999999999998</v>
      </c>
      <c r="AE347" s="2"/>
      <c r="AF347" s="2"/>
      <c r="AG347" s="2" t="s">
        <v>36</v>
      </c>
      <c r="AH347" s="138">
        <v>1.1E-4</v>
      </c>
      <c r="AI347" s="138">
        <v>2.96710939227483E-4</v>
      </c>
      <c r="AJ347" s="138">
        <v>4.46518851054342E-5</v>
      </c>
    </row>
    <row r="348" spans="1:36">
      <c r="A348" s="2">
        <v>161</v>
      </c>
      <c r="B348" s="2">
        <v>9943</v>
      </c>
      <c r="C348" s="2" t="s">
        <v>2382</v>
      </c>
      <c r="D348" s="2" t="s">
        <v>2383</v>
      </c>
      <c r="E348" s="3" t="s">
        <v>1351</v>
      </c>
      <c r="F348" s="2" t="s">
        <v>2384</v>
      </c>
      <c r="G348" s="2" t="s">
        <v>2385</v>
      </c>
      <c r="H348" s="2" t="s">
        <v>209</v>
      </c>
      <c r="I348" s="2" t="s">
        <v>998</v>
      </c>
      <c r="J348" s="2" t="s">
        <v>30</v>
      </c>
      <c r="K348" s="2" t="s">
        <v>30</v>
      </c>
      <c r="L348" s="2" t="s">
        <v>361</v>
      </c>
      <c r="M348" s="2" t="s">
        <v>31</v>
      </c>
      <c r="N348" s="2" t="s">
        <v>478</v>
      </c>
      <c r="O348" s="2" t="s">
        <v>160</v>
      </c>
      <c r="P348" s="2" t="s">
        <v>211</v>
      </c>
      <c r="Q348" s="2" t="s">
        <v>211</v>
      </c>
      <c r="R348" s="2" t="s">
        <v>211</v>
      </c>
      <c r="S348" s="2" t="s">
        <v>34</v>
      </c>
      <c r="T348" s="123">
        <v>1.4359999999999999</v>
      </c>
      <c r="U348" s="2" t="s">
        <v>2282</v>
      </c>
      <c r="V348" s="136">
        <v>8.5000000000000006E-2</v>
      </c>
      <c r="W348" s="138">
        <v>5.4870000000000002E-2</v>
      </c>
      <c r="X348" s="3" t="s">
        <v>445</v>
      </c>
      <c r="Y348" s="3" t="s">
        <v>160</v>
      </c>
      <c r="Z348" s="123">
        <v>68588</v>
      </c>
      <c r="AA348" s="132">
        <v>1</v>
      </c>
      <c r="AB348" s="149">
        <v>104.4</v>
      </c>
      <c r="AC348" s="2"/>
      <c r="AD348" s="123">
        <v>71.605999999999995</v>
      </c>
      <c r="AE348" s="2"/>
      <c r="AF348" s="2"/>
      <c r="AG348" s="2" t="s">
        <v>36</v>
      </c>
      <c r="AH348" s="138">
        <v>5.2800000000000004E-4</v>
      </c>
      <c r="AI348" s="138">
        <v>2.5233453374452498E-4</v>
      </c>
      <c r="AJ348" s="138">
        <v>3.7973701401873401E-5</v>
      </c>
    </row>
    <row r="349" spans="1:36">
      <c r="A349" s="2">
        <v>161</v>
      </c>
      <c r="B349" s="2">
        <v>9943</v>
      </c>
      <c r="C349" s="2" t="s">
        <v>2386</v>
      </c>
      <c r="D349" s="2" t="s">
        <v>2387</v>
      </c>
      <c r="E349" s="3" t="s">
        <v>1351</v>
      </c>
      <c r="F349" s="2" t="s">
        <v>2388</v>
      </c>
      <c r="G349" s="2" t="s">
        <v>2389</v>
      </c>
      <c r="H349" s="2" t="s">
        <v>209</v>
      </c>
      <c r="I349" s="2" t="s">
        <v>788</v>
      </c>
      <c r="J349" s="2" t="s">
        <v>30</v>
      </c>
      <c r="K349" s="2" t="s">
        <v>30</v>
      </c>
      <c r="L349" s="2" t="s">
        <v>361</v>
      </c>
      <c r="M349" s="2" t="s">
        <v>31</v>
      </c>
      <c r="N349" s="2" t="s">
        <v>482</v>
      </c>
      <c r="O349" s="2" t="s">
        <v>160</v>
      </c>
      <c r="P349" s="2" t="s">
        <v>2013</v>
      </c>
      <c r="Q349" s="2" t="s">
        <v>446</v>
      </c>
      <c r="R349" s="2" t="s">
        <v>440</v>
      </c>
      <c r="S349" s="2" t="s">
        <v>34</v>
      </c>
      <c r="T349" s="123">
        <v>2.2010000000000001</v>
      </c>
      <c r="U349" s="2" t="s">
        <v>2390</v>
      </c>
      <c r="V349" s="136">
        <v>2.8799999999999999E-2</v>
      </c>
      <c r="W349" s="138">
        <v>3.0429999999999999E-2</v>
      </c>
      <c r="X349" s="3" t="s">
        <v>445</v>
      </c>
      <c r="Y349" s="3" t="s">
        <v>160</v>
      </c>
      <c r="Z349" s="123">
        <v>109286.71</v>
      </c>
      <c r="AA349" s="132">
        <v>1</v>
      </c>
      <c r="AB349" s="149">
        <v>117.53</v>
      </c>
      <c r="AC349" s="2"/>
      <c r="AD349" s="123">
        <v>128.44499999999999</v>
      </c>
      <c r="AE349" s="2"/>
      <c r="AF349" s="2"/>
      <c r="AG349" s="2" t="s">
        <v>36</v>
      </c>
      <c r="AH349" s="138">
        <v>4.8099999999999998E-4</v>
      </c>
      <c r="AI349" s="138">
        <v>4.52630839867203E-4</v>
      </c>
      <c r="AJ349" s="138">
        <v>6.8116195208533403E-5</v>
      </c>
    </row>
    <row r="350" spans="1:36">
      <c r="A350" s="2">
        <v>161</v>
      </c>
      <c r="B350" s="2">
        <v>9943</v>
      </c>
      <c r="C350" s="2" t="s">
        <v>2391</v>
      </c>
      <c r="D350" s="2" t="s">
        <v>2392</v>
      </c>
      <c r="E350" s="3" t="s">
        <v>1351</v>
      </c>
      <c r="F350" s="2" t="s">
        <v>2393</v>
      </c>
      <c r="G350" s="2" t="s">
        <v>2394</v>
      </c>
      <c r="H350" s="2" t="s">
        <v>209</v>
      </c>
      <c r="I350" s="2" t="s">
        <v>998</v>
      </c>
      <c r="J350" s="2" t="s">
        <v>30</v>
      </c>
      <c r="K350" s="2" t="s">
        <v>30</v>
      </c>
      <c r="L350" s="2" t="s">
        <v>361</v>
      </c>
      <c r="M350" s="2" t="s">
        <v>31</v>
      </c>
      <c r="N350" s="2" t="s">
        <v>482</v>
      </c>
      <c r="O350" s="2" t="s">
        <v>160</v>
      </c>
      <c r="P350" s="2" t="s">
        <v>1956</v>
      </c>
      <c r="Q350" s="2" t="s">
        <v>446</v>
      </c>
      <c r="R350" s="2" t="s">
        <v>440</v>
      </c>
      <c r="S350" s="2" t="s">
        <v>34</v>
      </c>
      <c r="T350" s="123">
        <v>2.1859999999999999</v>
      </c>
      <c r="U350" s="2" t="s">
        <v>2395</v>
      </c>
      <c r="V350" s="136">
        <v>1.6400000000000001E-2</v>
      </c>
      <c r="W350" s="138">
        <v>4.7849999999999997E-2</v>
      </c>
      <c r="X350" s="3" t="s">
        <v>445</v>
      </c>
      <c r="Y350" s="3" t="s">
        <v>160</v>
      </c>
      <c r="Z350" s="123">
        <v>1788174</v>
      </c>
      <c r="AA350" s="132">
        <v>1</v>
      </c>
      <c r="AB350" s="149">
        <v>93.91</v>
      </c>
      <c r="AC350" s="2"/>
      <c r="AD350" s="123">
        <v>1679.2739999999999</v>
      </c>
      <c r="AE350" s="2"/>
      <c r="AF350" s="2"/>
      <c r="AG350" s="2" t="s">
        <v>36</v>
      </c>
      <c r="AH350" s="138">
        <v>5.7120000000000001E-3</v>
      </c>
      <c r="AI350" s="138">
        <v>5.9176553725111799E-3</v>
      </c>
      <c r="AJ350" s="138">
        <v>8.9054508227733801E-4</v>
      </c>
    </row>
    <row r="351" spans="1:36">
      <c r="A351" s="2">
        <v>161</v>
      </c>
      <c r="B351" s="2">
        <v>9943</v>
      </c>
      <c r="C351" s="2" t="s">
        <v>1952</v>
      </c>
      <c r="D351" s="2" t="s">
        <v>1953</v>
      </c>
      <c r="E351" s="3" t="s">
        <v>1351</v>
      </c>
      <c r="F351" s="2" t="s">
        <v>1994</v>
      </c>
      <c r="G351" s="2" t="s">
        <v>1995</v>
      </c>
      <c r="H351" s="2" t="s">
        <v>209</v>
      </c>
      <c r="I351" s="2" t="s">
        <v>788</v>
      </c>
      <c r="J351" s="2" t="s">
        <v>30</v>
      </c>
      <c r="K351" s="2" t="s">
        <v>30</v>
      </c>
      <c r="L351" s="2" t="s">
        <v>361</v>
      </c>
      <c r="M351" s="2" t="s">
        <v>31</v>
      </c>
      <c r="N351" s="2" t="s">
        <v>495</v>
      </c>
      <c r="O351" s="2" t="s">
        <v>160</v>
      </c>
      <c r="P351" s="2" t="s">
        <v>1956</v>
      </c>
      <c r="Q351" s="2" t="s">
        <v>446</v>
      </c>
      <c r="R351" s="2" t="s">
        <v>440</v>
      </c>
      <c r="S351" s="2" t="s">
        <v>34</v>
      </c>
      <c r="T351" s="123">
        <v>4.6710000000000003</v>
      </c>
      <c r="U351" s="2" t="s">
        <v>1996</v>
      </c>
      <c r="V351" s="136">
        <v>6.4999999999999997E-3</v>
      </c>
      <c r="W351" s="138">
        <v>2.8320000000000001E-2</v>
      </c>
      <c r="X351" s="3" t="s">
        <v>445</v>
      </c>
      <c r="Y351" s="3" t="s">
        <v>160</v>
      </c>
      <c r="Z351" s="123">
        <v>204428.13</v>
      </c>
      <c r="AA351" s="132">
        <v>1</v>
      </c>
      <c r="AB351" s="149">
        <v>105.26</v>
      </c>
      <c r="AC351" s="2"/>
      <c r="AD351" s="123">
        <v>215.18100000000001</v>
      </c>
      <c r="AE351" s="2"/>
      <c r="AF351" s="2"/>
      <c r="AG351" s="2" t="s">
        <v>36</v>
      </c>
      <c r="AH351" s="138">
        <v>9.1000000000000003E-5</v>
      </c>
      <c r="AI351" s="138">
        <v>7.5828431823387796E-4</v>
      </c>
      <c r="AJ351" s="138">
        <v>1.14113838684837E-4</v>
      </c>
    </row>
    <row r="352" spans="1:36">
      <c r="A352" s="2">
        <v>161</v>
      </c>
      <c r="B352" s="2">
        <v>9943</v>
      </c>
      <c r="C352" s="2" t="s">
        <v>2396</v>
      </c>
      <c r="D352" s="2" t="s">
        <v>2397</v>
      </c>
      <c r="E352" s="3" t="s">
        <v>1351</v>
      </c>
      <c r="F352" s="2" t="s">
        <v>2398</v>
      </c>
      <c r="G352" s="2" t="s">
        <v>2399</v>
      </c>
      <c r="H352" s="2" t="s">
        <v>209</v>
      </c>
      <c r="I352" s="2" t="s">
        <v>788</v>
      </c>
      <c r="J352" s="2" t="s">
        <v>30</v>
      </c>
      <c r="K352" s="2" t="s">
        <v>30</v>
      </c>
      <c r="L352" s="2" t="s">
        <v>361</v>
      </c>
      <c r="M352" s="2" t="s">
        <v>31</v>
      </c>
      <c r="N352" s="2" t="s">
        <v>495</v>
      </c>
      <c r="O352" s="2" t="s">
        <v>160</v>
      </c>
      <c r="P352" s="2" t="s">
        <v>1965</v>
      </c>
      <c r="Q352" s="2" t="s">
        <v>446</v>
      </c>
      <c r="R352" s="2" t="s">
        <v>440</v>
      </c>
      <c r="S352" s="2" t="s">
        <v>34</v>
      </c>
      <c r="T352" s="123">
        <v>3.4209999999999998</v>
      </c>
      <c r="U352" s="2" t="s">
        <v>2144</v>
      </c>
      <c r="V352" s="136">
        <v>1.5299999999999999E-2</v>
      </c>
      <c r="W352" s="138">
        <v>2.7949999999999999E-2</v>
      </c>
      <c r="X352" s="3" t="s">
        <v>445</v>
      </c>
      <c r="Y352" s="3" t="s">
        <v>160</v>
      </c>
      <c r="Z352" s="123">
        <v>1008792.12</v>
      </c>
      <c r="AA352" s="132">
        <v>1</v>
      </c>
      <c r="AB352" s="149">
        <v>112.31</v>
      </c>
      <c r="AC352" s="123">
        <v>44.697000000000003</v>
      </c>
      <c r="AD352" s="123">
        <v>1177.671</v>
      </c>
      <c r="AE352" s="2"/>
      <c r="AF352" s="2"/>
      <c r="AG352" s="2" t="s">
        <v>36</v>
      </c>
      <c r="AH352" s="138">
        <v>1.9589999999999998E-3</v>
      </c>
      <c r="AI352" s="138">
        <v>4.1500376209703E-3</v>
      </c>
      <c r="AJ352" s="138">
        <v>6.2453714553720402E-4</v>
      </c>
    </row>
    <row r="353" spans="1:36">
      <c r="A353" s="2">
        <v>161</v>
      </c>
      <c r="B353" s="2">
        <v>9943</v>
      </c>
      <c r="C353" s="2" t="s">
        <v>1810</v>
      </c>
      <c r="D353" s="2" t="s">
        <v>1811</v>
      </c>
      <c r="E353" s="3" t="s">
        <v>1351</v>
      </c>
      <c r="F353" s="2" t="s">
        <v>2400</v>
      </c>
      <c r="G353" s="2" t="s">
        <v>2401</v>
      </c>
      <c r="H353" s="2" t="s">
        <v>209</v>
      </c>
      <c r="I353" s="2" t="s">
        <v>788</v>
      </c>
      <c r="J353" s="2" t="s">
        <v>30</v>
      </c>
      <c r="K353" s="2" t="s">
        <v>30</v>
      </c>
      <c r="L353" s="2" t="s">
        <v>361</v>
      </c>
      <c r="M353" s="2" t="s">
        <v>31</v>
      </c>
      <c r="N353" s="2" t="s">
        <v>478</v>
      </c>
      <c r="O353" s="2" t="s">
        <v>160</v>
      </c>
      <c r="P353" s="2" t="s">
        <v>2030</v>
      </c>
      <c r="Q353" s="2" t="s">
        <v>446</v>
      </c>
      <c r="R353" s="2" t="s">
        <v>440</v>
      </c>
      <c r="S353" s="2" t="s">
        <v>34</v>
      </c>
      <c r="T353" s="123">
        <v>2.8079999999999998</v>
      </c>
      <c r="U353" s="2" t="s">
        <v>2031</v>
      </c>
      <c r="V353" s="136">
        <v>7.4999999999999997E-3</v>
      </c>
      <c r="W353" s="138">
        <v>3.0200000000000001E-2</v>
      </c>
      <c r="X353" s="3" t="s">
        <v>445</v>
      </c>
      <c r="Y353" s="3" t="s">
        <v>160</v>
      </c>
      <c r="Z353" s="123">
        <v>2386500</v>
      </c>
      <c r="AA353" s="132">
        <v>1</v>
      </c>
      <c r="AB353" s="149">
        <v>107.32</v>
      </c>
      <c r="AC353" s="2"/>
      <c r="AD353" s="123">
        <v>2561.192</v>
      </c>
      <c r="AE353" s="2"/>
      <c r="AF353" s="2"/>
      <c r="AG353" s="2" t="s">
        <v>36</v>
      </c>
      <c r="AH353" s="138">
        <v>1.676E-3</v>
      </c>
      <c r="AI353" s="138">
        <v>9.0254768307730607E-3</v>
      </c>
      <c r="AJ353" s="138">
        <v>1.3582396237857E-3</v>
      </c>
    </row>
    <row r="354" spans="1:36">
      <c r="A354" s="2">
        <v>161</v>
      </c>
      <c r="B354" s="2">
        <v>9943</v>
      </c>
      <c r="C354" s="2" t="s">
        <v>1810</v>
      </c>
      <c r="D354" s="2" t="s">
        <v>1811</v>
      </c>
      <c r="E354" s="3" t="s">
        <v>1351</v>
      </c>
      <c r="F354" s="2" t="s">
        <v>2402</v>
      </c>
      <c r="G354" s="2" t="s">
        <v>2403</v>
      </c>
      <c r="H354" s="2" t="s">
        <v>209</v>
      </c>
      <c r="I354" s="2" t="s">
        <v>788</v>
      </c>
      <c r="J354" s="2" t="s">
        <v>30</v>
      </c>
      <c r="K354" s="2" t="s">
        <v>30</v>
      </c>
      <c r="L354" s="2" t="s">
        <v>361</v>
      </c>
      <c r="M354" s="2" t="s">
        <v>31</v>
      </c>
      <c r="N354" s="2" t="s">
        <v>478</v>
      </c>
      <c r="O354" s="2" t="s">
        <v>160</v>
      </c>
      <c r="P354" s="2" t="s">
        <v>2030</v>
      </c>
      <c r="Q354" s="2" t="s">
        <v>446</v>
      </c>
      <c r="R354" s="2" t="s">
        <v>440</v>
      </c>
      <c r="S354" s="2" t="s">
        <v>34</v>
      </c>
      <c r="T354" s="123">
        <v>4.952</v>
      </c>
      <c r="U354" s="2" t="s">
        <v>2404</v>
      </c>
      <c r="V354" s="136">
        <v>4.0800000000000003E-2</v>
      </c>
      <c r="W354" s="138">
        <v>3.3570000000000003E-2</v>
      </c>
      <c r="X354" s="3" t="s">
        <v>445</v>
      </c>
      <c r="Y354" s="3" t="s">
        <v>160</v>
      </c>
      <c r="Z354" s="123">
        <v>2942763</v>
      </c>
      <c r="AA354" s="132">
        <v>1</v>
      </c>
      <c r="AB354" s="149">
        <v>109.56</v>
      </c>
      <c r="AC354" s="2"/>
      <c r="AD354" s="123">
        <v>3224.0909999999999</v>
      </c>
      <c r="AE354" s="2"/>
      <c r="AF354" s="2"/>
      <c r="AG354" s="2" t="s">
        <v>36</v>
      </c>
      <c r="AH354" s="138">
        <v>8.4080000000000005E-3</v>
      </c>
      <c r="AI354" s="138">
        <v>1.1361491907651001E-2</v>
      </c>
      <c r="AJ354" s="138">
        <v>1.7097853978946299E-3</v>
      </c>
    </row>
    <row r="355" spans="1:36">
      <c r="A355" s="2">
        <v>161</v>
      </c>
      <c r="B355" s="2">
        <v>9943</v>
      </c>
      <c r="C355" s="2" t="s">
        <v>1642</v>
      </c>
      <c r="D355" s="2" t="s">
        <v>1643</v>
      </c>
      <c r="E355" s="3" t="s">
        <v>1351</v>
      </c>
      <c r="F355" s="2" t="s">
        <v>2405</v>
      </c>
      <c r="G355" s="2" t="s">
        <v>2406</v>
      </c>
      <c r="H355" s="2" t="s">
        <v>209</v>
      </c>
      <c r="I355" s="2" t="s">
        <v>998</v>
      </c>
      <c r="J355" s="2" t="s">
        <v>30</v>
      </c>
      <c r="K355" s="2" t="s">
        <v>30</v>
      </c>
      <c r="L355" s="2" t="s">
        <v>361</v>
      </c>
      <c r="M355" s="2" t="s">
        <v>31</v>
      </c>
      <c r="N355" s="2" t="s">
        <v>516</v>
      </c>
      <c r="O355" s="2" t="s">
        <v>160</v>
      </c>
      <c r="P355" s="2" t="s">
        <v>1956</v>
      </c>
      <c r="Q355" s="2" t="s">
        <v>446</v>
      </c>
      <c r="R355" s="2" t="s">
        <v>440</v>
      </c>
      <c r="S355" s="2" t="s">
        <v>34</v>
      </c>
      <c r="T355" s="123">
        <v>7.4169999999999998</v>
      </c>
      <c r="U355" s="2" t="s">
        <v>2407</v>
      </c>
      <c r="V355" s="136">
        <v>2.7900000000000001E-2</v>
      </c>
      <c r="W355" s="138">
        <v>4.7230000000000001E-2</v>
      </c>
      <c r="X355" s="3" t="s">
        <v>445</v>
      </c>
      <c r="Y355" s="3" t="s">
        <v>160</v>
      </c>
      <c r="Z355" s="123">
        <v>3615048</v>
      </c>
      <c r="AA355" s="132">
        <v>1</v>
      </c>
      <c r="AB355" s="149">
        <v>87.32</v>
      </c>
      <c r="AC355" s="2"/>
      <c r="AD355" s="123">
        <v>3156.66</v>
      </c>
      <c r="AE355" s="2"/>
      <c r="AF355" s="2"/>
      <c r="AG355" s="2" t="s">
        <v>36</v>
      </c>
      <c r="AH355" s="138">
        <v>2.5769999999999999E-3</v>
      </c>
      <c r="AI355" s="138">
        <v>1.1123868549332E-2</v>
      </c>
      <c r="AJ355" s="138">
        <v>1.67402557413602E-3</v>
      </c>
    </row>
    <row r="356" spans="1:36">
      <c r="A356" s="2">
        <v>161</v>
      </c>
      <c r="B356" s="2">
        <v>9943</v>
      </c>
      <c r="C356" s="2" t="s">
        <v>1642</v>
      </c>
      <c r="D356" s="2" t="s">
        <v>1643</v>
      </c>
      <c r="E356" s="3" t="s">
        <v>1351</v>
      </c>
      <c r="F356" s="2" t="s">
        <v>2408</v>
      </c>
      <c r="G356" s="2" t="s">
        <v>2409</v>
      </c>
      <c r="H356" s="2" t="s">
        <v>209</v>
      </c>
      <c r="I356" s="2" t="s">
        <v>788</v>
      </c>
      <c r="J356" s="2" t="s">
        <v>30</v>
      </c>
      <c r="K356" s="2" t="s">
        <v>30</v>
      </c>
      <c r="L356" s="2" t="s">
        <v>361</v>
      </c>
      <c r="M356" s="2" t="s">
        <v>31</v>
      </c>
      <c r="N356" s="2" t="s">
        <v>516</v>
      </c>
      <c r="O356" s="2" t="s">
        <v>160</v>
      </c>
      <c r="P356" s="2" t="s">
        <v>1956</v>
      </c>
      <c r="Q356" s="2" t="s">
        <v>446</v>
      </c>
      <c r="R356" s="2" t="s">
        <v>440</v>
      </c>
      <c r="S356" s="2" t="s">
        <v>34</v>
      </c>
      <c r="T356" s="123">
        <v>7.6829999999999998</v>
      </c>
      <c r="U356" s="2" t="s">
        <v>2410</v>
      </c>
      <c r="V356" s="136">
        <v>5.7999999999999996E-3</v>
      </c>
      <c r="W356" s="138">
        <v>2.7640000000000001E-2</v>
      </c>
      <c r="X356" s="3" t="s">
        <v>445</v>
      </c>
      <c r="Y356" s="3" t="s">
        <v>160</v>
      </c>
      <c r="Z356" s="123">
        <v>1450000</v>
      </c>
      <c r="AA356" s="132">
        <v>1</v>
      </c>
      <c r="AB356" s="149">
        <v>96.89</v>
      </c>
      <c r="AC356" s="2"/>
      <c r="AD356" s="123">
        <v>1404.905</v>
      </c>
      <c r="AE356" s="2"/>
      <c r="AF356" s="2"/>
      <c r="AG356" s="2" t="s">
        <v>36</v>
      </c>
      <c r="AH356" s="138">
        <v>2.3779999999999999E-3</v>
      </c>
      <c r="AI356" s="138">
        <v>4.9507957689608499E-3</v>
      </c>
      <c r="AJ356" s="138">
        <v>7.4504285022880502E-4</v>
      </c>
    </row>
    <row r="357" spans="1:36">
      <c r="A357" s="2">
        <v>161</v>
      </c>
      <c r="B357" s="2">
        <v>9943</v>
      </c>
      <c r="C357" s="2" t="s">
        <v>2411</v>
      </c>
      <c r="D357" s="2" t="s">
        <v>2412</v>
      </c>
      <c r="E357" s="3" t="s">
        <v>1351</v>
      </c>
      <c r="F357" s="2" t="s">
        <v>2413</v>
      </c>
      <c r="G357" s="2" t="s">
        <v>2414</v>
      </c>
      <c r="H357" s="2" t="s">
        <v>209</v>
      </c>
      <c r="I357" s="2" t="s">
        <v>998</v>
      </c>
      <c r="J357" s="2" t="s">
        <v>30</v>
      </c>
      <c r="K357" s="2" t="s">
        <v>30</v>
      </c>
      <c r="L357" s="2" t="s">
        <v>361</v>
      </c>
      <c r="M357" s="2" t="s">
        <v>58</v>
      </c>
      <c r="N357" s="2" t="s">
        <v>516</v>
      </c>
      <c r="O357" s="2" t="s">
        <v>160</v>
      </c>
      <c r="P357" s="2" t="s">
        <v>1989</v>
      </c>
      <c r="Q357" s="2" t="s">
        <v>448</v>
      </c>
      <c r="R357" s="2" t="s">
        <v>440</v>
      </c>
      <c r="S357" s="2" t="s">
        <v>34</v>
      </c>
      <c r="T357" s="123">
        <v>3.9729999999999999</v>
      </c>
      <c r="U357" s="2" t="s">
        <v>2415</v>
      </c>
      <c r="V357" s="136">
        <v>5.5E-2</v>
      </c>
      <c r="W357" s="138">
        <v>4.6519999999999999E-2</v>
      </c>
      <c r="X357" s="3" t="s">
        <v>445</v>
      </c>
      <c r="Y357" s="3" t="s">
        <v>160</v>
      </c>
      <c r="Z357" s="123">
        <v>3150000</v>
      </c>
      <c r="AA357" s="132">
        <v>1</v>
      </c>
      <c r="AB357" s="149">
        <v>104.02</v>
      </c>
      <c r="AC357" s="2"/>
      <c r="AD357" s="123">
        <v>3276.63</v>
      </c>
      <c r="AE357" s="2"/>
      <c r="AF357" s="2"/>
      <c r="AG357" s="2" t="s">
        <v>36</v>
      </c>
      <c r="AH357" s="138">
        <v>3.1210000000000001E-3</v>
      </c>
      <c r="AI357" s="138">
        <v>1.15466354952472E-2</v>
      </c>
      <c r="AJ357" s="138">
        <v>1.73764756645126E-3</v>
      </c>
    </row>
    <row r="358" spans="1:36">
      <c r="A358" s="2">
        <v>161</v>
      </c>
      <c r="B358" s="2">
        <v>9943</v>
      </c>
      <c r="C358" s="2" t="s">
        <v>1814</v>
      </c>
      <c r="D358" s="2" t="s">
        <v>1815</v>
      </c>
      <c r="E358" s="3" t="s">
        <v>1351</v>
      </c>
      <c r="F358" s="2" t="s">
        <v>2416</v>
      </c>
      <c r="G358" s="2" t="s">
        <v>2417</v>
      </c>
      <c r="H358" s="2" t="s">
        <v>209</v>
      </c>
      <c r="I358" s="2" t="s">
        <v>788</v>
      </c>
      <c r="J358" s="2" t="s">
        <v>30</v>
      </c>
      <c r="K358" s="2" t="s">
        <v>30</v>
      </c>
      <c r="L358" s="2" t="s">
        <v>361</v>
      </c>
      <c r="M358" s="2" t="s">
        <v>31</v>
      </c>
      <c r="N358" s="2" t="s">
        <v>495</v>
      </c>
      <c r="O358" s="2" t="s">
        <v>160</v>
      </c>
      <c r="P358" s="2" t="s">
        <v>1969</v>
      </c>
      <c r="Q358" s="2" t="s">
        <v>446</v>
      </c>
      <c r="R358" s="2" t="s">
        <v>440</v>
      </c>
      <c r="S358" s="2" t="s">
        <v>34</v>
      </c>
      <c r="T358" s="123">
        <v>0.96099999999999997</v>
      </c>
      <c r="U358" s="2" t="s">
        <v>2418</v>
      </c>
      <c r="V358" s="136">
        <v>1.95E-2</v>
      </c>
      <c r="W358" s="138">
        <v>2.819E-2</v>
      </c>
      <c r="X358" s="3" t="s">
        <v>445</v>
      </c>
      <c r="Y358" s="3" t="s">
        <v>160</v>
      </c>
      <c r="Z358" s="123">
        <v>1600225.44</v>
      </c>
      <c r="AA358" s="132">
        <v>1</v>
      </c>
      <c r="AB358" s="149">
        <v>117.21</v>
      </c>
      <c r="AC358" s="2"/>
      <c r="AD358" s="123">
        <v>1875.624</v>
      </c>
      <c r="AE358" s="2"/>
      <c r="AF358" s="2"/>
      <c r="AG358" s="2" t="s">
        <v>36</v>
      </c>
      <c r="AH358" s="138">
        <v>4.7520000000000001E-3</v>
      </c>
      <c r="AI358" s="138">
        <v>6.6095803935211301E-3</v>
      </c>
      <c r="AJ358" s="138">
        <v>9.94672542559562E-4</v>
      </c>
    </row>
    <row r="359" spans="1:36">
      <c r="A359" s="2">
        <v>161</v>
      </c>
      <c r="B359" s="2">
        <v>9943</v>
      </c>
      <c r="C359" s="2" t="s">
        <v>1814</v>
      </c>
      <c r="D359" s="2" t="s">
        <v>1815</v>
      </c>
      <c r="E359" s="3" t="s">
        <v>1351</v>
      </c>
      <c r="F359" s="2" t="s">
        <v>1997</v>
      </c>
      <c r="G359" s="2" t="s">
        <v>1998</v>
      </c>
      <c r="H359" s="2" t="s">
        <v>209</v>
      </c>
      <c r="I359" s="2" t="s">
        <v>788</v>
      </c>
      <c r="J359" s="2" t="s">
        <v>30</v>
      </c>
      <c r="K359" s="2" t="s">
        <v>30</v>
      </c>
      <c r="L359" s="2" t="s">
        <v>361</v>
      </c>
      <c r="M359" s="2" t="s">
        <v>31</v>
      </c>
      <c r="N359" s="2" t="s">
        <v>495</v>
      </c>
      <c r="O359" s="2" t="s">
        <v>160</v>
      </c>
      <c r="P359" s="2" t="s">
        <v>1999</v>
      </c>
      <c r="Q359" s="2" t="s">
        <v>448</v>
      </c>
      <c r="R359" s="2" t="s">
        <v>440</v>
      </c>
      <c r="S359" s="2" t="s">
        <v>34</v>
      </c>
      <c r="T359" s="123">
        <v>3.7509999999999999</v>
      </c>
      <c r="U359" s="2" t="s">
        <v>2000</v>
      </c>
      <c r="V359" s="136">
        <v>1.17E-2</v>
      </c>
      <c r="W359" s="138">
        <v>2.811E-2</v>
      </c>
      <c r="X359" s="3" t="s">
        <v>445</v>
      </c>
      <c r="Y359" s="3" t="s">
        <v>160</v>
      </c>
      <c r="Z359" s="123">
        <v>883646.7</v>
      </c>
      <c r="AA359" s="132">
        <v>1</v>
      </c>
      <c r="AB359" s="149">
        <v>110.06</v>
      </c>
      <c r="AC359" s="2"/>
      <c r="AD359" s="123">
        <v>972.54200000000003</v>
      </c>
      <c r="AE359" s="2"/>
      <c r="AF359" s="2"/>
      <c r="AG359" s="2" t="s">
        <v>36</v>
      </c>
      <c r="AH359" s="138">
        <v>1.2830000000000001E-3</v>
      </c>
      <c r="AI359" s="138">
        <v>3.4271745282307398E-3</v>
      </c>
      <c r="AJ359" s="138">
        <v>5.1575382986976598E-4</v>
      </c>
    </row>
    <row r="360" spans="1:36">
      <c r="A360" s="2">
        <v>161</v>
      </c>
      <c r="B360" s="2">
        <v>9943</v>
      </c>
      <c r="C360" s="2" t="s">
        <v>1814</v>
      </c>
      <c r="D360" s="2" t="s">
        <v>1815</v>
      </c>
      <c r="E360" s="3" t="s">
        <v>1351</v>
      </c>
      <c r="F360" s="2" t="s">
        <v>2419</v>
      </c>
      <c r="G360" s="2" t="s">
        <v>2420</v>
      </c>
      <c r="H360" s="2" t="s">
        <v>209</v>
      </c>
      <c r="I360" s="2" t="s">
        <v>788</v>
      </c>
      <c r="J360" s="2" t="s">
        <v>30</v>
      </c>
      <c r="K360" s="2" t="s">
        <v>30</v>
      </c>
      <c r="L360" s="2" t="s">
        <v>361</v>
      </c>
      <c r="M360" s="2" t="s">
        <v>31</v>
      </c>
      <c r="N360" s="2" t="s">
        <v>495</v>
      </c>
      <c r="O360" s="2" t="s">
        <v>160</v>
      </c>
      <c r="P360" s="2" t="s">
        <v>1999</v>
      </c>
      <c r="Q360" s="2" t="s">
        <v>448</v>
      </c>
      <c r="R360" s="2" t="s">
        <v>440</v>
      </c>
      <c r="S360" s="2" t="s">
        <v>34</v>
      </c>
      <c r="T360" s="123">
        <v>3.7639999999999998</v>
      </c>
      <c r="U360" s="2" t="s">
        <v>2421</v>
      </c>
      <c r="V360" s="136">
        <v>1.3299999999999999E-2</v>
      </c>
      <c r="W360" s="138">
        <v>2.8490000000000001E-2</v>
      </c>
      <c r="X360" s="3" t="s">
        <v>445</v>
      </c>
      <c r="Y360" s="3" t="s">
        <v>160</v>
      </c>
      <c r="Z360" s="123">
        <v>1494697.23</v>
      </c>
      <c r="AA360" s="132">
        <v>1</v>
      </c>
      <c r="AB360" s="149">
        <v>110.9</v>
      </c>
      <c r="AC360" s="2"/>
      <c r="AD360" s="123">
        <v>1657.6189999999999</v>
      </c>
      <c r="AE360" s="2"/>
      <c r="AF360" s="2"/>
      <c r="AG360" s="2" t="s">
        <v>36</v>
      </c>
      <c r="AH360" s="138">
        <v>1.3290000000000001E-3</v>
      </c>
      <c r="AI360" s="138">
        <v>5.8413446182319197E-3</v>
      </c>
      <c r="AJ360" s="138">
        <v>8.7906111393677505E-4</v>
      </c>
    </row>
    <row r="361" spans="1:36">
      <c r="A361" s="2">
        <v>161</v>
      </c>
      <c r="B361" s="2">
        <v>9943</v>
      </c>
      <c r="C361" s="2" t="s">
        <v>2004</v>
      </c>
      <c r="D361" s="2" t="s">
        <v>2005</v>
      </c>
      <c r="E361" s="3" t="s">
        <v>1351</v>
      </c>
      <c r="F361" s="2" t="s">
        <v>2006</v>
      </c>
      <c r="G361" s="2" t="s">
        <v>2007</v>
      </c>
      <c r="H361" s="2" t="s">
        <v>209</v>
      </c>
      <c r="I361" s="2" t="s">
        <v>998</v>
      </c>
      <c r="J361" s="2" t="s">
        <v>30</v>
      </c>
      <c r="K361" s="2" t="s">
        <v>30</v>
      </c>
      <c r="L361" s="2" t="s">
        <v>361</v>
      </c>
      <c r="M361" s="2" t="s">
        <v>31</v>
      </c>
      <c r="N361" s="2" t="s">
        <v>471</v>
      </c>
      <c r="O361" s="2" t="s">
        <v>160</v>
      </c>
      <c r="P361" s="2" t="s">
        <v>2008</v>
      </c>
      <c r="Q361" s="2" t="s">
        <v>448</v>
      </c>
      <c r="R361" s="2" t="s">
        <v>440</v>
      </c>
      <c r="S361" s="2" t="s">
        <v>34</v>
      </c>
      <c r="T361" s="123">
        <v>2.7770000000000001</v>
      </c>
      <c r="U361" s="2" t="s">
        <v>1960</v>
      </c>
      <c r="V361" s="136">
        <v>7.2499999999999995E-2</v>
      </c>
      <c r="W361" s="138">
        <v>5.3060000000000003E-2</v>
      </c>
      <c r="X361" s="3" t="s">
        <v>445</v>
      </c>
      <c r="Y361" s="3" t="s">
        <v>160</v>
      </c>
      <c r="Z361" s="123">
        <v>291362.67</v>
      </c>
      <c r="AA361" s="132">
        <v>1</v>
      </c>
      <c r="AB361" s="149">
        <v>106.83</v>
      </c>
      <c r="AC361" s="2"/>
      <c r="AD361" s="123">
        <v>311.26299999999998</v>
      </c>
      <c r="AE361" s="2"/>
      <c r="AF361" s="2"/>
      <c r="AG361" s="2" t="s">
        <v>36</v>
      </c>
      <c r="AH361" s="138">
        <v>4.55E-4</v>
      </c>
      <c r="AI361" s="138">
        <v>1.09687007877002E-3</v>
      </c>
      <c r="AJ361" s="138">
        <v>1.65067445306685E-4</v>
      </c>
    </row>
    <row r="362" spans="1:36">
      <c r="A362" s="2">
        <v>161</v>
      </c>
      <c r="B362" s="2">
        <v>9943</v>
      </c>
      <c r="C362" s="2" t="s">
        <v>2275</v>
      </c>
      <c r="D362" s="2" t="s">
        <v>2276</v>
      </c>
      <c r="E362" s="3" t="s">
        <v>1351</v>
      </c>
      <c r="F362" s="2" t="s">
        <v>2422</v>
      </c>
      <c r="G362" s="2" t="s">
        <v>2423</v>
      </c>
      <c r="H362" s="2" t="s">
        <v>209</v>
      </c>
      <c r="I362" s="2" t="s">
        <v>998</v>
      </c>
      <c r="J362" s="2" t="s">
        <v>30</v>
      </c>
      <c r="K362" s="2" t="s">
        <v>30</v>
      </c>
      <c r="L362" s="2" t="s">
        <v>361</v>
      </c>
      <c r="M362" s="2" t="s">
        <v>31</v>
      </c>
      <c r="N362" s="2" t="s">
        <v>471</v>
      </c>
      <c r="O362" s="2" t="s">
        <v>160</v>
      </c>
      <c r="P362" s="2" t="s">
        <v>1965</v>
      </c>
      <c r="Q362" s="2" t="s">
        <v>446</v>
      </c>
      <c r="R362" s="2" t="s">
        <v>440</v>
      </c>
      <c r="S362" s="2" t="s">
        <v>34</v>
      </c>
      <c r="T362" s="123">
        <v>4.024</v>
      </c>
      <c r="U362" s="2" t="s">
        <v>2424</v>
      </c>
      <c r="V362" s="136">
        <v>5.7500000000000002E-2</v>
      </c>
      <c r="W362" s="138">
        <v>5.16E-2</v>
      </c>
      <c r="X362" s="3" t="s">
        <v>445</v>
      </c>
      <c r="Y362" s="3" t="s">
        <v>160</v>
      </c>
      <c r="Z362" s="123">
        <v>469937</v>
      </c>
      <c r="AA362" s="132">
        <v>1</v>
      </c>
      <c r="AB362" s="149">
        <v>104.15</v>
      </c>
      <c r="AC362" s="2"/>
      <c r="AD362" s="123">
        <v>489.43900000000002</v>
      </c>
      <c r="AE362" s="2"/>
      <c r="AF362" s="2"/>
      <c r="AG362" s="2" t="s">
        <v>36</v>
      </c>
      <c r="AH362" s="138">
        <v>8.9499999999999996E-4</v>
      </c>
      <c r="AI362" s="138">
        <v>1.7247532316392901E-3</v>
      </c>
      <c r="AJ362" s="138">
        <v>2.5955727596325398E-4</v>
      </c>
    </row>
    <row r="363" spans="1:36">
      <c r="A363" s="2">
        <v>161</v>
      </c>
      <c r="B363" s="2">
        <v>9943</v>
      </c>
      <c r="C363" s="2" t="s">
        <v>2233</v>
      </c>
      <c r="D363" s="2" t="s">
        <v>2234</v>
      </c>
      <c r="E363" s="3" t="s">
        <v>1351</v>
      </c>
      <c r="F363" s="2" t="s">
        <v>2235</v>
      </c>
      <c r="G363" s="2" t="s">
        <v>2236</v>
      </c>
      <c r="H363" s="2" t="s">
        <v>209</v>
      </c>
      <c r="I363" s="2" t="s">
        <v>998</v>
      </c>
      <c r="J363" s="2" t="s">
        <v>30</v>
      </c>
      <c r="K363" s="2" t="s">
        <v>30</v>
      </c>
      <c r="L363" s="2" t="s">
        <v>361</v>
      </c>
      <c r="M363" s="2" t="s">
        <v>31</v>
      </c>
      <c r="N363" s="2" t="s">
        <v>495</v>
      </c>
      <c r="O363" s="2" t="s">
        <v>160</v>
      </c>
      <c r="P363" s="2" t="s">
        <v>1956</v>
      </c>
      <c r="Q363" s="2" t="s">
        <v>446</v>
      </c>
      <c r="R363" s="2" t="s">
        <v>440</v>
      </c>
      <c r="S363" s="2" t="s">
        <v>34</v>
      </c>
      <c r="T363" s="123">
        <v>4.8040000000000003</v>
      </c>
      <c r="U363" s="2" t="s">
        <v>2204</v>
      </c>
      <c r="V363" s="136">
        <v>2.5499999999999998E-2</v>
      </c>
      <c r="W363" s="138">
        <v>4.9270000000000001E-2</v>
      </c>
      <c r="X363" s="3" t="s">
        <v>445</v>
      </c>
      <c r="Y363" s="3" t="s">
        <v>160</v>
      </c>
      <c r="Z363" s="123">
        <v>2003635.9</v>
      </c>
      <c r="AA363" s="132">
        <v>1</v>
      </c>
      <c r="AB363" s="149">
        <v>89.51</v>
      </c>
      <c r="AC363" s="2"/>
      <c r="AD363" s="123">
        <v>1793.454</v>
      </c>
      <c r="AE363" s="2"/>
      <c r="AF363" s="2"/>
      <c r="AG363" s="2" t="s">
        <v>36</v>
      </c>
      <c r="AH363" s="138">
        <v>7.18E-4</v>
      </c>
      <c r="AI363" s="138">
        <v>6.3200194469836702E-3</v>
      </c>
      <c r="AJ363" s="138">
        <v>9.5109665638066197E-4</v>
      </c>
    </row>
    <row r="364" spans="1:36">
      <c r="A364" s="2">
        <v>161</v>
      </c>
      <c r="B364" s="2">
        <v>9943</v>
      </c>
      <c r="C364" s="2" t="s">
        <v>2233</v>
      </c>
      <c r="D364" s="2" t="s">
        <v>2234</v>
      </c>
      <c r="E364" s="3" t="s">
        <v>1351</v>
      </c>
      <c r="F364" s="2" t="s">
        <v>2425</v>
      </c>
      <c r="G364" s="2" t="s">
        <v>2426</v>
      </c>
      <c r="H364" s="2" t="s">
        <v>209</v>
      </c>
      <c r="I364" s="2" t="s">
        <v>788</v>
      </c>
      <c r="J364" s="2" t="s">
        <v>30</v>
      </c>
      <c r="K364" s="2" t="s">
        <v>30</v>
      </c>
      <c r="L364" s="2" t="s">
        <v>361</v>
      </c>
      <c r="M364" s="2" t="s">
        <v>31</v>
      </c>
      <c r="N364" s="2" t="s">
        <v>495</v>
      </c>
      <c r="O364" s="2" t="s">
        <v>160</v>
      </c>
      <c r="P364" s="2" t="s">
        <v>1956</v>
      </c>
      <c r="Q364" s="2" t="s">
        <v>446</v>
      </c>
      <c r="R364" s="2" t="s">
        <v>440</v>
      </c>
      <c r="S364" s="2" t="s">
        <v>34</v>
      </c>
      <c r="T364" s="123">
        <v>4.45</v>
      </c>
      <c r="U364" s="2" t="s">
        <v>2427</v>
      </c>
      <c r="V364" s="136">
        <v>5.8999999999999999E-3</v>
      </c>
      <c r="W364" s="138">
        <v>2.8729999999999999E-2</v>
      </c>
      <c r="X364" s="3" t="s">
        <v>445</v>
      </c>
      <c r="Y364" s="3" t="s">
        <v>160</v>
      </c>
      <c r="Z364" s="123">
        <v>208474</v>
      </c>
      <c r="AA364" s="132">
        <v>1</v>
      </c>
      <c r="AB364" s="149">
        <v>102.74</v>
      </c>
      <c r="AC364" s="2"/>
      <c r="AD364" s="123">
        <v>214.18600000000001</v>
      </c>
      <c r="AE364" s="2"/>
      <c r="AF364" s="2"/>
      <c r="AG364" s="2" t="s">
        <v>36</v>
      </c>
      <c r="AH364" s="138">
        <v>1.4899999999999999E-4</v>
      </c>
      <c r="AI364" s="138">
        <v>7.5477848775535401E-4</v>
      </c>
      <c r="AJ364" s="138">
        <v>1.13586247959218E-4</v>
      </c>
    </row>
    <row r="365" spans="1:36">
      <c r="A365" s="2">
        <v>161</v>
      </c>
      <c r="B365" s="2">
        <v>9943</v>
      </c>
      <c r="C365" s="2" t="s">
        <v>2233</v>
      </c>
      <c r="D365" s="2" t="s">
        <v>2234</v>
      </c>
      <c r="E365" s="3" t="s">
        <v>1351</v>
      </c>
      <c r="F365" s="2" t="s">
        <v>2240</v>
      </c>
      <c r="G365" s="2" t="s">
        <v>2241</v>
      </c>
      <c r="H365" s="2" t="s">
        <v>209</v>
      </c>
      <c r="I365" s="2" t="s">
        <v>788</v>
      </c>
      <c r="J365" s="2" t="s">
        <v>30</v>
      </c>
      <c r="K365" s="2" t="s">
        <v>30</v>
      </c>
      <c r="L365" s="2" t="s">
        <v>361</v>
      </c>
      <c r="M365" s="2" t="s">
        <v>58</v>
      </c>
      <c r="N365" s="2" t="s">
        <v>495</v>
      </c>
      <c r="O365" s="2" t="s">
        <v>160</v>
      </c>
      <c r="P365" s="2" t="s">
        <v>1956</v>
      </c>
      <c r="Q365" s="2" t="s">
        <v>446</v>
      </c>
      <c r="R365" s="2" t="s">
        <v>440</v>
      </c>
      <c r="S365" s="2" t="s">
        <v>34</v>
      </c>
      <c r="T365" s="123">
        <v>3.0670000000000002</v>
      </c>
      <c r="U365" s="2" t="s">
        <v>80</v>
      </c>
      <c r="V365" s="136">
        <v>3.3399999999999999E-2</v>
      </c>
      <c r="W365" s="138">
        <v>2.9409999999999999E-2</v>
      </c>
      <c r="X365" s="3" t="s">
        <v>445</v>
      </c>
      <c r="Y365" s="3" t="s">
        <v>160</v>
      </c>
      <c r="Z365" s="123">
        <v>1500168</v>
      </c>
      <c r="AA365" s="132">
        <v>1</v>
      </c>
      <c r="AB365" s="149">
        <v>105.28</v>
      </c>
      <c r="AC365" s="2"/>
      <c r="AD365" s="123">
        <v>1579.377</v>
      </c>
      <c r="AE365" s="2"/>
      <c r="AF365" s="2"/>
      <c r="AG365" s="2" t="s">
        <v>36</v>
      </c>
      <c r="AH365" s="138">
        <v>1.3940000000000001E-3</v>
      </c>
      <c r="AI365" s="138">
        <v>5.56562353153484E-3</v>
      </c>
      <c r="AJ365" s="138">
        <v>8.3756798154200197E-4</v>
      </c>
    </row>
    <row r="366" spans="1:36">
      <c r="A366" s="2">
        <v>161</v>
      </c>
      <c r="B366" s="2">
        <v>9943</v>
      </c>
      <c r="C366" s="2" t="s">
        <v>2233</v>
      </c>
      <c r="D366" s="2" t="s">
        <v>2234</v>
      </c>
      <c r="E366" s="3" t="s">
        <v>1351</v>
      </c>
      <c r="F366" s="2" t="s">
        <v>2428</v>
      </c>
      <c r="G366" s="2" t="s">
        <v>2429</v>
      </c>
      <c r="H366" s="2" t="s">
        <v>209</v>
      </c>
      <c r="I366" s="2" t="s">
        <v>788</v>
      </c>
      <c r="J366" s="2" t="s">
        <v>30</v>
      </c>
      <c r="K366" s="2" t="s">
        <v>30</v>
      </c>
      <c r="L366" s="2" t="s">
        <v>361</v>
      </c>
      <c r="M366" s="2" t="s">
        <v>31</v>
      </c>
      <c r="N366" s="2" t="s">
        <v>495</v>
      </c>
      <c r="O366" s="2" t="s">
        <v>160</v>
      </c>
      <c r="P366" s="2" t="s">
        <v>1956</v>
      </c>
      <c r="Q366" s="2" t="s">
        <v>446</v>
      </c>
      <c r="R366" s="2" t="s">
        <v>440</v>
      </c>
      <c r="S366" s="2" t="s">
        <v>34</v>
      </c>
      <c r="T366" s="123">
        <v>0.73399999999999999</v>
      </c>
      <c r="U366" s="2" t="s">
        <v>2430</v>
      </c>
      <c r="V366" s="136">
        <v>4.7500000000000001E-2</v>
      </c>
      <c r="W366" s="138">
        <v>2.971E-2</v>
      </c>
      <c r="X366" s="3" t="s">
        <v>445</v>
      </c>
      <c r="Y366" s="3" t="s">
        <v>160</v>
      </c>
      <c r="Z366" s="123">
        <v>232580.64</v>
      </c>
      <c r="AA366" s="132">
        <v>1</v>
      </c>
      <c r="AB366" s="149">
        <v>145.6</v>
      </c>
      <c r="AC366" s="2"/>
      <c r="AD366" s="123">
        <v>338.637</v>
      </c>
      <c r="AE366" s="2"/>
      <c r="AF366" s="2"/>
      <c r="AG366" s="2" t="s">
        <v>36</v>
      </c>
      <c r="AH366" s="138">
        <v>4.8700000000000002E-4</v>
      </c>
      <c r="AI366" s="138">
        <v>1.1933366781023099E-3</v>
      </c>
      <c r="AJ366" s="138">
        <v>1.79584656977788E-4</v>
      </c>
    </row>
    <row r="367" spans="1:36">
      <c r="A367" s="2">
        <v>161</v>
      </c>
      <c r="B367" s="2">
        <v>9943</v>
      </c>
      <c r="C367" s="2" t="s">
        <v>2009</v>
      </c>
      <c r="D367" s="2" t="s">
        <v>2010</v>
      </c>
      <c r="E367" s="3" t="s">
        <v>1351</v>
      </c>
      <c r="F367" s="2" t="s">
        <v>2283</v>
      </c>
      <c r="G367" s="2" t="s">
        <v>2284</v>
      </c>
      <c r="H367" s="2" t="s">
        <v>209</v>
      </c>
      <c r="I367" s="2" t="s">
        <v>788</v>
      </c>
      <c r="J367" s="2" t="s">
        <v>30</v>
      </c>
      <c r="K367" s="2" t="s">
        <v>334</v>
      </c>
      <c r="L367" s="2" t="s">
        <v>361</v>
      </c>
      <c r="M367" s="2" t="s">
        <v>31</v>
      </c>
      <c r="N367" s="2" t="s">
        <v>496</v>
      </c>
      <c r="O367" s="2" t="s">
        <v>160</v>
      </c>
      <c r="P367" s="2" t="s">
        <v>2013</v>
      </c>
      <c r="Q367" s="2" t="s">
        <v>446</v>
      </c>
      <c r="R367" s="2" t="s">
        <v>440</v>
      </c>
      <c r="S367" s="2" t="s">
        <v>34</v>
      </c>
      <c r="T367" s="123">
        <v>4.9050000000000002</v>
      </c>
      <c r="U367" s="2" t="s">
        <v>2285</v>
      </c>
      <c r="V367" s="136">
        <v>1.7899999999999999E-2</v>
      </c>
      <c r="W367" s="138">
        <v>5.1740000000000001E-2</v>
      </c>
      <c r="X367" s="3" t="s">
        <v>445</v>
      </c>
      <c r="Y367" s="3" t="s">
        <v>160</v>
      </c>
      <c r="Z367" s="123">
        <v>741597.68</v>
      </c>
      <c r="AA367" s="132">
        <v>1</v>
      </c>
      <c r="AB367" s="149">
        <v>99.49</v>
      </c>
      <c r="AC367" s="2"/>
      <c r="AD367" s="123">
        <v>737.81600000000003</v>
      </c>
      <c r="AE367" s="2"/>
      <c r="AF367" s="2"/>
      <c r="AG367" s="2" t="s">
        <v>36</v>
      </c>
      <c r="AH367" s="138">
        <v>5.3399999999999997E-4</v>
      </c>
      <c r="AI367" s="138">
        <v>2.60001495707359E-3</v>
      </c>
      <c r="AJ367" s="138">
        <v>3.9127498783134498E-4</v>
      </c>
    </row>
    <row r="368" spans="1:36">
      <c r="A368" s="2">
        <v>161</v>
      </c>
      <c r="B368" s="2">
        <v>9943</v>
      </c>
      <c r="C368" s="2" t="s">
        <v>2015</v>
      </c>
      <c r="D368" s="2" t="s">
        <v>2016</v>
      </c>
      <c r="E368" s="3" t="s">
        <v>1351</v>
      </c>
      <c r="F368" s="2" t="s">
        <v>2017</v>
      </c>
      <c r="G368" s="2" t="s">
        <v>2018</v>
      </c>
      <c r="H368" s="2" t="s">
        <v>209</v>
      </c>
      <c r="I368" s="2" t="s">
        <v>788</v>
      </c>
      <c r="J368" s="2" t="s">
        <v>30</v>
      </c>
      <c r="K368" s="2" t="s">
        <v>30</v>
      </c>
      <c r="L368" s="2" t="s">
        <v>361</v>
      </c>
      <c r="M368" s="2" t="s">
        <v>31</v>
      </c>
      <c r="N368" s="2" t="s">
        <v>479</v>
      </c>
      <c r="O368" s="2" t="s">
        <v>160</v>
      </c>
      <c r="P368" s="2" t="s">
        <v>1199</v>
      </c>
      <c r="Q368" s="2" t="s">
        <v>446</v>
      </c>
      <c r="R368" s="2" t="s">
        <v>440</v>
      </c>
      <c r="S368" s="2" t="s">
        <v>34</v>
      </c>
      <c r="T368" s="123">
        <v>3.4950000000000001</v>
      </c>
      <c r="U368" s="2" t="s">
        <v>2019</v>
      </c>
      <c r="V368" s="136">
        <v>2E-3</v>
      </c>
      <c r="W368" s="138">
        <v>2.6020000000000001E-2</v>
      </c>
      <c r="X368" s="3" t="s">
        <v>445</v>
      </c>
      <c r="Y368" s="3" t="s">
        <v>160</v>
      </c>
      <c r="Z368" s="123">
        <v>116441.12</v>
      </c>
      <c r="AA368" s="132">
        <v>1</v>
      </c>
      <c r="AB368" s="149">
        <v>105.05</v>
      </c>
      <c r="AC368" s="2"/>
      <c r="AD368" s="123">
        <v>122.321</v>
      </c>
      <c r="AE368" s="2"/>
      <c r="AF368" s="2"/>
      <c r="AG368" s="2" t="s">
        <v>36</v>
      </c>
      <c r="AH368" s="138">
        <v>3.4E-5</v>
      </c>
      <c r="AI368" s="138">
        <v>4.3105281320988302E-4</v>
      </c>
      <c r="AJ368" s="138">
        <v>6.4868928459241296E-5</v>
      </c>
    </row>
    <row r="369" spans="1:36">
      <c r="A369" s="2">
        <v>161</v>
      </c>
      <c r="B369" s="2">
        <v>9943</v>
      </c>
      <c r="C369" s="2" t="s">
        <v>2015</v>
      </c>
      <c r="D369" s="2" t="s">
        <v>2016</v>
      </c>
      <c r="E369" s="3" t="s">
        <v>1351</v>
      </c>
      <c r="F369" s="2" t="s">
        <v>2020</v>
      </c>
      <c r="G369" s="2" t="s">
        <v>2021</v>
      </c>
      <c r="H369" s="2" t="s">
        <v>209</v>
      </c>
      <c r="I369" s="2" t="s">
        <v>998</v>
      </c>
      <c r="J369" s="2" t="s">
        <v>30</v>
      </c>
      <c r="K369" s="2" t="s">
        <v>30</v>
      </c>
      <c r="L369" s="2" t="s">
        <v>361</v>
      </c>
      <c r="M369" s="2" t="s">
        <v>31</v>
      </c>
      <c r="N369" s="2" t="s">
        <v>479</v>
      </c>
      <c r="O369" s="2" t="s">
        <v>160</v>
      </c>
      <c r="P369" s="2" t="s">
        <v>1199</v>
      </c>
      <c r="Q369" s="2" t="s">
        <v>446</v>
      </c>
      <c r="R369" s="2" t="s">
        <v>440</v>
      </c>
      <c r="S369" s="2" t="s">
        <v>34</v>
      </c>
      <c r="T369" s="123">
        <v>2.7370000000000001</v>
      </c>
      <c r="U369" s="2" t="s">
        <v>2022</v>
      </c>
      <c r="V369" s="136">
        <v>2.6800000000000001E-2</v>
      </c>
      <c r="W369" s="138">
        <v>4.3189999999999999E-2</v>
      </c>
      <c r="X369" s="3" t="s">
        <v>445</v>
      </c>
      <c r="Y369" s="3" t="s">
        <v>160</v>
      </c>
      <c r="Z369" s="123">
        <v>173024.88</v>
      </c>
      <c r="AA369" s="132">
        <v>1</v>
      </c>
      <c r="AB369" s="149">
        <v>97.18</v>
      </c>
      <c r="AC369" s="2"/>
      <c r="AD369" s="123">
        <v>168.14599999999999</v>
      </c>
      <c r="AE369" s="2"/>
      <c r="AF369" s="2"/>
      <c r="AG369" s="2" t="s">
        <v>36</v>
      </c>
      <c r="AH369" s="138">
        <v>8.7999999999999998E-5</v>
      </c>
      <c r="AI369" s="138">
        <v>5.9253431230793703E-4</v>
      </c>
      <c r="AJ369" s="138">
        <v>8.9170200812572004E-5</v>
      </c>
    </row>
    <row r="370" spans="1:36">
      <c r="A370" s="2">
        <v>161</v>
      </c>
      <c r="B370" s="2">
        <v>9943</v>
      </c>
      <c r="C370" s="2" t="s">
        <v>2015</v>
      </c>
      <c r="D370" s="2" t="s">
        <v>2016</v>
      </c>
      <c r="E370" s="3" t="s">
        <v>1351</v>
      </c>
      <c r="F370" s="2" t="s">
        <v>2431</v>
      </c>
      <c r="G370" s="2" t="s">
        <v>2432</v>
      </c>
      <c r="H370" s="2" t="s">
        <v>209</v>
      </c>
      <c r="I370" s="2" t="s">
        <v>788</v>
      </c>
      <c r="J370" s="2" t="s">
        <v>30</v>
      </c>
      <c r="K370" s="2" t="s">
        <v>30</v>
      </c>
      <c r="L370" s="2" t="s">
        <v>361</v>
      </c>
      <c r="M370" s="2" t="s">
        <v>31</v>
      </c>
      <c r="N370" s="2" t="s">
        <v>479</v>
      </c>
      <c r="O370" s="2" t="s">
        <v>160</v>
      </c>
      <c r="P370" s="2" t="s">
        <v>88</v>
      </c>
      <c r="Q370" s="2" t="s">
        <v>446</v>
      </c>
      <c r="R370" s="2" t="s">
        <v>440</v>
      </c>
      <c r="S370" s="2" t="s">
        <v>34</v>
      </c>
      <c r="T370" s="123">
        <v>0.01</v>
      </c>
      <c r="U370" s="2" t="s">
        <v>2433</v>
      </c>
      <c r="V370" s="136">
        <v>4.7500000000000001E-2</v>
      </c>
      <c r="W370" s="138">
        <v>1E-4</v>
      </c>
      <c r="X370" s="3" t="s">
        <v>445</v>
      </c>
      <c r="Y370" s="3" t="s">
        <v>160</v>
      </c>
      <c r="Z370" s="123">
        <v>0</v>
      </c>
      <c r="AA370" s="132">
        <v>1</v>
      </c>
      <c r="AB370" s="149">
        <v>0</v>
      </c>
      <c r="AC370" s="123">
        <v>0</v>
      </c>
      <c r="AD370" s="123">
        <v>0</v>
      </c>
      <c r="AE370" s="2"/>
      <c r="AF370" s="2"/>
      <c r="AG370" s="2" t="s">
        <v>36</v>
      </c>
      <c r="AH370" s="138">
        <v>0</v>
      </c>
      <c r="AI370" s="138">
        <v>3.5239363294748399E-10</v>
      </c>
      <c r="AJ370" s="138">
        <v>5.3031546633317198E-11</v>
      </c>
    </row>
    <row r="371" spans="1:36">
      <c r="A371" s="2">
        <v>161</v>
      </c>
      <c r="B371" s="2">
        <v>9943</v>
      </c>
      <c r="C371" s="2" t="s">
        <v>2434</v>
      </c>
      <c r="D371" s="2" t="s">
        <v>2435</v>
      </c>
      <c r="E371" s="3" t="s">
        <v>1351</v>
      </c>
      <c r="F371" s="2" t="s">
        <v>2436</v>
      </c>
      <c r="G371" s="2" t="s">
        <v>2437</v>
      </c>
      <c r="H371" s="2" t="s">
        <v>209</v>
      </c>
      <c r="I371" s="2" t="s">
        <v>788</v>
      </c>
      <c r="J371" s="2" t="s">
        <v>30</v>
      </c>
      <c r="K371" s="2" t="s">
        <v>30</v>
      </c>
      <c r="L371" s="2" t="s">
        <v>361</v>
      </c>
      <c r="M371" s="2" t="s">
        <v>31</v>
      </c>
      <c r="N371" s="2" t="s">
        <v>471</v>
      </c>
      <c r="O371" s="2" t="s">
        <v>160</v>
      </c>
      <c r="P371" s="2" t="s">
        <v>2008</v>
      </c>
      <c r="Q371" s="2" t="s">
        <v>448</v>
      </c>
      <c r="R371" s="2" t="s">
        <v>440</v>
      </c>
      <c r="S371" s="2" t="s">
        <v>34</v>
      </c>
      <c r="T371" s="123">
        <v>3.21</v>
      </c>
      <c r="U371" s="2" t="s">
        <v>2285</v>
      </c>
      <c r="V371" s="136">
        <v>1.7999999999999999E-2</v>
      </c>
      <c r="W371" s="138">
        <v>3.0980000000000001E-2</v>
      </c>
      <c r="X371" s="3" t="s">
        <v>445</v>
      </c>
      <c r="Y371" s="3" t="s">
        <v>160</v>
      </c>
      <c r="Z371" s="123">
        <v>93806.82</v>
      </c>
      <c r="AA371" s="132">
        <v>1</v>
      </c>
      <c r="AB371" s="149">
        <v>112.88</v>
      </c>
      <c r="AC371" s="2"/>
      <c r="AD371" s="123">
        <v>105.889</v>
      </c>
      <c r="AE371" s="2"/>
      <c r="AF371" s="2"/>
      <c r="AG371" s="2" t="s">
        <v>36</v>
      </c>
      <c r="AH371" s="138">
        <v>1.06E-4</v>
      </c>
      <c r="AI371" s="138">
        <v>3.7314658176093297E-4</v>
      </c>
      <c r="AJ371" s="138">
        <v>5.6154647818698897E-5</v>
      </c>
    </row>
    <row r="372" spans="1:36">
      <c r="A372" s="2">
        <v>161</v>
      </c>
      <c r="B372" s="2">
        <v>9943</v>
      </c>
      <c r="C372" s="2" t="s">
        <v>2434</v>
      </c>
      <c r="D372" s="2" t="s">
        <v>2435</v>
      </c>
      <c r="E372" s="3" t="s">
        <v>1351</v>
      </c>
      <c r="F372" s="2" t="s">
        <v>2438</v>
      </c>
      <c r="G372" s="2" t="s">
        <v>2439</v>
      </c>
      <c r="H372" s="2" t="s">
        <v>209</v>
      </c>
      <c r="I372" s="2" t="s">
        <v>788</v>
      </c>
      <c r="J372" s="2" t="s">
        <v>30</v>
      </c>
      <c r="K372" s="2" t="s">
        <v>30</v>
      </c>
      <c r="L372" s="2" t="s">
        <v>361</v>
      </c>
      <c r="M372" s="2" t="s">
        <v>31</v>
      </c>
      <c r="N372" s="2" t="s">
        <v>471</v>
      </c>
      <c r="O372" s="2" t="s">
        <v>160</v>
      </c>
      <c r="P372" s="2" t="s">
        <v>2013</v>
      </c>
      <c r="Q372" s="2" t="s">
        <v>446</v>
      </c>
      <c r="R372" s="2" t="s">
        <v>440</v>
      </c>
      <c r="S372" s="2" t="s">
        <v>34</v>
      </c>
      <c r="T372" s="123">
        <v>5.5620000000000003</v>
      </c>
      <c r="U372" s="2" t="s">
        <v>2440</v>
      </c>
      <c r="V372" s="136">
        <v>3.3000000000000002E-2</v>
      </c>
      <c r="W372" s="138">
        <v>3.3020000000000001E-2</v>
      </c>
      <c r="X372" s="3" t="s">
        <v>445</v>
      </c>
      <c r="Y372" s="3" t="s">
        <v>160</v>
      </c>
      <c r="Z372" s="123">
        <v>2687937.05</v>
      </c>
      <c r="AA372" s="132">
        <v>1</v>
      </c>
      <c r="AB372" s="149">
        <v>109.3</v>
      </c>
      <c r="AC372" s="2"/>
      <c r="AD372" s="123">
        <v>2937.915</v>
      </c>
      <c r="AE372" s="2"/>
      <c r="AF372" s="2"/>
      <c r="AG372" s="2" t="s">
        <v>36</v>
      </c>
      <c r="AH372" s="138">
        <v>2.2659999999999998E-3</v>
      </c>
      <c r="AI372" s="138">
        <v>1.03530260908672E-2</v>
      </c>
      <c r="AJ372" s="138">
        <v>1.5580218670284401E-3</v>
      </c>
    </row>
    <row r="373" spans="1:36">
      <c r="A373" s="2">
        <v>161</v>
      </c>
      <c r="B373" s="2">
        <v>9943</v>
      </c>
      <c r="C373" s="2" t="s">
        <v>2441</v>
      </c>
      <c r="D373" s="2" t="s">
        <v>2442</v>
      </c>
      <c r="E373" s="3" t="s">
        <v>1351</v>
      </c>
      <c r="F373" s="2" t="s">
        <v>2443</v>
      </c>
      <c r="G373" s="2" t="s">
        <v>2444</v>
      </c>
      <c r="H373" s="2" t="s">
        <v>209</v>
      </c>
      <c r="I373" s="2" t="s">
        <v>998</v>
      </c>
      <c r="J373" s="2" t="s">
        <v>30</v>
      </c>
      <c r="K373" s="2" t="s">
        <v>30</v>
      </c>
      <c r="L373" s="2" t="s">
        <v>361</v>
      </c>
      <c r="M373" s="2" t="s">
        <v>31</v>
      </c>
      <c r="N373" s="2" t="s">
        <v>485</v>
      </c>
      <c r="O373" s="2" t="s">
        <v>160</v>
      </c>
      <c r="P373" s="2" t="s">
        <v>2013</v>
      </c>
      <c r="Q373" s="2" t="s">
        <v>446</v>
      </c>
      <c r="R373" s="2" t="s">
        <v>440</v>
      </c>
      <c r="S373" s="2" t="s">
        <v>34</v>
      </c>
      <c r="T373" s="123">
        <v>2.339</v>
      </c>
      <c r="U373" s="2" t="s">
        <v>2346</v>
      </c>
      <c r="V373" s="136">
        <v>6.7500000000000004E-2</v>
      </c>
      <c r="W373" s="138">
        <v>5.058E-2</v>
      </c>
      <c r="X373" s="3" t="s">
        <v>445</v>
      </c>
      <c r="Y373" s="3" t="s">
        <v>160</v>
      </c>
      <c r="Z373" s="123">
        <v>1743353.96</v>
      </c>
      <c r="AA373" s="132">
        <v>1</v>
      </c>
      <c r="AB373" s="149">
        <v>106.95</v>
      </c>
      <c r="AC373" s="2"/>
      <c r="AD373" s="123">
        <v>1864.5170000000001</v>
      </c>
      <c r="AE373" s="2"/>
      <c r="AF373" s="2"/>
      <c r="AG373" s="2" t="s">
        <v>36</v>
      </c>
      <c r="AH373" s="138">
        <v>1.622E-3</v>
      </c>
      <c r="AI373" s="138">
        <v>6.5704394054348896E-3</v>
      </c>
      <c r="AJ373" s="138">
        <v>9.8878223427672509E-4</v>
      </c>
    </row>
    <row r="374" spans="1:36">
      <c r="A374" s="2">
        <v>161</v>
      </c>
      <c r="B374" s="2">
        <v>9943</v>
      </c>
      <c r="C374" s="2" t="s">
        <v>2441</v>
      </c>
      <c r="D374" s="2" t="s">
        <v>2442</v>
      </c>
      <c r="E374" s="3" t="s">
        <v>1351</v>
      </c>
      <c r="F374" s="2" t="s">
        <v>2445</v>
      </c>
      <c r="G374" s="2" t="s">
        <v>2446</v>
      </c>
      <c r="H374" s="2" t="s">
        <v>209</v>
      </c>
      <c r="I374" s="2" t="s">
        <v>998</v>
      </c>
      <c r="J374" s="2" t="s">
        <v>30</v>
      </c>
      <c r="K374" s="2" t="s">
        <v>30</v>
      </c>
      <c r="L374" s="2" t="s">
        <v>361</v>
      </c>
      <c r="M374" s="2" t="s">
        <v>58</v>
      </c>
      <c r="N374" s="2" t="s">
        <v>485</v>
      </c>
      <c r="O374" s="2" t="s">
        <v>160</v>
      </c>
      <c r="P374" s="2" t="s">
        <v>2013</v>
      </c>
      <c r="Q374" s="2" t="s">
        <v>446</v>
      </c>
      <c r="R374" s="2" t="s">
        <v>440</v>
      </c>
      <c r="S374" s="2" t="s">
        <v>34</v>
      </c>
      <c r="T374" s="123">
        <v>5.5919999999999996</v>
      </c>
      <c r="U374" s="2" t="s">
        <v>2239</v>
      </c>
      <c r="V374" s="136">
        <v>5.6899999999999999E-2</v>
      </c>
      <c r="W374" s="138">
        <v>5.5149999999999998E-2</v>
      </c>
      <c r="X374" s="3" t="s">
        <v>445</v>
      </c>
      <c r="Y374" s="3" t="s">
        <v>160</v>
      </c>
      <c r="Z374" s="123">
        <v>2250000</v>
      </c>
      <c r="AA374" s="132">
        <v>1</v>
      </c>
      <c r="AB374" s="149">
        <v>101.37</v>
      </c>
      <c r="AC374" s="2"/>
      <c r="AD374" s="123">
        <v>2280.8249999999998</v>
      </c>
      <c r="AE374" s="2"/>
      <c r="AF374" s="2"/>
      <c r="AG374" s="2" t="s">
        <v>36</v>
      </c>
      <c r="AH374" s="138">
        <v>1.439E-3</v>
      </c>
      <c r="AI374" s="138">
        <v>8.0374820786744596E-3</v>
      </c>
      <c r="AJ374" s="138">
        <v>1.2095567734993599E-3</v>
      </c>
    </row>
    <row r="375" spans="1:36">
      <c r="A375" s="2">
        <v>161</v>
      </c>
      <c r="B375" s="2">
        <v>9943</v>
      </c>
      <c r="C375" s="2" t="s">
        <v>2441</v>
      </c>
      <c r="D375" s="2" t="s">
        <v>2442</v>
      </c>
      <c r="E375" s="3" t="s">
        <v>1351</v>
      </c>
      <c r="F375" s="2" t="s">
        <v>2447</v>
      </c>
      <c r="G375" s="2" t="s">
        <v>2448</v>
      </c>
      <c r="H375" s="2" t="s">
        <v>209</v>
      </c>
      <c r="I375" s="2" t="s">
        <v>998</v>
      </c>
      <c r="J375" s="2" t="s">
        <v>30</v>
      </c>
      <c r="K375" s="2" t="s">
        <v>30</v>
      </c>
      <c r="L375" s="2" t="s">
        <v>361</v>
      </c>
      <c r="M375" s="2" t="s">
        <v>58</v>
      </c>
      <c r="N375" s="2" t="s">
        <v>485</v>
      </c>
      <c r="O375" s="2" t="s">
        <v>160</v>
      </c>
      <c r="P375" s="2" t="s">
        <v>2013</v>
      </c>
      <c r="Q375" s="2" t="s">
        <v>446</v>
      </c>
      <c r="R375" s="2" t="s">
        <v>440</v>
      </c>
      <c r="S375" s="2" t="s">
        <v>34</v>
      </c>
      <c r="T375" s="123">
        <v>4.9580000000000002</v>
      </c>
      <c r="U375" s="2" t="s">
        <v>2404</v>
      </c>
      <c r="V375" s="136">
        <v>6.3799999999999996E-2</v>
      </c>
      <c r="W375" s="138">
        <v>5.1869999999999999E-2</v>
      </c>
      <c r="X375" s="3" t="s">
        <v>445</v>
      </c>
      <c r="Y375" s="3" t="s">
        <v>160</v>
      </c>
      <c r="Z375" s="123">
        <v>3150000</v>
      </c>
      <c r="AA375" s="132">
        <v>1</v>
      </c>
      <c r="AB375" s="149">
        <v>106.21</v>
      </c>
      <c r="AC375" s="2"/>
      <c r="AD375" s="123">
        <v>3345.6149999999998</v>
      </c>
      <c r="AE375" s="2"/>
      <c r="AF375" s="2"/>
      <c r="AG375" s="2" t="s">
        <v>36</v>
      </c>
      <c r="AH375" s="138">
        <v>3.15E-3</v>
      </c>
      <c r="AI375" s="138">
        <v>1.1789734242936001E-2</v>
      </c>
      <c r="AJ375" s="138">
        <v>1.7742313788962601E-3</v>
      </c>
    </row>
    <row r="376" spans="1:36">
      <c r="A376" s="2">
        <v>161</v>
      </c>
      <c r="B376" s="2">
        <v>9943</v>
      </c>
      <c r="C376" s="2" t="s">
        <v>2449</v>
      </c>
      <c r="D376" s="2" t="s">
        <v>2450</v>
      </c>
      <c r="E376" s="3" t="s">
        <v>1351</v>
      </c>
      <c r="F376" s="2" t="s">
        <v>2451</v>
      </c>
      <c r="G376" s="2" t="s">
        <v>2452</v>
      </c>
      <c r="H376" s="2" t="s">
        <v>209</v>
      </c>
      <c r="I376" s="2" t="s">
        <v>998</v>
      </c>
      <c r="J376" s="2" t="s">
        <v>30</v>
      </c>
      <c r="K376" s="2" t="s">
        <v>30</v>
      </c>
      <c r="L376" s="2" t="s">
        <v>361</v>
      </c>
      <c r="M376" s="2" t="s">
        <v>31</v>
      </c>
      <c r="N376" s="2" t="s">
        <v>468</v>
      </c>
      <c r="O376" s="2" t="s">
        <v>160</v>
      </c>
      <c r="P376" s="2" t="s">
        <v>1969</v>
      </c>
      <c r="Q376" s="2" t="s">
        <v>446</v>
      </c>
      <c r="R376" s="2" t="s">
        <v>440</v>
      </c>
      <c r="S376" s="2" t="s">
        <v>34</v>
      </c>
      <c r="T376" s="123">
        <v>1.5660000000000001</v>
      </c>
      <c r="U376" s="2" t="s">
        <v>2453</v>
      </c>
      <c r="V376" s="136">
        <v>0.05</v>
      </c>
      <c r="W376" s="138">
        <v>4.9299999999999997E-2</v>
      </c>
      <c r="X376" s="3" t="s">
        <v>445</v>
      </c>
      <c r="Y376" s="3" t="s">
        <v>160</v>
      </c>
      <c r="Z376" s="123">
        <v>924551</v>
      </c>
      <c r="AA376" s="132">
        <v>1</v>
      </c>
      <c r="AB376" s="149">
        <v>101.87</v>
      </c>
      <c r="AC376" s="2"/>
      <c r="AD376" s="123">
        <v>941.84</v>
      </c>
      <c r="AE376" s="2"/>
      <c r="AF376" s="2"/>
      <c r="AG376" s="2" t="s">
        <v>36</v>
      </c>
      <c r="AH376" s="138">
        <v>4.143E-3</v>
      </c>
      <c r="AI376" s="138">
        <v>3.31898455798478E-3</v>
      </c>
      <c r="AJ376" s="138">
        <v>4.9947237380494895E-4</v>
      </c>
    </row>
    <row r="377" spans="1:36">
      <c r="A377" s="2">
        <v>161</v>
      </c>
      <c r="B377" s="2">
        <v>9943</v>
      </c>
      <c r="C377" s="2" t="s">
        <v>2449</v>
      </c>
      <c r="D377" s="2" t="s">
        <v>2450</v>
      </c>
      <c r="E377" s="3" t="s">
        <v>1351</v>
      </c>
      <c r="F377" s="2" t="s">
        <v>2454</v>
      </c>
      <c r="G377" s="2" t="s">
        <v>2455</v>
      </c>
      <c r="H377" s="2" t="s">
        <v>209</v>
      </c>
      <c r="I377" s="2" t="s">
        <v>789</v>
      </c>
      <c r="J377" s="2" t="s">
        <v>30</v>
      </c>
      <c r="K377" s="2" t="s">
        <v>30</v>
      </c>
      <c r="L377" s="2" t="s">
        <v>361</v>
      </c>
      <c r="M377" s="2" t="s">
        <v>31</v>
      </c>
      <c r="N377" s="2" t="s">
        <v>468</v>
      </c>
      <c r="O377" s="2" t="s">
        <v>160</v>
      </c>
      <c r="P377" s="2" t="s">
        <v>1969</v>
      </c>
      <c r="Q377" s="2" t="s">
        <v>446</v>
      </c>
      <c r="R377" s="2" t="s">
        <v>440</v>
      </c>
      <c r="S377" s="2" t="s">
        <v>34</v>
      </c>
      <c r="T377" s="123">
        <v>0.98099999999999998</v>
      </c>
      <c r="U377" s="2" t="s">
        <v>2109</v>
      </c>
      <c r="V377" s="136">
        <v>3.85E-2</v>
      </c>
      <c r="W377" s="138">
        <v>5.2830000000000002E-2</v>
      </c>
      <c r="X377" s="3" t="s">
        <v>445</v>
      </c>
      <c r="Y377" s="3" t="s">
        <v>160</v>
      </c>
      <c r="Z377" s="123">
        <v>251465.75</v>
      </c>
      <c r="AA377" s="132">
        <v>1</v>
      </c>
      <c r="AB377" s="149">
        <v>92.16</v>
      </c>
      <c r="AC377" s="2"/>
      <c r="AD377" s="123">
        <v>231.751</v>
      </c>
      <c r="AE377" s="2"/>
      <c r="AF377" s="2"/>
      <c r="AG377" s="2" t="s">
        <v>36</v>
      </c>
      <c r="AH377" s="138">
        <v>2.2899999999999999E-3</v>
      </c>
      <c r="AI377" s="138">
        <v>8.1667518754741705E-4</v>
      </c>
      <c r="AJ377" s="138">
        <v>1.2290105224219001E-4</v>
      </c>
    </row>
    <row r="378" spans="1:36">
      <c r="A378" s="2">
        <v>161</v>
      </c>
      <c r="B378" s="2">
        <v>9943</v>
      </c>
      <c r="C378" s="2" t="s">
        <v>1255</v>
      </c>
      <c r="D378" s="2" t="s">
        <v>2456</v>
      </c>
      <c r="E378" s="3" t="s">
        <v>1351</v>
      </c>
      <c r="F378" s="2" t="s">
        <v>2457</v>
      </c>
      <c r="G378" s="2" t="s">
        <v>2458</v>
      </c>
      <c r="H378" s="2" t="s">
        <v>209</v>
      </c>
      <c r="I378" s="2" t="s">
        <v>998</v>
      </c>
      <c r="J378" s="2" t="s">
        <v>30</v>
      </c>
      <c r="K378" s="2" t="s">
        <v>30</v>
      </c>
      <c r="L378" s="2" t="s">
        <v>361</v>
      </c>
      <c r="M378" s="2" t="s">
        <v>31</v>
      </c>
      <c r="N378" s="2" t="s">
        <v>476</v>
      </c>
      <c r="O378" s="2" t="s">
        <v>160</v>
      </c>
      <c r="P378" s="2" t="s">
        <v>2459</v>
      </c>
      <c r="Q378" s="2" t="s">
        <v>448</v>
      </c>
      <c r="R378" s="2" t="s">
        <v>440</v>
      </c>
      <c r="S378" s="2" t="s">
        <v>34</v>
      </c>
      <c r="T378" s="123">
        <v>2.339</v>
      </c>
      <c r="U378" s="2" t="s">
        <v>2460</v>
      </c>
      <c r="V378" s="136">
        <v>5.45E-2</v>
      </c>
      <c r="W378" s="138">
        <v>6.5589999999999996E-2</v>
      </c>
      <c r="X378" s="3" t="s">
        <v>445</v>
      </c>
      <c r="Y378" s="3" t="s">
        <v>160</v>
      </c>
      <c r="Z378" s="123">
        <v>43121.9</v>
      </c>
      <c r="AA378" s="132">
        <v>1</v>
      </c>
      <c r="AB378" s="149">
        <v>101.49</v>
      </c>
      <c r="AC378" s="123">
        <v>555.31799999999998</v>
      </c>
      <c r="AD378" s="123">
        <v>599.08299999999997</v>
      </c>
      <c r="AE378" s="2"/>
      <c r="AF378" s="2"/>
      <c r="AG378" s="2" t="s">
        <v>36</v>
      </c>
      <c r="AH378" s="138">
        <v>3.565E-3</v>
      </c>
      <c r="AI378" s="138">
        <v>2.1111289607322801E-3</v>
      </c>
      <c r="AJ378" s="138">
        <v>3.1770277173738E-4</v>
      </c>
    </row>
    <row r="379" spans="1:36">
      <c r="A379" s="2">
        <v>161</v>
      </c>
      <c r="B379" s="2">
        <v>9943</v>
      </c>
      <c r="C379" s="2" t="s">
        <v>2026</v>
      </c>
      <c r="D379" s="2" t="s">
        <v>2027</v>
      </c>
      <c r="E379" s="3" t="s">
        <v>1351</v>
      </c>
      <c r="F379" s="2" t="s">
        <v>2028</v>
      </c>
      <c r="G379" s="2" t="s">
        <v>2029</v>
      </c>
      <c r="H379" s="2" t="s">
        <v>209</v>
      </c>
      <c r="I379" s="2" t="s">
        <v>788</v>
      </c>
      <c r="J379" s="2" t="s">
        <v>30</v>
      </c>
      <c r="K379" s="2" t="s">
        <v>30</v>
      </c>
      <c r="L379" s="2" t="s">
        <v>361</v>
      </c>
      <c r="M379" s="2" t="s">
        <v>31</v>
      </c>
      <c r="N379" s="2" t="s">
        <v>495</v>
      </c>
      <c r="O379" s="2" t="s">
        <v>160</v>
      </c>
      <c r="P379" s="2" t="s">
        <v>2030</v>
      </c>
      <c r="Q379" s="2" t="s">
        <v>446</v>
      </c>
      <c r="R379" s="2" t="s">
        <v>440</v>
      </c>
      <c r="S379" s="2" t="s">
        <v>34</v>
      </c>
      <c r="T379" s="123">
        <v>2.8719999999999999</v>
      </c>
      <c r="U379" s="2" t="s">
        <v>2031</v>
      </c>
      <c r="V379" s="136">
        <v>2.7E-2</v>
      </c>
      <c r="W379" s="138">
        <v>2.9139999999999999E-2</v>
      </c>
      <c r="X379" s="3" t="s">
        <v>445</v>
      </c>
      <c r="Y379" s="3" t="s">
        <v>160</v>
      </c>
      <c r="Z379" s="123">
        <v>45968.4</v>
      </c>
      <c r="AA379" s="132">
        <v>1</v>
      </c>
      <c r="AB379" s="149">
        <v>108.07</v>
      </c>
      <c r="AC379" s="2"/>
      <c r="AD379" s="123">
        <v>49.677999999999997</v>
      </c>
      <c r="AE379" s="2"/>
      <c r="AF379" s="2"/>
      <c r="AG379" s="2" t="s">
        <v>36</v>
      </c>
      <c r="AH379" s="138">
        <v>1.17E-4</v>
      </c>
      <c r="AI379" s="138">
        <v>1.75062284749595E-4</v>
      </c>
      <c r="AJ379" s="138">
        <v>2.63450381886348E-5</v>
      </c>
    </row>
    <row r="380" spans="1:36">
      <c r="A380" s="2">
        <v>161</v>
      </c>
      <c r="B380" s="2">
        <v>9943</v>
      </c>
      <c r="C380" s="2" t="s">
        <v>2026</v>
      </c>
      <c r="D380" s="2" t="s">
        <v>2027</v>
      </c>
      <c r="E380" s="3" t="s">
        <v>1351</v>
      </c>
      <c r="F380" s="2" t="s">
        <v>2032</v>
      </c>
      <c r="G380" s="2" t="s">
        <v>2033</v>
      </c>
      <c r="H380" s="2" t="s">
        <v>209</v>
      </c>
      <c r="I380" s="2" t="s">
        <v>788</v>
      </c>
      <c r="J380" s="2" t="s">
        <v>30</v>
      </c>
      <c r="K380" s="2" t="s">
        <v>30</v>
      </c>
      <c r="L380" s="2" t="s">
        <v>361</v>
      </c>
      <c r="M380" s="2" t="s">
        <v>31</v>
      </c>
      <c r="N380" s="2" t="s">
        <v>495</v>
      </c>
      <c r="O380" s="2" t="s">
        <v>160</v>
      </c>
      <c r="P380" s="2" t="s">
        <v>2030</v>
      </c>
      <c r="Q380" s="2" t="s">
        <v>446</v>
      </c>
      <c r="R380" s="2" t="s">
        <v>440</v>
      </c>
      <c r="S380" s="2" t="s">
        <v>34</v>
      </c>
      <c r="T380" s="123">
        <v>2.2509999999999999</v>
      </c>
      <c r="U380" s="2" t="s">
        <v>2034</v>
      </c>
      <c r="V380" s="136">
        <v>1.7999999999999999E-2</v>
      </c>
      <c r="W380" s="138">
        <v>2.801E-2</v>
      </c>
      <c r="X380" s="3" t="s">
        <v>445</v>
      </c>
      <c r="Y380" s="3" t="s">
        <v>160</v>
      </c>
      <c r="Z380" s="123">
        <v>607684.47</v>
      </c>
      <c r="AA380" s="132">
        <v>1</v>
      </c>
      <c r="AB380" s="149">
        <v>115.55</v>
      </c>
      <c r="AC380" s="2"/>
      <c r="AD380" s="123">
        <v>702.17899999999997</v>
      </c>
      <c r="AE380" s="2"/>
      <c r="AF380" s="2"/>
      <c r="AG380" s="2" t="s">
        <v>36</v>
      </c>
      <c r="AH380" s="138">
        <v>8.2200000000000003E-4</v>
      </c>
      <c r="AI380" s="138">
        <v>2.47443551538806E-3</v>
      </c>
      <c r="AJ380" s="138">
        <v>3.7237659865720102E-4</v>
      </c>
    </row>
    <row r="381" spans="1:36">
      <c r="A381" s="2">
        <v>161</v>
      </c>
      <c r="B381" s="2">
        <v>9943</v>
      </c>
      <c r="C381" s="2" t="s">
        <v>2026</v>
      </c>
      <c r="D381" s="2" t="s">
        <v>2027</v>
      </c>
      <c r="E381" s="3" t="s">
        <v>1351</v>
      </c>
      <c r="F381" s="2" t="s">
        <v>2286</v>
      </c>
      <c r="G381" s="2" t="s">
        <v>2287</v>
      </c>
      <c r="H381" s="2" t="s">
        <v>209</v>
      </c>
      <c r="I381" s="2" t="s">
        <v>788</v>
      </c>
      <c r="J381" s="2" t="s">
        <v>30</v>
      </c>
      <c r="K381" s="2" t="s">
        <v>30</v>
      </c>
      <c r="L381" s="2" t="s">
        <v>361</v>
      </c>
      <c r="M381" s="2" t="s">
        <v>31</v>
      </c>
      <c r="N381" s="2" t="s">
        <v>495</v>
      </c>
      <c r="O381" s="2" t="s">
        <v>160</v>
      </c>
      <c r="P381" s="2" t="s">
        <v>2013</v>
      </c>
      <c r="Q381" s="2" t="s">
        <v>446</v>
      </c>
      <c r="R381" s="2" t="s">
        <v>440</v>
      </c>
      <c r="S381" s="2" t="s">
        <v>34</v>
      </c>
      <c r="T381" s="123">
        <v>1.4690000000000001</v>
      </c>
      <c r="U381" s="2" t="s">
        <v>2282</v>
      </c>
      <c r="V381" s="136">
        <v>2.2499999999999999E-2</v>
      </c>
      <c r="W381" s="138">
        <v>2.9739999999999999E-2</v>
      </c>
      <c r="X381" s="3" t="s">
        <v>445</v>
      </c>
      <c r="Y381" s="3" t="s">
        <v>160</v>
      </c>
      <c r="Z381" s="123">
        <v>205968.44</v>
      </c>
      <c r="AA381" s="132">
        <v>1</v>
      </c>
      <c r="AB381" s="149">
        <v>116.57</v>
      </c>
      <c r="AC381" s="2"/>
      <c r="AD381" s="123">
        <v>240.09700000000001</v>
      </c>
      <c r="AE381" s="2"/>
      <c r="AF381" s="2"/>
      <c r="AG381" s="2" t="s">
        <v>36</v>
      </c>
      <c r="AH381" s="138">
        <v>8.25E-4</v>
      </c>
      <c r="AI381" s="138">
        <v>8.4608798750197595E-4</v>
      </c>
      <c r="AJ381" s="138">
        <v>1.2732737021893699E-4</v>
      </c>
    </row>
    <row r="382" spans="1:36">
      <c r="A382" s="2">
        <v>161</v>
      </c>
      <c r="B382" s="2">
        <v>9943</v>
      </c>
      <c r="C382" s="2" t="s">
        <v>2288</v>
      </c>
      <c r="D382" s="2" t="s">
        <v>2289</v>
      </c>
      <c r="E382" s="3" t="s">
        <v>1351</v>
      </c>
      <c r="F382" s="2" t="s">
        <v>2461</v>
      </c>
      <c r="G382" s="2" t="s">
        <v>2462</v>
      </c>
      <c r="H382" s="2" t="s">
        <v>209</v>
      </c>
      <c r="I382" s="2" t="s">
        <v>998</v>
      </c>
      <c r="J382" s="2" t="s">
        <v>30</v>
      </c>
      <c r="K382" s="2" t="s">
        <v>30</v>
      </c>
      <c r="L382" s="2" t="s">
        <v>361</v>
      </c>
      <c r="M382" s="2" t="s">
        <v>31</v>
      </c>
      <c r="N382" s="2" t="s">
        <v>476</v>
      </c>
      <c r="O382" s="2" t="s">
        <v>160</v>
      </c>
      <c r="P382" s="2" t="s">
        <v>1969</v>
      </c>
      <c r="Q382" s="2" t="s">
        <v>446</v>
      </c>
      <c r="R382" s="2" t="s">
        <v>440</v>
      </c>
      <c r="S382" s="2" t="s">
        <v>34</v>
      </c>
      <c r="T382" s="123">
        <v>6.8</v>
      </c>
      <c r="U382" s="2" t="s">
        <v>2404</v>
      </c>
      <c r="V382" s="136">
        <v>2.63E-2</v>
      </c>
      <c r="W382" s="138">
        <v>4.743E-2</v>
      </c>
      <c r="X382" s="3" t="s">
        <v>445</v>
      </c>
      <c r="Y382" s="3" t="s">
        <v>160</v>
      </c>
      <c r="Z382" s="123">
        <v>172534</v>
      </c>
      <c r="AA382" s="132">
        <v>1</v>
      </c>
      <c r="AB382" s="149">
        <v>87.1</v>
      </c>
      <c r="AC382" s="2"/>
      <c r="AD382" s="123">
        <v>150.27699999999999</v>
      </c>
      <c r="AE382" s="2"/>
      <c r="AF382" s="2"/>
      <c r="AG382" s="2" t="s">
        <v>36</v>
      </c>
      <c r="AH382" s="138">
        <v>2.4899999999999998E-4</v>
      </c>
      <c r="AI382" s="138">
        <v>5.29566981513232E-4</v>
      </c>
      <c r="AJ382" s="138">
        <v>7.96942777901133E-5</v>
      </c>
    </row>
    <row r="383" spans="1:36">
      <c r="A383" s="2">
        <v>161</v>
      </c>
      <c r="B383" s="2">
        <v>9943</v>
      </c>
      <c r="C383" s="2" t="s">
        <v>2288</v>
      </c>
      <c r="D383" s="2" t="s">
        <v>2289</v>
      </c>
      <c r="E383" s="3" t="s">
        <v>1351</v>
      </c>
      <c r="F383" s="2" t="s">
        <v>2463</v>
      </c>
      <c r="G383" s="2" t="s">
        <v>2464</v>
      </c>
      <c r="H383" s="2" t="s">
        <v>209</v>
      </c>
      <c r="I383" s="2" t="s">
        <v>998</v>
      </c>
      <c r="J383" s="2" t="s">
        <v>30</v>
      </c>
      <c r="K383" s="2" t="s">
        <v>30</v>
      </c>
      <c r="L383" s="2" t="s">
        <v>361</v>
      </c>
      <c r="M383" s="2" t="s">
        <v>58</v>
      </c>
      <c r="N383" s="2" t="s">
        <v>476</v>
      </c>
      <c r="O383" s="2" t="s">
        <v>160</v>
      </c>
      <c r="P383" s="2" t="s">
        <v>1969</v>
      </c>
      <c r="Q383" s="2" t="s">
        <v>446</v>
      </c>
      <c r="R383" s="2" t="s">
        <v>440</v>
      </c>
      <c r="S383" s="2" t="s">
        <v>34</v>
      </c>
      <c r="T383" s="123">
        <v>6.8650000000000002</v>
      </c>
      <c r="U383" s="2" t="s">
        <v>2465</v>
      </c>
      <c r="V383" s="136">
        <v>6.0199999999999997E-2</v>
      </c>
      <c r="W383" s="138">
        <v>4.7699999999999999E-2</v>
      </c>
      <c r="X383" s="3" t="s">
        <v>445</v>
      </c>
      <c r="Y383" s="3" t="s">
        <v>160</v>
      </c>
      <c r="Z383" s="123">
        <v>3150000</v>
      </c>
      <c r="AA383" s="132">
        <v>1</v>
      </c>
      <c r="AB383" s="149">
        <v>109.04</v>
      </c>
      <c r="AC383" s="2"/>
      <c r="AD383" s="123">
        <v>3434.76</v>
      </c>
      <c r="AE383" s="2"/>
      <c r="AF383" s="2"/>
      <c r="AG383" s="2" t="s">
        <v>36</v>
      </c>
      <c r="AH383" s="138">
        <v>6.3E-3</v>
      </c>
      <c r="AI383" s="138">
        <v>1.2103875547027E-2</v>
      </c>
      <c r="AJ383" s="138">
        <v>1.8215063511425301E-3</v>
      </c>
    </row>
    <row r="384" spans="1:36">
      <c r="A384" s="2">
        <v>161</v>
      </c>
      <c r="B384" s="2">
        <v>9943</v>
      </c>
      <c r="C384" s="2" t="s">
        <v>1948</v>
      </c>
      <c r="D384" s="2" t="s">
        <v>1949</v>
      </c>
      <c r="E384" s="3" t="s">
        <v>1351</v>
      </c>
      <c r="F384" s="2" t="s">
        <v>2466</v>
      </c>
      <c r="G384" s="2" t="s">
        <v>2467</v>
      </c>
      <c r="H384" s="2" t="s">
        <v>209</v>
      </c>
      <c r="I384" s="2" t="s">
        <v>788</v>
      </c>
      <c r="J384" s="2" t="s">
        <v>30</v>
      </c>
      <c r="K384" s="2" t="s">
        <v>30</v>
      </c>
      <c r="L384" s="2" t="s">
        <v>361</v>
      </c>
      <c r="M384" s="2" t="s">
        <v>31</v>
      </c>
      <c r="N384" s="2" t="s">
        <v>478</v>
      </c>
      <c r="O384" s="2" t="s">
        <v>160</v>
      </c>
      <c r="P384" s="2" t="s">
        <v>211</v>
      </c>
      <c r="Q384" s="2" t="s">
        <v>211</v>
      </c>
      <c r="R384" s="2" t="s">
        <v>211</v>
      </c>
      <c r="S384" s="2" t="s">
        <v>34</v>
      </c>
      <c r="T384" s="123">
        <v>1.107</v>
      </c>
      <c r="U384" s="2" t="s">
        <v>2109</v>
      </c>
      <c r="V384" s="136">
        <v>3.5000000000000003E-2</v>
      </c>
      <c r="W384" s="138">
        <v>3.8109999999999998E-2</v>
      </c>
      <c r="X384" s="3" t="s">
        <v>445</v>
      </c>
      <c r="Y384" s="3" t="s">
        <v>160</v>
      </c>
      <c r="Z384" s="123">
        <v>74216.89</v>
      </c>
      <c r="AA384" s="132">
        <v>1</v>
      </c>
      <c r="AB384" s="149">
        <v>110.5</v>
      </c>
      <c r="AC384" s="2"/>
      <c r="AD384" s="123">
        <v>82.01</v>
      </c>
      <c r="AE384" s="2"/>
      <c r="AF384" s="2"/>
      <c r="AG384" s="2" t="s">
        <v>36</v>
      </c>
      <c r="AH384" s="138">
        <v>4.8899999999999996E-4</v>
      </c>
      <c r="AI384" s="138">
        <v>2.8899683239945998E-4</v>
      </c>
      <c r="AJ384" s="138">
        <v>4.3490992916313302E-5</v>
      </c>
    </row>
    <row r="385" spans="1:36">
      <c r="A385" s="2">
        <v>161</v>
      </c>
      <c r="B385" s="2">
        <v>9943</v>
      </c>
      <c r="C385" s="2" t="s">
        <v>1948</v>
      </c>
      <c r="D385" s="2" t="s">
        <v>1949</v>
      </c>
      <c r="E385" s="3" t="s">
        <v>1351</v>
      </c>
      <c r="F385" s="2" t="s">
        <v>2045</v>
      </c>
      <c r="G385" s="2" t="s">
        <v>2046</v>
      </c>
      <c r="H385" s="2" t="s">
        <v>209</v>
      </c>
      <c r="I385" s="2" t="s">
        <v>998</v>
      </c>
      <c r="J385" s="2" t="s">
        <v>30</v>
      </c>
      <c r="K385" s="2" t="s">
        <v>30</v>
      </c>
      <c r="L385" s="2" t="s">
        <v>361</v>
      </c>
      <c r="M385" s="2" t="s">
        <v>58</v>
      </c>
      <c r="N385" s="2" t="s">
        <v>478</v>
      </c>
      <c r="O385" s="2" t="s">
        <v>160</v>
      </c>
      <c r="P385" s="2" t="s">
        <v>211</v>
      </c>
      <c r="Q385" s="2" t="s">
        <v>211</v>
      </c>
      <c r="R385" s="2" t="s">
        <v>211</v>
      </c>
      <c r="S385" s="2" t="s">
        <v>34</v>
      </c>
      <c r="T385" s="123">
        <v>1.9419999999999999</v>
      </c>
      <c r="U385" s="2" t="s">
        <v>2047</v>
      </c>
      <c r="V385" s="136">
        <v>6.5000000000000002E-2</v>
      </c>
      <c r="W385" s="138">
        <v>6.1740000000000003E-2</v>
      </c>
      <c r="X385" s="3" t="s">
        <v>445</v>
      </c>
      <c r="Y385" s="3" t="s">
        <v>160</v>
      </c>
      <c r="Z385" s="123">
        <v>72966</v>
      </c>
      <c r="AA385" s="132">
        <v>1</v>
      </c>
      <c r="AB385" s="149">
        <v>100.78</v>
      </c>
      <c r="AC385" s="123">
        <v>2.371</v>
      </c>
      <c r="AD385" s="123">
        <v>75.906999999999996</v>
      </c>
      <c r="AE385" s="2"/>
      <c r="AF385" s="2"/>
      <c r="AG385" s="2" t="s">
        <v>36</v>
      </c>
      <c r="AH385" s="138">
        <v>2.4800000000000001E-4</v>
      </c>
      <c r="AI385" s="138">
        <v>2.6748979562626597E-4</v>
      </c>
      <c r="AJ385" s="138">
        <v>4.0254409400197199E-5</v>
      </c>
    </row>
    <row r="386" spans="1:36">
      <c r="A386" s="2">
        <v>161</v>
      </c>
      <c r="B386" s="2">
        <v>9943</v>
      </c>
      <c r="C386" s="2" t="s">
        <v>2048</v>
      </c>
      <c r="D386" s="2" t="s">
        <v>2049</v>
      </c>
      <c r="E386" s="3" t="s">
        <v>1351</v>
      </c>
      <c r="F386" s="2" t="s">
        <v>2056</v>
      </c>
      <c r="G386" s="2" t="s">
        <v>2057</v>
      </c>
      <c r="H386" s="2" t="s">
        <v>209</v>
      </c>
      <c r="I386" s="2" t="s">
        <v>788</v>
      </c>
      <c r="J386" s="2" t="s">
        <v>30</v>
      </c>
      <c r="K386" s="2" t="s">
        <v>30</v>
      </c>
      <c r="L386" s="2" t="s">
        <v>361</v>
      </c>
      <c r="M386" s="2" t="s">
        <v>31</v>
      </c>
      <c r="N386" s="2" t="s">
        <v>471</v>
      </c>
      <c r="O386" s="2" t="s">
        <v>160</v>
      </c>
      <c r="P386" s="2" t="s">
        <v>1199</v>
      </c>
      <c r="Q386" s="2" t="s">
        <v>446</v>
      </c>
      <c r="R386" s="2" t="s">
        <v>440</v>
      </c>
      <c r="S386" s="2" t="s">
        <v>34</v>
      </c>
      <c r="T386" s="123">
        <v>5.1180000000000003</v>
      </c>
      <c r="U386" s="2" t="s">
        <v>2058</v>
      </c>
      <c r="V386" s="136">
        <v>2.3900000000000001E-2</v>
      </c>
      <c r="W386" s="138">
        <v>2.6190000000000001E-2</v>
      </c>
      <c r="X386" s="3" t="s">
        <v>445</v>
      </c>
      <c r="Y386" s="3" t="s">
        <v>160</v>
      </c>
      <c r="Z386" s="123">
        <v>2938347</v>
      </c>
      <c r="AA386" s="132">
        <v>1</v>
      </c>
      <c r="AB386" s="149">
        <v>116.21</v>
      </c>
      <c r="AC386" s="2"/>
      <c r="AD386" s="123">
        <v>3414.6529999999998</v>
      </c>
      <c r="AE386" s="2"/>
      <c r="AF386" s="2"/>
      <c r="AG386" s="2" t="s">
        <v>36</v>
      </c>
      <c r="AH386" s="138">
        <v>7.5600000000000005E-4</v>
      </c>
      <c r="AI386" s="138">
        <v>1.2033019930866E-2</v>
      </c>
      <c r="AJ386" s="138">
        <v>1.8108433238873301E-3</v>
      </c>
    </row>
    <row r="387" spans="1:36">
      <c r="A387" s="2">
        <v>161</v>
      </c>
      <c r="B387" s="2">
        <v>9943</v>
      </c>
      <c r="C387" s="2" t="s">
        <v>2048</v>
      </c>
      <c r="D387" s="2" t="s">
        <v>2049</v>
      </c>
      <c r="E387" s="3" t="s">
        <v>1351</v>
      </c>
      <c r="F387" s="2" t="s">
        <v>2292</v>
      </c>
      <c r="G387" s="2" t="s">
        <v>2293</v>
      </c>
      <c r="H387" s="2" t="s">
        <v>209</v>
      </c>
      <c r="I387" s="2" t="s">
        <v>788</v>
      </c>
      <c r="J387" s="2" t="s">
        <v>30</v>
      </c>
      <c r="K387" s="2" t="s">
        <v>30</v>
      </c>
      <c r="L387" s="2" t="s">
        <v>361</v>
      </c>
      <c r="M387" s="2" t="s">
        <v>31</v>
      </c>
      <c r="N387" s="2" t="s">
        <v>471</v>
      </c>
      <c r="O387" s="2" t="s">
        <v>160</v>
      </c>
      <c r="P387" s="2" t="s">
        <v>1199</v>
      </c>
      <c r="Q387" s="2" t="s">
        <v>446</v>
      </c>
      <c r="R387" s="2" t="s">
        <v>440</v>
      </c>
      <c r="S387" s="2" t="s">
        <v>34</v>
      </c>
      <c r="T387" s="123">
        <v>10.196</v>
      </c>
      <c r="U387" s="2" t="s">
        <v>131</v>
      </c>
      <c r="V387" s="136">
        <v>1.2500000000000001E-2</v>
      </c>
      <c r="W387" s="138">
        <v>2.793E-2</v>
      </c>
      <c r="X387" s="3" t="s">
        <v>445</v>
      </c>
      <c r="Y387" s="3" t="s">
        <v>160</v>
      </c>
      <c r="Z387" s="123">
        <v>1500000</v>
      </c>
      <c r="AA387" s="132">
        <v>1</v>
      </c>
      <c r="AB387" s="149">
        <v>98.88</v>
      </c>
      <c r="AC387" s="2"/>
      <c r="AD387" s="123">
        <v>1483.2</v>
      </c>
      <c r="AE387" s="2"/>
      <c r="AF387" s="2"/>
      <c r="AG387" s="2" t="s">
        <v>36</v>
      </c>
      <c r="AH387" s="138">
        <v>3.4900000000000003E-4</v>
      </c>
      <c r="AI387" s="138">
        <v>5.2267023638770897E-3</v>
      </c>
      <c r="AJ387" s="138">
        <v>7.8656389966536098E-4</v>
      </c>
    </row>
    <row r="388" spans="1:36">
      <c r="A388" s="2">
        <v>161</v>
      </c>
      <c r="B388" s="2">
        <v>9943</v>
      </c>
      <c r="C388" s="2" t="s">
        <v>2048</v>
      </c>
      <c r="D388" s="2" t="s">
        <v>2049</v>
      </c>
      <c r="E388" s="3" t="s">
        <v>1351</v>
      </c>
      <c r="F388" s="2" t="s">
        <v>2468</v>
      </c>
      <c r="G388" s="2" t="s">
        <v>2469</v>
      </c>
      <c r="H388" s="2" t="s">
        <v>209</v>
      </c>
      <c r="I388" s="2" t="s">
        <v>788</v>
      </c>
      <c r="J388" s="2" t="s">
        <v>30</v>
      </c>
      <c r="K388" s="2" t="s">
        <v>30</v>
      </c>
      <c r="L388" s="2" t="s">
        <v>361</v>
      </c>
      <c r="M388" s="2" t="s">
        <v>31</v>
      </c>
      <c r="N388" s="2" t="s">
        <v>471</v>
      </c>
      <c r="O388" s="2" t="s">
        <v>160</v>
      </c>
      <c r="P388" s="2" t="s">
        <v>1199</v>
      </c>
      <c r="Q388" s="2" t="s">
        <v>446</v>
      </c>
      <c r="R388" s="2" t="s">
        <v>440</v>
      </c>
      <c r="S388" s="2" t="s">
        <v>34</v>
      </c>
      <c r="T388" s="123">
        <v>10.058999999999999</v>
      </c>
      <c r="U388" s="2" t="s">
        <v>2470</v>
      </c>
      <c r="V388" s="136">
        <v>3.2000000000000001E-2</v>
      </c>
      <c r="W388" s="138">
        <v>2.7959999999999999E-2</v>
      </c>
      <c r="X388" s="3" t="s">
        <v>445</v>
      </c>
      <c r="Y388" s="3" t="s">
        <v>160</v>
      </c>
      <c r="Z388" s="123">
        <v>3000000</v>
      </c>
      <c r="AA388" s="132">
        <v>1</v>
      </c>
      <c r="AB388" s="149">
        <v>110.87</v>
      </c>
      <c r="AC388" s="2"/>
      <c r="AD388" s="123">
        <v>3326.1</v>
      </c>
      <c r="AE388" s="2"/>
      <c r="AF388" s="2"/>
      <c r="AG388" s="2" t="s">
        <v>36</v>
      </c>
      <c r="AH388" s="138">
        <v>6.0899999999999995E-4</v>
      </c>
      <c r="AI388" s="138">
        <v>1.1720964625466301E-2</v>
      </c>
      <c r="AJ388" s="138">
        <v>1.7638822725707601E-3</v>
      </c>
    </row>
    <row r="389" spans="1:36">
      <c r="A389" s="2">
        <v>161</v>
      </c>
      <c r="B389" s="2">
        <v>9943</v>
      </c>
      <c r="C389" s="2" t="s">
        <v>2471</v>
      </c>
      <c r="D389" s="2" t="s">
        <v>2472</v>
      </c>
      <c r="E389" s="3" t="s">
        <v>1351</v>
      </c>
      <c r="F389" s="2" t="s">
        <v>2473</v>
      </c>
      <c r="G389" s="2" t="s">
        <v>2474</v>
      </c>
      <c r="H389" s="2" t="s">
        <v>209</v>
      </c>
      <c r="I389" s="2" t="s">
        <v>788</v>
      </c>
      <c r="J389" s="2" t="s">
        <v>30</v>
      </c>
      <c r="K389" s="2" t="s">
        <v>30</v>
      </c>
      <c r="L389" s="2" t="s">
        <v>361</v>
      </c>
      <c r="M389" s="2" t="s">
        <v>31</v>
      </c>
      <c r="N389" s="2" t="s">
        <v>479</v>
      </c>
      <c r="O389" s="2" t="s">
        <v>160</v>
      </c>
      <c r="P389" s="2" t="s">
        <v>1969</v>
      </c>
      <c r="Q389" s="2" t="s">
        <v>446</v>
      </c>
      <c r="R389" s="2" t="s">
        <v>440</v>
      </c>
      <c r="S389" s="2" t="s">
        <v>34</v>
      </c>
      <c r="T389" s="123">
        <v>3.8740000000000001</v>
      </c>
      <c r="U389" s="2" t="s">
        <v>2475</v>
      </c>
      <c r="V389" s="136">
        <v>2.5899999999999999E-2</v>
      </c>
      <c r="W389" s="138">
        <v>2.7470000000000001E-2</v>
      </c>
      <c r="X389" s="3" t="s">
        <v>445</v>
      </c>
      <c r="Y389" s="3" t="s">
        <v>160</v>
      </c>
      <c r="Z389" s="123">
        <v>30394</v>
      </c>
      <c r="AA389" s="132">
        <v>1</v>
      </c>
      <c r="AB389" s="149">
        <v>105.24</v>
      </c>
      <c r="AC389" s="2"/>
      <c r="AD389" s="123">
        <v>31.986999999999998</v>
      </c>
      <c r="AE389" s="2"/>
      <c r="AF389" s="2"/>
      <c r="AG389" s="2" t="s">
        <v>36</v>
      </c>
      <c r="AH389" s="138">
        <v>4.5000000000000003E-5</v>
      </c>
      <c r="AI389" s="138">
        <v>1.1271890248787701E-4</v>
      </c>
      <c r="AJ389" s="138">
        <v>1.6963012877797898E-5</v>
      </c>
    </row>
    <row r="390" spans="1:36">
      <c r="A390" s="2">
        <v>161</v>
      </c>
      <c r="B390" s="2">
        <v>9943</v>
      </c>
      <c r="C390" s="2" t="s">
        <v>1663</v>
      </c>
      <c r="D390" s="2" t="s">
        <v>1664</v>
      </c>
      <c r="E390" s="3" t="s">
        <v>1351</v>
      </c>
      <c r="F390" s="2" t="s">
        <v>2476</v>
      </c>
      <c r="G390" s="2" t="s">
        <v>2477</v>
      </c>
      <c r="H390" s="2" t="s">
        <v>209</v>
      </c>
      <c r="I390" s="2" t="s">
        <v>998</v>
      </c>
      <c r="J390" s="2" t="s">
        <v>30</v>
      </c>
      <c r="K390" s="2" t="s">
        <v>30</v>
      </c>
      <c r="L390" s="2" t="s">
        <v>361</v>
      </c>
      <c r="M390" s="2" t="s">
        <v>31</v>
      </c>
      <c r="N390" s="2" t="s">
        <v>478</v>
      </c>
      <c r="O390" s="2" t="s">
        <v>160</v>
      </c>
      <c r="P390" s="2" t="s">
        <v>2013</v>
      </c>
      <c r="Q390" s="2" t="s">
        <v>446</v>
      </c>
      <c r="R390" s="2" t="s">
        <v>440</v>
      </c>
      <c r="S390" s="2" t="s">
        <v>34</v>
      </c>
      <c r="T390" s="123">
        <v>1.4570000000000001</v>
      </c>
      <c r="U390" s="2" t="s">
        <v>2282</v>
      </c>
      <c r="V390" s="136">
        <v>3.95E-2</v>
      </c>
      <c r="W390" s="138">
        <v>5.5649999999999998E-2</v>
      </c>
      <c r="X390" s="3" t="s">
        <v>445</v>
      </c>
      <c r="Y390" s="3" t="s">
        <v>160</v>
      </c>
      <c r="Z390" s="123">
        <v>112805</v>
      </c>
      <c r="AA390" s="132">
        <v>1</v>
      </c>
      <c r="AB390" s="149">
        <v>97.85</v>
      </c>
      <c r="AC390" s="2"/>
      <c r="AD390" s="123">
        <v>110.38</v>
      </c>
      <c r="AE390" s="2"/>
      <c r="AF390" s="2"/>
      <c r="AG390" s="2" t="s">
        <v>36</v>
      </c>
      <c r="AH390" s="138">
        <v>1.92E-4</v>
      </c>
      <c r="AI390" s="138">
        <v>3.8897100843701199E-4</v>
      </c>
      <c r="AJ390" s="138">
        <v>5.8536058101849602E-5</v>
      </c>
    </row>
    <row r="391" spans="1:36">
      <c r="A391" s="2">
        <v>161</v>
      </c>
      <c r="B391" s="2">
        <v>9943</v>
      </c>
      <c r="C391" s="2" t="s">
        <v>1846</v>
      </c>
      <c r="D391" s="2" t="s">
        <v>1847</v>
      </c>
      <c r="E391" s="3" t="s">
        <v>1351</v>
      </c>
      <c r="F391" s="2" t="s">
        <v>2070</v>
      </c>
      <c r="G391" s="2" t="s">
        <v>2071</v>
      </c>
      <c r="H391" s="2" t="s">
        <v>209</v>
      </c>
      <c r="I391" s="2" t="s">
        <v>788</v>
      </c>
      <c r="J391" s="2" t="s">
        <v>30</v>
      </c>
      <c r="K391" s="2" t="s">
        <v>30</v>
      </c>
      <c r="L391" s="2" t="s">
        <v>361</v>
      </c>
      <c r="M391" s="2" t="s">
        <v>31</v>
      </c>
      <c r="N391" s="2" t="s">
        <v>495</v>
      </c>
      <c r="O391" s="2" t="s">
        <v>160</v>
      </c>
      <c r="P391" s="2" t="s">
        <v>1956</v>
      </c>
      <c r="Q391" s="2" t="s">
        <v>446</v>
      </c>
      <c r="R391" s="2" t="s">
        <v>440</v>
      </c>
      <c r="S391" s="2" t="s">
        <v>34</v>
      </c>
      <c r="T391" s="123">
        <v>1.7569999999999999</v>
      </c>
      <c r="U391" s="2" t="s">
        <v>2072</v>
      </c>
      <c r="V391" s="136">
        <v>1.5800000000000002E-2</v>
      </c>
      <c r="W391" s="138">
        <v>2.7789999999999999E-2</v>
      </c>
      <c r="X391" s="3" t="s">
        <v>445</v>
      </c>
      <c r="Y391" s="3" t="s">
        <v>160</v>
      </c>
      <c r="Z391" s="123">
        <v>1989097.16</v>
      </c>
      <c r="AA391" s="132">
        <v>1</v>
      </c>
      <c r="AB391" s="149">
        <v>116.04</v>
      </c>
      <c r="AC391" s="2"/>
      <c r="AD391" s="123">
        <v>2308.1480000000001</v>
      </c>
      <c r="AE391" s="2"/>
      <c r="AF391" s="2"/>
      <c r="AG391" s="2" t="s">
        <v>36</v>
      </c>
      <c r="AH391" s="138">
        <v>5.0540000000000003E-3</v>
      </c>
      <c r="AI391" s="138">
        <v>8.1337678048739002E-3</v>
      </c>
      <c r="AJ391" s="138">
        <v>1.22404676566057E-3</v>
      </c>
    </row>
    <row r="392" spans="1:36">
      <c r="A392" s="2">
        <v>161</v>
      </c>
      <c r="B392" s="2">
        <v>9943</v>
      </c>
      <c r="C392" s="2" t="s">
        <v>1846</v>
      </c>
      <c r="D392" s="2" t="s">
        <v>1847</v>
      </c>
      <c r="E392" s="3" t="s">
        <v>1351</v>
      </c>
      <c r="F392" s="2" t="s">
        <v>2073</v>
      </c>
      <c r="G392" s="2" t="s">
        <v>2074</v>
      </c>
      <c r="H392" s="2" t="s">
        <v>209</v>
      </c>
      <c r="I392" s="2" t="s">
        <v>788</v>
      </c>
      <c r="J392" s="2" t="s">
        <v>30</v>
      </c>
      <c r="K392" s="2" t="s">
        <v>30</v>
      </c>
      <c r="L392" s="2" t="s">
        <v>361</v>
      </c>
      <c r="M392" s="2" t="s">
        <v>31</v>
      </c>
      <c r="N392" s="2" t="s">
        <v>495</v>
      </c>
      <c r="O392" s="2" t="s">
        <v>160</v>
      </c>
      <c r="P392" s="2" t="s">
        <v>1956</v>
      </c>
      <c r="Q392" s="2" t="s">
        <v>446</v>
      </c>
      <c r="R392" s="2" t="s">
        <v>440</v>
      </c>
      <c r="S392" s="2" t="s">
        <v>34</v>
      </c>
      <c r="T392" s="123">
        <v>4.2240000000000002</v>
      </c>
      <c r="U392" s="2" t="s">
        <v>2075</v>
      </c>
      <c r="V392" s="136">
        <v>8.3999999999999995E-3</v>
      </c>
      <c r="W392" s="138">
        <v>2.7869999999999999E-2</v>
      </c>
      <c r="X392" s="3" t="s">
        <v>445</v>
      </c>
      <c r="Y392" s="3" t="s">
        <v>160</v>
      </c>
      <c r="Z392" s="123">
        <v>142151.01</v>
      </c>
      <c r="AA392" s="132">
        <v>1</v>
      </c>
      <c r="AB392" s="149">
        <v>107.28</v>
      </c>
      <c r="AC392" s="2"/>
      <c r="AD392" s="123">
        <v>152.5</v>
      </c>
      <c r="AE392" s="2"/>
      <c r="AF392" s="2"/>
      <c r="AG392" s="2" t="s">
        <v>36</v>
      </c>
      <c r="AH392" s="138">
        <v>1.85E-4</v>
      </c>
      <c r="AI392" s="138">
        <v>5.3739889310282902E-4</v>
      </c>
      <c r="AJ392" s="138">
        <v>8.0872898360575201E-5</v>
      </c>
    </row>
    <row r="393" spans="1:36">
      <c r="A393" s="2">
        <v>161</v>
      </c>
      <c r="B393" s="2">
        <v>9943</v>
      </c>
      <c r="C393" s="2" t="s">
        <v>2076</v>
      </c>
      <c r="D393" s="2" t="s">
        <v>2077</v>
      </c>
      <c r="E393" s="3" t="s">
        <v>1351</v>
      </c>
      <c r="F393" s="2" t="s">
        <v>2078</v>
      </c>
      <c r="G393" s="2" t="s">
        <v>2079</v>
      </c>
      <c r="H393" s="2" t="s">
        <v>209</v>
      </c>
      <c r="I393" s="2" t="s">
        <v>998</v>
      </c>
      <c r="J393" s="2" t="s">
        <v>30</v>
      </c>
      <c r="K393" s="2" t="s">
        <v>30</v>
      </c>
      <c r="L393" s="2" t="s">
        <v>361</v>
      </c>
      <c r="M393" s="2" t="s">
        <v>31</v>
      </c>
      <c r="N393" s="2" t="s">
        <v>476</v>
      </c>
      <c r="O393" s="2" t="s">
        <v>160</v>
      </c>
      <c r="P393" s="2" t="s">
        <v>1969</v>
      </c>
      <c r="Q393" s="2" t="s">
        <v>446</v>
      </c>
      <c r="R393" s="2" t="s">
        <v>440</v>
      </c>
      <c r="S393" s="2" t="s">
        <v>34</v>
      </c>
      <c r="T393" s="123">
        <v>6.1639999999999997</v>
      </c>
      <c r="U393" s="2" t="s">
        <v>2080</v>
      </c>
      <c r="V393" s="136">
        <v>2.5000000000000001E-2</v>
      </c>
      <c r="W393" s="138">
        <v>4.8559999999999999E-2</v>
      </c>
      <c r="X393" s="3" t="s">
        <v>445</v>
      </c>
      <c r="Y393" s="3" t="s">
        <v>160</v>
      </c>
      <c r="Z393" s="123">
        <v>93813</v>
      </c>
      <c r="AA393" s="132">
        <v>1</v>
      </c>
      <c r="AB393" s="149">
        <v>87.5</v>
      </c>
      <c r="AC393" s="2"/>
      <c r="AD393" s="123">
        <v>82.085999999999999</v>
      </c>
      <c r="AE393" s="2"/>
      <c r="AF393" s="2"/>
      <c r="AG393" s="2" t="s">
        <v>36</v>
      </c>
      <c r="AH393" s="138">
        <v>6.9999999999999994E-5</v>
      </c>
      <c r="AI393" s="138">
        <v>2.8926715901739502E-4</v>
      </c>
      <c r="AJ393" s="138">
        <v>4.35316742377247E-5</v>
      </c>
    </row>
    <row r="394" spans="1:36">
      <c r="A394" s="2">
        <v>161</v>
      </c>
      <c r="B394" s="2">
        <v>9943</v>
      </c>
      <c r="C394" s="2" t="s">
        <v>2076</v>
      </c>
      <c r="D394" s="2" t="s">
        <v>2077</v>
      </c>
      <c r="E394" s="3" t="s">
        <v>1351</v>
      </c>
      <c r="F394" s="2" t="s">
        <v>2294</v>
      </c>
      <c r="G394" s="2" t="s">
        <v>2295</v>
      </c>
      <c r="H394" s="2" t="s">
        <v>209</v>
      </c>
      <c r="I394" s="2" t="s">
        <v>788</v>
      </c>
      <c r="J394" s="2" t="s">
        <v>30</v>
      </c>
      <c r="K394" s="2" t="s">
        <v>30</v>
      </c>
      <c r="L394" s="2" t="s">
        <v>361</v>
      </c>
      <c r="M394" s="2" t="s">
        <v>31</v>
      </c>
      <c r="N394" s="2" t="s">
        <v>476</v>
      </c>
      <c r="O394" s="2" t="s">
        <v>160</v>
      </c>
      <c r="P394" s="2" t="s">
        <v>1969</v>
      </c>
      <c r="Q394" s="2" t="s">
        <v>446</v>
      </c>
      <c r="R394" s="2" t="s">
        <v>440</v>
      </c>
      <c r="S394" s="2" t="s">
        <v>34</v>
      </c>
      <c r="T394" s="123">
        <v>7.9000000000000001E-2</v>
      </c>
      <c r="U394" s="2" t="s">
        <v>1340</v>
      </c>
      <c r="V394" s="136">
        <v>2.4799999999999999E-2</v>
      </c>
      <c r="W394" s="138">
        <v>5.1540000000000002E-2</v>
      </c>
      <c r="X394" s="3" t="s">
        <v>445</v>
      </c>
      <c r="Y394" s="3" t="s">
        <v>160</v>
      </c>
      <c r="Z394" s="123">
        <v>1873700.82</v>
      </c>
      <c r="AA394" s="132">
        <v>1</v>
      </c>
      <c r="AB394" s="149">
        <v>118.24</v>
      </c>
      <c r="AC394" s="2"/>
      <c r="AD394" s="123">
        <v>2215.4639999999999</v>
      </c>
      <c r="AE394" s="2"/>
      <c r="AF394" s="2"/>
      <c r="AG394" s="2" t="s">
        <v>36</v>
      </c>
      <c r="AH394" s="138">
        <v>4.424E-3</v>
      </c>
      <c r="AI394" s="138">
        <v>7.80715354613086E-3</v>
      </c>
      <c r="AJ394" s="138">
        <v>1.1748947445279401E-3</v>
      </c>
    </row>
    <row r="395" spans="1:36">
      <c r="A395" s="2">
        <v>161</v>
      </c>
      <c r="B395" s="2">
        <v>9943</v>
      </c>
      <c r="C395" s="2" t="s">
        <v>1197</v>
      </c>
      <c r="D395" s="2" t="s">
        <v>1607</v>
      </c>
      <c r="E395" s="3" t="s">
        <v>1351</v>
      </c>
      <c r="F395" s="2" t="s">
        <v>2081</v>
      </c>
      <c r="G395" s="2" t="s">
        <v>2082</v>
      </c>
      <c r="H395" s="2" t="s">
        <v>209</v>
      </c>
      <c r="I395" s="2" t="s">
        <v>788</v>
      </c>
      <c r="J395" s="2" t="s">
        <v>30</v>
      </c>
      <c r="K395" s="2" t="s">
        <v>30</v>
      </c>
      <c r="L395" s="2" t="s">
        <v>361</v>
      </c>
      <c r="M395" s="2" t="s">
        <v>31</v>
      </c>
      <c r="N395" s="2" t="s">
        <v>479</v>
      </c>
      <c r="O395" s="2" t="s">
        <v>160</v>
      </c>
      <c r="P395" s="2" t="s">
        <v>1199</v>
      </c>
      <c r="Q395" s="2" t="s">
        <v>446</v>
      </c>
      <c r="R395" s="2" t="s">
        <v>440</v>
      </c>
      <c r="S395" s="2" t="s">
        <v>34</v>
      </c>
      <c r="T395" s="123">
        <v>2.0920000000000001</v>
      </c>
      <c r="U395" s="2" t="s">
        <v>2083</v>
      </c>
      <c r="V395" s="136">
        <v>1.8599999999999998E-2</v>
      </c>
      <c r="W395" s="138">
        <v>2.5680000000000001E-2</v>
      </c>
      <c r="X395" s="3" t="s">
        <v>445</v>
      </c>
      <c r="Y395" s="3" t="s">
        <v>160</v>
      </c>
      <c r="Z395" s="123">
        <v>101130.3</v>
      </c>
      <c r="AA395" s="132">
        <v>1</v>
      </c>
      <c r="AB395" s="149">
        <v>104.2</v>
      </c>
      <c r="AC395" s="2"/>
      <c r="AD395" s="123">
        <v>105.378</v>
      </c>
      <c r="AE395" s="2"/>
      <c r="AF395" s="2"/>
      <c r="AG395" s="2" t="s">
        <v>36</v>
      </c>
      <c r="AH395" s="138">
        <v>3.4999999999999997E-5</v>
      </c>
      <c r="AI395" s="138">
        <v>3.7134456118427902E-4</v>
      </c>
      <c r="AJ395" s="138">
        <v>5.5883462617520003E-5</v>
      </c>
    </row>
    <row r="396" spans="1:36">
      <c r="A396" s="2">
        <v>161</v>
      </c>
      <c r="B396" s="2">
        <v>9943</v>
      </c>
      <c r="C396" s="2" t="s">
        <v>1197</v>
      </c>
      <c r="D396" s="2" t="s">
        <v>1607</v>
      </c>
      <c r="E396" s="3" t="s">
        <v>1351</v>
      </c>
      <c r="F396" s="2" t="s">
        <v>2084</v>
      </c>
      <c r="G396" s="2" t="s">
        <v>2085</v>
      </c>
      <c r="H396" s="2" t="s">
        <v>209</v>
      </c>
      <c r="I396" s="2" t="s">
        <v>788</v>
      </c>
      <c r="J396" s="2" t="s">
        <v>30</v>
      </c>
      <c r="K396" s="2" t="s">
        <v>30</v>
      </c>
      <c r="L396" s="2" t="s">
        <v>361</v>
      </c>
      <c r="M396" s="2" t="s">
        <v>31</v>
      </c>
      <c r="N396" s="2" t="s">
        <v>479</v>
      </c>
      <c r="O396" s="2" t="s">
        <v>160</v>
      </c>
      <c r="P396" s="2" t="s">
        <v>1199</v>
      </c>
      <c r="Q396" s="2" t="s">
        <v>446</v>
      </c>
      <c r="R396" s="2" t="s">
        <v>440</v>
      </c>
      <c r="S396" s="2" t="s">
        <v>34</v>
      </c>
      <c r="T396" s="123">
        <v>0.995</v>
      </c>
      <c r="U396" s="2" t="s">
        <v>2086</v>
      </c>
      <c r="V396" s="136">
        <v>8.3000000000000001E-3</v>
      </c>
      <c r="W396" s="138">
        <v>2.4899999999999999E-2</v>
      </c>
      <c r="X396" s="3" t="s">
        <v>445</v>
      </c>
      <c r="Y396" s="3" t="s">
        <v>160</v>
      </c>
      <c r="Z396" s="123">
        <v>70360</v>
      </c>
      <c r="AA396" s="132">
        <v>1</v>
      </c>
      <c r="AB396" s="149">
        <v>115.16</v>
      </c>
      <c r="AC396" s="2"/>
      <c r="AD396" s="123">
        <v>81.027000000000001</v>
      </c>
      <c r="AE396" s="2"/>
      <c r="AF396" s="2"/>
      <c r="AG396" s="2" t="s">
        <v>36</v>
      </c>
      <c r="AH396" s="138">
        <v>4.6E-5</v>
      </c>
      <c r="AI396" s="138">
        <v>2.8553249481935402E-4</v>
      </c>
      <c r="AJ396" s="138">
        <v>4.2969646436820199E-5</v>
      </c>
    </row>
    <row r="397" spans="1:36">
      <c r="A397" s="2">
        <v>161</v>
      </c>
      <c r="B397" s="2">
        <v>9943</v>
      </c>
      <c r="C397" s="2" t="s">
        <v>1197</v>
      </c>
      <c r="D397" s="2" t="s">
        <v>1607</v>
      </c>
      <c r="E397" s="3" t="s">
        <v>1351</v>
      </c>
      <c r="F397" s="2" t="s">
        <v>2087</v>
      </c>
      <c r="G397" s="2" t="s">
        <v>2088</v>
      </c>
      <c r="H397" s="2" t="s">
        <v>209</v>
      </c>
      <c r="I397" s="2" t="s">
        <v>788</v>
      </c>
      <c r="J397" s="2" t="s">
        <v>30</v>
      </c>
      <c r="K397" s="2" t="s">
        <v>30</v>
      </c>
      <c r="L397" s="2" t="s">
        <v>361</v>
      </c>
      <c r="M397" s="2" t="s">
        <v>31</v>
      </c>
      <c r="N397" s="2" t="s">
        <v>479</v>
      </c>
      <c r="O397" s="2" t="s">
        <v>160</v>
      </c>
      <c r="P397" s="2" t="s">
        <v>1199</v>
      </c>
      <c r="Q397" s="2" t="s">
        <v>446</v>
      </c>
      <c r="R397" s="2" t="s">
        <v>440</v>
      </c>
      <c r="S397" s="2" t="s">
        <v>34</v>
      </c>
      <c r="T397" s="123">
        <v>2.3969999999999998</v>
      </c>
      <c r="U397" s="2" t="s">
        <v>2089</v>
      </c>
      <c r="V397" s="136">
        <v>1E-3</v>
      </c>
      <c r="W397" s="138">
        <v>2.4969999999999999E-2</v>
      </c>
      <c r="X397" s="3" t="s">
        <v>445</v>
      </c>
      <c r="Y397" s="3" t="s">
        <v>160</v>
      </c>
      <c r="Z397" s="123">
        <v>12300</v>
      </c>
      <c r="AA397" s="132">
        <v>1</v>
      </c>
      <c r="AB397" s="149">
        <v>107.95</v>
      </c>
      <c r="AC397" s="2"/>
      <c r="AD397" s="123">
        <v>13.278</v>
      </c>
      <c r="AE397" s="2"/>
      <c r="AF397" s="2"/>
      <c r="AG397" s="2" t="s">
        <v>36</v>
      </c>
      <c r="AH397" s="138">
        <v>3.9999999999999998E-6</v>
      </c>
      <c r="AI397" s="138">
        <v>4.6790297992317499E-5</v>
      </c>
      <c r="AJ397" s="138">
        <v>7.0414492146519096E-6</v>
      </c>
    </row>
    <row r="398" spans="1:36">
      <c r="A398" s="2">
        <v>161</v>
      </c>
      <c r="B398" s="2">
        <v>9943</v>
      </c>
      <c r="C398" s="2" t="s">
        <v>1197</v>
      </c>
      <c r="D398" s="2" t="s">
        <v>1607</v>
      </c>
      <c r="E398" s="3" t="s">
        <v>1351</v>
      </c>
      <c r="F398" s="2" t="s">
        <v>2093</v>
      </c>
      <c r="G398" s="2" t="s">
        <v>2094</v>
      </c>
      <c r="H398" s="2" t="s">
        <v>209</v>
      </c>
      <c r="I398" s="2" t="s">
        <v>788</v>
      </c>
      <c r="J398" s="2" t="s">
        <v>30</v>
      </c>
      <c r="K398" s="2" t="s">
        <v>30</v>
      </c>
      <c r="L398" s="2" t="s">
        <v>361</v>
      </c>
      <c r="M398" s="2" t="s">
        <v>31</v>
      </c>
      <c r="N398" s="2" t="s">
        <v>479</v>
      </c>
      <c r="O398" s="2" t="s">
        <v>160</v>
      </c>
      <c r="P398" s="2" t="s">
        <v>1199</v>
      </c>
      <c r="Q398" s="2" t="s">
        <v>446</v>
      </c>
      <c r="R398" s="2" t="s">
        <v>440</v>
      </c>
      <c r="S398" s="2" t="s">
        <v>34</v>
      </c>
      <c r="T398" s="123">
        <v>4.3879999999999999</v>
      </c>
      <c r="U398" s="2" t="s">
        <v>2095</v>
      </c>
      <c r="V398" s="136">
        <v>2.0199999999999999E-2</v>
      </c>
      <c r="W398" s="138">
        <v>2.6360000000000001E-2</v>
      </c>
      <c r="X398" s="3" t="s">
        <v>445</v>
      </c>
      <c r="Y398" s="3" t="s">
        <v>160</v>
      </c>
      <c r="Z398" s="123">
        <v>112367</v>
      </c>
      <c r="AA398" s="132">
        <v>1</v>
      </c>
      <c r="AB398" s="149">
        <v>102.52</v>
      </c>
      <c r="AC398" s="2"/>
      <c r="AD398" s="123">
        <v>115.199</v>
      </c>
      <c r="AE398" s="2"/>
      <c r="AF398" s="2"/>
      <c r="AG398" s="2" t="s">
        <v>36</v>
      </c>
      <c r="AH398" s="138">
        <v>3.1000000000000001E-5</v>
      </c>
      <c r="AI398" s="138">
        <v>4.0595270220315902E-4</v>
      </c>
      <c r="AJ398" s="138">
        <v>6.1091624947197103E-5</v>
      </c>
    </row>
    <row r="399" spans="1:36">
      <c r="A399" s="2">
        <v>161</v>
      </c>
      <c r="B399" s="2">
        <v>9943</v>
      </c>
      <c r="C399" s="2" t="s">
        <v>1197</v>
      </c>
      <c r="D399" s="2" t="s">
        <v>1607</v>
      </c>
      <c r="E399" s="3" t="s">
        <v>1351</v>
      </c>
      <c r="F399" s="2" t="s">
        <v>2096</v>
      </c>
      <c r="G399" s="2" t="s">
        <v>2097</v>
      </c>
      <c r="H399" s="2" t="s">
        <v>209</v>
      </c>
      <c r="I399" s="2" t="s">
        <v>788</v>
      </c>
      <c r="J399" s="2" t="s">
        <v>30</v>
      </c>
      <c r="K399" s="2" t="s">
        <v>30</v>
      </c>
      <c r="L399" s="2" t="s">
        <v>361</v>
      </c>
      <c r="M399" s="2" t="s">
        <v>31</v>
      </c>
      <c r="N399" s="2" t="s">
        <v>479</v>
      </c>
      <c r="O399" s="2" t="s">
        <v>160</v>
      </c>
      <c r="P399" s="2" t="s">
        <v>1199</v>
      </c>
      <c r="Q399" s="2" t="s">
        <v>446</v>
      </c>
      <c r="R399" s="2" t="s">
        <v>440</v>
      </c>
      <c r="S399" s="2" t="s">
        <v>34</v>
      </c>
      <c r="T399" s="123">
        <v>4.3920000000000003</v>
      </c>
      <c r="U399" s="2" t="s">
        <v>2098</v>
      </c>
      <c r="V399" s="136">
        <v>1E-3</v>
      </c>
      <c r="W399" s="138">
        <v>2.581E-2</v>
      </c>
      <c r="X399" s="3" t="s">
        <v>445</v>
      </c>
      <c r="Y399" s="3" t="s">
        <v>160</v>
      </c>
      <c r="Z399" s="123">
        <v>121540</v>
      </c>
      <c r="AA399" s="132">
        <v>1</v>
      </c>
      <c r="AB399" s="149">
        <v>102.6</v>
      </c>
      <c r="AC399" s="2"/>
      <c r="AD399" s="123">
        <v>124.7</v>
      </c>
      <c r="AE399" s="2"/>
      <c r="AF399" s="2"/>
      <c r="AG399" s="2" t="s">
        <v>36</v>
      </c>
      <c r="AH399" s="138">
        <v>2.8E-5</v>
      </c>
      <c r="AI399" s="138">
        <v>4.3943500124296603E-4</v>
      </c>
      <c r="AJ399" s="138">
        <v>6.6130359864365201E-5</v>
      </c>
    </row>
    <row r="400" spans="1:36">
      <c r="A400" s="2">
        <v>161</v>
      </c>
      <c r="B400" s="2">
        <v>9943</v>
      </c>
      <c r="C400" s="2" t="s">
        <v>1854</v>
      </c>
      <c r="D400" s="2" t="s">
        <v>1855</v>
      </c>
      <c r="E400" s="3" t="s">
        <v>1351</v>
      </c>
      <c r="F400" s="2" t="s">
        <v>2254</v>
      </c>
      <c r="G400" s="2" t="s">
        <v>2255</v>
      </c>
      <c r="H400" s="2" t="s">
        <v>209</v>
      </c>
      <c r="I400" s="2" t="s">
        <v>788</v>
      </c>
      <c r="J400" s="2" t="s">
        <v>30</v>
      </c>
      <c r="K400" s="2" t="s">
        <v>30</v>
      </c>
      <c r="L400" s="2" t="s">
        <v>361</v>
      </c>
      <c r="M400" s="2" t="s">
        <v>31</v>
      </c>
      <c r="N400" s="2" t="s">
        <v>495</v>
      </c>
      <c r="O400" s="2" t="s">
        <v>160</v>
      </c>
      <c r="P400" s="2" t="s">
        <v>1956</v>
      </c>
      <c r="Q400" s="2" t="s">
        <v>446</v>
      </c>
      <c r="R400" s="2" t="s">
        <v>440</v>
      </c>
      <c r="S400" s="2" t="s">
        <v>34</v>
      </c>
      <c r="T400" s="123">
        <v>5.1150000000000002</v>
      </c>
      <c r="U400" s="2" t="s">
        <v>2256</v>
      </c>
      <c r="V400" s="136">
        <v>3.5000000000000001E-3</v>
      </c>
      <c r="W400" s="138">
        <v>2.9239999999999999E-2</v>
      </c>
      <c r="X400" s="3" t="s">
        <v>445</v>
      </c>
      <c r="Y400" s="3" t="s">
        <v>160</v>
      </c>
      <c r="Z400" s="123">
        <v>4012850</v>
      </c>
      <c r="AA400" s="132">
        <v>1</v>
      </c>
      <c r="AB400" s="149">
        <v>100.33</v>
      </c>
      <c r="AC400" s="2"/>
      <c r="AD400" s="123">
        <v>4026.0920000000001</v>
      </c>
      <c r="AE400" s="2"/>
      <c r="AF400" s="2"/>
      <c r="AG400" s="2" t="s">
        <v>36</v>
      </c>
      <c r="AH400" s="138">
        <v>1.152E-3</v>
      </c>
      <c r="AI400" s="138">
        <v>1.41876932918022E-2</v>
      </c>
      <c r="AJ400" s="138">
        <v>2.13509907125802E-3</v>
      </c>
    </row>
    <row r="401" spans="1:36">
      <c r="A401" s="2">
        <v>161</v>
      </c>
      <c r="B401" s="2">
        <v>9943</v>
      </c>
      <c r="C401" s="2" t="s">
        <v>1854</v>
      </c>
      <c r="D401" s="2" t="s">
        <v>1855</v>
      </c>
      <c r="E401" s="3" t="s">
        <v>1351</v>
      </c>
      <c r="F401" s="2" t="s">
        <v>2299</v>
      </c>
      <c r="G401" s="2" t="s">
        <v>2300</v>
      </c>
      <c r="H401" s="2" t="s">
        <v>209</v>
      </c>
      <c r="I401" s="2" t="s">
        <v>788</v>
      </c>
      <c r="J401" s="2" t="s">
        <v>30</v>
      </c>
      <c r="K401" s="2" t="s">
        <v>30</v>
      </c>
      <c r="L401" s="2" t="s">
        <v>361</v>
      </c>
      <c r="M401" s="2" t="s">
        <v>31</v>
      </c>
      <c r="N401" s="2" t="s">
        <v>495</v>
      </c>
      <c r="O401" s="2" t="s">
        <v>160</v>
      </c>
      <c r="P401" s="2" t="s">
        <v>1956</v>
      </c>
      <c r="Q401" s="2" t="s">
        <v>446</v>
      </c>
      <c r="R401" s="2" t="s">
        <v>440</v>
      </c>
      <c r="S401" s="2" t="s">
        <v>34</v>
      </c>
      <c r="T401" s="123">
        <v>1.1559999999999999</v>
      </c>
      <c r="U401" s="2" t="s">
        <v>2301</v>
      </c>
      <c r="V401" s="136">
        <v>2.4E-2</v>
      </c>
      <c r="W401" s="138">
        <v>2.861E-2</v>
      </c>
      <c r="X401" s="3" t="s">
        <v>445</v>
      </c>
      <c r="Y401" s="3" t="s">
        <v>160</v>
      </c>
      <c r="Z401" s="123">
        <v>392845.02</v>
      </c>
      <c r="AA401" s="132">
        <v>1</v>
      </c>
      <c r="AB401" s="149">
        <v>117.85</v>
      </c>
      <c r="AC401" s="2"/>
      <c r="AD401" s="123">
        <v>462.96800000000002</v>
      </c>
      <c r="AE401" s="2"/>
      <c r="AF401" s="2"/>
      <c r="AG401" s="2" t="s">
        <v>36</v>
      </c>
      <c r="AH401" s="138">
        <v>7.3099999999999999E-4</v>
      </c>
      <c r="AI401" s="138">
        <v>1.63146924738415E-3</v>
      </c>
      <c r="AJ401" s="138">
        <v>2.4551901448903099E-4</v>
      </c>
    </row>
    <row r="402" spans="1:36">
      <c r="A402" s="2">
        <v>161</v>
      </c>
      <c r="B402" s="2">
        <v>9943</v>
      </c>
      <c r="C402" s="2" t="s">
        <v>1854</v>
      </c>
      <c r="D402" s="2" t="s">
        <v>1855</v>
      </c>
      <c r="E402" s="3" t="s">
        <v>1351</v>
      </c>
      <c r="F402" s="2" t="s">
        <v>2102</v>
      </c>
      <c r="G402" s="2" t="s">
        <v>2103</v>
      </c>
      <c r="H402" s="2" t="s">
        <v>209</v>
      </c>
      <c r="I402" s="2" t="s">
        <v>788</v>
      </c>
      <c r="J402" s="2" t="s">
        <v>30</v>
      </c>
      <c r="K402" s="2" t="s">
        <v>30</v>
      </c>
      <c r="L402" s="2" t="s">
        <v>361</v>
      </c>
      <c r="M402" s="2" t="s">
        <v>31</v>
      </c>
      <c r="N402" s="2" t="s">
        <v>495</v>
      </c>
      <c r="O402" s="2" t="s">
        <v>160</v>
      </c>
      <c r="P402" s="2" t="s">
        <v>1956</v>
      </c>
      <c r="Q402" s="2" t="s">
        <v>446</v>
      </c>
      <c r="R402" s="2" t="s">
        <v>440</v>
      </c>
      <c r="S402" s="2" t="s">
        <v>34</v>
      </c>
      <c r="T402" s="123">
        <v>2.7789999999999999</v>
      </c>
      <c r="U402" s="2" t="s">
        <v>2031</v>
      </c>
      <c r="V402" s="136">
        <v>2.81E-2</v>
      </c>
      <c r="W402" s="138">
        <v>2.716E-2</v>
      </c>
      <c r="X402" s="3" t="s">
        <v>445</v>
      </c>
      <c r="Y402" s="3" t="s">
        <v>160</v>
      </c>
      <c r="Z402" s="123">
        <v>81696</v>
      </c>
      <c r="AA402" s="132">
        <v>1</v>
      </c>
      <c r="AB402" s="149">
        <v>118.81</v>
      </c>
      <c r="AC402" s="2"/>
      <c r="AD402" s="123">
        <v>97.063000000000002</v>
      </c>
      <c r="AE402" s="2"/>
      <c r="AF402" s="2"/>
      <c r="AG402" s="2" t="s">
        <v>36</v>
      </c>
      <c r="AH402" s="138">
        <v>5.8999999999999998E-5</v>
      </c>
      <c r="AI402" s="138">
        <v>3.4204389396909601E-4</v>
      </c>
      <c r="AJ402" s="138">
        <v>5.1474019442248899E-5</v>
      </c>
    </row>
    <row r="403" spans="1:36">
      <c r="A403" s="2">
        <v>161</v>
      </c>
      <c r="B403" s="2">
        <v>9943</v>
      </c>
      <c r="C403" s="2" t="s">
        <v>1854</v>
      </c>
      <c r="D403" s="2" t="s">
        <v>1855</v>
      </c>
      <c r="E403" s="3" t="s">
        <v>1351</v>
      </c>
      <c r="F403" s="2" t="s">
        <v>2302</v>
      </c>
      <c r="G403" s="2" t="s">
        <v>2303</v>
      </c>
      <c r="H403" s="2" t="s">
        <v>209</v>
      </c>
      <c r="I403" s="2" t="s">
        <v>998</v>
      </c>
      <c r="J403" s="2" t="s">
        <v>30</v>
      </c>
      <c r="K403" s="2" t="s">
        <v>30</v>
      </c>
      <c r="L403" s="2" t="s">
        <v>361</v>
      </c>
      <c r="M403" s="2" t="s">
        <v>31</v>
      </c>
      <c r="N403" s="2" t="s">
        <v>495</v>
      </c>
      <c r="O403" s="2" t="s">
        <v>160</v>
      </c>
      <c r="P403" s="2" t="s">
        <v>1956</v>
      </c>
      <c r="Q403" s="2" t="s">
        <v>446</v>
      </c>
      <c r="R403" s="2" t="s">
        <v>440</v>
      </c>
      <c r="S403" s="2" t="s">
        <v>34</v>
      </c>
      <c r="T403" s="123">
        <v>1.9039999999999999</v>
      </c>
      <c r="U403" s="2" t="s">
        <v>2014</v>
      </c>
      <c r="V403" s="136">
        <v>5.6500000000000002E-2</v>
      </c>
      <c r="W403" s="138">
        <v>4.7449999999999999E-2</v>
      </c>
      <c r="X403" s="3" t="s">
        <v>445</v>
      </c>
      <c r="Y403" s="3" t="s">
        <v>160</v>
      </c>
      <c r="Z403" s="123">
        <v>177825.08</v>
      </c>
      <c r="AA403" s="132">
        <v>1</v>
      </c>
      <c r="AB403" s="149">
        <v>101.82</v>
      </c>
      <c r="AC403" s="2"/>
      <c r="AD403" s="123">
        <v>181.06100000000001</v>
      </c>
      <c r="AE403" s="2"/>
      <c r="AF403" s="2"/>
      <c r="AG403" s="2" t="s">
        <v>36</v>
      </c>
      <c r="AH403" s="138">
        <v>1.519E-3</v>
      </c>
      <c r="AI403" s="138">
        <v>6.3804918523037901E-4</v>
      </c>
      <c r="AJ403" s="138">
        <v>9.6019711928045599E-5</v>
      </c>
    </row>
    <row r="404" spans="1:36">
      <c r="A404" s="2">
        <v>161</v>
      </c>
      <c r="B404" s="2">
        <v>9943</v>
      </c>
      <c r="C404" s="2" t="s">
        <v>1854</v>
      </c>
      <c r="D404" s="2" t="s">
        <v>1855</v>
      </c>
      <c r="E404" s="3" t="s">
        <v>1351</v>
      </c>
      <c r="F404" s="2" t="s">
        <v>2257</v>
      </c>
      <c r="G404" s="2" t="s">
        <v>2258</v>
      </c>
      <c r="H404" s="2" t="s">
        <v>209</v>
      </c>
      <c r="I404" s="2" t="s">
        <v>788</v>
      </c>
      <c r="J404" s="2" t="s">
        <v>30</v>
      </c>
      <c r="K404" s="2" t="s">
        <v>30</v>
      </c>
      <c r="L404" s="2" t="s">
        <v>361</v>
      </c>
      <c r="M404" s="2" t="s">
        <v>31</v>
      </c>
      <c r="N404" s="2" t="s">
        <v>495</v>
      </c>
      <c r="O404" s="2" t="s">
        <v>160</v>
      </c>
      <c r="P404" s="2" t="s">
        <v>1956</v>
      </c>
      <c r="Q404" s="2" t="s">
        <v>446</v>
      </c>
      <c r="R404" s="2" t="s">
        <v>440</v>
      </c>
      <c r="S404" s="2" t="s">
        <v>34</v>
      </c>
      <c r="T404" s="123">
        <v>1.9359999999999999</v>
      </c>
      <c r="U404" s="2" t="s">
        <v>2014</v>
      </c>
      <c r="V404" s="136">
        <v>3.6999999999999998E-2</v>
      </c>
      <c r="W404" s="138">
        <v>2.853E-2</v>
      </c>
      <c r="X404" s="3" t="s">
        <v>445</v>
      </c>
      <c r="Y404" s="3" t="s">
        <v>160</v>
      </c>
      <c r="Z404" s="123">
        <v>306454.36</v>
      </c>
      <c r="AA404" s="132">
        <v>1</v>
      </c>
      <c r="AB404" s="149">
        <v>119.11</v>
      </c>
      <c r="AC404" s="2"/>
      <c r="AD404" s="123">
        <v>365.01799999999997</v>
      </c>
      <c r="AE404" s="2"/>
      <c r="AF404" s="2"/>
      <c r="AG404" s="2" t="s">
        <v>36</v>
      </c>
      <c r="AH404" s="138">
        <v>1.359E-3</v>
      </c>
      <c r="AI404" s="138">
        <v>1.2862994447284399E-3</v>
      </c>
      <c r="AJ404" s="138">
        <v>1.9357457856706501E-4</v>
      </c>
    </row>
    <row r="405" spans="1:36">
      <c r="A405" s="2">
        <v>161</v>
      </c>
      <c r="B405" s="2">
        <v>9943</v>
      </c>
      <c r="C405" s="2" t="s">
        <v>2104</v>
      </c>
      <c r="D405" s="2" t="s">
        <v>2105</v>
      </c>
      <c r="E405" s="3" t="s">
        <v>1351</v>
      </c>
      <c r="F405" s="2" t="s">
        <v>2478</v>
      </c>
      <c r="G405" s="2" t="s">
        <v>2479</v>
      </c>
      <c r="H405" s="2" t="s">
        <v>209</v>
      </c>
      <c r="I405" s="2" t="s">
        <v>998</v>
      </c>
      <c r="J405" s="2" t="s">
        <v>30</v>
      </c>
      <c r="K405" s="2" t="s">
        <v>30</v>
      </c>
      <c r="L405" s="2" t="s">
        <v>361</v>
      </c>
      <c r="M405" s="2" t="s">
        <v>58</v>
      </c>
      <c r="N405" s="2" t="s">
        <v>476</v>
      </c>
      <c r="O405" s="2" t="s">
        <v>160</v>
      </c>
      <c r="P405" s="2" t="s">
        <v>2108</v>
      </c>
      <c r="Q405" s="2" t="s">
        <v>448</v>
      </c>
      <c r="R405" s="2" t="s">
        <v>440</v>
      </c>
      <c r="S405" s="2" t="s">
        <v>34</v>
      </c>
      <c r="T405" s="123">
        <v>6.8369999999999997</v>
      </c>
      <c r="U405" s="2" t="s">
        <v>2465</v>
      </c>
      <c r="V405" s="136">
        <v>6.0699999999999997E-2</v>
      </c>
      <c r="W405" s="138">
        <v>5.0750000000000003E-2</v>
      </c>
      <c r="X405" s="3" t="s">
        <v>445</v>
      </c>
      <c r="Y405" s="3" t="s">
        <v>160</v>
      </c>
      <c r="Z405" s="123">
        <v>908306</v>
      </c>
      <c r="AA405" s="132">
        <v>1</v>
      </c>
      <c r="AB405" s="149">
        <v>107.23</v>
      </c>
      <c r="AC405" s="2"/>
      <c r="AD405" s="123">
        <v>973.97699999999998</v>
      </c>
      <c r="AE405" s="2"/>
      <c r="AF405" s="2"/>
      <c r="AG405" s="2" t="s">
        <v>36</v>
      </c>
      <c r="AH405" s="138">
        <v>1.444E-3</v>
      </c>
      <c r="AI405" s="138">
        <v>3.43223125627444E-3</v>
      </c>
      <c r="AJ405" s="138">
        <v>5.1651481441655897E-4</v>
      </c>
    </row>
    <row r="406" spans="1:36">
      <c r="A406" s="2">
        <v>161</v>
      </c>
      <c r="B406" s="2">
        <v>9943</v>
      </c>
      <c r="C406" s="2" t="s">
        <v>2104</v>
      </c>
      <c r="D406" s="2" t="s">
        <v>2105</v>
      </c>
      <c r="E406" s="3" t="s">
        <v>1351</v>
      </c>
      <c r="F406" s="2" t="s">
        <v>2480</v>
      </c>
      <c r="G406" s="2" t="s">
        <v>2481</v>
      </c>
      <c r="H406" s="2" t="s">
        <v>209</v>
      </c>
      <c r="I406" s="2" t="s">
        <v>998</v>
      </c>
      <c r="J406" s="2" t="s">
        <v>30</v>
      </c>
      <c r="K406" s="2" t="s">
        <v>30</v>
      </c>
      <c r="L406" s="2" t="s">
        <v>361</v>
      </c>
      <c r="M406" s="2" t="s">
        <v>31</v>
      </c>
      <c r="N406" s="2" t="s">
        <v>476</v>
      </c>
      <c r="O406" s="2" t="s">
        <v>160</v>
      </c>
      <c r="P406" s="2" t="s">
        <v>2108</v>
      </c>
      <c r="Q406" s="2" t="s">
        <v>448</v>
      </c>
      <c r="R406" s="2" t="s">
        <v>440</v>
      </c>
      <c r="S406" s="2" t="s">
        <v>34</v>
      </c>
      <c r="T406" s="123">
        <v>5.5860000000000003</v>
      </c>
      <c r="U406" s="2" t="s">
        <v>2482</v>
      </c>
      <c r="V406" s="136">
        <v>5.3999999999999999E-2</v>
      </c>
      <c r="W406" s="138">
        <v>4.8419999999999998E-2</v>
      </c>
      <c r="X406" s="3" t="s">
        <v>445</v>
      </c>
      <c r="Y406" s="3" t="s">
        <v>160</v>
      </c>
      <c r="Z406" s="123">
        <v>9</v>
      </c>
      <c r="AA406" s="132">
        <v>1</v>
      </c>
      <c r="AB406" s="149">
        <v>103.4</v>
      </c>
      <c r="AC406" s="2"/>
      <c r="AD406" s="123">
        <v>8.9999999999999993E-3</v>
      </c>
      <c r="AE406" s="2"/>
      <c r="AF406" s="2"/>
      <c r="AG406" s="2" t="s">
        <v>36</v>
      </c>
      <c r="AH406" s="138">
        <v>0</v>
      </c>
      <c r="AI406" s="138">
        <v>3.2793751482092897E-8</v>
      </c>
      <c r="AJ406" s="138">
        <v>4.9351157296965E-9</v>
      </c>
    </row>
    <row r="407" spans="1:36">
      <c r="A407" s="2">
        <v>161</v>
      </c>
      <c r="B407" s="2">
        <v>9943</v>
      </c>
      <c r="C407" s="2" t="s">
        <v>2104</v>
      </c>
      <c r="D407" s="2" t="s">
        <v>2105</v>
      </c>
      <c r="E407" s="3" t="s">
        <v>1351</v>
      </c>
      <c r="F407" s="2" t="s">
        <v>2483</v>
      </c>
      <c r="G407" s="2" t="s">
        <v>2484</v>
      </c>
      <c r="H407" s="2" t="s">
        <v>209</v>
      </c>
      <c r="I407" s="2" t="s">
        <v>998</v>
      </c>
      <c r="J407" s="2" t="s">
        <v>30</v>
      </c>
      <c r="K407" s="2" t="s">
        <v>30</v>
      </c>
      <c r="L407" s="2" t="s">
        <v>361</v>
      </c>
      <c r="M407" s="2" t="s">
        <v>58</v>
      </c>
      <c r="N407" s="2" t="s">
        <v>476</v>
      </c>
      <c r="O407" s="2" t="s">
        <v>160</v>
      </c>
      <c r="P407" s="2" t="s">
        <v>1965</v>
      </c>
      <c r="Q407" s="2" t="s">
        <v>446</v>
      </c>
      <c r="R407" s="2" t="s">
        <v>440</v>
      </c>
      <c r="S407" s="2" t="s">
        <v>34</v>
      </c>
      <c r="T407" s="123">
        <v>6.1890000000000001</v>
      </c>
      <c r="U407" s="2" t="s">
        <v>2404</v>
      </c>
      <c r="V407" s="136">
        <v>6.0699999999999997E-2</v>
      </c>
      <c r="W407" s="138">
        <v>5.0209999999999998E-2</v>
      </c>
      <c r="X407" s="3" t="s">
        <v>445</v>
      </c>
      <c r="Y407" s="3" t="s">
        <v>160</v>
      </c>
      <c r="Z407" s="123">
        <v>1800000</v>
      </c>
      <c r="AA407" s="132">
        <v>1</v>
      </c>
      <c r="AB407" s="149">
        <v>106.87</v>
      </c>
      <c r="AC407" s="2"/>
      <c r="AD407" s="123">
        <v>1923.66</v>
      </c>
      <c r="AE407" s="2"/>
      <c r="AF407" s="2"/>
      <c r="AG407" s="2" t="s">
        <v>36</v>
      </c>
      <c r="AH407" s="138">
        <v>2.862E-3</v>
      </c>
      <c r="AI407" s="138">
        <v>6.7788553595575698E-3</v>
      </c>
      <c r="AJ407" s="138">
        <v>1.02014664996647E-3</v>
      </c>
    </row>
    <row r="408" spans="1:36">
      <c r="A408" s="2">
        <v>161</v>
      </c>
      <c r="B408" s="2">
        <v>9943</v>
      </c>
      <c r="C408" s="2" t="s">
        <v>2110</v>
      </c>
      <c r="D408" s="2" t="s">
        <v>2111</v>
      </c>
      <c r="E408" s="3" t="s">
        <v>1351</v>
      </c>
      <c r="F408" s="2" t="s">
        <v>2112</v>
      </c>
      <c r="G408" s="2" t="s">
        <v>2113</v>
      </c>
      <c r="H408" s="2" t="s">
        <v>209</v>
      </c>
      <c r="I408" s="2" t="s">
        <v>788</v>
      </c>
      <c r="J408" s="2" t="s">
        <v>30</v>
      </c>
      <c r="K408" s="2" t="s">
        <v>30</v>
      </c>
      <c r="L408" s="2" t="s">
        <v>361</v>
      </c>
      <c r="M408" s="2" t="s">
        <v>31</v>
      </c>
      <c r="N408" s="2" t="s">
        <v>495</v>
      </c>
      <c r="O408" s="2" t="s">
        <v>160</v>
      </c>
      <c r="P408" s="2" t="s">
        <v>1965</v>
      </c>
      <c r="Q408" s="2" t="s">
        <v>446</v>
      </c>
      <c r="R408" s="2" t="s">
        <v>440</v>
      </c>
      <c r="S408" s="2" t="s">
        <v>34</v>
      </c>
      <c r="T408" s="123">
        <v>1.133</v>
      </c>
      <c r="U408" s="2" t="s">
        <v>2114</v>
      </c>
      <c r="V408" s="136">
        <v>2.0500000000000001E-2</v>
      </c>
      <c r="W408" s="138">
        <v>3.2419999999999997E-2</v>
      </c>
      <c r="X408" s="3" t="s">
        <v>445</v>
      </c>
      <c r="Y408" s="3" t="s">
        <v>160</v>
      </c>
      <c r="Z408" s="123">
        <v>127044.18</v>
      </c>
      <c r="AA408" s="132">
        <v>1</v>
      </c>
      <c r="AB408" s="149">
        <v>117.83</v>
      </c>
      <c r="AC408" s="2"/>
      <c r="AD408" s="123">
        <v>149.696</v>
      </c>
      <c r="AE408" s="2"/>
      <c r="AF408" s="2"/>
      <c r="AG408" s="2" t="s">
        <v>36</v>
      </c>
      <c r="AH408" s="138">
        <v>1.6799999999999999E-4</v>
      </c>
      <c r="AI408" s="138">
        <v>5.2751972707110704E-4</v>
      </c>
      <c r="AJ408" s="138">
        <v>7.9386187463651497E-5</v>
      </c>
    </row>
    <row r="409" spans="1:36">
      <c r="A409" s="2">
        <v>161</v>
      </c>
      <c r="B409" s="2">
        <v>9943</v>
      </c>
      <c r="C409" s="2" t="s">
        <v>2110</v>
      </c>
      <c r="D409" s="2" t="s">
        <v>2111</v>
      </c>
      <c r="E409" s="3" t="s">
        <v>1351</v>
      </c>
      <c r="F409" s="2" t="s">
        <v>2485</v>
      </c>
      <c r="G409" s="2" t="s">
        <v>2486</v>
      </c>
      <c r="H409" s="2" t="s">
        <v>209</v>
      </c>
      <c r="I409" s="2" t="s">
        <v>788</v>
      </c>
      <c r="J409" s="2" t="s">
        <v>30</v>
      </c>
      <c r="K409" s="2" t="s">
        <v>30</v>
      </c>
      <c r="L409" s="2" t="s">
        <v>361</v>
      </c>
      <c r="M409" s="2" t="s">
        <v>31</v>
      </c>
      <c r="N409" s="2" t="s">
        <v>495</v>
      </c>
      <c r="O409" s="2" t="s">
        <v>160</v>
      </c>
      <c r="P409" s="2" t="s">
        <v>1965</v>
      </c>
      <c r="Q409" s="2" t="s">
        <v>446</v>
      </c>
      <c r="R409" s="2" t="s">
        <v>440</v>
      </c>
      <c r="S409" s="2" t="s">
        <v>34</v>
      </c>
      <c r="T409" s="123">
        <v>5.1849999999999996</v>
      </c>
      <c r="U409" s="2" t="s">
        <v>2080</v>
      </c>
      <c r="V409" s="136">
        <v>5.0000000000000001E-3</v>
      </c>
      <c r="W409" s="138">
        <v>2.8080000000000001E-2</v>
      </c>
      <c r="X409" s="3" t="s">
        <v>445</v>
      </c>
      <c r="Y409" s="3" t="s">
        <v>160</v>
      </c>
      <c r="Z409" s="123">
        <v>1128947.3600000001</v>
      </c>
      <c r="AA409" s="132">
        <v>1</v>
      </c>
      <c r="AB409" s="149">
        <v>102.61</v>
      </c>
      <c r="AC409" s="2"/>
      <c r="AD409" s="123">
        <v>1158.413</v>
      </c>
      <c r="AE409" s="2"/>
      <c r="AF409" s="2"/>
      <c r="AG409" s="2" t="s">
        <v>36</v>
      </c>
      <c r="AH409" s="138">
        <v>1.0515E-2</v>
      </c>
      <c r="AI409" s="138">
        <v>4.0821732538454999E-3</v>
      </c>
      <c r="AJ409" s="138">
        <v>6.1432426989635599E-4</v>
      </c>
    </row>
    <row r="410" spans="1:36">
      <c r="A410" s="2">
        <v>161</v>
      </c>
      <c r="B410" s="2">
        <v>9943</v>
      </c>
      <c r="C410" s="2" t="s">
        <v>2110</v>
      </c>
      <c r="D410" s="2" t="s">
        <v>2111</v>
      </c>
      <c r="E410" s="3" t="s">
        <v>1351</v>
      </c>
      <c r="F410" s="2" t="s">
        <v>2487</v>
      </c>
      <c r="G410" s="2" t="s">
        <v>2488</v>
      </c>
      <c r="H410" s="2" t="s">
        <v>209</v>
      </c>
      <c r="I410" s="2" t="s">
        <v>788</v>
      </c>
      <c r="J410" s="2" t="s">
        <v>30</v>
      </c>
      <c r="K410" s="2" t="s">
        <v>30</v>
      </c>
      <c r="L410" s="2" t="s">
        <v>361</v>
      </c>
      <c r="M410" s="2" t="s">
        <v>31</v>
      </c>
      <c r="N410" s="2" t="s">
        <v>495</v>
      </c>
      <c r="O410" s="2" t="s">
        <v>160</v>
      </c>
      <c r="P410" s="2" t="s">
        <v>1965</v>
      </c>
      <c r="Q410" s="2" t="s">
        <v>446</v>
      </c>
      <c r="R410" s="2" t="s">
        <v>440</v>
      </c>
      <c r="S410" s="2" t="s">
        <v>34</v>
      </c>
      <c r="T410" s="123">
        <v>5.1100000000000003</v>
      </c>
      <c r="U410" s="2" t="s">
        <v>2080</v>
      </c>
      <c r="V410" s="136">
        <v>9.7000000000000003E-3</v>
      </c>
      <c r="W410" s="138">
        <v>3.2030000000000003E-2</v>
      </c>
      <c r="X410" s="3" t="s">
        <v>445</v>
      </c>
      <c r="Y410" s="3" t="s">
        <v>160</v>
      </c>
      <c r="Z410" s="123">
        <v>2412048.09</v>
      </c>
      <c r="AA410" s="132">
        <v>1</v>
      </c>
      <c r="AB410" s="149">
        <v>103.36</v>
      </c>
      <c r="AC410" s="2"/>
      <c r="AD410" s="123">
        <v>2493.0929999999998</v>
      </c>
      <c r="AE410" s="2"/>
      <c r="AF410" s="2"/>
      <c r="AG410" s="2" t="s">
        <v>36</v>
      </c>
      <c r="AH410" s="138">
        <v>4.0080000000000003E-3</v>
      </c>
      <c r="AI410" s="138">
        <v>8.7855006635891904E-3</v>
      </c>
      <c r="AJ410" s="138">
        <v>1.3221257269639801E-3</v>
      </c>
    </row>
    <row r="411" spans="1:36">
      <c r="A411" s="2">
        <v>161</v>
      </c>
      <c r="B411" s="2">
        <v>9943</v>
      </c>
      <c r="C411" s="2" t="s">
        <v>2110</v>
      </c>
      <c r="D411" s="2" t="s">
        <v>2111</v>
      </c>
      <c r="E411" s="3" t="s">
        <v>1351</v>
      </c>
      <c r="F411" s="2" t="s">
        <v>2489</v>
      </c>
      <c r="G411" s="2" t="s">
        <v>2490</v>
      </c>
      <c r="H411" s="2" t="s">
        <v>209</v>
      </c>
      <c r="I411" s="2" t="s">
        <v>788</v>
      </c>
      <c r="J411" s="2" t="s">
        <v>30</v>
      </c>
      <c r="K411" s="2" t="s">
        <v>30</v>
      </c>
      <c r="L411" s="2" t="s">
        <v>361</v>
      </c>
      <c r="M411" s="2" t="s">
        <v>58</v>
      </c>
      <c r="N411" s="2" t="s">
        <v>495</v>
      </c>
      <c r="O411" s="2" t="s">
        <v>160</v>
      </c>
      <c r="P411" s="2" t="s">
        <v>1969</v>
      </c>
      <c r="Q411" s="2" t="s">
        <v>446</v>
      </c>
      <c r="R411" s="2" t="s">
        <v>440</v>
      </c>
      <c r="S411" s="2" t="s">
        <v>34</v>
      </c>
      <c r="T411" s="123">
        <v>5.0170000000000003</v>
      </c>
      <c r="U411" s="2" t="s">
        <v>2491</v>
      </c>
      <c r="V411" s="136">
        <v>3.1800000000000002E-2</v>
      </c>
      <c r="W411" s="138">
        <v>2.9229999999999999E-2</v>
      </c>
      <c r="X411" s="3" t="s">
        <v>445</v>
      </c>
      <c r="Y411" s="3" t="s">
        <v>160</v>
      </c>
      <c r="Z411" s="123">
        <v>4050000</v>
      </c>
      <c r="AA411" s="132">
        <v>1</v>
      </c>
      <c r="AB411" s="149">
        <v>104.39</v>
      </c>
      <c r="AC411" s="2"/>
      <c r="AD411" s="123">
        <v>4227.7950000000001</v>
      </c>
      <c r="AE411" s="2"/>
      <c r="AF411" s="2"/>
      <c r="AG411" s="2" t="s">
        <v>36</v>
      </c>
      <c r="AH411" s="138">
        <v>8.8599999999999998E-3</v>
      </c>
      <c r="AI411" s="138">
        <v>1.48984803940721E-2</v>
      </c>
      <c r="AJ411" s="138">
        <v>2.24206507698605E-3</v>
      </c>
    </row>
    <row r="412" spans="1:36">
      <c r="A412" s="2">
        <v>161</v>
      </c>
      <c r="B412" s="2">
        <v>9943</v>
      </c>
      <c r="C412" s="2" t="s">
        <v>2115</v>
      </c>
      <c r="D412" s="2" t="s">
        <v>2116</v>
      </c>
      <c r="E412" s="3" t="s">
        <v>1351</v>
      </c>
      <c r="F412" s="2" t="s">
        <v>2304</v>
      </c>
      <c r="G412" s="2" t="s">
        <v>2305</v>
      </c>
      <c r="H412" s="2" t="s">
        <v>209</v>
      </c>
      <c r="I412" s="2" t="s">
        <v>788</v>
      </c>
      <c r="J412" s="2" t="s">
        <v>30</v>
      </c>
      <c r="K412" s="2" t="s">
        <v>30</v>
      </c>
      <c r="L412" s="2" t="s">
        <v>361</v>
      </c>
      <c r="M412" s="2" t="s">
        <v>31</v>
      </c>
      <c r="N412" s="2" t="s">
        <v>479</v>
      </c>
      <c r="O412" s="2" t="s">
        <v>160</v>
      </c>
      <c r="P412" s="2" t="s">
        <v>1199</v>
      </c>
      <c r="Q412" s="2" t="s">
        <v>446</v>
      </c>
      <c r="R412" s="2" t="s">
        <v>440</v>
      </c>
      <c r="S412" s="2" t="s">
        <v>34</v>
      </c>
      <c r="T412" s="123">
        <v>2.2040000000000002</v>
      </c>
      <c r="U412" s="2" t="s">
        <v>2306</v>
      </c>
      <c r="V412" s="136">
        <v>1.2200000000000001E-2</v>
      </c>
      <c r="W412" s="138">
        <v>2.5080000000000002E-2</v>
      </c>
      <c r="X412" s="3" t="s">
        <v>445</v>
      </c>
      <c r="Y412" s="3" t="s">
        <v>160</v>
      </c>
      <c r="Z412" s="123">
        <v>600000</v>
      </c>
      <c r="AA412" s="132">
        <v>1</v>
      </c>
      <c r="AB412" s="149">
        <v>116.02</v>
      </c>
      <c r="AC412" s="2"/>
      <c r="AD412" s="123">
        <v>696.12</v>
      </c>
      <c r="AE412" s="2"/>
      <c r="AF412" s="2"/>
      <c r="AG412" s="2" t="s">
        <v>36</v>
      </c>
      <c r="AH412" s="138">
        <v>1.9900000000000001E-4</v>
      </c>
      <c r="AI412" s="138">
        <v>2.4530825576740299E-3</v>
      </c>
      <c r="AJ412" s="138">
        <v>3.6916320242384802E-4</v>
      </c>
    </row>
    <row r="413" spans="1:36">
      <c r="A413" s="2">
        <v>161</v>
      </c>
      <c r="B413" s="2">
        <v>9943</v>
      </c>
      <c r="C413" s="2" t="s">
        <v>2115</v>
      </c>
      <c r="D413" s="2" t="s">
        <v>2116</v>
      </c>
      <c r="E413" s="3" t="s">
        <v>1351</v>
      </c>
      <c r="F413" s="2" t="s">
        <v>2117</v>
      </c>
      <c r="G413" s="2" t="s">
        <v>2118</v>
      </c>
      <c r="H413" s="2" t="s">
        <v>209</v>
      </c>
      <c r="I413" s="2" t="s">
        <v>788</v>
      </c>
      <c r="J413" s="2" t="s">
        <v>30</v>
      </c>
      <c r="K413" s="2" t="s">
        <v>30</v>
      </c>
      <c r="L413" s="2" t="s">
        <v>361</v>
      </c>
      <c r="M413" s="2" t="s">
        <v>31</v>
      </c>
      <c r="N413" s="2" t="s">
        <v>479</v>
      </c>
      <c r="O413" s="2" t="s">
        <v>160</v>
      </c>
      <c r="P413" s="2" t="s">
        <v>1199</v>
      </c>
      <c r="Q413" s="2" t="s">
        <v>446</v>
      </c>
      <c r="R413" s="2" t="s">
        <v>440</v>
      </c>
      <c r="S413" s="2" t="s">
        <v>34</v>
      </c>
      <c r="T413" s="123">
        <v>3.3029999999999999</v>
      </c>
      <c r="U413" s="2" t="s">
        <v>2119</v>
      </c>
      <c r="V413" s="136">
        <v>1E-3</v>
      </c>
      <c r="W413" s="138">
        <v>2.5829999999999999E-2</v>
      </c>
      <c r="X413" s="3" t="s">
        <v>445</v>
      </c>
      <c r="Y413" s="3" t="s">
        <v>160</v>
      </c>
      <c r="Z413" s="123">
        <v>34580</v>
      </c>
      <c r="AA413" s="132">
        <v>1</v>
      </c>
      <c r="AB413" s="149">
        <v>105.48</v>
      </c>
      <c r="AC413" s="2"/>
      <c r="AD413" s="123">
        <v>36.475000000000001</v>
      </c>
      <c r="AE413" s="2"/>
      <c r="AF413" s="2"/>
      <c r="AG413" s="2" t="s">
        <v>36</v>
      </c>
      <c r="AH413" s="138">
        <v>1.0000000000000001E-5</v>
      </c>
      <c r="AI413" s="138">
        <v>1.28535521234614E-4</v>
      </c>
      <c r="AJ413" s="138">
        <v>1.9343248149454999E-5</v>
      </c>
    </row>
    <row r="414" spans="1:36">
      <c r="A414" s="2">
        <v>161</v>
      </c>
      <c r="B414" s="2">
        <v>9943</v>
      </c>
      <c r="C414" s="2" t="s">
        <v>2115</v>
      </c>
      <c r="D414" s="2" t="s">
        <v>2116</v>
      </c>
      <c r="E414" s="3" t="s">
        <v>1351</v>
      </c>
      <c r="F414" s="2" t="s">
        <v>2123</v>
      </c>
      <c r="G414" s="2" t="s">
        <v>2124</v>
      </c>
      <c r="H414" s="2" t="s">
        <v>209</v>
      </c>
      <c r="I414" s="2" t="s">
        <v>788</v>
      </c>
      <c r="J414" s="2" t="s">
        <v>30</v>
      </c>
      <c r="K414" s="2" t="s">
        <v>30</v>
      </c>
      <c r="L414" s="2" t="s">
        <v>361</v>
      </c>
      <c r="M414" s="2" t="s">
        <v>31</v>
      </c>
      <c r="N414" s="2" t="s">
        <v>479</v>
      </c>
      <c r="O414" s="2" t="s">
        <v>160</v>
      </c>
      <c r="P414" s="2" t="s">
        <v>2125</v>
      </c>
      <c r="Q414" s="2" t="s">
        <v>448</v>
      </c>
      <c r="R414" s="2" t="s">
        <v>440</v>
      </c>
      <c r="S414" s="2" t="s">
        <v>34</v>
      </c>
      <c r="T414" s="123">
        <v>1.42</v>
      </c>
      <c r="U414" s="2" t="s">
        <v>2126</v>
      </c>
      <c r="V414" s="136">
        <v>5.0000000000000001E-3</v>
      </c>
      <c r="W414" s="138">
        <v>2.6210000000000001E-2</v>
      </c>
      <c r="X414" s="3" t="s">
        <v>445</v>
      </c>
      <c r="Y414" s="3" t="s">
        <v>160</v>
      </c>
      <c r="Z414" s="123">
        <v>950845</v>
      </c>
      <c r="AA414" s="132">
        <v>1</v>
      </c>
      <c r="AB414" s="149">
        <v>112.82</v>
      </c>
      <c r="AC414" s="2"/>
      <c r="AD414" s="123">
        <v>1072.7429999999999</v>
      </c>
      <c r="AE414" s="2"/>
      <c r="AF414" s="2"/>
      <c r="AG414" s="2" t="s">
        <v>36</v>
      </c>
      <c r="AH414" s="138">
        <v>1.2459999999999999E-3</v>
      </c>
      <c r="AI414" s="138">
        <v>3.7802791892648799E-3</v>
      </c>
      <c r="AJ414" s="138">
        <v>5.6889237877443498E-4</v>
      </c>
    </row>
    <row r="415" spans="1:36">
      <c r="A415" s="2">
        <v>161</v>
      </c>
      <c r="B415" s="2">
        <v>9943</v>
      </c>
      <c r="C415" s="2" t="s">
        <v>2115</v>
      </c>
      <c r="D415" s="2" t="s">
        <v>2116</v>
      </c>
      <c r="E415" s="3" t="s">
        <v>1351</v>
      </c>
      <c r="F415" s="2" t="s">
        <v>2259</v>
      </c>
      <c r="G415" s="2" t="s">
        <v>2260</v>
      </c>
      <c r="H415" s="2" t="s">
        <v>209</v>
      </c>
      <c r="I415" s="2" t="s">
        <v>788</v>
      </c>
      <c r="J415" s="2" t="s">
        <v>30</v>
      </c>
      <c r="K415" s="2" t="s">
        <v>30</v>
      </c>
      <c r="L415" s="2" t="s">
        <v>361</v>
      </c>
      <c r="M415" s="2" t="s">
        <v>31</v>
      </c>
      <c r="N415" s="2" t="s">
        <v>479</v>
      </c>
      <c r="O415" s="2" t="s">
        <v>160</v>
      </c>
      <c r="P415" s="2" t="s">
        <v>1969</v>
      </c>
      <c r="Q415" s="2" t="s">
        <v>446</v>
      </c>
      <c r="R415" s="2" t="s">
        <v>440</v>
      </c>
      <c r="S415" s="2" t="s">
        <v>34</v>
      </c>
      <c r="T415" s="123">
        <v>3.7949999999999999</v>
      </c>
      <c r="U415" s="2" t="s">
        <v>2261</v>
      </c>
      <c r="V415" s="136">
        <v>3.3599999999999998E-2</v>
      </c>
      <c r="W415" s="138">
        <v>2.733E-2</v>
      </c>
      <c r="X415" s="3" t="s">
        <v>445</v>
      </c>
      <c r="Y415" s="3" t="s">
        <v>160</v>
      </c>
      <c r="Z415" s="123">
        <v>198050</v>
      </c>
      <c r="AA415" s="132">
        <v>1</v>
      </c>
      <c r="AB415" s="149">
        <v>107.56</v>
      </c>
      <c r="AC415" s="2"/>
      <c r="AD415" s="123">
        <v>213.023</v>
      </c>
      <c r="AE415" s="2"/>
      <c r="AF415" s="2"/>
      <c r="AG415" s="2" t="s">
        <v>36</v>
      </c>
      <c r="AH415" s="138">
        <v>1.7000000000000001E-4</v>
      </c>
      <c r="AI415" s="138">
        <v>7.5067800866046098E-4</v>
      </c>
      <c r="AJ415" s="138">
        <v>1.12969168852196E-4</v>
      </c>
    </row>
    <row r="416" spans="1:36">
      <c r="A416" s="2">
        <v>161</v>
      </c>
      <c r="B416" s="2">
        <v>9943</v>
      </c>
      <c r="C416" s="2" t="s">
        <v>2115</v>
      </c>
      <c r="D416" s="2" t="s">
        <v>2116</v>
      </c>
      <c r="E416" s="3" t="s">
        <v>1351</v>
      </c>
      <c r="F416" s="2" t="s">
        <v>2130</v>
      </c>
      <c r="G416" s="2" t="s">
        <v>2131</v>
      </c>
      <c r="H416" s="2" t="s">
        <v>209</v>
      </c>
      <c r="I416" s="2" t="s">
        <v>788</v>
      </c>
      <c r="J416" s="2" t="s">
        <v>30</v>
      </c>
      <c r="K416" s="2" t="s">
        <v>30</v>
      </c>
      <c r="L416" s="2" t="s">
        <v>361</v>
      </c>
      <c r="M416" s="2" t="s">
        <v>31</v>
      </c>
      <c r="N416" s="2" t="s">
        <v>479</v>
      </c>
      <c r="O416" s="2" t="s">
        <v>160</v>
      </c>
      <c r="P416" s="2" t="s">
        <v>1199</v>
      </c>
      <c r="Q416" s="2" t="s">
        <v>446</v>
      </c>
      <c r="R416" s="2" t="s">
        <v>440</v>
      </c>
      <c r="S416" s="2" t="s">
        <v>34</v>
      </c>
      <c r="T416" s="123">
        <v>0.97499999999999998</v>
      </c>
      <c r="U416" s="2" t="s">
        <v>2132</v>
      </c>
      <c r="V416" s="136">
        <v>3.8E-3</v>
      </c>
      <c r="W416" s="138">
        <v>2.5610000000000001E-2</v>
      </c>
      <c r="X416" s="3" t="s">
        <v>445</v>
      </c>
      <c r="Y416" s="3" t="s">
        <v>160</v>
      </c>
      <c r="Z416" s="123">
        <v>1790080</v>
      </c>
      <c r="AA416" s="132">
        <v>1</v>
      </c>
      <c r="AB416" s="149">
        <v>112.93</v>
      </c>
      <c r="AC416" s="2"/>
      <c r="AD416" s="123">
        <v>2021.537</v>
      </c>
      <c r="AE416" s="2"/>
      <c r="AF416" s="2"/>
      <c r="AG416" s="2" t="s">
        <v>36</v>
      </c>
      <c r="AH416" s="138">
        <v>5.9699999999999998E-4</v>
      </c>
      <c r="AI416" s="138">
        <v>7.1237688879116799E-3</v>
      </c>
      <c r="AJ416" s="138">
        <v>1.07205251929328E-3</v>
      </c>
    </row>
    <row r="417" spans="1:36">
      <c r="A417" s="2">
        <v>161</v>
      </c>
      <c r="B417" s="2">
        <v>9943</v>
      </c>
      <c r="C417" s="2" t="s">
        <v>2115</v>
      </c>
      <c r="D417" s="2" t="s">
        <v>2116</v>
      </c>
      <c r="E417" s="3" t="s">
        <v>1351</v>
      </c>
      <c r="F417" s="2" t="s">
        <v>2133</v>
      </c>
      <c r="G417" s="2" t="s">
        <v>2134</v>
      </c>
      <c r="H417" s="2" t="s">
        <v>209</v>
      </c>
      <c r="I417" s="2" t="s">
        <v>788</v>
      </c>
      <c r="J417" s="2" t="s">
        <v>30</v>
      </c>
      <c r="K417" s="2" t="s">
        <v>30</v>
      </c>
      <c r="L417" s="2" t="s">
        <v>361</v>
      </c>
      <c r="M417" s="2" t="s">
        <v>31</v>
      </c>
      <c r="N417" s="2" t="s">
        <v>479</v>
      </c>
      <c r="O417" s="2" t="s">
        <v>160</v>
      </c>
      <c r="P417" s="2" t="s">
        <v>1199</v>
      </c>
      <c r="Q417" s="2" t="s">
        <v>446</v>
      </c>
      <c r="R417" s="2" t="s">
        <v>440</v>
      </c>
      <c r="S417" s="2" t="s">
        <v>34</v>
      </c>
      <c r="T417" s="123">
        <v>3.2029999999999998</v>
      </c>
      <c r="U417" s="2" t="s">
        <v>2122</v>
      </c>
      <c r="V417" s="136">
        <v>1E-3</v>
      </c>
      <c r="W417" s="138">
        <v>2.5860000000000001E-2</v>
      </c>
      <c r="X417" s="3" t="s">
        <v>445</v>
      </c>
      <c r="Y417" s="3" t="s">
        <v>160</v>
      </c>
      <c r="Z417" s="123">
        <v>201568.31</v>
      </c>
      <c r="AA417" s="132">
        <v>1</v>
      </c>
      <c r="AB417" s="149">
        <v>104.36</v>
      </c>
      <c r="AC417" s="2"/>
      <c r="AD417" s="123">
        <v>210.357</v>
      </c>
      <c r="AE417" s="2"/>
      <c r="AF417" s="2"/>
      <c r="AG417" s="2" t="s">
        <v>36</v>
      </c>
      <c r="AH417" s="138">
        <v>9.0000000000000006E-5</v>
      </c>
      <c r="AI417" s="138">
        <v>7.4128357610476797E-4</v>
      </c>
      <c r="AJ417" s="138">
        <v>1.11555405260601E-4</v>
      </c>
    </row>
    <row r="418" spans="1:36">
      <c r="A418" s="2">
        <v>161</v>
      </c>
      <c r="B418" s="2">
        <v>9943</v>
      </c>
      <c r="C418" s="2" t="s">
        <v>2312</v>
      </c>
      <c r="D418" s="2" t="s">
        <v>2313</v>
      </c>
      <c r="E418" s="3" t="s">
        <v>1351</v>
      </c>
      <c r="F418" s="2" t="s">
        <v>2314</v>
      </c>
      <c r="G418" s="2" t="s">
        <v>2315</v>
      </c>
      <c r="H418" s="2" t="s">
        <v>209</v>
      </c>
      <c r="I418" s="2" t="s">
        <v>788</v>
      </c>
      <c r="J418" s="2" t="s">
        <v>30</v>
      </c>
      <c r="K418" s="2" t="s">
        <v>30</v>
      </c>
      <c r="L418" s="2" t="s">
        <v>361</v>
      </c>
      <c r="M418" s="2" t="s">
        <v>31</v>
      </c>
      <c r="N418" s="2" t="s">
        <v>510</v>
      </c>
      <c r="O418" s="2" t="s">
        <v>160</v>
      </c>
      <c r="P418" s="2" t="s">
        <v>2108</v>
      </c>
      <c r="Q418" s="2" t="s">
        <v>448</v>
      </c>
      <c r="R418" s="2" t="s">
        <v>440</v>
      </c>
      <c r="S418" s="2" t="s">
        <v>34</v>
      </c>
      <c r="T418" s="123">
        <v>0.441</v>
      </c>
      <c r="U418" s="2" t="s">
        <v>2316</v>
      </c>
      <c r="V418" s="136">
        <v>3.95E-2</v>
      </c>
      <c r="W418" s="138">
        <v>2.1739999999999999E-2</v>
      </c>
      <c r="X418" s="3" t="s">
        <v>445</v>
      </c>
      <c r="Y418" s="3" t="s">
        <v>160</v>
      </c>
      <c r="Z418" s="123">
        <v>247321</v>
      </c>
      <c r="AA418" s="132">
        <v>1</v>
      </c>
      <c r="AB418" s="149">
        <v>125.2</v>
      </c>
      <c r="AC418" s="2"/>
      <c r="AD418" s="123">
        <v>309.64600000000002</v>
      </c>
      <c r="AE418" s="2"/>
      <c r="AF418" s="2"/>
      <c r="AG418" s="2" t="s">
        <v>36</v>
      </c>
      <c r="AH418" s="138">
        <v>3.0360000000000001E-3</v>
      </c>
      <c r="AI418" s="138">
        <v>1.09117240809144E-3</v>
      </c>
      <c r="AJ418" s="138">
        <v>1.6421000561413099E-4</v>
      </c>
    </row>
    <row r="419" spans="1:36">
      <c r="A419" s="2">
        <v>161</v>
      </c>
      <c r="B419" s="2">
        <v>9943</v>
      </c>
      <c r="C419" s="2" t="s">
        <v>2135</v>
      </c>
      <c r="D419" s="2" t="s">
        <v>2136</v>
      </c>
      <c r="E419" s="3" t="s">
        <v>1351</v>
      </c>
      <c r="F419" s="2" t="s">
        <v>2140</v>
      </c>
      <c r="G419" s="2" t="s">
        <v>2141</v>
      </c>
      <c r="H419" s="2" t="s">
        <v>209</v>
      </c>
      <c r="I419" s="2" t="s">
        <v>788</v>
      </c>
      <c r="J419" s="2" t="s">
        <v>30</v>
      </c>
      <c r="K419" s="2" t="s">
        <v>30</v>
      </c>
      <c r="L419" s="2" t="s">
        <v>361</v>
      </c>
      <c r="M419" s="2" t="s">
        <v>31</v>
      </c>
      <c r="N419" s="2" t="s">
        <v>474</v>
      </c>
      <c r="O419" s="2" t="s">
        <v>160</v>
      </c>
      <c r="P419" s="2" t="s">
        <v>2108</v>
      </c>
      <c r="Q419" s="2" t="s">
        <v>448</v>
      </c>
      <c r="R419" s="2" t="s">
        <v>440</v>
      </c>
      <c r="S419" s="2" t="s">
        <v>34</v>
      </c>
      <c r="T419" s="123">
        <v>1.056</v>
      </c>
      <c r="U419" s="2" t="s">
        <v>68</v>
      </c>
      <c r="V419" s="136">
        <v>3.5400000000000001E-2</v>
      </c>
      <c r="W419" s="138">
        <v>3.4250000000000003E-2</v>
      </c>
      <c r="X419" s="3" t="s">
        <v>445</v>
      </c>
      <c r="Y419" s="3" t="s">
        <v>160</v>
      </c>
      <c r="Z419" s="123">
        <v>131150.70000000001</v>
      </c>
      <c r="AA419" s="132">
        <v>1</v>
      </c>
      <c r="AB419" s="149">
        <v>109.8</v>
      </c>
      <c r="AC419" s="2"/>
      <c r="AD419" s="123">
        <v>144.00299999999999</v>
      </c>
      <c r="AE419" s="2"/>
      <c r="AF419" s="2"/>
      <c r="AG419" s="2" t="s">
        <v>36</v>
      </c>
      <c r="AH419" s="138">
        <v>1.2999999999999999E-4</v>
      </c>
      <c r="AI419" s="138">
        <v>5.0745905456992999E-4</v>
      </c>
      <c r="AJ419" s="138">
        <v>7.6367266604203404E-5</v>
      </c>
    </row>
    <row r="420" spans="1:36">
      <c r="A420" s="2">
        <v>161</v>
      </c>
      <c r="B420" s="2">
        <v>9943</v>
      </c>
      <c r="C420" s="2" t="s">
        <v>2135</v>
      </c>
      <c r="D420" s="2" t="s">
        <v>2136</v>
      </c>
      <c r="E420" s="3" t="s">
        <v>1351</v>
      </c>
      <c r="F420" s="2" t="s">
        <v>2492</v>
      </c>
      <c r="G420" s="2" t="s">
        <v>2493</v>
      </c>
      <c r="H420" s="2" t="s">
        <v>209</v>
      </c>
      <c r="I420" s="2" t="s">
        <v>788</v>
      </c>
      <c r="J420" s="2" t="s">
        <v>30</v>
      </c>
      <c r="K420" s="2" t="s">
        <v>30</v>
      </c>
      <c r="L420" s="2" t="s">
        <v>361</v>
      </c>
      <c r="M420" s="2" t="s">
        <v>31</v>
      </c>
      <c r="N420" s="2" t="s">
        <v>474</v>
      </c>
      <c r="O420" s="2" t="s">
        <v>160</v>
      </c>
      <c r="P420" s="2" t="s">
        <v>2108</v>
      </c>
      <c r="Q420" s="2" t="s">
        <v>448</v>
      </c>
      <c r="R420" s="2" t="s">
        <v>440</v>
      </c>
      <c r="S420" s="2" t="s">
        <v>34</v>
      </c>
      <c r="T420" s="123">
        <v>0.17899999999999999</v>
      </c>
      <c r="U420" s="2" t="s">
        <v>2494</v>
      </c>
      <c r="V420" s="136">
        <v>0.01</v>
      </c>
      <c r="W420" s="138">
        <v>3.569E-2</v>
      </c>
      <c r="X420" s="3" t="s">
        <v>445</v>
      </c>
      <c r="Y420" s="3" t="s">
        <v>160</v>
      </c>
      <c r="Z420" s="123">
        <v>59548.89</v>
      </c>
      <c r="AA420" s="132">
        <v>1</v>
      </c>
      <c r="AB420" s="149">
        <v>115.84</v>
      </c>
      <c r="AC420" s="2"/>
      <c r="AD420" s="123">
        <v>68.980999999999995</v>
      </c>
      <c r="AE420" s="2"/>
      <c r="AF420" s="2"/>
      <c r="AG420" s="2" t="s">
        <v>36</v>
      </c>
      <c r="AH420" s="138">
        <v>3.5199999999999999E-4</v>
      </c>
      <c r="AI420" s="138">
        <v>2.4308618195208401E-4</v>
      </c>
      <c r="AJ420" s="138">
        <v>3.65819214333765E-5</v>
      </c>
    </row>
    <row r="421" spans="1:36">
      <c r="A421" s="2">
        <v>161</v>
      </c>
      <c r="B421" s="2">
        <v>9943</v>
      </c>
      <c r="C421" s="2" t="s">
        <v>2495</v>
      </c>
      <c r="D421" s="2" t="s">
        <v>2496</v>
      </c>
      <c r="E421" s="3" t="s">
        <v>1351</v>
      </c>
      <c r="F421" s="2" t="s">
        <v>2497</v>
      </c>
      <c r="G421" s="2" t="s">
        <v>2498</v>
      </c>
      <c r="H421" s="2" t="s">
        <v>209</v>
      </c>
      <c r="I421" s="2" t="s">
        <v>788</v>
      </c>
      <c r="J421" s="2" t="s">
        <v>30</v>
      </c>
      <c r="K421" s="2" t="s">
        <v>30</v>
      </c>
      <c r="L421" s="2" t="s">
        <v>361</v>
      </c>
      <c r="M421" s="2" t="s">
        <v>31</v>
      </c>
      <c r="N421" s="2" t="s">
        <v>496</v>
      </c>
      <c r="O421" s="2" t="s">
        <v>160</v>
      </c>
      <c r="P421" s="2" t="s">
        <v>136</v>
      </c>
      <c r="Q421" s="2" t="s">
        <v>448</v>
      </c>
      <c r="R421" s="2" t="s">
        <v>440</v>
      </c>
      <c r="S421" s="2" t="s">
        <v>34</v>
      </c>
      <c r="T421" s="123">
        <v>2.343</v>
      </c>
      <c r="U421" s="2" t="s">
        <v>2349</v>
      </c>
      <c r="V421" s="136">
        <v>3.3700000000000001E-2</v>
      </c>
      <c r="W421" s="138">
        <v>3.8210000000000001E-2</v>
      </c>
      <c r="X421" s="3" t="s">
        <v>445</v>
      </c>
      <c r="Y421" s="3" t="s">
        <v>160</v>
      </c>
      <c r="Z421" s="123">
        <v>155693.35999999999</v>
      </c>
      <c r="AA421" s="132">
        <v>1</v>
      </c>
      <c r="AB421" s="149">
        <v>114.21</v>
      </c>
      <c r="AC421" s="2"/>
      <c r="AD421" s="123">
        <v>177.81700000000001</v>
      </c>
      <c r="AE421" s="2"/>
      <c r="AF421" s="2"/>
      <c r="AG421" s="2" t="s">
        <v>36</v>
      </c>
      <c r="AH421" s="138">
        <v>7.2800000000000002E-4</v>
      </c>
      <c r="AI421" s="138">
        <v>6.2661714814456605E-4</v>
      </c>
      <c r="AJ421" s="138">
        <v>9.4299310220559594E-5</v>
      </c>
    </row>
    <row r="422" spans="1:36">
      <c r="A422" s="2">
        <v>161</v>
      </c>
      <c r="B422" s="2">
        <v>9943</v>
      </c>
      <c r="C422" s="2" t="s">
        <v>1675</v>
      </c>
      <c r="D422" s="2" t="s">
        <v>1676</v>
      </c>
      <c r="E422" s="3" t="s">
        <v>1351</v>
      </c>
      <c r="F422" s="2" t="s">
        <v>2142</v>
      </c>
      <c r="G422" s="2" t="s">
        <v>2143</v>
      </c>
      <c r="H422" s="2" t="s">
        <v>209</v>
      </c>
      <c r="I422" s="2" t="s">
        <v>788</v>
      </c>
      <c r="J422" s="2" t="s">
        <v>30</v>
      </c>
      <c r="K422" s="2" t="s">
        <v>30</v>
      </c>
      <c r="L422" s="2" t="s">
        <v>361</v>
      </c>
      <c r="M422" s="2" t="s">
        <v>31</v>
      </c>
      <c r="N422" s="2" t="s">
        <v>495</v>
      </c>
      <c r="O422" s="2" t="s">
        <v>160</v>
      </c>
      <c r="P422" s="2" t="s">
        <v>1956</v>
      </c>
      <c r="Q422" s="2" t="s">
        <v>446</v>
      </c>
      <c r="R422" s="2" t="s">
        <v>440</v>
      </c>
      <c r="S422" s="2" t="s">
        <v>34</v>
      </c>
      <c r="T422" s="123">
        <v>3.7440000000000002</v>
      </c>
      <c r="U422" s="2" t="s">
        <v>2144</v>
      </c>
      <c r="V422" s="136">
        <v>1.43E-2</v>
      </c>
      <c r="W422" s="138">
        <v>2.81E-2</v>
      </c>
      <c r="X422" s="3" t="s">
        <v>445</v>
      </c>
      <c r="Y422" s="3" t="s">
        <v>160</v>
      </c>
      <c r="Z422" s="123">
        <v>141223.79</v>
      </c>
      <c r="AA422" s="132">
        <v>1</v>
      </c>
      <c r="AB422" s="149">
        <v>111.28</v>
      </c>
      <c r="AC422" s="123">
        <v>3.0310000000000001</v>
      </c>
      <c r="AD422" s="123">
        <v>160.185</v>
      </c>
      <c r="AE422" s="2"/>
      <c r="AF422" s="2"/>
      <c r="AG422" s="2" t="s">
        <v>36</v>
      </c>
      <c r="AH422" s="138">
        <v>7.2999999999999999E-5</v>
      </c>
      <c r="AI422" s="138">
        <v>5.6448263429707401E-4</v>
      </c>
      <c r="AJ422" s="138">
        <v>8.4948717415913704E-5</v>
      </c>
    </row>
    <row r="423" spans="1:36">
      <c r="A423" s="2">
        <v>161</v>
      </c>
      <c r="B423" s="2">
        <v>9943</v>
      </c>
      <c r="C423" s="2" t="s">
        <v>1675</v>
      </c>
      <c r="D423" s="2" t="s">
        <v>1676</v>
      </c>
      <c r="E423" s="3" t="s">
        <v>1351</v>
      </c>
      <c r="F423" s="2" t="s">
        <v>2499</v>
      </c>
      <c r="G423" s="2" t="s">
        <v>2500</v>
      </c>
      <c r="H423" s="2" t="s">
        <v>209</v>
      </c>
      <c r="I423" s="2" t="s">
        <v>788</v>
      </c>
      <c r="J423" s="2" t="s">
        <v>30</v>
      </c>
      <c r="K423" s="2" t="s">
        <v>30</v>
      </c>
      <c r="L423" s="2" t="s">
        <v>361</v>
      </c>
      <c r="M423" s="2" t="s">
        <v>31</v>
      </c>
      <c r="N423" s="2" t="s">
        <v>495</v>
      </c>
      <c r="O423" s="2" t="s">
        <v>160</v>
      </c>
      <c r="P423" s="2" t="s">
        <v>1956</v>
      </c>
      <c r="Q423" s="2" t="s">
        <v>446</v>
      </c>
      <c r="R423" s="2" t="s">
        <v>440</v>
      </c>
      <c r="S423" s="2" t="s">
        <v>34</v>
      </c>
      <c r="T423" s="123">
        <v>5.5979999999999999</v>
      </c>
      <c r="U423" s="2" t="s">
        <v>2501</v>
      </c>
      <c r="V423" s="136">
        <v>3.61E-2</v>
      </c>
      <c r="W423" s="138">
        <v>2.928E-2</v>
      </c>
      <c r="X423" s="3" t="s">
        <v>445</v>
      </c>
      <c r="Y423" s="3" t="s">
        <v>160</v>
      </c>
      <c r="Z423" s="123">
        <v>2288265.46</v>
      </c>
      <c r="AA423" s="132">
        <v>1</v>
      </c>
      <c r="AB423" s="149">
        <v>111.6</v>
      </c>
      <c r="AC423" s="123">
        <v>50.774999999999999</v>
      </c>
      <c r="AD423" s="123">
        <v>2604.4789999999998</v>
      </c>
      <c r="AE423" s="2"/>
      <c r="AF423" s="2"/>
      <c r="AG423" s="2" t="s">
        <v>36</v>
      </c>
      <c r="AH423" s="138">
        <v>1.4599999999999999E-3</v>
      </c>
      <c r="AI423" s="138">
        <v>9.1780183202521907E-3</v>
      </c>
      <c r="AJ423" s="138">
        <v>1.3811955184344299E-3</v>
      </c>
    </row>
    <row r="424" spans="1:36">
      <c r="A424" s="2">
        <v>161</v>
      </c>
      <c r="B424" s="2">
        <v>9943</v>
      </c>
      <c r="C424" s="2" t="s">
        <v>1675</v>
      </c>
      <c r="D424" s="2" t="s">
        <v>1676</v>
      </c>
      <c r="E424" s="3" t="s">
        <v>1351</v>
      </c>
      <c r="F424" s="2" t="s">
        <v>2502</v>
      </c>
      <c r="G424" s="2" t="s">
        <v>2503</v>
      </c>
      <c r="H424" s="2" t="s">
        <v>209</v>
      </c>
      <c r="I424" s="2" t="s">
        <v>788</v>
      </c>
      <c r="J424" s="2" t="s">
        <v>30</v>
      </c>
      <c r="K424" s="2" t="s">
        <v>30</v>
      </c>
      <c r="L424" s="2" t="s">
        <v>361</v>
      </c>
      <c r="M424" s="2" t="s">
        <v>31</v>
      </c>
      <c r="N424" s="2" t="s">
        <v>495</v>
      </c>
      <c r="O424" s="2" t="s">
        <v>160</v>
      </c>
      <c r="P424" s="2" t="s">
        <v>1956</v>
      </c>
      <c r="Q424" s="2" t="s">
        <v>446</v>
      </c>
      <c r="R424" s="2" t="s">
        <v>440</v>
      </c>
      <c r="S424" s="2" t="s">
        <v>34</v>
      </c>
      <c r="T424" s="123">
        <v>2.1999999999999999E-2</v>
      </c>
      <c r="U424" s="2" t="s">
        <v>2504</v>
      </c>
      <c r="V424" s="136">
        <v>1.7600000000000001E-2</v>
      </c>
      <c r="W424" s="138">
        <v>9.2439999999999994E-2</v>
      </c>
      <c r="X424" s="3" t="s">
        <v>445</v>
      </c>
      <c r="Y424" s="3" t="s">
        <v>160</v>
      </c>
      <c r="Z424" s="123">
        <v>47471.13</v>
      </c>
      <c r="AA424" s="132">
        <v>1</v>
      </c>
      <c r="AB424" s="149">
        <v>119.74</v>
      </c>
      <c r="AC424" s="2"/>
      <c r="AD424" s="123">
        <v>56.841999999999999</v>
      </c>
      <c r="AE424" s="2"/>
      <c r="AF424" s="2"/>
      <c r="AG424" s="2" t="s">
        <v>36</v>
      </c>
      <c r="AH424" s="138">
        <v>1.76E-4</v>
      </c>
      <c r="AI424" s="138">
        <v>2.00307345906886E-4</v>
      </c>
      <c r="AJ424" s="138">
        <v>3.01441551784226E-5</v>
      </c>
    </row>
    <row r="425" spans="1:36">
      <c r="A425" s="2">
        <v>161</v>
      </c>
      <c r="B425" s="2">
        <v>9943</v>
      </c>
      <c r="C425" s="2" t="s">
        <v>1675</v>
      </c>
      <c r="D425" s="2" t="s">
        <v>1676</v>
      </c>
      <c r="E425" s="3" t="s">
        <v>1351</v>
      </c>
      <c r="F425" s="2" t="s">
        <v>2145</v>
      </c>
      <c r="G425" s="2" t="s">
        <v>2146</v>
      </c>
      <c r="H425" s="2" t="s">
        <v>209</v>
      </c>
      <c r="I425" s="2" t="s">
        <v>788</v>
      </c>
      <c r="J425" s="2" t="s">
        <v>30</v>
      </c>
      <c r="K425" s="2" t="s">
        <v>30</v>
      </c>
      <c r="L425" s="2" t="s">
        <v>361</v>
      </c>
      <c r="M425" s="2" t="s">
        <v>31</v>
      </c>
      <c r="N425" s="2" t="s">
        <v>495</v>
      </c>
      <c r="O425" s="2" t="s">
        <v>160</v>
      </c>
      <c r="P425" s="2" t="s">
        <v>1956</v>
      </c>
      <c r="Q425" s="2" t="s">
        <v>446</v>
      </c>
      <c r="R425" s="2" t="s">
        <v>440</v>
      </c>
      <c r="S425" s="2" t="s">
        <v>34</v>
      </c>
      <c r="T425" s="123">
        <v>0.80800000000000005</v>
      </c>
      <c r="U425" s="2" t="s">
        <v>2147</v>
      </c>
      <c r="V425" s="136">
        <v>2.1499999999999998E-2</v>
      </c>
      <c r="W425" s="138">
        <v>3.1850000000000003E-2</v>
      </c>
      <c r="X425" s="3" t="s">
        <v>445</v>
      </c>
      <c r="Y425" s="3" t="s">
        <v>160</v>
      </c>
      <c r="Z425" s="123">
        <v>28178.22</v>
      </c>
      <c r="AA425" s="132">
        <v>1</v>
      </c>
      <c r="AB425" s="149">
        <v>118.67</v>
      </c>
      <c r="AC425" s="2"/>
      <c r="AD425" s="123">
        <v>33.439</v>
      </c>
      <c r="AE425" s="2"/>
      <c r="AF425" s="2"/>
      <c r="AG425" s="2" t="s">
        <v>36</v>
      </c>
      <c r="AH425" s="138">
        <v>2.4000000000000001E-5</v>
      </c>
      <c r="AI425" s="138">
        <v>1.17837237022521E-4</v>
      </c>
      <c r="AJ425" s="138">
        <v>1.7733268555485898E-5</v>
      </c>
    </row>
    <row r="426" spans="1:36">
      <c r="A426" s="2">
        <v>161</v>
      </c>
      <c r="B426" s="2">
        <v>9943</v>
      </c>
      <c r="C426" s="2" t="s">
        <v>1675</v>
      </c>
      <c r="D426" s="2" t="s">
        <v>1676</v>
      </c>
      <c r="E426" s="3" t="s">
        <v>1351</v>
      </c>
      <c r="F426" s="2" t="s">
        <v>2148</v>
      </c>
      <c r="G426" s="2" t="s">
        <v>2149</v>
      </c>
      <c r="H426" s="2" t="s">
        <v>209</v>
      </c>
      <c r="I426" s="2" t="s">
        <v>788</v>
      </c>
      <c r="J426" s="2" t="s">
        <v>30</v>
      </c>
      <c r="K426" s="2" t="s">
        <v>30</v>
      </c>
      <c r="L426" s="2" t="s">
        <v>361</v>
      </c>
      <c r="M426" s="2" t="s">
        <v>31</v>
      </c>
      <c r="N426" s="2" t="s">
        <v>495</v>
      </c>
      <c r="O426" s="2" t="s">
        <v>160</v>
      </c>
      <c r="P426" s="2" t="s">
        <v>1956</v>
      </c>
      <c r="Q426" s="2" t="s">
        <v>446</v>
      </c>
      <c r="R426" s="2" t="s">
        <v>440</v>
      </c>
      <c r="S426" s="2" t="s">
        <v>34</v>
      </c>
      <c r="T426" s="123">
        <v>3.33</v>
      </c>
      <c r="U426" s="2" t="s">
        <v>2150</v>
      </c>
      <c r="V426" s="136">
        <v>2.2499999999999999E-2</v>
      </c>
      <c r="W426" s="138">
        <v>2.861E-2</v>
      </c>
      <c r="X426" s="3" t="s">
        <v>445</v>
      </c>
      <c r="Y426" s="3" t="s">
        <v>160</v>
      </c>
      <c r="Z426" s="123">
        <v>1940298.48</v>
      </c>
      <c r="AA426" s="132">
        <v>1</v>
      </c>
      <c r="AB426" s="149">
        <v>116.27</v>
      </c>
      <c r="AC426" s="123">
        <v>61.670999999999999</v>
      </c>
      <c r="AD426" s="123">
        <v>2317.6559999999999</v>
      </c>
      <c r="AE426" s="2"/>
      <c r="AF426" s="2"/>
      <c r="AG426" s="2" t="s">
        <v>36</v>
      </c>
      <c r="AH426" s="138">
        <v>1.1169999999999999E-3</v>
      </c>
      <c r="AI426" s="138">
        <v>8.16727074231198E-3</v>
      </c>
      <c r="AJ426" s="138">
        <v>1.2290886064402599E-3</v>
      </c>
    </row>
    <row r="427" spans="1:36">
      <c r="A427" s="2">
        <v>161</v>
      </c>
      <c r="B427" s="2">
        <v>9943</v>
      </c>
      <c r="C427" s="2" t="s">
        <v>1675</v>
      </c>
      <c r="D427" s="2" t="s">
        <v>1676</v>
      </c>
      <c r="E427" s="3" t="s">
        <v>1351</v>
      </c>
      <c r="F427" s="2" t="s">
        <v>2151</v>
      </c>
      <c r="G427" s="2" t="s">
        <v>2152</v>
      </c>
      <c r="H427" s="2" t="s">
        <v>209</v>
      </c>
      <c r="I427" s="2" t="s">
        <v>788</v>
      </c>
      <c r="J427" s="2" t="s">
        <v>30</v>
      </c>
      <c r="K427" s="2" t="s">
        <v>30</v>
      </c>
      <c r="L427" s="2" t="s">
        <v>361</v>
      </c>
      <c r="M427" s="2" t="s">
        <v>31</v>
      </c>
      <c r="N427" s="2" t="s">
        <v>495</v>
      </c>
      <c r="O427" s="2" t="s">
        <v>160</v>
      </c>
      <c r="P427" s="2" t="s">
        <v>1956</v>
      </c>
      <c r="Q427" s="2" t="s">
        <v>446</v>
      </c>
      <c r="R427" s="2" t="s">
        <v>440</v>
      </c>
      <c r="S427" s="2" t="s">
        <v>34</v>
      </c>
      <c r="T427" s="123">
        <v>4.6920000000000002</v>
      </c>
      <c r="U427" s="2" t="s">
        <v>2129</v>
      </c>
      <c r="V427" s="136">
        <v>2.5000000000000001E-3</v>
      </c>
      <c r="W427" s="138">
        <v>2.7019999999999999E-2</v>
      </c>
      <c r="X427" s="3" t="s">
        <v>445</v>
      </c>
      <c r="Y427" s="3" t="s">
        <v>160</v>
      </c>
      <c r="Z427" s="123">
        <v>126397.53</v>
      </c>
      <c r="AA427" s="132">
        <v>1</v>
      </c>
      <c r="AB427" s="149">
        <v>102.52</v>
      </c>
      <c r="AC427" s="123">
        <v>1.8720000000000001</v>
      </c>
      <c r="AD427" s="123">
        <v>131.45400000000001</v>
      </c>
      <c r="AE427" s="2"/>
      <c r="AF427" s="2"/>
      <c r="AG427" s="2" t="s">
        <v>36</v>
      </c>
      <c r="AH427" s="138">
        <v>9.5000000000000005E-5</v>
      </c>
      <c r="AI427" s="138">
        <v>4.6323689268224101E-4</v>
      </c>
      <c r="AJ427" s="138">
        <v>6.9712294944364802E-5</v>
      </c>
    </row>
    <row r="428" spans="1:36">
      <c r="A428" s="2">
        <v>161</v>
      </c>
      <c r="B428" s="2">
        <v>9943</v>
      </c>
      <c r="C428" s="2" t="s">
        <v>2153</v>
      </c>
      <c r="D428" s="2" t="s">
        <v>2154</v>
      </c>
      <c r="E428" s="3" t="s">
        <v>1351</v>
      </c>
      <c r="F428" s="2" t="s">
        <v>2505</v>
      </c>
      <c r="G428" s="2" t="s">
        <v>2506</v>
      </c>
      <c r="H428" s="2" t="s">
        <v>209</v>
      </c>
      <c r="I428" s="2" t="s">
        <v>998</v>
      </c>
      <c r="J428" s="2" t="s">
        <v>30</v>
      </c>
      <c r="K428" s="2" t="s">
        <v>30</v>
      </c>
      <c r="L428" s="2" t="s">
        <v>361</v>
      </c>
      <c r="M428" s="2" t="s">
        <v>31</v>
      </c>
      <c r="N428" s="2" t="s">
        <v>476</v>
      </c>
      <c r="O428" s="2" t="s">
        <v>160</v>
      </c>
      <c r="P428" s="2" t="s">
        <v>1999</v>
      </c>
      <c r="Q428" s="2" t="s">
        <v>448</v>
      </c>
      <c r="R428" s="2" t="s">
        <v>440</v>
      </c>
      <c r="S428" s="2" t="s">
        <v>34</v>
      </c>
      <c r="T428" s="123">
        <v>1.2330000000000001</v>
      </c>
      <c r="U428" s="2" t="s">
        <v>2301</v>
      </c>
      <c r="V428" s="136">
        <v>1.84E-2</v>
      </c>
      <c r="W428" s="138">
        <v>4.6589999999999999E-2</v>
      </c>
      <c r="X428" s="3" t="s">
        <v>445</v>
      </c>
      <c r="Y428" s="3" t="s">
        <v>160</v>
      </c>
      <c r="Z428" s="123">
        <v>608315</v>
      </c>
      <c r="AA428" s="132">
        <v>1</v>
      </c>
      <c r="AB428" s="149">
        <v>97.15</v>
      </c>
      <c r="AC428" s="2"/>
      <c r="AD428" s="123">
        <v>590.97799999999995</v>
      </c>
      <c r="AE428" s="2"/>
      <c r="AF428" s="2"/>
      <c r="AG428" s="2" t="s">
        <v>36</v>
      </c>
      <c r="AH428" s="138">
        <v>2.0279999999999999E-3</v>
      </c>
      <c r="AI428" s="138">
        <v>2.0825689234089499E-3</v>
      </c>
      <c r="AJ428" s="138">
        <v>3.1340478559474403E-4</v>
      </c>
    </row>
    <row r="429" spans="1:36">
      <c r="A429" s="2">
        <v>161</v>
      </c>
      <c r="B429" s="2">
        <v>9943</v>
      </c>
      <c r="C429" s="2" t="s">
        <v>1679</v>
      </c>
      <c r="D429" s="2" t="s">
        <v>1680</v>
      </c>
      <c r="E429" s="3" t="s">
        <v>1351</v>
      </c>
      <c r="F429" s="2" t="s">
        <v>2320</v>
      </c>
      <c r="G429" s="2" t="s">
        <v>2321</v>
      </c>
      <c r="H429" s="2" t="s">
        <v>209</v>
      </c>
      <c r="I429" s="2" t="s">
        <v>998</v>
      </c>
      <c r="J429" s="2" t="s">
        <v>30</v>
      </c>
      <c r="K429" s="2" t="s">
        <v>30</v>
      </c>
      <c r="L429" s="2" t="s">
        <v>361</v>
      </c>
      <c r="M429" s="2" t="s">
        <v>31</v>
      </c>
      <c r="N429" s="2" t="s">
        <v>476</v>
      </c>
      <c r="O429" s="2" t="s">
        <v>160</v>
      </c>
      <c r="P429" s="2" t="s">
        <v>1355</v>
      </c>
      <c r="Q429" s="2" t="s">
        <v>448</v>
      </c>
      <c r="R429" s="2" t="s">
        <v>440</v>
      </c>
      <c r="S429" s="2" t="s">
        <v>34</v>
      </c>
      <c r="T429" s="123">
        <v>0.73199999999999998</v>
      </c>
      <c r="U429" s="2" t="s">
        <v>2301</v>
      </c>
      <c r="V429" s="136">
        <v>2.9399999999999999E-2</v>
      </c>
      <c r="W429" s="138">
        <v>4.8599999999999997E-2</v>
      </c>
      <c r="X429" s="3" t="s">
        <v>445</v>
      </c>
      <c r="Y429" s="3" t="s">
        <v>160</v>
      </c>
      <c r="Z429" s="123">
        <v>178475.13</v>
      </c>
      <c r="AA429" s="132">
        <v>1</v>
      </c>
      <c r="AB429" s="149">
        <v>100.83</v>
      </c>
      <c r="AC429" s="2"/>
      <c r="AD429" s="123">
        <v>179.95599999999999</v>
      </c>
      <c r="AE429" s="2"/>
      <c r="AF429" s="2"/>
      <c r="AG429" s="2" t="s">
        <v>36</v>
      </c>
      <c r="AH429" s="138">
        <v>1.6639999999999999E-3</v>
      </c>
      <c r="AI429" s="138">
        <v>6.3415515496921798E-4</v>
      </c>
      <c r="AJ429" s="138">
        <v>9.5433701205720596E-5</v>
      </c>
    </row>
    <row r="430" spans="1:36">
      <c r="A430" s="2">
        <v>161</v>
      </c>
      <c r="B430" s="2">
        <v>9943</v>
      </c>
      <c r="C430" s="2" t="s">
        <v>2507</v>
      </c>
      <c r="D430" s="2" t="s">
        <v>2508</v>
      </c>
      <c r="E430" s="3" t="s">
        <v>1351</v>
      </c>
      <c r="F430" s="2" t="s">
        <v>2509</v>
      </c>
      <c r="G430" s="2" t="s">
        <v>2510</v>
      </c>
      <c r="H430" s="2" t="s">
        <v>209</v>
      </c>
      <c r="I430" s="2" t="s">
        <v>998</v>
      </c>
      <c r="J430" s="2" t="s">
        <v>30</v>
      </c>
      <c r="K430" s="2" t="s">
        <v>30</v>
      </c>
      <c r="L430" s="2" t="s">
        <v>361</v>
      </c>
      <c r="M430" s="2" t="s">
        <v>31</v>
      </c>
      <c r="N430" s="2" t="s">
        <v>474</v>
      </c>
      <c r="O430" s="2" t="s">
        <v>160</v>
      </c>
      <c r="P430" s="2" t="s">
        <v>2008</v>
      </c>
      <c r="Q430" s="2" t="s">
        <v>448</v>
      </c>
      <c r="R430" s="2" t="s">
        <v>440</v>
      </c>
      <c r="S430" s="2" t="s">
        <v>34</v>
      </c>
      <c r="T430" s="123">
        <v>0.73099999999999998</v>
      </c>
      <c r="U430" s="2" t="s">
        <v>2301</v>
      </c>
      <c r="V430" s="136">
        <v>0.114</v>
      </c>
      <c r="W430" s="138">
        <v>5.91E-2</v>
      </c>
      <c r="X430" s="3" t="s">
        <v>445</v>
      </c>
      <c r="Y430" s="3" t="s">
        <v>160</v>
      </c>
      <c r="Z430" s="123">
        <v>100847.06</v>
      </c>
      <c r="AA430" s="132">
        <v>1</v>
      </c>
      <c r="AB430" s="149">
        <v>102.52</v>
      </c>
      <c r="AC430" s="2"/>
      <c r="AD430" s="123">
        <v>103.38800000000001</v>
      </c>
      <c r="AE430" s="2"/>
      <c r="AF430" s="2"/>
      <c r="AG430" s="2" t="s">
        <v>36</v>
      </c>
      <c r="AH430" s="138">
        <v>4.17E-4</v>
      </c>
      <c r="AI430" s="138">
        <v>3.64334159639788E-4</v>
      </c>
      <c r="AJ430" s="138">
        <v>5.4828470694665601E-5</v>
      </c>
    </row>
    <row r="431" spans="1:36">
      <c r="A431" s="2">
        <v>161</v>
      </c>
      <c r="B431" s="2">
        <v>9943</v>
      </c>
      <c r="C431" s="2" t="s">
        <v>2511</v>
      </c>
      <c r="D431" s="2" t="s">
        <v>2512</v>
      </c>
      <c r="E431" s="3" t="s">
        <v>1351</v>
      </c>
      <c r="F431" s="2" t="s">
        <v>2513</v>
      </c>
      <c r="G431" s="2" t="s">
        <v>2514</v>
      </c>
      <c r="H431" s="2" t="s">
        <v>209</v>
      </c>
      <c r="I431" s="2" t="s">
        <v>788</v>
      </c>
      <c r="J431" s="2" t="s">
        <v>30</v>
      </c>
      <c r="K431" s="2" t="s">
        <v>30</v>
      </c>
      <c r="L431" s="2" t="s">
        <v>361</v>
      </c>
      <c r="M431" s="2" t="s">
        <v>31</v>
      </c>
      <c r="N431" s="2" t="s">
        <v>478</v>
      </c>
      <c r="O431" s="2" t="s">
        <v>160</v>
      </c>
      <c r="P431" s="2" t="s">
        <v>136</v>
      </c>
      <c r="Q431" s="2" t="s">
        <v>448</v>
      </c>
      <c r="R431" s="2" t="s">
        <v>440</v>
      </c>
      <c r="S431" s="2" t="s">
        <v>34</v>
      </c>
      <c r="T431" s="123">
        <v>3.5459999999999998</v>
      </c>
      <c r="U431" s="2" t="s">
        <v>2515</v>
      </c>
      <c r="V431" s="136">
        <v>2.07E-2</v>
      </c>
      <c r="W431" s="138">
        <v>3.721E-2</v>
      </c>
      <c r="X431" s="3" t="s">
        <v>445</v>
      </c>
      <c r="Y431" s="3" t="s">
        <v>160</v>
      </c>
      <c r="Z431" s="123">
        <v>1337702.83</v>
      </c>
      <c r="AA431" s="132">
        <v>1</v>
      </c>
      <c r="AB431" s="149">
        <v>107.9</v>
      </c>
      <c r="AC431" s="2"/>
      <c r="AD431" s="123">
        <v>1443.3810000000001</v>
      </c>
      <c r="AE431" s="2"/>
      <c r="AF431" s="2"/>
      <c r="AG431" s="2" t="s">
        <v>36</v>
      </c>
      <c r="AH431" s="138">
        <v>3.2049999999999999E-3</v>
      </c>
      <c r="AI431" s="138">
        <v>5.0863839891319004E-3</v>
      </c>
      <c r="AJ431" s="138">
        <v>7.6544745561508E-4</v>
      </c>
    </row>
    <row r="432" spans="1:36">
      <c r="A432" s="2">
        <v>161</v>
      </c>
      <c r="B432" s="2">
        <v>9943</v>
      </c>
      <c r="C432" s="2" t="s">
        <v>2516</v>
      </c>
      <c r="D432" s="2" t="s">
        <v>2517</v>
      </c>
      <c r="E432" s="3" t="s">
        <v>1351</v>
      </c>
      <c r="F432" s="2" t="s">
        <v>2518</v>
      </c>
      <c r="G432" s="2" t="s">
        <v>2519</v>
      </c>
      <c r="H432" s="2" t="s">
        <v>209</v>
      </c>
      <c r="I432" s="2" t="s">
        <v>788</v>
      </c>
      <c r="J432" s="2" t="s">
        <v>30</v>
      </c>
      <c r="K432" s="2" t="s">
        <v>30</v>
      </c>
      <c r="L432" s="2" t="s">
        <v>361</v>
      </c>
      <c r="M432" s="2" t="s">
        <v>31</v>
      </c>
      <c r="N432" s="2" t="s">
        <v>509</v>
      </c>
      <c r="O432" s="2" t="s">
        <v>160</v>
      </c>
      <c r="P432" s="2" t="s">
        <v>1199</v>
      </c>
      <c r="Q432" s="2" t="s">
        <v>446</v>
      </c>
      <c r="R432" s="2" t="s">
        <v>440</v>
      </c>
      <c r="S432" s="2" t="s">
        <v>34</v>
      </c>
      <c r="T432" s="123">
        <v>11.726000000000001</v>
      </c>
      <c r="U432" s="2" t="s">
        <v>2520</v>
      </c>
      <c r="V432" s="136">
        <v>2.07E-2</v>
      </c>
      <c r="W432" s="138">
        <v>2.776E-2</v>
      </c>
      <c r="X432" s="3" t="s">
        <v>445</v>
      </c>
      <c r="Y432" s="3" t="s">
        <v>160</v>
      </c>
      <c r="Z432" s="123">
        <v>3046153.95</v>
      </c>
      <c r="AA432" s="132">
        <v>1</v>
      </c>
      <c r="AB432" s="149">
        <v>106.32</v>
      </c>
      <c r="AC432" s="2"/>
      <c r="AD432" s="123">
        <v>3238.6709999999998</v>
      </c>
      <c r="AE432" s="2"/>
      <c r="AF432" s="2"/>
      <c r="AG432" s="2" t="s">
        <v>36</v>
      </c>
      <c r="AH432" s="138">
        <v>5.5699999999999999E-4</v>
      </c>
      <c r="AI432" s="138">
        <v>1.14128699719756E-2</v>
      </c>
      <c r="AJ432" s="138">
        <v>1.7175172578359501E-3</v>
      </c>
    </row>
    <row r="433" spans="1:36">
      <c r="A433" s="2">
        <v>161</v>
      </c>
      <c r="B433" s="2">
        <v>9943</v>
      </c>
      <c r="C433" s="2" t="s">
        <v>1683</v>
      </c>
      <c r="D433" s="2" t="s">
        <v>1684</v>
      </c>
      <c r="E433" s="3" t="s">
        <v>348</v>
      </c>
      <c r="F433" s="2" t="s">
        <v>2521</v>
      </c>
      <c r="G433" s="2" t="s">
        <v>2522</v>
      </c>
      <c r="H433" s="2" t="s">
        <v>209</v>
      </c>
      <c r="I433" s="2" t="s">
        <v>998</v>
      </c>
      <c r="J433" s="2" t="s">
        <v>30</v>
      </c>
      <c r="K433" s="2" t="s">
        <v>30</v>
      </c>
      <c r="L433" s="2" t="s">
        <v>361</v>
      </c>
      <c r="M433" s="2" t="s">
        <v>31</v>
      </c>
      <c r="N433" s="2" t="s">
        <v>485</v>
      </c>
      <c r="O433" s="2" t="s">
        <v>160</v>
      </c>
      <c r="P433" s="2" t="s">
        <v>2013</v>
      </c>
      <c r="Q433" s="2" t="s">
        <v>446</v>
      </c>
      <c r="R433" s="2" t="s">
        <v>440</v>
      </c>
      <c r="S433" s="2" t="s">
        <v>34</v>
      </c>
      <c r="T433" s="123">
        <v>1.7090000000000001</v>
      </c>
      <c r="U433" s="2" t="s">
        <v>2523</v>
      </c>
      <c r="V433" s="136">
        <v>5.2499999999999998E-2</v>
      </c>
      <c r="W433" s="138">
        <v>5.1819999999999998E-2</v>
      </c>
      <c r="X433" s="3" t="s">
        <v>445</v>
      </c>
      <c r="Y433" s="3" t="s">
        <v>160</v>
      </c>
      <c r="Z433" s="123">
        <v>205972</v>
      </c>
      <c r="AA433" s="132">
        <v>1</v>
      </c>
      <c r="AB433" s="149">
        <v>102.65</v>
      </c>
      <c r="AC433" s="2"/>
      <c r="AD433" s="123">
        <v>211.43</v>
      </c>
      <c r="AE433" s="2"/>
      <c r="AF433" s="2"/>
      <c r="AG433" s="2" t="s">
        <v>36</v>
      </c>
      <c r="AH433" s="138">
        <v>6.2399999999999999E-4</v>
      </c>
      <c r="AI433" s="138">
        <v>7.4506676731643897E-4</v>
      </c>
      <c r="AJ433" s="138">
        <v>1.12124735868213E-4</v>
      </c>
    </row>
    <row r="434" spans="1:36">
      <c r="A434" s="2">
        <v>161</v>
      </c>
      <c r="B434" s="2">
        <v>9943</v>
      </c>
      <c r="C434" s="2" t="s">
        <v>1683</v>
      </c>
      <c r="D434" s="2" t="s">
        <v>1684</v>
      </c>
      <c r="E434" s="3" t="s">
        <v>348</v>
      </c>
      <c r="F434" s="2" t="s">
        <v>2524</v>
      </c>
      <c r="G434" s="2" t="s">
        <v>2525</v>
      </c>
      <c r="H434" s="2" t="s">
        <v>209</v>
      </c>
      <c r="I434" s="2" t="s">
        <v>998</v>
      </c>
      <c r="J434" s="2" t="s">
        <v>30</v>
      </c>
      <c r="K434" s="2" t="s">
        <v>86</v>
      </c>
      <c r="L434" s="2" t="s">
        <v>361</v>
      </c>
      <c r="M434" s="2" t="s">
        <v>31</v>
      </c>
      <c r="N434" s="2" t="s">
        <v>485</v>
      </c>
      <c r="O434" s="2" t="s">
        <v>160</v>
      </c>
      <c r="P434" s="2" t="s">
        <v>2013</v>
      </c>
      <c r="Q434" s="2" t="s">
        <v>446</v>
      </c>
      <c r="R434" s="2" t="s">
        <v>440</v>
      </c>
      <c r="S434" s="2" t="s">
        <v>34</v>
      </c>
      <c r="T434" s="123">
        <v>2.5539999999999998</v>
      </c>
      <c r="U434" s="2" t="s">
        <v>2349</v>
      </c>
      <c r="V434" s="136">
        <v>6.5000000000000002E-2</v>
      </c>
      <c r="W434" s="138">
        <v>5.2010000000000001E-2</v>
      </c>
      <c r="X434" s="3" t="s">
        <v>445</v>
      </c>
      <c r="Y434" s="3" t="s">
        <v>160</v>
      </c>
      <c r="Z434" s="123">
        <v>151143</v>
      </c>
      <c r="AA434" s="132">
        <v>1</v>
      </c>
      <c r="AB434" s="149">
        <v>103.44</v>
      </c>
      <c r="AC434" s="2"/>
      <c r="AD434" s="123">
        <v>156.34200000000001</v>
      </c>
      <c r="AE434" s="2"/>
      <c r="AF434" s="2"/>
      <c r="AG434" s="2" t="s">
        <v>36</v>
      </c>
      <c r="AH434" s="138">
        <v>3.0200000000000002E-4</v>
      </c>
      <c r="AI434" s="138">
        <v>5.5094037846323198E-4</v>
      </c>
      <c r="AJ434" s="138">
        <v>8.2910749914157699E-5</v>
      </c>
    </row>
    <row r="435" spans="1:36">
      <c r="A435" s="2">
        <v>161</v>
      </c>
      <c r="B435" s="2">
        <v>9943</v>
      </c>
      <c r="C435" s="2" t="s">
        <v>1683</v>
      </c>
      <c r="D435" s="2" t="s">
        <v>1684</v>
      </c>
      <c r="E435" s="3" t="s">
        <v>348</v>
      </c>
      <c r="F435" s="2" t="s">
        <v>2526</v>
      </c>
      <c r="G435" s="2" t="s">
        <v>2527</v>
      </c>
      <c r="H435" s="2" t="s">
        <v>209</v>
      </c>
      <c r="I435" s="2" t="s">
        <v>998</v>
      </c>
      <c r="J435" s="2" t="s">
        <v>30</v>
      </c>
      <c r="K435" s="2" t="s">
        <v>30</v>
      </c>
      <c r="L435" s="2" t="s">
        <v>361</v>
      </c>
      <c r="M435" s="2" t="s">
        <v>58</v>
      </c>
      <c r="N435" s="2" t="s">
        <v>485</v>
      </c>
      <c r="O435" s="2" t="s">
        <v>160</v>
      </c>
      <c r="P435" s="2" t="s">
        <v>2013</v>
      </c>
      <c r="Q435" s="2" t="s">
        <v>446</v>
      </c>
      <c r="R435" s="2" t="s">
        <v>440</v>
      </c>
      <c r="S435" s="2" t="s">
        <v>34</v>
      </c>
      <c r="T435" s="123">
        <v>3.129</v>
      </c>
      <c r="U435" s="2" t="s">
        <v>2229</v>
      </c>
      <c r="V435" s="136">
        <v>6.7000000000000004E-2</v>
      </c>
      <c r="W435" s="138">
        <v>5.1139999999999998E-2</v>
      </c>
      <c r="X435" s="3" t="s">
        <v>445</v>
      </c>
      <c r="Y435" s="3" t="s">
        <v>160</v>
      </c>
      <c r="Z435" s="123">
        <v>127377</v>
      </c>
      <c r="AA435" s="132">
        <v>1</v>
      </c>
      <c r="AB435" s="149">
        <v>106.88</v>
      </c>
      <c r="AC435" s="2"/>
      <c r="AD435" s="123">
        <v>136.14099999999999</v>
      </c>
      <c r="AE435" s="2"/>
      <c r="AF435" s="2"/>
      <c r="AG435" s="2" t="s">
        <v>36</v>
      </c>
      <c r="AH435" s="138">
        <v>1.3999999999999999E-4</v>
      </c>
      <c r="AI435" s="138">
        <v>4.7975058636287598E-4</v>
      </c>
      <c r="AJ435" s="138">
        <v>7.2197432684192796E-5</v>
      </c>
    </row>
    <row r="436" spans="1:36">
      <c r="A436" s="2">
        <v>161</v>
      </c>
      <c r="B436" s="2">
        <v>9943</v>
      </c>
      <c r="C436" s="2" t="s">
        <v>2528</v>
      </c>
      <c r="D436" s="2" t="s">
        <v>2529</v>
      </c>
      <c r="E436" s="3" t="s">
        <v>1351</v>
      </c>
      <c r="F436" s="2" t="s">
        <v>2530</v>
      </c>
      <c r="G436" s="2" t="s">
        <v>2531</v>
      </c>
      <c r="H436" s="2" t="s">
        <v>209</v>
      </c>
      <c r="I436" s="2" t="s">
        <v>998</v>
      </c>
      <c r="J436" s="2" t="s">
        <v>30</v>
      </c>
      <c r="K436" s="2" t="s">
        <v>30</v>
      </c>
      <c r="L436" s="2" t="s">
        <v>361</v>
      </c>
      <c r="M436" s="2" t="s">
        <v>31</v>
      </c>
      <c r="N436" s="2" t="s">
        <v>495</v>
      </c>
      <c r="O436" s="2" t="s">
        <v>160</v>
      </c>
      <c r="P436" s="2" t="s">
        <v>2030</v>
      </c>
      <c r="Q436" s="2" t="s">
        <v>446</v>
      </c>
      <c r="R436" s="2" t="s">
        <v>440</v>
      </c>
      <c r="S436" s="2" t="s">
        <v>34</v>
      </c>
      <c r="T436" s="123">
        <v>2.363</v>
      </c>
      <c r="U436" s="2" t="s">
        <v>2144</v>
      </c>
      <c r="V436" s="136">
        <v>3.95E-2</v>
      </c>
      <c r="W436" s="138">
        <v>5.3260000000000002E-2</v>
      </c>
      <c r="X436" s="3" t="s">
        <v>445</v>
      </c>
      <c r="Y436" s="3" t="s">
        <v>160</v>
      </c>
      <c r="Z436" s="123">
        <v>2490750.73</v>
      </c>
      <c r="AA436" s="132">
        <v>1</v>
      </c>
      <c r="AB436" s="149">
        <v>97.03</v>
      </c>
      <c r="AC436" s="2"/>
      <c r="AD436" s="123">
        <v>2416.7750000000001</v>
      </c>
      <c r="AE436" s="2"/>
      <c r="AF436" s="2"/>
      <c r="AG436" s="2" t="s">
        <v>36</v>
      </c>
      <c r="AH436" s="138">
        <v>2.0939999999999999E-3</v>
      </c>
      <c r="AI436" s="138">
        <v>8.5165627496551297E-3</v>
      </c>
      <c r="AJ436" s="138">
        <v>1.2816533909431199E-3</v>
      </c>
    </row>
    <row r="437" spans="1:36">
      <c r="A437" s="2">
        <v>161</v>
      </c>
      <c r="B437" s="2">
        <v>9943</v>
      </c>
      <c r="C437" s="2" t="s">
        <v>2528</v>
      </c>
      <c r="D437" s="2" t="s">
        <v>2529</v>
      </c>
      <c r="E437" s="3" t="s">
        <v>1351</v>
      </c>
      <c r="F437" s="2" t="s">
        <v>2532</v>
      </c>
      <c r="G437" s="2" t="s">
        <v>2533</v>
      </c>
      <c r="H437" s="2" t="s">
        <v>209</v>
      </c>
      <c r="I437" s="2" t="s">
        <v>788</v>
      </c>
      <c r="J437" s="2" t="s">
        <v>30</v>
      </c>
      <c r="K437" s="2" t="s">
        <v>30</v>
      </c>
      <c r="L437" s="2" t="s">
        <v>361</v>
      </c>
      <c r="M437" s="2" t="s">
        <v>31</v>
      </c>
      <c r="N437" s="2" t="s">
        <v>495</v>
      </c>
      <c r="O437" s="2" t="s">
        <v>160</v>
      </c>
      <c r="P437" s="2" t="s">
        <v>2030</v>
      </c>
      <c r="Q437" s="2" t="s">
        <v>446</v>
      </c>
      <c r="R437" s="2" t="s">
        <v>440</v>
      </c>
      <c r="S437" s="2" t="s">
        <v>34</v>
      </c>
      <c r="T437" s="123">
        <v>3.5569999999999999</v>
      </c>
      <c r="U437" s="2" t="s">
        <v>2144</v>
      </c>
      <c r="V437" s="136">
        <v>3.6200000000000003E-2</v>
      </c>
      <c r="W437" s="138">
        <v>3.0020000000000002E-2</v>
      </c>
      <c r="X437" s="3" t="s">
        <v>445</v>
      </c>
      <c r="Y437" s="3" t="s">
        <v>160</v>
      </c>
      <c r="Z437" s="123">
        <v>3017306.89</v>
      </c>
      <c r="AA437" s="132">
        <v>1</v>
      </c>
      <c r="AB437" s="149">
        <v>110.37</v>
      </c>
      <c r="AC437" s="2"/>
      <c r="AD437" s="123">
        <v>3330.2020000000002</v>
      </c>
      <c r="AE437" s="2"/>
      <c r="AF437" s="2"/>
      <c r="AG437" s="2" t="s">
        <v>36</v>
      </c>
      <c r="AH437" s="138">
        <v>1.663E-3</v>
      </c>
      <c r="AI437" s="138">
        <v>1.1735418453787699E-2</v>
      </c>
      <c r="AJ437" s="138">
        <v>1.76605742217334E-3</v>
      </c>
    </row>
    <row r="438" spans="1:36">
      <c r="A438" s="2">
        <v>161</v>
      </c>
      <c r="B438" s="2">
        <v>9943</v>
      </c>
      <c r="C438" s="2" t="s">
        <v>2534</v>
      </c>
      <c r="D438" s="2" t="s">
        <v>2535</v>
      </c>
      <c r="E438" s="3" t="s">
        <v>1351</v>
      </c>
      <c r="F438" s="2" t="s">
        <v>2536</v>
      </c>
      <c r="G438" s="2" t="s">
        <v>2537</v>
      </c>
      <c r="H438" s="2" t="s">
        <v>209</v>
      </c>
      <c r="I438" s="2" t="s">
        <v>998</v>
      </c>
      <c r="J438" s="2" t="s">
        <v>30</v>
      </c>
      <c r="K438" s="2" t="s">
        <v>30</v>
      </c>
      <c r="L438" s="2" t="s">
        <v>361</v>
      </c>
      <c r="M438" s="2" t="s">
        <v>31</v>
      </c>
      <c r="N438" s="2" t="s">
        <v>516</v>
      </c>
      <c r="O438" s="2" t="s">
        <v>160</v>
      </c>
      <c r="P438" s="2" t="s">
        <v>1965</v>
      </c>
      <c r="Q438" s="2" t="s">
        <v>446</v>
      </c>
      <c r="R438" s="2" t="s">
        <v>440</v>
      </c>
      <c r="S438" s="2" t="s">
        <v>34</v>
      </c>
      <c r="T438" s="123">
        <v>1.554</v>
      </c>
      <c r="U438" s="2" t="s">
        <v>2538</v>
      </c>
      <c r="V438" s="136">
        <v>2.5000000000000001E-2</v>
      </c>
      <c r="W438" s="138">
        <v>4.8520000000000001E-2</v>
      </c>
      <c r="X438" s="3" t="s">
        <v>445</v>
      </c>
      <c r="Y438" s="3" t="s">
        <v>160</v>
      </c>
      <c r="Z438" s="123">
        <v>1480964.1</v>
      </c>
      <c r="AA438" s="132">
        <v>1</v>
      </c>
      <c r="AB438" s="149">
        <v>97.69</v>
      </c>
      <c r="AC438" s="2"/>
      <c r="AD438" s="123">
        <v>1446.7539999999999</v>
      </c>
      <c r="AE438" s="2"/>
      <c r="AF438" s="2"/>
      <c r="AG438" s="2" t="s">
        <v>36</v>
      </c>
      <c r="AH438" s="138">
        <v>2.0249999999999999E-3</v>
      </c>
      <c r="AI438" s="138">
        <v>5.0982683788418802E-3</v>
      </c>
      <c r="AJ438" s="138">
        <v>7.6723593164922902E-4</v>
      </c>
    </row>
    <row r="439" spans="1:36">
      <c r="A439" s="2">
        <v>161</v>
      </c>
      <c r="B439" s="2">
        <v>9943</v>
      </c>
      <c r="C439" s="2" t="s">
        <v>1702</v>
      </c>
      <c r="D439" s="2" t="s">
        <v>1703</v>
      </c>
      <c r="E439" s="3" t="s">
        <v>1351</v>
      </c>
      <c r="F439" s="2" t="s">
        <v>2158</v>
      </c>
      <c r="G439" s="2" t="s">
        <v>2159</v>
      </c>
      <c r="H439" s="2" t="s">
        <v>209</v>
      </c>
      <c r="I439" s="2" t="s">
        <v>788</v>
      </c>
      <c r="J439" s="2" t="s">
        <v>30</v>
      </c>
      <c r="K439" s="2" t="s">
        <v>30</v>
      </c>
      <c r="L439" s="2" t="s">
        <v>361</v>
      </c>
      <c r="M439" s="2" t="s">
        <v>31</v>
      </c>
      <c r="N439" s="2" t="s">
        <v>495</v>
      </c>
      <c r="O439" s="2" t="s">
        <v>160</v>
      </c>
      <c r="P439" s="2" t="s">
        <v>88</v>
      </c>
      <c r="Q439" s="2" t="s">
        <v>446</v>
      </c>
      <c r="R439" s="2" t="s">
        <v>440</v>
      </c>
      <c r="S439" s="2" t="s">
        <v>34</v>
      </c>
      <c r="T439" s="123">
        <v>2.6779999999999999</v>
      </c>
      <c r="U439" s="2" t="s">
        <v>2160</v>
      </c>
      <c r="V439" s="136">
        <v>1.34E-2</v>
      </c>
      <c r="W439" s="138">
        <v>2.8029999999999999E-2</v>
      </c>
      <c r="X439" s="3" t="s">
        <v>445</v>
      </c>
      <c r="Y439" s="3" t="s">
        <v>160</v>
      </c>
      <c r="Z439" s="123">
        <v>90909.09</v>
      </c>
      <c r="AA439" s="132">
        <v>1</v>
      </c>
      <c r="AB439" s="149">
        <v>114.07</v>
      </c>
      <c r="AC439" s="123">
        <v>11.573</v>
      </c>
      <c r="AD439" s="123">
        <v>115.273</v>
      </c>
      <c r="AE439" s="2"/>
      <c r="AF439" s="2"/>
      <c r="AG439" s="2" t="s">
        <v>36</v>
      </c>
      <c r="AH439" s="138">
        <v>4.1E-5</v>
      </c>
      <c r="AI439" s="138">
        <v>4.0621463837450502E-4</v>
      </c>
      <c r="AJ439" s="138">
        <v>6.1131043594377302E-5</v>
      </c>
    </row>
    <row r="440" spans="1:36">
      <c r="A440" s="2">
        <v>161</v>
      </c>
      <c r="B440" s="2">
        <v>9943</v>
      </c>
      <c r="C440" s="2" t="s">
        <v>1702</v>
      </c>
      <c r="D440" s="2" t="s">
        <v>1703</v>
      </c>
      <c r="E440" s="3" t="s">
        <v>1351</v>
      </c>
      <c r="F440" s="2" t="s">
        <v>2161</v>
      </c>
      <c r="G440" s="2" t="s">
        <v>2162</v>
      </c>
      <c r="H440" s="2" t="s">
        <v>209</v>
      </c>
      <c r="I440" s="2" t="s">
        <v>788</v>
      </c>
      <c r="J440" s="2" t="s">
        <v>30</v>
      </c>
      <c r="K440" s="2" t="s">
        <v>30</v>
      </c>
      <c r="L440" s="2" t="s">
        <v>361</v>
      </c>
      <c r="M440" s="2" t="s">
        <v>31</v>
      </c>
      <c r="N440" s="2" t="s">
        <v>495</v>
      </c>
      <c r="O440" s="2" t="s">
        <v>160</v>
      </c>
      <c r="P440" s="2" t="s">
        <v>2163</v>
      </c>
      <c r="Q440" s="2" t="s">
        <v>448</v>
      </c>
      <c r="R440" s="2" t="s">
        <v>440</v>
      </c>
      <c r="S440" s="2" t="s">
        <v>34</v>
      </c>
      <c r="T440" s="123">
        <v>1.9570000000000001</v>
      </c>
      <c r="U440" s="2" t="s">
        <v>2014</v>
      </c>
      <c r="V440" s="136">
        <v>1.77E-2</v>
      </c>
      <c r="W440" s="138">
        <v>2.8219999999999999E-2</v>
      </c>
      <c r="X440" s="3" t="s">
        <v>445</v>
      </c>
      <c r="Y440" s="3" t="s">
        <v>160</v>
      </c>
      <c r="Z440" s="123">
        <v>598068.56000000006</v>
      </c>
      <c r="AA440" s="132">
        <v>1</v>
      </c>
      <c r="AB440" s="149">
        <v>114.73</v>
      </c>
      <c r="AC440" s="2"/>
      <c r="AD440" s="123">
        <v>686.16399999999999</v>
      </c>
      <c r="AE440" s="2"/>
      <c r="AF440" s="2"/>
      <c r="AG440" s="2" t="s">
        <v>36</v>
      </c>
      <c r="AH440" s="138">
        <v>2.4600000000000002E-4</v>
      </c>
      <c r="AI440" s="138">
        <v>2.4179984550953401E-3</v>
      </c>
      <c r="AJ440" s="138">
        <v>3.63883412870252E-4</v>
      </c>
    </row>
    <row r="441" spans="1:36">
      <c r="A441" s="2">
        <v>161</v>
      </c>
      <c r="B441" s="2">
        <v>9943</v>
      </c>
      <c r="C441" s="2" t="s">
        <v>1702</v>
      </c>
      <c r="D441" s="2" t="s">
        <v>1703</v>
      </c>
      <c r="E441" s="3" t="s">
        <v>1351</v>
      </c>
      <c r="F441" s="2" t="s">
        <v>2164</v>
      </c>
      <c r="G441" s="2" t="s">
        <v>2165</v>
      </c>
      <c r="H441" s="2" t="s">
        <v>209</v>
      </c>
      <c r="I441" s="2" t="s">
        <v>788</v>
      </c>
      <c r="J441" s="2" t="s">
        <v>30</v>
      </c>
      <c r="K441" s="2" t="s">
        <v>30</v>
      </c>
      <c r="L441" s="2" t="s">
        <v>361</v>
      </c>
      <c r="M441" s="2" t="s">
        <v>31</v>
      </c>
      <c r="N441" s="2" t="s">
        <v>495</v>
      </c>
      <c r="O441" s="2" t="s">
        <v>160</v>
      </c>
      <c r="P441" s="2" t="s">
        <v>88</v>
      </c>
      <c r="Q441" s="2" t="s">
        <v>446</v>
      </c>
      <c r="R441" s="2" t="s">
        <v>440</v>
      </c>
      <c r="S441" s="2" t="s">
        <v>34</v>
      </c>
      <c r="T441" s="123">
        <v>6.4160000000000004</v>
      </c>
      <c r="U441" s="2" t="s">
        <v>2166</v>
      </c>
      <c r="V441" s="136">
        <v>8.9999999999999993E-3</v>
      </c>
      <c r="W441" s="138">
        <v>2.8410000000000001E-2</v>
      </c>
      <c r="X441" s="3" t="s">
        <v>445</v>
      </c>
      <c r="Y441" s="3" t="s">
        <v>160</v>
      </c>
      <c r="Z441" s="123">
        <v>4011650.79</v>
      </c>
      <c r="AA441" s="132">
        <v>1</v>
      </c>
      <c r="AB441" s="149">
        <v>101.93</v>
      </c>
      <c r="AC441" s="123">
        <v>117.619</v>
      </c>
      <c r="AD441" s="123">
        <v>4206.6940000000004</v>
      </c>
      <c r="AE441" s="2"/>
      <c r="AF441" s="2"/>
      <c r="AG441" s="2" t="s">
        <v>36</v>
      </c>
      <c r="AH441" s="138">
        <v>1.488E-3</v>
      </c>
      <c r="AI441" s="138">
        <v>1.48241224135234E-2</v>
      </c>
      <c r="AJ441" s="138">
        <v>2.2308749806155799E-3</v>
      </c>
    </row>
    <row r="442" spans="1:36">
      <c r="A442" s="2">
        <v>161</v>
      </c>
      <c r="B442" s="2">
        <v>9943</v>
      </c>
      <c r="C442" s="2" t="s">
        <v>2539</v>
      </c>
      <c r="D442" s="2" t="s">
        <v>2540</v>
      </c>
      <c r="E442" s="3" t="s">
        <v>1351</v>
      </c>
      <c r="F442" s="2" t="s">
        <v>2541</v>
      </c>
      <c r="G442" s="2" t="s">
        <v>2542</v>
      </c>
      <c r="H442" s="2" t="s">
        <v>209</v>
      </c>
      <c r="I442" s="2" t="s">
        <v>998</v>
      </c>
      <c r="J442" s="2" t="s">
        <v>30</v>
      </c>
      <c r="K442" s="2" t="s">
        <v>30</v>
      </c>
      <c r="L442" s="2" t="s">
        <v>361</v>
      </c>
      <c r="M442" s="2" t="s">
        <v>31</v>
      </c>
      <c r="N442" s="2" t="s">
        <v>478</v>
      </c>
      <c r="O442" s="2" t="s">
        <v>160</v>
      </c>
      <c r="P442" s="2" t="s">
        <v>2008</v>
      </c>
      <c r="Q442" s="2" t="s">
        <v>448</v>
      </c>
      <c r="R442" s="2" t="s">
        <v>440</v>
      </c>
      <c r="S442" s="2" t="s">
        <v>34</v>
      </c>
      <c r="T442" s="123">
        <v>1.385</v>
      </c>
      <c r="U442" s="2" t="s">
        <v>104</v>
      </c>
      <c r="V442" s="136">
        <v>0.06</v>
      </c>
      <c r="W442" s="138">
        <v>5.2359999999999997E-2</v>
      </c>
      <c r="X442" s="3" t="s">
        <v>445</v>
      </c>
      <c r="Y442" s="3" t="s">
        <v>160</v>
      </c>
      <c r="Z442" s="123">
        <v>62184.76</v>
      </c>
      <c r="AA442" s="132">
        <v>1</v>
      </c>
      <c r="AB442" s="149">
        <v>101.65</v>
      </c>
      <c r="AC442" s="2"/>
      <c r="AD442" s="123">
        <v>63.210999999999999</v>
      </c>
      <c r="AE442" s="2"/>
      <c r="AF442" s="2"/>
      <c r="AG442" s="2" t="s">
        <v>36</v>
      </c>
      <c r="AH442" s="138">
        <v>3.68E-4</v>
      </c>
      <c r="AI442" s="138">
        <v>2.2275086462958499E-4</v>
      </c>
      <c r="AJ442" s="138">
        <v>3.3521669408187003E-5</v>
      </c>
    </row>
    <row r="443" spans="1:36">
      <c r="A443" s="2">
        <v>161</v>
      </c>
      <c r="B443" s="2">
        <v>9943</v>
      </c>
      <c r="C443" s="2" t="s">
        <v>1610</v>
      </c>
      <c r="D443" s="2" t="s">
        <v>1611</v>
      </c>
      <c r="E443" s="3" t="s">
        <v>1351</v>
      </c>
      <c r="F443" s="2" t="s">
        <v>2170</v>
      </c>
      <c r="G443" s="2" t="s">
        <v>2171</v>
      </c>
      <c r="H443" s="2" t="s">
        <v>209</v>
      </c>
      <c r="I443" s="2" t="s">
        <v>788</v>
      </c>
      <c r="J443" s="2" t="s">
        <v>30</v>
      </c>
      <c r="K443" s="2" t="s">
        <v>30</v>
      </c>
      <c r="L443" s="2" t="s">
        <v>361</v>
      </c>
      <c r="M443" s="2" t="s">
        <v>31</v>
      </c>
      <c r="N443" s="2" t="s">
        <v>479</v>
      </c>
      <c r="O443" s="2" t="s">
        <v>160</v>
      </c>
      <c r="P443" s="2" t="s">
        <v>1199</v>
      </c>
      <c r="Q443" s="2" t="s">
        <v>446</v>
      </c>
      <c r="R443" s="2" t="s">
        <v>440</v>
      </c>
      <c r="S443" s="2" t="s">
        <v>34</v>
      </c>
      <c r="T443" s="123">
        <v>3.335</v>
      </c>
      <c r="U443" s="2" t="s">
        <v>2169</v>
      </c>
      <c r="V443" s="136">
        <v>1E-3</v>
      </c>
      <c r="W443" s="138">
        <v>2.5729999999999999E-2</v>
      </c>
      <c r="X443" s="3" t="s">
        <v>445</v>
      </c>
      <c r="Y443" s="3" t="s">
        <v>160</v>
      </c>
      <c r="Z443" s="123">
        <v>77490</v>
      </c>
      <c r="AA443" s="132">
        <v>1</v>
      </c>
      <c r="AB443" s="149">
        <v>105.19</v>
      </c>
      <c r="AC443" s="2"/>
      <c r="AD443" s="123">
        <v>81.512</v>
      </c>
      <c r="AE443" s="2"/>
      <c r="AF443" s="2"/>
      <c r="AG443" s="2" t="s">
        <v>36</v>
      </c>
      <c r="AH443" s="138">
        <v>7.8999999999999996E-5</v>
      </c>
      <c r="AI443" s="138">
        <v>2.8724215014928097E-4</v>
      </c>
      <c r="AJ443" s="138">
        <v>4.3226931636889097E-5</v>
      </c>
    </row>
    <row r="444" spans="1:36">
      <c r="A444" s="2">
        <v>161</v>
      </c>
      <c r="B444" s="2">
        <v>9943</v>
      </c>
      <c r="C444" s="2" t="s">
        <v>1610</v>
      </c>
      <c r="D444" s="2" t="s">
        <v>1611</v>
      </c>
      <c r="E444" s="3" t="s">
        <v>1351</v>
      </c>
      <c r="F444" s="2" t="s">
        <v>2172</v>
      </c>
      <c r="G444" s="2" t="s">
        <v>2173</v>
      </c>
      <c r="H444" s="2" t="s">
        <v>209</v>
      </c>
      <c r="I444" s="2" t="s">
        <v>788</v>
      </c>
      <c r="J444" s="2" t="s">
        <v>30</v>
      </c>
      <c r="K444" s="2" t="s">
        <v>30</v>
      </c>
      <c r="L444" s="2" t="s">
        <v>361</v>
      </c>
      <c r="M444" s="2" t="s">
        <v>31</v>
      </c>
      <c r="N444" s="2" t="s">
        <v>479</v>
      </c>
      <c r="O444" s="2" t="s">
        <v>160</v>
      </c>
      <c r="P444" s="2" t="s">
        <v>1199</v>
      </c>
      <c r="Q444" s="2" t="s">
        <v>446</v>
      </c>
      <c r="R444" s="2" t="s">
        <v>440</v>
      </c>
      <c r="S444" s="2" t="s">
        <v>34</v>
      </c>
      <c r="T444" s="123">
        <v>3.7149999999999999</v>
      </c>
      <c r="U444" s="2" t="s">
        <v>2174</v>
      </c>
      <c r="V444" s="136">
        <v>1.3899999999999999E-2</v>
      </c>
      <c r="W444" s="138">
        <v>2.511E-2</v>
      </c>
      <c r="X444" s="3" t="s">
        <v>445</v>
      </c>
      <c r="Y444" s="3" t="s">
        <v>160</v>
      </c>
      <c r="Z444" s="123">
        <v>117245.33</v>
      </c>
      <c r="AA444" s="132">
        <v>1</v>
      </c>
      <c r="AB444" s="149">
        <v>105.13</v>
      </c>
      <c r="AC444" s="2"/>
      <c r="AD444" s="123">
        <v>123.26</v>
      </c>
      <c r="AE444" s="2"/>
      <c r="AF444" s="2"/>
      <c r="AG444" s="2" t="s">
        <v>36</v>
      </c>
      <c r="AH444" s="138">
        <v>7.2999999999999999E-5</v>
      </c>
      <c r="AI444" s="138">
        <v>4.34360446341883E-4</v>
      </c>
      <c r="AJ444" s="138">
        <v>6.5366692562464202E-5</v>
      </c>
    </row>
    <row r="445" spans="1:36">
      <c r="A445" s="2">
        <v>161</v>
      </c>
      <c r="B445" s="2">
        <v>9943</v>
      </c>
      <c r="C445" s="2" t="s">
        <v>1610</v>
      </c>
      <c r="D445" s="2" t="s">
        <v>1611</v>
      </c>
      <c r="E445" s="3" t="s">
        <v>1351</v>
      </c>
      <c r="F445" s="2" t="s">
        <v>2175</v>
      </c>
      <c r="G445" s="2" t="s">
        <v>2176</v>
      </c>
      <c r="H445" s="2" t="s">
        <v>209</v>
      </c>
      <c r="I445" s="2" t="s">
        <v>788</v>
      </c>
      <c r="J445" s="2" t="s">
        <v>30</v>
      </c>
      <c r="K445" s="2" t="s">
        <v>30</v>
      </c>
      <c r="L445" s="2" t="s">
        <v>361</v>
      </c>
      <c r="M445" s="2" t="s">
        <v>31</v>
      </c>
      <c r="N445" s="2" t="s">
        <v>479</v>
      </c>
      <c r="O445" s="2" t="s">
        <v>160</v>
      </c>
      <c r="P445" s="2" t="s">
        <v>1199</v>
      </c>
      <c r="Q445" s="2" t="s">
        <v>446</v>
      </c>
      <c r="R445" s="2" t="s">
        <v>440</v>
      </c>
      <c r="S445" s="2" t="s">
        <v>34</v>
      </c>
      <c r="T445" s="123">
        <v>1.806</v>
      </c>
      <c r="U445" s="2" t="s">
        <v>2177</v>
      </c>
      <c r="V445" s="136">
        <v>6.0000000000000001E-3</v>
      </c>
      <c r="W445" s="138">
        <v>2.4760000000000001E-2</v>
      </c>
      <c r="X445" s="3" t="s">
        <v>445</v>
      </c>
      <c r="Y445" s="3" t="s">
        <v>160</v>
      </c>
      <c r="Z445" s="123">
        <v>286611</v>
      </c>
      <c r="AA445" s="132">
        <v>1</v>
      </c>
      <c r="AB445" s="149">
        <v>114.32</v>
      </c>
      <c r="AC445" s="2"/>
      <c r="AD445" s="123">
        <v>327.654</v>
      </c>
      <c r="AE445" s="2"/>
      <c r="AF445" s="2"/>
      <c r="AG445" s="2" t="s">
        <v>36</v>
      </c>
      <c r="AH445" s="138">
        <v>4.2999999999999999E-4</v>
      </c>
      <c r="AI445" s="138">
        <v>1.15463076000196E-3</v>
      </c>
      <c r="AJ445" s="138">
        <v>1.73759822165775E-4</v>
      </c>
    </row>
    <row r="446" spans="1:36">
      <c r="A446" s="2">
        <v>161</v>
      </c>
      <c r="B446" s="2">
        <v>9943</v>
      </c>
      <c r="C446" s="2" t="s">
        <v>1610</v>
      </c>
      <c r="D446" s="2" t="s">
        <v>1611</v>
      </c>
      <c r="E446" s="3" t="s">
        <v>1351</v>
      </c>
      <c r="F446" s="2" t="s">
        <v>2178</v>
      </c>
      <c r="G446" s="2" t="s">
        <v>2179</v>
      </c>
      <c r="H446" s="2" t="s">
        <v>209</v>
      </c>
      <c r="I446" s="2" t="s">
        <v>788</v>
      </c>
      <c r="J446" s="2" t="s">
        <v>30</v>
      </c>
      <c r="K446" s="2" t="s">
        <v>30</v>
      </c>
      <c r="L446" s="2" t="s">
        <v>361</v>
      </c>
      <c r="M446" s="2" t="s">
        <v>31</v>
      </c>
      <c r="N446" s="2" t="s">
        <v>479</v>
      </c>
      <c r="O446" s="2" t="s">
        <v>160</v>
      </c>
      <c r="P446" s="2" t="s">
        <v>1199</v>
      </c>
      <c r="Q446" s="2" t="s">
        <v>446</v>
      </c>
      <c r="R446" s="2" t="s">
        <v>440</v>
      </c>
      <c r="S446" s="2" t="s">
        <v>34</v>
      </c>
      <c r="T446" s="123">
        <v>2.8039999999999998</v>
      </c>
      <c r="U446" s="2" t="s">
        <v>2180</v>
      </c>
      <c r="V446" s="136">
        <v>1.7500000000000002E-2</v>
      </c>
      <c r="W446" s="138">
        <v>2.4469999999999999E-2</v>
      </c>
      <c r="X446" s="3" t="s">
        <v>445</v>
      </c>
      <c r="Y446" s="3" t="s">
        <v>160</v>
      </c>
      <c r="Z446" s="123">
        <v>162892.47</v>
      </c>
      <c r="AA446" s="132">
        <v>1</v>
      </c>
      <c r="AB446" s="149">
        <v>115.29</v>
      </c>
      <c r="AC446" s="2"/>
      <c r="AD446" s="123">
        <v>187.79900000000001</v>
      </c>
      <c r="AE446" s="2"/>
      <c r="AF446" s="2"/>
      <c r="AG446" s="2" t="s">
        <v>36</v>
      </c>
      <c r="AH446" s="138">
        <v>7.2999999999999999E-5</v>
      </c>
      <c r="AI446" s="138">
        <v>6.6179076256473401E-4</v>
      </c>
      <c r="AJ446" s="138">
        <v>9.95925703676958E-5</v>
      </c>
    </row>
    <row r="447" spans="1:36">
      <c r="A447" s="2">
        <v>161</v>
      </c>
      <c r="B447" s="2">
        <v>9943</v>
      </c>
      <c r="C447" s="2" t="s">
        <v>1710</v>
      </c>
      <c r="D447" s="2" t="s">
        <v>1711</v>
      </c>
      <c r="E447" s="3" t="s">
        <v>1351</v>
      </c>
      <c r="F447" s="2" t="s">
        <v>2184</v>
      </c>
      <c r="G447" s="2" t="s">
        <v>2185</v>
      </c>
      <c r="H447" s="2" t="s">
        <v>209</v>
      </c>
      <c r="I447" s="2" t="s">
        <v>998</v>
      </c>
      <c r="J447" s="2" t="s">
        <v>30</v>
      </c>
      <c r="K447" s="2" t="s">
        <v>30</v>
      </c>
      <c r="L447" s="2" t="s">
        <v>361</v>
      </c>
      <c r="M447" s="2" t="s">
        <v>31</v>
      </c>
      <c r="N447" s="2" t="s">
        <v>508</v>
      </c>
      <c r="O447" s="2" t="s">
        <v>160</v>
      </c>
      <c r="P447" s="2" t="s">
        <v>1969</v>
      </c>
      <c r="Q447" s="2" t="s">
        <v>446</v>
      </c>
      <c r="R447" s="2" t="s">
        <v>440</v>
      </c>
      <c r="S447" s="2" t="s">
        <v>34</v>
      </c>
      <c r="T447" s="123">
        <v>0.90200000000000002</v>
      </c>
      <c r="U447" s="2" t="s">
        <v>2186</v>
      </c>
      <c r="V447" s="136">
        <v>2.29E-2</v>
      </c>
      <c r="W447" s="138">
        <v>4.7030000000000002E-2</v>
      </c>
      <c r="X447" s="3" t="s">
        <v>445</v>
      </c>
      <c r="Y447" s="3" t="s">
        <v>160</v>
      </c>
      <c r="Z447" s="123">
        <v>72164.17</v>
      </c>
      <c r="AA447" s="132">
        <v>1</v>
      </c>
      <c r="AB447" s="149">
        <v>98.11</v>
      </c>
      <c r="AC447" s="2"/>
      <c r="AD447" s="123">
        <v>70.8</v>
      </c>
      <c r="AE447" s="2"/>
      <c r="AF447" s="2"/>
      <c r="AG447" s="2" t="s">
        <v>36</v>
      </c>
      <c r="AH447" s="138">
        <v>2.1800000000000001E-4</v>
      </c>
      <c r="AI447" s="138">
        <v>2.4949563367679498E-4</v>
      </c>
      <c r="AJ447" s="138">
        <v>3.7546476709787099E-5</v>
      </c>
    </row>
    <row r="448" spans="1:36">
      <c r="A448" s="2">
        <v>161</v>
      </c>
      <c r="B448" s="2">
        <v>9943</v>
      </c>
      <c r="C448" s="2" t="s">
        <v>2265</v>
      </c>
      <c r="D448" s="2" t="s">
        <v>2266</v>
      </c>
      <c r="E448" s="3" t="s">
        <v>1351</v>
      </c>
      <c r="F448" s="2" t="s">
        <v>2322</v>
      </c>
      <c r="G448" s="2" t="s">
        <v>2323</v>
      </c>
      <c r="H448" s="2" t="s">
        <v>209</v>
      </c>
      <c r="I448" s="2" t="s">
        <v>998</v>
      </c>
      <c r="J448" s="2" t="s">
        <v>30</v>
      </c>
      <c r="K448" s="2" t="s">
        <v>30</v>
      </c>
      <c r="L448" s="2" t="s">
        <v>361</v>
      </c>
      <c r="M448" s="2" t="s">
        <v>31</v>
      </c>
      <c r="N448" s="2" t="s">
        <v>476</v>
      </c>
      <c r="O448" s="2" t="s">
        <v>160</v>
      </c>
      <c r="P448" s="2" t="s">
        <v>1956</v>
      </c>
      <c r="Q448" s="2" t="s">
        <v>446</v>
      </c>
      <c r="R448" s="2" t="s">
        <v>440</v>
      </c>
      <c r="S448" s="2" t="s">
        <v>34</v>
      </c>
      <c r="T448" s="123">
        <v>7.9000000000000001E-2</v>
      </c>
      <c r="U448" s="2" t="s">
        <v>1340</v>
      </c>
      <c r="V448" s="136">
        <v>3.61E-2</v>
      </c>
      <c r="W448" s="138">
        <v>5.4059999999999997E-2</v>
      </c>
      <c r="X448" s="3" t="s">
        <v>445</v>
      </c>
      <c r="Y448" s="3" t="s">
        <v>160</v>
      </c>
      <c r="Z448" s="123">
        <v>957395</v>
      </c>
      <c r="AA448" s="132">
        <v>1</v>
      </c>
      <c r="AB448" s="149">
        <v>101.38</v>
      </c>
      <c r="AC448" s="2"/>
      <c r="AD448" s="123">
        <v>970.60699999999997</v>
      </c>
      <c r="AE448" s="2"/>
      <c r="AF448" s="2"/>
      <c r="AG448" s="2" t="s">
        <v>36</v>
      </c>
      <c r="AH448" s="138">
        <v>1.2470000000000001E-3</v>
      </c>
      <c r="AI448" s="138">
        <v>3.4203574486633402E-3</v>
      </c>
      <c r="AJ448" s="138">
        <v>5.1472793087732995E-4</v>
      </c>
    </row>
    <row r="449" spans="1:36">
      <c r="A449" s="2">
        <v>161</v>
      </c>
      <c r="B449" s="2">
        <v>9943</v>
      </c>
      <c r="C449" s="2" t="s">
        <v>2265</v>
      </c>
      <c r="D449" s="2" t="s">
        <v>2266</v>
      </c>
      <c r="E449" s="3" t="s">
        <v>1351</v>
      </c>
      <c r="F449" s="2" t="s">
        <v>2543</v>
      </c>
      <c r="G449" s="2" t="s">
        <v>2544</v>
      </c>
      <c r="H449" s="2" t="s">
        <v>209</v>
      </c>
      <c r="I449" s="2" t="s">
        <v>998</v>
      </c>
      <c r="J449" s="2" t="s">
        <v>30</v>
      </c>
      <c r="K449" s="2" t="s">
        <v>30</v>
      </c>
      <c r="L449" s="2" t="s">
        <v>361</v>
      </c>
      <c r="M449" s="2" t="s">
        <v>31</v>
      </c>
      <c r="N449" s="2" t="s">
        <v>476</v>
      </c>
      <c r="O449" s="2" t="s">
        <v>160</v>
      </c>
      <c r="P449" s="2" t="s">
        <v>1956</v>
      </c>
      <c r="Q449" s="2" t="s">
        <v>446</v>
      </c>
      <c r="R449" s="2" t="s">
        <v>440</v>
      </c>
      <c r="S449" s="2" t="s">
        <v>34</v>
      </c>
      <c r="T449" s="123">
        <v>3.6459999999999999</v>
      </c>
      <c r="U449" s="2" t="s">
        <v>1960</v>
      </c>
      <c r="V449" s="136">
        <v>2.6200000000000001E-2</v>
      </c>
      <c r="W449" s="138">
        <v>4.5060000000000003E-2</v>
      </c>
      <c r="X449" s="3" t="s">
        <v>445</v>
      </c>
      <c r="Y449" s="3" t="s">
        <v>160</v>
      </c>
      <c r="Z449" s="123">
        <v>72256</v>
      </c>
      <c r="AA449" s="132">
        <v>1</v>
      </c>
      <c r="AB449" s="149">
        <v>94.04</v>
      </c>
      <c r="AC449" s="2"/>
      <c r="AD449" s="123">
        <v>67.95</v>
      </c>
      <c r="AE449" s="2"/>
      <c r="AF449" s="2"/>
      <c r="AG449" s="2" t="s">
        <v>36</v>
      </c>
      <c r="AH449" s="138">
        <v>5.5999999999999999E-5</v>
      </c>
      <c r="AI449" s="138">
        <v>2.3944986103455101E-4</v>
      </c>
      <c r="AJ449" s="138">
        <v>3.6034693264981698E-5</v>
      </c>
    </row>
    <row r="450" spans="1:36">
      <c r="A450" s="2">
        <v>161</v>
      </c>
      <c r="B450" s="2">
        <v>9943</v>
      </c>
      <c r="C450" s="2" t="s">
        <v>2265</v>
      </c>
      <c r="D450" s="2" t="s">
        <v>2266</v>
      </c>
      <c r="E450" s="3" t="s">
        <v>1351</v>
      </c>
      <c r="F450" s="2" t="s">
        <v>2545</v>
      </c>
      <c r="G450" s="2" t="s">
        <v>2546</v>
      </c>
      <c r="H450" s="2" t="s">
        <v>209</v>
      </c>
      <c r="I450" s="2" t="s">
        <v>788</v>
      </c>
      <c r="J450" s="2" t="s">
        <v>30</v>
      </c>
      <c r="K450" s="2" t="s">
        <v>30</v>
      </c>
      <c r="L450" s="2" t="s">
        <v>361</v>
      </c>
      <c r="M450" s="2" t="s">
        <v>31</v>
      </c>
      <c r="N450" s="2" t="s">
        <v>476</v>
      </c>
      <c r="O450" s="2" t="s">
        <v>160</v>
      </c>
      <c r="P450" s="2" t="s">
        <v>1969</v>
      </c>
      <c r="Q450" s="2" t="s">
        <v>446</v>
      </c>
      <c r="R450" s="2" t="s">
        <v>440</v>
      </c>
      <c r="S450" s="2" t="s">
        <v>34</v>
      </c>
      <c r="T450" s="123">
        <v>6.133</v>
      </c>
      <c r="U450" s="2" t="s">
        <v>2547</v>
      </c>
      <c r="V450" s="136">
        <v>2.0899999999999998E-2</v>
      </c>
      <c r="W450" s="138">
        <v>2.9159999999999998E-2</v>
      </c>
      <c r="X450" s="3" t="s">
        <v>445</v>
      </c>
      <c r="Y450" s="3" t="s">
        <v>160</v>
      </c>
      <c r="Z450" s="123">
        <v>312710</v>
      </c>
      <c r="AA450" s="132">
        <v>1</v>
      </c>
      <c r="AB450" s="149">
        <v>110.73</v>
      </c>
      <c r="AC450" s="2"/>
      <c r="AD450" s="123">
        <v>346.26400000000001</v>
      </c>
      <c r="AE450" s="2"/>
      <c r="AF450" s="2"/>
      <c r="AG450" s="2" t="s">
        <v>36</v>
      </c>
      <c r="AH450" s="138">
        <v>2.03E-4</v>
      </c>
      <c r="AI450" s="138">
        <v>1.2202115244950901E-3</v>
      </c>
      <c r="AJ450" s="138">
        <v>1.8362903955593301E-4</v>
      </c>
    </row>
    <row r="451" spans="1:36">
      <c r="A451" s="2">
        <v>161</v>
      </c>
      <c r="B451" s="2">
        <v>9943</v>
      </c>
      <c r="C451" s="2" t="s">
        <v>1869</v>
      </c>
      <c r="D451" s="2" t="s">
        <v>1870</v>
      </c>
      <c r="E451" s="3" t="s">
        <v>1351</v>
      </c>
      <c r="F451" s="2" t="s">
        <v>2548</v>
      </c>
      <c r="G451" s="2" t="s">
        <v>2549</v>
      </c>
      <c r="H451" s="2" t="s">
        <v>209</v>
      </c>
      <c r="I451" s="2" t="s">
        <v>998</v>
      </c>
      <c r="J451" s="2" t="s">
        <v>30</v>
      </c>
      <c r="K451" s="2" t="s">
        <v>30</v>
      </c>
      <c r="L451" s="2" t="s">
        <v>361</v>
      </c>
      <c r="M451" s="2" t="s">
        <v>31</v>
      </c>
      <c r="N451" s="2" t="s">
        <v>492</v>
      </c>
      <c r="O451" s="2" t="s">
        <v>160</v>
      </c>
      <c r="P451" s="2" t="s">
        <v>1989</v>
      </c>
      <c r="Q451" s="2" t="s">
        <v>448</v>
      </c>
      <c r="R451" s="2" t="s">
        <v>440</v>
      </c>
      <c r="S451" s="2" t="s">
        <v>34</v>
      </c>
      <c r="T451" s="123">
        <v>0.98399999999999999</v>
      </c>
      <c r="U451" s="2" t="s">
        <v>2109</v>
      </c>
      <c r="V451" s="136">
        <v>3.2500000000000001E-2</v>
      </c>
      <c r="W451" s="138">
        <v>4.8820000000000002E-2</v>
      </c>
      <c r="X451" s="3" t="s">
        <v>445</v>
      </c>
      <c r="Y451" s="3" t="s">
        <v>160</v>
      </c>
      <c r="Z451" s="123">
        <v>149141.18</v>
      </c>
      <c r="AA451" s="132">
        <v>1</v>
      </c>
      <c r="AB451" s="149">
        <v>98.5</v>
      </c>
      <c r="AC451" s="2"/>
      <c r="AD451" s="123">
        <v>146.904</v>
      </c>
      <c r="AE451" s="2"/>
      <c r="AF451" s="2"/>
      <c r="AG451" s="2" t="s">
        <v>36</v>
      </c>
      <c r="AH451" s="138">
        <v>9.41E-4</v>
      </c>
      <c r="AI451" s="138">
        <v>5.1768056208640603E-4</v>
      </c>
      <c r="AJ451" s="138">
        <v>7.7905496304861907E-5</v>
      </c>
    </row>
    <row r="452" spans="1:36">
      <c r="A452" s="2">
        <v>161</v>
      </c>
      <c r="B452" s="2">
        <v>9943</v>
      </c>
      <c r="C452" s="2" t="s">
        <v>1869</v>
      </c>
      <c r="D452" s="2" t="s">
        <v>1870</v>
      </c>
      <c r="E452" s="3" t="s">
        <v>1351</v>
      </c>
      <c r="F452" s="2" t="s">
        <v>2550</v>
      </c>
      <c r="G452" s="2" t="s">
        <v>2551</v>
      </c>
      <c r="H452" s="2" t="s">
        <v>209</v>
      </c>
      <c r="I452" s="2" t="s">
        <v>998</v>
      </c>
      <c r="J452" s="2" t="s">
        <v>30</v>
      </c>
      <c r="K452" s="2" t="s">
        <v>30</v>
      </c>
      <c r="L452" s="2" t="s">
        <v>361</v>
      </c>
      <c r="M452" s="2" t="s">
        <v>31</v>
      </c>
      <c r="N452" s="2" t="s">
        <v>492</v>
      </c>
      <c r="O452" s="2" t="s">
        <v>160</v>
      </c>
      <c r="P452" s="2" t="s">
        <v>1989</v>
      </c>
      <c r="Q452" s="2" t="s">
        <v>448</v>
      </c>
      <c r="R452" s="2" t="s">
        <v>440</v>
      </c>
      <c r="S452" s="2" t="s">
        <v>34</v>
      </c>
      <c r="T452" s="123">
        <v>2.9580000000000002</v>
      </c>
      <c r="U452" s="2" t="s">
        <v>2552</v>
      </c>
      <c r="V452" s="136">
        <v>2.1600000000000001E-2</v>
      </c>
      <c r="W452" s="138">
        <v>5.1799999999999999E-2</v>
      </c>
      <c r="X452" s="3" t="s">
        <v>445</v>
      </c>
      <c r="Y452" s="3" t="s">
        <v>160</v>
      </c>
      <c r="Z452" s="123">
        <v>1942745.66</v>
      </c>
      <c r="AA452" s="132">
        <v>1</v>
      </c>
      <c r="AB452" s="149">
        <v>92.3</v>
      </c>
      <c r="AC452" s="2"/>
      <c r="AD452" s="123">
        <v>1793.154</v>
      </c>
      <c r="AE452" s="2"/>
      <c r="AF452" s="2"/>
      <c r="AG452" s="2" t="s">
        <v>36</v>
      </c>
      <c r="AH452" s="138">
        <v>3.075E-3</v>
      </c>
      <c r="AI452" s="138">
        <v>6.3189613854179004E-3</v>
      </c>
      <c r="AJ452" s="138">
        <v>9.5093742920962401E-4</v>
      </c>
    </row>
    <row r="453" spans="1:36">
      <c r="A453" s="2">
        <v>161</v>
      </c>
      <c r="B453" s="2">
        <v>9943</v>
      </c>
      <c r="C453" s="2" t="s">
        <v>1869</v>
      </c>
      <c r="D453" s="2" t="s">
        <v>1870</v>
      </c>
      <c r="E453" s="3" t="s">
        <v>1351</v>
      </c>
      <c r="F453" s="2" t="s">
        <v>2553</v>
      </c>
      <c r="G453" s="2" t="s">
        <v>2554</v>
      </c>
      <c r="H453" s="2" t="s">
        <v>209</v>
      </c>
      <c r="I453" s="2" t="s">
        <v>788</v>
      </c>
      <c r="J453" s="2" t="s">
        <v>30</v>
      </c>
      <c r="K453" s="2" t="s">
        <v>30</v>
      </c>
      <c r="L453" s="2" t="s">
        <v>361</v>
      </c>
      <c r="M453" s="2" t="s">
        <v>31</v>
      </c>
      <c r="N453" s="2" t="s">
        <v>492</v>
      </c>
      <c r="O453" s="2" t="s">
        <v>160</v>
      </c>
      <c r="P453" s="2" t="s">
        <v>1989</v>
      </c>
      <c r="Q453" s="2" t="s">
        <v>448</v>
      </c>
      <c r="R453" s="2" t="s">
        <v>440</v>
      </c>
      <c r="S453" s="2" t="s">
        <v>34</v>
      </c>
      <c r="T453" s="123">
        <v>3.407</v>
      </c>
      <c r="U453" s="2" t="s">
        <v>2404</v>
      </c>
      <c r="V453" s="136">
        <v>3.2500000000000001E-2</v>
      </c>
      <c r="W453" s="138">
        <v>3.083E-2</v>
      </c>
      <c r="X453" s="3" t="s">
        <v>445</v>
      </c>
      <c r="Y453" s="3" t="s">
        <v>160</v>
      </c>
      <c r="Z453" s="123">
        <v>101286.5</v>
      </c>
      <c r="AA453" s="132">
        <v>1</v>
      </c>
      <c r="AB453" s="149">
        <v>111.12</v>
      </c>
      <c r="AC453" s="2"/>
      <c r="AD453" s="123">
        <v>112.55</v>
      </c>
      <c r="AE453" s="2"/>
      <c r="AF453" s="2"/>
      <c r="AG453" s="2" t="s">
        <v>36</v>
      </c>
      <c r="AH453" s="138">
        <v>2.7900000000000001E-4</v>
      </c>
      <c r="AI453" s="138">
        <v>3.9661747912168502E-4</v>
      </c>
      <c r="AJ453" s="138">
        <v>5.9686771760614797E-5</v>
      </c>
    </row>
    <row r="454" spans="1:36">
      <c r="A454" s="2">
        <v>161</v>
      </c>
      <c r="B454" s="2">
        <v>9943</v>
      </c>
      <c r="C454" s="2" t="s">
        <v>2555</v>
      </c>
      <c r="D454" s="2" t="s">
        <v>2556</v>
      </c>
      <c r="E454" s="3" t="s">
        <v>1351</v>
      </c>
      <c r="F454" s="2" t="s">
        <v>2557</v>
      </c>
      <c r="G454" s="2" t="s">
        <v>2558</v>
      </c>
      <c r="H454" s="2" t="s">
        <v>209</v>
      </c>
      <c r="I454" s="2" t="s">
        <v>788</v>
      </c>
      <c r="J454" s="2" t="s">
        <v>30</v>
      </c>
      <c r="K454" s="2" t="s">
        <v>30</v>
      </c>
      <c r="L454" s="2" t="s">
        <v>361</v>
      </c>
      <c r="M454" s="2" t="s">
        <v>31</v>
      </c>
      <c r="N454" s="2" t="s">
        <v>482</v>
      </c>
      <c r="O454" s="2" t="s">
        <v>160</v>
      </c>
      <c r="P454" s="2" t="s">
        <v>211</v>
      </c>
      <c r="Q454" s="2" t="s">
        <v>211</v>
      </c>
      <c r="R454" s="2" t="s">
        <v>211</v>
      </c>
      <c r="S454" s="2" t="s">
        <v>34</v>
      </c>
      <c r="T454" s="123">
        <v>2.4319999999999999</v>
      </c>
      <c r="U454" s="2" t="s">
        <v>2014</v>
      </c>
      <c r="V454" s="136">
        <v>3.6999999999999998E-2</v>
      </c>
      <c r="W454" s="138">
        <v>3.6850000000000001E-2</v>
      </c>
      <c r="X454" s="3" t="s">
        <v>445</v>
      </c>
      <c r="Y454" s="3" t="s">
        <v>160</v>
      </c>
      <c r="Z454" s="123">
        <v>332256.12</v>
      </c>
      <c r="AA454" s="132">
        <v>1</v>
      </c>
      <c r="AB454" s="149">
        <v>117.19</v>
      </c>
      <c r="AC454" s="2"/>
      <c r="AD454" s="123">
        <v>389.37099999999998</v>
      </c>
      <c r="AE454" s="2"/>
      <c r="AF454" s="2"/>
      <c r="AG454" s="2" t="s">
        <v>36</v>
      </c>
      <c r="AH454" s="138">
        <v>7.54E-4</v>
      </c>
      <c r="AI454" s="138">
        <v>1.37211842587399E-3</v>
      </c>
      <c r="AJ454" s="138">
        <v>2.0648943534974301E-4</v>
      </c>
    </row>
    <row r="455" spans="1:36">
      <c r="A455" s="2">
        <v>161</v>
      </c>
      <c r="B455" s="2">
        <v>9943</v>
      </c>
      <c r="C455" s="2" t="s">
        <v>1873</v>
      </c>
      <c r="D455" s="2" t="s">
        <v>1874</v>
      </c>
      <c r="E455" s="3" t="s">
        <v>1351</v>
      </c>
      <c r="F455" s="2" t="s">
        <v>2559</v>
      </c>
      <c r="G455" s="2" t="s">
        <v>2560</v>
      </c>
      <c r="H455" s="2" t="s">
        <v>209</v>
      </c>
      <c r="I455" s="2" t="s">
        <v>998</v>
      </c>
      <c r="J455" s="2" t="s">
        <v>30</v>
      </c>
      <c r="K455" s="2" t="s">
        <v>30</v>
      </c>
      <c r="L455" s="2" t="s">
        <v>361</v>
      </c>
      <c r="M455" s="2" t="s">
        <v>31</v>
      </c>
      <c r="N455" s="2" t="s">
        <v>478</v>
      </c>
      <c r="O455" s="2" t="s">
        <v>160</v>
      </c>
      <c r="P455" s="2" t="s">
        <v>2013</v>
      </c>
      <c r="Q455" s="2" t="s">
        <v>446</v>
      </c>
      <c r="R455" s="2" t="s">
        <v>440</v>
      </c>
      <c r="S455" s="2" t="s">
        <v>34</v>
      </c>
      <c r="T455" s="123">
        <v>1.373</v>
      </c>
      <c r="U455" s="2" t="s">
        <v>2282</v>
      </c>
      <c r="V455" s="136">
        <v>5.0999999999999997E-2</v>
      </c>
      <c r="W455" s="138">
        <v>5.1490000000000001E-2</v>
      </c>
      <c r="X455" s="3" t="s">
        <v>445</v>
      </c>
      <c r="Y455" s="3" t="s">
        <v>160</v>
      </c>
      <c r="Z455" s="123">
        <v>434969.94</v>
      </c>
      <c r="AA455" s="132">
        <v>1</v>
      </c>
      <c r="AB455" s="149">
        <v>100.04</v>
      </c>
      <c r="AC455" s="2"/>
      <c r="AD455" s="123">
        <v>435.14400000000001</v>
      </c>
      <c r="AE455" s="2"/>
      <c r="AF455" s="2"/>
      <c r="AG455" s="2" t="s">
        <v>36</v>
      </c>
      <c r="AH455" s="138">
        <v>3.0309999999999998E-3</v>
      </c>
      <c r="AI455" s="138">
        <v>1.5334194963450101E-3</v>
      </c>
      <c r="AJ455" s="138">
        <v>2.30763555086641E-4</v>
      </c>
    </row>
    <row r="456" spans="1:36">
      <c r="A456" s="2">
        <v>161</v>
      </c>
      <c r="B456" s="2">
        <v>9943</v>
      </c>
      <c r="C456" s="2" t="s">
        <v>2561</v>
      </c>
      <c r="D456" s="2" t="s">
        <v>2562</v>
      </c>
      <c r="E456" s="3" t="s">
        <v>1351</v>
      </c>
      <c r="F456" s="2" t="s">
        <v>2563</v>
      </c>
      <c r="G456" s="2" t="s">
        <v>2564</v>
      </c>
      <c r="H456" s="2" t="s">
        <v>209</v>
      </c>
      <c r="I456" s="2" t="s">
        <v>788</v>
      </c>
      <c r="J456" s="2" t="s">
        <v>30</v>
      </c>
      <c r="K456" s="2" t="s">
        <v>30</v>
      </c>
      <c r="L456" s="2" t="s">
        <v>361</v>
      </c>
      <c r="M456" s="2" t="s">
        <v>31</v>
      </c>
      <c r="N456" s="2" t="s">
        <v>482</v>
      </c>
      <c r="O456" s="2" t="s">
        <v>160</v>
      </c>
      <c r="P456" s="2" t="s">
        <v>1965</v>
      </c>
      <c r="Q456" s="2" t="s">
        <v>446</v>
      </c>
      <c r="R456" s="2" t="s">
        <v>440</v>
      </c>
      <c r="S456" s="2" t="s">
        <v>34</v>
      </c>
      <c r="T456" s="123">
        <v>3.6669999999999998</v>
      </c>
      <c r="U456" s="2" t="s">
        <v>2482</v>
      </c>
      <c r="V456" s="136">
        <v>7.4999999999999997E-3</v>
      </c>
      <c r="W456" s="138">
        <v>3.0880000000000001E-2</v>
      </c>
      <c r="X456" s="3" t="s">
        <v>445</v>
      </c>
      <c r="Y456" s="3" t="s">
        <v>160</v>
      </c>
      <c r="Z456" s="123">
        <v>3403837.98</v>
      </c>
      <c r="AA456" s="132">
        <v>1</v>
      </c>
      <c r="AB456" s="149">
        <v>104.87</v>
      </c>
      <c r="AC456" s="2"/>
      <c r="AD456" s="123">
        <v>3569.605</v>
      </c>
      <c r="AE456" s="2"/>
      <c r="AF456" s="2"/>
      <c r="AG456" s="2" t="s">
        <v>36</v>
      </c>
      <c r="AH456" s="138">
        <v>5.8060000000000004E-3</v>
      </c>
      <c r="AI456" s="138">
        <v>1.25790603524241E-2</v>
      </c>
      <c r="AJ456" s="138">
        <v>1.8930166816671799E-3</v>
      </c>
    </row>
    <row r="457" spans="1:36">
      <c r="A457" s="2">
        <v>161</v>
      </c>
      <c r="B457" s="2">
        <v>9943</v>
      </c>
      <c r="C457" s="2" t="s">
        <v>1885</v>
      </c>
      <c r="D457" s="2" t="s">
        <v>1886</v>
      </c>
      <c r="E457" s="3" t="s">
        <v>1351</v>
      </c>
      <c r="F457" s="2" t="s">
        <v>2565</v>
      </c>
      <c r="G457" s="2" t="s">
        <v>2566</v>
      </c>
      <c r="H457" s="2" t="s">
        <v>209</v>
      </c>
      <c r="I457" s="2" t="s">
        <v>998</v>
      </c>
      <c r="J457" s="2" t="s">
        <v>30</v>
      </c>
      <c r="K457" s="2" t="s">
        <v>30</v>
      </c>
      <c r="L457" s="2" t="s">
        <v>361</v>
      </c>
      <c r="M457" s="2" t="s">
        <v>31</v>
      </c>
      <c r="N457" s="2" t="s">
        <v>493</v>
      </c>
      <c r="O457" s="2" t="s">
        <v>160</v>
      </c>
      <c r="P457" s="2" t="s">
        <v>1969</v>
      </c>
      <c r="Q457" s="2" t="s">
        <v>446</v>
      </c>
      <c r="R457" s="2" t="s">
        <v>440</v>
      </c>
      <c r="S457" s="2" t="s">
        <v>34</v>
      </c>
      <c r="T457" s="123">
        <v>1.2669999999999999</v>
      </c>
      <c r="U457" s="2" t="s">
        <v>2354</v>
      </c>
      <c r="V457" s="136">
        <v>2.3E-2</v>
      </c>
      <c r="W457" s="138">
        <v>4.9320000000000003E-2</v>
      </c>
      <c r="X457" s="3" t="s">
        <v>445</v>
      </c>
      <c r="Y457" s="3" t="s">
        <v>160</v>
      </c>
      <c r="Z457" s="123">
        <v>1615384.6</v>
      </c>
      <c r="AA457" s="132">
        <v>1</v>
      </c>
      <c r="AB457" s="149">
        <v>97.57</v>
      </c>
      <c r="AC457" s="2"/>
      <c r="AD457" s="123">
        <v>1576.1310000000001</v>
      </c>
      <c r="AE457" s="2"/>
      <c r="AF457" s="2"/>
      <c r="AG457" s="2" t="s">
        <v>36</v>
      </c>
      <c r="AH457" s="138">
        <v>1.493E-3</v>
      </c>
      <c r="AI457" s="138">
        <v>5.5541844247984397E-3</v>
      </c>
      <c r="AJ457" s="138">
        <v>8.3584651592623403E-4</v>
      </c>
    </row>
    <row r="458" spans="1:36">
      <c r="A458" s="2">
        <v>161</v>
      </c>
      <c r="B458" s="2">
        <v>9943</v>
      </c>
      <c r="C458" s="2" t="s">
        <v>2567</v>
      </c>
      <c r="D458" s="2" t="s">
        <v>2568</v>
      </c>
      <c r="E458" s="3" t="s">
        <v>1351</v>
      </c>
      <c r="F458" s="2" t="s">
        <v>2569</v>
      </c>
      <c r="G458" s="2" t="s">
        <v>2570</v>
      </c>
      <c r="H458" s="2" t="s">
        <v>209</v>
      </c>
      <c r="I458" s="2" t="s">
        <v>998</v>
      </c>
      <c r="J458" s="2" t="s">
        <v>30</v>
      </c>
      <c r="K458" s="2" t="s">
        <v>30</v>
      </c>
      <c r="L458" s="2" t="s">
        <v>361</v>
      </c>
      <c r="M458" s="2" t="s">
        <v>31</v>
      </c>
      <c r="N458" s="2" t="s">
        <v>478</v>
      </c>
      <c r="O458" s="2" t="s">
        <v>160</v>
      </c>
      <c r="P458" s="2" t="s">
        <v>2030</v>
      </c>
      <c r="Q458" s="2" t="s">
        <v>446</v>
      </c>
      <c r="R458" s="2" t="s">
        <v>440</v>
      </c>
      <c r="S458" s="2" t="s">
        <v>34</v>
      </c>
      <c r="T458" s="123">
        <v>2.246</v>
      </c>
      <c r="U458" s="2" t="s">
        <v>2415</v>
      </c>
      <c r="V458" s="136">
        <v>5.3400000000000003E-2</v>
      </c>
      <c r="W458" s="138">
        <v>5.16E-2</v>
      </c>
      <c r="X458" s="3" t="s">
        <v>445</v>
      </c>
      <c r="Y458" s="3" t="s">
        <v>160</v>
      </c>
      <c r="Z458" s="123">
        <v>151143</v>
      </c>
      <c r="AA458" s="132">
        <v>1</v>
      </c>
      <c r="AB458" s="149">
        <v>100.99</v>
      </c>
      <c r="AC458" s="2"/>
      <c r="AD458" s="123">
        <v>152.63900000000001</v>
      </c>
      <c r="AE458" s="2"/>
      <c r="AF458" s="2"/>
      <c r="AG458" s="2" t="s">
        <v>36</v>
      </c>
      <c r="AH458" s="138">
        <v>2.1699999999999999E-4</v>
      </c>
      <c r="AI458" s="138">
        <v>5.3789122990140995E-4</v>
      </c>
      <c r="AJ458" s="138">
        <v>8.09469898862218E-5</v>
      </c>
    </row>
    <row r="459" spans="1:36">
      <c r="A459" s="2">
        <v>161</v>
      </c>
      <c r="B459" s="2">
        <v>9943</v>
      </c>
      <c r="C459" s="2" t="s">
        <v>1889</v>
      </c>
      <c r="D459" s="2" t="s">
        <v>1890</v>
      </c>
      <c r="E459" s="3" t="s">
        <v>1351</v>
      </c>
      <c r="F459" s="2" t="s">
        <v>2571</v>
      </c>
      <c r="G459" s="2" t="s">
        <v>2572</v>
      </c>
      <c r="H459" s="2" t="s">
        <v>209</v>
      </c>
      <c r="I459" s="2" t="s">
        <v>998</v>
      </c>
      <c r="J459" s="2" t="s">
        <v>30</v>
      </c>
      <c r="K459" s="2" t="s">
        <v>30</v>
      </c>
      <c r="L459" s="2" t="s">
        <v>361</v>
      </c>
      <c r="M459" s="2" t="s">
        <v>31</v>
      </c>
      <c r="N459" s="2" t="s">
        <v>478</v>
      </c>
      <c r="O459" s="2" t="s">
        <v>160</v>
      </c>
      <c r="P459" s="2" t="s">
        <v>2008</v>
      </c>
      <c r="Q459" s="2" t="s">
        <v>448</v>
      </c>
      <c r="R459" s="2" t="s">
        <v>440</v>
      </c>
      <c r="S459" s="2" t="s">
        <v>34</v>
      </c>
      <c r="T459" s="123">
        <v>3.3000000000000002E-2</v>
      </c>
      <c r="U459" s="2" t="s">
        <v>2573</v>
      </c>
      <c r="V459" s="136">
        <v>4.3499999999999997E-2</v>
      </c>
      <c r="W459" s="138">
        <v>9.1929999999999998E-2</v>
      </c>
      <c r="X459" s="3" t="s">
        <v>445</v>
      </c>
      <c r="Y459" s="3" t="s">
        <v>160</v>
      </c>
      <c r="Z459" s="123">
        <v>35753</v>
      </c>
      <c r="AA459" s="132">
        <v>1</v>
      </c>
      <c r="AB459" s="149">
        <v>101.88</v>
      </c>
      <c r="AC459" s="2"/>
      <c r="AD459" s="123">
        <v>36.424999999999997</v>
      </c>
      <c r="AE459" s="2"/>
      <c r="AF459" s="2"/>
      <c r="AG459" s="2" t="s">
        <v>36</v>
      </c>
      <c r="AH459" s="138">
        <v>1.49E-3</v>
      </c>
      <c r="AI459" s="138">
        <v>1.2835993194476299E-4</v>
      </c>
      <c r="AJ459" s="138">
        <v>1.9316823802524701E-5</v>
      </c>
    </row>
    <row r="460" spans="1:36">
      <c r="A460" s="2">
        <v>161</v>
      </c>
      <c r="B460" s="2">
        <v>9943</v>
      </c>
      <c r="C460" s="2" t="s">
        <v>2329</v>
      </c>
      <c r="D460" s="2" t="s">
        <v>2330</v>
      </c>
      <c r="E460" s="3" t="s">
        <v>1351</v>
      </c>
      <c r="F460" s="2" t="s">
        <v>2574</v>
      </c>
      <c r="G460" s="2" t="s">
        <v>2575</v>
      </c>
      <c r="H460" s="2" t="s">
        <v>209</v>
      </c>
      <c r="I460" s="2" t="s">
        <v>788</v>
      </c>
      <c r="J460" s="2" t="s">
        <v>30</v>
      </c>
      <c r="K460" s="2" t="s">
        <v>30</v>
      </c>
      <c r="L460" s="2" t="s">
        <v>361</v>
      </c>
      <c r="M460" s="2" t="s">
        <v>31</v>
      </c>
      <c r="N460" s="2" t="s">
        <v>495</v>
      </c>
      <c r="O460" s="2" t="s">
        <v>160</v>
      </c>
      <c r="P460" s="2" t="s">
        <v>1969</v>
      </c>
      <c r="Q460" s="2" t="s">
        <v>446</v>
      </c>
      <c r="R460" s="2" t="s">
        <v>440</v>
      </c>
      <c r="S460" s="2" t="s">
        <v>34</v>
      </c>
      <c r="T460" s="123">
        <v>5.6429999999999998</v>
      </c>
      <c r="U460" s="2" t="s">
        <v>2427</v>
      </c>
      <c r="V460" s="136">
        <v>1.15E-2</v>
      </c>
      <c r="W460" s="138">
        <v>3.1440000000000003E-2</v>
      </c>
      <c r="X460" s="3" t="s">
        <v>445</v>
      </c>
      <c r="Y460" s="3" t="s">
        <v>160</v>
      </c>
      <c r="Z460" s="123">
        <v>2500000</v>
      </c>
      <c r="AA460" s="132">
        <v>1</v>
      </c>
      <c r="AB460" s="149">
        <v>104.61</v>
      </c>
      <c r="AC460" s="2"/>
      <c r="AD460" s="123">
        <v>2615.25</v>
      </c>
      <c r="AE460" s="2"/>
      <c r="AF460" s="2"/>
      <c r="AG460" s="2" t="s">
        <v>36</v>
      </c>
      <c r="AH460" s="138">
        <v>2.5000000000000001E-3</v>
      </c>
      <c r="AI460" s="138">
        <v>9.2159744856590807E-3</v>
      </c>
      <c r="AJ460" s="138">
        <v>1.38690752332783E-3</v>
      </c>
    </row>
    <row r="461" spans="1:36">
      <c r="A461" s="2">
        <v>161</v>
      </c>
      <c r="B461" s="2">
        <v>9943</v>
      </c>
      <c r="C461" s="2" t="s">
        <v>2195</v>
      </c>
      <c r="D461" s="2" t="s">
        <v>2196</v>
      </c>
      <c r="E461" s="3" t="s">
        <v>1351</v>
      </c>
      <c r="F461" s="2" t="s">
        <v>2197</v>
      </c>
      <c r="G461" s="2" t="s">
        <v>2198</v>
      </c>
      <c r="H461" s="2" t="s">
        <v>209</v>
      </c>
      <c r="I461" s="2" t="s">
        <v>788</v>
      </c>
      <c r="J461" s="2" t="s">
        <v>30</v>
      </c>
      <c r="K461" s="2" t="s">
        <v>30</v>
      </c>
      <c r="L461" s="2" t="s">
        <v>361</v>
      </c>
      <c r="M461" s="2" t="s">
        <v>31</v>
      </c>
      <c r="N461" s="2" t="s">
        <v>495</v>
      </c>
      <c r="O461" s="2" t="s">
        <v>160</v>
      </c>
      <c r="P461" s="2" t="s">
        <v>1956</v>
      </c>
      <c r="Q461" s="2" t="s">
        <v>446</v>
      </c>
      <c r="R461" s="2" t="s">
        <v>440</v>
      </c>
      <c r="S461" s="2" t="s">
        <v>34</v>
      </c>
      <c r="T461" s="123">
        <v>6.0019999999999998</v>
      </c>
      <c r="U461" s="2" t="s">
        <v>2199</v>
      </c>
      <c r="V461" s="136">
        <v>2.5000000000000001E-2</v>
      </c>
      <c r="W461" s="138">
        <v>2.9499999999999998E-2</v>
      </c>
      <c r="X461" s="3" t="s">
        <v>445</v>
      </c>
      <c r="Y461" s="3" t="s">
        <v>160</v>
      </c>
      <c r="Z461" s="123">
        <v>73872.95</v>
      </c>
      <c r="AA461" s="132">
        <v>1</v>
      </c>
      <c r="AB461" s="149">
        <v>114.89</v>
      </c>
      <c r="AC461" s="2"/>
      <c r="AD461" s="123">
        <v>84.873000000000005</v>
      </c>
      <c r="AE461" s="2"/>
      <c r="AF461" s="2"/>
      <c r="AG461" s="2" t="s">
        <v>36</v>
      </c>
      <c r="AH461" s="138">
        <v>5.5000000000000002E-5</v>
      </c>
      <c r="AI461" s="138">
        <v>2.9908575218155298E-4</v>
      </c>
      <c r="AJ461" s="138">
        <v>4.5009269553234201E-5</v>
      </c>
    </row>
    <row r="462" spans="1:36">
      <c r="A462" s="2">
        <v>161</v>
      </c>
      <c r="B462" s="2">
        <v>9943</v>
      </c>
      <c r="C462" s="2" t="s">
        <v>2576</v>
      </c>
      <c r="D462" s="2" t="s">
        <v>2577</v>
      </c>
      <c r="E462" s="3" t="s">
        <v>1351</v>
      </c>
      <c r="F462" s="2" t="s">
        <v>2578</v>
      </c>
      <c r="G462" s="2" t="s">
        <v>2579</v>
      </c>
      <c r="H462" s="2" t="s">
        <v>209</v>
      </c>
      <c r="I462" s="2" t="s">
        <v>788</v>
      </c>
      <c r="J462" s="2" t="s">
        <v>30</v>
      </c>
      <c r="K462" s="2" t="s">
        <v>30</v>
      </c>
      <c r="L462" s="2" t="s">
        <v>361</v>
      </c>
      <c r="M462" s="2" t="s">
        <v>31</v>
      </c>
      <c r="N462" s="2" t="s">
        <v>495</v>
      </c>
      <c r="O462" s="2" t="s">
        <v>160</v>
      </c>
      <c r="P462" s="2" t="s">
        <v>2580</v>
      </c>
      <c r="Q462" s="2" t="s">
        <v>446</v>
      </c>
      <c r="R462" s="2" t="s">
        <v>440</v>
      </c>
      <c r="S462" s="2" t="s">
        <v>34</v>
      </c>
      <c r="T462" s="123">
        <v>3.0920000000000001</v>
      </c>
      <c r="U462" s="2" t="s">
        <v>2144</v>
      </c>
      <c r="V462" s="136">
        <v>9.4000000000000004E-3</v>
      </c>
      <c r="W462" s="138">
        <v>3.7310000000000003E-2</v>
      </c>
      <c r="X462" s="3" t="s">
        <v>445</v>
      </c>
      <c r="Y462" s="3" t="s">
        <v>160</v>
      </c>
      <c r="Z462" s="123">
        <v>237628.25</v>
      </c>
      <c r="AA462" s="132">
        <v>1</v>
      </c>
      <c r="AB462" s="149">
        <v>105</v>
      </c>
      <c r="AC462" s="123">
        <v>10.907</v>
      </c>
      <c r="AD462" s="123">
        <v>260.41699999999997</v>
      </c>
      <c r="AE462" s="2"/>
      <c r="AF462" s="2"/>
      <c r="AG462" s="2" t="s">
        <v>36</v>
      </c>
      <c r="AH462" s="138">
        <v>5.8E-4</v>
      </c>
      <c r="AI462" s="138">
        <v>9.1769209017797198E-4</v>
      </c>
      <c r="AJ462" s="138">
        <v>1.3810303684616199E-4</v>
      </c>
    </row>
    <row r="463" spans="1:36">
      <c r="A463" s="2">
        <v>161</v>
      </c>
      <c r="B463" s="2">
        <v>9943</v>
      </c>
      <c r="C463" s="2" t="s">
        <v>2336</v>
      </c>
      <c r="D463" s="2" t="s">
        <v>2337</v>
      </c>
      <c r="E463" s="3" t="s">
        <v>1351</v>
      </c>
      <c r="F463" s="2" t="s">
        <v>2581</v>
      </c>
      <c r="G463" s="2" t="s">
        <v>2582</v>
      </c>
      <c r="H463" s="2" t="s">
        <v>209</v>
      </c>
      <c r="I463" s="2" t="s">
        <v>998</v>
      </c>
      <c r="J463" s="2" t="s">
        <v>30</v>
      </c>
      <c r="K463" s="2" t="s">
        <v>30</v>
      </c>
      <c r="L463" s="2" t="s">
        <v>361</v>
      </c>
      <c r="M463" s="2" t="s">
        <v>31</v>
      </c>
      <c r="N463" s="2" t="s">
        <v>478</v>
      </c>
      <c r="O463" s="2" t="s">
        <v>160</v>
      </c>
      <c r="P463" s="2" t="s">
        <v>2030</v>
      </c>
      <c r="Q463" s="2" t="s">
        <v>446</v>
      </c>
      <c r="R463" s="2" t="s">
        <v>440</v>
      </c>
      <c r="S463" s="2" t="s">
        <v>34</v>
      </c>
      <c r="T463" s="123">
        <v>2.6549999999999998</v>
      </c>
      <c r="U463" s="2" t="s">
        <v>2583</v>
      </c>
      <c r="V463" s="136">
        <v>2.8000000000000001E-2</v>
      </c>
      <c r="W463" s="138">
        <v>5.1920000000000001E-2</v>
      </c>
      <c r="X463" s="3" t="s">
        <v>445</v>
      </c>
      <c r="Y463" s="3" t="s">
        <v>160</v>
      </c>
      <c r="Z463" s="123">
        <v>2497279</v>
      </c>
      <c r="AA463" s="132">
        <v>1</v>
      </c>
      <c r="AB463" s="149">
        <v>94.52</v>
      </c>
      <c r="AC463" s="2"/>
      <c r="AD463" s="123">
        <v>2360.4279999999999</v>
      </c>
      <c r="AE463" s="2"/>
      <c r="AF463" s="2"/>
      <c r="AG463" s="2" t="s">
        <v>36</v>
      </c>
      <c r="AH463" s="138">
        <v>1.603E-3</v>
      </c>
      <c r="AI463" s="138">
        <v>8.3179983727617902E-3</v>
      </c>
      <c r="AJ463" s="138">
        <v>1.2517715343248301E-3</v>
      </c>
    </row>
    <row r="464" spans="1:36">
      <c r="A464" s="2">
        <v>161</v>
      </c>
      <c r="B464" s="2">
        <v>9943</v>
      </c>
      <c r="C464" s="2" t="s">
        <v>2336</v>
      </c>
      <c r="D464" s="2" t="s">
        <v>2337</v>
      </c>
      <c r="E464" s="3" t="s">
        <v>1351</v>
      </c>
      <c r="F464" s="2" t="s">
        <v>2338</v>
      </c>
      <c r="G464" s="2" t="s">
        <v>2339</v>
      </c>
      <c r="H464" s="2" t="s">
        <v>209</v>
      </c>
      <c r="I464" s="2" t="s">
        <v>788</v>
      </c>
      <c r="J464" s="2" t="s">
        <v>30</v>
      </c>
      <c r="K464" s="2" t="s">
        <v>30</v>
      </c>
      <c r="L464" s="2" t="s">
        <v>361</v>
      </c>
      <c r="M464" s="2" t="s">
        <v>31</v>
      </c>
      <c r="N464" s="2" t="s">
        <v>478</v>
      </c>
      <c r="O464" s="2" t="s">
        <v>160</v>
      </c>
      <c r="P464" s="2" t="s">
        <v>2030</v>
      </c>
      <c r="Q464" s="2" t="s">
        <v>446</v>
      </c>
      <c r="R464" s="2" t="s">
        <v>440</v>
      </c>
      <c r="S464" s="2" t="s">
        <v>34</v>
      </c>
      <c r="T464" s="123">
        <v>2.226</v>
      </c>
      <c r="U464" s="2" t="s">
        <v>2340</v>
      </c>
      <c r="V464" s="136">
        <v>3.9E-2</v>
      </c>
      <c r="W464" s="138">
        <v>3.1789999999999999E-2</v>
      </c>
      <c r="X464" s="3" t="s">
        <v>445</v>
      </c>
      <c r="Y464" s="3" t="s">
        <v>160</v>
      </c>
      <c r="Z464" s="123">
        <v>1744718.77</v>
      </c>
      <c r="AA464" s="132">
        <v>1</v>
      </c>
      <c r="AB464" s="149">
        <v>120.32</v>
      </c>
      <c r="AC464" s="2"/>
      <c r="AD464" s="123">
        <v>2099.2460000000001</v>
      </c>
      <c r="AE464" s="2"/>
      <c r="AF464" s="2"/>
      <c r="AG464" s="2" t="s">
        <v>36</v>
      </c>
      <c r="AH464" s="138">
        <v>1.2639999999999999E-3</v>
      </c>
      <c r="AI464" s="138">
        <v>7.3976079191302203E-3</v>
      </c>
      <c r="AJ464" s="138">
        <v>1.11326242207337E-3</v>
      </c>
    </row>
    <row r="465" spans="1:36">
      <c r="A465" s="2">
        <v>161</v>
      </c>
      <c r="B465" s="2">
        <v>9943</v>
      </c>
      <c r="C465" s="2" t="s">
        <v>2336</v>
      </c>
      <c r="D465" s="2" t="s">
        <v>2337</v>
      </c>
      <c r="E465" s="3" t="s">
        <v>1351</v>
      </c>
      <c r="F465" s="2" t="s">
        <v>2584</v>
      </c>
      <c r="G465" s="2" t="s">
        <v>2585</v>
      </c>
      <c r="H465" s="2" t="s">
        <v>209</v>
      </c>
      <c r="I465" s="2" t="s">
        <v>788</v>
      </c>
      <c r="J465" s="2" t="s">
        <v>30</v>
      </c>
      <c r="K465" s="2" t="s">
        <v>30</v>
      </c>
      <c r="L465" s="2" t="s">
        <v>361</v>
      </c>
      <c r="M465" s="2" t="s">
        <v>31</v>
      </c>
      <c r="N465" s="2" t="s">
        <v>478</v>
      </c>
      <c r="O465" s="2" t="s">
        <v>160</v>
      </c>
      <c r="P465" s="2" t="s">
        <v>2030</v>
      </c>
      <c r="Q465" s="2" t="s">
        <v>446</v>
      </c>
      <c r="R465" s="2" t="s">
        <v>440</v>
      </c>
      <c r="S465" s="2" t="s">
        <v>34</v>
      </c>
      <c r="T465" s="123">
        <v>3.7509999999999999</v>
      </c>
      <c r="U465" s="2" t="s">
        <v>2357</v>
      </c>
      <c r="V465" s="136">
        <v>3.2500000000000001E-2</v>
      </c>
      <c r="W465" s="138">
        <v>3.1280000000000002E-2</v>
      </c>
      <c r="X465" s="3" t="s">
        <v>445</v>
      </c>
      <c r="Y465" s="3" t="s">
        <v>160</v>
      </c>
      <c r="Z465" s="123">
        <v>1212766.01</v>
      </c>
      <c r="AA465" s="132">
        <v>1</v>
      </c>
      <c r="AB465" s="149">
        <v>118.75</v>
      </c>
      <c r="AC465" s="2"/>
      <c r="AD465" s="123">
        <v>1440.16</v>
      </c>
      <c r="AE465" s="2"/>
      <c r="AF465" s="2"/>
      <c r="AG465" s="2" t="s">
        <v>36</v>
      </c>
      <c r="AH465" s="138">
        <v>3.5509999999999999E-3</v>
      </c>
      <c r="AI465" s="138">
        <v>5.0750308646271098E-3</v>
      </c>
      <c r="AJ465" s="138">
        <v>7.6373892942357795E-4</v>
      </c>
    </row>
    <row r="466" spans="1:36">
      <c r="A466" s="2">
        <v>161</v>
      </c>
      <c r="B466" s="2">
        <v>9943</v>
      </c>
      <c r="C466" s="2" t="s">
        <v>2586</v>
      </c>
      <c r="D466" s="2" t="s">
        <v>2587</v>
      </c>
      <c r="E466" s="3" t="s">
        <v>1351</v>
      </c>
      <c r="F466" s="2" t="s">
        <v>2588</v>
      </c>
      <c r="G466" s="2" t="s">
        <v>2589</v>
      </c>
      <c r="H466" s="2" t="s">
        <v>209</v>
      </c>
      <c r="I466" s="2" t="s">
        <v>998</v>
      </c>
      <c r="J466" s="2" t="s">
        <v>30</v>
      </c>
      <c r="K466" s="2" t="s">
        <v>30</v>
      </c>
      <c r="L466" s="2" t="s">
        <v>361</v>
      </c>
      <c r="M466" s="2" t="s">
        <v>31</v>
      </c>
      <c r="N466" s="2" t="s">
        <v>494</v>
      </c>
      <c r="O466" s="2" t="s">
        <v>160</v>
      </c>
      <c r="P466" s="2" t="s">
        <v>1965</v>
      </c>
      <c r="Q466" s="2" t="s">
        <v>446</v>
      </c>
      <c r="R466" s="2" t="s">
        <v>440</v>
      </c>
      <c r="S466" s="2" t="s">
        <v>34</v>
      </c>
      <c r="T466" s="123">
        <v>5.5149999999999997</v>
      </c>
      <c r="U466" s="2" t="s">
        <v>2590</v>
      </c>
      <c r="V466" s="136">
        <v>2.3400000000000001E-2</v>
      </c>
      <c r="W466" s="138">
        <v>4.8730000000000002E-2</v>
      </c>
      <c r="X466" s="3" t="s">
        <v>445</v>
      </c>
      <c r="Y466" s="3" t="s">
        <v>160</v>
      </c>
      <c r="Z466" s="123">
        <v>958139.75</v>
      </c>
      <c r="AA466" s="132">
        <v>1</v>
      </c>
      <c r="AB466" s="149">
        <v>87.27</v>
      </c>
      <c r="AC466" s="2"/>
      <c r="AD466" s="123">
        <v>836.16899999999998</v>
      </c>
      <c r="AE466" s="2"/>
      <c r="AF466" s="2"/>
      <c r="AG466" s="2" t="s">
        <v>36</v>
      </c>
      <c r="AH466" s="138">
        <v>1.047E-3</v>
      </c>
      <c r="AI466" s="138">
        <v>2.9466047655319801E-3</v>
      </c>
      <c r="AJ466" s="138">
        <v>4.43433119736732E-4</v>
      </c>
    </row>
    <row r="467" spans="1:36">
      <c r="A467" s="2">
        <v>161</v>
      </c>
      <c r="B467" s="2">
        <v>9943</v>
      </c>
      <c r="C467" s="2" t="s">
        <v>1610</v>
      </c>
      <c r="D467" s="2" t="s">
        <v>1611</v>
      </c>
      <c r="E467" s="3" t="s">
        <v>1351</v>
      </c>
      <c r="F467" s="2" t="s">
        <v>2591</v>
      </c>
      <c r="G467" s="2" t="s">
        <v>2592</v>
      </c>
      <c r="H467" s="2" t="s">
        <v>209</v>
      </c>
      <c r="I467" s="2" t="s">
        <v>789</v>
      </c>
      <c r="J467" s="2" t="s">
        <v>30</v>
      </c>
      <c r="K467" s="2" t="s">
        <v>30</v>
      </c>
      <c r="L467" s="2" t="s">
        <v>361</v>
      </c>
      <c r="M467" s="2" t="s">
        <v>58</v>
      </c>
      <c r="N467" s="2" t="s">
        <v>568</v>
      </c>
      <c r="O467" s="2" t="s">
        <v>160</v>
      </c>
      <c r="P467" s="2" t="s">
        <v>2217</v>
      </c>
      <c r="Q467" s="2" t="s">
        <v>464</v>
      </c>
      <c r="R467" s="2" t="s">
        <v>440</v>
      </c>
      <c r="S467" s="2" t="s">
        <v>90</v>
      </c>
      <c r="T467" s="123">
        <v>5.6180000000000003</v>
      </c>
      <c r="U467" s="2" t="s">
        <v>2593</v>
      </c>
      <c r="V467" s="136">
        <v>3.2550000000000003E-2</v>
      </c>
      <c r="W467" s="138">
        <v>5.9729999999999998E-2</v>
      </c>
      <c r="X467" s="3" t="s">
        <v>445</v>
      </c>
      <c r="Y467" s="3" t="s">
        <v>160</v>
      </c>
      <c r="Z467" s="123">
        <v>500000</v>
      </c>
      <c r="AA467" s="132">
        <v>3.3719999999999999</v>
      </c>
      <c r="AB467" s="149">
        <v>97.41</v>
      </c>
      <c r="AC467" s="2"/>
      <c r="AD467" s="123">
        <v>1642.335</v>
      </c>
      <c r="AE467" s="2"/>
      <c r="AF467" s="2"/>
      <c r="AG467" s="2" t="s">
        <v>36</v>
      </c>
      <c r="AH467" s="138">
        <v>5.0000000000000001E-4</v>
      </c>
      <c r="AI467" s="138">
        <v>5.7874829409166901E-3</v>
      </c>
      <c r="AJ467" s="138">
        <v>8.7095549628301596E-4</v>
      </c>
    </row>
    <row r="468" spans="1:36">
      <c r="A468" s="2">
        <v>161</v>
      </c>
      <c r="B468" s="2">
        <v>9943</v>
      </c>
      <c r="C468" s="2" t="s">
        <v>1197</v>
      </c>
      <c r="D468" s="2" t="s">
        <v>1607</v>
      </c>
      <c r="E468" s="3" t="s">
        <v>1351</v>
      </c>
      <c r="F468" s="2" t="s">
        <v>2215</v>
      </c>
      <c r="G468" s="2" t="s">
        <v>2216</v>
      </c>
      <c r="H468" s="2" t="s">
        <v>209</v>
      </c>
      <c r="I468" s="2" t="s">
        <v>789</v>
      </c>
      <c r="J468" s="2" t="s">
        <v>30</v>
      </c>
      <c r="K468" s="2" t="s">
        <v>30</v>
      </c>
      <c r="L468" s="2" t="s">
        <v>361</v>
      </c>
      <c r="M468" s="2" t="s">
        <v>58</v>
      </c>
      <c r="N468" s="2" t="s">
        <v>568</v>
      </c>
      <c r="O468" s="2" t="s">
        <v>160</v>
      </c>
      <c r="P468" s="2" t="s">
        <v>2217</v>
      </c>
      <c r="Q468" s="2" t="s">
        <v>464</v>
      </c>
      <c r="R468" s="2" t="s">
        <v>440</v>
      </c>
      <c r="S468" s="2" t="s">
        <v>90</v>
      </c>
      <c r="T468" s="123">
        <v>4.8479999999999999</v>
      </c>
      <c r="U468" s="2" t="s">
        <v>2218</v>
      </c>
      <c r="V468" s="136">
        <v>3.2750000000000001E-2</v>
      </c>
      <c r="W468" s="138">
        <v>5.8430000000000003E-2</v>
      </c>
      <c r="X468" s="3" t="s">
        <v>445</v>
      </c>
      <c r="Y468" s="3" t="s">
        <v>160</v>
      </c>
      <c r="Z468" s="123">
        <v>536000</v>
      </c>
      <c r="AA468" s="132">
        <v>3.3719999999999999</v>
      </c>
      <c r="AB468" s="149">
        <v>99.06</v>
      </c>
      <c r="AC468" s="2"/>
      <c r="AD468" s="123">
        <v>1790.3969999999999</v>
      </c>
      <c r="AE468" s="2"/>
      <c r="AF468" s="2"/>
      <c r="AG468" s="2" t="s">
        <v>36</v>
      </c>
      <c r="AH468" s="138">
        <v>7.1500000000000003E-4</v>
      </c>
      <c r="AI468" s="138">
        <v>6.3092437680098397E-3</v>
      </c>
      <c r="AJ468" s="138">
        <v>9.4947502968659604E-4</v>
      </c>
    </row>
    <row r="469" spans="1:36">
      <c r="A469" s="2">
        <v>161</v>
      </c>
      <c r="B469" s="2">
        <v>9943</v>
      </c>
      <c r="C469" s="2" t="s">
        <v>1671</v>
      </c>
      <c r="D469" s="2" t="s">
        <v>1672</v>
      </c>
      <c r="E469" s="3" t="s">
        <v>1351</v>
      </c>
      <c r="F469" s="2" t="s">
        <v>2219</v>
      </c>
      <c r="G469" s="2" t="s">
        <v>2220</v>
      </c>
      <c r="H469" s="2" t="s">
        <v>209</v>
      </c>
      <c r="I469" s="2" t="s">
        <v>789</v>
      </c>
      <c r="J469" s="2" t="s">
        <v>85</v>
      </c>
      <c r="K469" s="2" t="s">
        <v>30</v>
      </c>
      <c r="L469" s="2" t="s">
        <v>361</v>
      </c>
      <c r="M469" s="2" t="s">
        <v>135</v>
      </c>
      <c r="N469" s="2" t="s">
        <v>568</v>
      </c>
      <c r="O469" s="2" t="s">
        <v>160</v>
      </c>
      <c r="P469" s="2" t="s">
        <v>2217</v>
      </c>
      <c r="Q469" s="2" t="s">
        <v>464</v>
      </c>
      <c r="R469" s="2" t="s">
        <v>440</v>
      </c>
      <c r="S469" s="2" t="s">
        <v>90</v>
      </c>
      <c r="T469" s="123">
        <v>5.0060000000000002</v>
      </c>
      <c r="U469" s="2" t="s">
        <v>2221</v>
      </c>
      <c r="V469" s="136">
        <v>3.0769999999999999E-2</v>
      </c>
      <c r="W469" s="138">
        <v>6.2969999999999998E-2</v>
      </c>
      <c r="X469" s="3" t="s">
        <v>445</v>
      </c>
      <c r="Y469" s="3" t="s">
        <v>160</v>
      </c>
      <c r="Z469" s="123">
        <v>86000</v>
      </c>
      <c r="AA469" s="132">
        <v>3.3719999999999999</v>
      </c>
      <c r="AB469" s="149">
        <v>97.67</v>
      </c>
      <c r="AC469" s="2"/>
      <c r="AD469" s="123">
        <v>283.23500000000001</v>
      </c>
      <c r="AE469" s="2"/>
      <c r="AF469" s="2"/>
      <c r="AG469" s="2" t="s">
        <v>36</v>
      </c>
      <c r="AH469" s="138">
        <v>1.4300000000000001E-4</v>
      </c>
      <c r="AI469" s="138">
        <v>9.9810193966850592E-4</v>
      </c>
      <c r="AJ469" s="138">
        <v>1.5020387603377299E-4</v>
      </c>
    </row>
    <row r="470" spans="1:36">
      <c r="A470" s="2">
        <v>161</v>
      </c>
      <c r="B470" s="2">
        <v>9943</v>
      </c>
      <c r="C470" s="2" t="s">
        <v>2594</v>
      </c>
      <c r="D470" s="2" t="s">
        <v>2595</v>
      </c>
      <c r="E470" s="3" t="s">
        <v>349</v>
      </c>
      <c r="F470" s="2" t="s">
        <v>2596</v>
      </c>
      <c r="G470" s="2" t="s">
        <v>2597</v>
      </c>
      <c r="H470" s="2" t="s">
        <v>209</v>
      </c>
      <c r="I470" s="2" t="s">
        <v>998</v>
      </c>
      <c r="J470" s="2" t="s">
        <v>30</v>
      </c>
      <c r="K470" s="2" t="s">
        <v>30</v>
      </c>
      <c r="L470" s="2" t="s">
        <v>135</v>
      </c>
      <c r="M470" s="2" t="s">
        <v>31</v>
      </c>
      <c r="N470" s="2" t="s">
        <v>496</v>
      </c>
      <c r="O470" s="2" t="s">
        <v>160</v>
      </c>
      <c r="P470" s="2" t="s">
        <v>2598</v>
      </c>
      <c r="Q470" s="2" t="s">
        <v>448</v>
      </c>
      <c r="R470" s="2" t="s">
        <v>440</v>
      </c>
      <c r="S470" s="2" t="s">
        <v>34</v>
      </c>
      <c r="T470" s="123">
        <v>6.18</v>
      </c>
      <c r="U470" s="2" t="s">
        <v>2599</v>
      </c>
      <c r="V470" s="136">
        <v>7.0000000000000007E-2</v>
      </c>
      <c r="W470" s="138">
        <v>1E-4</v>
      </c>
      <c r="X470" s="3" t="s">
        <v>444</v>
      </c>
      <c r="Y470" s="3" t="s">
        <v>160</v>
      </c>
      <c r="Z470" s="123">
        <v>145534.70000000001</v>
      </c>
      <c r="AA470" s="132">
        <v>1</v>
      </c>
      <c r="AB470" s="149">
        <v>0.52</v>
      </c>
      <c r="AC470" s="2"/>
      <c r="AD470" s="123">
        <v>0.75700000000000001</v>
      </c>
      <c r="AE470" s="2"/>
      <c r="AF470" s="2"/>
      <c r="AG470" s="2" t="s">
        <v>36</v>
      </c>
      <c r="AH470" s="138">
        <v>0</v>
      </c>
      <c r="AI470" s="138">
        <v>2.6668460859519598E-6</v>
      </c>
      <c r="AJ470" s="138">
        <v>4.0133237195042299E-7</v>
      </c>
    </row>
    <row r="471" spans="1:36">
      <c r="A471" s="2">
        <v>161</v>
      </c>
      <c r="B471" s="2">
        <v>9943</v>
      </c>
      <c r="C471" s="2" t="s">
        <v>2600</v>
      </c>
      <c r="D471" s="2" t="s">
        <v>2601</v>
      </c>
      <c r="E471" s="3" t="s">
        <v>349</v>
      </c>
      <c r="F471" s="2" t="s">
        <v>2602</v>
      </c>
      <c r="G471" s="2" t="s">
        <v>2603</v>
      </c>
      <c r="H471" s="2" t="s">
        <v>209</v>
      </c>
      <c r="I471" s="2" t="s">
        <v>789</v>
      </c>
      <c r="J471" s="2" t="s">
        <v>30</v>
      </c>
      <c r="K471" s="2" t="s">
        <v>30</v>
      </c>
      <c r="L471" s="2" t="s">
        <v>361</v>
      </c>
      <c r="M471" s="2" t="s">
        <v>31</v>
      </c>
      <c r="N471" s="2" t="s">
        <v>512</v>
      </c>
      <c r="O471" s="2" t="s">
        <v>160</v>
      </c>
      <c r="P471" s="2" t="s">
        <v>1969</v>
      </c>
      <c r="Q471" s="2" t="s">
        <v>446</v>
      </c>
      <c r="R471" s="2" t="s">
        <v>440</v>
      </c>
      <c r="S471" s="2" t="s">
        <v>34</v>
      </c>
      <c r="T471" s="123">
        <v>0.501</v>
      </c>
      <c r="U471" s="2" t="s">
        <v>2604</v>
      </c>
      <c r="V471" s="136">
        <v>3.3700000000000001E-2</v>
      </c>
      <c r="W471" s="138">
        <v>5.8880000000000002E-2</v>
      </c>
      <c r="X471" s="3" t="s">
        <v>445</v>
      </c>
      <c r="Y471" s="3" t="s">
        <v>160</v>
      </c>
      <c r="Z471" s="123">
        <v>119632.67</v>
      </c>
      <c r="AA471" s="132">
        <v>1</v>
      </c>
      <c r="AB471" s="149">
        <v>94.4</v>
      </c>
      <c r="AC471" s="123">
        <v>1.9219999999999999</v>
      </c>
      <c r="AD471" s="123">
        <v>114.85599999999999</v>
      </c>
      <c r="AE471" s="2"/>
      <c r="AF471" s="2"/>
      <c r="AG471" s="2" t="s">
        <v>36</v>
      </c>
      <c r="AH471" s="138">
        <v>1.709E-3</v>
      </c>
      <c r="AI471" s="138">
        <v>4.0474368221766701E-4</v>
      </c>
      <c r="AJ471" s="138">
        <v>6.0909680116909103E-5</v>
      </c>
    </row>
    <row r="472" spans="1:36">
      <c r="A472" s="2">
        <v>161</v>
      </c>
      <c r="B472" s="2">
        <v>12468</v>
      </c>
      <c r="C472" s="2" t="s">
        <v>1952</v>
      </c>
      <c r="D472" s="2" t="s">
        <v>1953</v>
      </c>
      <c r="E472" s="3" t="s">
        <v>1351</v>
      </c>
      <c r="F472" s="2" t="s">
        <v>1954</v>
      </c>
      <c r="G472" s="2" t="s">
        <v>1955</v>
      </c>
      <c r="H472" s="2" t="s">
        <v>209</v>
      </c>
      <c r="I472" s="2" t="s">
        <v>788</v>
      </c>
      <c r="J472" s="2" t="s">
        <v>30</v>
      </c>
      <c r="K472" s="2" t="s">
        <v>30</v>
      </c>
      <c r="L472" s="2" t="s">
        <v>361</v>
      </c>
      <c r="M472" s="2" t="s">
        <v>31</v>
      </c>
      <c r="N472" s="2" t="s">
        <v>495</v>
      </c>
      <c r="O472" s="2" t="s">
        <v>160</v>
      </c>
      <c r="P472" s="2" t="s">
        <v>1956</v>
      </c>
      <c r="Q472" s="2" t="s">
        <v>446</v>
      </c>
      <c r="R472" s="2" t="s">
        <v>440</v>
      </c>
      <c r="S472" s="2" t="s">
        <v>34</v>
      </c>
      <c r="T472" s="123">
        <v>2.0139999999999998</v>
      </c>
      <c r="U472" s="2" t="s">
        <v>1957</v>
      </c>
      <c r="V472" s="136">
        <v>2.3400000000000001E-2</v>
      </c>
      <c r="W472" s="138">
        <v>2.8719999999999999E-2</v>
      </c>
      <c r="X472" s="3" t="s">
        <v>445</v>
      </c>
      <c r="Y472" s="3" t="s">
        <v>160</v>
      </c>
      <c r="Z472" s="123">
        <v>15740.74</v>
      </c>
      <c r="AA472" s="132">
        <v>1</v>
      </c>
      <c r="AB472" s="149">
        <v>116.49</v>
      </c>
      <c r="AC472" s="2"/>
      <c r="AD472" s="123">
        <v>18.335999999999999</v>
      </c>
      <c r="AE472" s="2"/>
      <c r="AF472" s="2"/>
      <c r="AG472" s="2" t="s">
        <v>36</v>
      </c>
      <c r="AH472" s="138">
        <v>1.0000000000000001E-5</v>
      </c>
      <c r="AI472" s="138">
        <v>5.9784751972847897E-2</v>
      </c>
      <c r="AJ472" s="138">
        <v>8.6649914752247098E-4</v>
      </c>
    </row>
    <row r="473" spans="1:36">
      <c r="A473" s="2">
        <v>161</v>
      </c>
      <c r="B473" s="2">
        <v>12468</v>
      </c>
      <c r="C473" s="2" t="s">
        <v>1630</v>
      </c>
      <c r="D473" s="2" t="s">
        <v>1631</v>
      </c>
      <c r="E473" s="3" t="s">
        <v>1351</v>
      </c>
      <c r="F473" s="2" t="s">
        <v>1979</v>
      </c>
      <c r="G473" s="2" t="s">
        <v>1980</v>
      </c>
      <c r="H473" s="2" t="s">
        <v>209</v>
      </c>
      <c r="I473" s="2" t="s">
        <v>788</v>
      </c>
      <c r="J473" s="2" t="s">
        <v>30</v>
      </c>
      <c r="K473" s="2" t="s">
        <v>30</v>
      </c>
      <c r="L473" s="2" t="s">
        <v>361</v>
      </c>
      <c r="M473" s="2" t="s">
        <v>31</v>
      </c>
      <c r="N473" s="2" t="s">
        <v>495</v>
      </c>
      <c r="O473" s="2" t="s">
        <v>160</v>
      </c>
      <c r="P473" s="2" t="s">
        <v>1956</v>
      </c>
      <c r="Q473" s="2" t="s">
        <v>446</v>
      </c>
      <c r="R473" s="2" t="s">
        <v>440</v>
      </c>
      <c r="S473" s="2" t="s">
        <v>34</v>
      </c>
      <c r="T473" s="123">
        <v>2.5790000000000002</v>
      </c>
      <c r="U473" s="2" t="s">
        <v>1981</v>
      </c>
      <c r="V473" s="136">
        <v>1.14E-2</v>
      </c>
      <c r="W473" s="138">
        <v>2.819E-2</v>
      </c>
      <c r="X473" s="3" t="s">
        <v>445</v>
      </c>
      <c r="Y473" s="3" t="s">
        <v>160</v>
      </c>
      <c r="Z473" s="123">
        <v>30000</v>
      </c>
      <c r="AA473" s="132">
        <v>1</v>
      </c>
      <c r="AB473" s="149">
        <v>111.43</v>
      </c>
      <c r="AC473" s="2"/>
      <c r="AD473" s="123">
        <v>33.429000000000002</v>
      </c>
      <c r="AE473" s="2"/>
      <c r="AF473" s="2"/>
      <c r="AG473" s="2" t="s">
        <v>36</v>
      </c>
      <c r="AH473" s="138">
        <v>1.2999999999999999E-5</v>
      </c>
      <c r="AI473" s="138">
        <v>0.108993356317859</v>
      </c>
      <c r="AJ473" s="138">
        <v>1.57971133472177E-3</v>
      </c>
    </row>
    <row r="474" spans="1:36">
      <c r="A474" s="2">
        <v>161</v>
      </c>
      <c r="B474" s="2">
        <v>12468</v>
      </c>
      <c r="C474" s="2" t="s">
        <v>1952</v>
      </c>
      <c r="D474" s="2" t="s">
        <v>1953</v>
      </c>
      <c r="E474" s="3" t="s">
        <v>1351</v>
      </c>
      <c r="F474" s="2" t="s">
        <v>1994</v>
      </c>
      <c r="G474" s="2" t="s">
        <v>1995</v>
      </c>
      <c r="H474" s="2" t="s">
        <v>209</v>
      </c>
      <c r="I474" s="2" t="s">
        <v>788</v>
      </c>
      <c r="J474" s="2" t="s">
        <v>30</v>
      </c>
      <c r="K474" s="2" t="s">
        <v>30</v>
      </c>
      <c r="L474" s="2" t="s">
        <v>361</v>
      </c>
      <c r="M474" s="2" t="s">
        <v>31</v>
      </c>
      <c r="N474" s="2" t="s">
        <v>495</v>
      </c>
      <c r="O474" s="2" t="s">
        <v>160</v>
      </c>
      <c r="P474" s="2" t="s">
        <v>1956</v>
      </c>
      <c r="Q474" s="2" t="s">
        <v>446</v>
      </c>
      <c r="R474" s="2" t="s">
        <v>440</v>
      </c>
      <c r="S474" s="2" t="s">
        <v>34</v>
      </c>
      <c r="T474" s="123">
        <v>4.6710000000000003</v>
      </c>
      <c r="U474" s="2" t="s">
        <v>1996</v>
      </c>
      <c r="V474" s="136">
        <v>6.4999999999999997E-3</v>
      </c>
      <c r="W474" s="138">
        <v>2.8320000000000001E-2</v>
      </c>
      <c r="X474" s="3" t="s">
        <v>445</v>
      </c>
      <c r="Y474" s="3" t="s">
        <v>160</v>
      </c>
      <c r="Z474" s="123">
        <v>16063.58</v>
      </c>
      <c r="AA474" s="132">
        <v>1</v>
      </c>
      <c r="AB474" s="149">
        <v>105.26</v>
      </c>
      <c r="AC474" s="2"/>
      <c r="AD474" s="123">
        <v>16.908999999999999</v>
      </c>
      <c r="AE474" s="2"/>
      <c r="AF474" s="2"/>
      <c r="AG474" s="2" t="s">
        <v>36</v>
      </c>
      <c r="AH474" s="138">
        <v>6.9999999999999999E-6</v>
      </c>
      <c r="AI474" s="138">
        <v>5.5129283397978297E-2</v>
      </c>
      <c r="AJ474" s="138">
        <v>7.9902442498328203E-4</v>
      </c>
    </row>
    <row r="475" spans="1:36">
      <c r="A475" s="2">
        <v>161</v>
      </c>
      <c r="B475" s="2">
        <v>12468</v>
      </c>
      <c r="C475" s="2" t="s">
        <v>2004</v>
      </c>
      <c r="D475" s="2" t="s">
        <v>2005</v>
      </c>
      <c r="E475" s="3" t="s">
        <v>1351</v>
      </c>
      <c r="F475" s="2" t="s">
        <v>2006</v>
      </c>
      <c r="G475" s="2" t="s">
        <v>2007</v>
      </c>
      <c r="H475" s="2" t="s">
        <v>209</v>
      </c>
      <c r="I475" s="2" t="s">
        <v>998</v>
      </c>
      <c r="J475" s="2" t="s">
        <v>30</v>
      </c>
      <c r="K475" s="2" t="s">
        <v>30</v>
      </c>
      <c r="L475" s="2" t="s">
        <v>361</v>
      </c>
      <c r="M475" s="2" t="s">
        <v>31</v>
      </c>
      <c r="N475" s="2" t="s">
        <v>471</v>
      </c>
      <c r="O475" s="2" t="s">
        <v>160</v>
      </c>
      <c r="P475" s="2" t="s">
        <v>2008</v>
      </c>
      <c r="Q475" s="2" t="s">
        <v>448</v>
      </c>
      <c r="R475" s="2" t="s">
        <v>440</v>
      </c>
      <c r="S475" s="2" t="s">
        <v>34</v>
      </c>
      <c r="T475" s="123">
        <v>2.7770000000000001</v>
      </c>
      <c r="U475" s="2" t="s">
        <v>1960</v>
      </c>
      <c r="V475" s="136">
        <v>7.2499999999999995E-2</v>
      </c>
      <c r="W475" s="138">
        <v>5.3060000000000003E-2</v>
      </c>
      <c r="X475" s="3" t="s">
        <v>445</v>
      </c>
      <c r="Y475" s="3" t="s">
        <v>160</v>
      </c>
      <c r="Z475" s="123">
        <v>64800</v>
      </c>
      <c r="AA475" s="132">
        <v>1</v>
      </c>
      <c r="AB475" s="149">
        <v>106.83</v>
      </c>
      <c r="AC475" s="2"/>
      <c r="AD475" s="123">
        <v>69.225999999999999</v>
      </c>
      <c r="AE475" s="2"/>
      <c r="AF475" s="2"/>
      <c r="AG475" s="2" t="s">
        <v>36</v>
      </c>
      <c r="AH475" s="138">
        <v>1.01E-4</v>
      </c>
      <c r="AI475" s="138">
        <v>0.225706920503846</v>
      </c>
      <c r="AJ475" s="138">
        <v>3.27131664433981E-3</v>
      </c>
    </row>
    <row r="476" spans="1:36">
      <c r="A476" s="2">
        <v>161</v>
      </c>
      <c r="B476" s="2">
        <v>12468</v>
      </c>
      <c r="C476" s="2" t="s">
        <v>2233</v>
      </c>
      <c r="D476" s="2" t="s">
        <v>2234</v>
      </c>
      <c r="E476" s="3" t="s">
        <v>1351</v>
      </c>
      <c r="F476" s="2" t="s">
        <v>2235</v>
      </c>
      <c r="G476" s="2" t="s">
        <v>2236</v>
      </c>
      <c r="H476" s="2" t="s">
        <v>209</v>
      </c>
      <c r="I476" s="2" t="s">
        <v>998</v>
      </c>
      <c r="J476" s="2" t="s">
        <v>30</v>
      </c>
      <c r="K476" s="2" t="s">
        <v>30</v>
      </c>
      <c r="L476" s="2" t="s">
        <v>361</v>
      </c>
      <c r="M476" s="2" t="s">
        <v>31</v>
      </c>
      <c r="N476" s="2" t="s">
        <v>495</v>
      </c>
      <c r="O476" s="2" t="s">
        <v>160</v>
      </c>
      <c r="P476" s="2" t="s">
        <v>1956</v>
      </c>
      <c r="Q476" s="2" t="s">
        <v>446</v>
      </c>
      <c r="R476" s="2" t="s">
        <v>440</v>
      </c>
      <c r="S476" s="2" t="s">
        <v>34</v>
      </c>
      <c r="T476" s="123">
        <v>4.8040000000000003</v>
      </c>
      <c r="U476" s="2" t="s">
        <v>2204</v>
      </c>
      <c r="V476" s="136">
        <v>2.5499999999999998E-2</v>
      </c>
      <c r="W476" s="138">
        <v>4.9270000000000001E-2</v>
      </c>
      <c r="X476" s="3" t="s">
        <v>445</v>
      </c>
      <c r="Y476" s="3" t="s">
        <v>160</v>
      </c>
      <c r="Z476" s="123">
        <v>38461.54</v>
      </c>
      <c r="AA476" s="132">
        <v>1</v>
      </c>
      <c r="AB476" s="149">
        <v>89.51</v>
      </c>
      <c r="AC476" s="2"/>
      <c r="AD476" s="123">
        <v>34.427</v>
      </c>
      <c r="AE476" s="2"/>
      <c r="AF476" s="2"/>
      <c r="AG476" s="2" t="s">
        <v>36</v>
      </c>
      <c r="AH476" s="138">
        <v>1.4E-5</v>
      </c>
      <c r="AI476" s="138">
        <v>0.112247032335482</v>
      </c>
      <c r="AJ476" s="138">
        <v>1.6268689694455001E-3</v>
      </c>
    </row>
    <row r="477" spans="1:36">
      <c r="A477" s="2">
        <v>161</v>
      </c>
      <c r="B477" s="2">
        <v>12468</v>
      </c>
      <c r="C477" s="2" t="s">
        <v>1197</v>
      </c>
      <c r="D477" s="2" t="s">
        <v>1607</v>
      </c>
      <c r="E477" s="3" t="s">
        <v>1351</v>
      </c>
      <c r="F477" s="2" t="s">
        <v>2090</v>
      </c>
      <c r="G477" s="2" t="s">
        <v>2091</v>
      </c>
      <c r="H477" s="2" t="s">
        <v>209</v>
      </c>
      <c r="I477" s="2" t="s">
        <v>998</v>
      </c>
      <c r="J477" s="2" t="s">
        <v>30</v>
      </c>
      <c r="K477" s="2" t="s">
        <v>30</v>
      </c>
      <c r="L477" s="2" t="s">
        <v>361</v>
      </c>
      <c r="M477" s="2" t="s">
        <v>31</v>
      </c>
      <c r="N477" s="2" t="s">
        <v>479</v>
      </c>
      <c r="O477" s="2" t="s">
        <v>160</v>
      </c>
      <c r="P477" s="2" t="s">
        <v>1199</v>
      </c>
      <c r="Q477" s="2" t="s">
        <v>446</v>
      </c>
      <c r="R477" s="2" t="s">
        <v>440</v>
      </c>
      <c r="S477" s="2" t="s">
        <v>34</v>
      </c>
      <c r="T477" s="123">
        <v>2.4529999999999998</v>
      </c>
      <c r="U477" s="2" t="s">
        <v>2092</v>
      </c>
      <c r="V477" s="136">
        <v>2.76E-2</v>
      </c>
      <c r="W477" s="138">
        <v>4.3869999999999999E-2</v>
      </c>
      <c r="X477" s="3" t="s">
        <v>445</v>
      </c>
      <c r="Y477" s="3" t="s">
        <v>160</v>
      </c>
      <c r="Z477" s="123">
        <v>55000</v>
      </c>
      <c r="AA477" s="132">
        <v>1</v>
      </c>
      <c r="AB477" s="149">
        <v>96.65</v>
      </c>
      <c r="AC477" s="2"/>
      <c r="AD477" s="123">
        <v>53.156999999999996</v>
      </c>
      <c r="AE477" s="2"/>
      <c r="AF477" s="2"/>
      <c r="AG477" s="2" t="s">
        <v>36</v>
      </c>
      <c r="AH477" s="138">
        <v>2.5000000000000001E-5</v>
      </c>
      <c r="AI477" s="138">
        <v>0.173317010334337</v>
      </c>
      <c r="AJ477" s="138">
        <v>2.51199573051758E-3</v>
      </c>
    </row>
    <row r="478" spans="1:36">
      <c r="A478" s="2">
        <v>161</v>
      </c>
      <c r="B478" s="2">
        <v>12468</v>
      </c>
      <c r="C478" s="2" t="s">
        <v>2135</v>
      </c>
      <c r="D478" s="2" t="s">
        <v>2136</v>
      </c>
      <c r="E478" s="3" t="s">
        <v>1351</v>
      </c>
      <c r="F478" s="2" t="s">
        <v>2137</v>
      </c>
      <c r="G478" s="2" t="s">
        <v>2138</v>
      </c>
      <c r="H478" s="2" t="s">
        <v>209</v>
      </c>
      <c r="I478" s="2" t="s">
        <v>788</v>
      </c>
      <c r="J478" s="2" t="s">
        <v>30</v>
      </c>
      <c r="K478" s="2" t="s">
        <v>30</v>
      </c>
      <c r="L478" s="2" t="s">
        <v>361</v>
      </c>
      <c r="M478" s="2" t="s">
        <v>31</v>
      </c>
      <c r="N478" s="2" t="s">
        <v>474</v>
      </c>
      <c r="O478" s="2" t="s">
        <v>160</v>
      </c>
      <c r="P478" s="2" t="s">
        <v>2108</v>
      </c>
      <c r="Q478" s="2" t="s">
        <v>448</v>
      </c>
      <c r="R478" s="2" t="s">
        <v>440</v>
      </c>
      <c r="S478" s="2" t="s">
        <v>34</v>
      </c>
      <c r="T478" s="123">
        <v>2.782</v>
      </c>
      <c r="U478" s="2" t="s">
        <v>2139</v>
      </c>
      <c r="V478" s="136">
        <v>0.01</v>
      </c>
      <c r="W478" s="138">
        <v>3.107E-2</v>
      </c>
      <c r="X478" s="3" t="s">
        <v>445</v>
      </c>
      <c r="Y478" s="3" t="s">
        <v>160</v>
      </c>
      <c r="Z478" s="123">
        <v>11646.12</v>
      </c>
      <c r="AA478" s="132">
        <v>1</v>
      </c>
      <c r="AB478" s="149">
        <v>108.19</v>
      </c>
      <c r="AC478" s="2"/>
      <c r="AD478" s="123">
        <v>12.6</v>
      </c>
      <c r="AE478" s="2"/>
      <c r="AF478" s="2"/>
      <c r="AG478" s="2" t="s">
        <v>36</v>
      </c>
      <c r="AH478" s="138">
        <v>6.0000000000000002E-6</v>
      </c>
      <c r="AI478" s="138">
        <v>4.1081379875977597E-2</v>
      </c>
      <c r="AJ478" s="138">
        <v>5.9541905698209203E-4</v>
      </c>
    </row>
    <row r="479" spans="1:36">
      <c r="A479" s="2">
        <v>161</v>
      </c>
      <c r="B479" s="2">
        <v>12468</v>
      </c>
      <c r="C479" s="2" t="s">
        <v>2528</v>
      </c>
      <c r="D479" s="2" t="s">
        <v>2529</v>
      </c>
      <c r="E479" s="3" t="s">
        <v>1351</v>
      </c>
      <c r="F479" s="2" t="s">
        <v>2605</v>
      </c>
      <c r="G479" s="2" t="s">
        <v>2606</v>
      </c>
      <c r="H479" s="2" t="s">
        <v>209</v>
      </c>
      <c r="I479" s="2" t="s">
        <v>788</v>
      </c>
      <c r="J479" s="2" t="s">
        <v>30</v>
      </c>
      <c r="K479" s="2" t="s">
        <v>30</v>
      </c>
      <c r="L479" s="2" t="s">
        <v>361</v>
      </c>
      <c r="M479" s="2" t="s">
        <v>31</v>
      </c>
      <c r="N479" s="2" t="s">
        <v>495</v>
      </c>
      <c r="O479" s="2" t="s">
        <v>160</v>
      </c>
      <c r="P479" s="2" t="s">
        <v>2030</v>
      </c>
      <c r="Q479" s="2" t="s">
        <v>446</v>
      </c>
      <c r="R479" s="2" t="s">
        <v>440</v>
      </c>
      <c r="S479" s="2" t="s">
        <v>34</v>
      </c>
      <c r="T479" s="123">
        <v>0.499</v>
      </c>
      <c r="U479" s="2" t="s">
        <v>1366</v>
      </c>
      <c r="V479" s="136">
        <v>4.9500000000000002E-2</v>
      </c>
      <c r="W479" s="138">
        <v>3.091E-2</v>
      </c>
      <c r="X479" s="3" t="s">
        <v>445</v>
      </c>
      <c r="Y479" s="3" t="s">
        <v>160</v>
      </c>
      <c r="Z479" s="123">
        <v>6666.68</v>
      </c>
      <c r="AA479" s="132">
        <v>1</v>
      </c>
      <c r="AB479" s="149">
        <v>142.71</v>
      </c>
      <c r="AC479" s="2"/>
      <c r="AD479" s="123">
        <v>9.5139999999999993</v>
      </c>
      <c r="AE479" s="2"/>
      <c r="AF479" s="2"/>
      <c r="AG479" s="2" t="s">
        <v>36</v>
      </c>
      <c r="AH479" s="138">
        <v>3.0000000000000001E-5</v>
      </c>
      <c r="AI479" s="138">
        <v>3.10199188110231E-2</v>
      </c>
      <c r="AJ479" s="138">
        <v>4.49591782502922E-4</v>
      </c>
    </row>
    <row r="480" spans="1:36">
      <c r="A480" s="2">
        <v>161</v>
      </c>
      <c r="B480" s="2">
        <v>12468</v>
      </c>
      <c r="C480" s="2" t="s">
        <v>1702</v>
      </c>
      <c r="D480" s="2" t="s">
        <v>1703</v>
      </c>
      <c r="E480" s="3" t="s">
        <v>1351</v>
      </c>
      <c r="F480" s="2" t="s">
        <v>2158</v>
      </c>
      <c r="G480" s="2" t="s">
        <v>2159</v>
      </c>
      <c r="H480" s="2" t="s">
        <v>209</v>
      </c>
      <c r="I480" s="2" t="s">
        <v>788</v>
      </c>
      <c r="J480" s="2" t="s">
        <v>30</v>
      </c>
      <c r="K480" s="2" t="s">
        <v>30</v>
      </c>
      <c r="L480" s="2" t="s">
        <v>361</v>
      </c>
      <c r="M480" s="2" t="s">
        <v>31</v>
      </c>
      <c r="N480" s="2" t="s">
        <v>495</v>
      </c>
      <c r="O480" s="2" t="s">
        <v>160</v>
      </c>
      <c r="P480" s="2" t="s">
        <v>88</v>
      </c>
      <c r="Q480" s="2" t="s">
        <v>446</v>
      </c>
      <c r="R480" s="2" t="s">
        <v>440</v>
      </c>
      <c r="S480" s="2" t="s">
        <v>34</v>
      </c>
      <c r="T480" s="123">
        <v>2.6779999999999999</v>
      </c>
      <c r="U480" s="2" t="s">
        <v>2160</v>
      </c>
      <c r="V480" s="136">
        <v>1.34E-2</v>
      </c>
      <c r="W480" s="138">
        <v>2.8029999999999999E-2</v>
      </c>
      <c r="X480" s="3" t="s">
        <v>445</v>
      </c>
      <c r="Y480" s="3" t="s">
        <v>160</v>
      </c>
      <c r="Z480" s="123">
        <v>16666.650000000001</v>
      </c>
      <c r="AA480" s="132">
        <v>1</v>
      </c>
      <c r="AB480" s="149">
        <v>114.07</v>
      </c>
      <c r="AC480" s="123">
        <v>2.1219999999999999</v>
      </c>
      <c r="AD480" s="123">
        <v>21.132999999999999</v>
      </c>
      <c r="AE480" s="2"/>
      <c r="AF480" s="2"/>
      <c r="AG480" s="2" t="s">
        <v>36</v>
      </c>
      <c r="AH480" s="138">
        <v>7.9999999999999996E-6</v>
      </c>
      <c r="AI480" s="138">
        <v>6.8904145233710898E-2</v>
      </c>
      <c r="AJ480" s="138">
        <v>9.9867242290962608E-4</v>
      </c>
    </row>
    <row r="481" spans="1:36">
      <c r="A481" s="2">
        <v>161</v>
      </c>
      <c r="B481" s="2">
        <v>12468</v>
      </c>
      <c r="C481" s="2" t="s">
        <v>1610</v>
      </c>
      <c r="D481" s="2" t="s">
        <v>1611</v>
      </c>
      <c r="E481" s="3" t="s">
        <v>1351</v>
      </c>
      <c r="F481" s="2" t="s">
        <v>2178</v>
      </c>
      <c r="G481" s="2" t="s">
        <v>2179</v>
      </c>
      <c r="H481" s="2" t="s">
        <v>209</v>
      </c>
      <c r="I481" s="2" t="s">
        <v>788</v>
      </c>
      <c r="J481" s="2" t="s">
        <v>30</v>
      </c>
      <c r="K481" s="2" t="s">
        <v>30</v>
      </c>
      <c r="L481" s="2" t="s">
        <v>361</v>
      </c>
      <c r="M481" s="2" t="s">
        <v>31</v>
      </c>
      <c r="N481" s="2" t="s">
        <v>479</v>
      </c>
      <c r="O481" s="2" t="s">
        <v>160</v>
      </c>
      <c r="P481" s="2" t="s">
        <v>1199</v>
      </c>
      <c r="Q481" s="2" t="s">
        <v>446</v>
      </c>
      <c r="R481" s="2" t="s">
        <v>440</v>
      </c>
      <c r="S481" s="2" t="s">
        <v>34</v>
      </c>
      <c r="T481" s="123">
        <v>2.8039999999999998</v>
      </c>
      <c r="U481" s="2" t="s">
        <v>2180</v>
      </c>
      <c r="V481" s="136">
        <v>1.7500000000000002E-2</v>
      </c>
      <c r="W481" s="138">
        <v>2.4469999999999999E-2</v>
      </c>
      <c r="X481" s="3" t="s">
        <v>445</v>
      </c>
      <c r="Y481" s="3" t="s">
        <v>160</v>
      </c>
      <c r="Z481" s="123">
        <v>21431.02</v>
      </c>
      <c r="AA481" s="132">
        <v>1</v>
      </c>
      <c r="AB481" s="149">
        <v>115.29</v>
      </c>
      <c r="AC481" s="2"/>
      <c r="AD481" s="123">
        <v>24.707999999999998</v>
      </c>
      <c r="AE481" s="2"/>
      <c r="AF481" s="2"/>
      <c r="AG481" s="2" t="s">
        <v>36</v>
      </c>
      <c r="AH481" s="138">
        <v>1.0000000000000001E-5</v>
      </c>
      <c r="AI481" s="138">
        <v>8.0558453782639594E-2</v>
      </c>
      <c r="AJ481" s="138">
        <v>1.1675858680502301E-3</v>
      </c>
    </row>
    <row r="482" spans="1:36">
      <c r="A482" s="2">
        <v>161</v>
      </c>
      <c r="B482" s="2">
        <v>12468</v>
      </c>
      <c r="C482" s="2" t="s">
        <v>1197</v>
      </c>
      <c r="D482" s="2" t="s">
        <v>1607</v>
      </c>
      <c r="E482" s="3" t="s">
        <v>1351</v>
      </c>
      <c r="F482" s="2" t="s">
        <v>2215</v>
      </c>
      <c r="G482" s="2" t="s">
        <v>2216</v>
      </c>
      <c r="H482" s="2" t="s">
        <v>209</v>
      </c>
      <c r="I482" s="2" t="s">
        <v>789</v>
      </c>
      <c r="J482" s="2" t="s">
        <v>30</v>
      </c>
      <c r="K482" s="2" t="s">
        <v>30</v>
      </c>
      <c r="L482" s="2" t="s">
        <v>361</v>
      </c>
      <c r="M482" s="2" t="s">
        <v>58</v>
      </c>
      <c r="N482" s="2" t="s">
        <v>568</v>
      </c>
      <c r="O482" s="2" t="s">
        <v>160</v>
      </c>
      <c r="P482" s="2" t="s">
        <v>2217</v>
      </c>
      <c r="Q482" s="2" t="s">
        <v>464</v>
      </c>
      <c r="R482" s="2" t="s">
        <v>440</v>
      </c>
      <c r="S482" s="2" t="s">
        <v>90</v>
      </c>
      <c r="T482" s="123">
        <v>4.8479999999999999</v>
      </c>
      <c r="U482" s="2" t="s">
        <v>2218</v>
      </c>
      <c r="V482" s="136">
        <v>3.2750000000000001E-2</v>
      </c>
      <c r="W482" s="138">
        <v>5.8430000000000003E-2</v>
      </c>
      <c r="X482" s="3" t="s">
        <v>445</v>
      </c>
      <c r="Y482" s="3" t="s">
        <v>160</v>
      </c>
      <c r="Z482" s="123">
        <v>2000</v>
      </c>
      <c r="AA482" s="132">
        <v>3.3719999999999999</v>
      </c>
      <c r="AB482" s="149">
        <v>99.06</v>
      </c>
      <c r="AC482" s="2"/>
      <c r="AD482" s="123">
        <v>6.681</v>
      </c>
      <c r="AE482" s="2"/>
      <c r="AF482" s="2"/>
      <c r="AG482" s="2" t="s">
        <v>36</v>
      </c>
      <c r="AH482" s="138">
        <v>3.0000000000000001E-6</v>
      </c>
      <c r="AI482" s="138">
        <v>2.1781666363282801E-2</v>
      </c>
      <c r="AJ482" s="138">
        <v>3.1569580390624101E-4</v>
      </c>
    </row>
    <row r="483" spans="1:36">
      <c r="A483" s="2">
        <v>161</v>
      </c>
      <c r="B483" s="2">
        <v>12468</v>
      </c>
      <c r="C483" s="2" t="s">
        <v>1671</v>
      </c>
      <c r="D483" s="2" t="s">
        <v>1672</v>
      </c>
      <c r="E483" s="3" t="s">
        <v>1351</v>
      </c>
      <c r="F483" s="2" t="s">
        <v>2219</v>
      </c>
      <c r="G483" s="2" t="s">
        <v>2220</v>
      </c>
      <c r="H483" s="2" t="s">
        <v>209</v>
      </c>
      <c r="I483" s="2" t="s">
        <v>789</v>
      </c>
      <c r="J483" s="2" t="s">
        <v>85</v>
      </c>
      <c r="K483" s="2" t="s">
        <v>30</v>
      </c>
      <c r="L483" s="2" t="s">
        <v>361</v>
      </c>
      <c r="M483" s="2" t="s">
        <v>135</v>
      </c>
      <c r="N483" s="2" t="s">
        <v>568</v>
      </c>
      <c r="O483" s="2" t="s">
        <v>160</v>
      </c>
      <c r="P483" s="2" t="s">
        <v>2217</v>
      </c>
      <c r="Q483" s="2" t="s">
        <v>464</v>
      </c>
      <c r="R483" s="2" t="s">
        <v>440</v>
      </c>
      <c r="S483" s="2" t="s">
        <v>90</v>
      </c>
      <c r="T483" s="123">
        <v>5.0060000000000002</v>
      </c>
      <c r="U483" s="2" t="s">
        <v>2221</v>
      </c>
      <c r="V483" s="136">
        <v>3.0769999999999999E-2</v>
      </c>
      <c r="W483" s="138">
        <v>6.2969999999999998E-2</v>
      </c>
      <c r="X483" s="3" t="s">
        <v>445</v>
      </c>
      <c r="Y483" s="3" t="s">
        <v>160</v>
      </c>
      <c r="Z483" s="123">
        <v>2000</v>
      </c>
      <c r="AA483" s="132">
        <v>3.3719999999999999</v>
      </c>
      <c r="AB483" s="149">
        <v>97.67</v>
      </c>
      <c r="AC483" s="2"/>
      <c r="AD483" s="123">
        <v>6.5869999999999997</v>
      </c>
      <c r="AE483" s="2"/>
      <c r="AF483" s="2"/>
      <c r="AG483" s="2" t="s">
        <v>36</v>
      </c>
      <c r="AH483" s="138">
        <v>3.0000000000000001E-6</v>
      </c>
      <c r="AI483" s="138">
        <v>2.1476081071016302E-2</v>
      </c>
      <c r="AJ483" s="138">
        <v>3.1126675826322102E-4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4">
    <dataValidation type="list" allowBlank="1" showInputMessage="1" showErrorMessage="1" sqref="J2:J20" xr:uid="{00000000-0002-0000-0500-000000000000}">
      <formula1>israel_abroad</formula1>
    </dataValidation>
    <dataValidation type="list" allowBlank="1" showInputMessage="1" showErrorMessage="1" sqref="O2:O20" xr:uid="{00000000-0002-0000-0500-000001000000}">
      <formula1>Holding_interest</formula1>
    </dataValidation>
    <dataValidation type="list" allowBlank="1" showInputMessage="1" showErrorMessage="1" sqref="Q2:Q20" xr:uid="{00000000-0002-0000-0500-000002000000}">
      <formula1>Rating_Agency</formula1>
    </dataValidation>
    <dataValidation type="list" allowBlank="1" showInputMessage="1" showErrorMessage="1" sqref="R2:R20" xr:uid="{00000000-0002-0000-0500-000003000000}">
      <formula1>What_is_rated</formula1>
    </dataValidation>
    <dataValidation type="list" allowBlank="1" showInputMessage="1" showErrorMessage="1" sqref="X2:X20" xr:uid="{00000000-0002-0000-0500-000004000000}">
      <formula1>Subordination_Risk</formula1>
    </dataValidation>
    <dataValidation type="list" allowBlank="1" showInputMessage="1" showErrorMessage="1" sqref="AG2:AG5 AG8:AG19" xr:uid="{00000000-0002-0000-0500-000005000000}">
      <formula1>In_the_books</formula1>
    </dataValidation>
    <dataValidation type="list" allowBlank="1" showInputMessage="1" showErrorMessage="1" sqref="K2:K20" xr:uid="{00000000-0002-0000-0500-000006000000}">
      <formula1>Country_list</formula1>
    </dataValidation>
    <dataValidation type="list" allowBlank="1" showInputMessage="1" showErrorMessage="1" sqref="Y2:Y20" xr:uid="{00000000-0002-0000-0500-000007000000}">
      <formula1>Yes_No_Bad_Debt</formula1>
    </dataValidation>
    <dataValidation type="list" allowBlank="1" showInputMessage="1" showErrorMessage="1" sqref="H3:H20" xr:uid="{00000000-0002-0000-0500-000008000000}">
      <formula1>Type_of_Security_ID_Fund</formula1>
    </dataValidation>
    <dataValidation type="list" allowBlank="1" showInputMessage="1" showErrorMessage="1" sqref="E2:E20" xr:uid="{00000000-0002-0000-0500-000009000000}">
      <formula1>Issuer_Number_Type_2</formula1>
    </dataValidation>
    <dataValidation type="list" allowBlank="1" showInputMessage="1" showErrorMessage="1" sqref="H2" xr:uid="{00000000-0002-0000-0500-00000A000000}">
      <formula1>Security_ID_Number_Type</formula1>
    </dataValidation>
    <dataValidation type="list" allowBlank="1" showInputMessage="1" showErrorMessage="1" sqref="N2:N20" xr:uid="{00000000-0002-0000-0500-00000B000000}">
      <formula1>Industry_Sector</formula1>
    </dataValidation>
    <dataValidation type="list" allowBlank="1" showInputMessage="1" showErrorMessage="1" sqref="L2:L20" xr:uid="{00000000-0002-0000-0500-00000C000000}">
      <formula1>Tradeable_Status</formula1>
    </dataValidation>
    <dataValidation type="list" allowBlank="1" showInputMessage="1" showErrorMessage="1" sqref="M2:M20" xr:uid="{00000000-0002-0000-0500-00000D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E000000}">
          <x14:formula1>
            <xm:f>'אפשרויות בחירה'!$C$874:$C$883</xm:f>
          </x14:formula1>
          <xm:sqref>I2:I20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8"/>
  <dimension ref="A1:Z250"/>
  <sheetViews>
    <sheetView rightToLeft="1" zoomScale="70" zoomScaleNormal="70" workbookViewId="0"/>
  </sheetViews>
  <sheetFormatPr defaultColWidth="0" defaultRowHeight="14.25" zeroHeight="1"/>
  <cols>
    <col min="1" max="24" width="11.625" customWidth="1"/>
    <col min="25" max="26" width="11.625" hidden="1" customWidth="1"/>
  </cols>
  <sheetData>
    <row r="1" spans="1:24" ht="66.75" customHeight="1">
      <c r="A1" s="12" t="s">
        <v>0</v>
      </c>
      <c r="B1" s="12" t="s">
        <v>1</v>
      </c>
      <c r="C1" s="12" t="s">
        <v>2</v>
      </c>
      <c r="D1" s="12" t="s">
        <v>167</v>
      </c>
      <c r="E1" s="12" t="s">
        <v>168</v>
      </c>
      <c r="F1" s="12" t="s">
        <v>3</v>
      </c>
      <c r="G1" s="12" t="s">
        <v>4</v>
      </c>
      <c r="H1" s="12" t="s">
        <v>169</v>
      </c>
      <c r="I1" s="12" t="s">
        <v>5</v>
      </c>
      <c r="J1" s="12" t="s">
        <v>6</v>
      </c>
      <c r="K1" s="12" t="s">
        <v>7</v>
      </c>
      <c r="L1" s="12" t="s">
        <v>360</v>
      </c>
      <c r="M1" s="12" t="s">
        <v>8</v>
      </c>
      <c r="N1" s="12" t="s">
        <v>170</v>
      </c>
      <c r="O1" s="12" t="s">
        <v>146</v>
      </c>
      <c r="P1" s="12" t="s">
        <v>11</v>
      </c>
      <c r="Q1" s="12" t="s">
        <v>17</v>
      </c>
      <c r="R1" s="131" t="s">
        <v>18</v>
      </c>
      <c r="S1" s="142" t="s">
        <v>19</v>
      </c>
      <c r="T1" s="12" t="s">
        <v>16</v>
      </c>
      <c r="U1" s="12" t="s">
        <v>20</v>
      </c>
      <c r="V1" s="137" t="s">
        <v>23</v>
      </c>
      <c r="W1" s="137" t="s">
        <v>24</v>
      </c>
      <c r="X1" s="137" t="s">
        <v>25</v>
      </c>
    </row>
    <row r="2" spans="1:24">
      <c r="A2" s="11">
        <v>14076</v>
      </c>
      <c r="B2" s="11">
        <v>14079</v>
      </c>
      <c r="C2" s="11" t="s">
        <v>1197</v>
      </c>
      <c r="D2" s="11" t="s">
        <v>1607</v>
      </c>
      <c r="E2" s="11" t="s">
        <v>1351</v>
      </c>
      <c r="F2" s="11" t="s">
        <v>1608</v>
      </c>
      <c r="G2" s="11" t="s">
        <v>1609</v>
      </c>
      <c r="H2" s="11" t="s">
        <v>209</v>
      </c>
      <c r="I2" s="11" t="s">
        <v>962</v>
      </c>
      <c r="J2" s="11" t="s">
        <v>30</v>
      </c>
      <c r="K2" s="11" t="s">
        <v>30</v>
      </c>
      <c r="L2" s="13" t="s">
        <v>361</v>
      </c>
      <c r="M2" s="11" t="s">
        <v>31</v>
      </c>
      <c r="N2" s="13" t="s">
        <v>479</v>
      </c>
      <c r="O2" s="13" t="s">
        <v>160</v>
      </c>
      <c r="P2" s="11" t="s">
        <v>34</v>
      </c>
      <c r="Q2" s="126">
        <v>1819</v>
      </c>
      <c r="R2" s="150">
        <v>1</v>
      </c>
      <c r="S2" s="151">
        <v>6262</v>
      </c>
      <c r="T2" s="13"/>
      <c r="U2" s="126">
        <v>113.90600000000001</v>
      </c>
      <c r="V2" s="152">
        <v>9.9999999999999995E-7</v>
      </c>
      <c r="W2" s="152">
        <v>0.49826181502975297</v>
      </c>
      <c r="X2" s="152">
        <v>1.4775945456381299E-2</v>
      </c>
    </row>
    <row r="3" spans="1:24">
      <c r="A3" s="11">
        <v>14076</v>
      </c>
      <c r="B3" s="11">
        <v>14079</v>
      </c>
      <c r="C3" s="11" t="s">
        <v>1610</v>
      </c>
      <c r="D3" s="11" t="s">
        <v>1611</v>
      </c>
      <c r="E3" s="11" t="s">
        <v>1351</v>
      </c>
      <c r="F3" s="11" t="s">
        <v>1612</v>
      </c>
      <c r="G3" s="11" t="s">
        <v>1613</v>
      </c>
      <c r="H3" s="11" t="s">
        <v>209</v>
      </c>
      <c r="I3" s="11" t="s">
        <v>962</v>
      </c>
      <c r="J3" s="11" t="s">
        <v>30</v>
      </c>
      <c r="K3" s="11" t="s">
        <v>30</v>
      </c>
      <c r="L3" s="13" t="s">
        <v>361</v>
      </c>
      <c r="M3" s="11" t="s">
        <v>31</v>
      </c>
      <c r="N3" s="13" t="s">
        <v>479</v>
      </c>
      <c r="O3" s="13" t="s">
        <v>160</v>
      </c>
      <c r="P3" s="11" t="s">
        <v>34</v>
      </c>
      <c r="Q3" s="126">
        <v>1775</v>
      </c>
      <c r="R3" s="150">
        <v>1</v>
      </c>
      <c r="S3" s="151">
        <v>6462</v>
      </c>
      <c r="T3" s="13"/>
      <c r="U3" s="126">
        <v>114.70099999999999</v>
      </c>
      <c r="V3" s="152">
        <v>9.9999999999999995E-7</v>
      </c>
      <c r="W3" s="152">
        <v>0.50173818497024703</v>
      </c>
      <c r="X3" s="152">
        <v>1.48790371464877E-2</v>
      </c>
    </row>
    <row r="4" spans="1:24">
      <c r="A4" s="11">
        <v>161</v>
      </c>
      <c r="B4" s="11">
        <v>9938</v>
      </c>
      <c r="C4" s="11" t="s">
        <v>1614</v>
      </c>
      <c r="D4" s="11" t="s">
        <v>1615</v>
      </c>
      <c r="E4" s="11" t="s">
        <v>206</v>
      </c>
      <c r="F4" s="11" t="s">
        <v>1616</v>
      </c>
      <c r="G4" s="11" t="s">
        <v>1617</v>
      </c>
      <c r="H4" s="11" t="s">
        <v>209</v>
      </c>
      <c r="I4" s="11" t="s">
        <v>962</v>
      </c>
      <c r="J4" s="11" t="s">
        <v>30</v>
      </c>
      <c r="K4" s="11" t="s">
        <v>86</v>
      </c>
      <c r="L4" s="13" t="s">
        <v>361</v>
      </c>
      <c r="M4" s="11" t="s">
        <v>31</v>
      </c>
      <c r="N4" s="13" t="s">
        <v>472</v>
      </c>
      <c r="O4" s="13" t="s">
        <v>160</v>
      </c>
      <c r="P4" s="11" t="s">
        <v>34</v>
      </c>
      <c r="Q4" s="126">
        <v>100</v>
      </c>
      <c r="R4" s="150">
        <v>1</v>
      </c>
      <c r="S4" s="151">
        <v>27780</v>
      </c>
      <c r="T4" s="13"/>
      <c r="U4" s="126">
        <v>27.78</v>
      </c>
      <c r="V4" s="152">
        <v>1.9999999999999999E-6</v>
      </c>
      <c r="W4" s="152">
        <v>2.1238901619111202E-3</v>
      </c>
      <c r="X4" s="152">
        <v>3.4640327365372599E-4</v>
      </c>
    </row>
    <row r="5" spans="1:24">
      <c r="A5" s="11">
        <v>161</v>
      </c>
      <c r="B5" s="11">
        <v>9938</v>
      </c>
      <c r="C5" s="11" t="s">
        <v>1618</v>
      </c>
      <c r="D5" s="11" t="s">
        <v>1619</v>
      </c>
      <c r="E5" s="11" t="s">
        <v>1351</v>
      </c>
      <c r="F5" s="11" t="s">
        <v>1620</v>
      </c>
      <c r="G5" s="11" t="s">
        <v>1621</v>
      </c>
      <c r="H5" s="11" t="s">
        <v>209</v>
      </c>
      <c r="I5" s="11" t="s">
        <v>962</v>
      </c>
      <c r="J5" s="11" t="s">
        <v>30</v>
      </c>
      <c r="K5" s="11" t="s">
        <v>30</v>
      </c>
      <c r="L5" s="13" t="s">
        <v>361</v>
      </c>
      <c r="M5" s="11" t="s">
        <v>31</v>
      </c>
      <c r="N5" s="13" t="s">
        <v>509</v>
      </c>
      <c r="O5" s="13" t="s">
        <v>160</v>
      </c>
      <c r="P5" s="11" t="s">
        <v>34</v>
      </c>
      <c r="Q5" s="126">
        <v>10900</v>
      </c>
      <c r="R5" s="150">
        <v>1</v>
      </c>
      <c r="S5" s="151">
        <v>1320</v>
      </c>
      <c r="T5" s="13"/>
      <c r="U5" s="126">
        <v>143.88</v>
      </c>
      <c r="V5" s="152">
        <v>2.0000000000000002E-5</v>
      </c>
      <c r="W5" s="152">
        <v>1.1000191378537499E-2</v>
      </c>
      <c r="X5" s="152">
        <v>1.79411457931239E-3</v>
      </c>
    </row>
    <row r="6" spans="1:24">
      <c r="A6" s="11">
        <v>161</v>
      </c>
      <c r="B6" s="11">
        <v>9938</v>
      </c>
      <c r="C6" s="11" t="s">
        <v>1622</v>
      </c>
      <c r="D6" s="11" t="s">
        <v>1623</v>
      </c>
      <c r="E6" s="11" t="s">
        <v>1351</v>
      </c>
      <c r="F6" s="11" t="s">
        <v>1624</v>
      </c>
      <c r="G6" s="11" t="s">
        <v>1625</v>
      </c>
      <c r="H6" s="11" t="s">
        <v>209</v>
      </c>
      <c r="I6" s="11" t="s">
        <v>962</v>
      </c>
      <c r="J6" s="11" t="s">
        <v>30</v>
      </c>
      <c r="K6" s="11" t="s">
        <v>30</v>
      </c>
      <c r="L6" s="13" t="s">
        <v>361</v>
      </c>
      <c r="M6" s="11" t="s">
        <v>31</v>
      </c>
      <c r="N6" s="13" t="s">
        <v>477</v>
      </c>
      <c r="O6" s="13" t="s">
        <v>160</v>
      </c>
      <c r="P6" s="11" t="s">
        <v>34</v>
      </c>
      <c r="Q6" s="126">
        <v>286</v>
      </c>
      <c r="R6" s="150">
        <v>1</v>
      </c>
      <c r="S6" s="151">
        <v>149800</v>
      </c>
      <c r="T6" s="125">
        <v>0.58399999999999996</v>
      </c>
      <c r="U6" s="126">
        <v>429.012</v>
      </c>
      <c r="V6" s="152">
        <v>6.0000000000000002E-6</v>
      </c>
      <c r="W6" s="152">
        <v>3.27996761450274E-2</v>
      </c>
      <c r="X6" s="152">
        <v>5.3495775794713601E-3</v>
      </c>
    </row>
    <row r="7" spans="1:24">
      <c r="A7" s="11">
        <v>161</v>
      </c>
      <c r="B7" s="11">
        <v>9938</v>
      </c>
      <c r="C7" s="11" t="s">
        <v>1626</v>
      </c>
      <c r="D7" s="11" t="s">
        <v>1627</v>
      </c>
      <c r="E7" s="11" t="s">
        <v>1351</v>
      </c>
      <c r="F7" s="11" t="s">
        <v>1628</v>
      </c>
      <c r="G7" s="11" t="s">
        <v>1629</v>
      </c>
      <c r="H7" s="11" t="s">
        <v>209</v>
      </c>
      <c r="I7" s="11" t="s">
        <v>962</v>
      </c>
      <c r="J7" s="11" t="s">
        <v>30</v>
      </c>
      <c r="K7" s="11" t="s">
        <v>30</v>
      </c>
      <c r="L7" s="13" t="s">
        <v>361</v>
      </c>
      <c r="M7" s="11" t="s">
        <v>31</v>
      </c>
      <c r="N7" s="13" t="s">
        <v>495</v>
      </c>
      <c r="O7" s="13" t="s">
        <v>160</v>
      </c>
      <c r="P7" s="11" t="s">
        <v>34</v>
      </c>
      <c r="Q7" s="126">
        <v>8100</v>
      </c>
      <c r="R7" s="150">
        <v>1</v>
      </c>
      <c r="S7" s="151">
        <v>3489</v>
      </c>
      <c r="T7" s="13"/>
      <c r="U7" s="126">
        <v>282.60899999999998</v>
      </c>
      <c r="V7" s="152">
        <v>3.8000000000000002E-5</v>
      </c>
      <c r="W7" s="152">
        <v>2.1606568566146098E-2</v>
      </c>
      <c r="X7" s="152">
        <v>3.5239986596114401E-3</v>
      </c>
    </row>
    <row r="8" spans="1:24">
      <c r="A8" s="11">
        <v>161</v>
      </c>
      <c r="B8" s="11">
        <v>9938</v>
      </c>
      <c r="C8" s="11" t="s">
        <v>1630</v>
      </c>
      <c r="D8" s="11" t="s">
        <v>1631</v>
      </c>
      <c r="E8" s="11" t="s">
        <v>1351</v>
      </c>
      <c r="F8" s="11" t="s">
        <v>1632</v>
      </c>
      <c r="G8" s="11" t="s">
        <v>1633</v>
      </c>
      <c r="H8" s="11" t="s">
        <v>209</v>
      </c>
      <c r="I8" s="11" t="s">
        <v>962</v>
      </c>
      <c r="J8" s="11" t="s">
        <v>30</v>
      </c>
      <c r="K8" s="11" t="s">
        <v>30</v>
      </c>
      <c r="L8" s="13" t="s">
        <v>361</v>
      </c>
      <c r="M8" s="11" t="s">
        <v>31</v>
      </c>
      <c r="N8" s="13" t="s">
        <v>495</v>
      </c>
      <c r="O8" s="13" t="s">
        <v>160</v>
      </c>
      <c r="P8" s="11" t="s">
        <v>34</v>
      </c>
      <c r="Q8" s="126">
        <v>7538</v>
      </c>
      <c r="R8" s="150">
        <v>1</v>
      </c>
      <c r="S8" s="151">
        <v>2281</v>
      </c>
      <c r="T8" s="13"/>
      <c r="U8" s="126">
        <v>171.94200000000001</v>
      </c>
      <c r="V8" s="152">
        <v>1.5999999999999999E-5</v>
      </c>
      <c r="W8" s="152">
        <v>1.31456247287072E-2</v>
      </c>
      <c r="X8" s="152">
        <v>2.1440315143934001E-3</v>
      </c>
    </row>
    <row r="9" spans="1:24">
      <c r="A9" s="11">
        <v>161</v>
      </c>
      <c r="B9" s="11">
        <v>9938</v>
      </c>
      <c r="C9" s="11" t="s">
        <v>1634</v>
      </c>
      <c r="D9" s="11" t="s">
        <v>1635</v>
      </c>
      <c r="E9" s="11" t="s">
        <v>1351</v>
      </c>
      <c r="F9" s="11" t="s">
        <v>1636</v>
      </c>
      <c r="G9" s="11" t="s">
        <v>1637</v>
      </c>
      <c r="H9" s="11" t="s">
        <v>209</v>
      </c>
      <c r="I9" s="11" t="s">
        <v>962</v>
      </c>
      <c r="J9" s="11" t="s">
        <v>30</v>
      </c>
      <c r="K9" s="11" t="s">
        <v>86</v>
      </c>
      <c r="L9" s="13" t="s">
        <v>361</v>
      </c>
      <c r="M9" s="11" t="s">
        <v>31</v>
      </c>
      <c r="N9" s="13" t="s">
        <v>472</v>
      </c>
      <c r="O9" s="13" t="s">
        <v>160</v>
      </c>
      <c r="P9" s="11" t="s">
        <v>34</v>
      </c>
      <c r="Q9" s="126">
        <v>3402.2</v>
      </c>
      <c r="R9" s="150">
        <v>1</v>
      </c>
      <c r="S9" s="151">
        <v>7640</v>
      </c>
      <c r="T9" s="13"/>
      <c r="U9" s="126">
        <v>259.928</v>
      </c>
      <c r="V9" s="152">
        <v>2.8E-5</v>
      </c>
      <c r="W9" s="152">
        <v>1.9872523107143499E-2</v>
      </c>
      <c r="X9" s="152">
        <v>3.2411784674776E-3</v>
      </c>
    </row>
    <row r="10" spans="1:24">
      <c r="A10" s="11">
        <v>161</v>
      </c>
      <c r="B10" s="11">
        <v>9938</v>
      </c>
      <c r="C10" s="11" t="s">
        <v>1638</v>
      </c>
      <c r="D10" s="11" t="s">
        <v>1639</v>
      </c>
      <c r="E10" s="11" t="s">
        <v>1351</v>
      </c>
      <c r="F10" s="11" t="s">
        <v>1640</v>
      </c>
      <c r="G10" s="11" t="s">
        <v>1641</v>
      </c>
      <c r="H10" s="11" t="s">
        <v>209</v>
      </c>
      <c r="I10" s="11" t="s">
        <v>962</v>
      </c>
      <c r="J10" s="11" t="s">
        <v>30</v>
      </c>
      <c r="K10" s="11" t="s">
        <v>30</v>
      </c>
      <c r="L10" s="13" t="s">
        <v>361</v>
      </c>
      <c r="M10" s="11" t="s">
        <v>31</v>
      </c>
      <c r="N10" s="13" t="s">
        <v>472</v>
      </c>
      <c r="O10" s="13" t="s">
        <v>160</v>
      </c>
      <c r="P10" s="11" t="s">
        <v>34</v>
      </c>
      <c r="Q10" s="126">
        <v>14980</v>
      </c>
      <c r="R10" s="150">
        <v>1</v>
      </c>
      <c r="S10" s="151">
        <v>1244</v>
      </c>
      <c r="T10" s="13"/>
      <c r="U10" s="126">
        <v>186.351</v>
      </c>
      <c r="V10" s="152">
        <v>2.6999999999999999E-5</v>
      </c>
      <c r="W10" s="152">
        <v>1.42472815097312E-2</v>
      </c>
      <c r="X10" s="152">
        <v>2.3237100694492498E-3</v>
      </c>
    </row>
    <row r="11" spans="1:24">
      <c r="A11" s="11">
        <v>161</v>
      </c>
      <c r="B11" s="11">
        <v>9938</v>
      </c>
      <c r="C11" s="11" t="s">
        <v>1642</v>
      </c>
      <c r="D11" s="11" t="s">
        <v>1643</v>
      </c>
      <c r="E11" s="11" t="s">
        <v>1351</v>
      </c>
      <c r="F11" s="11" t="s">
        <v>1644</v>
      </c>
      <c r="G11" s="11" t="s">
        <v>1645</v>
      </c>
      <c r="H11" s="11" t="s">
        <v>209</v>
      </c>
      <c r="I11" s="11" t="s">
        <v>962</v>
      </c>
      <c r="J11" s="11" t="s">
        <v>30</v>
      </c>
      <c r="K11" s="11" t="s">
        <v>30</v>
      </c>
      <c r="L11" s="13" t="s">
        <v>361</v>
      </c>
      <c r="M11" s="11" t="s">
        <v>31</v>
      </c>
      <c r="N11" s="13" t="s">
        <v>516</v>
      </c>
      <c r="O11" s="13" t="s">
        <v>160</v>
      </c>
      <c r="P11" s="11" t="s">
        <v>34</v>
      </c>
      <c r="Q11" s="126">
        <v>58545</v>
      </c>
      <c r="R11" s="150">
        <v>1</v>
      </c>
      <c r="S11" s="151">
        <v>575</v>
      </c>
      <c r="T11" s="13"/>
      <c r="U11" s="126">
        <v>336.63400000000001</v>
      </c>
      <c r="V11" s="152">
        <v>2.0999999999999999E-5</v>
      </c>
      <c r="W11" s="152">
        <v>2.5736972994681299E-2</v>
      </c>
      <c r="X11" s="152">
        <v>4.1976613758938101E-3</v>
      </c>
    </row>
    <row r="12" spans="1:24">
      <c r="A12" s="11">
        <v>161</v>
      </c>
      <c r="B12" s="11">
        <v>9938</v>
      </c>
      <c r="C12" s="11" t="s">
        <v>1361</v>
      </c>
      <c r="D12" s="11" t="s">
        <v>1362</v>
      </c>
      <c r="E12" s="11" t="s">
        <v>1351</v>
      </c>
      <c r="F12" s="11" t="s">
        <v>1646</v>
      </c>
      <c r="G12" s="11" t="s">
        <v>1365</v>
      </c>
      <c r="H12" s="11" t="s">
        <v>209</v>
      </c>
      <c r="I12" s="11" t="s">
        <v>962</v>
      </c>
      <c r="J12" s="11" t="s">
        <v>30</v>
      </c>
      <c r="K12" s="11" t="s">
        <v>30</v>
      </c>
      <c r="L12" s="13" t="s">
        <v>361</v>
      </c>
      <c r="M12" s="11" t="s">
        <v>31</v>
      </c>
      <c r="N12" s="13" t="s">
        <v>478</v>
      </c>
      <c r="O12" s="13" t="s">
        <v>160</v>
      </c>
      <c r="P12" s="11" t="s">
        <v>34</v>
      </c>
      <c r="Q12" s="126">
        <v>200</v>
      </c>
      <c r="R12" s="150">
        <v>1</v>
      </c>
      <c r="S12" s="151">
        <v>23700</v>
      </c>
      <c r="T12" s="13"/>
      <c r="U12" s="126">
        <v>47.4</v>
      </c>
      <c r="V12" s="152">
        <v>2.1999999999999999E-5</v>
      </c>
      <c r="W12" s="152">
        <v>3.6239162589844199E-3</v>
      </c>
      <c r="X12" s="152">
        <v>5.9105526174177902E-4</v>
      </c>
    </row>
    <row r="13" spans="1:24">
      <c r="A13" s="11">
        <v>161</v>
      </c>
      <c r="B13" s="11">
        <v>9938</v>
      </c>
      <c r="C13" s="11" t="s">
        <v>1647</v>
      </c>
      <c r="D13" s="11" t="s">
        <v>1648</v>
      </c>
      <c r="E13" s="11" t="s">
        <v>1351</v>
      </c>
      <c r="F13" s="11" t="s">
        <v>1649</v>
      </c>
      <c r="G13" s="11" t="s">
        <v>1650</v>
      </c>
      <c r="H13" s="11" t="s">
        <v>209</v>
      </c>
      <c r="I13" s="11" t="s">
        <v>962</v>
      </c>
      <c r="J13" s="11" t="s">
        <v>30</v>
      </c>
      <c r="K13" s="11" t="s">
        <v>30</v>
      </c>
      <c r="L13" s="13" t="s">
        <v>361</v>
      </c>
      <c r="M13" s="11" t="s">
        <v>31</v>
      </c>
      <c r="N13" s="13" t="s">
        <v>479</v>
      </c>
      <c r="O13" s="13" t="s">
        <v>160</v>
      </c>
      <c r="P13" s="11" t="s">
        <v>34</v>
      </c>
      <c r="Q13" s="126">
        <v>11345</v>
      </c>
      <c r="R13" s="150">
        <v>1</v>
      </c>
      <c r="S13" s="151">
        <v>3356</v>
      </c>
      <c r="T13" s="13"/>
      <c r="U13" s="126">
        <v>380.738</v>
      </c>
      <c r="V13" s="152">
        <v>9.0000000000000002E-6</v>
      </c>
      <c r="W13" s="152">
        <v>2.9108931506254401E-2</v>
      </c>
      <c r="X13" s="152">
        <v>4.7476227100441701E-3</v>
      </c>
    </row>
    <row r="14" spans="1:24">
      <c r="A14" s="11">
        <v>161</v>
      </c>
      <c r="B14" s="11">
        <v>9938</v>
      </c>
      <c r="C14" s="11" t="s">
        <v>1651</v>
      </c>
      <c r="D14" s="11" t="s">
        <v>1652</v>
      </c>
      <c r="E14" s="11" t="s">
        <v>1351</v>
      </c>
      <c r="F14" s="11" t="s">
        <v>1653</v>
      </c>
      <c r="G14" s="11" t="s">
        <v>1654</v>
      </c>
      <c r="H14" s="11" t="s">
        <v>209</v>
      </c>
      <c r="I14" s="11" t="s">
        <v>962</v>
      </c>
      <c r="J14" s="11" t="s">
        <v>30</v>
      </c>
      <c r="K14" s="11" t="s">
        <v>30</v>
      </c>
      <c r="L14" s="13" t="s">
        <v>361</v>
      </c>
      <c r="M14" s="11" t="s">
        <v>31</v>
      </c>
      <c r="N14" s="13" t="s">
        <v>478</v>
      </c>
      <c r="O14" s="13" t="s">
        <v>160</v>
      </c>
      <c r="P14" s="11" t="s">
        <v>34</v>
      </c>
      <c r="Q14" s="126">
        <v>530</v>
      </c>
      <c r="R14" s="150">
        <v>1</v>
      </c>
      <c r="S14" s="151">
        <v>36740</v>
      </c>
      <c r="T14" s="13"/>
      <c r="U14" s="126">
        <v>194.72200000000001</v>
      </c>
      <c r="V14" s="152">
        <v>2.5000000000000001E-5</v>
      </c>
      <c r="W14" s="152">
        <v>1.48872620629106E-2</v>
      </c>
      <c r="X14" s="152">
        <v>2.4280899298920401E-3</v>
      </c>
    </row>
    <row r="15" spans="1:24">
      <c r="A15" s="11">
        <v>161</v>
      </c>
      <c r="B15" s="11">
        <v>9938</v>
      </c>
      <c r="C15" s="11" t="s">
        <v>1655</v>
      </c>
      <c r="D15" s="11" t="s">
        <v>1656</v>
      </c>
      <c r="E15" s="11" t="s">
        <v>1351</v>
      </c>
      <c r="F15" s="11" t="s">
        <v>1657</v>
      </c>
      <c r="G15" s="11" t="s">
        <v>1658</v>
      </c>
      <c r="H15" s="11" t="s">
        <v>209</v>
      </c>
      <c r="I15" s="11" t="s">
        <v>962</v>
      </c>
      <c r="J15" s="11" t="s">
        <v>30</v>
      </c>
      <c r="K15" s="11" t="s">
        <v>30</v>
      </c>
      <c r="L15" s="13" t="s">
        <v>361</v>
      </c>
      <c r="M15" s="11" t="s">
        <v>31</v>
      </c>
      <c r="N15" s="13" t="s">
        <v>476</v>
      </c>
      <c r="O15" s="13" t="s">
        <v>160</v>
      </c>
      <c r="P15" s="11" t="s">
        <v>34</v>
      </c>
      <c r="Q15" s="126">
        <v>7493</v>
      </c>
      <c r="R15" s="150">
        <v>1</v>
      </c>
      <c r="S15" s="151">
        <v>9745</v>
      </c>
      <c r="T15" s="13"/>
      <c r="U15" s="126">
        <v>730.19299999999998</v>
      </c>
      <c r="V15" s="152">
        <v>2.8E-5</v>
      </c>
      <c r="W15" s="152">
        <v>5.5826112685847397E-2</v>
      </c>
      <c r="X15" s="152">
        <v>9.1051545586229004E-3</v>
      </c>
    </row>
    <row r="16" spans="1:24">
      <c r="A16" s="11">
        <v>161</v>
      </c>
      <c r="B16" s="11">
        <v>9938</v>
      </c>
      <c r="C16" s="11" t="s">
        <v>1659</v>
      </c>
      <c r="D16" s="11" t="s">
        <v>1660</v>
      </c>
      <c r="E16" s="11" t="s">
        <v>1351</v>
      </c>
      <c r="F16" s="11" t="s">
        <v>1661</v>
      </c>
      <c r="G16" s="11" t="s">
        <v>1662</v>
      </c>
      <c r="H16" s="11" t="s">
        <v>209</v>
      </c>
      <c r="I16" s="11" t="s">
        <v>962</v>
      </c>
      <c r="J16" s="11" t="s">
        <v>30</v>
      </c>
      <c r="K16" s="11" t="s">
        <v>86</v>
      </c>
      <c r="L16" s="13" t="s">
        <v>361</v>
      </c>
      <c r="M16" s="11" t="s">
        <v>31</v>
      </c>
      <c r="N16" s="13" t="s">
        <v>498</v>
      </c>
      <c r="O16" s="13" t="s">
        <v>160</v>
      </c>
      <c r="P16" s="11" t="s">
        <v>34</v>
      </c>
      <c r="Q16" s="126">
        <v>6307</v>
      </c>
      <c r="R16" s="150">
        <v>1</v>
      </c>
      <c r="S16" s="151">
        <v>5699</v>
      </c>
      <c r="T16" s="13"/>
      <c r="U16" s="126">
        <v>359.43599999999998</v>
      </c>
      <c r="V16" s="152">
        <v>5.0000000000000004E-6</v>
      </c>
      <c r="W16" s="152">
        <v>2.7480289257176899E-2</v>
      </c>
      <c r="X16" s="152">
        <v>4.4819936220580102E-3</v>
      </c>
    </row>
    <row r="17" spans="1:24">
      <c r="A17" s="11">
        <v>161</v>
      </c>
      <c r="B17" s="11">
        <v>9938</v>
      </c>
      <c r="C17" s="11" t="s">
        <v>1663</v>
      </c>
      <c r="D17" s="11" t="s">
        <v>1664</v>
      </c>
      <c r="E17" s="11" t="s">
        <v>1351</v>
      </c>
      <c r="F17" s="11" t="s">
        <v>1665</v>
      </c>
      <c r="G17" s="11" t="s">
        <v>1666</v>
      </c>
      <c r="H17" s="11" t="s">
        <v>209</v>
      </c>
      <c r="I17" s="11" t="s">
        <v>962</v>
      </c>
      <c r="J17" s="11" t="s">
        <v>30</v>
      </c>
      <c r="K17" s="11" t="s">
        <v>30</v>
      </c>
      <c r="L17" s="13" t="s">
        <v>361</v>
      </c>
      <c r="M17" s="11" t="s">
        <v>31</v>
      </c>
      <c r="N17" s="13" t="s">
        <v>478</v>
      </c>
      <c r="O17" s="13" t="s">
        <v>160</v>
      </c>
      <c r="P17" s="11" t="s">
        <v>34</v>
      </c>
      <c r="Q17" s="126">
        <v>17664</v>
      </c>
      <c r="R17" s="150">
        <v>1</v>
      </c>
      <c r="S17" s="151">
        <v>1515</v>
      </c>
      <c r="T17" s="13"/>
      <c r="U17" s="126">
        <v>267.61</v>
      </c>
      <c r="V17" s="152">
        <v>5.3000000000000001E-5</v>
      </c>
      <c r="W17" s="152">
        <v>2.0459805495787301E-2</v>
      </c>
      <c r="X17" s="152">
        <v>3.3369633369749502E-3</v>
      </c>
    </row>
    <row r="18" spans="1:24">
      <c r="A18" s="11">
        <v>161</v>
      </c>
      <c r="B18" s="11">
        <v>9938</v>
      </c>
      <c r="C18" s="11" t="s">
        <v>1667</v>
      </c>
      <c r="D18" s="11" t="s">
        <v>1668</v>
      </c>
      <c r="E18" s="11" t="s">
        <v>1351</v>
      </c>
      <c r="F18" s="11" t="s">
        <v>1669</v>
      </c>
      <c r="G18" s="11" t="s">
        <v>1670</v>
      </c>
      <c r="H18" s="11" t="s">
        <v>209</v>
      </c>
      <c r="I18" s="11" t="s">
        <v>962</v>
      </c>
      <c r="J18" s="11" t="s">
        <v>30</v>
      </c>
      <c r="K18" s="11" t="s">
        <v>30</v>
      </c>
      <c r="L18" s="13" t="s">
        <v>361</v>
      </c>
      <c r="M18" s="11" t="s">
        <v>31</v>
      </c>
      <c r="N18" s="13" t="s">
        <v>476</v>
      </c>
      <c r="O18" s="13" t="s">
        <v>160</v>
      </c>
      <c r="P18" s="11" t="s">
        <v>34</v>
      </c>
      <c r="Q18" s="126">
        <v>3300</v>
      </c>
      <c r="R18" s="150">
        <v>1</v>
      </c>
      <c r="S18" s="151">
        <v>14880</v>
      </c>
      <c r="T18" s="13"/>
      <c r="U18" s="126">
        <v>491.04</v>
      </c>
      <c r="V18" s="152">
        <v>4.1E-5</v>
      </c>
      <c r="W18" s="152">
        <v>3.75419375487702E-2</v>
      </c>
      <c r="X18" s="152">
        <v>6.1230332431578697E-3</v>
      </c>
    </row>
    <row r="19" spans="1:24">
      <c r="A19" s="11">
        <v>161</v>
      </c>
      <c r="B19" s="11">
        <v>9938</v>
      </c>
      <c r="C19" s="11" t="s">
        <v>1197</v>
      </c>
      <c r="D19" s="11" t="s">
        <v>1607</v>
      </c>
      <c r="E19" s="11" t="s">
        <v>1351</v>
      </c>
      <c r="F19" s="11" t="s">
        <v>1608</v>
      </c>
      <c r="G19" s="11" t="s">
        <v>1609</v>
      </c>
      <c r="H19" s="11" t="s">
        <v>209</v>
      </c>
      <c r="I19" s="11" t="s">
        <v>962</v>
      </c>
      <c r="J19" s="11" t="s">
        <v>30</v>
      </c>
      <c r="K19" s="11" t="s">
        <v>30</v>
      </c>
      <c r="L19" s="13" t="s">
        <v>361</v>
      </c>
      <c r="M19" s="11" t="s">
        <v>31</v>
      </c>
      <c r="N19" s="13" t="s">
        <v>479</v>
      </c>
      <c r="O19" s="13" t="s">
        <v>160</v>
      </c>
      <c r="P19" s="11" t="s">
        <v>34</v>
      </c>
      <c r="Q19" s="126">
        <v>17411</v>
      </c>
      <c r="R19" s="150">
        <v>1</v>
      </c>
      <c r="S19" s="151">
        <v>6262</v>
      </c>
      <c r="T19" s="13"/>
      <c r="U19" s="126">
        <v>1090.277</v>
      </c>
      <c r="V19" s="152">
        <v>1.1E-5</v>
      </c>
      <c r="W19" s="152">
        <v>8.3355947147506895E-2</v>
      </c>
      <c r="X19" s="152">
        <v>1.35952289286096E-2</v>
      </c>
    </row>
    <row r="20" spans="1:24">
      <c r="A20" s="3">
        <v>161</v>
      </c>
      <c r="B20" s="3">
        <v>9938</v>
      </c>
      <c r="C20" s="3" t="s">
        <v>1671</v>
      </c>
      <c r="D20" s="3" t="s">
        <v>1672</v>
      </c>
      <c r="E20" s="11" t="s">
        <v>1351</v>
      </c>
      <c r="F20" s="3" t="s">
        <v>1673</v>
      </c>
      <c r="G20" s="3" t="s">
        <v>1674</v>
      </c>
      <c r="H20" s="11" t="s">
        <v>209</v>
      </c>
      <c r="I20" s="3" t="s">
        <v>962</v>
      </c>
      <c r="J20" s="3" t="s">
        <v>30</v>
      </c>
      <c r="K20" s="11" t="s">
        <v>30</v>
      </c>
      <c r="L20" s="13" t="s">
        <v>361</v>
      </c>
      <c r="M20" s="11" t="s">
        <v>31</v>
      </c>
      <c r="N20" s="13" t="s">
        <v>479</v>
      </c>
      <c r="O20" s="3" t="s">
        <v>160</v>
      </c>
      <c r="P20" s="3" t="s">
        <v>34</v>
      </c>
      <c r="Q20" s="124">
        <v>2025</v>
      </c>
      <c r="R20" s="141">
        <v>1</v>
      </c>
      <c r="S20" s="143">
        <v>21950</v>
      </c>
      <c r="T20" s="2"/>
      <c r="U20" s="124">
        <v>444.488</v>
      </c>
      <c r="V20" s="140">
        <v>7.9999999999999996E-6</v>
      </c>
      <c r="W20" s="140">
        <v>3.3982815995049299E-2</v>
      </c>
      <c r="X20" s="140">
        <v>5.5425458998617904E-3</v>
      </c>
    </row>
    <row r="21" spans="1:24">
      <c r="A21" s="3">
        <v>161</v>
      </c>
      <c r="B21" s="3">
        <v>9938</v>
      </c>
      <c r="C21" s="3" t="s">
        <v>1675</v>
      </c>
      <c r="D21" s="3" t="s">
        <v>1676</v>
      </c>
      <c r="E21" s="3" t="s">
        <v>1351</v>
      </c>
      <c r="F21" s="3" t="s">
        <v>1677</v>
      </c>
      <c r="G21" s="3" t="s">
        <v>1678</v>
      </c>
      <c r="H21" s="3" t="s">
        <v>209</v>
      </c>
      <c r="I21" s="3" t="s">
        <v>962</v>
      </c>
      <c r="J21" s="3" t="s">
        <v>30</v>
      </c>
      <c r="K21" s="3" t="s">
        <v>30</v>
      </c>
      <c r="L21" s="2" t="s">
        <v>361</v>
      </c>
      <c r="M21" s="3" t="s">
        <v>31</v>
      </c>
      <c r="N21" s="13" t="s">
        <v>495</v>
      </c>
      <c r="O21" s="3" t="s">
        <v>160</v>
      </c>
      <c r="P21" s="3" t="s">
        <v>34</v>
      </c>
      <c r="Q21" s="124">
        <v>954</v>
      </c>
      <c r="R21" s="141">
        <v>1</v>
      </c>
      <c r="S21" s="143">
        <v>38400</v>
      </c>
      <c r="T21" s="2"/>
      <c r="U21" s="124">
        <v>366.33600000000001</v>
      </c>
      <c r="V21" s="140">
        <v>2.0000000000000002E-5</v>
      </c>
      <c r="W21" s="140">
        <v>2.80078267226016E-2</v>
      </c>
      <c r="X21" s="140">
        <v>4.5680341849248197E-3</v>
      </c>
    </row>
    <row r="22" spans="1:24">
      <c r="A22" s="3">
        <v>161</v>
      </c>
      <c r="B22" s="3">
        <v>9938</v>
      </c>
      <c r="C22" s="3" t="s">
        <v>1679</v>
      </c>
      <c r="D22" s="3" t="s">
        <v>1680</v>
      </c>
      <c r="E22" s="3" t="s">
        <v>1351</v>
      </c>
      <c r="F22" s="3" t="s">
        <v>1681</v>
      </c>
      <c r="G22" s="3" t="s">
        <v>1682</v>
      </c>
      <c r="H22" s="3" t="s">
        <v>209</v>
      </c>
      <c r="I22" s="3" t="s">
        <v>962</v>
      </c>
      <c r="J22" s="3" t="s">
        <v>30</v>
      </c>
      <c r="K22" s="3" t="s">
        <v>30</v>
      </c>
      <c r="L22" s="2" t="s">
        <v>361</v>
      </c>
      <c r="M22" s="3" t="s">
        <v>31</v>
      </c>
      <c r="N22" s="3" t="s">
        <v>476</v>
      </c>
      <c r="O22" s="3" t="s">
        <v>160</v>
      </c>
      <c r="P22" s="3" t="s">
        <v>34</v>
      </c>
      <c r="Q22" s="124">
        <v>600</v>
      </c>
      <c r="R22" s="141">
        <v>1</v>
      </c>
      <c r="S22" s="143">
        <v>26530</v>
      </c>
      <c r="T22" s="2"/>
      <c r="U22" s="124">
        <v>159.18</v>
      </c>
      <c r="V22" s="140">
        <v>9.0000000000000002E-6</v>
      </c>
      <c r="W22" s="140">
        <v>1.21699365001084E-2</v>
      </c>
      <c r="X22" s="140">
        <v>1.9848982397480202E-3</v>
      </c>
    </row>
    <row r="23" spans="1:24">
      <c r="A23" s="3">
        <v>161</v>
      </c>
      <c r="B23" s="3">
        <v>9938</v>
      </c>
      <c r="C23" s="3" t="s">
        <v>1683</v>
      </c>
      <c r="D23" s="3" t="s">
        <v>1684</v>
      </c>
      <c r="E23" s="3" t="s">
        <v>348</v>
      </c>
      <c r="F23" s="3" t="s">
        <v>1685</v>
      </c>
      <c r="G23" s="3" t="s">
        <v>1686</v>
      </c>
      <c r="H23" s="3" t="s">
        <v>209</v>
      </c>
      <c r="I23" s="3" t="s">
        <v>962</v>
      </c>
      <c r="J23" s="3" t="s">
        <v>30</v>
      </c>
      <c r="K23" s="3" t="s">
        <v>86</v>
      </c>
      <c r="L23" s="2" t="s">
        <v>361</v>
      </c>
      <c r="M23" s="2" t="s">
        <v>31</v>
      </c>
      <c r="N23" s="3" t="s">
        <v>485</v>
      </c>
      <c r="O23" s="3" t="s">
        <v>160</v>
      </c>
      <c r="P23" s="3" t="s">
        <v>34</v>
      </c>
      <c r="Q23" s="124">
        <v>4250</v>
      </c>
      <c r="R23" s="141">
        <v>1</v>
      </c>
      <c r="S23" s="143">
        <v>9900</v>
      </c>
      <c r="T23" s="2"/>
      <c r="U23" s="124">
        <v>420.75</v>
      </c>
      <c r="V23" s="140">
        <v>4.1E-5</v>
      </c>
      <c r="W23" s="140">
        <v>3.2167990843200302E-2</v>
      </c>
      <c r="X23" s="140">
        <v>5.2465506619800298E-3</v>
      </c>
    </row>
    <row r="24" spans="1:24">
      <c r="A24" s="3">
        <v>161</v>
      </c>
      <c r="B24" s="3">
        <v>9938</v>
      </c>
      <c r="C24" s="3" t="s">
        <v>1687</v>
      </c>
      <c r="D24" s="3" t="s">
        <v>1688</v>
      </c>
      <c r="E24" s="3" t="s">
        <v>1351</v>
      </c>
      <c r="F24" s="3" t="s">
        <v>1689</v>
      </c>
      <c r="G24" s="3" t="s">
        <v>1690</v>
      </c>
      <c r="H24" s="3" t="s">
        <v>209</v>
      </c>
      <c r="I24" s="3" t="s">
        <v>962</v>
      </c>
      <c r="J24" s="3" t="s">
        <v>30</v>
      </c>
      <c r="K24" s="3" t="s">
        <v>334</v>
      </c>
      <c r="L24" s="2" t="s">
        <v>361</v>
      </c>
      <c r="M24" s="2" t="s">
        <v>31</v>
      </c>
      <c r="N24" s="3" t="s">
        <v>489</v>
      </c>
      <c r="O24" s="3" t="s">
        <v>160</v>
      </c>
      <c r="P24" s="3" t="s">
        <v>34</v>
      </c>
      <c r="Q24" s="124">
        <v>400</v>
      </c>
      <c r="R24" s="141">
        <v>1</v>
      </c>
      <c r="S24" s="143">
        <v>95280</v>
      </c>
      <c r="T24" s="2"/>
      <c r="U24" s="124">
        <v>381.12</v>
      </c>
      <c r="V24" s="140">
        <v>1.4E-5</v>
      </c>
      <c r="W24" s="140">
        <v>2.9138121616543101E-2</v>
      </c>
      <c r="X24" s="140">
        <v>4.7523835728908604E-3</v>
      </c>
    </row>
    <row r="25" spans="1:24">
      <c r="A25" s="3">
        <v>161</v>
      </c>
      <c r="B25" s="3">
        <v>9938</v>
      </c>
      <c r="C25" s="3" t="s">
        <v>1691</v>
      </c>
      <c r="D25" s="3" t="s">
        <v>1692</v>
      </c>
      <c r="E25" s="3" t="s">
        <v>348</v>
      </c>
      <c r="F25" s="3" t="s">
        <v>1693</v>
      </c>
      <c r="G25" s="3" t="s">
        <v>1694</v>
      </c>
      <c r="H25" s="3" t="s">
        <v>209</v>
      </c>
      <c r="I25" s="3" t="s">
        <v>962</v>
      </c>
      <c r="J25" s="3" t="s">
        <v>30</v>
      </c>
      <c r="K25" s="3" t="s">
        <v>30</v>
      </c>
      <c r="L25" s="2" t="s">
        <v>361</v>
      </c>
      <c r="M25" s="2" t="s">
        <v>31</v>
      </c>
      <c r="N25" s="3" t="s">
        <v>485</v>
      </c>
      <c r="O25" s="3" t="s">
        <v>160</v>
      </c>
      <c r="P25" s="3" t="s">
        <v>34</v>
      </c>
      <c r="Q25" s="124">
        <v>16825</v>
      </c>
      <c r="R25" s="141">
        <v>1</v>
      </c>
      <c r="S25" s="143">
        <v>1656</v>
      </c>
      <c r="T25" s="2"/>
      <c r="U25" s="124">
        <v>278.62200000000001</v>
      </c>
      <c r="V25" s="140">
        <v>1.4E-5</v>
      </c>
      <c r="W25" s="140">
        <v>2.1301746749172099E-2</v>
      </c>
      <c r="X25" s="140">
        <v>3.47428268221557E-3</v>
      </c>
    </row>
    <row r="26" spans="1:24">
      <c r="A26" s="3">
        <v>161</v>
      </c>
      <c r="B26" s="3">
        <v>9938</v>
      </c>
      <c r="C26" s="3" t="s">
        <v>1695</v>
      </c>
      <c r="D26" s="3" t="s">
        <v>1696</v>
      </c>
      <c r="E26" s="3" t="s">
        <v>1351</v>
      </c>
      <c r="F26" s="3" t="s">
        <v>1697</v>
      </c>
      <c r="G26" s="3" t="s">
        <v>1698</v>
      </c>
      <c r="H26" s="3" t="s">
        <v>209</v>
      </c>
      <c r="I26" s="3" t="s">
        <v>962</v>
      </c>
      <c r="J26" s="3" t="s">
        <v>30</v>
      </c>
      <c r="K26" s="3" t="s">
        <v>86</v>
      </c>
      <c r="L26" s="2" t="s">
        <v>361</v>
      </c>
      <c r="M26" s="2" t="s">
        <v>31</v>
      </c>
      <c r="N26" s="3" t="s">
        <v>512</v>
      </c>
      <c r="O26" s="3" t="s">
        <v>160</v>
      </c>
      <c r="P26" s="3" t="s">
        <v>34</v>
      </c>
      <c r="Q26" s="124">
        <v>508</v>
      </c>
      <c r="R26" s="141">
        <v>1</v>
      </c>
      <c r="S26" s="143">
        <v>57150</v>
      </c>
      <c r="T26" s="2"/>
      <c r="U26" s="124">
        <v>290.322</v>
      </c>
      <c r="V26" s="140">
        <v>6.9999999999999999E-6</v>
      </c>
      <c r="W26" s="140">
        <v>2.2196257724490999E-2</v>
      </c>
      <c r="X26" s="140">
        <v>3.6201760696075299E-3</v>
      </c>
    </row>
    <row r="27" spans="1:24">
      <c r="A27" s="3">
        <v>161</v>
      </c>
      <c r="B27" s="3">
        <v>9938</v>
      </c>
      <c r="C27" s="3" t="s">
        <v>1699</v>
      </c>
      <c r="D27" s="3" t="s">
        <v>1700</v>
      </c>
      <c r="E27" s="3" t="s">
        <v>1351</v>
      </c>
      <c r="F27" s="3" t="s">
        <v>1699</v>
      </c>
      <c r="G27" s="3" t="s">
        <v>1701</v>
      </c>
      <c r="H27" s="3" t="s">
        <v>209</v>
      </c>
      <c r="I27" s="3" t="s">
        <v>962</v>
      </c>
      <c r="J27" s="3" t="s">
        <v>30</v>
      </c>
      <c r="K27" s="3" t="s">
        <v>30</v>
      </c>
      <c r="L27" s="2" t="s">
        <v>361</v>
      </c>
      <c r="M27" s="2" t="s">
        <v>31</v>
      </c>
      <c r="N27" s="3" t="s">
        <v>470</v>
      </c>
      <c r="O27" s="3" t="s">
        <v>160</v>
      </c>
      <c r="P27" s="3" t="s">
        <v>34</v>
      </c>
      <c r="Q27" s="124">
        <v>5250</v>
      </c>
      <c r="R27" s="141">
        <v>1</v>
      </c>
      <c r="S27" s="143">
        <v>12570</v>
      </c>
      <c r="T27" s="2"/>
      <c r="U27" s="124">
        <v>659.92499999999995</v>
      </c>
      <c r="V27" s="140">
        <v>6.4999999999999994E-5</v>
      </c>
      <c r="W27" s="140">
        <v>5.0453859434816298E-2</v>
      </c>
      <c r="X27" s="140">
        <v>8.2289481773194801E-3</v>
      </c>
    </row>
    <row r="28" spans="1:24">
      <c r="A28" s="3">
        <v>161</v>
      </c>
      <c r="B28" s="3">
        <v>9938</v>
      </c>
      <c r="C28" s="3" t="s">
        <v>1702</v>
      </c>
      <c r="D28" s="3" t="s">
        <v>1703</v>
      </c>
      <c r="E28" s="3" t="s">
        <v>1351</v>
      </c>
      <c r="F28" s="3" t="s">
        <v>1704</v>
      </c>
      <c r="G28" s="3" t="s">
        <v>1705</v>
      </c>
      <c r="H28" s="3" t="s">
        <v>209</v>
      </c>
      <c r="I28" s="3" t="s">
        <v>962</v>
      </c>
      <c r="J28" s="3" t="s">
        <v>30</v>
      </c>
      <c r="K28" s="3" t="s">
        <v>30</v>
      </c>
      <c r="L28" s="2" t="s">
        <v>361</v>
      </c>
      <c r="M28" s="2" t="s">
        <v>31</v>
      </c>
      <c r="N28" s="3" t="s">
        <v>495</v>
      </c>
      <c r="O28" s="3" t="s">
        <v>160</v>
      </c>
      <c r="P28" s="3" t="s">
        <v>34</v>
      </c>
      <c r="Q28" s="124">
        <v>785</v>
      </c>
      <c r="R28" s="141">
        <v>1</v>
      </c>
      <c r="S28" s="143">
        <v>30970</v>
      </c>
      <c r="T28" s="2"/>
      <c r="U28" s="124">
        <v>243.114</v>
      </c>
      <c r="V28" s="140">
        <v>6.0000000000000002E-6</v>
      </c>
      <c r="W28" s="140">
        <v>1.85870588469381E-2</v>
      </c>
      <c r="X28" s="140">
        <v>3.03152119052156E-3</v>
      </c>
    </row>
    <row r="29" spans="1:24">
      <c r="A29" s="3">
        <v>161</v>
      </c>
      <c r="B29" s="3">
        <v>9938</v>
      </c>
      <c r="C29" s="3" t="s">
        <v>1610</v>
      </c>
      <c r="D29" s="3" t="s">
        <v>1611</v>
      </c>
      <c r="E29" s="3" t="s">
        <v>1351</v>
      </c>
      <c r="F29" s="3" t="s">
        <v>1612</v>
      </c>
      <c r="G29" s="3" t="s">
        <v>1613</v>
      </c>
      <c r="H29" s="3" t="s">
        <v>209</v>
      </c>
      <c r="I29" s="3" t="s">
        <v>962</v>
      </c>
      <c r="J29" s="3" t="s">
        <v>30</v>
      </c>
      <c r="K29" s="3" t="s">
        <v>30</v>
      </c>
      <c r="L29" s="2" t="s">
        <v>361</v>
      </c>
      <c r="M29" s="2" t="s">
        <v>31</v>
      </c>
      <c r="N29" s="3" t="s">
        <v>479</v>
      </c>
      <c r="O29" s="3" t="s">
        <v>160</v>
      </c>
      <c r="P29" s="3" t="s">
        <v>34</v>
      </c>
      <c r="Q29" s="124">
        <v>14982</v>
      </c>
      <c r="R29" s="141">
        <v>1</v>
      </c>
      <c r="S29" s="143">
        <v>6462</v>
      </c>
      <c r="T29" s="2"/>
      <c r="U29" s="124">
        <v>968.13699999999994</v>
      </c>
      <c r="V29" s="140">
        <v>1.1E-5</v>
      </c>
      <c r="W29" s="140">
        <v>7.4017865725691898E-2</v>
      </c>
      <c r="X29" s="140">
        <v>1.20722019697903E-2</v>
      </c>
    </row>
    <row r="30" spans="1:24">
      <c r="A30" s="3">
        <v>161</v>
      </c>
      <c r="B30" s="3">
        <v>9938</v>
      </c>
      <c r="C30" s="3" t="s">
        <v>1706</v>
      </c>
      <c r="D30" s="3" t="s">
        <v>1707</v>
      </c>
      <c r="E30" s="3" t="s">
        <v>1351</v>
      </c>
      <c r="F30" s="3" t="s">
        <v>1708</v>
      </c>
      <c r="G30" s="3" t="s">
        <v>1709</v>
      </c>
      <c r="H30" s="3" t="s">
        <v>209</v>
      </c>
      <c r="I30" s="3" t="s">
        <v>962</v>
      </c>
      <c r="J30" s="3" t="s">
        <v>30</v>
      </c>
      <c r="K30" s="3" t="s">
        <v>30</v>
      </c>
      <c r="L30" s="2" t="s">
        <v>361</v>
      </c>
      <c r="M30" s="2" t="s">
        <v>31</v>
      </c>
      <c r="N30" s="3" t="s">
        <v>507</v>
      </c>
      <c r="O30" s="3" t="s">
        <v>160</v>
      </c>
      <c r="P30" s="3" t="s">
        <v>34</v>
      </c>
      <c r="Q30" s="124">
        <v>471</v>
      </c>
      <c r="R30" s="141">
        <v>1</v>
      </c>
      <c r="S30" s="143">
        <v>33720</v>
      </c>
      <c r="T30" s="2"/>
      <c r="U30" s="124">
        <v>158.821</v>
      </c>
      <c r="V30" s="140">
        <v>3.4E-5</v>
      </c>
      <c r="W30" s="140">
        <v>1.2142504830198599E-2</v>
      </c>
      <c r="X30" s="140">
        <v>1.980424175868E-3</v>
      </c>
    </row>
    <row r="31" spans="1:24">
      <c r="A31" s="3">
        <v>161</v>
      </c>
      <c r="B31" s="3">
        <v>9938</v>
      </c>
      <c r="C31" s="3" t="s">
        <v>1710</v>
      </c>
      <c r="D31" s="3" t="s">
        <v>1711</v>
      </c>
      <c r="E31" s="3" t="s">
        <v>1351</v>
      </c>
      <c r="F31" s="3" t="s">
        <v>1712</v>
      </c>
      <c r="G31" s="3" t="s">
        <v>1713</v>
      </c>
      <c r="H31" s="3" t="s">
        <v>209</v>
      </c>
      <c r="I31" s="3" t="s">
        <v>962</v>
      </c>
      <c r="J31" s="3" t="s">
        <v>30</v>
      </c>
      <c r="K31" s="3" t="s">
        <v>30</v>
      </c>
      <c r="L31" s="2" t="s">
        <v>361</v>
      </c>
      <c r="M31" s="2" t="s">
        <v>31</v>
      </c>
      <c r="N31" s="3" t="s">
        <v>508</v>
      </c>
      <c r="O31" s="3" t="s">
        <v>160</v>
      </c>
      <c r="P31" s="3" t="s">
        <v>34</v>
      </c>
      <c r="Q31" s="124">
        <v>396</v>
      </c>
      <c r="R31" s="141">
        <v>1</v>
      </c>
      <c r="S31" s="143">
        <v>42880</v>
      </c>
      <c r="T31" s="2"/>
      <c r="U31" s="124">
        <v>169.80500000000001</v>
      </c>
      <c r="V31" s="140">
        <v>2.5000000000000001E-5</v>
      </c>
      <c r="W31" s="140">
        <v>1.2982244210413401E-2</v>
      </c>
      <c r="X31" s="140">
        <v>2.1173843989242699E-3</v>
      </c>
    </row>
    <row r="32" spans="1:24">
      <c r="A32" s="3">
        <v>161</v>
      </c>
      <c r="B32" s="3">
        <v>9938</v>
      </c>
      <c r="C32" s="3" t="s">
        <v>1714</v>
      </c>
      <c r="D32" s="3" t="s">
        <v>1715</v>
      </c>
      <c r="E32" s="3" t="s">
        <v>1351</v>
      </c>
      <c r="F32" s="3" t="s">
        <v>1716</v>
      </c>
      <c r="G32" s="3" t="s">
        <v>1717</v>
      </c>
      <c r="H32" s="3" t="s">
        <v>209</v>
      </c>
      <c r="I32" s="3" t="s">
        <v>962</v>
      </c>
      <c r="J32" s="3" t="s">
        <v>30</v>
      </c>
      <c r="K32" s="3" t="s">
        <v>30</v>
      </c>
      <c r="L32" s="2" t="s">
        <v>361</v>
      </c>
      <c r="M32" s="2" t="s">
        <v>31</v>
      </c>
      <c r="N32" s="3" t="s">
        <v>494</v>
      </c>
      <c r="O32" s="3" t="s">
        <v>160</v>
      </c>
      <c r="P32" s="3" t="s">
        <v>34</v>
      </c>
      <c r="Q32" s="124">
        <v>19241</v>
      </c>
      <c r="R32" s="141">
        <v>1</v>
      </c>
      <c r="S32" s="143">
        <v>922.7</v>
      </c>
      <c r="T32" s="2"/>
      <c r="U32" s="124">
        <v>177.53700000000001</v>
      </c>
      <c r="V32" s="140">
        <v>6.7000000000000002E-5</v>
      </c>
      <c r="W32" s="140">
        <v>1.3573378883203599E-2</v>
      </c>
      <c r="X32" s="140">
        <v>2.21379757014048E-3</v>
      </c>
    </row>
    <row r="33" spans="1:24">
      <c r="A33" s="3">
        <v>161</v>
      </c>
      <c r="B33" s="3">
        <v>9938</v>
      </c>
      <c r="C33" s="3" t="s">
        <v>1718</v>
      </c>
      <c r="D33" s="3" t="s">
        <v>1719</v>
      </c>
      <c r="E33" s="3" t="s">
        <v>1351</v>
      </c>
      <c r="F33" s="3" t="s">
        <v>1720</v>
      </c>
      <c r="G33" s="3" t="s">
        <v>1721</v>
      </c>
      <c r="H33" s="3" t="s">
        <v>209</v>
      </c>
      <c r="I33" s="3" t="s">
        <v>962</v>
      </c>
      <c r="J33" s="3" t="s">
        <v>30</v>
      </c>
      <c r="K33" s="3" t="s">
        <v>334</v>
      </c>
      <c r="L33" s="2" t="s">
        <v>361</v>
      </c>
      <c r="M33" s="2" t="s">
        <v>31</v>
      </c>
      <c r="N33" s="3" t="s">
        <v>489</v>
      </c>
      <c r="O33" s="3" t="s">
        <v>160</v>
      </c>
      <c r="P33" s="3" t="s">
        <v>34</v>
      </c>
      <c r="Q33" s="124">
        <v>1178</v>
      </c>
      <c r="R33" s="141">
        <v>1</v>
      </c>
      <c r="S33" s="143">
        <v>29040</v>
      </c>
      <c r="T33" s="2"/>
      <c r="U33" s="124">
        <v>342.09100000000001</v>
      </c>
      <c r="V33" s="140">
        <v>2.5000000000000001E-5</v>
      </c>
      <c r="W33" s="140">
        <v>2.6154216492309899E-2</v>
      </c>
      <c r="X33" s="140">
        <v>4.2657131593999802E-3</v>
      </c>
    </row>
    <row r="34" spans="1:24">
      <c r="A34" s="3">
        <v>161</v>
      </c>
      <c r="B34" s="3">
        <v>9938</v>
      </c>
      <c r="C34" s="3" t="s">
        <v>1722</v>
      </c>
      <c r="D34" s="3" t="s">
        <v>1723</v>
      </c>
      <c r="E34" s="3" t="s">
        <v>348</v>
      </c>
      <c r="F34" s="3" t="s">
        <v>1724</v>
      </c>
      <c r="G34" s="3" t="s">
        <v>1725</v>
      </c>
      <c r="H34" s="3" t="s">
        <v>209</v>
      </c>
      <c r="I34" s="3" t="s">
        <v>962</v>
      </c>
      <c r="J34" s="3" t="s">
        <v>30</v>
      </c>
      <c r="K34" s="3" t="s">
        <v>30</v>
      </c>
      <c r="L34" s="2" t="s">
        <v>361</v>
      </c>
      <c r="M34" s="2" t="s">
        <v>31</v>
      </c>
      <c r="N34" s="3" t="s">
        <v>485</v>
      </c>
      <c r="O34" s="3" t="s">
        <v>160</v>
      </c>
      <c r="P34" s="3" t="s">
        <v>34</v>
      </c>
      <c r="Q34" s="124">
        <v>13705</v>
      </c>
      <c r="R34" s="141">
        <v>1</v>
      </c>
      <c r="S34" s="143">
        <v>483.9</v>
      </c>
      <c r="T34" s="2"/>
      <c r="U34" s="124">
        <v>66.317999999999998</v>
      </c>
      <c r="V34" s="140">
        <v>1.2E-5</v>
      </c>
      <c r="W34" s="140">
        <v>5.0703095422336896E-3</v>
      </c>
      <c r="X34" s="140">
        <v>8.2695981899885804E-4</v>
      </c>
    </row>
    <row r="35" spans="1:24">
      <c r="A35" s="3">
        <v>161</v>
      </c>
      <c r="B35" s="3">
        <v>9938</v>
      </c>
      <c r="C35" s="3" t="s">
        <v>1726</v>
      </c>
      <c r="D35" s="3" t="s">
        <v>1727</v>
      </c>
      <c r="E35" s="3" t="s">
        <v>1351</v>
      </c>
      <c r="F35" s="3" t="s">
        <v>1728</v>
      </c>
      <c r="G35" s="3" t="s">
        <v>1729</v>
      </c>
      <c r="H35" s="3" t="s">
        <v>209</v>
      </c>
      <c r="I35" s="3" t="s">
        <v>962</v>
      </c>
      <c r="J35" s="3" t="s">
        <v>30</v>
      </c>
      <c r="K35" s="3" t="s">
        <v>30</v>
      </c>
      <c r="L35" s="2" t="s">
        <v>361</v>
      </c>
      <c r="M35" s="2" t="s">
        <v>31</v>
      </c>
      <c r="N35" s="3" t="s">
        <v>507</v>
      </c>
      <c r="O35" s="3" t="s">
        <v>160</v>
      </c>
      <c r="P35" s="3" t="s">
        <v>34</v>
      </c>
      <c r="Q35" s="124">
        <v>4100</v>
      </c>
      <c r="R35" s="141">
        <v>1</v>
      </c>
      <c r="S35" s="143">
        <v>3869</v>
      </c>
      <c r="T35" s="2"/>
      <c r="U35" s="124">
        <v>158.62899999999999</v>
      </c>
      <c r="V35" s="140">
        <v>1.5E-5</v>
      </c>
      <c r="W35" s="140">
        <v>1.2127810384946E-2</v>
      </c>
      <c r="X35" s="140">
        <v>1.9780275340682799E-3</v>
      </c>
    </row>
    <row r="36" spans="1:24">
      <c r="A36" s="3">
        <v>161</v>
      </c>
      <c r="B36" s="3">
        <v>9938</v>
      </c>
      <c r="C36" s="3" t="s">
        <v>1730</v>
      </c>
      <c r="D36" s="3" t="s">
        <v>1731</v>
      </c>
      <c r="E36" s="3" t="s">
        <v>206</v>
      </c>
      <c r="F36" s="3" t="s">
        <v>1732</v>
      </c>
      <c r="G36" s="3" t="s">
        <v>1733</v>
      </c>
      <c r="H36" s="3" t="s">
        <v>209</v>
      </c>
      <c r="I36" s="3" t="s">
        <v>962</v>
      </c>
      <c r="J36" s="3" t="s">
        <v>85</v>
      </c>
      <c r="K36" s="3" t="s">
        <v>327</v>
      </c>
      <c r="L36" s="2" t="s">
        <v>361</v>
      </c>
      <c r="M36" s="2" t="s">
        <v>380</v>
      </c>
      <c r="N36" s="3" t="s">
        <v>580</v>
      </c>
      <c r="O36" s="3" t="s">
        <v>160</v>
      </c>
      <c r="P36" s="3" t="s">
        <v>90</v>
      </c>
      <c r="Q36" s="124">
        <v>240</v>
      </c>
      <c r="R36" s="141">
        <v>3.3719999999999999</v>
      </c>
      <c r="S36" s="143">
        <v>14190</v>
      </c>
      <c r="T36" s="2"/>
      <c r="U36" s="124">
        <v>114.837</v>
      </c>
      <c r="V36" s="140">
        <v>0</v>
      </c>
      <c r="W36" s="140">
        <v>8.7797270593894892E-3</v>
      </c>
      <c r="X36" s="140">
        <v>1.4319602066530999E-3</v>
      </c>
    </row>
    <row r="37" spans="1:24">
      <c r="A37" s="3">
        <v>161</v>
      </c>
      <c r="B37" s="3">
        <v>9938</v>
      </c>
      <c r="C37" s="3" t="s">
        <v>1734</v>
      </c>
      <c r="D37" s="3" t="s">
        <v>1735</v>
      </c>
      <c r="E37" s="3" t="s">
        <v>206</v>
      </c>
      <c r="F37" s="3" t="s">
        <v>1736</v>
      </c>
      <c r="G37" s="3" t="s">
        <v>1737</v>
      </c>
      <c r="H37" s="3" t="s">
        <v>209</v>
      </c>
      <c r="I37" s="3" t="s">
        <v>962</v>
      </c>
      <c r="J37" s="3" t="s">
        <v>85</v>
      </c>
      <c r="K37" s="3" t="s">
        <v>86</v>
      </c>
      <c r="L37" s="2" t="s">
        <v>361</v>
      </c>
      <c r="M37" s="2" t="s">
        <v>380</v>
      </c>
      <c r="N37" s="3" t="s">
        <v>581</v>
      </c>
      <c r="O37" s="3" t="s">
        <v>160</v>
      </c>
      <c r="P37" s="3" t="s">
        <v>90</v>
      </c>
      <c r="Q37" s="124">
        <v>457</v>
      </c>
      <c r="R37" s="141">
        <v>3.3719999999999999</v>
      </c>
      <c r="S37" s="143">
        <v>17739</v>
      </c>
      <c r="T37" s="2"/>
      <c r="U37" s="124">
        <v>273.35899999999998</v>
      </c>
      <c r="V37" s="140">
        <v>0</v>
      </c>
      <c r="W37" s="140">
        <v>2.0899346748319E-2</v>
      </c>
      <c r="X37" s="140">
        <v>3.4086518505870899E-3</v>
      </c>
    </row>
    <row r="38" spans="1:24">
      <c r="A38" s="3">
        <v>161</v>
      </c>
      <c r="B38" s="3">
        <v>9938</v>
      </c>
      <c r="C38" s="3" t="s">
        <v>1738</v>
      </c>
      <c r="D38" s="3" t="s">
        <v>1739</v>
      </c>
      <c r="E38" s="3" t="s">
        <v>206</v>
      </c>
      <c r="F38" s="3" t="s">
        <v>1740</v>
      </c>
      <c r="G38" s="3" t="s">
        <v>1741</v>
      </c>
      <c r="H38" s="3" t="s">
        <v>209</v>
      </c>
      <c r="I38" s="3" t="s">
        <v>962</v>
      </c>
      <c r="J38" s="3" t="s">
        <v>85</v>
      </c>
      <c r="K38" s="3" t="s">
        <v>86</v>
      </c>
      <c r="L38" s="2" t="s">
        <v>361</v>
      </c>
      <c r="M38" s="2" t="s">
        <v>380</v>
      </c>
      <c r="N38" s="3" t="s">
        <v>532</v>
      </c>
      <c r="O38" s="3" t="s">
        <v>160</v>
      </c>
      <c r="P38" s="3" t="s">
        <v>90</v>
      </c>
      <c r="Q38" s="124">
        <v>300</v>
      </c>
      <c r="R38" s="141">
        <v>3.3719999999999999</v>
      </c>
      <c r="S38" s="143">
        <v>21939</v>
      </c>
      <c r="T38" s="2"/>
      <c r="U38" s="124">
        <v>221.935</v>
      </c>
      <c r="V38" s="140">
        <v>0</v>
      </c>
      <c r="W38" s="140">
        <v>1.6967797036288399E-2</v>
      </c>
      <c r="X38" s="140">
        <v>2.76742203785784E-3</v>
      </c>
    </row>
    <row r="39" spans="1:24">
      <c r="A39" s="3">
        <v>161</v>
      </c>
      <c r="B39" s="3">
        <v>9938</v>
      </c>
      <c r="C39" s="3" t="s">
        <v>1742</v>
      </c>
      <c r="D39" s="3" t="s">
        <v>1743</v>
      </c>
      <c r="E39" s="3" t="s">
        <v>206</v>
      </c>
      <c r="F39" s="3" t="s">
        <v>1744</v>
      </c>
      <c r="G39" s="3" t="s">
        <v>1745</v>
      </c>
      <c r="H39" s="3" t="s">
        <v>209</v>
      </c>
      <c r="I39" s="3" t="s">
        <v>962</v>
      </c>
      <c r="J39" s="3" t="s">
        <v>85</v>
      </c>
      <c r="K39" s="3" t="s">
        <v>86</v>
      </c>
      <c r="L39" s="2" t="s">
        <v>361</v>
      </c>
      <c r="M39" s="2" t="s">
        <v>380</v>
      </c>
      <c r="N39" s="3" t="s">
        <v>580</v>
      </c>
      <c r="O39" s="3" t="s">
        <v>160</v>
      </c>
      <c r="P39" s="3" t="s">
        <v>90</v>
      </c>
      <c r="Q39" s="124">
        <v>187</v>
      </c>
      <c r="R39" s="141">
        <v>3.3719999999999999</v>
      </c>
      <c r="S39" s="143">
        <v>80139</v>
      </c>
      <c r="T39" s="2"/>
      <c r="U39" s="124">
        <v>505.32799999999997</v>
      </c>
      <c r="V39" s="140">
        <v>0</v>
      </c>
      <c r="W39" s="140">
        <v>3.8634287131172597E-2</v>
      </c>
      <c r="X39" s="140">
        <v>6.3011938081929302E-3</v>
      </c>
    </row>
    <row r="40" spans="1:24">
      <c r="A40" s="3">
        <v>161</v>
      </c>
      <c r="B40" s="3">
        <v>9938</v>
      </c>
      <c r="C40" s="3" t="s">
        <v>1746</v>
      </c>
      <c r="D40" s="3" t="s">
        <v>1747</v>
      </c>
      <c r="E40" s="3" t="s">
        <v>206</v>
      </c>
      <c r="F40" s="3" t="s">
        <v>1748</v>
      </c>
      <c r="G40" s="3" t="s">
        <v>1749</v>
      </c>
      <c r="H40" s="3" t="s">
        <v>209</v>
      </c>
      <c r="I40" s="3" t="s">
        <v>962</v>
      </c>
      <c r="J40" s="3" t="s">
        <v>85</v>
      </c>
      <c r="K40" s="3" t="s">
        <v>86</v>
      </c>
      <c r="L40" s="2" t="s">
        <v>361</v>
      </c>
      <c r="M40" s="2" t="s">
        <v>380</v>
      </c>
      <c r="N40" s="3" t="s">
        <v>580</v>
      </c>
      <c r="O40" s="3" t="s">
        <v>160</v>
      </c>
      <c r="P40" s="3" t="s">
        <v>90</v>
      </c>
      <c r="Q40" s="124">
        <v>200</v>
      </c>
      <c r="R40" s="141">
        <v>3.3719999999999999</v>
      </c>
      <c r="S40" s="143">
        <v>27565</v>
      </c>
      <c r="T40" s="123">
        <v>0.11799999999999999</v>
      </c>
      <c r="U40" s="124">
        <v>186.29599999999999</v>
      </c>
      <c r="V40" s="140">
        <v>0</v>
      </c>
      <c r="W40" s="140">
        <v>1.42430808250279E-2</v>
      </c>
      <c r="X40" s="140">
        <v>2.3230249441264401E-3</v>
      </c>
    </row>
    <row r="41" spans="1:24">
      <c r="A41" s="3">
        <v>161</v>
      </c>
      <c r="B41" s="3">
        <v>9938</v>
      </c>
      <c r="C41" s="3" t="s">
        <v>1750</v>
      </c>
      <c r="D41" s="3" t="s">
        <v>1751</v>
      </c>
      <c r="E41" s="3" t="s">
        <v>206</v>
      </c>
      <c r="F41" s="3" t="s">
        <v>1752</v>
      </c>
      <c r="G41" s="3" t="s">
        <v>1753</v>
      </c>
      <c r="H41" s="3" t="s">
        <v>209</v>
      </c>
      <c r="I41" s="3" t="s">
        <v>962</v>
      </c>
      <c r="J41" s="3" t="s">
        <v>85</v>
      </c>
      <c r="K41" s="3" t="s">
        <v>86</v>
      </c>
      <c r="L41" s="2" t="s">
        <v>361</v>
      </c>
      <c r="M41" s="2" t="s">
        <v>378</v>
      </c>
      <c r="N41" s="3" t="s">
        <v>568</v>
      </c>
      <c r="O41" s="3" t="s">
        <v>160</v>
      </c>
      <c r="P41" s="3" t="s">
        <v>90</v>
      </c>
      <c r="Q41" s="124">
        <v>104</v>
      </c>
      <c r="R41" s="141">
        <v>3.3719999999999999</v>
      </c>
      <c r="S41" s="143">
        <v>28991</v>
      </c>
      <c r="T41" s="2"/>
      <c r="U41" s="124">
        <v>101.66800000000001</v>
      </c>
      <c r="V41" s="140">
        <v>0</v>
      </c>
      <c r="W41" s="140">
        <v>7.7729149009252803E-3</v>
      </c>
      <c r="X41" s="140">
        <v>1.2677506661123801E-3</v>
      </c>
    </row>
    <row r="42" spans="1:24">
      <c r="A42" s="3">
        <v>161</v>
      </c>
      <c r="B42" s="3">
        <v>9938</v>
      </c>
      <c r="C42" s="3" t="s">
        <v>1754</v>
      </c>
      <c r="D42" s="3" t="s">
        <v>1755</v>
      </c>
      <c r="E42" s="3" t="s">
        <v>206</v>
      </c>
      <c r="F42" s="3" t="s">
        <v>1756</v>
      </c>
      <c r="G42" s="3" t="s">
        <v>1757</v>
      </c>
      <c r="H42" s="3" t="s">
        <v>209</v>
      </c>
      <c r="I42" s="3" t="s">
        <v>962</v>
      </c>
      <c r="J42" s="3" t="s">
        <v>85</v>
      </c>
      <c r="K42" s="3" t="s">
        <v>86</v>
      </c>
      <c r="L42" s="2" t="s">
        <v>361</v>
      </c>
      <c r="M42" s="2" t="s">
        <v>378</v>
      </c>
      <c r="N42" s="3" t="s">
        <v>1758</v>
      </c>
      <c r="O42" s="3" t="s">
        <v>160</v>
      </c>
      <c r="P42" s="3" t="s">
        <v>90</v>
      </c>
      <c r="Q42" s="124">
        <v>75</v>
      </c>
      <c r="R42" s="141">
        <v>3.3719999999999999</v>
      </c>
      <c r="S42" s="143">
        <v>56194</v>
      </c>
      <c r="T42" s="2"/>
      <c r="U42" s="124">
        <v>142.11500000000001</v>
      </c>
      <c r="V42" s="140">
        <v>0</v>
      </c>
      <c r="W42" s="140">
        <v>1.08652215991749E-2</v>
      </c>
      <c r="X42" s="140">
        <v>1.77210121240011E-3</v>
      </c>
    </row>
    <row r="43" spans="1:24">
      <c r="A43" s="3">
        <v>161</v>
      </c>
      <c r="B43" s="3">
        <v>9938</v>
      </c>
      <c r="C43" s="3" t="s">
        <v>1759</v>
      </c>
      <c r="D43" s="3" t="s">
        <v>1760</v>
      </c>
      <c r="E43" s="3" t="s">
        <v>206</v>
      </c>
      <c r="F43" s="3" t="s">
        <v>1761</v>
      </c>
      <c r="G43" s="3" t="s">
        <v>1762</v>
      </c>
      <c r="H43" s="3" t="s">
        <v>209</v>
      </c>
      <c r="I43" s="3" t="s">
        <v>962</v>
      </c>
      <c r="J43" s="3" t="s">
        <v>85</v>
      </c>
      <c r="K43" s="3" t="s">
        <v>86</v>
      </c>
      <c r="L43" s="2" t="s">
        <v>361</v>
      </c>
      <c r="M43" s="2" t="s">
        <v>380</v>
      </c>
      <c r="N43" s="3" t="s">
        <v>576</v>
      </c>
      <c r="O43" s="3" t="s">
        <v>160</v>
      </c>
      <c r="P43" s="3" t="s">
        <v>90</v>
      </c>
      <c r="Q43" s="124">
        <v>113</v>
      </c>
      <c r="R43" s="141">
        <v>3.3719999999999999</v>
      </c>
      <c r="S43" s="143">
        <v>49741</v>
      </c>
      <c r="T43" s="2"/>
      <c r="U43" s="124">
        <v>189.53100000000001</v>
      </c>
      <c r="V43" s="140">
        <v>0</v>
      </c>
      <c r="W43" s="140">
        <v>1.4490398641562E-2</v>
      </c>
      <c r="X43" s="140">
        <v>2.3633621060083002E-3</v>
      </c>
    </row>
    <row r="44" spans="1:24">
      <c r="A44" s="3">
        <v>161</v>
      </c>
      <c r="B44" s="3">
        <v>9938</v>
      </c>
      <c r="C44" s="3" t="s">
        <v>1695</v>
      </c>
      <c r="D44" s="3" t="s">
        <v>1696</v>
      </c>
      <c r="E44" s="3" t="s">
        <v>1351</v>
      </c>
      <c r="F44" s="3" t="s">
        <v>1763</v>
      </c>
      <c r="G44" s="3" t="s">
        <v>1764</v>
      </c>
      <c r="H44" s="3" t="s">
        <v>209</v>
      </c>
      <c r="I44" s="3" t="s">
        <v>962</v>
      </c>
      <c r="J44" s="3" t="s">
        <v>85</v>
      </c>
      <c r="K44" s="3" t="s">
        <v>86</v>
      </c>
      <c r="L44" s="2" t="s">
        <v>361</v>
      </c>
      <c r="M44" s="2" t="s">
        <v>380</v>
      </c>
      <c r="N44" s="3" t="s">
        <v>512</v>
      </c>
      <c r="O44" s="3" t="s">
        <v>160</v>
      </c>
      <c r="P44" s="3" t="s">
        <v>90</v>
      </c>
      <c r="Q44" s="124">
        <v>136</v>
      </c>
      <c r="R44" s="141">
        <v>3.3719999999999999</v>
      </c>
      <c r="S44" s="143">
        <v>16891</v>
      </c>
      <c r="T44" s="2"/>
      <c r="U44" s="124">
        <v>77.460999999999999</v>
      </c>
      <c r="V44" s="140">
        <v>1.9999999999999999E-6</v>
      </c>
      <c r="W44" s="140">
        <v>5.9221806105767298E-3</v>
      </c>
      <c r="X44" s="140">
        <v>9.6589870204326096E-4</v>
      </c>
    </row>
    <row r="45" spans="1:24">
      <c r="A45" s="3">
        <v>161</v>
      </c>
      <c r="B45" s="3">
        <v>9938</v>
      </c>
      <c r="C45" s="3" t="s">
        <v>1765</v>
      </c>
      <c r="D45" s="3" t="s">
        <v>1766</v>
      </c>
      <c r="E45" s="3" t="s">
        <v>206</v>
      </c>
      <c r="F45" s="3" t="s">
        <v>1767</v>
      </c>
      <c r="G45" s="3" t="s">
        <v>1768</v>
      </c>
      <c r="H45" s="3" t="s">
        <v>209</v>
      </c>
      <c r="I45" s="3" t="s">
        <v>962</v>
      </c>
      <c r="J45" s="3" t="s">
        <v>85</v>
      </c>
      <c r="K45" s="3" t="s">
        <v>86</v>
      </c>
      <c r="L45" s="2" t="s">
        <v>361</v>
      </c>
      <c r="M45" s="2" t="s">
        <v>380</v>
      </c>
      <c r="N45" s="3" t="s">
        <v>580</v>
      </c>
      <c r="O45" s="3" t="s">
        <v>160</v>
      </c>
      <c r="P45" s="3" t="s">
        <v>90</v>
      </c>
      <c r="Q45" s="124">
        <v>450</v>
      </c>
      <c r="R45" s="141">
        <v>3.3719999999999999</v>
      </c>
      <c r="S45" s="143">
        <v>15799</v>
      </c>
      <c r="T45" s="123">
        <v>3.0000000000000001E-3</v>
      </c>
      <c r="U45" s="124">
        <v>239.745</v>
      </c>
      <c r="V45" s="140">
        <v>0</v>
      </c>
      <c r="W45" s="140">
        <v>1.83294771209483E-2</v>
      </c>
      <c r="X45" s="140">
        <v>2.9895100005285901E-3</v>
      </c>
    </row>
    <row r="46" spans="1:24">
      <c r="A46" s="3">
        <v>161</v>
      </c>
      <c r="B46" s="3">
        <v>9938</v>
      </c>
      <c r="C46" s="3" t="s">
        <v>1614</v>
      </c>
      <c r="D46" s="3" t="s">
        <v>1615</v>
      </c>
      <c r="E46" s="3" t="s">
        <v>206</v>
      </c>
      <c r="F46" s="3" t="s">
        <v>1769</v>
      </c>
      <c r="G46" s="3" t="s">
        <v>1617</v>
      </c>
      <c r="H46" s="3" t="s">
        <v>209</v>
      </c>
      <c r="I46" s="3" t="s">
        <v>962</v>
      </c>
      <c r="J46" s="3" t="s">
        <v>85</v>
      </c>
      <c r="K46" s="3" t="s">
        <v>86</v>
      </c>
      <c r="L46" s="2" t="s">
        <v>361</v>
      </c>
      <c r="M46" s="2" t="s">
        <v>378</v>
      </c>
      <c r="N46" s="3" t="s">
        <v>589</v>
      </c>
      <c r="O46" s="3" t="s">
        <v>160</v>
      </c>
      <c r="P46" s="3" t="s">
        <v>90</v>
      </c>
      <c r="Q46" s="124">
        <v>170</v>
      </c>
      <c r="R46" s="141">
        <v>3.3719999999999999</v>
      </c>
      <c r="S46" s="143">
        <v>8376</v>
      </c>
      <c r="T46" s="2"/>
      <c r="U46" s="124">
        <v>48.015000000000001</v>
      </c>
      <c r="V46" s="140">
        <v>3.0000000000000001E-6</v>
      </c>
      <c r="W46" s="140">
        <v>3.6709034984748301E-3</v>
      </c>
      <c r="X46" s="140">
        <v>5.9871880944840103E-4</v>
      </c>
    </row>
    <row r="47" spans="1:24">
      <c r="A47" s="3">
        <v>161</v>
      </c>
      <c r="B47" s="3">
        <v>9938</v>
      </c>
      <c r="C47" s="3" t="s">
        <v>1770</v>
      </c>
      <c r="D47" s="3" t="s">
        <v>1771</v>
      </c>
      <c r="E47" s="3" t="s">
        <v>206</v>
      </c>
      <c r="F47" s="3" t="s">
        <v>1772</v>
      </c>
      <c r="G47" s="3" t="s">
        <v>1773</v>
      </c>
      <c r="H47" s="3" t="s">
        <v>209</v>
      </c>
      <c r="I47" s="3" t="s">
        <v>962</v>
      </c>
      <c r="J47" s="3" t="s">
        <v>85</v>
      </c>
      <c r="K47" s="3" t="s">
        <v>1774</v>
      </c>
      <c r="L47" s="2" t="s">
        <v>361</v>
      </c>
      <c r="M47" s="2" t="s">
        <v>378</v>
      </c>
      <c r="N47" s="3" t="s">
        <v>580</v>
      </c>
      <c r="O47" s="3" t="s">
        <v>160</v>
      </c>
      <c r="P47" s="3" t="s">
        <v>90</v>
      </c>
      <c r="Q47" s="124">
        <v>385</v>
      </c>
      <c r="R47" s="141">
        <v>3.3719999999999999</v>
      </c>
      <c r="S47" s="143">
        <v>22649</v>
      </c>
      <c r="T47" s="123">
        <v>0.20799999999999999</v>
      </c>
      <c r="U47" s="124">
        <v>294.73700000000002</v>
      </c>
      <c r="V47" s="140">
        <v>0</v>
      </c>
      <c r="W47" s="140">
        <v>2.2533789771099801E-2</v>
      </c>
      <c r="X47" s="140">
        <v>3.6752270359922999E-3</v>
      </c>
    </row>
    <row r="48" spans="1:24">
      <c r="A48" s="3">
        <v>161</v>
      </c>
      <c r="B48" s="3">
        <v>9942</v>
      </c>
      <c r="C48" s="3" t="s">
        <v>1614</v>
      </c>
      <c r="D48" s="3" t="s">
        <v>1615</v>
      </c>
      <c r="E48" s="3" t="s">
        <v>206</v>
      </c>
      <c r="F48" s="3" t="s">
        <v>1616</v>
      </c>
      <c r="G48" s="3" t="s">
        <v>1617</v>
      </c>
      <c r="H48" s="3" t="s">
        <v>209</v>
      </c>
      <c r="I48" s="3" t="s">
        <v>962</v>
      </c>
      <c r="J48" s="3" t="s">
        <v>30</v>
      </c>
      <c r="K48" s="3" t="s">
        <v>86</v>
      </c>
      <c r="L48" s="2" t="s">
        <v>361</v>
      </c>
      <c r="M48" s="2" t="s">
        <v>31</v>
      </c>
      <c r="N48" s="3" t="s">
        <v>472</v>
      </c>
      <c r="O48" s="3" t="s">
        <v>160</v>
      </c>
      <c r="P48" s="3" t="s">
        <v>34</v>
      </c>
      <c r="Q48" s="124">
        <v>113</v>
      </c>
      <c r="R48" s="141">
        <v>1</v>
      </c>
      <c r="S48" s="143">
        <v>27780</v>
      </c>
      <c r="T48" s="2"/>
      <c r="U48" s="124">
        <v>31.390999999999998</v>
      </c>
      <c r="V48" s="140">
        <v>1.9999999999999999E-6</v>
      </c>
      <c r="W48" s="140">
        <v>3.0358256145386702E-3</v>
      </c>
      <c r="X48" s="140">
        <v>3.3060341213638102E-4</v>
      </c>
    </row>
    <row r="49" spans="1:24">
      <c r="A49" s="3">
        <v>161</v>
      </c>
      <c r="B49" s="3">
        <v>9942</v>
      </c>
      <c r="C49" s="3" t="s">
        <v>1618</v>
      </c>
      <c r="D49" s="3" t="s">
        <v>1619</v>
      </c>
      <c r="E49" s="3" t="s">
        <v>1351</v>
      </c>
      <c r="F49" s="3" t="s">
        <v>1620</v>
      </c>
      <c r="G49" s="3" t="s">
        <v>1621</v>
      </c>
      <c r="H49" s="3" t="s">
        <v>209</v>
      </c>
      <c r="I49" s="3" t="s">
        <v>962</v>
      </c>
      <c r="J49" s="3" t="s">
        <v>30</v>
      </c>
      <c r="K49" s="3" t="s">
        <v>30</v>
      </c>
      <c r="L49" s="2" t="s">
        <v>361</v>
      </c>
      <c r="M49" s="2" t="s">
        <v>31</v>
      </c>
      <c r="N49" s="3" t="s">
        <v>509</v>
      </c>
      <c r="O49" s="3" t="s">
        <v>160</v>
      </c>
      <c r="P49" s="3" t="s">
        <v>34</v>
      </c>
      <c r="Q49" s="124">
        <v>6600</v>
      </c>
      <c r="R49" s="141">
        <v>1</v>
      </c>
      <c r="S49" s="143">
        <v>1320</v>
      </c>
      <c r="T49" s="2"/>
      <c r="U49" s="124">
        <v>87.12</v>
      </c>
      <c r="V49" s="140">
        <v>1.2E-5</v>
      </c>
      <c r="W49" s="140">
        <v>8.4252734041364401E-3</v>
      </c>
      <c r="X49" s="140">
        <v>9.1751783180493804E-4</v>
      </c>
    </row>
    <row r="50" spans="1:24">
      <c r="A50" s="3">
        <v>161</v>
      </c>
      <c r="B50" s="3">
        <v>9942</v>
      </c>
      <c r="C50" s="3" t="s">
        <v>1622</v>
      </c>
      <c r="D50" s="3" t="s">
        <v>1623</v>
      </c>
      <c r="E50" s="3" t="s">
        <v>1351</v>
      </c>
      <c r="F50" s="3" t="s">
        <v>1624</v>
      </c>
      <c r="G50" s="3" t="s">
        <v>1625</v>
      </c>
      <c r="H50" s="3" t="s">
        <v>209</v>
      </c>
      <c r="I50" s="3" t="s">
        <v>962</v>
      </c>
      <c r="J50" s="3" t="s">
        <v>30</v>
      </c>
      <c r="K50" s="3" t="s">
        <v>30</v>
      </c>
      <c r="L50" s="2" t="s">
        <v>361</v>
      </c>
      <c r="M50" s="2" t="s">
        <v>31</v>
      </c>
      <c r="N50" s="3" t="s">
        <v>477</v>
      </c>
      <c r="O50" s="3" t="s">
        <v>160</v>
      </c>
      <c r="P50" s="3" t="s">
        <v>34</v>
      </c>
      <c r="Q50" s="124">
        <v>166</v>
      </c>
      <c r="R50" s="141">
        <v>1</v>
      </c>
      <c r="S50" s="143">
        <v>149800</v>
      </c>
      <c r="T50" s="123">
        <v>0.33900000000000002</v>
      </c>
      <c r="U50" s="124">
        <v>249.00700000000001</v>
      </c>
      <c r="V50" s="140">
        <v>3.9999999999999998E-6</v>
      </c>
      <c r="W50" s="140">
        <v>2.4081189555579401E-2</v>
      </c>
      <c r="X50" s="140">
        <v>2.62245742879647E-3</v>
      </c>
    </row>
    <row r="51" spans="1:24">
      <c r="A51" s="3">
        <v>161</v>
      </c>
      <c r="B51" s="3">
        <v>9942</v>
      </c>
      <c r="C51" s="3" t="s">
        <v>1626</v>
      </c>
      <c r="D51" s="3" t="s">
        <v>1627</v>
      </c>
      <c r="E51" s="3" t="s">
        <v>1351</v>
      </c>
      <c r="F51" s="3" t="s">
        <v>1628</v>
      </c>
      <c r="G51" s="3" t="s">
        <v>1629</v>
      </c>
      <c r="H51" s="3" t="s">
        <v>209</v>
      </c>
      <c r="I51" s="3" t="s">
        <v>962</v>
      </c>
      <c r="J51" s="3" t="s">
        <v>30</v>
      </c>
      <c r="K51" s="3" t="s">
        <v>30</v>
      </c>
      <c r="L51" s="2" t="s">
        <v>361</v>
      </c>
      <c r="M51" s="2" t="s">
        <v>31</v>
      </c>
      <c r="N51" s="3" t="s">
        <v>495</v>
      </c>
      <c r="O51" s="3" t="s">
        <v>160</v>
      </c>
      <c r="P51" s="3" t="s">
        <v>34</v>
      </c>
      <c r="Q51" s="124">
        <v>6100</v>
      </c>
      <c r="R51" s="141">
        <v>1</v>
      </c>
      <c r="S51" s="143">
        <v>3489</v>
      </c>
      <c r="T51" s="2"/>
      <c r="U51" s="124">
        <v>212.82900000000001</v>
      </c>
      <c r="V51" s="140">
        <v>2.8E-5</v>
      </c>
      <c r="W51" s="140">
        <v>2.05824439087346E-2</v>
      </c>
      <c r="X51" s="140">
        <v>2.24144171975681E-3</v>
      </c>
    </row>
    <row r="52" spans="1:24">
      <c r="A52" s="3">
        <v>161</v>
      </c>
      <c r="B52" s="3">
        <v>9942</v>
      </c>
      <c r="C52" s="3" t="s">
        <v>1630</v>
      </c>
      <c r="D52" s="3" t="s">
        <v>1631</v>
      </c>
      <c r="E52" s="3" t="s">
        <v>1351</v>
      </c>
      <c r="F52" s="3" t="s">
        <v>1632</v>
      </c>
      <c r="G52" s="3" t="s">
        <v>1633</v>
      </c>
      <c r="H52" s="3" t="s">
        <v>209</v>
      </c>
      <c r="I52" s="3" t="s">
        <v>962</v>
      </c>
      <c r="J52" s="3" t="s">
        <v>30</v>
      </c>
      <c r="K52" s="3" t="s">
        <v>30</v>
      </c>
      <c r="L52" s="2" t="s">
        <v>361</v>
      </c>
      <c r="M52" s="2" t="s">
        <v>31</v>
      </c>
      <c r="N52" s="3" t="s">
        <v>495</v>
      </c>
      <c r="O52" s="3" t="s">
        <v>160</v>
      </c>
      <c r="P52" s="3" t="s">
        <v>34</v>
      </c>
      <c r="Q52" s="124">
        <v>5550</v>
      </c>
      <c r="R52" s="141">
        <v>1</v>
      </c>
      <c r="S52" s="143">
        <v>2281</v>
      </c>
      <c r="T52" s="2"/>
      <c r="U52" s="124">
        <v>126.596</v>
      </c>
      <c r="V52" s="140">
        <v>1.2E-5</v>
      </c>
      <c r="W52" s="140">
        <v>1.22429028837621E-2</v>
      </c>
      <c r="X52" s="140">
        <v>1.33326020059989E-3</v>
      </c>
    </row>
    <row r="53" spans="1:24">
      <c r="A53" s="3">
        <v>161</v>
      </c>
      <c r="B53" s="3">
        <v>9942</v>
      </c>
      <c r="C53" s="3" t="s">
        <v>1634</v>
      </c>
      <c r="D53" s="3" t="s">
        <v>1635</v>
      </c>
      <c r="E53" s="3" t="s">
        <v>1351</v>
      </c>
      <c r="F53" s="3" t="s">
        <v>1636</v>
      </c>
      <c r="G53" s="3" t="s">
        <v>1637</v>
      </c>
      <c r="H53" s="3" t="s">
        <v>209</v>
      </c>
      <c r="I53" s="3" t="s">
        <v>962</v>
      </c>
      <c r="J53" s="3" t="s">
        <v>30</v>
      </c>
      <c r="K53" s="3" t="s">
        <v>86</v>
      </c>
      <c r="L53" s="2" t="s">
        <v>361</v>
      </c>
      <c r="M53" s="2" t="s">
        <v>31</v>
      </c>
      <c r="N53" s="3" t="s">
        <v>472</v>
      </c>
      <c r="O53" s="3" t="s">
        <v>160</v>
      </c>
      <c r="P53" s="3" t="s">
        <v>34</v>
      </c>
      <c r="Q53" s="124">
        <v>2995.7</v>
      </c>
      <c r="R53" s="141">
        <v>1</v>
      </c>
      <c r="S53" s="143">
        <v>7640</v>
      </c>
      <c r="T53" s="2"/>
      <c r="U53" s="124">
        <v>228.87100000000001</v>
      </c>
      <c r="V53" s="140">
        <v>2.5000000000000001E-5</v>
      </c>
      <c r="W53" s="140">
        <v>2.2133893404606801E-2</v>
      </c>
      <c r="X53" s="140">
        <v>2.41039559333778E-3</v>
      </c>
    </row>
    <row r="54" spans="1:24">
      <c r="A54" s="3">
        <v>161</v>
      </c>
      <c r="B54" s="3">
        <v>9942</v>
      </c>
      <c r="C54" s="3" t="s">
        <v>1638</v>
      </c>
      <c r="D54" s="3" t="s">
        <v>1639</v>
      </c>
      <c r="E54" s="3" t="s">
        <v>1351</v>
      </c>
      <c r="F54" s="3" t="s">
        <v>1640</v>
      </c>
      <c r="G54" s="3" t="s">
        <v>1641</v>
      </c>
      <c r="H54" s="3" t="s">
        <v>209</v>
      </c>
      <c r="I54" s="3" t="s">
        <v>962</v>
      </c>
      <c r="J54" s="3" t="s">
        <v>30</v>
      </c>
      <c r="K54" s="3" t="s">
        <v>30</v>
      </c>
      <c r="L54" s="2" t="s">
        <v>361</v>
      </c>
      <c r="M54" s="2" t="s">
        <v>31</v>
      </c>
      <c r="N54" s="3" t="s">
        <v>472</v>
      </c>
      <c r="O54" s="3" t="s">
        <v>160</v>
      </c>
      <c r="P54" s="3" t="s">
        <v>34</v>
      </c>
      <c r="Q54" s="124">
        <v>17957</v>
      </c>
      <c r="R54" s="141">
        <v>1</v>
      </c>
      <c r="S54" s="143">
        <v>1244</v>
      </c>
      <c r="T54" s="2"/>
      <c r="U54" s="124">
        <v>223.38499999999999</v>
      </c>
      <c r="V54" s="140">
        <v>3.3000000000000003E-5</v>
      </c>
      <c r="W54" s="140">
        <v>2.16033100712224E-2</v>
      </c>
      <c r="X54" s="140">
        <v>2.3526147183100601E-3</v>
      </c>
    </row>
    <row r="55" spans="1:24">
      <c r="A55" s="3">
        <v>161</v>
      </c>
      <c r="B55" s="3">
        <v>9942</v>
      </c>
      <c r="C55" s="3" t="s">
        <v>1642</v>
      </c>
      <c r="D55" s="3" t="s">
        <v>1643</v>
      </c>
      <c r="E55" s="3" t="s">
        <v>1351</v>
      </c>
      <c r="F55" s="3" t="s">
        <v>1644</v>
      </c>
      <c r="G55" s="3" t="s">
        <v>1645</v>
      </c>
      <c r="H55" s="3" t="s">
        <v>209</v>
      </c>
      <c r="I55" s="3" t="s">
        <v>962</v>
      </c>
      <c r="J55" s="3" t="s">
        <v>30</v>
      </c>
      <c r="K55" s="3" t="s">
        <v>30</v>
      </c>
      <c r="L55" s="2" t="s">
        <v>361</v>
      </c>
      <c r="M55" s="2" t="s">
        <v>31</v>
      </c>
      <c r="N55" s="3" t="s">
        <v>516</v>
      </c>
      <c r="O55" s="3" t="s">
        <v>160</v>
      </c>
      <c r="P55" s="3" t="s">
        <v>34</v>
      </c>
      <c r="Q55" s="124">
        <v>55646</v>
      </c>
      <c r="R55" s="141">
        <v>1</v>
      </c>
      <c r="S55" s="143">
        <v>575</v>
      </c>
      <c r="T55" s="2"/>
      <c r="U55" s="124">
        <v>319.964</v>
      </c>
      <c r="V55" s="140">
        <v>2.0000000000000002E-5</v>
      </c>
      <c r="W55" s="140">
        <v>3.0943392930645301E-2</v>
      </c>
      <c r="X55" s="140">
        <v>3.36975590328915E-3</v>
      </c>
    </row>
    <row r="56" spans="1:24">
      <c r="A56" s="3">
        <v>161</v>
      </c>
      <c r="B56" s="3">
        <v>9942</v>
      </c>
      <c r="C56" s="3" t="s">
        <v>1361</v>
      </c>
      <c r="D56" s="3" t="s">
        <v>1362</v>
      </c>
      <c r="E56" s="3" t="s">
        <v>1351</v>
      </c>
      <c r="F56" s="3" t="s">
        <v>1646</v>
      </c>
      <c r="G56" s="3" t="s">
        <v>1365</v>
      </c>
      <c r="H56" s="3" t="s">
        <v>209</v>
      </c>
      <c r="I56" s="3" t="s">
        <v>962</v>
      </c>
      <c r="J56" s="3" t="s">
        <v>30</v>
      </c>
      <c r="K56" s="3" t="s">
        <v>30</v>
      </c>
      <c r="L56" s="2" t="s">
        <v>361</v>
      </c>
      <c r="M56" s="2" t="s">
        <v>31</v>
      </c>
      <c r="N56" s="3" t="s">
        <v>478</v>
      </c>
      <c r="O56" s="3" t="s">
        <v>160</v>
      </c>
      <c r="P56" s="3" t="s">
        <v>34</v>
      </c>
      <c r="Q56" s="124">
        <v>120</v>
      </c>
      <c r="R56" s="141">
        <v>1</v>
      </c>
      <c r="S56" s="143">
        <v>23700</v>
      </c>
      <c r="T56" s="2"/>
      <c r="U56" s="124">
        <v>28.44</v>
      </c>
      <c r="V56" s="140">
        <v>1.2999999999999999E-5</v>
      </c>
      <c r="W56" s="140">
        <v>2.75039916911892E-3</v>
      </c>
      <c r="X56" s="140">
        <v>2.9952028393632303E-4</v>
      </c>
    </row>
    <row r="57" spans="1:24">
      <c r="A57" s="3">
        <v>161</v>
      </c>
      <c r="B57" s="3">
        <v>9942</v>
      </c>
      <c r="C57" s="3" t="s">
        <v>1647</v>
      </c>
      <c r="D57" s="3" t="s">
        <v>1648</v>
      </c>
      <c r="E57" s="3" t="s">
        <v>1351</v>
      </c>
      <c r="F57" s="3" t="s">
        <v>1649</v>
      </c>
      <c r="G57" s="3" t="s">
        <v>1650</v>
      </c>
      <c r="H57" s="3" t="s">
        <v>209</v>
      </c>
      <c r="I57" s="3" t="s">
        <v>962</v>
      </c>
      <c r="J57" s="3" t="s">
        <v>30</v>
      </c>
      <c r="K57" s="3" t="s">
        <v>30</v>
      </c>
      <c r="L57" s="2" t="s">
        <v>361</v>
      </c>
      <c r="M57" s="2" t="s">
        <v>31</v>
      </c>
      <c r="N57" s="3" t="s">
        <v>479</v>
      </c>
      <c r="O57" s="3" t="s">
        <v>160</v>
      </c>
      <c r="P57" s="3" t="s">
        <v>34</v>
      </c>
      <c r="Q57" s="124">
        <v>14720</v>
      </c>
      <c r="R57" s="141">
        <v>1</v>
      </c>
      <c r="S57" s="143">
        <v>3356</v>
      </c>
      <c r="T57" s="2"/>
      <c r="U57" s="124">
        <v>494.00299999999999</v>
      </c>
      <c r="V57" s="140">
        <v>1.2E-5</v>
      </c>
      <c r="W57" s="140">
        <v>4.7774472251128297E-2</v>
      </c>
      <c r="X57" s="140">
        <v>5.2026715446361503E-3</v>
      </c>
    </row>
    <row r="58" spans="1:24">
      <c r="A58" s="3">
        <v>161</v>
      </c>
      <c r="B58" s="3">
        <v>9942</v>
      </c>
      <c r="C58" s="3" t="s">
        <v>1651</v>
      </c>
      <c r="D58" s="3" t="s">
        <v>1652</v>
      </c>
      <c r="E58" s="3" t="s">
        <v>1351</v>
      </c>
      <c r="F58" s="3" t="s">
        <v>1653</v>
      </c>
      <c r="G58" s="3" t="s">
        <v>1654</v>
      </c>
      <c r="H58" s="3" t="s">
        <v>209</v>
      </c>
      <c r="I58" s="3" t="s">
        <v>962</v>
      </c>
      <c r="J58" s="3" t="s">
        <v>30</v>
      </c>
      <c r="K58" s="3" t="s">
        <v>30</v>
      </c>
      <c r="L58" s="2" t="s">
        <v>361</v>
      </c>
      <c r="M58" s="2" t="s">
        <v>31</v>
      </c>
      <c r="N58" s="3" t="s">
        <v>478</v>
      </c>
      <c r="O58" s="3" t="s">
        <v>160</v>
      </c>
      <c r="P58" s="3" t="s">
        <v>34</v>
      </c>
      <c r="Q58" s="124">
        <v>435</v>
      </c>
      <c r="R58" s="141">
        <v>1</v>
      </c>
      <c r="S58" s="143">
        <v>36740</v>
      </c>
      <c r="T58" s="2"/>
      <c r="U58" s="124">
        <v>159.81899999999999</v>
      </c>
      <c r="V58" s="140">
        <v>2.0999999999999999E-5</v>
      </c>
      <c r="W58" s="140">
        <v>1.5455908748573E-2</v>
      </c>
      <c r="X58" s="140">
        <v>1.6831586588755001E-3</v>
      </c>
    </row>
    <row r="59" spans="1:24">
      <c r="A59" s="3">
        <v>161</v>
      </c>
      <c r="B59" s="3">
        <v>9942</v>
      </c>
      <c r="C59" s="3" t="s">
        <v>1655</v>
      </c>
      <c r="D59" s="3" t="s">
        <v>1656</v>
      </c>
      <c r="E59" s="3" t="s">
        <v>1351</v>
      </c>
      <c r="F59" s="3" t="s">
        <v>1657</v>
      </c>
      <c r="G59" s="3" t="s">
        <v>1658</v>
      </c>
      <c r="H59" s="3" t="s">
        <v>209</v>
      </c>
      <c r="I59" s="3" t="s">
        <v>962</v>
      </c>
      <c r="J59" s="3" t="s">
        <v>30</v>
      </c>
      <c r="K59" s="3" t="s">
        <v>30</v>
      </c>
      <c r="L59" s="2" t="s">
        <v>361</v>
      </c>
      <c r="M59" s="2" t="s">
        <v>31</v>
      </c>
      <c r="N59" s="3" t="s">
        <v>476</v>
      </c>
      <c r="O59" s="3" t="s">
        <v>160</v>
      </c>
      <c r="P59" s="3" t="s">
        <v>34</v>
      </c>
      <c r="Q59" s="124">
        <v>4149</v>
      </c>
      <c r="R59" s="141">
        <v>1</v>
      </c>
      <c r="S59" s="143">
        <v>9745</v>
      </c>
      <c r="T59" s="2"/>
      <c r="U59" s="124">
        <v>404.32</v>
      </c>
      <c r="V59" s="140">
        <v>1.5999999999999999E-5</v>
      </c>
      <c r="W59" s="140">
        <v>3.9101319605419203E-2</v>
      </c>
      <c r="X59" s="140">
        <v>4.2581594998997198E-3</v>
      </c>
    </row>
    <row r="60" spans="1:24">
      <c r="A60" s="3">
        <v>161</v>
      </c>
      <c r="B60" s="3">
        <v>9942</v>
      </c>
      <c r="C60" s="3" t="s">
        <v>1659</v>
      </c>
      <c r="D60" s="3" t="s">
        <v>1660</v>
      </c>
      <c r="E60" s="3" t="s">
        <v>1351</v>
      </c>
      <c r="F60" s="3" t="s">
        <v>1661</v>
      </c>
      <c r="G60" s="3" t="s">
        <v>1662</v>
      </c>
      <c r="H60" s="3" t="s">
        <v>209</v>
      </c>
      <c r="I60" s="3" t="s">
        <v>962</v>
      </c>
      <c r="J60" s="3" t="s">
        <v>30</v>
      </c>
      <c r="K60" s="3" t="s">
        <v>86</v>
      </c>
      <c r="L60" s="2" t="s">
        <v>361</v>
      </c>
      <c r="M60" s="2" t="s">
        <v>31</v>
      </c>
      <c r="N60" s="3" t="s">
        <v>498</v>
      </c>
      <c r="O60" s="3" t="s">
        <v>160</v>
      </c>
      <c r="P60" s="3" t="s">
        <v>34</v>
      </c>
      <c r="Q60" s="124">
        <v>4990</v>
      </c>
      <c r="R60" s="141">
        <v>1</v>
      </c>
      <c r="S60" s="143">
        <v>5699</v>
      </c>
      <c r="T60" s="2"/>
      <c r="U60" s="124">
        <v>284.38</v>
      </c>
      <c r="V60" s="140">
        <v>3.9999999999999998E-6</v>
      </c>
      <c r="W60" s="140">
        <v>2.7502067185441501E-2</v>
      </c>
      <c r="X60" s="140">
        <v>2.99499325941772E-3</v>
      </c>
    </row>
    <row r="61" spans="1:24">
      <c r="A61" s="3">
        <v>161</v>
      </c>
      <c r="B61" s="3">
        <v>9942</v>
      </c>
      <c r="C61" s="3" t="s">
        <v>1663</v>
      </c>
      <c r="D61" s="3" t="s">
        <v>1664</v>
      </c>
      <c r="E61" s="3" t="s">
        <v>1351</v>
      </c>
      <c r="F61" s="3" t="s">
        <v>1665</v>
      </c>
      <c r="G61" s="3" t="s">
        <v>1666</v>
      </c>
      <c r="H61" s="3" t="s">
        <v>209</v>
      </c>
      <c r="I61" s="3" t="s">
        <v>962</v>
      </c>
      <c r="J61" s="3" t="s">
        <v>30</v>
      </c>
      <c r="K61" s="3" t="s">
        <v>30</v>
      </c>
      <c r="L61" s="2" t="s">
        <v>361</v>
      </c>
      <c r="M61" s="2" t="s">
        <v>31</v>
      </c>
      <c r="N61" s="3" t="s">
        <v>478</v>
      </c>
      <c r="O61" s="3" t="s">
        <v>160</v>
      </c>
      <c r="P61" s="3" t="s">
        <v>34</v>
      </c>
      <c r="Q61" s="124">
        <v>13588</v>
      </c>
      <c r="R61" s="141">
        <v>1</v>
      </c>
      <c r="S61" s="143">
        <v>1515</v>
      </c>
      <c r="T61" s="2"/>
      <c r="U61" s="124">
        <v>205.858</v>
      </c>
      <c r="V61" s="140">
        <v>4.1E-5</v>
      </c>
      <c r="W61" s="140">
        <v>1.9908305985805799E-2</v>
      </c>
      <c r="X61" s="140">
        <v>2.1680276552257498E-3</v>
      </c>
    </row>
    <row r="62" spans="1:24">
      <c r="A62" s="3">
        <v>161</v>
      </c>
      <c r="B62" s="3">
        <v>9942</v>
      </c>
      <c r="C62" s="3" t="s">
        <v>1667</v>
      </c>
      <c r="D62" s="3" t="s">
        <v>1668</v>
      </c>
      <c r="E62" s="3" t="s">
        <v>1351</v>
      </c>
      <c r="F62" s="3" t="s">
        <v>1669</v>
      </c>
      <c r="G62" s="3" t="s">
        <v>1670</v>
      </c>
      <c r="H62" s="3" t="s">
        <v>209</v>
      </c>
      <c r="I62" s="3" t="s">
        <v>962</v>
      </c>
      <c r="J62" s="3" t="s">
        <v>30</v>
      </c>
      <c r="K62" s="3" t="s">
        <v>30</v>
      </c>
      <c r="L62" s="2" t="s">
        <v>361</v>
      </c>
      <c r="M62" s="2" t="s">
        <v>31</v>
      </c>
      <c r="N62" s="3" t="s">
        <v>476</v>
      </c>
      <c r="O62" s="3" t="s">
        <v>160</v>
      </c>
      <c r="P62" s="3" t="s">
        <v>34</v>
      </c>
      <c r="Q62" s="124">
        <v>2560</v>
      </c>
      <c r="R62" s="141">
        <v>1</v>
      </c>
      <c r="S62" s="143">
        <v>14880</v>
      </c>
      <c r="T62" s="2"/>
      <c r="U62" s="124">
        <v>380.928</v>
      </c>
      <c r="V62" s="140">
        <v>3.1999999999999999E-5</v>
      </c>
      <c r="W62" s="140">
        <v>3.6839101782494103E-2</v>
      </c>
      <c r="X62" s="140">
        <v>4.0118024866137702E-3</v>
      </c>
    </row>
    <row r="63" spans="1:24">
      <c r="A63" s="3">
        <v>161</v>
      </c>
      <c r="B63" s="3">
        <v>9942</v>
      </c>
      <c r="C63" s="3" t="s">
        <v>1197</v>
      </c>
      <c r="D63" s="3" t="s">
        <v>1607</v>
      </c>
      <c r="E63" s="3" t="s">
        <v>1351</v>
      </c>
      <c r="F63" s="3" t="s">
        <v>1608</v>
      </c>
      <c r="G63" s="3" t="s">
        <v>1609</v>
      </c>
      <c r="H63" s="3" t="s">
        <v>209</v>
      </c>
      <c r="I63" s="3" t="s">
        <v>962</v>
      </c>
      <c r="J63" s="3" t="s">
        <v>30</v>
      </c>
      <c r="K63" s="3" t="s">
        <v>30</v>
      </c>
      <c r="L63" s="2" t="s">
        <v>361</v>
      </c>
      <c r="M63" s="2" t="s">
        <v>31</v>
      </c>
      <c r="N63" s="3" t="s">
        <v>479</v>
      </c>
      <c r="O63" s="3" t="s">
        <v>160</v>
      </c>
      <c r="P63" s="3" t="s">
        <v>34</v>
      </c>
      <c r="Q63" s="124">
        <v>14725</v>
      </c>
      <c r="R63" s="141">
        <v>1</v>
      </c>
      <c r="S63" s="143">
        <v>6262</v>
      </c>
      <c r="T63" s="2"/>
      <c r="U63" s="124">
        <v>922.08</v>
      </c>
      <c r="V63" s="140">
        <v>9.0000000000000002E-6</v>
      </c>
      <c r="W63" s="140">
        <v>8.9173231035920897E-2</v>
      </c>
      <c r="X63" s="140">
        <v>9.7110236867743501E-3</v>
      </c>
    </row>
    <row r="64" spans="1:24">
      <c r="A64" s="3">
        <v>161</v>
      </c>
      <c r="B64" s="3">
        <v>9942</v>
      </c>
      <c r="C64" s="3" t="s">
        <v>1671</v>
      </c>
      <c r="D64" s="3" t="s">
        <v>1672</v>
      </c>
      <c r="E64" s="3" t="s">
        <v>1351</v>
      </c>
      <c r="F64" s="3" t="s">
        <v>1673</v>
      </c>
      <c r="G64" s="3" t="s">
        <v>1674</v>
      </c>
      <c r="H64" s="3" t="s">
        <v>209</v>
      </c>
      <c r="I64" s="3" t="s">
        <v>962</v>
      </c>
      <c r="J64" s="3" t="s">
        <v>30</v>
      </c>
      <c r="K64" s="3" t="s">
        <v>30</v>
      </c>
      <c r="L64" s="2" t="s">
        <v>361</v>
      </c>
      <c r="M64" s="2" t="s">
        <v>31</v>
      </c>
      <c r="N64" s="3" t="s">
        <v>479</v>
      </c>
      <c r="O64" s="3" t="s">
        <v>160</v>
      </c>
      <c r="P64" s="3" t="s">
        <v>34</v>
      </c>
      <c r="Q64" s="124">
        <v>1379</v>
      </c>
      <c r="R64" s="141">
        <v>1</v>
      </c>
      <c r="S64" s="143">
        <v>21950</v>
      </c>
      <c r="T64" s="2"/>
      <c r="U64" s="124">
        <v>302.69</v>
      </c>
      <c r="V64" s="140">
        <v>5.0000000000000004E-6</v>
      </c>
      <c r="W64" s="140">
        <v>2.9272844574549602E-2</v>
      </c>
      <c r="X64" s="140">
        <v>3.1878320852611599E-3</v>
      </c>
    </row>
    <row r="65" spans="1:24">
      <c r="A65" s="3">
        <v>161</v>
      </c>
      <c r="B65" s="3">
        <v>9942</v>
      </c>
      <c r="C65" s="3" t="s">
        <v>1675</v>
      </c>
      <c r="D65" s="3" t="s">
        <v>1676</v>
      </c>
      <c r="E65" s="3" t="s">
        <v>1351</v>
      </c>
      <c r="F65" s="3" t="s">
        <v>1677</v>
      </c>
      <c r="G65" s="3" t="s">
        <v>1678</v>
      </c>
      <c r="H65" s="3" t="s">
        <v>209</v>
      </c>
      <c r="I65" s="3" t="s">
        <v>962</v>
      </c>
      <c r="J65" s="3" t="s">
        <v>30</v>
      </c>
      <c r="K65" s="3" t="s">
        <v>30</v>
      </c>
      <c r="L65" s="2" t="s">
        <v>361</v>
      </c>
      <c r="M65" s="2" t="s">
        <v>31</v>
      </c>
      <c r="N65" s="3" t="s">
        <v>495</v>
      </c>
      <c r="O65" s="3" t="s">
        <v>160</v>
      </c>
      <c r="P65" s="3" t="s">
        <v>34</v>
      </c>
      <c r="Q65" s="124">
        <v>609</v>
      </c>
      <c r="R65" s="141">
        <v>1</v>
      </c>
      <c r="S65" s="143">
        <v>38400</v>
      </c>
      <c r="T65" s="2"/>
      <c r="U65" s="124">
        <v>233.85599999999999</v>
      </c>
      <c r="V65" s="140">
        <v>1.2999999999999999E-5</v>
      </c>
      <c r="W65" s="140">
        <v>2.2615940509615799E-2</v>
      </c>
      <c r="X65" s="140">
        <v>2.4628908410764001E-3</v>
      </c>
    </row>
    <row r="66" spans="1:24">
      <c r="A66" s="3">
        <v>161</v>
      </c>
      <c r="B66" s="3">
        <v>9942</v>
      </c>
      <c r="C66" s="3" t="s">
        <v>1679</v>
      </c>
      <c r="D66" s="3" t="s">
        <v>1680</v>
      </c>
      <c r="E66" s="3" t="s">
        <v>1351</v>
      </c>
      <c r="F66" s="3" t="s">
        <v>1681</v>
      </c>
      <c r="G66" s="3" t="s">
        <v>1682</v>
      </c>
      <c r="H66" s="3" t="s">
        <v>209</v>
      </c>
      <c r="I66" s="3" t="s">
        <v>962</v>
      </c>
      <c r="J66" s="3" t="s">
        <v>30</v>
      </c>
      <c r="K66" s="3" t="s">
        <v>30</v>
      </c>
      <c r="L66" s="2" t="s">
        <v>361</v>
      </c>
      <c r="M66" s="2" t="s">
        <v>31</v>
      </c>
      <c r="N66" s="3" t="s">
        <v>476</v>
      </c>
      <c r="O66" s="3" t="s">
        <v>160</v>
      </c>
      <c r="P66" s="3" t="s">
        <v>34</v>
      </c>
      <c r="Q66" s="124">
        <v>330</v>
      </c>
      <c r="R66" s="141">
        <v>1</v>
      </c>
      <c r="S66" s="143">
        <v>26530</v>
      </c>
      <c r="T66" s="2"/>
      <c r="U66" s="124">
        <v>87.549000000000007</v>
      </c>
      <c r="V66" s="140">
        <v>5.0000000000000004E-6</v>
      </c>
      <c r="W66" s="140">
        <v>8.4667614928689398E-3</v>
      </c>
      <c r="X66" s="140">
        <v>9.2203591203731002E-4</v>
      </c>
    </row>
    <row r="67" spans="1:24">
      <c r="A67" s="3">
        <v>161</v>
      </c>
      <c r="B67" s="3">
        <v>9942</v>
      </c>
      <c r="C67" s="3" t="s">
        <v>1683</v>
      </c>
      <c r="D67" s="3" t="s">
        <v>1684</v>
      </c>
      <c r="E67" s="3" t="s">
        <v>348</v>
      </c>
      <c r="F67" s="3" t="s">
        <v>1685</v>
      </c>
      <c r="G67" s="3" t="s">
        <v>1686</v>
      </c>
      <c r="H67" s="3" t="s">
        <v>209</v>
      </c>
      <c r="I67" s="3" t="s">
        <v>962</v>
      </c>
      <c r="J67" s="3" t="s">
        <v>30</v>
      </c>
      <c r="K67" s="3" t="s">
        <v>86</v>
      </c>
      <c r="L67" s="2" t="s">
        <v>361</v>
      </c>
      <c r="M67" s="2" t="s">
        <v>31</v>
      </c>
      <c r="N67" s="3" t="s">
        <v>485</v>
      </c>
      <c r="O67" s="3" t="s">
        <v>160</v>
      </c>
      <c r="P67" s="3" t="s">
        <v>34</v>
      </c>
      <c r="Q67" s="124">
        <v>2834</v>
      </c>
      <c r="R67" s="141">
        <v>1</v>
      </c>
      <c r="S67" s="143">
        <v>9900</v>
      </c>
      <c r="T67" s="2"/>
      <c r="U67" s="124">
        <v>280.56599999999997</v>
      </c>
      <c r="V67" s="140">
        <v>2.6999999999999999E-5</v>
      </c>
      <c r="W67" s="140">
        <v>2.7133210031048498E-2</v>
      </c>
      <c r="X67" s="140">
        <v>2.9548244719718102E-3</v>
      </c>
    </row>
    <row r="68" spans="1:24">
      <c r="A68" s="3">
        <v>161</v>
      </c>
      <c r="B68" s="3">
        <v>9942</v>
      </c>
      <c r="C68" s="3" t="s">
        <v>1687</v>
      </c>
      <c r="D68" s="3" t="s">
        <v>1688</v>
      </c>
      <c r="E68" s="3" t="s">
        <v>1351</v>
      </c>
      <c r="F68" s="3" t="s">
        <v>1689</v>
      </c>
      <c r="G68" s="3" t="s">
        <v>1690</v>
      </c>
      <c r="H68" s="3" t="s">
        <v>209</v>
      </c>
      <c r="I68" s="3" t="s">
        <v>962</v>
      </c>
      <c r="J68" s="3" t="s">
        <v>30</v>
      </c>
      <c r="K68" s="3" t="s">
        <v>334</v>
      </c>
      <c r="L68" s="2" t="s">
        <v>361</v>
      </c>
      <c r="M68" s="2" t="s">
        <v>31</v>
      </c>
      <c r="N68" s="3" t="s">
        <v>489</v>
      </c>
      <c r="O68" s="3" t="s">
        <v>160</v>
      </c>
      <c r="P68" s="3" t="s">
        <v>34</v>
      </c>
      <c r="Q68" s="124">
        <v>248</v>
      </c>
      <c r="R68" s="141">
        <v>1</v>
      </c>
      <c r="S68" s="143">
        <v>95280</v>
      </c>
      <c r="T68" s="2"/>
      <c r="U68" s="124">
        <v>236.29400000000001</v>
      </c>
      <c r="V68" s="140">
        <v>7.9999999999999996E-6</v>
      </c>
      <c r="W68" s="140">
        <v>2.28517553244534E-2</v>
      </c>
      <c r="X68" s="140">
        <v>2.4885712299776001E-3</v>
      </c>
    </row>
    <row r="69" spans="1:24">
      <c r="A69" s="3">
        <v>161</v>
      </c>
      <c r="B69" s="3">
        <v>9942</v>
      </c>
      <c r="C69" s="3" t="s">
        <v>1691</v>
      </c>
      <c r="D69" s="3" t="s">
        <v>1692</v>
      </c>
      <c r="E69" s="3" t="s">
        <v>348</v>
      </c>
      <c r="F69" s="3" t="s">
        <v>1693</v>
      </c>
      <c r="G69" s="3" t="s">
        <v>1694</v>
      </c>
      <c r="H69" s="3" t="s">
        <v>209</v>
      </c>
      <c r="I69" s="3" t="s">
        <v>962</v>
      </c>
      <c r="J69" s="3" t="s">
        <v>30</v>
      </c>
      <c r="K69" s="3" t="s">
        <v>30</v>
      </c>
      <c r="L69" s="2" t="s">
        <v>361</v>
      </c>
      <c r="M69" s="2" t="s">
        <v>31</v>
      </c>
      <c r="N69" s="3" t="s">
        <v>485</v>
      </c>
      <c r="O69" s="3" t="s">
        <v>160</v>
      </c>
      <c r="P69" s="3" t="s">
        <v>34</v>
      </c>
      <c r="Q69" s="124">
        <v>7879</v>
      </c>
      <c r="R69" s="141">
        <v>1</v>
      </c>
      <c r="S69" s="143">
        <v>1656</v>
      </c>
      <c r="T69" s="2"/>
      <c r="U69" s="124">
        <v>130.476</v>
      </c>
      <c r="V69" s="140">
        <v>6.9999999999999999E-6</v>
      </c>
      <c r="W69" s="140">
        <v>1.2618204714689199E-2</v>
      </c>
      <c r="X69" s="140">
        <v>1.3741308175718599E-3</v>
      </c>
    </row>
    <row r="70" spans="1:24">
      <c r="A70" s="3">
        <v>161</v>
      </c>
      <c r="B70" s="3">
        <v>9942</v>
      </c>
      <c r="C70" s="3" t="s">
        <v>1695</v>
      </c>
      <c r="D70" s="3" t="s">
        <v>1696</v>
      </c>
      <c r="E70" s="3" t="s">
        <v>1351</v>
      </c>
      <c r="F70" s="3" t="s">
        <v>1697</v>
      </c>
      <c r="G70" s="3" t="s">
        <v>1698</v>
      </c>
      <c r="H70" s="3" t="s">
        <v>209</v>
      </c>
      <c r="I70" s="3" t="s">
        <v>962</v>
      </c>
      <c r="J70" s="3" t="s">
        <v>30</v>
      </c>
      <c r="K70" s="3" t="s">
        <v>86</v>
      </c>
      <c r="L70" s="2" t="s">
        <v>361</v>
      </c>
      <c r="M70" s="2" t="s">
        <v>31</v>
      </c>
      <c r="N70" s="3" t="s">
        <v>512</v>
      </c>
      <c r="O70" s="3" t="s">
        <v>160</v>
      </c>
      <c r="P70" s="3" t="s">
        <v>34</v>
      </c>
      <c r="Q70" s="124">
        <v>223</v>
      </c>
      <c r="R70" s="141">
        <v>1</v>
      </c>
      <c r="S70" s="143">
        <v>57150</v>
      </c>
      <c r="T70" s="2"/>
      <c r="U70" s="124">
        <v>127.44499999999999</v>
      </c>
      <c r="V70" s="140">
        <v>3.0000000000000001E-6</v>
      </c>
      <c r="W70" s="140">
        <v>1.23250086817432E-2</v>
      </c>
      <c r="X70" s="140">
        <v>1.34220157616465E-3</v>
      </c>
    </row>
    <row r="71" spans="1:24">
      <c r="A71" s="3">
        <v>161</v>
      </c>
      <c r="B71" s="3">
        <v>9942</v>
      </c>
      <c r="C71" s="3" t="s">
        <v>1699</v>
      </c>
      <c r="D71" s="3" t="s">
        <v>1700</v>
      </c>
      <c r="E71" s="3" t="s">
        <v>1351</v>
      </c>
      <c r="F71" s="3" t="s">
        <v>1699</v>
      </c>
      <c r="G71" s="3" t="s">
        <v>1701</v>
      </c>
      <c r="H71" s="3" t="s">
        <v>209</v>
      </c>
      <c r="I71" s="3" t="s">
        <v>962</v>
      </c>
      <c r="J71" s="3" t="s">
        <v>30</v>
      </c>
      <c r="K71" s="3" t="s">
        <v>30</v>
      </c>
      <c r="L71" s="2" t="s">
        <v>361</v>
      </c>
      <c r="M71" s="2" t="s">
        <v>31</v>
      </c>
      <c r="N71" s="3" t="s">
        <v>470</v>
      </c>
      <c r="O71" s="3" t="s">
        <v>160</v>
      </c>
      <c r="P71" s="3" t="s">
        <v>34</v>
      </c>
      <c r="Q71" s="124">
        <v>4980</v>
      </c>
      <c r="R71" s="141">
        <v>1</v>
      </c>
      <c r="S71" s="143">
        <v>12570</v>
      </c>
      <c r="T71" s="2"/>
      <c r="U71" s="124">
        <v>625.98599999999999</v>
      </c>
      <c r="V71" s="140">
        <v>6.0999999999999999E-5</v>
      </c>
      <c r="W71" s="140">
        <v>6.0538374623068797E-2</v>
      </c>
      <c r="X71" s="140">
        <v>6.5926689331984104E-3</v>
      </c>
    </row>
    <row r="72" spans="1:24">
      <c r="A72" s="3">
        <v>161</v>
      </c>
      <c r="B72" s="3">
        <v>9942</v>
      </c>
      <c r="C72" s="3" t="s">
        <v>1702</v>
      </c>
      <c r="D72" s="3" t="s">
        <v>1703</v>
      </c>
      <c r="E72" s="3" t="s">
        <v>1351</v>
      </c>
      <c r="F72" s="3" t="s">
        <v>1704</v>
      </c>
      <c r="G72" s="3" t="s">
        <v>1705</v>
      </c>
      <c r="H72" s="3" t="s">
        <v>209</v>
      </c>
      <c r="I72" s="3" t="s">
        <v>962</v>
      </c>
      <c r="J72" s="3" t="s">
        <v>30</v>
      </c>
      <c r="K72" s="3" t="s">
        <v>30</v>
      </c>
      <c r="L72" s="2" t="s">
        <v>361</v>
      </c>
      <c r="M72" s="2" t="s">
        <v>31</v>
      </c>
      <c r="N72" s="3" t="s">
        <v>495</v>
      </c>
      <c r="O72" s="3" t="s">
        <v>160</v>
      </c>
      <c r="P72" s="3" t="s">
        <v>34</v>
      </c>
      <c r="Q72" s="124">
        <v>750</v>
      </c>
      <c r="R72" s="141">
        <v>1</v>
      </c>
      <c r="S72" s="143">
        <v>30970</v>
      </c>
      <c r="T72" s="2"/>
      <c r="U72" s="124">
        <v>232.27500000000001</v>
      </c>
      <c r="V72" s="140">
        <v>6.0000000000000002E-6</v>
      </c>
      <c r="W72" s="140">
        <v>2.2463043846944399E-2</v>
      </c>
      <c r="X72" s="140">
        <v>2.4462402936465998E-3</v>
      </c>
    </row>
    <row r="73" spans="1:24">
      <c r="A73" s="3">
        <v>161</v>
      </c>
      <c r="B73" s="3">
        <v>9942</v>
      </c>
      <c r="C73" s="3" t="s">
        <v>1610</v>
      </c>
      <c r="D73" s="3" t="s">
        <v>1611</v>
      </c>
      <c r="E73" s="3" t="s">
        <v>1351</v>
      </c>
      <c r="F73" s="3" t="s">
        <v>1612</v>
      </c>
      <c r="G73" s="3" t="s">
        <v>1613</v>
      </c>
      <c r="H73" s="3" t="s">
        <v>209</v>
      </c>
      <c r="I73" s="3" t="s">
        <v>962</v>
      </c>
      <c r="J73" s="3" t="s">
        <v>30</v>
      </c>
      <c r="K73" s="3" t="s">
        <v>30</v>
      </c>
      <c r="L73" s="2" t="s">
        <v>361</v>
      </c>
      <c r="M73" s="2" t="s">
        <v>31</v>
      </c>
      <c r="N73" s="3" t="s">
        <v>479</v>
      </c>
      <c r="O73" s="3" t="s">
        <v>160</v>
      </c>
      <c r="P73" s="3" t="s">
        <v>34</v>
      </c>
      <c r="Q73" s="124">
        <v>8854</v>
      </c>
      <c r="R73" s="141">
        <v>1</v>
      </c>
      <c r="S73" s="143">
        <v>6462</v>
      </c>
      <c r="T73" s="2"/>
      <c r="U73" s="124">
        <v>572.14499999999998</v>
      </c>
      <c r="V73" s="140">
        <v>6.9999999999999999E-6</v>
      </c>
      <c r="W73" s="140">
        <v>5.5331520844133203E-2</v>
      </c>
      <c r="X73" s="140">
        <v>6.0256391217469599E-3</v>
      </c>
    </row>
    <row r="74" spans="1:24">
      <c r="A74" s="3">
        <v>161</v>
      </c>
      <c r="B74" s="3">
        <v>9942</v>
      </c>
      <c r="C74" s="3" t="s">
        <v>1706</v>
      </c>
      <c r="D74" s="3" t="s">
        <v>1707</v>
      </c>
      <c r="E74" s="3" t="s">
        <v>1351</v>
      </c>
      <c r="F74" s="3" t="s">
        <v>1708</v>
      </c>
      <c r="G74" s="3" t="s">
        <v>1709</v>
      </c>
      <c r="H74" s="3" t="s">
        <v>209</v>
      </c>
      <c r="I74" s="3" t="s">
        <v>962</v>
      </c>
      <c r="J74" s="3" t="s">
        <v>30</v>
      </c>
      <c r="K74" s="3" t="s">
        <v>30</v>
      </c>
      <c r="L74" s="2" t="s">
        <v>361</v>
      </c>
      <c r="M74" s="2" t="s">
        <v>31</v>
      </c>
      <c r="N74" s="3" t="s">
        <v>507</v>
      </c>
      <c r="O74" s="3" t="s">
        <v>160</v>
      </c>
      <c r="P74" s="3" t="s">
        <v>34</v>
      </c>
      <c r="Q74" s="124">
        <v>361</v>
      </c>
      <c r="R74" s="141">
        <v>1</v>
      </c>
      <c r="S74" s="143">
        <v>33720</v>
      </c>
      <c r="T74" s="2"/>
      <c r="U74" s="124">
        <v>121.729</v>
      </c>
      <c r="V74" s="140">
        <v>2.5999999999999998E-5</v>
      </c>
      <c r="W74" s="140">
        <v>1.17722886968183E-2</v>
      </c>
      <c r="X74" s="140">
        <v>1.2820100051807799E-3</v>
      </c>
    </row>
    <row r="75" spans="1:24">
      <c r="A75" s="3">
        <v>161</v>
      </c>
      <c r="B75" s="3">
        <v>9942</v>
      </c>
      <c r="C75" s="3" t="s">
        <v>1710</v>
      </c>
      <c r="D75" s="3" t="s">
        <v>1711</v>
      </c>
      <c r="E75" s="3" t="s">
        <v>1351</v>
      </c>
      <c r="F75" s="3" t="s">
        <v>1712</v>
      </c>
      <c r="G75" s="3" t="s">
        <v>1713</v>
      </c>
      <c r="H75" s="3" t="s">
        <v>209</v>
      </c>
      <c r="I75" s="3" t="s">
        <v>962</v>
      </c>
      <c r="J75" s="3" t="s">
        <v>30</v>
      </c>
      <c r="K75" s="3" t="s">
        <v>30</v>
      </c>
      <c r="L75" s="2" t="s">
        <v>361</v>
      </c>
      <c r="M75" s="2" t="s">
        <v>31</v>
      </c>
      <c r="N75" s="3" t="s">
        <v>508</v>
      </c>
      <c r="O75" s="3" t="s">
        <v>160</v>
      </c>
      <c r="P75" s="3" t="s">
        <v>34</v>
      </c>
      <c r="Q75" s="124">
        <v>328</v>
      </c>
      <c r="R75" s="141">
        <v>1</v>
      </c>
      <c r="S75" s="143">
        <v>42880</v>
      </c>
      <c r="T75" s="2"/>
      <c r="U75" s="124">
        <v>140.64599999999999</v>
      </c>
      <c r="V75" s="140">
        <v>2.0999999999999999E-5</v>
      </c>
      <c r="W75" s="140">
        <v>1.3601749004907401E-2</v>
      </c>
      <c r="X75" s="140">
        <v>1.4812394396139801E-3</v>
      </c>
    </row>
    <row r="76" spans="1:24">
      <c r="A76" s="3">
        <v>161</v>
      </c>
      <c r="B76" s="3">
        <v>9942</v>
      </c>
      <c r="C76" s="3" t="s">
        <v>1714</v>
      </c>
      <c r="D76" s="3" t="s">
        <v>1715</v>
      </c>
      <c r="E76" s="3" t="s">
        <v>1351</v>
      </c>
      <c r="F76" s="3" t="s">
        <v>1716</v>
      </c>
      <c r="G76" s="3" t="s">
        <v>1717</v>
      </c>
      <c r="H76" s="3" t="s">
        <v>209</v>
      </c>
      <c r="I76" s="3" t="s">
        <v>962</v>
      </c>
      <c r="J76" s="3" t="s">
        <v>30</v>
      </c>
      <c r="K76" s="3" t="s">
        <v>30</v>
      </c>
      <c r="L76" s="2" t="s">
        <v>361</v>
      </c>
      <c r="M76" s="2" t="s">
        <v>31</v>
      </c>
      <c r="N76" s="3" t="s">
        <v>494</v>
      </c>
      <c r="O76" s="3" t="s">
        <v>160</v>
      </c>
      <c r="P76" s="3" t="s">
        <v>34</v>
      </c>
      <c r="Q76" s="124">
        <v>10058</v>
      </c>
      <c r="R76" s="141">
        <v>1</v>
      </c>
      <c r="S76" s="143">
        <v>922.7</v>
      </c>
      <c r="T76" s="2"/>
      <c r="U76" s="124">
        <v>92.805000000000007</v>
      </c>
      <c r="V76" s="140">
        <v>3.4999999999999997E-5</v>
      </c>
      <c r="W76" s="140">
        <v>8.9750791651316292E-3</v>
      </c>
      <c r="X76" s="140">
        <v>9.7739204188036408E-4</v>
      </c>
    </row>
    <row r="77" spans="1:24">
      <c r="A77" s="3">
        <v>161</v>
      </c>
      <c r="B77" s="3">
        <v>9942</v>
      </c>
      <c r="C77" s="3" t="s">
        <v>1718</v>
      </c>
      <c r="D77" s="3" t="s">
        <v>1719</v>
      </c>
      <c r="E77" s="3" t="s">
        <v>1351</v>
      </c>
      <c r="F77" s="3" t="s">
        <v>1720</v>
      </c>
      <c r="G77" s="3" t="s">
        <v>1721</v>
      </c>
      <c r="H77" s="3" t="s">
        <v>209</v>
      </c>
      <c r="I77" s="3" t="s">
        <v>962</v>
      </c>
      <c r="J77" s="3" t="s">
        <v>30</v>
      </c>
      <c r="K77" s="3" t="s">
        <v>334</v>
      </c>
      <c r="L77" s="2" t="s">
        <v>361</v>
      </c>
      <c r="M77" s="2" t="s">
        <v>31</v>
      </c>
      <c r="N77" s="3" t="s">
        <v>489</v>
      </c>
      <c r="O77" s="3" t="s">
        <v>160</v>
      </c>
      <c r="P77" s="3" t="s">
        <v>34</v>
      </c>
      <c r="Q77" s="124">
        <v>650</v>
      </c>
      <c r="R77" s="141">
        <v>1</v>
      </c>
      <c r="S77" s="143">
        <v>29040</v>
      </c>
      <c r="T77" s="2"/>
      <c r="U77" s="124">
        <v>188.76</v>
      </c>
      <c r="V77" s="140">
        <v>1.4E-5</v>
      </c>
      <c r="W77" s="140">
        <v>1.82547590422956E-2</v>
      </c>
      <c r="X77" s="140">
        <v>1.9879553022440302E-3</v>
      </c>
    </row>
    <row r="78" spans="1:24">
      <c r="A78" s="3">
        <v>161</v>
      </c>
      <c r="B78" s="3">
        <v>9942</v>
      </c>
      <c r="C78" s="3" t="s">
        <v>1722</v>
      </c>
      <c r="D78" s="3" t="s">
        <v>1723</v>
      </c>
      <c r="E78" s="3" t="s">
        <v>348</v>
      </c>
      <c r="F78" s="3" t="s">
        <v>1724</v>
      </c>
      <c r="G78" s="3" t="s">
        <v>1725</v>
      </c>
      <c r="H78" s="3" t="s">
        <v>209</v>
      </c>
      <c r="I78" s="3" t="s">
        <v>962</v>
      </c>
      <c r="J78" s="3" t="s">
        <v>30</v>
      </c>
      <c r="K78" s="3" t="s">
        <v>30</v>
      </c>
      <c r="L78" s="2" t="s">
        <v>361</v>
      </c>
      <c r="M78" s="2" t="s">
        <v>31</v>
      </c>
      <c r="N78" s="3" t="s">
        <v>485</v>
      </c>
      <c r="O78" s="3" t="s">
        <v>160</v>
      </c>
      <c r="P78" s="3" t="s">
        <v>34</v>
      </c>
      <c r="Q78" s="124">
        <v>19273</v>
      </c>
      <c r="R78" s="141">
        <v>1</v>
      </c>
      <c r="S78" s="143">
        <v>483.9</v>
      </c>
      <c r="T78" s="2"/>
      <c r="U78" s="124">
        <v>93.262</v>
      </c>
      <c r="V78" s="140">
        <v>1.7E-5</v>
      </c>
      <c r="W78" s="140">
        <v>9.0192635927964105E-3</v>
      </c>
      <c r="X78" s="140">
        <v>9.822037552012189E-4</v>
      </c>
    </row>
    <row r="79" spans="1:24">
      <c r="A79" s="3">
        <v>161</v>
      </c>
      <c r="B79" s="3">
        <v>9942</v>
      </c>
      <c r="C79" s="3" t="s">
        <v>1726</v>
      </c>
      <c r="D79" s="3" t="s">
        <v>1727</v>
      </c>
      <c r="E79" s="3" t="s">
        <v>1351</v>
      </c>
      <c r="F79" s="3" t="s">
        <v>1728</v>
      </c>
      <c r="G79" s="3" t="s">
        <v>1729</v>
      </c>
      <c r="H79" s="3" t="s">
        <v>209</v>
      </c>
      <c r="I79" s="3" t="s">
        <v>962</v>
      </c>
      <c r="J79" s="3" t="s">
        <v>30</v>
      </c>
      <c r="K79" s="3" t="s">
        <v>30</v>
      </c>
      <c r="L79" s="2" t="s">
        <v>361</v>
      </c>
      <c r="M79" s="2" t="s">
        <v>31</v>
      </c>
      <c r="N79" s="3" t="s">
        <v>507</v>
      </c>
      <c r="O79" s="3" t="s">
        <v>160</v>
      </c>
      <c r="P79" s="3" t="s">
        <v>34</v>
      </c>
      <c r="Q79" s="124">
        <v>2800</v>
      </c>
      <c r="R79" s="141">
        <v>1</v>
      </c>
      <c r="S79" s="143">
        <v>3869</v>
      </c>
      <c r="T79" s="2"/>
      <c r="U79" s="124">
        <v>108.33199999999999</v>
      </c>
      <c r="V79" s="140">
        <v>1.0000000000000001E-5</v>
      </c>
      <c r="W79" s="140">
        <v>1.0476661138853399E-2</v>
      </c>
      <c r="X79" s="140">
        <v>1.1409153094018899E-3</v>
      </c>
    </row>
    <row r="80" spans="1:24">
      <c r="A80" s="3">
        <v>161</v>
      </c>
      <c r="B80" s="3">
        <v>9942</v>
      </c>
      <c r="C80" s="3" t="s">
        <v>1730</v>
      </c>
      <c r="D80" s="3" t="s">
        <v>1731</v>
      </c>
      <c r="E80" s="3" t="s">
        <v>206</v>
      </c>
      <c r="F80" s="3" t="s">
        <v>1732</v>
      </c>
      <c r="G80" s="3" t="s">
        <v>1733</v>
      </c>
      <c r="H80" s="3" t="s">
        <v>209</v>
      </c>
      <c r="I80" s="3" t="s">
        <v>962</v>
      </c>
      <c r="J80" s="3" t="s">
        <v>85</v>
      </c>
      <c r="K80" s="3" t="s">
        <v>327</v>
      </c>
      <c r="L80" s="2" t="s">
        <v>361</v>
      </c>
      <c r="M80" s="2" t="s">
        <v>380</v>
      </c>
      <c r="N80" s="3" t="s">
        <v>580</v>
      </c>
      <c r="O80" s="3" t="s">
        <v>160</v>
      </c>
      <c r="P80" s="3" t="s">
        <v>90</v>
      </c>
      <c r="Q80" s="124">
        <v>260</v>
      </c>
      <c r="R80" s="141">
        <v>3.3719999999999999</v>
      </c>
      <c r="S80" s="143">
        <v>14190</v>
      </c>
      <c r="T80" s="2"/>
      <c r="U80" s="124">
        <v>124.407</v>
      </c>
      <c r="V80" s="140">
        <v>0</v>
      </c>
      <c r="W80" s="140">
        <v>1.20312138277123E-2</v>
      </c>
      <c r="X80" s="140">
        <v>1.3102071227462501E-3</v>
      </c>
    </row>
    <row r="81" spans="1:24">
      <c r="A81" s="3">
        <v>161</v>
      </c>
      <c r="B81" s="3">
        <v>9942</v>
      </c>
      <c r="C81" s="3" t="s">
        <v>1734</v>
      </c>
      <c r="D81" s="3" t="s">
        <v>1735</v>
      </c>
      <c r="E81" s="3" t="s">
        <v>206</v>
      </c>
      <c r="F81" s="3" t="s">
        <v>1736</v>
      </c>
      <c r="G81" s="3" t="s">
        <v>1737</v>
      </c>
      <c r="H81" s="3" t="s">
        <v>209</v>
      </c>
      <c r="I81" s="3" t="s">
        <v>962</v>
      </c>
      <c r="J81" s="3" t="s">
        <v>85</v>
      </c>
      <c r="K81" s="3" t="s">
        <v>86</v>
      </c>
      <c r="L81" s="2" t="s">
        <v>361</v>
      </c>
      <c r="M81" s="2" t="s">
        <v>380</v>
      </c>
      <c r="N81" s="3" t="s">
        <v>581</v>
      </c>
      <c r="O81" s="3" t="s">
        <v>160</v>
      </c>
      <c r="P81" s="3" t="s">
        <v>90</v>
      </c>
      <c r="Q81" s="124">
        <v>652</v>
      </c>
      <c r="R81" s="141">
        <v>3.3719999999999999</v>
      </c>
      <c r="S81" s="143">
        <v>17739</v>
      </c>
      <c r="T81" s="2"/>
      <c r="U81" s="124">
        <v>390</v>
      </c>
      <c r="V81" s="140">
        <v>0</v>
      </c>
      <c r="W81" s="140">
        <v>3.7716417239264298E-2</v>
      </c>
      <c r="X81" s="140">
        <v>4.10734271861496E-3</v>
      </c>
    </row>
    <row r="82" spans="1:24">
      <c r="A82" s="3">
        <v>161</v>
      </c>
      <c r="B82" s="3">
        <v>9942</v>
      </c>
      <c r="C82" s="3" t="s">
        <v>1738</v>
      </c>
      <c r="D82" s="3" t="s">
        <v>1739</v>
      </c>
      <c r="E82" s="3" t="s">
        <v>206</v>
      </c>
      <c r="F82" s="3" t="s">
        <v>1740</v>
      </c>
      <c r="G82" s="3" t="s">
        <v>1741</v>
      </c>
      <c r="H82" s="3" t="s">
        <v>209</v>
      </c>
      <c r="I82" s="3" t="s">
        <v>962</v>
      </c>
      <c r="J82" s="3" t="s">
        <v>85</v>
      </c>
      <c r="K82" s="3" t="s">
        <v>86</v>
      </c>
      <c r="L82" s="2" t="s">
        <v>361</v>
      </c>
      <c r="M82" s="2" t="s">
        <v>380</v>
      </c>
      <c r="N82" s="3" t="s">
        <v>532</v>
      </c>
      <c r="O82" s="3" t="s">
        <v>160</v>
      </c>
      <c r="P82" s="3" t="s">
        <v>90</v>
      </c>
      <c r="Q82" s="124">
        <v>350</v>
      </c>
      <c r="R82" s="141">
        <v>3.3719999999999999</v>
      </c>
      <c r="S82" s="143">
        <v>21939</v>
      </c>
      <c r="T82" s="2"/>
      <c r="U82" s="124">
        <v>258.92399999999998</v>
      </c>
      <c r="V82" s="140">
        <v>0</v>
      </c>
      <c r="W82" s="140">
        <v>2.5040245042056399E-2</v>
      </c>
      <c r="X82" s="140">
        <v>2.72689920395607E-3</v>
      </c>
    </row>
    <row r="83" spans="1:24">
      <c r="A83" s="3">
        <v>161</v>
      </c>
      <c r="B83" s="3">
        <v>9942</v>
      </c>
      <c r="C83" s="3" t="s">
        <v>1742</v>
      </c>
      <c r="D83" s="3" t="s">
        <v>1743</v>
      </c>
      <c r="E83" s="3" t="s">
        <v>206</v>
      </c>
      <c r="F83" s="3" t="s">
        <v>1744</v>
      </c>
      <c r="G83" s="3" t="s">
        <v>1745</v>
      </c>
      <c r="H83" s="3" t="s">
        <v>209</v>
      </c>
      <c r="I83" s="3" t="s">
        <v>962</v>
      </c>
      <c r="J83" s="3" t="s">
        <v>85</v>
      </c>
      <c r="K83" s="3" t="s">
        <v>86</v>
      </c>
      <c r="L83" s="2" t="s">
        <v>361</v>
      </c>
      <c r="M83" s="2" t="s">
        <v>380</v>
      </c>
      <c r="N83" s="3" t="s">
        <v>580</v>
      </c>
      <c r="O83" s="3" t="s">
        <v>160</v>
      </c>
      <c r="P83" s="3" t="s">
        <v>90</v>
      </c>
      <c r="Q83" s="124">
        <v>121</v>
      </c>
      <c r="R83" s="141">
        <v>3.3719999999999999</v>
      </c>
      <c r="S83" s="143">
        <v>80139</v>
      </c>
      <c r="T83" s="2"/>
      <c r="U83" s="124">
        <v>326.97699999999998</v>
      </c>
      <c r="V83" s="140">
        <v>0</v>
      </c>
      <c r="W83" s="140">
        <v>3.1621538146479902E-2</v>
      </c>
      <c r="X83" s="140">
        <v>3.4436063646612401E-3</v>
      </c>
    </row>
    <row r="84" spans="1:24">
      <c r="A84" s="3">
        <v>161</v>
      </c>
      <c r="B84" s="3">
        <v>9942</v>
      </c>
      <c r="C84" s="3" t="s">
        <v>1746</v>
      </c>
      <c r="D84" s="3" t="s">
        <v>1747</v>
      </c>
      <c r="E84" s="3" t="s">
        <v>206</v>
      </c>
      <c r="F84" s="3" t="s">
        <v>1748</v>
      </c>
      <c r="G84" s="3" t="s">
        <v>1749</v>
      </c>
      <c r="H84" s="3" t="s">
        <v>209</v>
      </c>
      <c r="I84" s="3" t="s">
        <v>962</v>
      </c>
      <c r="J84" s="3" t="s">
        <v>85</v>
      </c>
      <c r="K84" s="3" t="s">
        <v>86</v>
      </c>
      <c r="L84" s="2" t="s">
        <v>361</v>
      </c>
      <c r="M84" s="2" t="s">
        <v>380</v>
      </c>
      <c r="N84" s="3" t="s">
        <v>580</v>
      </c>
      <c r="O84" s="3" t="s">
        <v>160</v>
      </c>
      <c r="P84" s="3" t="s">
        <v>90</v>
      </c>
      <c r="Q84" s="124">
        <v>150</v>
      </c>
      <c r="R84" s="141">
        <v>3.3719999999999999</v>
      </c>
      <c r="S84" s="143">
        <v>27565</v>
      </c>
      <c r="T84" s="123">
        <v>8.7999999999999995E-2</v>
      </c>
      <c r="U84" s="124">
        <v>139.72200000000001</v>
      </c>
      <c r="V84" s="140">
        <v>0</v>
      </c>
      <c r="W84" s="140">
        <v>1.3512369929123601E-2</v>
      </c>
      <c r="X84" s="140">
        <v>1.4715059992983599E-3</v>
      </c>
    </row>
    <row r="85" spans="1:24">
      <c r="A85" s="3">
        <v>161</v>
      </c>
      <c r="B85" s="3">
        <v>9942</v>
      </c>
      <c r="C85" s="3" t="s">
        <v>1750</v>
      </c>
      <c r="D85" s="3" t="s">
        <v>1751</v>
      </c>
      <c r="E85" s="3" t="s">
        <v>206</v>
      </c>
      <c r="F85" s="3" t="s">
        <v>1752</v>
      </c>
      <c r="G85" s="3" t="s">
        <v>1753</v>
      </c>
      <c r="H85" s="3" t="s">
        <v>209</v>
      </c>
      <c r="I85" s="3" t="s">
        <v>962</v>
      </c>
      <c r="J85" s="3" t="s">
        <v>85</v>
      </c>
      <c r="K85" s="3" t="s">
        <v>86</v>
      </c>
      <c r="L85" s="2" t="s">
        <v>361</v>
      </c>
      <c r="M85" s="2" t="s">
        <v>378</v>
      </c>
      <c r="N85" s="3" t="s">
        <v>568</v>
      </c>
      <c r="O85" s="3" t="s">
        <v>160</v>
      </c>
      <c r="P85" s="3" t="s">
        <v>90</v>
      </c>
      <c r="Q85" s="124">
        <v>160</v>
      </c>
      <c r="R85" s="141">
        <v>3.3719999999999999</v>
      </c>
      <c r="S85" s="143">
        <v>28991</v>
      </c>
      <c r="T85" s="2"/>
      <c r="U85" s="124">
        <v>156.41200000000001</v>
      </c>
      <c r="V85" s="140">
        <v>0</v>
      </c>
      <c r="W85" s="140">
        <v>1.5126445279089599E-2</v>
      </c>
      <c r="X85" s="140">
        <v>1.64727986970398E-3</v>
      </c>
    </row>
    <row r="86" spans="1:24">
      <c r="A86" s="3">
        <v>161</v>
      </c>
      <c r="B86" s="3">
        <v>9942</v>
      </c>
      <c r="C86" s="3" t="s">
        <v>1754</v>
      </c>
      <c r="D86" s="3" t="s">
        <v>1755</v>
      </c>
      <c r="E86" s="3" t="s">
        <v>206</v>
      </c>
      <c r="F86" s="3" t="s">
        <v>1756</v>
      </c>
      <c r="G86" s="3" t="s">
        <v>1757</v>
      </c>
      <c r="H86" s="3" t="s">
        <v>209</v>
      </c>
      <c r="I86" s="3" t="s">
        <v>962</v>
      </c>
      <c r="J86" s="3" t="s">
        <v>85</v>
      </c>
      <c r="K86" s="3" t="s">
        <v>86</v>
      </c>
      <c r="L86" s="2" t="s">
        <v>361</v>
      </c>
      <c r="M86" s="2" t="s">
        <v>378</v>
      </c>
      <c r="N86" s="3" t="s">
        <v>1758</v>
      </c>
      <c r="O86" s="3" t="s">
        <v>160</v>
      </c>
      <c r="P86" s="3" t="s">
        <v>90</v>
      </c>
      <c r="Q86" s="124">
        <v>75</v>
      </c>
      <c r="R86" s="141">
        <v>3.3719999999999999</v>
      </c>
      <c r="S86" s="143">
        <v>56194</v>
      </c>
      <c r="T86" s="2"/>
      <c r="U86" s="124">
        <v>142.11500000000001</v>
      </c>
      <c r="V86" s="140">
        <v>0</v>
      </c>
      <c r="W86" s="140">
        <v>1.37437394258104E-2</v>
      </c>
      <c r="X86" s="140">
        <v>1.4967022901204001E-3</v>
      </c>
    </row>
    <row r="87" spans="1:24">
      <c r="A87" s="3">
        <v>161</v>
      </c>
      <c r="B87" s="3">
        <v>9942</v>
      </c>
      <c r="C87" s="3" t="s">
        <v>1759</v>
      </c>
      <c r="D87" s="3" t="s">
        <v>1760</v>
      </c>
      <c r="E87" s="3" t="s">
        <v>206</v>
      </c>
      <c r="F87" s="3" t="s">
        <v>1761</v>
      </c>
      <c r="G87" s="3" t="s">
        <v>1762</v>
      </c>
      <c r="H87" s="3" t="s">
        <v>209</v>
      </c>
      <c r="I87" s="3" t="s">
        <v>962</v>
      </c>
      <c r="J87" s="3" t="s">
        <v>85</v>
      </c>
      <c r="K87" s="3" t="s">
        <v>86</v>
      </c>
      <c r="L87" s="2" t="s">
        <v>361</v>
      </c>
      <c r="M87" s="2" t="s">
        <v>380</v>
      </c>
      <c r="N87" s="3" t="s">
        <v>576</v>
      </c>
      <c r="O87" s="3" t="s">
        <v>160</v>
      </c>
      <c r="P87" s="3" t="s">
        <v>90</v>
      </c>
      <c r="Q87" s="124">
        <v>111</v>
      </c>
      <c r="R87" s="141">
        <v>3.3719999999999999</v>
      </c>
      <c r="S87" s="143">
        <v>49741</v>
      </c>
      <c r="T87" s="2"/>
      <c r="U87" s="124">
        <v>186.17699999999999</v>
      </c>
      <c r="V87" s="140">
        <v>0</v>
      </c>
      <c r="W87" s="140">
        <v>1.8004919872464401E-2</v>
      </c>
      <c r="X87" s="140">
        <v>1.9607476518322402E-3</v>
      </c>
    </row>
    <row r="88" spans="1:24">
      <c r="A88" s="3">
        <v>161</v>
      </c>
      <c r="B88" s="3">
        <v>9942</v>
      </c>
      <c r="C88" s="3" t="s">
        <v>1695</v>
      </c>
      <c r="D88" s="3" t="s">
        <v>1696</v>
      </c>
      <c r="E88" s="3" t="s">
        <v>1351</v>
      </c>
      <c r="F88" s="3" t="s">
        <v>1763</v>
      </c>
      <c r="G88" s="3" t="s">
        <v>1764</v>
      </c>
      <c r="H88" s="3" t="s">
        <v>209</v>
      </c>
      <c r="I88" s="3" t="s">
        <v>962</v>
      </c>
      <c r="J88" s="3" t="s">
        <v>85</v>
      </c>
      <c r="K88" s="3" t="s">
        <v>86</v>
      </c>
      <c r="L88" s="2" t="s">
        <v>361</v>
      </c>
      <c r="M88" s="2" t="s">
        <v>380</v>
      </c>
      <c r="N88" s="3" t="s">
        <v>512</v>
      </c>
      <c r="O88" s="3" t="s">
        <v>160</v>
      </c>
      <c r="P88" s="3" t="s">
        <v>90</v>
      </c>
      <c r="Q88" s="124">
        <v>220</v>
      </c>
      <c r="R88" s="141">
        <v>3.3719999999999999</v>
      </c>
      <c r="S88" s="143">
        <v>16891</v>
      </c>
      <c r="T88" s="2"/>
      <c r="U88" s="124">
        <v>125.304</v>
      </c>
      <c r="V88" s="140">
        <v>3.0000000000000001E-6</v>
      </c>
      <c r="W88" s="140">
        <v>1.21180222280195E-2</v>
      </c>
      <c r="X88" s="140">
        <v>1.31966061480662E-3</v>
      </c>
    </row>
    <row r="89" spans="1:24">
      <c r="A89" s="3">
        <v>161</v>
      </c>
      <c r="B89" s="3">
        <v>9942</v>
      </c>
      <c r="C89" s="3" t="s">
        <v>1765</v>
      </c>
      <c r="D89" s="3" t="s">
        <v>1766</v>
      </c>
      <c r="E89" s="3" t="s">
        <v>206</v>
      </c>
      <c r="F89" s="3" t="s">
        <v>1767</v>
      </c>
      <c r="G89" s="3" t="s">
        <v>1768</v>
      </c>
      <c r="H89" s="3" t="s">
        <v>209</v>
      </c>
      <c r="I89" s="3" t="s">
        <v>962</v>
      </c>
      <c r="J89" s="3" t="s">
        <v>85</v>
      </c>
      <c r="K89" s="3" t="s">
        <v>86</v>
      </c>
      <c r="L89" s="2" t="s">
        <v>361</v>
      </c>
      <c r="M89" s="2" t="s">
        <v>380</v>
      </c>
      <c r="N89" s="3" t="s">
        <v>580</v>
      </c>
      <c r="O89" s="3" t="s">
        <v>160</v>
      </c>
      <c r="P89" s="3" t="s">
        <v>90</v>
      </c>
      <c r="Q89" s="124">
        <v>540</v>
      </c>
      <c r="R89" s="141">
        <v>3.3719999999999999</v>
      </c>
      <c r="S89" s="143">
        <v>15799</v>
      </c>
      <c r="T89" s="123">
        <v>4.0000000000000001E-3</v>
      </c>
      <c r="U89" s="124">
        <v>287.69400000000002</v>
      </c>
      <c r="V89" s="140">
        <v>0</v>
      </c>
      <c r="W89" s="140">
        <v>2.78225977568641E-2</v>
      </c>
      <c r="X89" s="140">
        <v>3.0298992500974301E-3</v>
      </c>
    </row>
    <row r="90" spans="1:24">
      <c r="A90" s="3">
        <v>161</v>
      </c>
      <c r="B90" s="3">
        <v>9942</v>
      </c>
      <c r="C90" s="3" t="s">
        <v>1614</v>
      </c>
      <c r="D90" s="3" t="s">
        <v>1615</v>
      </c>
      <c r="E90" s="3" t="s">
        <v>206</v>
      </c>
      <c r="F90" s="3" t="s">
        <v>1769</v>
      </c>
      <c r="G90" s="3" t="s">
        <v>1617</v>
      </c>
      <c r="H90" s="3" t="s">
        <v>209</v>
      </c>
      <c r="I90" s="3" t="s">
        <v>962</v>
      </c>
      <c r="J90" s="3" t="s">
        <v>85</v>
      </c>
      <c r="K90" s="3" t="s">
        <v>86</v>
      </c>
      <c r="L90" s="2" t="s">
        <v>361</v>
      </c>
      <c r="M90" s="2" t="s">
        <v>378</v>
      </c>
      <c r="N90" s="3" t="s">
        <v>589</v>
      </c>
      <c r="O90" s="3" t="s">
        <v>160</v>
      </c>
      <c r="P90" s="3" t="s">
        <v>90</v>
      </c>
      <c r="Q90" s="124">
        <v>274</v>
      </c>
      <c r="R90" s="141">
        <v>3.3719999999999999</v>
      </c>
      <c r="S90" s="143">
        <v>8376</v>
      </c>
      <c r="T90" s="2"/>
      <c r="U90" s="124">
        <v>77.388000000000005</v>
      </c>
      <c r="V90" s="140">
        <v>5.0000000000000004E-6</v>
      </c>
      <c r="W90" s="140">
        <v>7.4841232947719201E-3</v>
      </c>
      <c r="X90" s="140">
        <v>8.15025964024935E-4</v>
      </c>
    </row>
    <row r="91" spans="1:24">
      <c r="A91" s="3">
        <v>161</v>
      </c>
      <c r="B91" s="3">
        <v>9942</v>
      </c>
      <c r="C91" s="3" t="s">
        <v>1770</v>
      </c>
      <c r="D91" s="3" t="s">
        <v>1771</v>
      </c>
      <c r="E91" s="3" t="s">
        <v>206</v>
      </c>
      <c r="F91" s="3" t="s">
        <v>1772</v>
      </c>
      <c r="G91" s="3" t="s">
        <v>1773</v>
      </c>
      <c r="H91" s="3" t="s">
        <v>209</v>
      </c>
      <c r="I91" s="3" t="s">
        <v>962</v>
      </c>
      <c r="J91" s="3" t="s">
        <v>85</v>
      </c>
      <c r="K91" s="3" t="s">
        <v>1774</v>
      </c>
      <c r="L91" s="2" t="s">
        <v>361</v>
      </c>
      <c r="M91" s="2" t="s">
        <v>378</v>
      </c>
      <c r="N91" s="3" t="s">
        <v>580</v>
      </c>
      <c r="O91" s="3" t="s">
        <v>160</v>
      </c>
      <c r="P91" s="3" t="s">
        <v>90</v>
      </c>
      <c r="Q91" s="124">
        <v>250</v>
      </c>
      <c r="R91" s="141">
        <v>3.3719999999999999</v>
      </c>
      <c r="S91" s="143">
        <v>22649</v>
      </c>
      <c r="T91" s="123">
        <v>0.13500000000000001</v>
      </c>
      <c r="U91" s="124">
        <v>191.38800000000001</v>
      </c>
      <c r="V91" s="140">
        <v>0</v>
      </c>
      <c r="W91" s="140">
        <v>1.8508865137298599E-2</v>
      </c>
      <c r="X91" s="140">
        <v>2.0156276236218901E-3</v>
      </c>
    </row>
    <row r="92" spans="1:24">
      <c r="A92" s="3">
        <v>161</v>
      </c>
      <c r="B92" s="3">
        <v>9943</v>
      </c>
      <c r="C92" s="3" t="s">
        <v>1618</v>
      </c>
      <c r="D92" s="3" t="s">
        <v>1619</v>
      </c>
      <c r="E92" s="3" t="s">
        <v>1351</v>
      </c>
      <c r="F92" s="3" t="s">
        <v>1620</v>
      </c>
      <c r="G92" s="3" t="s">
        <v>1621</v>
      </c>
      <c r="H92" s="3" t="s">
        <v>209</v>
      </c>
      <c r="I92" s="3" t="s">
        <v>962</v>
      </c>
      <c r="J92" s="3" t="s">
        <v>30</v>
      </c>
      <c r="K92" s="3" t="s">
        <v>30</v>
      </c>
      <c r="L92" s="2" t="s">
        <v>361</v>
      </c>
      <c r="M92" s="2" t="s">
        <v>31</v>
      </c>
      <c r="N92" s="3" t="s">
        <v>509</v>
      </c>
      <c r="O92" s="3" t="s">
        <v>160</v>
      </c>
      <c r="P92" s="3" t="s">
        <v>34</v>
      </c>
      <c r="Q92" s="124">
        <v>121000</v>
      </c>
      <c r="R92" s="141">
        <v>1</v>
      </c>
      <c r="S92" s="143">
        <v>1320</v>
      </c>
      <c r="T92" s="2"/>
      <c r="U92" s="124">
        <v>1597.2</v>
      </c>
      <c r="V92" s="140">
        <v>2.22E-4</v>
      </c>
      <c r="W92" s="140">
        <v>4.32145367802865E-3</v>
      </c>
      <c r="X92" s="140">
        <v>8.4701986282734296E-4</v>
      </c>
    </row>
    <row r="93" spans="1:24">
      <c r="A93" s="3">
        <v>161</v>
      </c>
      <c r="B93" s="3">
        <v>9943</v>
      </c>
      <c r="C93" s="3" t="s">
        <v>1622</v>
      </c>
      <c r="D93" s="3" t="s">
        <v>1623</v>
      </c>
      <c r="E93" s="3" t="s">
        <v>1351</v>
      </c>
      <c r="F93" s="3" t="s">
        <v>1624</v>
      </c>
      <c r="G93" s="3" t="s">
        <v>1625</v>
      </c>
      <c r="H93" s="3" t="s">
        <v>209</v>
      </c>
      <c r="I93" s="3" t="s">
        <v>962</v>
      </c>
      <c r="J93" s="3" t="s">
        <v>30</v>
      </c>
      <c r="K93" s="3" t="s">
        <v>30</v>
      </c>
      <c r="L93" s="2" t="s">
        <v>361</v>
      </c>
      <c r="M93" s="2" t="s">
        <v>31</v>
      </c>
      <c r="N93" s="3" t="s">
        <v>477</v>
      </c>
      <c r="O93" s="3" t="s">
        <v>160</v>
      </c>
      <c r="P93" s="3" t="s">
        <v>34</v>
      </c>
      <c r="Q93" s="124">
        <v>2698</v>
      </c>
      <c r="R93" s="141">
        <v>1</v>
      </c>
      <c r="S93" s="143">
        <v>149800</v>
      </c>
      <c r="T93" s="123">
        <v>5.5119999999999996</v>
      </c>
      <c r="U93" s="124">
        <v>4047.116</v>
      </c>
      <c r="V93" s="140">
        <v>5.8E-5</v>
      </c>
      <c r="W93" s="140">
        <v>1.0950052821702401E-2</v>
      </c>
      <c r="X93" s="140">
        <v>2.1462482141476002E-3</v>
      </c>
    </row>
    <row r="94" spans="1:24">
      <c r="A94" s="3">
        <v>161</v>
      </c>
      <c r="B94" s="3">
        <v>9943</v>
      </c>
      <c r="C94" s="3" t="s">
        <v>1626</v>
      </c>
      <c r="D94" s="3" t="s">
        <v>1627</v>
      </c>
      <c r="E94" s="3" t="s">
        <v>1351</v>
      </c>
      <c r="F94" s="3" t="s">
        <v>1628</v>
      </c>
      <c r="G94" s="3" t="s">
        <v>1629</v>
      </c>
      <c r="H94" s="3" t="s">
        <v>209</v>
      </c>
      <c r="I94" s="3" t="s">
        <v>962</v>
      </c>
      <c r="J94" s="3" t="s">
        <v>30</v>
      </c>
      <c r="K94" s="3" t="s">
        <v>30</v>
      </c>
      <c r="L94" s="2" t="s">
        <v>361</v>
      </c>
      <c r="M94" s="2" t="s">
        <v>31</v>
      </c>
      <c r="N94" s="3" t="s">
        <v>495</v>
      </c>
      <c r="O94" s="3" t="s">
        <v>160</v>
      </c>
      <c r="P94" s="3" t="s">
        <v>34</v>
      </c>
      <c r="Q94" s="124">
        <v>86500</v>
      </c>
      <c r="R94" s="141">
        <v>1</v>
      </c>
      <c r="S94" s="143">
        <v>3489</v>
      </c>
      <c r="T94" s="2"/>
      <c r="U94" s="124">
        <v>3017.9850000000001</v>
      </c>
      <c r="V94" s="140">
        <v>4.0200000000000001E-4</v>
      </c>
      <c r="W94" s="140">
        <v>8.1655912712780502E-3</v>
      </c>
      <c r="X94" s="140">
        <v>1.6004841226615199E-3</v>
      </c>
    </row>
    <row r="95" spans="1:24">
      <c r="A95" s="3">
        <v>161</v>
      </c>
      <c r="B95" s="3">
        <v>9943</v>
      </c>
      <c r="C95" s="3" t="s">
        <v>1630</v>
      </c>
      <c r="D95" s="3" t="s">
        <v>1631</v>
      </c>
      <c r="E95" s="3" t="s">
        <v>1351</v>
      </c>
      <c r="F95" s="3" t="s">
        <v>1632</v>
      </c>
      <c r="G95" s="3" t="s">
        <v>1633</v>
      </c>
      <c r="H95" s="3" t="s">
        <v>209</v>
      </c>
      <c r="I95" s="3" t="s">
        <v>962</v>
      </c>
      <c r="J95" s="3" t="s">
        <v>30</v>
      </c>
      <c r="K95" s="3" t="s">
        <v>30</v>
      </c>
      <c r="L95" s="2" t="s">
        <v>361</v>
      </c>
      <c r="M95" s="2" t="s">
        <v>31</v>
      </c>
      <c r="N95" s="3" t="s">
        <v>495</v>
      </c>
      <c r="O95" s="3" t="s">
        <v>160</v>
      </c>
      <c r="P95" s="3" t="s">
        <v>34</v>
      </c>
      <c r="Q95" s="124">
        <v>106904</v>
      </c>
      <c r="R95" s="141">
        <v>1</v>
      </c>
      <c r="S95" s="143">
        <v>2281</v>
      </c>
      <c r="T95" s="2"/>
      <c r="U95" s="124">
        <v>2438.48</v>
      </c>
      <c r="V95" s="140">
        <v>2.2699999999999999E-4</v>
      </c>
      <c r="W95" s="140">
        <v>6.5976580277662096E-3</v>
      </c>
      <c r="X95" s="140">
        <v>1.29316378561983E-3</v>
      </c>
    </row>
    <row r="96" spans="1:24">
      <c r="A96" s="3">
        <v>161</v>
      </c>
      <c r="B96" s="3">
        <v>9943</v>
      </c>
      <c r="C96" s="3" t="s">
        <v>1634</v>
      </c>
      <c r="D96" s="3" t="s">
        <v>1635</v>
      </c>
      <c r="E96" s="3" t="s">
        <v>1351</v>
      </c>
      <c r="F96" s="3" t="s">
        <v>1636</v>
      </c>
      <c r="G96" s="3" t="s">
        <v>1637</v>
      </c>
      <c r="H96" s="3" t="s">
        <v>209</v>
      </c>
      <c r="I96" s="3" t="s">
        <v>962</v>
      </c>
      <c r="J96" s="3" t="s">
        <v>30</v>
      </c>
      <c r="K96" s="3" t="s">
        <v>86</v>
      </c>
      <c r="L96" s="2" t="s">
        <v>361</v>
      </c>
      <c r="M96" s="2" t="s">
        <v>31</v>
      </c>
      <c r="N96" s="3" t="s">
        <v>472</v>
      </c>
      <c r="O96" s="3" t="s">
        <v>160</v>
      </c>
      <c r="P96" s="3" t="s">
        <v>34</v>
      </c>
      <c r="Q96" s="124">
        <v>41511.699999999997</v>
      </c>
      <c r="R96" s="141">
        <v>1</v>
      </c>
      <c r="S96" s="143">
        <v>7640</v>
      </c>
      <c r="T96" s="2"/>
      <c r="U96" s="124">
        <v>3171.4940000000001</v>
      </c>
      <c r="V96" s="140">
        <v>3.4699999999999998E-4</v>
      </c>
      <c r="W96" s="140">
        <v>8.5809315630925101E-3</v>
      </c>
      <c r="X96" s="140">
        <v>1.6818922559449999E-3</v>
      </c>
    </row>
    <row r="97" spans="1:24">
      <c r="A97" s="3">
        <v>161</v>
      </c>
      <c r="B97" s="3">
        <v>9943</v>
      </c>
      <c r="C97" s="3" t="s">
        <v>1638</v>
      </c>
      <c r="D97" s="3" t="s">
        <v>1639</v>
      </c>
      <c r="E97" s="3" t="s">
        <v>1351</v>
      </c>
      <c r="F97" s="3" t="s">
        <v>1640</v>
      </c>
      <c r="G97" s="3" t="s">
        <v>1641</v>
      </c>
      <c r="H97" s="3" t="s">
        <v>209</v>
      </c>
      <c r="I97" s="3" t="s">
        <v>962</v>
      </c>
      <c r="J97" s="3" t="s">
        <v>30</v>
      </c>
      <c r="K97" s="3" t="s">
        <v>30</v>
      </c>
      <c r="L97" s="2" t="s">
        <v>361</v>
      </c>
      <c r="M97" s="2" t="s">
        <v>31</v>
      </c>
      <c r="N97" s="3" t="s">
        <v>472</v>
      </c>
      <c r="O97" s="3" t="s">
        <v>160</v>
      </c>
      <c r="P97" s="3" t="s">
        <v>34</v>
      </c>
      <c r="Q97" s="124">
        <v>369015</v>
      </c>
      <c r="R97" s="141">
        <v>1</v>
      </c>
      <c r="S97" s="143">
        <v>1244</v>
      </c>
      <c r="T97" s="2"/>
      <c r="U97" s="124">
        <v>4590.5469999999996</v>
      </c>
      <c r="V97" s="140">
        <v>6.7000000000000002E-4</v>
      </c>
      <c r="W97" s="140">
        <v>1.24203822243501E-2</v>
      </c>
      <c r="X97" s="140">
        <v>2.4344378609031602E-3</v>
      </c>
    </row>
    <row r="98" spans="1:24">
      <c r="A98" s="3">
        <v>161</v>
      </c>
      <c r="B98" s="3">
        <v>9943</v>
      </c>
      <c r="C98" s="3" t="s">
        <v>1642</v>
      </c>
      <c r="D98" s="3" t="s">
        <v>1643</v>
      </c>
      <c r="E98" s="3" t="s">
        <v>1351</v>
      </c>
      <c r="F98" s="3" t="s">
        <v>1644</v>
      </c>
      <c r="G98" s="3" t="s">
        <v>1645</v>
      </c>
      <c r="H98" s="3" t="s">
        <v>209</v>
      </c>
      <c r="I98" s="3" t="s">
        <v>962</v>
      </c>
      <c r="J98" s="3" t="s">
        <v>30</v>
      </c>
      <c r="K98" s="3" t="s">
        <v>30</v>
      </c>
      <c r="L98" s="2" t="s">
        <v>361</v>
      </c>
      <c r="M98" s="2" t="s">
        <v>31</v>
      </c>
      <c r="N98" s="3" t="s">
        <v>516</v>
      </c>
      <c r="O98" s="3" t="s">
        <v>160</v>
      </c>
      <c r="P98" s="3" t="s">
        <v>34</v>
      </c>
      <c r="Q98" s="124">
        <v>809728</v>
      </c>
      <c r="R98" s="141">
        <v>1</v>
      </c>
      <c r="S98" s="143">
        <v>575</v>
      </c>
      <c r="T98" s="2"/>
      <c r="U98" s="124">
        <v>4655.9359999999997</v>
      </c>
      <c r="V98" s="140">
        <v>2.92E-4</v>
      </c>
      <c r="W98" s="140">
        <v>1.25973026245091E-2</v>
      </c>
      <c r="X98" s="140">
        <v>2.4691148710573999E-3</v>
      </c>
    </row>
    <row r="99" spans="1:24">
      <c r="A99" s="3">
        <v>161</v>
      </c>
      <c r="B99" s="3">
        <v>9943</v>
      </c>
      <c r="C99" s="3" t="s">
        <v>1361</v>
      </c>
      <c r="D99" s="3" t="s">
        <v>1362</v>
      </c>
      <c r="E99" s="3" t="s">
        <v>1351</v>
      </c>
      <c r="F99" s="3" t="s">
        <v>1646</v>
      </c>
      <c r="G99" s="3" t="s">
        <v>1365</v>
      </c>
      <c r="H99" s="3" t="s">
        <v>209</v>
      </c>
      <c r="I99" s="3" t="s">
        <v>962</v>
      </c>
      <c r="J99" s="3" t="s">
        <v>30</v>
      </c>
      <c r="K99" s="3" t="s">
        <v>30</v>
      </c>
      <c r="L99" s="2" t="s">
        <v>361</v>
      </c>
      <c r="M99" s="2" t="s">
        <v>31</v>
      </c>
      <c r="N99" s="3" t="s">
        <v>478</v>
      </c>
      <c r="O99" s="3" t="s">
        <v>160</v>
      </c>
      <c r="P99" s="3" t="s">
        <v>34</v>
      </c>
      <c r="Q99" s="124">
        <v>1880</v>
      </c>
      <c r="R99" s="141">
        <v>1</v>
      </c>
      <c r="S99" s="143">
        <v>23700</v>
      </c>
      <c r="T99" s="2"/>
      <c r="U99" s="124">
        <v>445.56</v>
      </c>
      <c r="V99" s="140">
        <v>2.0799999999999999E-4</v>
      </c>
      <c r="W99" s="140">
        <v>1.20552648433662E-3</v>
      </c>
      <c r="X99" s="140">
        <v>2.3628735917940799E-4</v>
      </c>
    </row>
    <row r="100" spans="1:24">
      <c r="A100" s="3">
        <v>161</v>
      </c>
      <c r="B100" s="3">
        <v>9943</v>
      </c>
      <c r="C100" s="3" t="s">
        <v>1647</v>
      </c>
      <c r="D100" s="3" t="s">
        <v>1648</v>
      </c>
      <c r="E100" s="3" t="s">
        <v>1351</v>
      </c>
      <c r="F100" s="3" t="s">
        <v>1649</v>
      </c>
      <c r="G100" s="3" t="s">
        <v>1650</v>
      </c>
      <c r="H100" s="3" t="s">
        <v>209</v>
      </c>
      <c r="I100" s="3" t="s">
        <v>962</v>
      </c>
      <c r="J100" s="3" t="s">
        <v>30</v>
      </c>
      <c r="K100" s="3" t="s">
        <v>30</v>
      </c>
      <c r="L100" s="2" t="s">
        <v>361</v>
      </c>
      <c r="M100" s="2" t="s">
        <v>31</v>
      </c>
      <c r="N100" s="3" t="s">
        <v>479</v>
      </c>
      <c r="O100" s="3" t="s">
        <v>160</v>
      </c>
      <c r="P100" s="3" t="s">
        <v>34</v>
      </c>
      <c r="Q100" s="124">
        <v>380725</v>
      </c>
      <c r="R100" s="141">
        <v>1</v>
      </c>
      <c r="S100" s="143">
        <v>3356</v>
      </c>
      <c r="T100" s="2"/>
      <c r="U100" s="124">
        <v>12777.130999999999</v>
      </c>
      <c r="V100" s="140">
        <v>3.0800000000000001E-4</v>
      </c>
      <c r="W100" s="140">
        <v>3.4570360477463001E-2</v>
      </c>
      <c r="X100" s="140">
        <v>6.7759101846650302E-3</v>
      </c>
    </row>
    <row r="101" spans="1:24">
      <c r="A101" s="3">
        <v>161</v>
      </c>
      <c r="B101" s="3">
        <v>9943</v>
      </c>
      <c r="C101" s="3" t="s">
        <v>1651</v>
      </c>
      <c r="D101" s="3" t="s">
        <v>1652</v>
      </c>
      <c r="E101" s="3" t="s">
        <v>1351</v>
      </c>
      <c r="F101" s="3" t="s">
        <v>1653</v>
      </c>
      <c r="G101" s="3" t="s">
        <v>1654</v>
      </c>
      <c r="H101" s="3" t="s">
        <v>209</v>
      </c>
      <c r="I101" s="3" t="s">
        <v>962</v>
      </c>
      <c r="J101" s="3" t="s">
        <v>30</v>
      </c>
      <c r="K101" s="3" t="s">
        <v>30</v>
      </c>
      <c r="L101" s="2" t="s">
        <v>361</v>
      </c>
      <c r="M101" s="2" t="s">
        <v>31</v>
      </c>
      <c r="N101" s="3" t="s">
        <v>478</v>
      </c>
      <c r="O101" s="3" t="s">
        <v>160</v>
      </c>
      <c r="P101" s="3" t="s">
        <v>34</v>
      </c>
      <c r="Q101" s="124">
        <v>8440</v>
      </c>
      <c r="R101" s="141">
        <v>1</v>
      </c>
      <c r="S101" s="143">
        <v>36740</v>
      </c>
      <c r="T101" s="2"/>
      <c r="U101" s="124">
        <v>3100.8560000000002</v>
      </c>
      <c r="V101" s="140">
        <v>4.0400000000000001E-4</v>
      </c>
      <c r="W101" s="140">
        <v>8.3898106475314392E-3</v>
      </c>
      <c r="X101" s="140">
        <v>1.6444318956720201E-3</v>
      </c>
    </row>
    <row r="102" spans="1:24">
      <c r="A102" s="3">
        <v>161</v>
      </c>
      <c r="B102" s="3">
        <v>9943</v>
      </c>
      <c r="C102" s="3" t="s">
        <v>1655</v>
      </c>
      <c r="D102" s="3" t="s">
        <v>1656</v>
      </c>
      <c r="E102" s="3" t="s">
        <v>1351</v>
      </c>
      <c r="F102" s="3" t="s">
        <v>1657</v>
      </c>
      <c r="G102" s="3" t="s">
        <v>1658</v>
      </c>
      <c r="H102" s="3" t="s">
        <v>209</v>
      </c>
      <c r="I102" s="3" t="s">
        <v>962</v>
      </c>
      <c r="J102" s="3" t="s">
        <v>30</v>
      </c>
      <c r="K102" s="3" t="s">
        <v>30</v>
      </c>
      <c r="L102" s="2" t="s">
        <v>361</v>
      </c>
      <c r="M102" s="2" t="s">
        <v>31</v>
      </c>
      <c r="N102" s="3" t="s">
        <v>476</v>
      </c>
      <c r="O102" s="3" t="s">
        <v>160</v>
      </c>
      <c r="P102" s="3" t="s">
        <v>34</v>
      </c>
      <c r="Q102" s="124">
        <v>60569</v>
      </c>
      <c r="R102" s="141">
        <v>1</v>
      </c>
      <c r="S102" s="143">
        <v>9745</v>
      </c>
      <c r="T102" s="2"/>
      <c r="U102" s="124">
        <v>5902.4489999999996</v>
      </c>
      <c r="V102" s="140">
        <v>2.3000000000000001E-4</v>
      </c>
      <c r="W102" s="140">
        <v>1.59699224621207E-2</v>
      </c>
      <c r="X102" s="140">
        <v>3.1301600204585401E-3</v>
      </c>
    </row>
    <row r="103" spans="1:24">
      <c r="A103" s="3">
        <v>161</v>
      </c>
      <c r="B103" s="3">
        <v>9943</v>
      </c>
      <c r="C103" s="3" t="s">
        <v>1659</v>
      </c>
      <c r="D103" s="3" t="s">
        <v>1660</v>
      </c>
      <c r="E103" s="3" t="s">
        <v>1351</v>
      </c>
      <c r="F103" s="3" t="s">
        <v>1661</v>
      </c>
      <c r="G103" s="3" t="s">
        <v>1662</v>
      </c>
      <c r="H103" s="3" t="s">
        <v>209</v>
      </c>
      <c r="I103" s="3" t="s">
        <v>962</v>
      </c>
      <c r="J103" s="3" t="s">
        <v>30</v>
      </c>
      <c r="K103" s="3" t="s">
        <v>86</v>
      </c>
      <c r="L103" s="2" t="s">
        <v>361</v>
      </c>
      <c r="M103" s="2" t="s">
        <v>31</v>
      </c>
      <c r="N103" s="3" t="s">
        <v>498</v>
      </c>
      <c r="O103" s="3" t="s">
        <v>160</v>
      </c>
      <c r="P103" s="3" t="s">
        <v>34</v>
      </c>
      <c r="Q103" s="124">
        <v>81135</v>
      </c>
      <c r="R103" s="141">
        <v>1</v>
      </c>
      <c r="S103" s="143">
        <v>5699</v>
      </c>
      <c r="T103" s="2"/>
      <c r="U103" s="124">
        <v>4623.884</v>
      </c>
      <c r="V103" s="140">
        <v>6.4999999999999994E-5</v>
      </c>
      <c r="W103" s="140">
        <v>1.25105803944835E-2</v>
      </c>
      <c r="X103" s="140">
        <v>2.4521170141200799E-3</v>
      </c>
    </row>
    <row r="104" spans="1:24">
      <c r="A104" s="3">
        <v>161</v>
      </c>
      <c r="B104" s="3">
        <v>9943</v>
      </c>
      <c r="C104" s="3" t="s">
        <v>1775</v>
      </c>
      <c r="D104" s="3" t="s">
        <v>1776</v>
      </c>
      <c r="E104" s="3" t="s">
        <v>1351</v>
      </c>
      <c r="F104" s="3" t="s">
        <v>1777</v>
      </c>
      <c r="G104" s="3" t="s">
        <v>1778</v>
      </c>
      <c r="H104" s="3" t="s">
        <v>209</v>
      </c>
      <c r="I104" s="3" t="s">
        <v>962</v>
      </c>
      <c r="J104" s="3" t="s">
        <v>30</v>
      </c>
      <c r="K104" s="3" t="s">
        <v>30</v>
      </c>
      <c r="L104" s="2" t="s">
        <v>361</v>
      </c>
      <c r="M104" s="2" t="s">
        <v>31</v>
      </c>
      <c r="N104" s="3" t="s">
        <v>507</v>
      </c>
      <c r="O104" s="3" t="s">
        <v>160</v>
      </c>
      <c r="P104" s="3" t="s">
        <v>34</v>
      </c>
      <c r="Q104" s="124">
        <v>118011</v>
      </c>
      <c r="R104" s="141">
        <v>1</v>
      </c>
      <c r="S104" s="143">
        <v>500.5</v>
      </c>
      <c r="T104" s="2"/>
      <c r="U104" s="124">
        <v>590.64499999999998</v>
      </c>
      <c r="V104" s="140">
        <v>9.2900000000000003E-4</v>
      </c>
      <c r="W104" s="140">
        <v>1.5980749094284901E-3</v>
      </c>
      <c r="X104" s="140">
        <v>3.1322820777970699E-4</v>
      </c>
    </row>
    <row r="105" spans="1:24">
      <c r="A105" s="3">
        <v>161</v>
      </c>
      <c r="B105" s="3">
        <v>9943</v>
      </c>
      <c r="C105" s="3" t="s">
        <v>1663</v>
      </c>
      <c r="D105" s="3" t="s">
        <v>1664</v>
      </c>
      <c r="E105" s="3" t="s">
        <v>1351</v>
      </c>
      <c r="F105" s="3" t="s">
        <v>1665</v>
      </c>
      <c r="G105" s="3" t="s">
        <v>1666</v>
      </c>
      <c r="H105" s="3" t="s">
        <v>209</v>
      </c>
      <c r="I105" s="3" t="s">
        <v>962</v>
      </c>
      <c r="J105" s="3" t="s">
        <v>30</v>
      </c>
      <c r="K105" s="3" t="s">
        <v>30</v>
      </c>
      <c r="L105" s="2" t="s">
        <v>361</v>
      </c>
      <c r="M105" s="2" t="s">
        <v>31</v>
      </c>
      <c r="N105" s="3" t="s">
        <v>478</v>
      </c>
      <c r="O105" s="3" t="s">
        <v>160</v>
      </c>
      <c r="P105" s="3" t="s">
        <v>34</v>
      </c>
      <c r="Q105" s="124">
        <v>168383</v>
      </c>
      <c r="R105" s="141">
        <v>1</v>
      </c>
      <c r="S105" s="143">
        <v>1515</v>
      </c>
      <c r="T105" s="2"/>
      <c r="U105" s="124">
        <v>2551.002</v>
      </c>
      <c r="V105" s="140">
        <v>5.0900000000000001E-4</v>
      </c>
      <c r="W105" s="140">
        <v>6.9021030053923096E-3</v>
      </c>
      <c r="X105" s="140">
        <v>1.3528360538888199E-3</v>
      </c>
    </row>
    <row r="106" spans="1:24">
      <c r="A106" s="3">
        <v>161</v>
      </c>
      <c r="B106" s="3">
        <v>9943</v>
      </c>
      <c r="C106" s="3" t="s">
        <v>1667</v>
      </c>
      <c r="D106" s="3" t="s">
        <v>1668</v>
      </c>
      <c r="E106" s="3" t="s">
        <v>1351</v>
      </c>
      <c r="F106" s="3" t="s">
        <v>1669</v>
      </c>
      <c r="G106" s="3" t="s">
        <v>1670</v>
      </c>
      <c r="H106" s="3" t="s">
        <v>209</v>
      </c>
      <c r="I106" s="3" t="s">
        <v>962</v>
      </c>
      <c r="J106" s="3" t="s">
        <v>30</v>
      </c>
      <c r="K106" s="3" t="s">
        <v>30</v>
      </c>
      <c r="L106" s="2" t="s">
        <v>361</v>
      </c>
      <c r="M106" s="2" t="s">
        <v>31</v>
      </c>
      <c r="N106" s="3" t="s">
        <v>476</v>
      </c>
      <c r="O106" s="3" t="s">
        <v>160</v>
      </c>
      <c r="P106" s="3" t="s">
        <v>34</v>
      </c>
      <c r="Q106" s="124">
        <v>33200</v>
      </c>
      <c r="R106" s="141">
        <v>1</v>
      </c>
      <c r="S106" s="143">
        <v>14880</v>
      </c>
      <c r="T106" s="2"/>
      <c r="U106" s="124">
        <v>4940.16</v>
      </c>
      <c r="V106" s="140">
        <v>4.17E-4</v>
      </c>
      <c r="W106" s="140">
        <v>1.33663114212685E-2</v>
      </c>
      <c r="X106" s="140">
        <v>2.6198432541604802E-3</v>
      </c>
    </row>
    <row r="107" spans="1:24">
      <c r="A107" s="3">
        <v>161</v>
      </c>
      <c r="B107" s="3">
        <v>9943</v>
      </c>
      <c r="C107" s="3" t="s">
        <v>1197</v>
      </c>
      <c r="D107" s="3" t="s">
        <v>1607</v>
      </c>
      <c r="E107" s="3" t="s">
        <v>1351</v>
      </c>
      <c r="F107" s="3" t="s">
        <v>1608</v>
      </c>
      <c r="G107" s="3" t="s">
        <v>1609</v>
      </c>
      <c r="H107" s="3" t="s">
        <v>209</v>
      </c>
      <c r="I107" s="3" t="s">
        <v>962</v>
      </c>
      <c r="J107" s="3" t="s">
        <v>30</v>
      </c>
      <c r="K107" s="3" t="s">
        <v>30</v>
      </c>
      <c r="L107" s="2" t="s">
        <v>361</v>
      </c>
      <c r="M107" s="2" t="s">
        <v>31</v>
      </c>
      <c r="N107" s="3" t="s">
        <v>479</v>
      </c>
      <c r="O107" s="3" t="s">
        <v>160</v>
      </c>
      <c r="P107" s="3" t="s">
        <v>34</v>
      </c>
      <c r="Q107" s="124">
        <v>183701</v>
      </c>
      <c r="R107" s="141">
        <v>1</v>
      </c>
      <c r="S107" s="143">
        <v>6262</v>
      </c>
      <c r="T107" s="2"/>
      <c r="U107" s="124">
        <v>11503.357</v>
      </c>
      <c r="V107" s="140">
        <v>1.1400000000000001E-4</v>
      </c>
      <c r="W107" s="140">
        <v>3.1123981201586701E-2</v>
      </c>
      <c r="X107" s="140">
        <v>6.10040793033208E-3</v>
      </c>
    </row>
    <row r="108" spans="1:24">
      <c r="A108" s="3">
        <v>161</v>
      </c>
      <c r="B108" s="3">
        <v>9943</v>
      </c>
      <c r="C108" s="3" t="s">
        <v>1779</v>
      </c>
      <c r="D108" s="3" t="s">
        <v>1780</v>
      </c>
      <c r="E108" s="3" t="s">
        <v>1351</v>
      </c>
      <c r="F108" s="3" t="s">
        <v>1781</v>
      </c>
      <c r="G108" s="3" t="s">
        <v>1782</v>
      </c>
      <c r="H108" s="3" t="s">
        <v>209</v>
      </c>
      <c r="I108" s="3" t="s">
        <v>962</v>
      </c>
      <c r="J108" s="3" t="s">
        <v>30</v>
      </c>
      <c r="K108" s="3" t="s">
        <v>30</v>
      </c>
      <c r="L108" s="2" t="s">
        <v>361</v>
      </c>
      <c r="M108" s="2" t="s">
        <v>31</v>
      </c>
      <c r="N108" s="3" t="s">
        <v>510</v>
      </c>
      <c r="O108" s="3" t="s">
        <v>160</v>
      </c>
      <c r="P108" s="3" t="s">
        <v>34</v>
      </c>
      <c r="Q108" s="124">
        <v>115000</v>
      </c>
      <c r="R108" s="141">
        <v>1</v>
      </c>
      <c r="S108" s="143">
        <v>2690</v>
      </c>
      <c r="T108" s="2"/>
      <c r="U108" s="124">
        <v>3093.5</v>
      </c>
      <c r="V108" s="140">
        <v>1.56E-3</v>
      </c>
      <c r="W108" s="140">
        <v>8.3699079344988908E-3</v>
      </c>
      <c r="X108" s="140">
        <v>1.6405308951016699E-3</v>
      </c>
    </row>
    <row r="109" spans="1:24">
      <c r="A109" s="3">
        <v>161</v>
      </c>
      <c r="B109" s="3">
        <v>9943</v>
      </c>
      <c r="C109" s="3" t="s">
        <v>1671</v>
      </c>
      <c r="D109" s="3" t="s">
        <v>1672</v>
      </c>
      <c r="E109" s="3" t="s">
        <v>1351</v>
      </c>
      <c r="F109" s="3" t="s">
        <v>1673</v>
      </c>
      <c r="G109" s="3" t="s">
        <v>1674</v>
      </c>
      <c r="H109" s="3" t="s">
        <v>209</v>
      </c>
      <c r="I109" s="3" t="s">
        <v>962</v>
      </c>
      <c r="J109" s="3" t="s">
        <v>30</v>
      </c>
      <c r="K109" s="3" t="s">
        <v>30</v>
      </c>
      <c r="L109" s="2" t="s">
        <v>361</v>
      </c>
      <c r="M109" s="2" t="s">
        <v>31</v>
      </c>
      <c r="N109" s="3" t="s">
        <v>479</v>
      </c>
      <c r="O109" s="3" t="s">
        <v>160</v>
      </c>
      <c r="P109" s="3" t="s">
        <v>34</v>
      </c>
      <c r="Q109" s="124">
        <v>36476</v>
      </c>
      <c r="R109" s="141">
        <v>1</v>
      </c>
      <c r="S109" s="143">
        <v>21950</v>
      </c>
      <c r="T109" s="2"/>
      <c r="U109" s="124">
        <v>8006.482</v>
      </c>
      <c r="V109" s="140">
        <v>1.4100000000000001E-4</v>
      </c>
      <c r="W109" s="140">
        <v>2.1662685378769201E-2</v>
      </c>
      <c r="X109" s="140">
        <v>4.2459612355181496E-3</v>
      </c>
    </row>
    <row r="110" spans="1:24">
      <c r="A110" s="3">
        <v>161</v>
      </c>
      <c r="B110" s="3">
        <v>9943</v>
      </c>
      <c r="C110" s="3" t="s">
        <v>1675</v>
      </c>
      <c r="D110" s="3" t="s">
        <v>1676</v>
      </c>
      <c r="E110" s="3" t="s">
        <v>1351</v>
      </c>
      <c r="F110" s="3" t="s">
        <v>1677</v>
      </c>
      <c r="G110" s="3" t="s">
        <v>1678</v>
      </c>
      <c r="H110" s="3" t="s">
        <v>209</v>
      </c>
      <c r="I110" s="3" t="s">
        <v>962</v>
      </c>
      <c r="J110" s="3" t="s">
        <v>30</v>
      </c>
      <c r="K110" s="3" t="s">
        <v>30</v>
      </c>
      <c r="L110" s="2" t="s">
        <v>361</v>
      </c>
      <c r="M110" s="2" t="s">
        <v>31</v>
      </c>
      <c r="N110" s="3" t="s">
        <v>495</v>
      </c>
      <c r="O110" s="3" t="s">
        <v>160</v>
      </c>
      <c r="P110" s="3" t="s">
        <v>34</v>
      </c>
      <c r="Q110" s="124">
        <v>9853</v>
      </c>
      <c r="R110" s="141">
        <v>1</v>
      </c>
      <c r="S110" s="143">
        <v>38400</v>
      </c>
      <c r="T110" s="2"/>
      <c r="U110" s="124">
        <v>3783.5520000000001</v>
      </c>
      <c r="V110" s="140">
        <v>2.0699999999999999E-4</v>
      </c>
      <c r="W110" s="140">
        <v>1.02369425910422E-2</v>
      </c>
      <c r="X110" s="140">
        <v>2.0064761432758101E-3</v>
      </c>
    </row>
    <row r="111" spans="1:24">
      <c r="A111" s="3">
        <v>161</v>
      </c>
      <c r="B111" s="3">
        <v>9943</v>
      </c>
      <c r="C111" s="3" t="s">
        <v>1679</v>
      </c>
      <c r="D111" s="3" t="s">
        <v>1680</v>
      </c>
      <c r="E111" s="3" t="s">
        <v>1351</v>
      </c>
      <c r="F111" s="3" t="s">
        <v>1681</v>
      </c>
      <c r="G111" s="3" t="s">
        <v>1682</v>
      </c>
      <c r="H111" s="3" t="s">
        <v>209</v>
      </c>
      <c r="I111" s="3" t="s">
        <v>962</v>
      </c>
      <c r="J111" s="3" t="s">
        <v>30</v>
      </c>
      <c r="K111" s="3" t="s">
        <v>30</v>
      </c>
      <c r="L111" s="2" t="s">
        <v>361</v>
      </c>
      <c r="M111" s="2" t="s">
        <v>31</v>
      </c>
      <c r="N111" s="3" t="s">
        <v>476</v>
      </c>
      <c r="O111" s="3" t="s">
        <v>160</v>
      </c>
      <c r="P111" s="3" t="s">
        <v>34</v>
      </c>
      <c r="Q111" s="124">
        <v>6500</v>
      </c>
      <c r="R111" s="141">
        <v>1</v>
      </c>
      <c r="S111" s="143">
        <v>26530</v>
      </c>
      <c r="T111" s="2"/>
      <c r="U111" s="124">
        <v>1724.45</v>
      </c>
      <c r="V111" s="140">
        <v>1.03E-4</v>
      </c>
      <c r="W111" s="140">
        <v>4.6657468038295196E-3</v>
      </c>
      <c r="X111" s="140">
        <v>9.1450250591823903E-4</v>
      </c>
    </row>
    <row r="112" spans="1:24">
      <c r="A112" s="3">
        <v>161</v>
      </c>
      <c r="B112" s="3">
        <v>9943</v>
      </c>
      <c r="C112" s="3" t="s">
        <v>1783</v>
      </c>
      <c r="D112" s="3" t="s">
        <v>1784</v>
      </c>
      <c r="E112" s="3" t="s">
        <v>1351</v>
      </c>
      <c r="F112" s="3" t="s">
        <v>1785</v>
      </c>
      <c r="G112" s="3" t="s">
        <v>1786</v>
      </c>
      <c r="H112" s="3" t="s">
        <v>209</v>
      </c>
      <c r="I112" s="3" t="s">
        <v>962</v>
      </c>
      <c r="J112" s="3" t="s">
        <v>30</v>
      </c>
      <c r="K112" s="3" t="s">
        <v>30</v>
      </c>
      <c r="L112" s="2" t="s">
        <v>361</v>
      </c>
      <c r="M112" s="2" t="s">
        <v>31</v>
      </c>
      <c r="N112" s="3" t="s">
        <v>495</v>
      </c>
      <c r="O112" s="3" t="s">
        <v>160</v>
      </c>
      <c r="P112" s="3" t="s">
        <v>34</v>
      </c>
      <c r="Q112" s="124">
        <v>535000</v>
      </c>
      <c r="R112" s="141">
        <v>1</v>
      </c>
      <c r="S112" s="143">
        <v>217</v>
      </c>
      <c r="T112" s="123">
        <v>17.12</v>
      </c>
      <c r="U112" s="124">
        <v>1178.07</v>
      </c>
      <c r="V112" s="140">
        <v>7.0399999999999998E-4</v>
      </c>
      <c r="W112" s="140">
        <v>3.18743734940847E-3</v>
      </c>
      <c r="X112" s="140">
        <v>6.2474874142312E-4</v>
      </c>
    </row>
    <row r="113" spans="1:24">
      <c r="A113" s="3">
        <v>161</v>
      </c>
      <c r="B113" s="3">
        <v>9943</v>
      </c>
      <c r="C113" s="3" t="s">
        <v>1683</v>
      </c>
      <c r="D113" s="3" t="s">
        <v>1684</v>
      </c>
      <c r="E113" s="3" t="s">
        <v>348</v>
      </c>
      <c r="F113" s="3" t="s">
        <v>1685</v>
      </c>
      <c r="G113" s="3" t="s">
        <v>1686</v>
      </c>
      <c r="H113" s="3" t="s">
        <v>209</v>
      </c>
      <c r="I113" s="3" t="s">
        <v>962</v>
      </c>
      <c r="J113" s="3" t="s">
        <v>30</v>
      </c>
      <c r="K113" s="3" t="s">
        <v>86</v>
      </c>
      <c r="L113" s="2" t="s">
        <v>361</v>
      </c>
      <c r="M113" s="2" t="s">
        <v>31</v>
      </c>
      <c r="N113" s="3" t="s">
        <v>485</v>
      </c>
      <c r="O113" s="3" t="s">
        <v>160</v>
      </c>
      <c r="P113" s="3" t="s">
        <v>34</v>
      </c>
      <c r="Q113" s="124">
        <v>42000</v>
      </c>
      <c r="R113" s="141">
        <v>1</v>
      </c>
      <c r="S113" s="143">
        <v>9900</v>
      </c>
      <c r="T113" s="2"/>
      <c r="U113" s="124">
        <v>4158</v>
      </c>
      <c r="V113" s="140">
        <v>4.0499999999999998E-4</v>
      </c>
      <c r="W113" s="140">
        <v>1.1250065360157199E-2</v>
      </c>
      <c r="X113" s="140">
        <v>2.2050517090133298E-3</v>
      </c>
    </row>
    <row r="114" spans="1:24">
      <c r="A114" s="3">
        <v>161</v>
      </c>
      <c r="B114" s="3">
        <v>9943</v>
      </c>
      <c r="C114" s="3" t="s">
        <v>1687</v>
      </c>
      <c r="D114" s="3" t="s">
        <v>1688</v>
      </c>
      <c r="E114" s="3" t="s">
        <v>1351</v>
      </c>
      <c r="F114" s="3" t="s">
        <v>1689</v>
      </c>
      <c r="G114" s="3" t="s">
        <v>1690</v>
      </c>
      <c r="H114" s="3" t="s">
        <v>209</v>
      </c>
      <c r="I114" s="3" t="s">
        <v>962</v>
      </c>
      <c r="J114" s="3" t="s">
        <v>30</v>
      </c>
      <c r="K114" s="3" t="s">
        <v>334</v>
      </c>
      <c r="L114" s="2" t="s">
        <v>361</v>
      </c>
      <c r="M114" s="2" t="s">
        <v>31</v>
      </c>
      <c r="N114" s="3" t="s">
        <v>489</v>
      </c>
      <c r="O114" s="3" t="s">
        <v>160</v>
      </c>
      <c r="P114" s="3" t="s">
        <v>34</v>
      </c>
      <c r="Q114" s="124">
        <v>1526</v>
      </c>
      <c r="R114" s="141">
        <v>1</v>
      </c>
      <c r="S114" s="143">
        <v>95280</v>
      </c>
      <c r="T114" s="2"/>
      <c r="U114" s="124">
        <v>1453.973</v>
      </c>
      <c r="V114" s="140">
        <v>5.1999999999999997E-5</v>
      </c>
      <c r="W114" s="140">
        <v>3.9339319461016899E-3</v>
      </c>
      <c r="X114" s="140">
        <v>7.7106426346774796E-4</v>
      </c>
    </row>
    <row r="115" spans="1:24">
      <c r="A115" s="3">
        <v>161</v>
      </c>
      <c r="B115" s="3">
        <v>9943</v>
      </c>
      <c r="C115" s="3" t="s">
        <v>1691</v>
      </c>
      <c r="D115" s="3" t="s">
        <v>1692</v>
      </c>
      <c r="E115" s="3" t="s">
        <v>348</v>
      </c>
      <c r="F115" s="3" t="s">
        <v>1693</v>
      </c>
      <c r="G115" s="3" t="s">
        <v>1694</v>
      </c>
      <c r="H115" s="3" t="s">
        <v>209</v>
      </c>
      <c r="I115" s="3" t="s">
        <v>962</v>
      </c>
      <c r="J115" s="3" t="s">
        <v>30</v>
      </c>
      <c r="K115" s="3" t="s">
        <v>30</v>
      </c>
      <c r="L115" s="2" t="s">
        <v>361</v>
      </c>
      <c r="M115" s="2" t="s">
        <v>31</v>
      </c>
      <c r="N115" s="3" t="s">
        <v>485</v>
      </c>
      <c r="O115" s="3" t="s">
        <v>160</v>
      </c>
      <c r="P115" s="3" t="s">
        <v>34</v>
      </c>
      <c r="Q115" s="124">
        <v>94264</v>
      </c>
      <c r="R115" s="141">
        <v>1</v>
      </c>
      <c r="S115" s="143">
        <v>1656</v>
      </c>
      <c r="T115" s="2"/>
      <c r="U115" s="124">
        <v>1561.0119999999999</v>
      </c>
      <c r="V115" s="140">
        <v>8.0000000000000007E-5</v>
      </c>
      <c r="W115" s="140">
        <v>4.22354142087044E-3</v>
      </c>
      <c r="X115" s="140">
        <v>8.27828721881203E-4</v>
      </c>
    </row>
    <row r="116" spans="1:24">
      <c r="A116" s="3">
        <v>161</v>
      </c>
      <c r="B116" s="3">
        <v>9943</v>
      </c>
      <c r="C116" s="3" t="s">
        <v>1695</v>
      </c>
      <c r="D116" s="3" t="s">
        <v>1696</v>
      </c>
      <c r="E116" s="3" t="s">
        <v>1351</v>
      </c>
      <c r="F116" s="3" t="s">
        <v>1697</v>
      </c>
      <c r="G116" s="3" t="s">
        <v>1698</v>
      </c>
      <c r="H116" s="3" t="s">
        <v>209</v>
      </c>
      <c r="I116" s="3" t="s">
        <v>962</v>
      </c>
      <c r="J116" s="3" t="s">
        <v>30</v>
      </c>
      <c r="K116" s="3" t="s">
        <v>86</v>
      </c>
      <c r="L116" s="2" t="s">
        <v>361</v>
      </c>
      <c r="M116" s="2" t="s">
        <v>31</v>
      </c>
      <c r="N116" s="3" t="s">
        <v>512</v>
      </c>
      <c r="O116" s="3" t="s">
        <v>160</v>
      </c>
      <c r="P116" s="3" t="s">
        <v>34</v>
      </c>
      <c r="Q116" s="124">
        <v>5093</v>
      </c>
      <c r="R116" s="141">
        <v>1</v>
      </c>
      <c r="S116" s="143">
        <v>57150</v>
      </c>
      <c r="T116" s="2"/>
      <c r="U116" s="124">
        <v>2910.6489999999999</v>
      </c>
      <c r="V116" s="140">
        <v>6.7999999999999999E-5</v>
      </c>
      <c r="W116" s="140">
        <v>7.8751796814595897E-3</v>
      </c>
      <c r="X116" s="140">
        <v>1.5435624469249099E-3</v>
      </c>
    </row>
    <row r="117" spans="1:24">
      <c r="A117" s="3">
        <v>161</v>
      </c>
      <c r="B117" s="3">
        <v>9943</v>
      </c>
      <c r="C117" s="3" t="s">
        <v>1699</v>
      </c>
      <c r="D117" s="3" t="s">
        <v>1700</v>
      </c>
      <c r="E117" s="3" t="s">
        <v>1351</v>
      </c>
      <c r="F117" s="3" t="s">
        <v>1699</v>
      </c>
      <c r="G117" s="3" t="s">
        <v>1701</v>
      </c>
      <c r="H117" s="3" t="s">
        <v>209</v>
      </c>
      <c r="I117" s="3" t="s">
        <v>962</v>
      </c>
      <c r="J117" s="3" t="s">
        <v>30</v>
      </c>
      <c r="K117" s="3" t="s">
        <v>30</v>
      </c>
      <c r="L117" s="2" t="s">
        <v>361</v>
      </c>
      <c r="M117" s="2" t="s">
        <v>31</v>
      </c>
      <c r="N117" s="3" t="s">
        <v>470</v>
      </c>
      <c r="O117" s="3" t="s">
        <v>160</v>
      </c>
      <c r="P117" s="3" t="s">
        <v>34</v>
      </c>
      <c r="Q117" s="124">
        <v>55675</v>
      </c>
      <c r="R117" s="141">
        <v>1</v>
      </c>
      <c r="S117" s="143">
        <v>12570</v>
      </c>
      <c r="T117" s="2"/>
      <c r="U117" s="124">
        <v>6998.3469999999998</v>
      </c>
      <c r="V117" s="140">
        <v>6.8499999999999995E-4</v>
      </c>
      <c r="W117" s="140">
        <v>1.8935032897569301E-2</v>
      </c>
      <c r="X117" s="140">
        <v>3.7113319180240899E-3</v>
      </c>
    </row>
    <row r="118" spans="1:24">
      <c r="A118" s="3">
        <v>161</v>
      </c>
      <c r="B118" s="3">
        <v>9943</v>
      </c>
      <c r="C118" s="3" t="s">
        <v>1702</v>
      </c>
      <c r="D118" s="3" t="s">
        <v>1703</v>
      </c>
      <c r="E118" s="3" t="s">
        <v>1351</v>
      </c>
      <c r="F118" s="3" t="s">
        <v>1704</v>
      </c>
      <c r="G118" s="3" t="s">
        <v>1705</v>
      </c>
      <c r="H118" s="3" t="s">
        <v>209</v>
      </c>
      <c r="I118" s="3" t="s">
        <v>962</v>
      </c>
      <c r="J118" s="3" t="s">
        <v>30</v>
      </c>
      <c r="K118" s="3" t="s">
        <v>30</v>
      </c>
      <c r="L118" s="2" t="s">
        <v>361</v>
      </c>
      <c r="M118" s="2" t="s">
        <v>31</v>
      </c>
      <c r="N118" s="3" t="s">
        <v>495</v>
      </c>
      <c r="O118" s="3" t="s">
        <v>160</v>
      </c>
      <c r="P118" s="3" t="s">
        <v>34</v>
      </c>
      <c r="Q118" s="124">
        <v>11636</v>
      </c>
      <c r="R118" s="141">
        <v>1</v>
      </c>
      <c r="S118" s="143">
        <v>30970</v>
      </c>
      <c r="T118" s="2"/>
      <c r="U118" s="124">
        <v>3603.6689999999999</v>
      </c>
      <c r="V118" s="140">
        <v>9.6000000000000002E-5</v>
      </c>
      <c r="W118" s="140">
        <v>9.7502438759946002E-3</v>
      </c>
      <c r="X118" s="140">
        <v>1.9110815123084899E-3</v>
      </c>
    </row>
    <row r="119" spans="1:24">
      <c r="A119" s="3">
        <v>161</v>
      </c>
      <c r="B119" s="3">
        <v>9943</v>
      </c>
      <c r="C119" s="3" t="s">
        <v>1610</v>
      </c>
      <c r="D119" s="3" t="s">
        <v>1611</v>
      </c>
      <c r="E119" s="3" t="s">
        <v>1351</v>
      </c>
      <c r="F119" s="3" t="s">
        <v>1612</v>
      </c>
      <c r="G119" s="3" t="s">
        <v>1613</v>
      </c>
      <c r="H119" s="3" t="s">
        <v>209</v>
      </c>
      <c r="I119" s="3" t="s">
        <v>962</v>
      </c>
      <c r="J119" s="3" t="s">
        <v>30</v>
      </c>
      <c r="K119" s="3" t="s">
        <v>30</v>
      </c>
      <c r="L119" s="2" t="s">
        <v>361</v>
      </c>
      <c r="M119" s="2" t="s">
        <v>31</v>
      </c>
      <c r="N119" s="3" t="s">
        <v>479</v>
      </c>
      <c r="O119" s="3" t="s">
        <v>160</v>
      </c>
      <c r="P119" s="3" t="s">
        <v>34</v>
      </c>
      <c r="Q119" s="124">
        <v>215864</v>
      </c>
      <c r="R119" s="141">
        <v>1</v>
      </c>
      <c r="S119" s="143">
        <v>6462</v>
      </c>
      <c r="T119" s="2"/>
      <c r="U119" s="124">
        <v>13949.132</v>
      </c>
      <c r="V119" s="140">
        <v>1.6100000000000001E-4</v>
      </c>
      <c r="W119" s="140">
        <v>3.77413764111207E-2</v>
      </c>
      <c r="X119" s="140">
        <v>7.3974402718220301E-3</v>
      </c>
    </row>
    <row r="120" spans="1:24">
      <c r="A120" s="3">
        <v>161</v>
      </c>
      <c r="B120" s="3">
        <v>9943</v>
      </c>
      <c r="C120" s="3" t="s">
        <v>1706</v>
      </c>
      <c r="D120" s="3" t="s">
        <v>1707</v>
      </c>
      <c r="E120" s="3" t="s">
        <v>1351</v>
      </c>
      <c r="F120" s="3" t="s">
        <v>1708</v>
      </c>
      <c r="G120" s="3" t="s">
        <v>1709</v>
      </c>
      <c r="H120" s="3" t="s">
        <v>209</v>
      </c>
      <c r="I120" s="3" t="s">
        <v>962</v>
      </c>
      <c r="J120" s="3" t="s">
        <v>30</v>
      </c>
      <c r="K120" s="3" t="s">
        <v>30</v>
      </c>
      <c r="L120" s="2" t="s">
        <v>361</v>
      </c>
      <c r="M120" s="2" t="s">
        <v>31</v>
      </c>
      <c r="N120" s="3" t="s">
        <v>507</v>
      </c>
      <c r="O120" s="3" t="s">
        <v>160</v>
      </c>
      <c r="P120" s="3" t="s">
        <v>34</v>
      </c>
      <c r="Q120" s="124">
        <v>7658</v>
      </c>
      <c r="R120" s="141">
        <v>1</v>
      </c>
      <c r="S120" s="143">
        <v>33720</v>
      </c>
      <c r="T120" s="2"/>
      <c r="U120" s="124">
        <v>2582.2779999999998</v>
      </c>
      <c r="V120" s="140">
        <v>5.5199999999999997E-4</v>
      </c>
      <c r="W120" s="140">
        <v>6.9867224093482297E-3</v>
      </c>
      <c r="X120" s="140">
        <v>1.3694217496456999E-3</v>
      </c>
    </row>
    <row r="121" spans="1:24">
      <c r="A121" s="3">
        <v>161</v>
      </c>
      <c r="B121" s="3">
        <v>9943</v>
      </c>
      <c r="C121" s="3" t="s">
        <v>1710</v>
      </c>
      <c r="D121" s="3" t="s">
        <v>1711</v>
      </c>
      <c r="E121" s="3" t="s">
        <v>1351</v>
      </c>
      <c r="F121" s="3" t="s">
        <v>1712</v>
      </c>
      <c r="G121" s="3" t="s">
        <v>1713</v>
      </c>
      <c r="H121" s="3" t="s">
        <v>209</v>
      </c>
      <c r="I121" s="3" t="s">
        <v>962</v>
      </c>
      <c r="J121" s="3" t="s">
        <v>30</v>
      </c>
      <c r="K121" s="3" t="s">
        <v>30</v>
      </c>
      <c r="L121" s="2" t="s">
        <v>361</v>
      </c>
      <c r="M121" s="2" t="s">
        <v>31</v>
      </c>
      <c r="N121" s="3" t="s">
        <v>508</v>
      </c>
      <c r="O121" s="3" t="s">
        <v>160</v>
      </c>
      <c r="P121" s="3" t="s">
        <v>34</v>
      </c>
      <c r="Q121" s="124">
        <v>8801</v>
      </c>
      <c r="R121" s="141">
        <v>1</v>
      </c>
      <c r="S121" s="143">
        <v>42880</v>
      </c>
      <c r="T121" s="2"/>
      <c r="U121" s="124">
        <v>3773.8690000000001</v>
      </c>
      <c r="V121" s="140">
        <v>5.53E-4</v>
      </c>
      <c r="W121" s="140">
        <v>1.0210743304631601E-2</v>
      </c>
      <c r="X121" s="140">
        <v>2.00134099255221E-3</v>
      </c>
    </row>
    <row r="122" spans="1:24">
      <c r="A122" s="3">
        <v>161</v>
      </c>
      <c r="B122" s="3">
        <v>9943</v>
      </c>
      <c r="C122" s="3" t="s">
        <v>1714</v>
      </c>
      <c r="D122" s="3" t="s">
        <v>1715</v>
      </c>
      <c r="E122" s="3" t="s">
        <v>1351</v>
      </c>
      <c r="F122" s="3" t="s">
        <v>1716</v>
      </c>
      <c r="G122" s="3" t="s">
        <v>1717</v>
      </c>
      <c r="H122" s="3" t="s">
        <v>209</v>
      </c>
      <c r="I122" s="3" t="s">
        <v>962</v>
      </c>
      <c r="J122" s="3" t="s">
        <v>30</v>
      </c>
      <c r="K122" s="3" t="s">
        <v>30</v>
      </c>
      <c r="L122" s="2" t="s">
        <v>361</v>
      </c>
      <c r="M122" s="2" t="s">
        <v>31</v>
      </c>
      <c r="N122" s="3" t="s">
        <v>494</v>
      </c>
      <c r="O122" s="3" t="s">
        <v>160</v>
      </c>
      <c r="P122" s="3" t="s">
        <v>34</v>
      </c>
      <c r="Q122" s="124">
        <v>192407</v>
      </c>
      <c r="R122" s="141">
        <v>1</v>
      </c>
      <c r="S122" s="143">
        <v>922.7</v>
      </c>
      <c r="T122" s="2"/>
      <c r="U122" s="124">
        <v>1775.3389999999999</v>
      </c>
      <c r="V122" s="140">
        <v>6.6699999999999995E-4</v>
      </c>
      <c r="W122" s="140">
        <v>4.80343534456749E-3</v>
      </c>
      <c r="X122" s="140">
        <v>9.4148993597718399E-4</v>
      </c>
    </row>
    <row r="123" spans="1:24">
      <c r="A123" s="3">
        <v>161</v>
      </c>
      <c r="B123" s="3">
        <v>9943</v>
      </c>
      <c r="C123" s="3" t="s">
        <v>1718</v>
      </c>
      <c r="D123" s="3" t="s">
        <v>1719</v>
      </c>
      <c r="E123" s="3" t="s">
        <v>1351</v>
      </c>
      <c r="F123" s="3" t="s">
        <v>1720</v>
      </c>
      <c r="G123" s="3" t="s">
        <v>1721</v>
      </c>
      <c r="H123" s="3" t="s">
        <v>209</v>
      </c>
      <c r="I123" s="3" t="s">
        <v>962</v>
      </c>
      <c r="J123" s="3" t="s">
        <v>30</v>
      </c>
      <c r="K123" s="3" t="s">
        <v>334</v>
      </c>
      <c r="L123" s="2" t="s">
        <v>361</v>
      </c>
      <c r="M123" s="2" t="s">
        <v>31</v>
      </c>
      <c r="N123" s="3" t="s">
        <v>489</v>
      </c>
      <c r="O123" s="3" t="s">
        <v>160</v>
      </c>
      <c r="P123" s="3" t="s">
        <v>34</v>
      </c>
      <c r="Q123" s="124">
        <v>1193</v>
      </c>
      <c r="R123" s="141">
        <v>1</v>
      </c>
      <c r="S123" s="143">
        <v>29040</v>
      </c>
      <c r="T123" s="2"/>
      <c r="U123" s="124">
        <v>346.447</v>
      </c>
      <c r="V123" s="140">
        <v>2.5000000000000001E-5</v>
      </c>
      <c r="W123" s="140">
        <v>9.3736258870694199E-4</v>
      </c>
      <c r="X123" s="140">
        <v>1.8372630842782199E-4</v>
      </c>
    </row>
    <row r="124" spans="1:24">
      <c r="A124" s="3">
        <v>161</v>
      </c>
      <c r="B124" s="3">
        <v>9943</v>
      </c>
      <c r="C124" s="3" t="s">
        <v>1722</v>
      </c>
      <c r="D124" s="3" t="s">
        <v>1723</v>
      </c>
      <c r="E124" s="3" t="s">
        <v>348</v>
      </c>
      <c r="F124" s="3" t="s">
        <v>1724</v>
      </c>
      <c r="G124" s="3" t="s">
        <v>1725</v>
      </c>
      <c r="H124" s="3" t="s">
        <v>209</v>
      </c>
      <c r="I124" s="3" t="s">
        <v>962</v>
      </c>
      <c r="J124" s="3" t="s">
        <v>30</v>
      </c>
      <c r="K124" s="3" t="s">
        <v>30</v>
      </c>
      <c r="L124" s="2" t="s">
        <v>361</v>
      </c>
      <c r="M124" s="2" t="s">
        <v>31</v>
      </c>
      <c r="N124" s="3" t="s">
        <v>485</v>
      </c>
      <c r="O124" s="3" t="s">
        <v>160</v>
      </c>
      <c r="P124" s="3" t="s">
        <v>34</v>
      </c>
      <c r="Q124" s="124">
        <v>69416</v>
      </c>
      <c r="R124" s="141">
        <v>1</v>
      </c>
      <c r="S124" s="143">
        <v>483.9</v>
      </c>
      <c r="T124" s="2"/>
      <c r="U124" s="124">
        <v>335.904</v>
      </c>
      <c r="V124" s="140">
        <v>6.2000000000000003E-5</v>
      </c>
      <c r="W124" s="140">
        <v>9.0883651388644197E-4</v>
      </c>
      <c r="X124" s="140">
        <v>1.7813509913074899E-4</v>
      </c>
    </row>
    <row r="125" spans="1:24">
      <c r="A125" s="3">
        <v>161</v>
      </c>
      <c r="B125" s="3">
        <v>9943</v>
      </c>
      <c r="C125" s="3" t="s">
        <v>1726</v>
      </c>
      <c r="D125" s="3" t="s">
        <v>1727</v>
      </c>
      <c r="E125" s="3" t="s">
        <v>1351</v>
      </c>
      <c r="F125" s="3" t="s">
        <v>1728</v>
      </c>
      <c r="G125" s="3" t="s">
        <v>1729</v>
      </c>
      <c r="H125" s="3" t="s">
        <v>209</v>
      </c>
      <c r="I125" s="3" t="s">
        <v>962</v>
      </c>
      <c r="J125" s="3" t="s">
        <v>30</v>
      </c>
      <c r="K125" s="3" t="s">
        <v>30</v>
      </c>
      <c r="L125" s="2" t="s">
        <v>361</v>
      </c>
      <c r="M125" s="2" t="s">
        <v>31</v>
      </c>
      <c r="N125" s="3" t="s">
        <v>507</v>
      </c>
      <c r="O125" s="3" t="s">
        <v>160</v>
      </c>
      <c r="P125" s="3" t="s">
        <v>34</v>
      </c>
      <c r="Q125" s="124">
        <v>45000</v>
      </c>
      <c r="R125" s="141">
        <v>1</v>
      </c>
      <c r="S125" s="143">
        <v>3869</v>
      </c>
      <c r="T125" s="2"/>
      <c r="U125" s="124">
        <v>1741.05</v>
      </c>
      <c r="V125" s="140">
        <v>1.63E-4</v>
      </c>
      <c r="W125" s="140">
        <v>4.7106604846805598E-3</v>
      </c>
      <c r="X125" s="140">
        <v>9.2330574265937001E-4</v>
      </c>
    </row>
    <row r="126" spans="1:24">
      <c r="A126" s="3">
        <v>161</v>
      </c>
      <c r="B126" s="3">
        <v>9943</v>
      </c>
      <c r="C126" s="3" t="s">
        <v>1787</v>
      </c>
      <c r="D126" s="3" t="s">
        <v>1788</v>
      </c>
      <c r="E126" s="3" t="s">
        <v>1351</v>
      </c>
      <c r="F126" s="3" t="s">
        <v>1789</v>
      </c>
      <c r="G126" s="3" t="s">
        <v>1790</v>
      </c>
      <c r="H126" s="3" t="s">
        <v>209</v>
      </c>
      <c r="I126" s="3" t="s">
        <v>962</v>
      </c>
      <c r="J126" s="3" t="s">
        <v>30</v>
      </c>
      <c r="K126" s="3" t="s">
        <v>30</v>
      </c>
      <c r="L126" s="2" t="s">
        <v>361</v>
      </c>
      <c r="M126" s="2" t="s">
        <v>31</v>
      </c>
      <c r="N126" s="3" t="s">
        <v>478</v>
      </c>
      <c r="O126" s="3" t="s">
        <v>160</v>
      </c>
      <c r="P126" s="3" t="s">
        <v>34</v>
      </c>
      <c r="Q126" s="124">
        <v>174511</v>
      </c>
      <c r="R126" s="141">
        <v>1</v>
      </c>
      <c r="S126" s="143">
        <v>2410</v>
      </c>
      <c r="T126" s="2"/>
      <c r="U126" s="124">
        <v>4205.7150000000001</v>
      </c>
      <c r="V126" s="140">
        <v>6.1399999999999996E-4</v>
      </c>
      <c r="W126" s="140">
        <v>1.13791654067341E-2</v>
      </c>
      <c r="X126" s="140">
        <v>2.2303557645209598E-3</v>
      </c>
    </row>
    <row r="127" spans="1:24">
      <c r="A127" s="3">
        <v>161</v>
      </c>
      <c r="B127" s="3">
        <v>9943</v>
      </c>
      <c r="C127" s="3" t="s">
        <v>1791</v>
      </c>
      <c r="D127" s="3" t="s">
        <v>1792</v>
      </c>
      <c r="E127" s="3" t="s">
        <v>1351</v>
      </c>
      <c r="F127" s="3" t="s">
        <v>1793</v>
      </c>
      <c r="G127" s="3" t="s">
        <v>1794</v>
      </c>
      <c r="H127" s="3" t="s">
        <v>209</v>
      </c>
      <c r="I127" s="3" t="s">
        <v>962</v>
      </c>
      <c r="J127" s="3" t="s">
        <v>30</v>
      </c>
      <c r="K127" s="3" t="s">
        <v>30</v>
      </c>
      <c r="L127" s="2" t="s">
        <v>361</v>
      </c>
      <c r="M127" s="2" t="s">
        <v>31</v>
      </c>
      <c r="N127" s="3" t="s">
        <v>478</v>
      </c>
      <c r="O127" s="3" t="s">
        <v>160</v>
      </c>
      <c r="P127" s="3" t="s">
        <v>34</v>
      </c>
      <c r="Q127" s="124">
        <v>194374</v>
      </c>
      <c r="R127" s="141">
        <v>1</v>
      </c>
      <c r="S127" s="143">
        <v>2220</v>
      </c>
      <c r="T127" s="2"/>
      <c r="U127" s="124">
        <v>4315.1030000000001</v>
      </c>
      <c r="V127" s="140">
        <v>9.5010000000000008E-3</v>
      </c>
      <c r="W127" s="140">
        <v>1.1675129517988801E-2</v>
      </c>
      <c r="X127" s="140">
        <v>2.28836575365758E-3</v>
      </c>
    </row>
    <row r="128" spans="1:24">
      <c r="A128" s="3">
        <v>161</v>
      </c>
      <c r="B128" s="3">
        <v>9943</v>
      </c>
      <c r="C128" s="3" t="s">
        <v>1795</v>
      </c>
      <c r="D128" s="3" t="s">
        <v>1796</v>
      </c>
      <c r="E128" s="3" t="s">
        <v>1351</v>
      </c>
      <c r="F128" s="3" t="s">
        <v>1797</v>
      </c>
      <c r="G128" s="3" t="s">
        <v>1798</v>
      </c>
      <c r="H128" s="3" t="s">
        <v>209</v>
      </c>
      <c r="I128" s="3" t="s">
        <v>962</v>
      </c>
      <c r="J128" s="3" t="s">
        <v>30</v>
      </c>
      <c r="K128" s="3" t="s">
        <v>30</v>
      </c>
      <c r="L128" s="2" t="s">
        <v>361</v>
      </c>
      <c r="M128" s="2" t="s">
        <v>31</v>
      </c>
      <c r="N128" s="3" t="s">
        <v>510</v>
      </c>
      <c r="O128" s="3" t="s">
        <v>160</v>
      </c>
      <c r="P128" s="3" t="s">
        <v>34</v>
      </c>
      <c r="Q128" s="124">
        <v>34454</v>
      </c>
      <c r="R128" s="141">
        <v>1</v>
      </c>
      <c r="S128" s="143">
        <v>9160</v>
      </c>
      <c r="T128" s="2"/>
      <c r="U128" s="124">
        <v>3155.9859999999999</v>
      </c>
      <c r="V128" s="140">
        <v>2.3159999999999999E-3</v>
      </c>
      <c r="W128" s="140">
        <v>8.5389738517958908E-3</v>
      </c>
      <c r="X128" s="140">
        <v>1.67366839945715E-3</v>
      </c>
    </row>
    <row r="129" spans="1:24">
      <c r="A129" s="3">
        <v>161</v>
      </c>
      <c r="B129" s="3">
        <v>9943</v>
      </c>
      <c r="C129" s="3" t="s">
        <v>1622</v>
      </c>
      <c r="D129" s="3" t="s">
        <v>1623</v>
      </c>
      <c r="E129" s="3" t="s">
        <v>1351</v>
      </c>
      <c r="F129" s="3" t="s">
        <v>1624</v>
      </c>
      <c r="G129" s="3" t="s">
        <v>1625</v>
      </c>
      <c r="H129" s="3" t="s">
        <v>209</v>
      </c>
      <c r="I129" s="3" t="s">
        <v>962</v>
      </c>
      <c r="J129" s="3" t="s">
        <v>30</v>
      </c>
      <c r="K129" s="3" t="s">
        <v>30</v>
      </c>
      <c r="L129" s="2" t="s">
        <v>361</v>
      </c>
      <c r="M129" s="2" t="s">
        <v>31</v>
      </c>
      <c r="N129" s="3" t="s">
        <v>477</v>
      </c>
      <c r="O129" s="3" t="s">
        <v>160</v>
      </c>
      <c r="P129" s="3" t="s">
        <v>34</v>
      </c>
      <c r="Q129" s="124">
        <v>5506</v>
      </c>
      <c r="R129" s="141">
        <v>1</v>
      </c>
      <c r="S129" s="143">
        <v>149800</v>
      </c>
      <c r="T129" s="123">
        <v>11.249000000000001</v>
      </c>
      <c r="U129" s="124">
        <v>8259.2369999999992</v>
      </c>
      <c r="V129" s="140">
        <v>1.1900000000000001E-4</v>
      </c>
      <c r="W129" s="140">
        <v>2.2346549633240301E-2</v>
      </c>
      <c r="X129" s="140">
        <v>4.3800009939354801E-3</v>
      </c>
    </row>
    <row r="130" spans="1:24">
      <c r="A130" s="3">
        <v>161</v>
      </c>
      <c r="B130" s="3">
        <v>9943</v>
      </c>
      <c r="C130" s="3" t="s">
        <v>1626</v>
      </c>
      <c r="D130" s="3" t="s">
        <v>1627</v>
      </c>
      <c r="E130" s="3" t="s">
        <v>1351</v>
      </c>
      <c r="F130" s="3" t="s">
        <v>1628</v>
      </c>
      <c r="G130" s="3" t="s">
        <v>1629</v>
      </c>
      <c r="H130" s="3" t="s">
        <v>209</v>
      </c>
      <c r="I130" s="3" t="s">
        <v>962</v>
      </c>
      <c r="J130" s="3" t="s">
        <v>30</v>
      </c>
      <c r="K130" s="3" t="s">
        <v>30</v>
      </c>
      <c r="L130" s="2" t="s">
        <v>361</v>
      </c>
      <c r="M130" s="2" t="s">
        <v>31</v>
      </c>
      <c r="N130" s="3" t="s">
        <v>495</v>
      </c>
      <c r="O130" s="3" t="s">
        <v>160</v>
      </c>
      <c r="P130" s="3" t="s">
        <v>34</v>
      </c>
      <c r="Q130" s="124">
        <v>75000</v>
      </c>
      <c r="R130" s="141">
        <v>1</v>
      </c>
      <c r="S130" s="143">
        <v>3489</v>
      </c>
      <c r="T130" s="2"/>
      <c r="U130" s="124">
        <v>2616.75</v>
      </c>
      <c r="V130" s="140">
        <v>3.4900000000000003E-4</v>
      </c>
      <c r="W130" s="140">
        <v>7.0799924317439698E-3</v>
      </c>
      <c r="X130" s="140">
        <v>1.38770299652733E-3</v>
      </c>
    </row>
    <row r="131" spans="1:24">
      <c r="A131" s="3">
        <v>161</v>
      </c>
      <c r="B131" s="3">
        <v>9943</v>
      </c>
      <c r="C131" s="3" t="s">
        <v>1799</v>
      </c>
      <c r="D131" s="3" t="s">
        <v>1800</v>
      </c>
      <c r="E131" s="3" t="s">
        <v>1351</v>
      </c>
      <c r="F131" s="3" t="s">
        <v>1801</v>
      </c>
      <c r="G131" s="3" t="s">
        <v>1802</v>
      </c>
      <c r="H131" s="3" t="s">
        <v>209</v>
      </c>
      <c r="I131" s="3" t="s">
        <v>962</v>
      </c>
      <c r="J131" s="3" t="s">
        <v>30</v>
      </c>
      <c r="K131" s="3" t="s">
        <v>30</v>
      </c>
      <c r="L131" s="2" t="s">
        <v>361</v>
      </c>
      <c r="M131" s="2" t="s">
        <v>31</v>
      </c>
      <c r="N131" s="3" t="s">
        <v>507</v>
      </c>
      <c r="O131" s="3" t="s">
        <v>160</v>
      </c>
      <c r="P131" s="3" t="s">
        <v>34</v>
      </c>
      <c r="Q131" s="124">
        <v>27500</v>
      </c>
      <c r="R131" s="141">
        <v>1</v>
      </c>
      <c r="S131" s="143">
        <v>13120</v>
      </c>
      <c r="T131" s="2"/>
      <c r="U131" s="124">
        <v>3608</v>
      </c>
      <c r="V131" s="140">
        <v>1.093E-3</v>
      </c>
      <c r="W131" s="140">
        <v>9.7619614765385495E-3</v>
      </c>
      <c r="X131" s="140">
        <v>1.91337820253009E-3</v>
      </c>
    </row>
    <row r="132" spans="1:24">
      <c r="A132" s="3">
        <v>161</v>
      </c>
      <c r="B132" s="3">
        <v>9943</v>
      </c>
      <c r="C132" s="3" t="s">
        <v>1803</v>
      </c>
      <c r="D132" s="3" t="s">
        <v>1804</v>
      </c>
      <c r="E132" s="3" t="s">
        <v>349</v>
      </c>
      <c r="F132" s="3" t="s">
        <v>1803</v>
      </c>
      <c r="G132" s="3" t="s">
        <v>1805</v>
      </c>
      <c r="H132" s="3" t="s">
        <v>209</v>
      </c>
      <c r="I132" s="3" t="s">
        <v>962</v>
      </c>
      <c r="J132" s="3" t="s">
        <v>30</v>
      </c>
      <c r="K132" s="3" t="s">
        <v>276</v>
      </c>
      <c r="L132" s="2" t="s">
        <v>361</v>
      </c>
      <c r="M132" s="2" t="s">
        <v>31</v>
      </c>
      <c r="N132" s="3" t="s">
        <v>496</v>
      </c>
      <c r="O132" s="3" t="s">
        <v>160</v>
      </c>
      <c r="P132" s="3" t="s">
        <v>34</v>
      </c>
      <c r="Q132" s="124">
        <v>991</v>
      </c>
      <c r="R132" s="141">
        <v>1</v>
      </c>
      <c r="S132" s="143">
        <v>12250</v>
      </c>
      <c r="T132" s="2"/>
      <c r="U132" s="124">
        <v>121.39700000000001</v>
      </c>
      <c r="V132" s="140">
        <v>4.6E-5</v>
      </c>
      <c r="W132" s="140">
        <v>3.2845834765745199E-4</v>
      </c>
      <c r="X132" s="140">
        <v>6.4378971824181295E-5</v>
      </c>
    </row>
    <row r="133" spans="1:24">
      <c r="A133" s="3">
        <v>161</v>
      </c>
      <c r="B133" s="3">
        <v>9943</v>
      </c>
      <c r="C133" s="3" t="s">
        <v>1806</v>
      </c>
      <c r="D133" s="3" t="s">
        <v>1807</v>
      </c>
      <c r="E133" s="3" t="s">
        <v>1351</v>
      </c>
      <c r="F133" s="3" t="s">
        <v>1808</v>
      </c>
      <c r="G133" s="3" t="s">
        <v>1809</v>
      </c>
      <c r="H133" s="3" t="s">
        <v>209</v>
      </c>
      <c r="I133" s="3" t="s">
        <v>962</v>
      </c>
      <c r="J133" s="3" t="s">
        <v>30</v>
      </c>
      <c r="K133" s="3" t="s">
        <v>30</v>
      </c>
      <c r="L133" s="2" t="s">
        <v>361</v>
      </c>
      <c r="M133" s="2" t="s">
        <v>58</v>
      </c>
      <c r="N133" s="3" t="s">
        <v>477</v>
      </c>
      <c r="O133" s="3" t="s">
        <v>160</v>
      </c>
      <c r="P133" s="3" t="s">
        <v>34</v>
      </c>
      <c r="Q133" s="124">
        <v>150000</v>
      </c>
      <c r="R133" s="141">
        <v>1</v>
      </c>
      <c r="S133" s="143">
        <v>2040</v>
      </c>
      <c r="T133" s="2"/>
      <c r="U133" s="124">
        <v>3060</v>
      </c>
      <c r="V133" s="140">
        <v>1.4549999999999999E-3</v>
      </c>
      <c r="W133" s="140">
        <v>8.2792688797693904E-3</v>
      </c>
      <c r="X133" s="140">
        <v>1.6227653269795101E-3</v>
      </c>
    </row>
    <row r="134" spans="1:24">
      <c r="A134" s="3">
        <v>161</v>
      </c>
      <c r="B134" s="3">
        <v>9943</v>
      </c>
      <c r="C134" s="3" t="s">
        <v>1810</v>
      </c>
      <c r="D134" s="3" t="s">
        <v>1811</v>
      </c>
      <c r="E134" s="3" t="s">
        <v>1351</v>
      </c>
      <c r="F134" s="3" t="s">
        <v>1812</v>
      </c>
      <c r="G134" s="3" t="s">
        <v>1813</v>
      </c>
      <c r="H134" s="3" t="s">
        <v>209</v>
      </c>
      <c r="I134" s="3" t="s">
        <v>962</v>
      </c>
      <c r="J134" s="3" t="s">
        <v>30</v>
      </c>
      <c r="K134" s="3" t="s">
        <v>30</v>
      </c>
      <c r="L134" s="2" t="s">
        <v>361</v>
      </c>
      <c r="M134" s="2" t="s">
        <v>31</v>
      </c>
      <c r="N134" s="3" t="s">
        <v>478</v>
      </c>
      <c r="O134" s="3" t="s">
        <v>160</v>
      </c>
      <c r="P134" s="3" t="s">
        <v>34</v>
      </c>
      <c r="Q134" s="124">
        <v>29000</v>
      </c>
      <c r="R134" s="141">
        <v>1</v>
      </c>
      <c r="S134" s="143">
        <v>7670</v>
      </c>
      <c r="T134" s="2"/>
      <c r="U134" s="124">
        <v>2224.3000000000002</v>
      </c>
      <c r="V134" s="140">
        <v>2.5999999999999998E-4</v>
      </c>
      <c r="W134" s="140">
        <v>6.0181626696964204E-3</v>
      </c>
      <c r="X134" s="140">
        <v>1.1795806917648799E-3</v>
      </c>
    </row>
    <row r="135" spans="1:24">
      <c r="A135" s="3">
        <v>161</v>
      </c>
      <c r="B135" s="3">
        <v>9943</v>
      </c>
      <c r="C135" s="3" t="s">
        <v>1814</v>
      </c>
      <c r="D135" s="3" t="s">
        <v>1815</v>
      </c>
      <c r="E135" s="3" t="s">
        <v>1351</v>
      </c>
      <c r="F135" s="3" t="s">
        <v>1816</v>
      </c>
      <c r="G135" s="3" t="s">
        <v>1817</v>
      </c>
      <c r="H135" s="3" t="s">
        <v>209</v>
      </c>
      <c r="I135" s="3" t="s">
        <v>962</v>
      </c>
      <c r="J135" s="3" t="s">
        <v>30</v>
      </c>
      <c r="K135" s="3" t="s">
        <v>30</v>
      </c>
      <c r="L135" s="2" t="s">
        <v>361</v>
      </c>
      <c r="M135" s="2" t="s">
        <v>31</v>
      </c>
      <c r="N135" s="3" t="s">
        <v>495</v>
      </c>
      <c r="O135" s="3" t="s">
        <v>160</v>
      </c>
      <c r="P135" s="3" t="s">
        <v>34</v>
      </c>
      <c r="Q135" s="124">
        <v>504</v>
      </c>
      <c r="R135" s="141">
        <v>1</v>
      </c>
      <c r="S135" s="143">
        <v>64490</v>
      </c>
      <c r="T135" s="2"/>
      <c r="U135" s="124">
        <v>325.02999999999997</v>
      </c>
      <c r="V135" s="140">
        <v>2.0000000000000002E-5</v>
      </c>
      <c r="W135" s="140">
        <v>8.7941420009277603E-4</v>
      </c>
      <c r="X135" s="140">
        <v>1.7236822389608399E-4</v>
      </c>
    </row>
    <row r="136" spans="1:24">
      <c r="A136" s="3">
        <v>161</v>
      </c>
      <c r="B136" s="3">
        <v>9943</v>
      </c>
      <c r="C136" s="3" t="s">
        <v>1818</v>
      </c>
      <c r="D136" s="3" t="s">
        <v>1819</v>
      </c>
      <c r="E136" s="3" t="s">
        <v>1351</v>
      </c>
      <c r="F136" s="3" t="s">
        <v>1820</v>
      </c>
      <c r="G136" s="3" t="s">
        <v>1821</v>
      </c>
      <c r="H136" s="3" t="s">
        <v>209</v>
      </c>
      <c r="I136" s="3" t="s">
        <v>962</v>
      </c>
      <c r="J136" s="3" t="s">
        <v>30</v>
      </c>
      <c r="K136" s="3" t="s">
        <v>30</v>
      </c>
      <c r="L136" s="2" t="s">
        <v>361</v>
      </c>
      <c r="M136" s="2" t="s">
        <v>31</v>
      </c>
      <c r="N136" s="3" t="s">
        <v>479</v>
      </c>
      <c r="O136" s="3" t="s">
        <v>160</v>
      </c>
      <c r="P136" s="3" t="s">
        <v>34</v>
      </c>
      <c r="Q136" s="124">
        <v>1634</v>
      </c>
      <c r="R136" s="141">
        <v>1</v>
      </c>
      <c r="S136" s="143">
        <v>24370</v>
      </c>
      <c r="T136" s="2"/>
      <c r="U136" s="124">
        <v>398.20600000000002</v>
      </c>
      <c r="V136" s="140">
        <v>1.5999999999999999E-5</v>
      </c>
      <c r="W136" s="140">
        <v>1.0774029044717901E-3</v>
      </c>
      <c r="X136" s="140">
        <v>2.11174694523574E-4</v>
      </c>
    </row>
    <row r="137" spans="1:24">
      <c r="A137" s="3">
        <v>161</v>
      </c>
      <c r="B137" s="3">
        <v>9943</v>
      </c>
      <c r="C137" s="3" t="s">
        <v>1822</v>
      </c>
      <c r="D137" s="3" t="s">
        <v>1823</v>
      </c>
      <c r="E137" s="3" t="s">
        <v>1351</v>
      </c>
      <c r="F137" s="3" t="s">
        <v>1824</v>
      </c>
      <c r="G137" s="3" t="s">
        <v>1825</v>
      </c>
      <c r="H137" s="3" t="s">
        <v>209</v>
      </c>
      <c r="I137" s="3" t="s">
        <v>962</v>
      </c>
      <c r="J137" s="3" t="s">
        <v>30</v>
      </c>
      <c r="K137" s="3" t="s">
        <v>30</v>
      </c>
      <c r="L137" s="2" t="s">
        <v>361</v>
      </c>
      <c r="M137" s="2" t="s">
        <v>31</v>
      </c>
      <c r="N137" s="3" t="s">
        <v>494</v>
      </c>
      <c r="O137" s="3" t="s">
        <v>160</v>
      </c>
      <c r="P137" s="3" t="s">
        <v>34</v>
      </c>
      <c r="Q137" s="124">
        <v>9003</v>
      </c>
      <c r="R137" s="141">
        <v>1</v>
      </c>
      <c r="S137" s="143">
        <v>56070</v>
      </c>
      <c r="T137" s="2"/>
      <c r="U137" s="124">
        <v>5047.982</v>
      </c>
      <c r="V137" s="140">
        <v>9.8999999999999999E-4</v>
      </c>
      <c r="W137" s="140">
        <v>1.36580395771774E-2</v>
      </c>
      <c r="X137" s="140">
        <v>2.6770229814030099E-3</v>
      </c>
    </row>
    <row r="138" spans="1:24">
      <c r="A138" s="3">
        <v>161</v>
      </c>
      <c r="B138" s="3">
        <v>9943</v>
      </c>
      <c r="C138" s="3" t="s">
        <v>1826</v>
      </c>
      <c r="D138" s="3" t="s">
        <v>1827</v>
      </c>
      <c r="E138" s="3" t="s">
        <v>1351</v>
      </c>
      <c r="F138" s="3" t="s">
        <v>1828</v>
      </c>
      <c r="G138" s="3" t="s">
        <v>1829</v>
      </c>
      <c r="H138" s="3" t="s">
        <v>209</v>
      </c>
      <c r="I138" s="3" t="s">
        <v>962</v>
      </c>
      <c r="J138" s="3" t="s">
        <v>30</v>
      </c>
      <c r="K138" s="3" t="s">
        <v>30</v>
      </c>
      <c r="L138" s="2" t="s">
        <v>361</v>
      </c>
      <c r="M138" s="2" t="s">
        <v>31</v>
      </c>
      <c r="N138" s="3" t="s">
        <v>482</v>
      </c>
      <c r="O138" s="3" t="s">
        <v>160</v>
      </c>
      <c r="P138" s="3" t="s">
        <v>34</v>
      </c>
      <c r="Q138" s="124">
        <v>2733084</v>
      </c>
      <c r="R138" s="141">
        <v>1</v>
      </c>
      <c r="S138" s="143">
        <v>102.6</v>
      </c>
      <c r="T138" s="123">
        <v>32.281999999999996</v>
      </c>
      <c r="U138" s="124">
        <v>2836.4259999999999</v>
      </c>
      <c r="V138" s="140">
        <v>2.1519999999999998E-3</v>
      </c>
      <c r="W138" s="140">
        <v>7.67435663702067E-3</v>
      </c>
      <c r="X138" s="140">
        <v>1.50420043584562E-3</v>
      </c>
    </row>
    <row r="139" spans="1:24">
      <c r="A139" s="3">
        <v>161</v>
      </c>
      <c r="B139" s="3">
        <v>9943</v>
      </c>
      <c r="C139" s="3" t="s">
        <v>1647</v>
      </c>
      <c r="D139" s="3" t="s">
        <v>1648</v>
      </c>
      <c r="E139" s="3" t="s">
        <v>1351</v>
      </c>
      <c r="F139" s="3" t="s">
        <v>1649</v>
      </c>
      <c r="G139" s="3" t="s">
        <v>1650</v>
      </c>
      <c r="H139" s="3" t="s">
        <v>209</v>
      </c>
      <c r="I139" s="3" t="s">
        <v>962</v>
      </c>
      <c r="J139" s="3" t="s">
        <v>30</v>
      </c>
      <c r="K139" s="3" t="s">
        <v>30</v>
      </c>
      <c r="L139" s="2" t="s">
        <v>361</v>
      </c>
      <c r="M139" s="2" t="s">
        <v>31</v>
      </c>
      <c r="N139" s="3" t="s">
        <v>479</v>
      </c>
      <c r="O139" s="3" t="s">
        <v>160</v>
      </c>
      <c r="P139" s="3" t="s">
        <v>34</v>
      </c>
      <c r="Q139" s="124">
        <v>16123</v>
      </c>
      <c r="R139" s="141">
        <v>1</v>
      </c>
      <c r="S139" s="143">
        <v>3356</v>
      </c>
      <c r="T139" s="2"/>
      <c r="U139" s="124">
        <v>541.08799999999997</v>
      </c>
      <c r="V139" s="140">
        <v>1.2999999999999999E-5</v>
      </c>
      <c r="W139" s="140">
        <v>1.46399086474E-3</v>
      </c>
      <c r="X139" s="140">
        <v>2.8694727140942799E-4</v>
      </c>
    </row>
    <row r="140" spans="1:24">
      <c r="A140" s="3">
        <v>161</v>
      </c>
      <c r="B140" s="3">
        <v>9943</v>
      </c>
      <c r="C140" s="3" t="s">
        <v>1830</v>
      </c>
      <c r="D140" s="3" t="s">
        <v>1831</v>
      </c>
      <c r="E140" s="3" t="s">
        <v>1351</v>
      </c>
      <c r="F140" s="3" t="s">
        <v>1832</v>
      </c>
      <c r="G140" s="3" t="s">
        <v>1833</v>
      </c>
      <c r="H140" s="3" t="s">
        <v>209</v>
      </c>
      <c r="I140" s="3" t="s">
        <v>962</v>
      </c>
      <c r="J140" s="3" t="s">
        <v>30</v>
      </c>
      <c r="K140" s="3" t="s">
        <v>30</v>
      </c>
      <c r="L140" s="2" t="s">
        <v>361</v>
      </c>
      <c r="M140" s="2" t="s">
        <v>31</v>
      </c>
      <c r="N140" s="3" t="s">
        <v>510</v>
      </c>
      <c r="O140" s="3" t="s">
        <v>160</v>
      </c>
      <c r="P140" s="3" t="s">
        <v>34</v>
      </c>
      <c r="Q140" s="124">
        <v>127804</v>
      </c>
      <c r="R140" s="141">
        <v>1</v>
      </c>
      <c r="S140" s="143">
        <v>6510</v>
      </c>
      <c r="T140" s="2"/>
      <c r="U140" s="124">
        <v>8320.0400000000009</v>
      </c>
      <c r="V140" s="140">
        <v>1.2049999999999999E-3</v>
      </c>
      <c r="W140" s="140">
        <v>2.25110626020079E-2</v>
      </c>
      <c r="X140" s="140">
        <v>4.4122461046368303E-3</v>
      </c>
    </row>
    <row r="141" spans="1:24">
      <c r="A141" s="3">
        <v>161</v>
      </c>
      <c r="B141" s="3">
        <v>9943</v>
      </c>
      <c r="C141" s="3" t="s">
        <v>1655</v>
      </c>
      <c r="D141" s="3" t="s">
        <v>1656</v>
      </c>
      <c r="E141" s="3" t="s">
        <v>1351</v>
      </c>
      <c r="F141" s="3" t="s">
        <v>1657</v>
      </c>
      <c r="G141" s="3" t="s">
        <v>1658</v>
      </c>
      <c r="H141" s="3" t="s">
        <v>209</v>
      </c>
      <c r="I141" s="3" t="s">
        <v>962</v>
      </c>
      <c r="J141" s="3" t="s">
        <v>30</v>
      </c>
      <c r="K141" s="3" t="s">
        <v>30</v>
      </c>
      <c r="L141" s="2" t="s">
        <v>361</v>
      </c>
      <c r="M141" s="2" t="s">
        <v>31</v>
      </c>
      <c r="N141" s="3" t="s">
        <v>476</v>
      </c>
      <c r="O141" s="3" t="s">
        <v>160</v>
      </c>
      <c r="P141" s="3" t="s">
        <v>34</v>
      </c>
      <c r="Q141" s="124">
        <v>17301</v>
      </c>
      <c r="R141" s="141">
        <v>1</v>
      </c>
      <c r="S141" s="143">
        <v>9745</v>
      </c>
      <c r="T141" s="2"/>
      <c r="U141" s="124">
        <v>1685.982</v>
      </c>
      <c r="V141" s="140">
        <v>6.6000000000000005E-5</v>
      </c>
      <c r="W141" s="140">
        <v>4.5616673301053399E-3</v>
      </c>
      <c r="X141" s="140">
        <v>8.9410256920129398E-4</v>
      </c>
    </row>
    <row r="142" spans="1:24">
      <c r="A142" s="3">
        <v>161</v>
      </c>
      <c r="B142" s="3">
        <v>9943</v>
      </c>
      <c r="C142" s="3" t="s">
        <v>1834</v>
      </c>
      <c r="D142" s="3" t="s">
        <v>1835</v>
      </c>
      <c r="E142" s="3" t="s">
        <v>1351</v>
      </c>
      <c r="F142" s="3" t="s">
        <v>1836</v>
      </c>
      <c r="G142" s="3" t="s">
        <v>1837</v>
      </c>
      <c r="H142" s="3" t="s">
        <v>209</v>
      </c>
      <c r="I142" s="3" t="s">
        <v>962</v>
      </c>
      <c r="J142" s="3" t="s">
        <v>30</v>
      </c>
      <c r="K142" s="3" t="s">
        <v>30</v>
      </c>
      <c r="L142" s="2" t="s">
        <v>361</v>
      </c>
      <c r="M142" s="2" t="s">
        <v>31</v>
      </c>
      <c r="N142" s="3" t="s">
        <v>476</v>
      </c>
      <c r="O142" s="3" t="s">
        <v>160</v>
      </c>
      <c r="P142" s="3" t="s">
        <v>34</v>
      </c>
      <c r="Q142" s="124">
        <v>102064</v>
      </c>
      <c r="R142" s="141">
        <v>1</v>
      </c>
      <c r="S142" s="143">
        <v>9432</v>
      </c>
      <c r="T142" s="2"/>
      <c r="U142" s="124">
        <v>9626.6759999999995</v>
      </c>
      <c r="V142" s="140">
        <v>4.5300000000000001E-4</v>
      </c>
      <c r="W142" s="140">
        <v>2.60463539204157E-2</v>
      </c>
      <c r="X142" s="140">
        <v>5.10517542672978E-3</v>
      </c>
    </row>
    <row r="143" spans="1:24">
      <c r="A143" s="3">
        <v>161</v>
      </c>
      <c r="B143" s="3">
        <v>9943</v>
      </c>
      <c r="C143" s="3" t="s">
        <v>1838</v>
      </c>
      <c r="D143" s="3" t="s">
        <v>1839</v>
      </c>
      <c r="E143" s="3" t="s">
        <v>1351</v>
      </c>
      <c r="F143" s="3" t="s">
        <v>1840</v>
      </c>
      <c r="G143" s="3" t="s">
        <v>1841</v>
      </c>
      <c r="H143" s="3" t="s">
        <v>209</v>
      </c>
      <c r="I143" s="3" t="s">
        <v>962</v>
      </c>
      <c r="J143" s="3" t="s">
        <v>30</v>
      </c>
      <c r="K143" s="3" t="s">
        <v>30</v>
      </c>
      <c r="L143" s="2" t="s">
        <v>361</v>
      </c>
      <c r="M143" s="2" t="s">
        <v>31</v>
      </c>
      <c r="N143" s="3" t="s">
        <v>508</v>
      </c>
      <c r="O143" s="3" t="s">
        <v>160</v>
      </c>
      <c r="P143" s="3" t="s">
        <v>34</v>
      </c>
      <c r="Q143" s="124">
        <v>49240</v>
      </c>
      <c r="R143" s="141">
        <v>1</v>
      </c>
      <c r="S143" s="143">
        <v>8680</v>
      </c>
      <c r="T143" s="2"/>
      <c r="U143" s="124">
        <v>4274.0320000000002</v>
      </c>
      <c r="V143" s="140">
        <v>6.8400000000000004E-4</v>
      </c>
      <c r="W143" s="140">
        <v>1.15640065780191E-2</v>
      </c>
      <c r="X143" s="140">
        <v>2.2665852732029002E-3</v>
      </c>
    </row>
    <row r="144" spans="1:24">
      <c r="A144" s="3">
        <v>161</v>
      </c>
      <c r="B144" s="3">
        <v>9943</v>
      </c>
      <c r="C144" s="3" t="s">
        <v>1842</v>
      </c>
      <c r="D144" s="3" t="s">
        <v>1843</v>
      </c>
      <c r="E144" s="3" t="s">
        <v>1351</v>
      </c>
      <c r="F144" s="3" t="s">
        <v>1844</v>
      </c>
      <c r="G144" s="3" t="s">
        <v>1845</v>
      </c>
      <c r="H144" s="3" t="s">
        <v>209</v>
      </c>
      <c r="I144" s="3" t="s">
        <v>962</v>
      </c>
      <c r="J144" s="3" t="s">
        <v>30</v>
      </c>
      <c r="K144" s="3" t="s">
        <v>334</v>
      </c>
      <c r="L144" s="2" t="s">
        <v>361</v>
      </c>
      <c r="M144" s="2" t="s">
        <v>31</v>
      </c>
      <c r="N144" s="3" t="s">
        <v>489</v>
      </c>
      <c r="O144" s="3" t="s">
        <v>160</v>
      </c>
      <c r="P144" s="3" t="s">
        <v>34</v>
      </c>
      <c r="Q144" s="124">
        <v>5314</v>
      </c>
      <c r="R144" s="141">
        <v>1</v>
      </c>
      <c r="S144" s="143">
        <v>14620</v>
      </c>
      <c r="T144" s="2"/>
      <c r="U144" s="124">
        <v>776.90700000000004</v>
      </c>
      <c r="V144" s="140">
        <v>4.8000000000000001E-5</v>
      </c>
      <c r="W144" s="140">
        <v>2.1020327750722999E-3</v>
      </c>
      <c r="X144" s="140">
        <v>4.12005691939413E-4</v>
      </c>
    </row>
    <row r="145" spans="1:24">
      <c r="A145" s="3">
        <v>161</v>
      </c>
      <c r="B145" s="3">
        <v>9943</v>
      </c>
      <c r="C145" s="3" t="s">
        <v>1659</v>
      </c>
      <c r="D145" s="3" t="s">
        <v>1660</v>
      </c>
      <c r="E145" s="3" t="s">
        <v>1351</v>
      </c>
      <c r="F145" s="3" t="s">
        <v>1661</v>
      </c>
      <c r="G145" s="3" t="s">
        <v>1662</v>
      </c>
      <c r="H145" s="3" t="s">
        <v>209</v>
      </c>
      <c r="I145" s="3" t="s">
        <v>962</v>
      </c>
      <c r="J145" s="3" t="s">
        <v>30</v>
      </c>
      <c r="K145" s="3" t="s">
        <v>86</v>
      </c>
      <c r="L145" s="2" t="s">
        <v>361</v>
      </c>
      <c r="M145" s="2" t="s">
        <v>31</v>
      </c>
      <c r="N145" s="3" t="s">
        <v>498</v>
      </c>
      <c r="O145" s="3" t="s">
        <v>160</v>
      </c>
      <c r="P145" s="3" t="s">
        <v>34</v>
      </c>
      <c r="Q145" s="124">
        <v>99732</v>
      </c>
      <c r="R145" s="141">
        <v>1</v>
      </c>
      <c r="S145" s="143">
        <v>5699</v>
      </c>
      <c r="T145" s="2"/>
      <c r="U145" s="124">
        <v>5683.7269999999999</v>
      </c>
      <c r="V145" s="140">
        <v>8.0000000000000007E-5</v>
      </c>
      <c r="W145" s="140">
        <v>1.5378137719882E-2</v>
      </c>
      <c r="X145" s="140">
        <v>3.01416816481449E-3</v>
      </c>
    </row>
    <row r="146" spans="1:24">
      <c r="A146" s="3">
        <v>161</v>
      </c>
      <c r="B146" s="3">
        <v>9943</v>
      </c>
      <c r="C146" s="3" t="s">
        <v>1846</v>
      </c>
      <c r="D146" s="3" t="s">
        <v>1847</v>
      </c>
      <c r="E146" s="3" t="s">
        <v>1351</v>
      </c>
      <c r="F146" s="3" t="s">
        <v>1848</v>
      </c>
      <c r="G146" s="3" t="s">
        <v>1849</v>
      </c>
      <c r="H146" s="3" t="s">
        <v>209</v>
      </c>
      <c r="I146" s="3" t="s">
        <v>962</v>
      </c>
      <c r="J146" s="3" t="s">
        <v>30</v>
      </c>
      <c r="K146" s="3" t="s">
        <v>30</v>
      </c>
      <c r="L146" s="2" t="s">
        <v>361</v>
      </c>
      <c r="M146" s="2" t="s">
        <v>31</v>
      </c>
      <c r="N146" s="3" t="s">
        <v>495</v>
      </c>
      <c r="O146" s="3" t="s">
        <v>160</v>
      </c>
      <c r="P146" s="3" t="s">
        <v>34</v>
      </c>
      <c r="Q146" s="124">
        <v>2834</v>
      </c>
      <c r="R146" s="141">
        <v>1</v>
      </c>
      <c r="S146" s="143">
        <v>95780</v>
      </c>
      <c r="T146" s="2"/>
      <c r="U146" s="124">
        <v>2714.4050000000002</v>
      </c>
      <c r="V146" s="140">
        <v>5.2400000000000005E-4</v>
      </c>
      <c r="W146" s="140">
        <v>7.3442125815177204E-3</v>
      </c>
      <c r="X146" s="140">
        <v>1.4394910594551899E-3</v>
      </c>
    </row>
    <row r="147" spans="1:24">
      <c r="A147" s="3">
        <v>161</v>
      </c>
      <c r="B147" s="3">
        <v>9943</v>
      </c>
      <c r="C147" s="3" t="s">
        <v>1667</v>
      </c>
      <c r="D147" s="3" t="s">
        <v>1668</v>
      </c>
      <c r="E147" s="3" t="s">
        <v>1351</v>
      </c>
      <c r="F147" s="3" t="s">
        <v>1669</v>
      </c>
      <c r="G147" s="3" t="s">
        <v>1670</v>
      </c>
      <c r="H147" s="3" t="s">
        <v>209</v>
      </c>
      <c r="I147" s="3" t="s">
        <v>962</v>
      </c>
      <c r="J147" s="3" t="s">
        <v>30</v>
      </c>
      <c r="K147" s="3" t="s">
        <v>30</v>
      </c>
      <c r="L147" s="2" t="s">
        <v>361</v>
      </c>
      <c r="M147" s="2" t="s">
        <v>31</v>
      </c>
      <c r="N147" s="3" t="s">
        <v>476</v>
      </c>
      <c r="O147" s="3" t="s">
        <v>160</v>
      </c>
      <c r="P147" s="3" t="s">
        <v>34</v>
      </c>
      <c r="Q147" s="124">
        <v>38885</v>
      </c>
      <c r="R147" s="141">
        <v>1</v>
      </c>
      <c r="S147" s="143">
        <v>14880</v>
      </c>
      <c r="T147" s="2"/>
      <c r="U147" s="124">
        <v>5786.0879999999997</v>
      </c>
      <c r="V147" s="140">
        <v>4.8899999999999996E-4</v>
      </c>
      <c r="W147" s="140">
        <v>1.56550909522899E-2</v>
      </c>
      <c r="X147" s="140">
        <v>3.0684519559647698E-3</v>
      </c>
    </row>
    <row r="148" spans="1:24">
      <c r="A148" s="3">
        <v>161</v>
      </c>
      <c r="B148" s="3">
        <v>9943</v>
      </c>
      <c r="C148" s="3" t="s">
        <v>1197</v>
      </c>
      <c r="D148" s="3" t="s">
        <v>1607</v>
      </c>
      <c r="E148" s="3" t="s">
        <v>1351</v>
      </c>
      <c r="F148" s="3" t="s">
        <v>1608</v>
      </c>
      <c r="G148" s="3" t="s">
        <v>1609</v>
      </c>
      <c r="H148" s="3" t="s">
        <v>209</v>
      </c>
      <c r="I148" s="3" t="s">
        <v>962</v>
      </c>
      <c r="J148" s="3" t="s">
        <v>30</v>
      </c>
      <c r="K148" s="3" t="s">
        <v>30</v>
      </c>
      <c r="L148" s="2" t="s">
        <v>361</v>
      </c>
      <c r="M148" s="2" t="s">
        <v>31</v>
      </c>
      <c r="N148" s="3" t="s">
        <v>479</v>
      </c>
      <c r="O148" s="3" t="s">
        <v>160</v>
      </c>
      <c r="P148" s="3" t="s">
        <v>34</v>
      </c>
      <c r="Q148" s="124">
        <v>242933</v>
      </c>
      <c r="R148" s="141">
        <v>1</v>
      </c>
      <c r="S148" s="143">
        <v>6262</v>
      </c>
      <c r="T148" s="2"/>
      <c r="U148" s="124">
        <v>15212.464</v>
      </c>
      <c r="V148" s="140">
        <v>1.4999999999999999E-4</v>
      </c>
      <c r="W148" s="140">
        <v>4.1159504440612997E-2</v>
      </c>
      <c r="X148" s="140">
        <v>8.0674051841817095E-3</v>
      </c>
    </row>
    <row r="149" spans="1:24">
      <c r="A149" s="3">
        <v>161</v>
      </c>
      <c r="B149" s="3">
        <v>9943</v>
      </c>
      <c r="C149" s="3" t="s">
        <v>1850</v>
      </c>
      <c r="D149" s="3" t="s">
        <v>1851</v>
      </c>
      <c r="E149" s="3" t="s">
        <v>1351</v>
      </c>
      <c r="F149" s="3" t="s">
        <v>1852</v>
      </c>
      <c r="G149" s="3" t="s">
        <v>1853</v>
      </c>
      <c r="H149" s="3" t="s">
        <v>209</v>
      </c>
      <c r="I149" s="3" t="s">
        <v>962</v>
      </c>
      <c r="J149" s="3" t="s">
        <v>30</v>
      </c>
      <c r="K149" s="3" t="s">
        <v>30</v>
      </c>
      <c r="L149" s="2" t="s">
        <v>361</v>
      </c>
      <c r="M149" s="2" t="s">
        <v>31</v>
      </c>
      <c r="N149" s="3" t="s">
        <v>507</v>
      </c>
      <c r="O149" s="3" t="s">
        <v>160</v>
      </c>
      <c r="P149" s="3" t="s">
        <v>34</v>
      </c>
      <c r="Q149" s="124">
        <v>9100</v>
      </c>
      <c r="R149" s="141">
        <v>1</v>
      </c>
      <c r="S149" s="143">
        <v>30850</v>
      </c>
      <c r="T149" s="2"/>
      <c r="U149" s="124">
        <v>2807.35</v>
      </c>
      <c r="V149" s="140">
        <v>6.2799999999999998E-4</v>
      </c>
      <c r="W149" s="140">
        <v>7.5956880685034596E-3</v>
      </c>
      <c r="X149" s="140">
        <v>1.4887811244104301E-3</v>
      </c>
    </row>
    <row r="150" spans="1:24">
      <c r="A150" s="3">
        <v>161</v>
      </c>
      <c r="B150" s="3">
        <v>9943</v>
      </c>
      <c r="C150" s="3" t="s">
        <v>1854</v>
      </c>
      <c r="D150" s="3" t="s">
        <v>1855</v>
      </c>
      <c r="E150" s="3" t="s">
        <v>1351</v>
      </c>
      <c r="F150" s="3" t="s">
        <v>1856</v>
      </c>
      <c r="G150" s="3" t="s">
        <v>1857</v>
      </c>
      <c r="H150" s="3" t="s">
        <v>209</v>
      </c>
      <c r="I150" s="3" t="s">
        <v>962</v>
      </c>
      <c r="J150" s="3" t="s">
        <v>30</v>
      </c>
      <c r="K150" s="3" t="s">
        <v>30</v>
      </c>
      <c r="L150" s="2" t="s">
        <v>361</v>
      </c>
      <c r="M150" s="2" t="s">
        <v>31</v>
      </c>
      <c r="N150" s="3" t="s">
        <v>495</v>
      </c>
      <c r="O150" s="3" t="s">
        <v>160</v>
      </c>
      <c r="P150" s="3" t="s">
        <v>34</v>
      </c>
      <c r="Q150" s="124">
        <v>157713</v>
      </c>
      <c r="R150" s="141">
        <v>1</v>
      </c>
      <c r="S150" s="143">
        <v>1262</v>
      </c>
      <c r="T150" s="2"/>
      <c r="U150" s="124">
        <v>1990.338</v>
      </c>
      <c r="V150" s="140">
        <v>2.1599999999999999E-4</v>
      </c>
      <c r="W150" s="140">
        <v>5.3851450850910402E-3</v>
      </c>
      <c r="X150" s="140">
        <v>1.0555070564495601E-3</v>
      </c>
    </row>
    <row r="151" spans="1:24">
      <c r="A151" s="3">
        <v>161</v>
      </c>
      <c r="B151" s="3">
        <v>9943</v>
      </c>
      <c r="C151" s="3" t="s">
        <v>1858</v>
      </c>
      <c r="D151" s="3" t="s">
        <v>1859</v>
      </c>
      <c r="E151" s="3" t="s">
        <v>1351</v>
      </c>
      <c r="F151" s="3" t="s">
        <v>1860</v>
      </c>
      <c r="G151" s="3" t="s">
        <v>1861</v>
      </c>
      <c r="H151" s="3" t="s">
        <v>209</v>
      </c>
      <c r="I151" s="3" t="s">
        <v>962</v>
      </c>
      <c r="J151" s="3" t="s">
        <v>30</v>
      </c>
      <c r="K151" s="3" t="s">
        <v>30</v>
      </c>
      <c r="L151" s="2" t="s">
        <v>361</v>
      </c>
      <c r="M151" s="2" t="s">
        <v>31</v>
      </c>
      <c r="N151" s="3" t="s">
        <v>476</v>
      </c>
      <c r="O151" s="3" t="s">
        <v>160</v>
      </c>
      <c r="P151" s="3" t="s">
        <v>34</v>
      </c>
      <c r="Q151" s="124">
        <v>250000</v>
      </c>
      <c r="R151" s="141">
        <v>1</v>
      </c>
      <c r="S151" s="143">
        <v>927.1</v>
      </c>
      <c r="T151" s="2"/>
      <c r="U151" s="124">
        <v>2317.75</v>
      </c>
      <c r="V151" s="140">
        <v>2.3699999999999999E-4</v>
      </c>
      <c r="W151" s="140">
        <v>6.2710050477403599E-3</v>
      </c>
      <c r="X151" s="140">
        <v>1.22913867209371E-3</v>
      </c>
    </row>
    <row r="152" spans="1:24">
      <c r="A152" s="3">
        <v>161</v>
      </c>
      <c r="B152" s="3">
        <v>9943</v>
      </c>
      <c r="C152" s="3" t="s">
        <v>1280</v>
      </c>
      <c r="D152" s="3" t="s">
        <v>1862</v>
      </c>
      <c r="E152" s="3" t="s">
        <v>1351</v>
      </c>
      <c r="F152" s="3" t="s">
        <v>1863</v>
      </c>
      <c r="G152" s="3" t="s">
        <v>1864</v>
      </c>
      <c r="H152" s="3" t="s">
        <v>209</v>
      </c>
      <c r="I152" s="3" t="s">
        <v>962</v>
      </c>
      <c r="J152" s="3" t="s">
        <v>30</v>
      </c>
      <c r="K152" s="3" t="s">
        <v>30</v>
      </c>
      <c r="L152" s="2" t="s">
        <v>361</v>
      </c>
      <c r="M152" s="2" t="s">
        <v>31</v>
      </c>
      <c r="N152" s="3" t="s">
        <v>510</v>
      </c>
      <c r="O152" s="3" t="s">
        <v>160</v>
      </c>
      <c r="P152" s="3" t="s">
        <v>34</v>
      </c>
      <c r="Q152" s="124">
        <v>230122</v>
      </c>
      <c r="R152" s="141">
        <v>1</v>
      </c>
      <c r="S152" s="143">
        <v>1102</v>
      </c>
      <c r="T152" s="2"/>
      <c r="U152" s="124">
        <v>2535.944</v>
      </c>
      <c r="V152" s="140">
        <v>1.787E-3</v>
      </c>
      <c r="W152" s="140">
        <v>6.8613613996458198E-3</v>
      </c>
      <c r="X152" s="140">
        <v>1.34485055829362E-3</v>
      </c>
    </row>
    <row r="153" spans="1:24">
      <c r="A153" s="3">
        <v>161</v>
      </c>
      <c r="B153" s="3">
        <v>9943</v>
      </c>
      <c r="C153" s="3" t="s">
        <v>1671</v>
      </c>
      <c r="D153" s="3" t="s">
        <v>1672</v>
      </c>
      <c r="E153" s="3" t="s">
        <v>1351</v>
      </c>
      <c r="F153" s="3" t="s">
        <v>1673</v>
      </c>
      <c r="G153" s="3" t="s">
        <v>1674</v>
      </c>
      <c r="H153" s="3" t="s">
        <v>209</v>
      </c>
      <c r="I153" s="3" t="s">
        <v>962</v>
      </c>
      <c r="J153" s="3" t="s">
        <v>30</v>
      </c>
      <c r="K153" s="3" t="s">
        <v>30</v>
      </c>
      <c r="L153" s="2" t="s">
        <v>361</v>
      </c>
      <c r="M153" s="2" t="s">
        <v>31</v>
      </c>
      <c r="N153" s="3" t="s">
        <v>479</v>
      </c>
      <c r="O153" s="3" t="s">
        <v>160</v>
      </c>
      <c r="P153" s="3" t="s">
        <v>34</v>
      </c>
      <c r="Q153" s="124">
        <v>3285</v>
      </c>
      <c r="R153" s="141">
        <v>1</v>
      </c>
      <c r="S153" s="143">
        <v>21950</v>
      </c>
      <c r="T153" s="2"/>
      <c r="U153" s="124">
        <v>721.05799999999999</v>
      </c>
      <c r="V153" s="140">
        <v>1.2999999999999999E-5</v>
      </c>
      <c r="W153" s="140">
        <v>1.95092448374978E-3</v>
      </c>
      <c r="X153" s="140">
        <v>3.8238794436553102E-4</v>
      </c>
    </row>
    <row r="154" spans="1:24">
      <c r="A154" s="3">
        <v>161</v>
      </c>
      <c r="B154" s="3">
        <v>9943</v>
      </c>
      <c r="C154" s="3" t="s">
        <v>1675</v>
      </c>
      <c r="D154" s="3" t="s">
        <v>1676</v>
      </c>
      <c r="E154" s="3" t="s">
        <v>1351</v>
      </c>
      <c r="F154" s="3" t="s">
        <v>1677</v>
      </c>
      <c r="G154" s="3" t="s">
        <v>1678</v>
      </c>
      <c r="H154" s="3" t="s">
        <v>209</v>
      </c>
      <c r="I154" s="3" t="s">
        <v>962</v>
      </c>
      <c r="J154" s="3" t="s">
        <v>30</v>
      </c>
      <c r="K154" s="3" t="s">
        <v>30</v>
      </c>
      <c r="L154" s="2" t="s">
        <v>361</v>
      </c>
      <c r="M154" s="2" t="s">
        <v>31</v>
      </c>
      <c r="N154" s="3" t="s">
        <v>495</v>
      </c>
      <c r="O154" s="3" t="s">
        <v>160</v>
      </c>
      <c r="P154" s="3" t="s">
        <v>34</v>
      </c>
      <c r="Q154" s="124">
        <v>11070</v>
      </c>
      <c r="R154" s="141">
        <v>1</v>
      </c>
      <c r="S154" s="143">
        <v>38400</v>
      </c>
      <c r="T154" s="2"/>
      <c r="U154" s="124">
        <v>4250.88</v>
      </c>
      <c r="V154" s="140">
        <v>2.33E-4</v>
      </c>
      <c r="W154" s="140">
        <v>1.15013655214491E-2</v>
      </c>
      <c r="X154" s="140">
        <v>2.25430740952636E-3</v>
      </c>
    </row>
    <row r="155" spans="1:24">
      <c r="A155" s="3">
        <v>161</v>
      </c>
      <c r="B155" s="3">
        <v>9943</v>
      </c>
      <c r="C155" s="3" t="s">
        <v>1679</v>
      </c>
      <c r="D155" s="3" t="s">
        <v>1680</v>
      </c>
      <c r="E155" s="3" t="s">
        <v>1351</v>
      </c>
      <c r="F155" s="3" t="s">
        <v>1681</v>
      </c>
      <c r="G155" s="3" t="s">
        <v>1682</v>
      </c>
      <c r="H155" s="3" t="s">
        <v>209</v>
      </c>
      <c r="I155" s="3" t="s">
        <v>962</v>
      </c>
      <c r="J155" s="3" t="s">
        <v>30</v>
      </c>
      <c r="K155" s="3" t="s">
        <v>30</v>
      </c>
      <c r="L155" s="2" t="s">
        <v>361</v>
      </c>
      <c r="M155" s="2" t="s">
        <v>31</v>
      </c>
      <c r="N155" s="3" t="s">
        <v>476</v>
      </c>
      <c r="O155" s="3" t="s">
        <v>160</v>
      </c>
      <c r="P155" s="3" t="s">
        <v>34</v>
      </c>
      <c r="Q155" s="124">
        <v>1669</v>
      </c>
      <c r="R155" s="141">
        <v>1</v>
      </c>
      <c r="S155" s="143">
        <v>26530</v>
      </c>
      <c r="T155" s="2"/>
      <c r="U155" s="124">
        <v>442.786</v>
      </c>
      <c r="V155" s="140">
        <v>2.5999999999999998E-5</v>
      </c>
      <c r="W155" s="140">
        <v>1.1980202177833E-3</v>
      </c>
      <c r="X155" s="140">
        <v>2.3481610498115999E-4</v>
      </c>
    </row>
    <row r="156" spans="1:24">
      <c r="A156" s="3">
        <v>161</v>
      </c>
      <c r="B156" s="3">
        <v>9943</v>
      </c>
      <c r="C156" s="3" t="s">
        <v>1683</v>
      </c>
      <c r="D156" s="3" t="s">
        <v>1684</v>
      </c>
      <c r="E156" s="3" t="s">
        <v>348</v>
      </c>
      <c r="F156" s="3" t="s">
        <v>1685</v>
      </c>
      <c r="G156" s="3" t="s">
        <v>1686</v>
      </c>
      <c r="H156" s="3" t="s">
        <v>209</v>
      </c>
      <c r="I156" s="3" t="s">
        <v>962</v>
      </c>
      <c r="J156" s="3" t="s">
        <v>30</v>
      </c>
      <c r="K156" s="3" t="s">
        <v>86</v>
      </c>
      <c r="L156" s="2" t="s">
        <v>361</v>
      </c>
      <c r="M156" s="2" t="s">
        <v>31</v>
      </c>
      <c r="N156" s="3" t="s">
        <v>485</v>
      </c>
      <c r="O156" s="3" t="s">
        <v>160</v>
      </c>
      <c r="P156" s="3" t="s">
        <v>34</v>
      </c>
      <c r="Q156" s="124">
        <v>61442</v>
      </c>
      <c r="R156" s="141">
        <v>1</v>
      </c>
      <c r="S156" s="143">
        <v>9900</v>
      </c>
      <c r="T156" s="2"/>
      <c r="U156" s="124">
        <v>6082.7579999999998</v>
      </c>
      <c r="V156" s="140">
        <v>5.9199999999999997E-4</v>
      </c>
      <c r="W156" s="140">
        <v>1.6457774187113802E-2</v>
      </c>
      <c r="X156" s="140">
        <v>3.2257806453618301E-3</v>
      </c>
    </row>
    <row r="157" spans="1:24">
      <c r="A157" s="3">
        <v>161</v>
      </c>
      <c r="B157" s="3">
        <v>9943</v>
      </c>
      <c r="C157" s="3" t="s">
        <v>1687</v>
      </c>
      <c r="D157" s="3" t="s">
        <v>1688</v>
      </c>
      <c r="E157" s="3" t="s">
        <v>1351</v>
      </c>
      <c r="F157" s="3" t="s">
        <v>1689</v>
      </c>
      <c r="G157" s="3" t="s">
        <v>1690</v>
      </c>
      <c r="H157" s="3" t="s">
        <v>209</v>
      </c>
      <c r="I157" s="3" t="s">
        <v>962</v>
      </c>
      <c r="J157" s="3" t="s">
        <v>30</v>
      </c>
      <c r="K157" s="3" t="s">
        <v>334</v>
      </c>
      <c r="L157" s="2" t="s">
        <v>361</v>
      </c>
      <c r="M157" s="2" t="s">
        <v>31</v>
      </c>
      <c r="N157" s="3" t="s">
        <v>489</v>
      </c>
      <c r="O157" s="3" t="s">
        <v>160</v>
      </c>
      <c r="P157" s="3" t="s">
        <v>34</v>
      </c>
      <c r="Q157" s="124">
        <v>1678</v>
      </c>
      <c r="R157" s="141">
        <v>1</v>
      </c>
      <c r="S157" s="143">
        <v>95280</v>
      </c>
      <c r="T157" s="2"/>
      <c r="U157" s="124">
        <v>1598.798</v>
      </c>
      <c r="V157" s="140">
        <v>5.7000000000000003E-5</v>
      </c>
      <c r="W157" s="140">
        <v>4.3257783784787897E-3</v>
      </c>
      <c r="X157" s="140">
        <v>8.4786751906873003E-4</v>
      </c>
    </row>
    <row r="158" spans="1:24">
      <c r="A158" s="3">
        <v>161</v>
      </c>
      <c r="B158" s="3">
        <v>9943</v>
      </c>
      <c r="C158" s="3" t="s">
        <v>1691</v>
      </c>
      <c r="D158" s="3" t="s">
        <v>1692</v>
      </c>
      <c r="E158" s="3" t="s">
        <v>348</v>
      </c>
      <c r="F158" s="3" t="s">
        <v>1693</v>
      </c>
      <c r="G158" s="3" t="s">
        <v>1694</v>
      </c>
      <c r="H158" s="3" t="s">
        <v>209</v>
      </c>
      <c r="I158" s="3" t="s">
        <v>962</v>
      </c>
      <c r="J158" s="3" t="s">
        <v>30</v>
      </c>
      <c r="K158" s="3" t="s">
        <v>30</v>
      </c>
      <c r="L158" s="2" t="s">
        <v>361</v>
      </c>
      <c r="M158" s="2" t="s">
        <v>31</v>
      </c>
      <c r="N158" s="3" t="s">
        <v>485</v>
      </c>
      <c r="O158" s="3" t="s">
        <v>160</v>
      </c>
      <c r="P158" s="3" t="s">
        <v>34</v>
      </c>
      <c r="Q158" s="124">
        <v>413104</v>
      </c>
      <c r="R158" s="141">
        <v>1</v>
      </c>
      <c r="S158" s="143">
        <v>1656</v>
      </c>
      <c r="T158" s="2"/>
      <c r="U158" s="124">
        <v>6841.0020000000004</v>
      </c>
      <c r="V158" s="140">
        <v>3.5199999999999999E-4</v>
      </c>
      <c r="W158" s="140">
        <v>1.8509312729432899E-2</v>
      </c>
      <c r="X158" s="140">
        <v>3.6278892930918798E-3</v>
      </c>
    </row>
    <row r="159" spans="1:24">
      <c r="A159" s="3">
        <v>161</v>
      </c>
      <c r="B159" s="3">
        <v>9943</v>
      </c>
      <c r="C159" s="3" t="s">
        <v>1699</v>
      </c>
      <c r="D159" s="3" t="s">
        <v>1700</v>
      </c>
      <c r="E159" s="3" t="s">
        <v>1351</v>
      </c>
      <c r="F159" s="3" t="s">
        <v>1699</v>
      </c>
      <c r="G159" s="3" t="s">
        <v>1701</v>
      </c>
      <c r="H159" s="3" t="s">
        <v>209</v>
      </c>
      <c r="I159" s="3" t="s">
        <v>962</v>
      </c>
      <c r="J159" s="3" t="s">
        <v>30</v>
      </c>
      <c r="K159" s="3" t="s">
        <v>30</v>
      </c>
      <c r="L159" s="2" t="s">
        <v>361</v>
      </c>
      <c r="M159" s="2" t="s">
        <v>31</v>
      </c>
      <c r="N159" s="3" t="s">
        <v>470</v>
      </c>
      <c r="O159" s="3" t="s">
        <v>160</v>
      </c>
      <c r="P159" s="3" t="s">
        <v>34</v>
      </c>
      <c r="Q159" s="124">
        <v>73000</v>
      </c>
      <c r="R159" s="141">
        <v>1</v>
      </c>
      <c r="S159" s="143">
        <v>12570</v>
      </c>
      <c r="T159" s="2"/>
      <c r="U159" s="124">
        <v>9176.1</v>
      </c>
      <c r="V159" s="140">
        <v>8.9800000000000004E-4</v>
      </c>
      <c r="W159" s="140">
        <v>2.4827254629951601E-2</v>
      </c>
      <c r="X159" s="140">
        <v>4.8662277506198197E-3</v>
      </c>
    </row>
    <row r="160" spans="1:24">
      <c r="A160" s="3">
        <v>161</v>
      </c>
      <c r="B160" s="3">
        <v>9943</v>
      </c>
      <c r="C160" s="3" t="s">
        <v>1702</v>
      </c>
      <c r="D160" s="3" t="s">
        <v>1703</v>
      </c>
      <c r="E160" s="3" t="s">
        <v>1351</v>
      </c>
      <c r="F160" s="3" t="s">
        <v>1704</v>
      </c>
      <c r="G160" s="3" t="s">
        <v>1705</v>
      </c>
      <c r="H160" s="3" t="s">
        <v>209</v>
      </c>
      <c r="I160" s="3" t="s">
        <v>962</v>
      </c>
      <c r="J160" s="3" t="s">
        <v>30</v>
      </c>
      <c r="K160" s="3" t="s">
        <v>30</v>
      </c>
      <c r="L160" s="2" t="s">
        <v>361</v>
      </c>
      <c r="M160" s="2" t="s">
        <v>31</v>
      </c>
      <c r="N160" s="3" t="s">
        <v>495</v>
      </c>
      <c r="O160" s="3" t="s">
        <v>160</v>
      </c>
      <c r="P160" s="3" t="s">
        <v>34</v>
      </c>
      <c r="Q160" s="124">
        <v>917</v>
      </c>
      <c r="R160" s="141">
        <v>1</v>
      </c>
      <c r="S160" s="143">
        <v>30970</v>
      </c>
      <c r="T160" s="2"/>
      <c r="U160" s="124">
        <v>283.995</v>
      </c>
      <c r="V160" s="140">
        <v>7.9999999999999996E-6</v>
      </c>
      <c r="W160" s="140">
        <v>7.6838893385072597E-4</v>
      </c>
      <c r="X160" s="140">
        <v>1.5060688782974301E-4</v>
      </c>
    </row>
    <row r="161" spans="1:24">
      <c r="A161" s="3">
        <v>161</v>
      </c>
      <c r="B161" s="3">
        <v>9943</v>
      </c>
      <c r="C161" s="3" t="s">
        <v>1610</v>
      </c>
      <c r="D161" s="3" t="s">
        <v>1611</v>
      </c>
      <c r="E161" s="3" t="s">
        <v>1351</v>
      </c>
      <c r="F161" s="3" t="s">
        <v>1612</v>
      </c>
      <c r="G161" s="3" t="s">
        <v>1613</v>
      </c>
      <c r="H161" s="3" t="s">
        <v>209</v>
      </c>
      <c r="I161" s="3" t="s">
        <v>962</v>
      </c>
      <c r="J161" s="3" t="s">
        <v>30</v>
      </c>
      <c r="K161" s="3" t="s">
        <v>30</v>
      </c>
      <c r="L161" s="2" t="s">
        <v>361</v>
      </c>
      <c r="M161" s="2" t="s">
        <v>31</v>
      </c>
      <c r="N161" s="3" t="s">
        <v>479</v>
      </c>
      <c r="O161" s="3" t="s">
        <v>160</v>
      </c>
      <c r="P161" s="3" t="s">
        <v>34</v>
      </c>
      <c r="Q161" s="124">
        <v>233116</v>
      </c>
      <c r="R161" s="141">
        <v>1</v>
      </c>
      <c r="S161" s="143">
        <v>6462</v>
      </c>
      <c r="T161" s="2"/>
      <c r="U161" s="124">
        <v>15063.956</v>
      </c>
      <c r="V161" s="140">
        <v>1.74E-4</v>
      </c>
      <c r="W161" s="140">
        <v>4.0757693285841202E-2</v>
      </c>
      <c r="X161" s="140">
        <v>7.9886488085371497E-3</v>
      </c>
    </row>
    <row r="162" spans="1:24">
      <c r="A162" s="3">
        <v>161</v>
      </c>
      <c r="B162" s="3">
        <v>9943</v>
      </c>
      <c r="C162" s="3" t="s">
        <v>1865</v>
      </c>
      <c r="D162" s="3" t="s">
        <v>1866</v>
      </c>
      <c r="E162" s="3" t="s">
        <v>1351</v>
      </c>
      <c r="F162" s="3" t="s">
        <v>1867</v>
      </c>
      <c r="G162" s="3" t="s">
        <v>1868</v>
      </c>
      <c r="H162" s="3" t="s">
        <v>209</v>
      </c>
      <c r="I162" s="3" t="s">
        <v>962</v>
      </c>
      <c r="J162" s="3" t="s">
        <v>30</v>
      </c>
      <c r="K162" s="3" t="s">
        <v>334</v>
      </c>
      <c r="L162" s="2" t="s">
        <v>361</v>
      </c>
      <c r="M162" s="2" t="s">
        <v>31</v>
      </c>
      <c r="N162" s="3" t="s">
        <v>489</v>
      </c>
      <c r="O162" s="3" t="s">
        <v>160</v>
      </c>
      <c r="P162" s="3" t="s">
        <v>34</v>
      </c>
      <c r="Q162" s="124">
        <v>6096</v>
      </c>
      <c r="R162" s="141">
        <v>1</v>
      </c>
      <c r="S162" s="143">
        <v>19820</v>
      </c>
      <c r="T162" s="2"/>
      <c r="U162" s="124">
        <v>1208.2270000000001</v>
      </c>
      <c r="V162" s="140">
        <v>4.6999999999999999E-4</v>
      </c>
      <c r="W162" s="140">
        <v>3.2690319792976802E-3</v>
      </c>
      <c r="X162" s="140">
        <v>6.4074157100442301E-4</v>
      </c>
    </row>
    <row r="163" spans="1:24">
      <c r="A163" s="3">
        <v>161</v>
      </c>
      <c r="B163" s="3">
        <v>9943</v>
      </c>
      <c r="C163" s="3" t="s">
        <v>1869</v>
      </c>
      <c r="D163" s="3" t="s">
        <v>1870</v>
      </c>
      <c r="E163" s="3" t="s">
        <v>1351</v>
      </c>
      <c r="F163" s="3" t="s">
        <v>1871</v>
      </c>
      <c r="G163" s="3" t="s">
        <v>1872</v>
      </c>
      <c r="H163" s="3" t="s">
        <v>209</v>
      </c>
      <c r="I163" s="3" t="s">
        <v>962</v>
      </c>
      <c r="J163" s="3" t="s">
        <v>30</v>
      </c>
      <c r="K163" s="3" t="s">
        <v>30</v>
      </c>
      <c r="L163" s="2" t="s">
        <v>361</v>
      </c>
      <c r="M163" s="2" t="s">
        <v>31</v>
      </c>
      <c r="N163" s="3" t="s">
        <v>492</v>
      </c>
      <c r="O163" s="3" t="s">
        <v>160</v>
      </c>
      <c r="P163" s="3" t="s">
        <v>34</v>
      </c>
      <c r="Q163" s="124">
        <v>2666</v>
      </c>
      <c r="R163" s="141">
        <v>1</v>
      </c>
      <c r="S163" s="143">
        <v>58480</v>
      </c>
      <c r="T163" s="2"/>
      <c r="U163" s="124">
        <v>1559.077</v>
      </c>
      <c r="V163" s="140">
        <v>1.6200000000000001E-4</v>
      </c>
      <c r="W163" s="140">
        <v>4.2183058926177899E-3</v>
      </c>
      <c r="X163" s="140">
        <v>8.2680254024122997E-4</v>
      </c>
    </row>
    <row r="164" spans="1:24">
      <c r="A164" s="3">
        <v>161</v>
      </c>
      <c r="B164" s="3">
        <v>9943</v>
      </c>
      <c r="C164" s="3" t="s">
        <v>1873</v>
      </c>
      <c r="D164" s="3" t="s">
        <v>1874</v>
      </c>
      <c r="E164" s="3" t="s">
        <v>1351</v>
      </c>
      <c r="F164" s="3" t="s">
        <v>1875</v>
      </c>
      <c r="G164" s="3" t="s">
        <v>1876</v>
      </c>
      <c r="H164" s="3" t="s">
        <v>209</v>
      </c>
      <c r="I164" s="3" t="s">
        <v>962</v>
      </c>
      <c r="J164" s="3" t="s">
        <v>30</v>
      </c>
      <c r="K164" s="3" t="s">
        <v>30</v>
      </c>
      <c r="L164" s="2" t="s">
        <v>361</v>
      </c>
      <c r="M164" s="2" t="s">
        <v>31</v>
      </c>
      <c r="N164" s="3" t="s">
        <v>478</v>
      </c>
      <c r="O164" s="3" t="s">
        <v>160</v>
      </c>
      <c r="P164" s="3" t="s">
        <v>34</v>
      </c>
      <c r="Q164" s="124">
        <v>40000</v>
      </c>
      <c r="R164" s="141">
        <v>1</v>
      </c>
      <c r="S164" s="143">
        <v>4348</v>
      </c>
      <c r="T164" s="2"/>
      <c r="U164" s="124">
        <v>1739.2</v>
      </c>
      <c r="V164" s="140">
        <v>2.081E-3</v>
      </c>
      <c r="W164" s="140">
        <v>4.7056550443447497E-3</v>
      </c>
      <c r="X164" s="140">
        <v>9.2232465904665305E-4</v>
      </c>
    </row>
    <row r="165" spans="1:24">
      <c r="A165" s="3">
        <v>161</v>
      </c>
      <c r="B165" s="3">
        <v>9943</v>
      </c>
      <c r="C165" s="3" t="s">
        <v>1877</v>
      </c>
      <c r="D165" s="3" t="s">
        <v>1878</v>
      </c>
      <c r="E165" s="3" t="s">
        <v>1351</v>
      </c>
      <c r="F165" s="3" t="s">
        <v>1879</v>
      </c>
      <c r="G165" s="3" t="s">
        <v>1880</v>
      </c>
      <c r="H165" s="3" t="s">
        <v>209</v>
      </c>
      <c r="I165" s="3" t="s">
        <v>962</v>
      </c>
      <c r="J165" s="3" t="s">
        <v>30</v>
      </c>
      <c r="K165" s="3" t="s">
        <v>86</v>
      </c>
      <c r="L165" s="2" t="s">
        <v>361</v>
      </c>
      <c r="M165" s="2" t="s">
        <v>31</v>
      </c>
      <c r="N165" s="3" t="s">
        <v>489</v>
      </c>
      <c r="O165" s="3" t="s">
        <v>160</v>
      </c>
      <c r="P165" s="3" t="s">
        <v>34</v>
      </c>
      <c r="Q165" s="124">
        <v>11247</v>
      </c>
      <c r="R165" s="141">
        <v>1</v>
      </c>
      <c r="S165" s="143">
        <v>38800</v>
      </c>
      <c r="T165" s="2"/>
      <c r="U165" s="124">
        <v>4363.8360000000002</v>
      </c>
      <c r="V165" s="140">
        <v>2.457E-3</v>
      </c>
      <c r="W165" s="140">
        <v>1.18069841801364E-2</v>
      </c>
      <c r="X165" s="140">
        <v>2.3142097233414898E-3</v>
      </c>
    </row>
    <row r="166" spans="1:24">
      <c r="A166" s="3">
        <v>161</v>
      </c>
      <c r="B166" s="3">
        <v>9943</v>
      </c>
      <c r="C166" s="3" t="s">
        <v>1881</v>
      </c>
      <c r="D166" s="3" t="s">
        <v>1882</v>
      </c>
      <c r="E166" s="3" t="s">
        <v>1351</v>
      </c>
      <c r="F166" s="3" t="s">
        <v>1883</v>
      </c>
      <c r="G166" s="3" t="s">
        <v>1884</v>
      </c>
      <c r="H166" s="3" t="s">
        <v>209</v>
      </c>
      <c r="I166" s="3" t="s">
        <v>962</v>
      </c>
      <c r="J166" s="3" t="s">
        <v>30</v>
      </c>
      <c r="K166" s="3" t="s">
        <v>30</v>
      </c>
      <c r="L166" s="2" t="s">
        <v>361</v>
      </c>
      <c r="M166" s="2" t="s">
        <v>31</v>
      </c>
      <c r="N166" s="3" t="s">
        <v>494</v>
      </c>
      <c r="O166" s="3" t="s">
        <v>160</v>
      </c>
      <c r="P166" s="3" t="s">
        <v>34</v>
      </c>
      <c r="Q166" s="124">
        <v>5426</v>
      </c>
      <c r="R166" s="141">
        <v>1</v>
      </c>
      <c r="S166" s="143">
        <v>25390</v>
      </c>
      <c r="T166" s="2"/>
      <c r="U166" s="124">
        <v>1377.6610000000001</v>
      </c>
      <c r="V166" s="140">
        <v>1.9480000000000001E-3</v>
      </c>
      <c r="W166" s="140">
        <v>3.7274605084573601E-3</v>
      </c>
      <c r="X166" s="140">
        <v>7.3059514779021096E-4</v>
      </c>
    </row>
    <row r="167" spans="1:24">
      <c r="A167" s="3">
        <v>161</v>
      </c>
      <c r="B167" s="3">
        <v>9943</v>
      </c>
      <c r="C167" s="3" t="s">
        <v>1718</v>
      </c>
      <c r="D167" s="3" t="s">
        <v>1719</v>
      </c>
      <c r="E167" s="3" t="s">
        <v>1351</v>
      </c>
      <c r="F167" s="3" t="s">
        <v>1720</v>
      </c>
      <c r="G167" s="3" t="s">
        <v>1721</v>
      </c>
      <c r="H167" s="3" t="s">
        <v>209</v>
      </c>
      <c r="I167" s="3" t="s">
        <v>962</v>
      </c>
      <c r="J167" s="3" t="s">
        <v>30</v>
      </c>
      <c r="K167" s="3" t="s">
        <v>334</v>
      </c>
      <c r="L167" s="2" t="s">
        <v>361</v>
      </c>
      <c r="M167" s="2" t="s">
        <v>31</v>
      </c>
      <c r="N167" s="3" t="s">
        <v>489</v>
      </c>
      <c r="O167" s="3" t="s">
        <v>160</v>
      </c>
      <c r="P167" s="3" t="s">
        <v>34</v>
      </c>
      <c r="Q167" s="124">
        <v>10899</v>
      </c>
      <c r="R167" s="141">
        <v>1</v>
      </c>
      <c r="S167" s="143">
        <v>29040</v>
      </c>
      <c r="T167" s="2"/>
      <c r="U167" s="124">
        <v>3165.07</v>
      </c>
      <c r="V167" s="140">
        <v>2.3000000000000001E-4</v>
      </c>
      <c r="W167" s="140">
        <v>8.5635497521516901E-3</v>
      </c>
      <c r="X167" s="140">
        <v>1.6784853609009499E-3</v>
      </c>
    </row>
    <row r="168" spans="1:24">
      <c r="A168" s="3">
        <v>161</v>
      </c>
      <c r="B168" s="3">
        <v>9943</v>
      </c>
      <c r="C168" s="3" t="s">
        <v>1885</v>
      </c>
      <c r="D168" s="3" t="s">
        <v>1886</v>
      </c>
      <c r="E168" s="3" t="s">
        <v>1351</v>
      </c>
      <c r="F168" s="3" t="s">
        <v>1887</v>
      </c>
      <c r="G168" s="3" t="s">
        <v>1888</v>
      </c>
      <c r="H168" s="3" t="s">
        <v>209</v>
      </c>
      <c r="I168" s="3" t="s">
        <v>962</v>
      </c>
      <c r="J168" s="3" t="s">
        <v>30</v>
      </c>
      <c r="K168" s="3" t="s">
        <v>30</v>
      </c>
      <c r="L168" s="2" t="s">
        <v>361</v>
      </c>
      <c r="M168" s="2" t="s">
        <v>31</v>
      </c>
      <c r="N168" s="3" t="s">
        <v>493</v>
      </c>
      <c r="O168" s="3" t="s">
        <v>160</v>
      </c>
      <c r="P168" s="3" t="s">
        <v>34</v>
      </c>
      <c r="Q168" s="124">
        <v>106046</v>
      </c>
      <c r="R168" s="141">
        <v>1</v>
      </c>
      <c r="S168" s="143">
        <v>3315</v>
      </c>
      <c r="T168" s="2"/>
      <c r="U168" s="124">
        <v>3515.4250000000002</v>
      </c>
      <c r="V168" s="140">
        <v>1.157E-3</v>
      </c>
      <c r="W168" s="140">
        <v>9.5114862659269397E-3</v>
      </c>
      <c r="X168" s="140">
        <v>1.8642841952027499E-3</v>
      </c>
    </row>
    <row r="169" spans="1:24">
      <c r="A169" s="3">
        <v>161</v>
      </c>
      <c r="B169" s="3">
        <v>9943</v>
      </c>
      <c r="C169" s="3" t="s">
        <v>1889</v>
      </c>
      <c r="D169" s="3" t="s">
        <v>1890</v>
      </c>
      <c r="E169" s="3" t="s">
        <v>1351</v>
      </c>
      <c r="F169" s="3" t="s">
        <v>1891</v>
      </c>
      <c r="G169" s="3" t="s">
        <v>1892</v>
      </c>
      <c r="H169" s="3" t="s">
        <v>209</v>
      </c>
      <c r="I169" s="3" t="s">
        <v>962</v>
      </c>
      <c r="J169" s="3" t="s">
        <v>30</v>
      </c>
      <c r="K169" s="3" t="s">
        <v>30</v>
      </c>
      <c r="L169" s="2" t="s">
        <v>361</v>
      </c>
      <c r="M169" s="2" t="s">
        <v>31</v>
      </c>
      <c r="N169" s="3" t="s">
        <v>478</v>
      </c>
      <c r="O169" s="3" t="s">
        <v>160</v>
      </c>
      <c r="P169" s="3" t="s">
        <v>34</v>
      </c>
      <c r="Q169" s="124">
        <v>46230</v>
      </c>
      <c r="R169" s="141">
        <v>1</v>
      </c>
      <c r="S169" s="143">
        <v>8993</v>
      </c>
      <c r="T169" s="2"/>
      <c r="U169" s="124">
        <v>4157.4639999999999</v>
      </c>
      <c r="V169" s="140">
        <v>2.7430000000000002E-3</v>
      </c>
      <c r="W169" s="140">
        <v>1.1248614864717199E-2</v>
      </c>
      <c r="X169" s="140">
        <v>2.20476740689183E-3</v>
      </c>
    </row>
    <row r="170" spans="1:24">
      <c r="A170" s="3">
        <v>161</v>
      </c>
      <c r="B170" s="3">
        <v>9943</v>
      </c>
      <c r="C170" s="3" t="s">
        <v>1722</v>
      </c>
      <c r="D170" s="3" t="s">
        <v>1723</v>
      </c>
      <c r="E170" s="3" t="s">
        <v>348</v>
      </c>
      <c r="F170" s="3" t="s">
        <v>1724</v>
      </c>
      <c r="G170" s="3" t="s">
        <v>1725</v>
      </c>
      <c r="H170" s="3" t="s">
        <v>209</v>
      </c>
      <c r="I170" s="3" t="s">
        <v>962</v>
      </c>
      <c r="J170" s="3" t="s">
        <v>30</v>
      </c>
      <c r="K170" s="3" t="s">
        <v>30</v>
      </c>
      <c r="L170" s="2" t="s">
        <v>361</v>
      </c>
      <c r="M170" s="2" t="s">
        <v>31</v>
      </c>
      <c r="N170" s="3" t="s">
        <v>485</v>
      </c>
      <c r="O170" s="3" t="s">
        <v>160</v>
      </c>
      <c r="P170" s="3" t="s">
        <v>34</v>
      </c>
      <c r="Q170" s="124">
        <v>18283</v>
      </c>
      <c r="R170" s="141">
        <v>1</v>
      </c>
      <c r="S170" s="143">
        <v>483.9</v>
      </c>
      <c r="T170" s="2"/>
      <c r="U170" s="124">
        <v>88.471000000000004</v>
      </c>
      <c r="V170" s="140">
        <v>1.5999999999999999E-5</v>
      </c>
      <c r="W170" s="140">
        <v>2.3937216179822801E-4</v>
      </c>
      <c r="X170" s="140">
        <v>4.6917771369820901E-5</v>
      </c>
    </row>
    <row r="171" spans="1:24">
      <c r="A171" s="3">
        <v>161</v>
      </c>
      <c r="B171" s="3">
        <v>9943</v>
      </c>
      <c r="C171" s="3" t="s">
        <v>1726</v>
      </c>
      <c r="D171" s="3" t="s">
        <v>1727</v>
      </c>
      <c r="E171" s="3" t="s">
        <v>1351</v>
      </c>
      <c r="F171" s="3" t="s">
        <v>1728</v>
      </c>
      <c r="G171" s="3" t="s">
        <v>1729</v>
      </c>
      <c r="H171" s="3" t="s">
        <v>209</v>
      </c>
      <c r="I171" s="3" t="s">
        <v>962</v>
      </c>
      <c r="J171" s="3" t="s">
        <v>30</v>
      </c>
      <c r="K171" s="3" t="s">
        <v>30</v>
      </c>
      <c r="L171" s="2" t="s">
        <v>361</v>
      </c>
      <c r="M171" s="2" t="s">
        <v>31</v>
      </c>
      <c r="N171" s="3" t="s">
        <v>507</v>
      </c>
      <c r="O171" s="3" t="s">
        <v>160</v>
      </c>
      <c r="P171" s="3" t="s">
        <v>34</v>
      </c>
      <c r="Q171" s="124">
        <v>91523</v>
      </c>
      <c r="R171" s="141">
        <v>1</v>
      </c>
      <c r="S171" s="143">
        <v>3869</v>
      </c>
      <c r="T171" s="2"/>
      <c r="U171" s="124">
        <v>3541.0250000000001</v>
      </c>
      <c r="V171" s="140">
        <v>3.3199999999999999E-4</v>
      </c>
      <c r="W171" s="140">
        <v>9.5807506564315192E-3</v>
      </c>
      <c r="X171" s="140">
        <v>1.8778602552314101E-3</v>
      </c>
    </row>
    <row r="172" spans="1:24">
      <c r="A172" s="3">
        <v>161</v>
      </c>
      <c r="B172" s="3">
        <v>9943</v>
      </c>
      <c r="C172" s="3" t="s">
        <v>1730</v>
      </c>
      <c r="D172" s="3" t="s">
        <v>1731</v>
      </c>
      <c r="E172" s="3" t="s">
        <v>206</v>
      </c>
      <c r="F172" s="3" t="s">
        <v>1732</v>
      </c>
      <c r="G172" s="3" t="s">
        <v>1733</v>
      </c>
      <c r="H172" s="3" t="s">
        <v>209</v>
      </c>
      <c r="I172" s="3" t="s">
        <v>962</v>
      </c>
      <c r="J172" s="3" t="s">
        <v>85</v>
      </c>
      <c r="K172" s="3" t="s">
        <v>327</v>
      </c>
      <c r="L172" s="2" t="s">
        <v>361</v>
      </c>
      <c r="M172" s="2" t="s">
        <v>380</v>
      </c>
      <c r="N172" s="3" t="s">
        <v>580</v>
      </c>
      <c r="O172" s="3" t="s">
        <v>160</v>
      </c>
      <c r="P172" s="3" t="s">
        <v>90</v>
      </c>
      <c r="Q172" s="124">
        <v>3990</v>
      </c>
      <c r="R172" s="141">
        <v>3.3719999999999999</v>
      </c>
      <c r="S172" s="143">
        <v>14190</v>
      </c>
      <c r="T172" s="2"/>
      <c r="U172" s="124">
        <v>1909.162</v>
      </c>
      <c r="V172" s="140">
        <v>1.9999999999999999E-6</v>
      </c>
      <c r="W172" s="140">
        <v>5.1655125103776296E-3</v>
      </c>
      <c r="X172" s="140">
        <v>1.01245831240031E-3</v>
      </c>
    </row>
    <row r="173" spans="1:24">
      <c r="A173" s="3">
        <v>161</v>
      </c>
      <c r="B173" s="3">
        <v>9943</v>
      </c>
      <c r="C173" s="3" t="s">
        <v>1734</v>
      </c>
      <c r="D173" s="3" t="s">
        <v>1735</v>
      </c>
      <c r="E173" s="3" t="s">
        <v>206</v>
      </c>
      <c r="F173" s="3" t="s">
        <v>1736</v>
      </c>
      <c r="G173" s="3" t="s">
        <v>1737</v>
      </c>
      <c r="H173" s="3" t="s">
        <v>209</v>
      </c>
      <c r="I173" s="3" t="s">
        <v>962</v>
      </c>
      <c r="J173" s="3" t="s">
        <v>85</v>
      </c>
      <c r="K173" s="3" t="s">
        <v>86</v>
      </c>
      <c r="L173" s="2" t="s">
        <v>361</v>
      </c>
      <c r="M173" s="2" t="s">
        <v>380</v>
      </c>
      <c r="N173" s="3" t="s">
        <v>581</v>
      </c>
      <c r="O173" s="3" t="s">
        <v>160</v>
      </c>
      <c r="P173" s="3" t="s">
        <v>90</v>
      </c>
      <c r="Q173" s="124">
        <v>6563</v>
      </c>
      <c r="R173" s="141">
        <v>3.3719999999999999</v>
      </c>
      <c r="S173" s="143">
        <v>17739</v>
      </c>
      <c r="T173" s="2"/>
      <c r="U173" s="124">
        <v>3925.7179999999998</v>
      </c>
      <c r="V173" s="140">
        <v>9.9999999999999995E-7</v>
      </c>
      <c r="W173" s="140">
        <v>1.0621593207912099E-2</v>
      </c>
      <c r="X173" s="140">
        <v>2.08186899415699E-3</v>
      </c>
    </row>
    <row r="174" spans="1:24">
      <c r="A174" s="3">
        <v>161</v>
      </c>
      <c r="B174" s="3">
        <v>9943</v>
      </c>
      <c r="C174" s="3" t="s">
        <v>1738</v>
      </c>
      <c r="D174" s="3" t="s">
        <v>1739</v>
      </c>
      <c r="E174" s="3" t="s">
        <v>206</v>
      </c>
      <c r="F174" s="3" t="s">
        <v>1740</v>
      </c>
      <c r="G174" s="3" t="s">
        <v>1741</v>
      </c>
      <c r="H174" s="3" t="s">
        <v>209</v>
      </c>
      <c r="I174" s="3" t="s">
        <v>962</v>
      </c>
      <c r="J174" s="3" t="s">
        <v>85</v>
      </c>
      <c r="K174" s="3" t="s">
        <v>86</v>
      </c>
      <c r="L174" s="2" t="s">
        <v>361</v>
      </c>
      <c r="M174" s="2" t="s">
        <v>380</v>
      </c>
      <c r="N174" s="3" t="s">
        <v>532</v>
      </c>
      <c r="O174" s="3" t="s">
        <v>160</v>
      </c>
      <c r="P174" s="3" t="s">
        <v>90</v>
      </c>
      <c r="Q174" s="124">
        <v>3800</v>
      </c>
      <c r="R174" s="141">
        <v>3.3719999999999999</v>
      </c>
      <c r="S174" s="143">
        <v>21939</v>
      </c>
      <c r="T174" s="2"/>
      <c r="U174" s="124">
        <v>2811.1759999999999</v>
      </c>
      <c r="V174" s="140">
        <v>0</v>
      </c>
      <c r="W174" s="140">
        <v>7.60603905937615E-3</v>
      </c>
      <c r="X174" s="140">
        <v>1.49080995441124E-3</v>
      </c>
    </row>
    <row r="175" spans="1:24">
      <c r="A175" s="3">
        <v>161</v>
      </c>
      <c r="B175" s="3">
        <v>9943</v>
      </c>
      <c r="C175" s="3" t="s">
        <v>1742</v>
      </c>
      <c r="D175" s="3" t="s">
        <v>1743</v>
      </c>
      <c r="E175" s="3" t="s">
        <v>206</v>
      </c>
      <c r="F175" s="3" t="s">
        <v>1744</v>
      </c>
      <c r="G175" s="3" t="s">
        <v>1745</v>
      </c>
      <c r="H175" s="3" t="s">
        <v>209</v>
      </c>
      <c r="I175" s="3" t="s">
        <v>962</v>
      </c>
      <c r="J175" s="3" t="s">
        <v>85</v>
      </c>
      <c r="K175" s="3" t="s">
        <v>86</v>
      </c>
      <c r="L175" s="2" t="s">
        <v>361</v>
      </c>
      <c r="M175" s="2" t="s">
        <v>380</v>
      </c>
      <c r="N175" s="3" t="s">
        <v>580</v>
      </c>
      <c r="O175" s="3" t="s">
        <v>160</v>
      </c>
      <c r="P175" s="3" t="s">
        <v>90</v>
      </c>
      <c r="Q175" s="124">
        <v>1622</v>
      </c>
      <c r="R175" s="141">
        <v>3.3719999999999999</v>
      </c>
      <c r="S175" s="143">
        <v>80139</v>
      </c>
      <c r="T175" s="2"/>
      <c r="U175" s="124">
        <v>4383.1099999999997</v>
      </c>
      <c r="V175" s="140">
        <v>3.9999999999999998E-6</v>
      </c>
      <c r="W175" s="140">
        <v>1.18591317876468E-2</v>
      </c>
      <c r="X175" s="140">
        <v>2.3244308347200099E-3</v>
      </c>
    </row>
    <row r="176" spans="1:24">
      <c r="A176" s="3">
        <v>161</v>
      </c>
      <c r="B176" s="3">
        <v>9943</v>
      </c>
      <c r="C176" s="3" t="s">
        <v>1746</v>
      </c>
      <c r="D176" s="3" t="s">
        <v>1747</v>
      </c>
      <c r="E176" s="3" t="s">
        <v>206</v>
      </c>
      <c r="F176" s="3" t="s">
        <v>1748</v>
      </c>
      <c r="G176" s="3" t="s">
        <v>1749</v>
      </c>
      <c r="H176" s="3" t="s">
        <v>209</v>
      </c>
      <c r="I176" s="3" t="s">
        <v>962</v>
      </c>
      <c r="J176" s="3" t="s">
        <v>85</v>
      </c>
      <c r="K176" s="3" t="s">
        <v>86</v>
      </c>
      <c r="L176" s="2" t="s">
        <v>361</v>
      </c>
      <c r="M176" s="2" t="s">
        <v>380</v>
      </c>
      <c r="N176" s="3" t="s">
        <v>580</v>
      </c>
      <c r="O176" s="3" t="s">
        <v>160</v>
      </c>
      <c r="P176" s="3" t="s">
        <v>90</v>
      </c>
      <c r="Q176" s="124">
        <v>2000</v>
      </c>
      <c r="R176" s="141">
        <v>3.3719999999999999</v>
      </c>
      <c r="S176" s="143">
        <v>27565</v>
      </c>
      <c r="T176" s="123">
        <v>1.18</v>
      </c>
      <c r="U176" s="124">
        <v>1862.963</v>
      </c>
      <c r="V176" s="140">
        <v>3.9999999999999998E-6</v>
      </c>
      <c r="W176" s="140">
        <v>5.0405124010403698E-3</v>
      </c>
      <c r="X176" s="140">
        <v>9.8795785876763993E-4</v>
      </c>
    </row>
    <row r="177" spans="1:24">
      <c r="A177" s="3">
        <v>161</v>
      </c>
      <c r="B177" s="3">
        <v>9943</v>
      </c>
      <c r="C177" s="3" t="s">
        <v>1718</v>
      </c>
      <c r="D177" s="3" t="s">
        <v>1719</v>
      </c>
      <c r="E177" s="3" t="s">
        <v>1351</v>
      </c>
      <c r="F177" s="3" t="s">
        <v>1893</v>
      </c>
      <c r="G177" s="3" t="s">
        <v>1721</v>
      </c>
      <c r="H177" s="3" t="s">
        <v>209</v>
      </c>
      <c r="I177" s="3" t="s">
        <v>962</v>
      </c>
      <c r="J177" s="3" t="s">
        <v>85</v>
      </c>
      <c r="K177" s="3" t="s">
        <v>334</v>
      </c>
      <c r="L177" s="2" t="s">
        <v>361</v>
      </c>
      <c r="M177" s="2" t="s">
        <v>380</v>
      </c>
      <c r="N177" s="3" t="s">
        <v>580</v>
      </c>
      <c r="O177" s="3" t="s">
        <v>160</v>
      </c>
      <c r="P177" s="3" t="s">
        <v>90</v>
      </c>
      <c r="Q177" s="124">
        <v>8750</v>
      </c>
      <c r="R177" s="141">
        <v>3.3719999999999999</v>
      </c>
      <c r="S177" s="143">
        <v>8456</v>
      </c>
      <c r="T177" s="2"/>
      <c r="U177" s="124">
        <v>2494.9430000000002</v>
      </c>
      <c r="V177" s="140">
        <v>2.02E-4</v>
      </c>
      <c r="W177" s="140">
        <v>6.7504255819754002E-3</v>
      </c>
      <c r="X177" s="140">
        <v>1.32310675445659E-3</v>
      </c>
    </row>
    <row r="178" spans="1:24">
      <c r="A178" s="3">
        <v>161</v>
      </c>
      <c r="B178" s="3">
        <v>9943</v>
      </c>
      <c r="C178" s="3" t="s">
        <v>1894</v>
      </c>
      <c r="D178" s="3" t="s">
        <v>1895</v>
      </c>
      <c r="E178" s="3" t="s">
        <v>206</v>
      </c>
      <c r="F178" s="3" t="s">
        <v>1896</v>
      </c>
      <c r="G178" s="3" t="s">
        <v>1897</v>
      </c>
      <c r="H178" s="3" t="s">
        <v>209</v>
      </c>
      <c r="I178" s="3" t="s">
        <v>962</v>
      </c>
      <c r="J178" s="3" t="s">
        <v>85</v>
      </c>
      <c r="K178" s="3" t="s">
        <v>86</v>
      </c>
      <c r="L178" s="2" t="s">
        <v>361</v>
      </c>
      <c r="M178" s="2" t="s">
        <v>380</v>
      </c>
      <c r="N178" s="3" t="s">
        <v>1898</v>
      </c>
      <c r="O178" s="3" t="s">
        <v>160</v>
      </c>
      <c r="P178" s="3" t="s">
        <v>90</v>
      </c>
      <c r="Q178" s="124">
        <v>540</v>
      </c>
      <c r="R178" s="141">
        <v>3.3719999999999999</v>
      </c>
      <c r="S178" s="143">
        <v>98994</v>
      </c>
      <c r="T178" s="2"/>
      <c r="U178" s="124">
        <v>1802.5619999999999</v>
      </c>
      <c r="V178" s="140">
        <v>9.9999999999999995E-7</v>
      </c>
      <c r="W178" s="140">
        <v>4.8770898801664998E-3</v>
      </c>
      <c r="X178" s="140">
        <v>9.5592647962379896E-4</v>
      </c>
    </row>
    <row r="179" spans="1:24">
      <c r="A179" s="3">
        <v>161</v>
      </c>
      <c r="B179" s="3">
        <v>9943</v>
      </c>
      <c r="C179" s="3" t="s">
        <v>1899</v>
      </c>
      <c r="D179" s="3" t="s">
        <v>1900</v>
      </c>
      <c r="E179" s="3" t="s">
        <v>206</v>
      </c>
      <c r="F179" s="3" t="s">
        <v>1901</v>
      </c>
      <c r="G179" s="3" t="s">
        <v>1902</v>
      </c>
      <c r="H179" s="3" t="s">
        <v>209</v>
      </c>
      <c r="I179" s="3" t="s">
        <v>962</v>
      </c>
      <c r="J179" s="3" t="s">
        <v>85</v>
      </c>
      <c r="K179" s="3" t="s">
        <v>306</v>
      </c>
      <c r="L179" s="2" t="s">
        <v>361</v>
      </c>
      <c r="M179" s="2" t="s">
        <v>404</v>
      </c>
      <c r="N179" s="3" t="s">
        <v>547</v>
      </c>
      <c r="O179" s="3" t="s">
        <v>160</v>
      </c>
      <c r="P179" s="3" t="s">
        <v>1201</v>
      </c>
      <c r="Q179" s="124">
        <v>380</v>
      </c>
      <c r="R179" s="141">
        <v>0.42899999999999999</v>
      </c>
      <c r="S179" s="143">
        <v>12790</v>
      </c>
      <c r="T179" s="2"/>
      <c r="U179" s="124">
        <v>20.85</v>
      </c>
      <c r="V179" s="140">
        <v>0</v>
      </c>
      <c r="W179" s="140">
        <v>5.6413363462275397E-5</v>
      </c>
      <c r="X179" s="140">
        <v>1.1057214294437001E-5</v>
      </c>
    </row>
    <row r="180" spans="1:24">
      <c r="A180" s="3">
        <v>161</v>
      </c>
      <c r="B180" s="3">
        <v>9943</v>
      </c>
      <c r="C180" s="3" t="s">
        <v>1754</v>
      </c>
      <c r="D180" s="3" t="s">
        <v>1755</v>
      </c>
      <c r="E180" s="3" t="s">
        <v>206</v>
      </c>
      <c r="F180" s="3" t="s">
        <v>1756</v>
      </c>
      <c r="G180" s="3" t="s">
        <v>1757</v>
      </c>
      <c r="H180" s="3" t="s">
        <v>209</v>
      </c>
      <c r="I180" s="3" t="s">
        <v>962</v>
      </c>
      <c r="J180" s="3" t="s">
        <v>85</v>
      </c>
      <c r="K180" s="3" t="s">
        <v>86</v>
      </c>
      <c r="L180" s="2" t="s">
        <v>361</v>
      </c>
      <c r="M180" s="2" t="s">
        <v>378</v>
      </c>
      <c r="N180" s="3" t="s">
        <v>1758</v>
      </c>
      <c r="O180" s="3" t="s">
        <v>160</v>
      </c>
      <c r="P180" s="3" t="s">
        <v>90</v>
      </c>
      <c r="Q180" s="124">
        <v>1424</v>
      </c>
      <c r="R180" s="141">
        <v>3.3719999999999999</v>
      </c>
      <c r="S180" s="143">
        <v>56194</v>
      </c>
      <c r="T180" s="2"/>
      <c r="U180" s="124">
        <v>2698.2829999999999</v>
      </c>
      <c r="V180" s="140">
        <v>9.9999999999999995E-7</v>
      </c>
      <c r="W180" s="140">
        <v>7.3005917445414297E-3</v>
      </c>
      <c r="X180" s="140">
        <v>1.43094122458367E-3</v>
      </c>
    </row>
    <row r="181" spans="1:24">
      <c r="A181" s="3">
        <v>161</v>
      </c>
      <c r="B181" s="3">
        <v>9943</v>
      </c>
      <c r="C181" s="3" t="s">
        <v>1759</v>
      </c>
      <c r="D181" s="3" t="s">
        <v>1760</v>
      </c>
      <c r="E181" s="3" t="s">
        <v>206</v>
      </c>
      <c r="F181" s="3" t="s">
        <v>1761</v>
      </c>
      <c r="G181" s="3" t="s">
        <v>1762</v>
      </c>
      <c r="H181" s="3" t="s">
        <v>209</v>
      </c>
      <c r="I181" s="3" t="s">
        <v>962</v>
      </c>
      <c r="J181" s="3" t="s">
        <v>85</v>
      </c>
      <c r="K181" s="3" t="s">
        <v>86</v>
      </c>
      <c r="L181" s="2" t="s">
        <v>361</v>
      </c>
      <c r="M181" s="2" t="s">
        <v>380</v>
      </c>
      <c r="N181" s="3" t="s">
        <v>576</v>
      </c>
      <c r="O181" s="3" t="s">
        <v>160</v>
      </c>
      <c r="P181" s="3" t="s">
        <v>90</v>
      </c>
      <c r="Q181" s="124">
        <v>1803</v>
      </c>
      <c r="R181" s="141">
        <v>3.3719999999999999</v>
      </c>
      <c r="S181" s="143">
        <v>49741</v>
      </c>
      <c r="T181" s="2"/>
      <c r="U181" s="124">
        <v>3024.1120000000001</v>
      </c>
      <c r="V181" s="140">
        <v>0</v>
      </c>
      <c r="W181" s="140">
        <v>8.18216749193253E-3</v>
      </c>
      <c r="X181" s="140">
        <v>1.6037331192240299E-3</v>
      </c>
    </row>
    <row r="182" spans="1:24">
      <c r="A182" s="3">
        <v>161</v>
      </c>
      <c r="B182" s="3">
        <v>9943</v>
      </c>
      <c r="C182" s="3" t="s">
        <v>1695</v>
      </c>
      <c r="D182" s="3" t="s">
        <v>1696</v>
      </c>
      <c r="E182" s="3" t="s">
        <v>1351</v>
      </c>
      <c r="F182" s="3" t="s">
        <v>1763</v>
      </c>
      <c r="G182" s="3" t="s">
        <v>1764</v>
      </c>
      <c r="H182" s="3" t="s">
        <v>209</v>
      </c>
      <c r="I182" s="3" t="s">
        <v>962</v>
      </c>
      <c r="J182" s="3" t="s">
        <v>85</v>
      </c>
      <c r="K182" s="3" t="s">
        <v>86</v>
      </c>
      <c r="L182" s="2" t="s">
        <v>361</v>
      </c>
      <c r="M182" s="2" t="s">
        <v>380</v>
      </c>
      <c r="N182" s="3" t="s">
        <v>512</v>
      </c>
      <c r="O182" s="3" t="s">
        <v>160</v>
      </c>
      <c r="P182" s="3" t="s">
        <v>90</v>
      </c>
      <c r="Q182" s="124">
        <v>707</v>
      </c>
      <c r="R182" s="141">
        <v>3.3719999999999999</v>
      </c>
      <c r="S182" s="143">
        <v>16891</v>
      </c>
      <c r="T182" s="2"/>
      <c r="U182" s="124">
        <v>402.68200000000002</v>
      </c>
      <c r="V182" s="140">
        <v>1.1E-5</v>
      </c>
      <c r="W182" s="140">
        <v>1.0895142184503099E-3</v>
      </c>
      <c r="X182" s="140">
        <v>2.1354855393965501E-4</v>
      </c>
    </row>
    <row r="183" spans="1:24">
      <c r="A183" s="3">
        <v>161</v>
      </c>
      <c r="B183" s="3">
        <v>9943</v>
      </c>
      <c r="C183" s="3" t="s">
        <v>1687</v>
      </c>
      <c r="D183" s="3" t="s">
        <v>1688</v>
      </c>
      <c r="E183" s="3" t="s">
        <v>1351</v>
      </c>
      <c r="F183" s="3" t="s">
        <v>1903</v>
      </c>
      <c r="G183" s="3" t="s">
        <v>1690</v>
      </c>
      <c r="H183" s="3" t="s">
        <v>209</v>
      </c>
      <c r="I183" s="3" t="s">
        <v>962</v>
      </c>
      <c r="J183" s="3" t="s">
        <v>85</v>
      </c>
      <c r="K183" s="3" t="s">
        <v>334</v>
      </c>
      <c r="L183" s="2" t="s">
        <v>361</v>
      </c>
      <c r="M183" s="2" t="s">
        <v>380</v>
      </c>
      <c r="N183" s="3" t="s">
        <v>489</v>
      </c>
      <c r="O183" s="3" t="s">
        <v>160</v>
      </c>
      <c r="P183" s="3" t="s">
        <v>90</v>
      </c>
      <c r="Q183" s="124">
        <v>3102</v>
      </c>
      <c r="R183" s="141">
        <v>3.3719999999999999</v>
      </c>
      <c r="S183" s="143">
        <v>27520</v>
      </c>
      <c r="T183" s="2"/>
      <c r="U183" s="124">
        <v>2878.5770000000002</v>
      </c>
      <c r="V183" s="140">
        <v>1.07E-4</v>
      </c>
      <c r="W183" s="140">
        <v>7.78840182015836E-3</v>
      </c>
      <c r="X183" s="140">
        <v>1.52655368606522E-3</v>
      </c>
    </row>
    <row r="184" spans="1:24">
      <c r="A184" s="3">
        <v>161</v>
      </c>
      <c r="B184" s="3">
        <v>9943</v>
      </c>
      <c r="C184" s="3" t="s">
        <v>1765</v>
      </c>
      <c r="D184" s="3" t="s">
        <v>1766</v>
      </c>
      <c r="E184" s="3" t="s">
        <v>206</v>
      </c>
      <c r="F184" s="3" t="s">
        <v>1767</v>
      </c>
      <c r="G184" s="3" t="s">
        <v>1768</v>
      </c>
      <c r="H184" s="3" t="s">
        <v>209</v>
      </c>
      <c r="I184" s="3" t="s">
        <v>962</v>
      </c>
      <c r="J184" s="3" t="s">
        <v>85</v>
      </c>
      <c r="K184" s="3" t="s">
        <v>86</v>
      </c>
      <c r="L184" s="2" t="s">
        <v>361</v>
      </c>
      <c r="M184" s="2" t="s">
        <v>380</v>
      </c>
      <c r="N184" s="3" t="s">
        <v>580</v>
      </c>
      <c r="O184" s="3" t="s">
        <v>160</v>
      </c>
      <c r="P184" s="3" t="s">
        <v>90</v>
      </c>
      <c r="Q184" s="124">
        <v>7220</v>
      </c>
      <c r="R184" s="141">
        <v>3.3719999999999999</v>
      </c>
      <c r="S184" s="143">
        <v>15799</v>
      </c>
      <c r="T184" s="123">
        <v>5.3999999999999999E-2</v>
      </c>
      <c r="U184" s="124">
        <v>3846.5819999999999</v>
      </c>
      <c r="V184" s="140">
        <v>0</v>
      </c>
      <c r="W184" s="140">
        <v>1.04074789048689E-2</v>
      </c>
      <c r="X184" s="140">
        <v>2.03990185043517E-3</v>
      </c>
    </row>
    <row r="185" spans="1:24">
      <c r="A185" s="3">
        <v>161</v>
      </c>
      <c r="B185" s="3">
        <v>9943</v>
      </c>
      <c r="C185" s="3" t="s">
        <v>1614</v>
      </c>
      <c r="D185" s="3" t="s">
        <v>1615</v>
      </c>
      <c r="E185" s="3" t="s">
        <v>206</v>
      </c>
      <c r="F185" s="3" t="s">
        <v>1769</v>
      </c>
      <c r="G185" s="3" t="s">
        <v>1617</v>
      </c>
      <c r="H185" s="3" t="s">
        <v>209</v>
      </c>
      <c r="I185" s="3" t="s">
        <v>962</v>
      </c>
      <c r="J185" s="3" t="s">
        <v>85</v>
      </c>
      <c r="K185" s="3" t="s">
        <v>86</v>
      </c>
      <c r="L185" s="2" t="s">
        <v>361</v>
      </c>
      <c r="M185" s="2" t="s">
        <v>378</v>
      </c>
      <c r="N185" s="3" t="s">
        <v>589</v>
      </c>
      <c r="O185" s="3" t="s">
        <v>160</v>
      </c>
      <c r="P185" s="3" t="s">
        <v>90</v>
      </c>
      <c r="Q185" s="124">
        <v>9533</v>
      </c>
      <c r="R185" s="141">
        <v>3.3719999999999999</v>
      </c>
      <c r="S185" s="143">
        <v>8376</v>
      </c>
      <c r="T185" s="2"/>
      <c r="U185" s="124">
        <v>2692.4879999999998</v>
      </c>
      <c r="V185" s="140">
        <v>1.5699999999999999E-4</v>
      </c>
      <c r="W185" s="140">
        <v>7.28491331319379E-3</v>
      </c>
      <c r="X185" s="140">
        <v>1.42786819782951E-3</v>
      </c>
    </row>
    <row r="186" spans="1:24">
      <c r="A186" s="3">
        <v>161</v>
      </c>
      <c r="B186" s="3">
        <v>9943</v>
      </c>
      <c r="C186" s="3" t="s">
        <v>1904</v>
      </c>
      <c r="D186" s="3" t="s">
        <v>1905</v>
      </c>
      <c r="E186" s="3" t="s">
        <v>206</v>
      </c>
      <c r="F186" s="3" t="s">
        <v>1906</v>
      </c>
      <c r="G186" s="3" t="s">
        <v>1907</v>
      </c>
      <c r="H186" s="3" t="s">
        <v>209</v>
      </c>
      <c r="I186" s="3" t="s">
        <v>962</v>
      </c>
      <c r="J186" s="3" t="s">
        <v>85</v>
      </c>
      <c r="K186" s="3" t="s">
        <v>327</v>
      </c>
      <c r="L186" s="2" t="s">
        <v>361</v>
      </c>
      <c r="M186" s="2" t="s">
        <v>414</v>
      </c>
      <c r="N186" s="3" t="s">
        <v>578</v>
      </c>
      <c r="O186" s="3" t="s">
        <v>160</v>
      </c>
      <c r="P186" s="3" t="s">
        <v>90</v>
      </c>
      <c r="Q186" s="124">
        <v>0</v>
      </c>
      <c r="R186" s="141">
        <v>3.3719999999999999</v>
      </c>
      <c r="S186" s="143">
        <v>0</v>
      </c>
      <c r="T186" s="123">
        <v>3.0000000000000001E-3</v>
      </c>
      <c r="U186" s="124">
        <v>8.9999999999999993E-3</v>
      </c>
      <c r="V186" s="140">
        <v>0</v>
      </c>
      <c r="W186" s="140">
        <v>2.5545602959225698E-8</v>
      </c>
      <c r="X186" s="140">
        <v>5.0070265069312805E-9</v>
      </c>
    </row>
    <row r="187" spans="1:24">
      <c r="A187" s="3">
        <v>161</v>
      </c>
      <c r="B187" s="3">
        <v>9943</v>
      </c>
      <c r="C187" s="3" t="s">
        <v>1770</v>
      </c>
      <c r="D187" s="3" t="s">
        <v>1771</v>
      </c>
      <c r="E187" s="3" t="s">
        <v>206</v>
      </c>
      <c r="F187" s="3" t="s">
        <v>1772</v>
      </c>
      <c r="G187" s="3" t="s">
        <v>1773</v>
      </c>
      <c r="H187" s="3" t="s">
        <v>209</v>
      </c>
      <c r="I187" s="3" t="s">
        <v>962</v>
      </c>
      <c r="J187" s="3" t="s">
        <v>85</v>
      </c>
      <c r="K187" s="3" t="s">
        <v>1774</v>
      </c>
      <c r="L187" s="2" t="s">
        <v>361</v>
      </c>
      <c r="M187" s="2" t="s">
        <v>378</v>
      </c>
      <c r="N187" s="3" t="s">
        <v>580</v>
      </c>
      <c r="O187" s="3" t="s">
        <v>160</v>
      </c>
      <c r="P187" s="3" t="s">
        <v>90</v>
      </c>
      <c r="Q187" s="124">
        <v>4800</v>
      </c>
      <c r="R187" s="141">
        <v>3.3719999999999999</v>
      </c>
      <c r="S187" s="143">
        <v>22649</v>
      </c>
      <c r="T187" s="123">
        <v>2.5990000000000002</v>
      </c>
      <c r="U187" s="124">
        <v>3674.6410000000001</v>
      </c>
      <c r="V187" s="140">
        <v>9.9999999999999995E-7</v>
      </c>
      <c r="W187" s="140">
        <v>9.9422686592528092E-3</v>
      </c>
      <c r="X187" s="140">
        <v>1.94871903377534E-3</v>
      </c>
    </row>
    <row r="188" spans="1:24">
      <c r="A188" s="3">
        <v>161</v>
      </c>
      <c r="B188" s="3">
        <v>9943</v>
      </c>
      <c r="C188" s="3" t="s">
        <v>1908</v>
      </c>
      <c r="D188" s="3" t="s">
        <v>1909</v>
      </c>
      <c r="E188" s="3" t="s">
        <v>206</v>
      </c>
      <c r="F188" s="3" t="s">
        <v>1908</v>
      </c>
      <c r="G188" s="3" t="s">
        <v>1910</v>
      </c>
      <c r="H188" s="3" t="s">
        <v>209</v>
      </c>
      <c r="I188" s="3" t="s">
        <v>962</v>
      </c>
      <c r="J188" s="3" t="s">
        <v>85</v>
      </c>
      <c r="K188" s="3" t="s">
        <v>86</v>
      </c>
      <c r="L188" s="2" t="s">
        <v>361</v>
      </c>
      <c r="M188" s="2" t="s">
        <v>380</v>
      </c>
      <c r="N188" s="3" t="s">
        <v>544</v>
      </c>
      <c r="O188" s="3" t="s">
        <v>160</v>
      </c>
      <c r="P188" s="3" t="s">
        <v>90</v>
      </c>
      <c r="Q188" s="124">
        <v>700</v>
      </c>
      <c r="R188" s="141">
        <v>3.3719999999999999</v>
      </c>
      <c r="S188" s="143">
        <v>31766</v>
      </c>
      <c r="T188" s="2"/>
      <c r="U188" s="124">
        <v>749.80499999999995</v>
      </c>
      <c r="V188" s="140">
        <v>0</v>
      </c>
      <c r="W188" s="140">
        <v>2.0287040590069101E-3</v>
      </c>
      <c r="X188" s="140">
        <v>3.9763301004794798E-4</v>
      </c>
    </row>
    <row r="189" spans="1:24">
      <c r="A189" s="3">
        <v>161</v>
      </c>
      <c r="B189" s="3">
        <v>9943</v>
      </c>
      <c r="C189" s="3" t="s">
        <v>1911</v>
      </c>
      <c r="D189" s="3" t="s">
        <v>1912</v>
      </c>
      <c r="E189" s="3" t="s">
        <v>206</v>
      </c>
      <c r="F189" s="3" t="s">
        <v>1913</v>
      </c>
      <c r="G189" s="3" t="s">
        <v>1914</v>
      </c>
      <c r="H189" s="3" t="s">
        <v>209</v>
      </c>
      <c r="I189" s="3" t="s">
        <v>962</v>
      </c>
      <c r="J189" s="3" t="s">
        <v>85</v>
      </c>
      <c r="K189" s="3" t="s">
        <v>86</v>
      </c>
      <c r="L189" s="2" t="s">
        <v>361</v>
      </c>
      <c r="M189" s="2" t="s">
        <v>378</v>
      </c>
      <c r="N189" s="3" t="s">
        <v>1758</v>
      </c>
      <c r="O189" s="3" t="s">
        <v>160</v>
      </c>
      <c r="P189" s="3" t="s">
        <v>90</v>
      </c>
      <c r="Q189" s="124">
        <v>1642</v>
      </c>
      <c r="R189" s="141">
        <v>3.3719999999999999</v>
      </c>
      <c r="S189" s="143">
        <v>35505</v>
      </c>
      <c r="T189" s="2"/>
      <c r="U189" s="124">
        <v>1965.8489999999999</v>
      </c>
      <c r="V189" s="140">
        <v>9.9999999999999995E-7</v>
      </c>
      <c r="W189" s="140">
        <v>5.3188873982018599E-3</v>
      </c>
      <c r="X189" s="140">
        <v>1.04252032072555E-3</v>
      </c>
    </row>
    <row r="190" spans="1:24">
      <c r="A190" s="3">
        <v>161</v>
      </c>
      <c r="B190" s="3">
        <v>9943</v>
      </c>
      <c r="C190" s="3" t="s">
        <v>1734</v>
      </c>
      <c r="D190" s="3" t="s">
        <v>1735</v>
      </c>
      <c r="E190" s="3" t="s">
        <v>206</v>
      </c>
      <c r="F190" s="3" t="s">
        <v>1736</v>
      </c>
      <c r="G190" s="3" t="s">
        <v>1737</v>
      </c>
      <c r="H190" s="3" t="s">
        <v>209</v>
      </c>
      <c r="I190" s="3" t="s">
        <v>962</v>
      </c>
      <c r="J190" s="3" t="s">
        <v>85</v>
      </c>
      <c r="K190" s="3" t="s">
        <v>86</v>
      </c>
      <c r="L190" s="2" t="s">
        <v>361</v>
      </c>
      <c r="M190" s="2" t="s">
        <v>380</v>
      </c>
      <c r="N190" s="3" t="s">
        <v>581</v>
      </c>
      <c r="O190" s="3" t="s">
        <v>160</v>
      </c>
      <c r="P190" s="3" t="s">
        <v>90</v>
      </c>
      <c r="Q190" s="124">
        <v>486</v>
      </c>
      <c r="R190" s="141">
        <v>3.3719999999999999</v>
      </c>
      <c r="S190" s="143">
        <v>17739</v>
      </c>
      <c r="T190" s="2"/>
      <c r="U190" s="124">
        <v>290.70499999999998</v>
      </c>
      <c r="V190" s="140">
        <v>0</v>
      </c>
      <c r="W190" s="140">
        <v>7.8654491833693105E-4</v>
      </c>
      <c r="X190" s="140">
        <v>1.54165523565488E-4</v>
      </c>
    </row>
    <row r="191" spans="1:24">
      <c r="A191" s="3">
        <v>161</v>
      </c>
      <c r="B191" s="3">
        <v>9943</v>
      </c>
      <c r="C191" s="3" t="s">
        <v>1734</v>
      </c>
      <c r="D191" s="3" t="s">
        <v>1735</v>
      </c>
      <c r="E191" s="3" t="s">
        <v>206</v>
      </c>
      <c r="F191" s="3" t="s">
        <v>1915</v>
      </c>
      <c r="G191" s="3" t="s">
        <v>1916</v>
      </c>
      <c r="H191" s="3" t="s">
        <v>209</v>
      </c>
      <c r="I191" s="3" t="s">
        <v>962</v>
      </c>
      <c r="J191" s="3" t="s">
        <v>85</v>
      </c>
      <c r="K191" s="3" t="s">
        <v>86</v>
      </c>
      <c r="L191" s="2" t="s">
        <v>361</v>
      </c>
      <c r="M191" s="2" t="s">
        <v>380</v>
      </c>
      <c r="N191" s="3" t="s">
        <v>576</v>
      </c>
      <c r="O191" s="3" t="s">
        <v>160</v>
      </c>
      <c r="P191" s="3" t="s">
        <v>90</v>
      </c>
      <c r="Q191" s="124">
        <v>2567</v>
      </c>
      <c r="R191" s="141">
        <v>3.3719999999999999</v>
      </c>
      <c r="S191" s="143">
        <v>17623</v>
      </c>
      <c r="T191" s="2"/>
      <c r="U191" s="124">
        <v>1525.433</v>
      </c>
      <c r="V191" s="140">
        <v>0</v>
      </c>
      <c r="W191" s="140">
        <v>4.12727908271345E-3</v>
      </c>
      <c r="X191" s="140">
        <v>8.0896097076409103E-4</v>
      </c>
    </row>
    <row r="192" spans="1:24">
      <c r="A192" s="3">
        <v>161</v>
      </c>
      <c r="B192" s="3">
        <v>9943</v>
      </c>
      <c r="C192" s="3" t="s">
        <v>1917</v>
      </c>
      <c r="D192" s="3" t="s">
        <v>1918</v>
      </c>
      <c r="E192" s="3" t="s">
        <v>206</v>
      </c>
      <c r="F192" s="3" t="s">
        <v>1919</v>
      </c>
      <c r="G192" s="3" t="s">
        <v>1920</v>
      </c>
      <c r="H192" s="3" t="s">
        <v>209</v>
      </c>
      <c r="I192" s="3" t="s">
        <v>962</v>
      </c>
      <c r="J192" s="3" t="s">
        <v>85</v>
      </c>
      <c r="K192" s="3" t="s">
        <v>86</v>
      </c>
      <c r="L192" s="2" t="s">
        <v>361</v>
      </c>
      <c r="M192" s="2" t="s">
        <v>380</v>
      </c>
      <c r="N192" s="3" t="s">
        <v>578</v>
      </c>
      <c r="O192" s="3" t="s">
        <v>160</v>
      </c>
      <c r="P192" s="3" t="s">
        <v>90</v>
      </c>
      <c r="Q192" s="124">
        <v>4445</v>
      </c>
      <c r="R192" s="141">
        <v>3.3719999999999999</v>
      </c>
      <c r="S192" s="143">
        <v>20517</v>
      </c>
      <c r="T192" s="2"/>
      <c r="U192" s="124">
        <v>3075.1990000000001</v>
      </c>
      <c r="V192" s="140">
        <v>0</v>
      </c>
      <c r="W192" s="140">
        <v>8.3203912826416392E-3</v>
      </c>
      <c r="X192" s="140">
        <v>1.6308254601280099E-3</v>
      </c>
    </row>
    <row r="193" spans="1:24">
      <c r="A193" s="3">
        <v>161</v>
      </c>
      <c r="B193" s="3">
        <v>9943</v>
      </c>
      <c r="C193" s="3" t="s">
        <v>1921</v>
      </c>
      <c r="D193" s="3" t="s">
        <v>1922</v>
      </c>
      <c r="E193" s="3" t="s">
        <v>206</v>
      </c>
      <c r="F193" s="3" t="s">
        <v>1923</v>
      </c>
      <c r="G193" s="3" t="s">
        <v>1924</v>
      </c>
      <c r="H193" s="3" t="s">
        <v>209</v>
      </c>
      <c r="I193" s="3" t="s">
        <v>962</v>
      </c>
      <c r="J193" s="3" t="s">
        <v>85</v>
      </c>
      <c r="K193" s="3" t="s">
        <v>86</v>
      </c>
      <c r="L193" s="2" t="s">
        <v>361</v>
      </c>
      <c r="M193" s="2" t="s">
        <v>378</v>
      </c>
      <c r="N193" s="3" t="s">
        <v>568</v>
      </c>
      <c r="O193" s="3" t="s">
        <v>160</v>
      </c>
      <c r="P193" s="3" t="s">
        <v>90</v>
      </c>
      <c r="Q193" s="124">
        <v>21659</v>
      </c>
      <c r="R193" s="141">
        <v>3.3719999999999999</v>
      </c>
      <c r="S193" s="143">
        <v>4732</v>
      </c>
      <c r="T193" s="2"/>
      <c r="U193" s="124">
        <v>3455.9760000000001</v>
      </c>
      <c r="V193" s="140">
        <v>3.0000000000000001E-6</v>
      </c>
      <c r="W193" s="140">
        <v>9.3506384249464006E-3</v>
      </c>
      <c r="X193" s="140">
        <v>1.8327574622202601E-3</v>
      </c>
    </row>
    <row r="194" spans="1:24">
      <c r="A194" s="3">
        <v>161</v>
      </c>
      <c r="B194" s="3">
        <v>9943</v>
      </c>
      <c r="C194" s="3" t="s">
        <v>1750</v>
      </c>
      <c r="D194" s="3" t="s">
        <v>1751</v>
      </c>
      <c r="E194" s="3" t="s">
        <v>206</v>
      </c>
      <c r="F194" s="3" t="s">
        <v>1752</v>
      </c>
      <c r="G194" s="3" t="s">
        <v>1753</v>
      </c>
      <c r="H194" s="3" t="s">
        <v>209</v>
      </c>
      <c r="I194" s="3" t="s">
        <v>962</v>
      </c>
      <c r="J194" s="3" t="s">
        <v>85</v>
      </c>
      <c r="K194" s="3" t="s">
        <v>86</v>
      </c>
      <c r="L194" s="2" t="s">
        <v>361</v>
      </c>
      <c r="M194" s="2" t="s">
        <v>378</v>
      </c>
      <c r="N194" s="3" t="s">
        <v>568</v>
      </c>
      <c r="O194" s="3" t="s">
        <v>160</v>
      </c>
      <c r="P194" s="3" t="s">
        <v>90</v>
      </c>
      <c r="Q194" s="124">
        <v>140</v>
      </c>
      <c r="R194" s="141">
        <v>3.3719999999999999</v>
      </c>
      <c r="S194" s="143">
        <v>28991</v>
      </c>
      <c r="T194" s="2"/>
      <c r="U194" s="124">
        <v>136.86099999999999</v>
      </c>
      <c r="V194" s="140">
        <v>0</v>
      </c>
      <c r="W194" s="140">
        <v>3.7029628769545599E-4</v>
      </c>
      <c r="X194" s="140">
        <v>7.2579352731222402E-5</v>
      </c>
    </row>
    <row r="195" spans="1:24">
      <c r="A195" s="3">
        <v>161</v>
      </c>
      <c r="B195" s="3">
        <v>9943</v>
      </c>
      <c r="C195" s="3" t="s">
        <v>1925</v>
      </c>
      <c r="D195" s="3" t="s">
        <v>1926</v>
      </c>
      <c r="E195" s="3" t="s">
        <v>206</v>
      </c>
      <c r="F195" s="3" t="s">
        <v>1927</v>
      </c>
      <c r="G195" s="3" t="s">
        <v>1928</v>
      </c>
      <c r="H195" s="3" t="s">
        <v>209</v>
      </c>
      <c r="I195" s="3" t="s">
        <v>962</v>
      </c>
      <c r="J195" s="3" t="s">
        <v>85</v>
      </c>
      <c r="K195" s="3" t="s">
        <v>86</v>
      </c>
      <c r="L195" s="2" t="s">
        <v>361</v>
      </c>
      <c r="M195" s="2" t="s">
        <v>380</v>
      </c>
      <c r="N195" s="3" t="s">
        <v>581</v>
      </c>
      <c r="O195" s="3" t="s">
        <v>160</v>
      </c>
      <c r="P195" s="3" t="s">
        <v>90</v>
      </c>
      <c r="Q195" s="124">
        <v>1617</v>
      </c>
      <c r="R195" s="141">
        <v>3.3719999999999999</v>
      </c>
      <c r="S195" s="143">
        <v>73809</v>
      </c>
      <c r="T195" s="2"/>
      <c r="U195" s="124">
        <v>4024.453</v>
      </c>
      <c r="V195" s="140">
        <v>9.9999999999999995E-7</v>
      </c>
      <c r="W195" s="140">
        <v>1.0888735985920999E-2</v>
      </c>
      <c r="X195" s="140">
        <v>2.1342299023242701E-3</v>
      </c>
    </row>
    <row r="196" spans="1:24">
      <c r="A196" s="3">
        <v>161</v>
      </c>
      <c r="B196" s="3">
        <v>9943</v>
      </c>
      <c r="C196" s="3" t="s">
        <v>1759</v>
      </c>
      <c r="D196" s="3" t="s">
        <v>1760</v>
      </c>
      <c r="E196" s="3" t="s">
        <v>206</v>
      </c>
      <c r="F196" s="3" t="s">
        <v>1761</v>
      </c>
      <c r="G196" s="3" t="s">
        <v>1762</v>
      </c>
      <c r="H196" s="3" t="s">
        <v>209</v>
      </c>
      <c r="I196" s="3" t="s">
        <v>962</v>
      </c>
      <c r="J196" s="3" t="s">
        <v>85</v>
      </c>
      <c r="K196" s="3" t="s">
        <v>86</v>
      </c>
      <c r="L196" s="2" t="s">
        <v>361</v>
      </c>
      <c r="M196" s="2" t="s">
        <v>380</v>
      </c>
      <c r="N196" s="3" t="s">
        <v>576</v>
      </c>
      <c r="O196" s="3" t="s">
        <v>160</v>
      </c>
      <c r="P196" s="3" t="s">
        <v>90</v>
      </c>
      <c r="Q196" s="124">
        <v>1903</v>
      </c>
      <c r="R196" s="141">
        <v>3.3719999999999999</v>
      </c>
      <c r="S196" s="143">
        <v>49741</v>
      </c>
      <c r="T196" s="2"/>
      <c r="U196" s="124">
        <v>3191.8380000000002</v>
      </c>
      <c r="V196" s="140">
        <v>0</v>
      </c>
      <c r="W196" s="140">
        <v>8.6359760050735406E-3</v>
      </c>
      <c r="X196" s="140">
        <v>1.69268115689591E-3</v>
      </c>
    </row>
    <row r="197" spans="1:24">
      <c r="A197" s="3">
        <v>161</v>
      </c>
      <c r="B197" s="3">
        <v>9943</v>
      </c>
      <c r="C197" s="3" t="s">
        <v>1687</v>
      </c>
      <c r="D197" s="3" t="s">
        <v>1688</v>
      </c>
      <c r="E197" s="3" t="s">
        <v>1351</v>
      </c>
      <c r="F197" s="3" t="s">
        <v>1903</v>
      </c>
      <c r="G197" s="3" t="s">
        <v>1690</v>
      </c>
      <c r="H197" s="3" t="s">
        <v>209</v>
      </c>
      <c r="I197" s="3" t="s">
        <v>962</v>
      </c>
      <c r="J197" s="3" t="s">
        <v>85</v>
      </c>
      <c r="K197" s="3" t="s">
        <v>334</v>
      </c>
      <c r="L197" s="2" t="s">
        <v>361</v>
      </c>
      <c r="M197" s="2" t="s">
        <v>380</v>
      </c>
      <c r="N197" s="3" t="s">
        <v>489</v>
      </c>
      <c r="O197" s="3" t="s">
        <v>160</v>
      </c>
      <c r="P197" s="3" t="s">
        <v>90</v>
      </c>
      <c r="Q197" s="124">
        <v>2000</v>
      </c>
      <c r="R197" s="141">
        <v>3.3719999999999999</v>
      </c>
      <c r="S197" s="143">
        <v>27520</v>
      </c>
      <c r="T197" s="2"/>
      <c r="U197" s="124">
        <v>1855.9490000000001</v>
      </c>
      <c r="V197" s="140">
        <v>6.8999999999999997E-5</v>
      </c>
      <c r="W197" s="140">
        <v>5.0215356674135096E-3</v>
      </c>
      <c r="X197" s="140">
        <v>9.8423835336249195E-4</v>
      </c>
    </row>
    <row r="198" spans="1:24">
      <c r="A198" s="3">
        <v>161</v>
      </c>
      <c r="B198" s="3">
        <v>9943</v>
      </c>
      <c r="C198" s="3" t="s">
        <v>1929</v>
      </c>
      <c r="D198" s="3" t="s">
        <v>1930</v>
      </c>
      <c r="E198" s="3" t="s">
        <v>206</v>
      </c>
      <c r="F198" s="3" t="s">
        <v>1931</v>
      </c>
      <c r="G198" s="3" t="s">
        <v>1932</v>
      </c>
      <c r="H198" s="3" t="s">
        <v>209</v>
      </c>
      <c r="I198" s="3" t="s">
        <v>962</v>
      </c>
      <c r="J198" s="3" t="s">
        <v>85</v>
      </c>
      <c r="K198" s="3" t="s">
        <v>86</v>
      </c>
      <c r="L198" s="2" t="s">
        <v>361</v>
      </c>
      <c r="M198" s="2" t="s">
        <v>380</v>
      </c>
      <c r="N198" s="3" t="s">
        <v>576</v>
      </c>
      <c r="O198" s="3" t="s">
        <v>160</v>
      </c>
      <c r="P198" s="3" t="s">
        <v>90</v>
      </c>
      <c r="Q198" s="124">
        <v>230</v>
      </c>
      <c r="R198" s="141">
        <v>3.3719999999999999</v>
      </c>
      <c r="S198" s="143">
        <v>20464</v>
      </c>
      <c r="T198" s="2"/>
      <c r="U198" s="124">
        <v>158.71100000000001</v>
      </c>
      <c r="V198" s="140">
        <v>9.9999999999999995E-7</v>
      </c>
      <c r="W198" s="140">
        <v>4.2941428700088202E-4</v>
      </c>
      <c r="X198" s="140">
        <v>8.4166685002512795E-5</v>
      </c>
    </row>
    <row r="199" spans="1:24">
      <c r="A199" s="3">
        <v>161</v>
      </c>
      <c r="B199" s="3">
        <v>9943</v>
      </c>
      <c r="C199" s="3" t="s">
        <v>1933</v>
      </c>
      <c r="D199" s="3" t="s">
        <v>1934</v>
      </c>
      <c r="E199" s="3" t="s">
        <v>206</v>
      </c>
      <c r="F199" s="3" t="s">
        <v>1935</v>
      </c>
      <c r="G199" s="3" t="s">
        <v>1936</v>
      </c>
      <c r="H199" s="3" t="s">
        <v>209</v>
      </c>
      <c r="I199" s="3" t="s">
        <v>962</v>
      </c>
      <c r="J199" s="3" t="s">
        <v>85</v>
      </c>
      <c r="K199" s="3" t="s">
        <v>271</v>
      </c>
      <c r="L199" s="2" t="s">
        <v>361</v>
      </c>
      <c r="M199" s="2" t="s">
        <v>414</v>
      </c>
      <c r="N199" s="3" t="s">
        <v>549</v>
      </c>
      <c r="O199" s="3" t="s">
        <v>160</v>
      </c>
      <c r="P199" s="3" t="s">
        <v>1204</v>
      </c>
      <c r="Q199" s="124">
        <v>2262</v>
      </c>
      <c r="R199" s="141">
        <v>4.6235999999999997</v>
      </c>
      <c r="S199" s="143">
        <v>1600</v>
      </c>
      <c r="T199" s="2"/>
      <c r="U199" s="124">
        <v>167.33699999999999</v>
      </c>
      <c r="V199" s="140">
        <v>5.1E-5</v>
      </c>
      <c r="W199" s="140">
        <v>4.5275514987837398E-4</v>
      </c>
      <c r="X199" s="140">
        <v>8.8741574830276501E-5</v>
      </c>
    </row>
    <row r="200" spans="1:24">
      <c r="A200" s="3">
        <v>161</v>
      </c>
      <c r="B200" s="3">
        <v>9943</v>
      </c>
      <c r="C200" s="3" t="s">
        <v>1937</v>
      </c>
      <c r="D200" s="3" t="s">
        <v>1938</v>
      </c>
      <c r="E200" s="3" t="s">
        <v>1351</v>
      </c>
      <c r="F200" s="3" t="s">
        <v>1939</v>
      </c>
      <c r="G200" s="3" t="s">
        <v>1940</v>
      </c>
      <c r="H200" s="3" t="s">
        <v>209</v>
      </c>
      <c r="I200" s="3" t="s">
        <v>962</v>
      </c>
      <c r="J200" s="3" t="s">
        <v>85</v>
      </c>
      <c r="K200" s="3" t="s">
        <v>325</v>
      </c>
      <c r="L200" s="2" t="s">
        <v>361</v>
      </c>
      <c r="M200" s="2" t="s">
        <v>430</v>
      </c>
      <c r="N200" s="3" t="s">
        <v>562</v>
      </c>
      <c r="O200" s="3" t="s">
        <v>160</v>
      </c>
      <c r="P200" s="3" t="s">
        <v>1205</v>
      </c>
      <c r="Q200" s="124">
        <v>2803</v>
      </c>
      <c r="R200" s="141">
        <v>4.2313999999999998</v>
      </c>
      <c r="S200" s="143">
        <v>186.5</v>
      </c>
      <c r="T200" s="2"/>
      <c r="U200" s="124">
        <v>22.12</v>
      </c>
      <c r="V200" s="140">
        <v>1.7100000000000001E-4</v>
      </c>
      <c r="W200" s="140">
        <v>5.9848955616498503E-5</v>
      </c>
      <c r="X200" s="140">
        <v>1.1730602235628099E-5</v>
      </c>
    </row>
    <row r="201" spans="1:24">
      <c r="A201" s="3">
        <v>161</v>
      </c>
      <c r="B201" s="3">
        <v>9943</v>
      </c>
      <c r="C201" s="3" t="s">
        <v>1770</v>
      </c>
      <c r="D201" s="3" t="s">
        <v>1771</v>
      </c>
      <c r="E201" s="3" t="s">
        <v>206</v>
      </c>
      <c r="F201" s="3" t="s">
        <v>1772</v>
      </c>
      <c r="G201" s="3" t="s">
        <v>1773</v>
      </c>
      <c r="H201" s="3" t="s">
        <v>209</v>
      </c>
      <c r="I201" s="3" t="s">
        <v>962</v>
      </c>
      <c r="J201" s="3" t="s">
        <v>85</v>
      </c>
      <c r="K201" s="3" t="s">
        <v>1774</v>
      </c>
      <c r="L201" s="2" t="s">
        <v>361</v>
      </c>
      <c r="M201" s="2" t="s">
        <v>378</v>
      </c>
      <c r="N201" s="3" t="s">
        <v>580</v>
      </c>
      <c r="O201" s="3" t="s">
        <v>160</v>
      </c>
      <c r="P201" s="3" t="s">
        <v>90</v>
      </c>
      <c r="Q201" s="124">
        <v>542</v>
      </c>
      <c r="R201" s="141">
        <v>3.3719999999999999</v>
      </c>
      <c r="S201" s="143">
        <v>22649</v>
      </c>
      <c r="T201" s="123">
        <v>0.29299999999999998</v>
      </c>
      <c r="U201" s="124">
        <v>414.928</v>
      </c>
      <c r="V201" s="140">
        <v>0</v>
      </c>
      <c r="W201" s="140">
        <v>1.1226477778313901E-3</v>
      </c>
      <c r="X201" s="140">
        <v>2.2004284614151999E-4</v>
      </c>
    </row>
    <row r="202" spans="1:24">
      <c r="A202" s="3">
        <v>161</v>
      </c>
      <c r="B202" s="3">
        <v>9943</v>
      </c>
      <c r="C202" s="3" t="s">
        <v>1659</v>
      </c>
      <c r="D202" s="3" t="s">
        <v>1660</v>
      </c>
      <c r="E202" s="3" t="s">
        <v>1351</v>
      </c>
      <c r="F202" s="3" t="s">
        <v>1941</v>
      </c>
      <c r="G202" s="3" t="s">
        <v>1942</v>
      </c>
      <c r="H202" s="3" t="s">
        <v>209</v>
      </c>
      <c r="I202" s="3" t="s">
        <v>962</v>
      </c>
      <c r="J202" s="3" t="s">
        <v>85</v>
      </c>
      <c r="K202" s="3" t="s">
        <v>86</v>
      </c>
      <c r="L202" s="2" t="s">
        <v>361</v>
      </c>
      <c r="M202" s="2" t="s">
        <v>378</v>
      </c>
      <c r="N202" s="3" t="s">
        <v>498</v>
      </c>
      <c r="O202" s="3" t="s">
        <v>160</v>
      </c>
      <c r="P202" s="3" t="s">
        <v>90</v>
      </c>
      <c r="Q202" s="124">
        <v>50000</v>
      </c>
      <c r="R202" s="141">
        <v>3.3719999999999999</v>
      </c>
      <c r="S202" s="143">
        <v>1676</v>
      </c>
      <c r="T202" s="2"/>
      <c r="U202" s="124">
        <v>2825.7359999999999</v>
      </c>
      <c r="V202" s="140">
        <v>4.3999999999999999E-5</v>
      </c>
      <c r="W202" s="140">
        <v>7.6454340285111201E-3</v>
      </c>
      <c r="X202" s="140">
        <v>1.49853150457443E-3</v>
      </c>
    </row>
    <row r="203" spans="1:24">
      <c r="A203" s="3">
        <v>161</v>
      </c>
      <c r="B203" s="3">
        <v>9943</v>
      </c>
      <c r="C203" s="3" t="s">
        <v>1842</v>
      </c>
      <c r="D203" s="3" t="s">
        <v>1843</v>
      </c>
      <c r="E203" s="3" t="s">
        <v>1351</v>
      </c>
      <c r="F203" s="3" t="s">
        <v>1943</v>
      </c>
      <c r="G203" s="3" t="s">
        <v>1845</v>
      </c>
      <c r="H203" s="3" t="s">
        <v>209</v>
      </c>
      <c r="I203" s="3" t="s">
        <v>962</v>
      </c>
      <c r="J203" s="3" t="s">
        <v>85</v>
      </c>
      <c r="K203" s="3" t="s">
        <v>334</v>
      </c>
      <c r="L203" s="2" t="s">
        <v>361</v>
      </c>
      <c r="M203" s="2" t="s">
        <v>380</v>
      </c>
      <c r="N203" s="3" t="s">
        <v>489</v>
      </c>
      <c r="O203" s="3" t="s">
        <v>160</v>
      </c>
      <c r="P203" s="3" t="s">
        <v>90</v>
      </c>
      <c r="Q203" s="124">
        <v>5000</v>
      </c>
      <c r="R203" s="141">
        <v>3.3719999999999999</v>
      </c>
      <c r="S203" s="143">
        <v>4335</v>
      </c>
      <c r="T203" s="2"/>
      <c r="U203" s="124">
        <v>730.88099999999997</v>
      </c>
      <c r="V203" s="140">
        <v>4.5000000000000003E-5</v>
      </c>
      <c r="W203" s="140">
        <v>1.97750337193292E-3</v>
      </c>
      <c r="X203" s="140">
        <v>3.87597498349055E-4</v>
      </c>
    </row>
    <row r="204" spans="1:24">
      <c r="A204" s="3">
        <v>161</v>
      </c>
      <c r="B204" s="3">
        <v>9943</v>
      </c>
      <c r="C204" s="3" t="s">
        <v>1944</v>
      </c>
      <c r="D204" s="3" t="s">
        <v>1945</v>
      </c>
      <c r="E204" s="3" t="s">
        <v>206</v>
      </c>
      <c r="F204" s="3" t="s">
        <v>1946</v>
      </c>
      <c r="G204" s="3" t="s">
        <v>1947</v>
      </c>
      <c r="H204" s="3" t="s">
        <v>209</v>
      </c>
      <c r="I204" s="3" t="s">
        <v>962</v>
      </c>
      <c r="J204" s="3" t="s">
        <v>85</v>
      </c>
      <c r="K204" s="3" t="s">
        <v>310</v>
      </c>
      <c r="L204" s="2" t="s">
        <v>361</v>
      </c>
      <c r="M204" s="2" t="s">
        <v>428</v>
      </c>
      <c r="N204" s="3" t="s">
        <v>600</v>
      </c>
      <c r="O204" s="3" t="s">
        <v>160</v>
      </c>
      <c r="P204" s="3" t="s">
        <v>1200</v>
      </c>
      <c r="Q204" s="124">
        <v>865</v>
      </c>
      <c r="R204" s="141">
        <v>3.9552</v>
      </c>
      <c r="S204" s="143">
        <v>730</v>
      </c>
      <c r="T204" s="2"/>
      <c r="U204" s="124">
        <v>24.975000000000001</v>
      </c>
      <c r="V204" s="140">
        <v>2.4000000000000001E-4</v>
      </c>
      <c r="W204" s="140">
        <v>6.7573743236446006E-5</v>
      </c>
      <c r="X204" s="140">
        <v>1.32446873184985E-5</v>
      </c>
    </row>
    <row r="205" spans="1:24">
      <c r="A205" s="3">
        <v>161</v>
      </c>
      <c r="B205" s="3">
        <v>12468</v>
      </c>
      <c r="C205" s="3" t="s">
        <v>1614</v>
      </c>
      <c r="D205" s="3" t="s">
        <v>1615</v>
      </c>
      <c r="E205" s="3" t="s">
        <v>206</v>
      </c>
      <c r="F205" s="3" t="s">
        <v>1616</v>
      </c>
      <c r="G205" s="3" t="s">
        <v>1617</v>
      </c>
      <c r="H205" s="3" t="s">
        <v>209</v>
      </c>
      <c r="I205" s="3" t="s">
        <v>962</v>
      </c>
      <c r="J205" s="3" t="s">
        <v>30</v>
      </c>
      <c r="K205" s="3" t="s">
        <v>86</v>
      </c>
      <c r="L205" s="2" t="s">
        <v>361</v>
      </c>
      <c r="M205" s="2" t="s">
        <v>31</v>
      </c>
      <c r="N205" s="3" t="s">
        <v>472</v>
      </c>
      <c r="O205" s="3" t="s">
        <v>160</v>
      </c>
      <c r="P205" s="3" t="s">
        <v>34</v>
      </c>
      <c r="Q205" s="124">
        <v>200</v>
      </c>
      <c r="R205" s="141">
        <v>1</v>
      </c>
      <c r="S205" s="143">
        <v>27780</v>
      </c>
      <c r="T205" s="2"/>
      <c r="U205" s="124">
        <v>55.56</v>
      </c>
      <c r="V205" s="140">
        <v>3.9999999999999998E-6</v>
      </c>
      <c r="W205" s="140">
        <v>1.3217428177536E-2</v>
      </c>
      <c r="X205" s="140">
        <v>2.6255275885351502E-3</v>
      </c>
    </row>
    <row r="206" spans="1:24">
      <c r="A206" s="3">
        <v>161</v>
      </c>
      <c r="B206" s="3">
        <v>12468</v>
      </c>
      <c r="C206" s="3" t="s">
        <v>1618</v>
      </c>
      <c r="D206" s="3" t="s">
        <v>1619</v>
      </c>
      <c r="E206" s="3" t="s">
        <v>1351</v>
      </c>
      <c r="F206" s="3" t="s">
        <v>1620</v>
      </c>
      <c r="G206" s="3" t="s">
        <v>1621</v>
      </c>
      <c r="H206" s="3" t="s">
        <v>209</v>
      </c>
      <c r="I206" s="3" t="s">
        <v>962</v>
      </c>
      <c r="J206" s="3" t="s">
        <v>30</v>
      </c>
      <c r="K206" s="3" t="s">
        <v>30</v>
      </c>
      <c r="L206" s="2" t="s">
        <v>361</v>
      </c>
      <c r="M206" s="2" t="s">
        <v>31</v>
      </c>
      <c r="N206" s="3" t="s">
        <v>509</v>
      </c>
      <c r="O206" s="3" t="s">
        <v>160</v>
      </c>
      <c r="P206" s="3" t="s">
        <v>34</v>
      </c>
      <c r="Q206" s="124">
        <v>4100</v>
      </c>
      <c r="R206" s="141">
        <v>1</v>
      </c>
      <c r="S206" s="143">
        <v>1320</v>
      </c>
      <c r="T206" s="2"/>
      <c r="U206" s="124">
        <v>54.12</v>
      </c>
      <c r="V206" s="140">
        <v>7.9999999999999996E-6</v>
      </c>
      <c r="W206" s="140">
        <v>1.28748598446409E-2</v>
      </c>
      <c r="X206" s="140">
        <v>2.55747935729881E-3</v>
      </c>
    </row>
    <row r="207" spans="1:24">
      <c r="A207" s="3">
        <v>161</v>
      </c>
      <c r="B207" s="3">
        <v>12468</v>
      </c>
      <c r="C207" s="3" t="s">
        <v>1622</v>
      </c>
      <c r="D207" s="3" t="s">
        <v>1623</v>
      </c>
      <c r="E207" s="3" t="s">
        <v>1351</v>
      </c>
      <c r="F207" s="3" t="s">
        <v>1624</v>
      </c>
      <c r="G207" s="3" t="s">
        <v>1625</v>
      </c>
      <c r="H207" s="3" t="s">
        <v>209</v>
      </c>
      <c r="I207" s="3" t="s">
        <v>962</v>
      </c>
      <c r="J207" s="3" t="s">
        <v>30</v>
      </c>
      <c r="K207" s="3" t="s">
        <v>30</v>
      </c>
      <c r="L207" s="2" t="s">
        <v>361</v>
      </c>
      <c r="M207" s="2" t="s">
        <v>31</v>
      </c>
      <c r="N207" s="3" t="s">
        <v>477</v>
      </c>
      <c r="O207" s="3" t="s">
        <v>160</v>
      </c>
      <c r="P207" s="3" t="s">
        <v>34</v>
      </c>
      <c r="Q207" s="124">
        <v>95</v>
      </c>
      <c r="R207" s="141">
        <v>1</v>
      </c>
      <c r="S207" s="143">
        <v>149800</v>
      </c>
      <c r="T207" s="123">
        <v>0.19400000000000001</v>
      </c>
      <c r="U207" s="124">
        <v>142.50399999999999</v>
      </c>
      <c r="V207" s="140">
        <v>1.9999999999999999E-6</v>
      </c>
      <c r="W207" s="140">
        <v>3.3900964265301002E-2</v>
      </c>
      <c r="X207" s="140">
        <v>6.7341328253076897E-3</v>
      </c>
    </row>
    <row r="208" spans="1:24">
      <c r="A208" s="3">
        <v>161</v>
      </c>
      <c r="B208" s="3">
        <v>12468</v>
      </c>
      <c r="C208" s="3" t="s">
        <v>1626</v>
      </c>
      <c r="D208" s="3" t="s">
        <v>1627</v>
      </c>
      <c r="E208" s="3" t="s">
        <v>1351</v>
      </c>
      <c r="F208" s="3" t="s">
        <v>1628</v>
      </c>
      <c r="G208" s="3" t="s">
        <v>1629</v>
      </c>
      <c r="H208" s="3" t="s">
        <v>209</v>
      </c>
      <c r="I208" s="3" t="s">
        <v>962</v>
      </c>
      <c r="J208" s="3" t="s">
        <v>30</v>
      </c>
      <c r="K208" s="3" t="s">
        <v>30</v>
      </c>
      <c r="L208" s="2" t="s">
        <v>361</v>
      </c>
      <c r="M208" s="2" t="s">
        <v>31</v>
      </c>
      <c r="N208" s="3" t="s">
        <v>495</v>
      </c>
      <c r="O208" s="3" t="s">
        <v>160</v>
      </c>
      <c r="P208" s="3" t="s">
        <v>34</v>
      </c>
      <c r="Q208" s="124">
        <v>2630</v>
      </c>
      <c r="R208" s="141">
        <v>1</v>
      </c>
      <c r="S208" s="143">
        <v>3489</v>
      </c>
      <c r="T208" s="2"/>
      <c r="U208" s="124">
        <v>91.760999999999996</v>
      </c>
      <c r="V208" s="140">
        <v>1.2E-5</v>
      </c>
      <c r="W208" s="140">
        <v>2.18293819613108E-2</v>
      </c>
      <c r="X208" s="140">
        <v>4.3362175916720098E-3</v>
      </c>
    </row>
    <row r="209" spans="1:24">
      <c r="A209" s="3">
        <v>161</v>
      </c>
      <c r="B209" s="3">
        <v>12468</v>
      </c>
      <c r="C209" s="3" t="s">
        <v>1630</v>
      </c>
      <c r="D209" s="3" t="s">
        <v>1631</v>
      </c>
      <c r="E209" s="3" t="s">
        <v>1351</v>
      </c>
      <c r="F209" s="3" t="s">
        <v>1632</v>
      </c>
      <c r="G209" s="3" t="s">
        <v>1633</v>
      </c>
      <c r="H209" s="3" t="s">
        <v>209</v>
      </c>
      <c r="I209" s="3" t="s">
        <v>962</v>
      </c>
      <c r="J209" s="3" t="s">
        <v>30</v>
      </c>
      <c r="K209" s="3" t="s">
        <v>30</v>
      </c>
      <c r="L209" s="2" t="s">
        <v>361</v>
      </c>
      <c r="M209" s="2" t="s">
        <v>31</v>
      </c>
      <c r="N209" s="3" t="s">
        <v>495</v>
      </c>
      <c r="O209" s="3" t="s">
        <v>160</v>
      </c>
      <c r="P209" s="3" t="s">
        <v>34</v>
      </c>
      <c r="Q209" s="124">
        <v>1999</v>
      </c>
      <c r="R209" s="141">
        <v>1</v>
      </c>
      <c r="S209" s="143">
        <v>2281</v>
      </c>
      <c r="T209" s="2"/>
      <c r="U209" s="124">
        <v>45.597000000000001</v>
      </c>
      <c r="V209" s="140">
        <v>3.9999999999999998E-6</v>
      </c>
      <c r="W209" s="140">
        <v>1.0847328724306399E-2</v>
      </c>
      <c r="X209" s="140">
        <v>2.1547278672548399E-3</v>
      </c>
    </row>
    <row r="210" spans="1:24">
      <c r="A210" s="3">
        <v>161</v>
      </c>
      <c r="B210" s="3">
        <v>12468</v>
      </c>
      <c r="C210" s="3" t="s">
        <v>1634</v>
      </c>
      <c r="D210" s="3" t="s">
        <v>1635</v>
      </c>
      <c r="E210" s="3" t="s">
        <v>1351</v>
      </c>
      <c r="F210" s="3" t="s">
        <v>1636</v>
      </c>
      <c r="G210" s="3" t="s">
        <v>1637</v>
      </c>
      <c r="H210" s="3" t="s">
        <v>209</v>
      </c>
      <c r="I210" s="3" t="s">
        <v>962</v>
      </c>
      <c r="J210" s="3" t="s">
        <v>30</v>
      </c>
      <c r="K210" s="3" t="s">
        <v>86</v>
      </c>
      <c r="L210" s="2" t="s">
        <v>361</v>
      </c>
      <c r="M210" s="2" t="s">
        <v>31</v>
      </c>
      <c r="N210" s="3" t="s">
        <v>472</v>
      </c>
      <c r="O210" s="3" t="s">
        <v>160</v>
      </c>
      <c r="P210" s="3" t="s">
        <v>34</v>
      </c>
      <c r="Q210" s="124">
        <v>895.9</v>
      </c>
      <c r="R210" s="141">
        <v>1</v>
      </c>
      <c r="S210" s="143">
        <v>7640</v>
      </c>
      <c r="T210" s="2"/>
      <c r="U210" s="124">
        <v>68.447000000000003</v>
      </c>
      <c r="V210" s="140">
        <v>6.9999999999999999E-6</v>
      </c>
      <c r="W210" s="140">
        <v>1.6283119767549401E-2</v>
      </c>
      <c r="X210" s="140">
        <v>3.23450066101231E-3</v>
      </c>
    </row>
    <row r="211" spans="1:24">
      <c r="A211" s="3">
        <v>161</v>
      </c>
      <c r="B211" s="3">
        <v>12468</v>
      </c>
      <c r="C211" s="3" t="s">
        <v>1638</v>
      </c>
      <c r="D211" s="3" t="s">
        <v>1639</v>
      </c>
      <c r="E211" s="3" t="s">
        <v>1351</v>
      </c>
      <c r="F211" s="3" t="s">
        <v>1640</v>
      </c>
      <c r="G211" s="3" t="s">
        <v>1641</v>
      </c>
      <c r="H211" s="3" t="s">
        <v>209</v>
      </c>
      <c r="I211" s="3" t="s">
        <v>962</v>
      </c>
      <c r="J211" s="3" t="s">
        <v>30</v>
      </c>
      <c r="K211" s="3" t="s">
        <v>30</v>
      </c>
      <c r="L211" s="2" t="s">
        <v>361</v>
      </c>
      <c r="M211" s="2" t="s">
        <v>31</v>
      </c>
      <c r="N211" s="3" t="s">
        <v>472</v>
      </c>
      <c r="O211" s="3" t="s">
        <v>160</v>
      </c>
      <c r="P211" s="3" t="s">
        <v>34</v>
      </c>
      <c r="Q211" s="124">
        <v>4524</v>
      </c>
      <c r="R211" s="141">
        <v>1</v>
      </c>
      <c r="S211" s="143">
        <v>1244</v>
      </c>
      <c r="T211" s="2"/>
      <c r="U211" s="124">
        <v>56.279000000000003</v>
      </c>
      <c r="V211" s="140">
        <v>7.9999999999999996E-6</v>
      </c>
      <c r="W211" s="140">
        <v>1.3388369775650701E-2</v>
      </c>
      <c r="X211" s="140">
        <v>2.6594836559220699E-3</v>
      </c>
    </row>
    <row r="212" spans="1:24">
      <c r="A212" s="3">
        <v>161</v>
      </c>
      <c r="B212" s="3">
        <v>12468</v>
      </c>
      <c r="C212" s="3" t="s">
        <v>1642</v>
      </c>
      <c r="D212" s="3" t="s">
        <v>1643</v>
      </c>
      <c r="E212" s="3" t="s">
        <v>1351</v>
      </c>
      <c r="F212" s="3" t="s">
        <v>1644</v>
      </c>
      <c r="G212" s="3" t="s">
        <v>1645</v>
      </c>
      <c r="H212" s="3" t="s">
        <v>209</v>
      </c>
      <c r="I212" s="3" t="s">
        <v>962</v>
      </c>
      <c r="J212" s="3" t="s">
        <v>30</v>
      </c>
      <c r="K212" s="3" t="s">
        <v>30</v>
      </c>
      <c r="L212" s="2" t="s">
        <v>361</v>
      </c>
      <c r="M212" s="2" t="s">
        <v>31</v>
      </c>
      <c r="N212" s="3" t="s">
        <v>516</v>
      </c>
      <c r="O212" s="3" t="s">
        <v>160</v>
      </c>
      <c r="P212" s="3" t="s">
        <v>34</v>
      </c>
      <c r="Q212" s="124">
        <v>16700</v>
      </c>
      <c r="R212" s="141">
        <v>1</v>
      </c>
      <c r="S212" s="143">
        <v>575</v>
      </c>
      <c r="T212" s="2"/>
      <c r="U212" s="124">
        <v>96.025000000000006</v>
      </c>
      <c r="V212" s="140">
        <v>6.0000000000000002E-6</v>
      </c>
      <c r="W212" s="140">
        <v>2.2843836226564E-2</v>
      </c>
      <c r="X212" s="140">
        <v>4.5377301419922099E-3</v>
      </c>
    </row>
    <row r="213" spans="1:24">
      <c r="A213" s="3">
        <v>161</v>
      </c>
      <c r="B213" s="3">
        <v>12468</v>
      </c>
      <c r="C213" s="3" t="s">
        <v>1818</v>
      </c>
      <c r="D213" s="3" t="s">
        <v>1819</v>
      </c>
      <c r="E213" s="3" t="s">
        <v>1351</v>
      </c>
      <c r="F213" s="3" t="s">
        <v>1820</v>
      </c>
      <c r="G213" s="3" t="s">
        <v>1821</v>
      </c>
      <c r="H213" s="3" t="s">
        <v>209</v>
      </c>
      <c r="I213" s="3" t="s">
        <v>962</v>
      </c>
      <c r="J213" s="3" t="s">
        <v>30</v>
      </c>
      <c r="K213" s="3" t="s">
        <v>30</v>
      </c>
      <c r="L213" s="2" t="s">
        <v>361</v>
      </c>
      <c r="M213" s="2" t="s">
        <v>31</v>
      </c>
      <c r="N213" s="3" t="s">
        <v>479</v>
      </c>
      <c r="O213" s="3" t="s">
        <v>160</v>
      </c>
      <c r="P213" s="3" t="s">
        <v>34</v>
      </c>
      <c r="Q213" s="124">
        <v>457</v>
      </c>
      <c r="R213" s="141">
        <v>1</v>
      </c>
      <c r="S213" s="143">
        <v>24370</v>
      </c>
      <c r="T213" s="2"/>
      <c r="U213" s="124">
        <v>111.371</v>
      </c>
      <c r="V213" s="140">
        <v>5.0000000000000004E-6</v>
      </c>
      <c r="W213" s="140">
        <v>2.6494544129185501E-2</v>
      </c>
      <c r="X213" s="140">
        <v>5.2629116362489002E-3</v>
      </c>
    </row>
    <row r="214" spans="1:24">
      <c r="A214" s="3">
        <v>161</v>
      </c>
      <c r="B214" s="3">
        <v>12468</v>
      </c>
      <c r="C214" s="3" t="s">
        <v>1361</v>
      </c>
      <c r="D214" s="3" t="s">
        <v>1362</v>
      </c>
      <c r="E214" s="3" t="s">
        <v>1351</v>
      </c>
      <c r="F214" s="3" t="s">
        <v>1646</v>
      </c>
      <c r="G214" s="3" t="s">
        <v>1365</v>
      </c>
      <c r="H214" s="3" t="s">
        <v>209</v>
      </c>
      <c r="I214" s="3" t="s">
        <v>962</v>
      </c>
      <c r="J214" s="3" t="s">
        <v>30</v>
      </c>
      <c r="K214" s="3" t="s">
        <v>30</v>
      </c>
      <c r="L214" s="2" t="s">
        <v>361</v>
      </c>
      <c r="M214" s="2" t="s">
        <v>31</v>
      </c>
      <c r="N214" s="3" t="s">
        <v>478</v>
      </c>
      <c r="O214" s="3" t="s">
        <v>160</v>
      </c>
      <c r="P214" s="3" t="s">
        <v>34</v>
      </c>
      <c r="Q214" s="124">
        <v>68</v>
      </c>
      <c r="R214" s="141">
        <v>1</v>
      </c>
      <c r="S214" s="143">
        <v>23700</v>
      </c>
      <c r="T214" s="2"/>
      <c r="U214" s="124">
        <v>16.116</v>
      </c>
      <c r="V214" s="140">
        <v>7.9999999999999996E-6</v>
      </c>
      <c r="W214" s="140">
        <v>3.83391059231768E-3</v>
      </c>
      <c r="X214" s="140">
        <v>7.61573121253283E-4</v>
      </c>
    </row>
    <row r="215" spans="1:24">
      <c r="A215" s="3">
        <v>161</v>
      </c>
      <c r="B215" s="3">
        <v>12468</v>
      </c>
      <c r="C215" s="3" t="s">
        <v>1647</v>
      </c>
      <c r="D215" s="3" t="s">
        <v>1648</v>
      </c>
      <c r="E215" s="3" t="s">
        <v>1351</v>
      </c>
      <c r="F215" s="3" t="s">
        <v>1649</v>
      </c>
      <c r="G215" s="3" t="s">
        <v>1650</v>
      </c>
      <c r="H215" s="3" t="s">
        <v>209</v>
      </c>
      <c r="I215" s="3" t="s">
        <v>962</v>
      </c>
      <c r="J215" s="3" t="s">
        <v>30</v>
      </c>
      <c r="K215" s="3" t="s">
        <v>30</v>
      </c>
      <c r="L215" s="2" t="s">
        <v>361</v>
      </c>
      <c r="M215" s="2" t="s">
        <v>31</v>
      </c>
      <c r="N215" s="3" t="s">
        <v>479</v>
      </c>
      <c r="O215" s="3" t="s">
        <v>160</v>
      </c>
      <c r="P215" s="3" t="s">
        <v>34</v>
      </c>
      <c r="Q215" s="124">
        <v>4823</v>
      </c>
      <c r="R215" s="141">
        <v>1</v>
      </c>
      <c r="S215" s="143">
        <v>3356</v>
      </c>
      <c r="T215" s="2"/>
      <c r="U215" s="124">
        <v>161.86000000000001</v>
      </c>
      <c r="V215" s="140">
        <v>3.9999999999999998E-6</v>
      </c>
      <c r="W215" s="140">
        <v>3.8505603648750802E-2</v>
      </c>
      <c r="X215" s="140">
        <v>7.6488045431423301E-3</v>
      </c>
    </row>
    <row r="216" spans="1:24">
      <c r="A216" s="3">
        <v>161</v>
      </c>
      <c r="B216" s="3">
        <v>12468</v>
      </c>
      <c r="C216" s="3" t="s">
        <v>1651</v>
      </c>
      <c r="D216" s="3" t="s">
        <v>1652</v>
      </c>
      <c r="E216" s="3" t="s">
        <v>1351</v>
      </c>
      <c r="F216" s="3" t="s">
        <v>1653</v>
      </c>
      <c r="G216" s="3" t="s">
        <v>1654</v>
      </c>
      <c r="H216" s="3" t="s">
        <v>209</v>
      </c>
      <c r="I216" s="3" t="s">
        <v>962</v>
      </c>
      <c r="J216" s="3" t="s">
        <v>30</v>
      </c>
      <c r="K216" s="3" t="s">
        <v>30</v>
      </c>
      <c r="L216" s="2" t="s">
        <v>361</v>
      </c>
      <c r="M216" s="2" t="s">
        <v>31</v>
      </c>
      <c r="N216" s="3" t="s">
        <v>478</v>
      </c>
      <c r="O216" s="3" t="s">
        <v>160</v>
      </c>
      <c r="P216" s="3" t="s">
        <v>34</v>
      </c>
      <c r="Q216" s="124">
        <v>110</v>
      </c>
      <c r="R216" s="141">
        <v>1</v>
      </c>
      <c r="S216" s="143">
        <v>36740</v>
      </c>
      <c r="T216" s="2"/>
      <c r="U216" s="124">
        <v>40.414000000000001</v>
      </c>
      <c r="V216" s="140">
        <v>5.0000000000000004E-6</v>
      </c>
      <c r="W216" s="140">
        <v>9.6142754205712794E-3</v>
      </c>
      <c r="X216" s="140">
        <v>1.9097925119341099E-3</v>
      </c>
    </row>
    <row r="217" spans="1:24">
      <c r="A217" s="3">
        <v>161</v>
      </c>
      <c r="B217" s="3">
        <v>12468</v>
      </c>
      <c r="C217" s="3" t="s">
        <v>1655</v>
      </c>
      <c r="D217" s="3" t="s">
        <v>1656</v>
      </c>
      <c r="E217" s="3" t="s">
        <v>1351</v>
      </c>
      <c r="F217" s="3" t="s">
        <v>1657</v>
      </c>
      <c r="G217" s="3" t="s">
        <v>1658</v>
      </c>
      <c r="H217" s="3" t="s">
        <v>209</v>
      </c>
      <c r="I217" s="3" t="s">
        <v>962</v>
      </c>
      <c r="J217" s="3" t="s">
        <v>30</v>
      </c>
      <c r="K217" s="3" t="s">
        <v>30</v>
      </c>
      <c r="L217" s="2" t="s">
        <v>361</v>
      </c>
      <c r="M217" s="2" t="s">
        <v>31</v>
      </c>
      <c r="N217" s="3" t="s">
        <v>476</v>
      </c>
      <c r="O217" s="3" t="s">
        <v>160</v>
      </c>
      <c r="P217" s="3" t="s">
        <v>34</v>
      </c>
      <c r="Q217" s="124">
        <v>2493</v>
      </c>
      <c r="R217" s="141">
        <v>1</v>
      </c>
      <c r="S217" s="143">
        <v>9745</v>
      </c>
      <c r="T217" s="2"/>
      <c r="U217" s="124">
        <v>242.94300000000001</v>
      </c>
      <c r="V217" s="140">
        <v>9.0000000000000002E-6</v>
      </c>
      <c r="W217" s="140">
        <v>5.77948104953366E-2</v>
      </c>
      <c r="X217" s="140">
        <v>1.1480438356953801E-2</v>
      </c>
    </row>
    <row r="218" spans="1:24">
      <c r="A218" s="3">
        <v>161</v>
      </c>
      <c r="B218" s="3">
        <v>12468</v>
      </c>
      <c r="C218" s="3" t="s">
        <v>1948</v>
      </c>
      <c r="D218" s="3" t="s">
        <v>1949</v>
      </c>
      <c r="E218" s="3" t="s">
        <v>1351</v>
      </c>
      <c r="F218" s="3" t="s">
        <v>1950</v>
      </c>
      <c r="G218" s="3" t="s">
        <v>1951</v>
      </c>
      <c r="H218" s="3" t="s">
        <v>209</v>
      </c>
      <c r="I218" s="3" t="s">
        <v>962</v>
      </c>
      <c r="J218" s="3" t="s">
        <v>30</v>
      </c>
      <c r="K218" s="3" t="s">
        <v>30</v>
      </c>
      <c r="L218" s="2" t="s">
        <v>361</v>
      </c>
      <c r="M218" s="2" t="s">
        <v>31</v>
      </c>
      <c r="N218" s="3" t="s">
        <v>478</v>
      </c>
      <c r="O218" s="3" t="s">
        <v>160</v>
      </c>
      <c r="P218" s="3" t="s">
        <v>34</v>
      </c>
      <c r="Q218" s="124">
        <v>2800</v>
      </c>
      <c r="R218" s="141">
        <v>1</v>
      </c>
      <c r="S218" s="143">
        <v>2063</v>
      </c>
      <c r="T218" s="2"/>
      <c r="U218" s="124">
        <v>57.764000000000003</v>
      </c>
      <c r="V218" s="140">
        <v>4.5000000000000003E-5</v>
      </c>
      <c r="W218" s="140">
        <v>1.3741748042606E-2</v>
      </c>
      <c r="X218" s="140">
        <v>2.7296791868996399E-3</v>
      </c>
    </row>
    <row r="219" spans="1:24">
      <c r="A219" s="3">
        <v>161</v>
      </c>
      <c r="B219" s="3">
        <v>12468</v>
      </c>
      <c r="C219" s="3" t="s">
        <v>1659</v>
      </c>
      <c r="D219" s="3" t="s">
        <v>1660</v>
      </c>
      <c r="E219" s="3" t="s">
        <v>1351</v>
      </c>
      <c r="F219" s="3" t="s">
        <v>1661</v>
      </c>
      <c r="G219" s="3" t="s">
        <v>1662</v>
      </c>
      <c r="H219" s="3" t="s">
        <v>209</v>
      </c>
      <c r="I219" s="3" t="s">
        <v>962</v>
      </c>
      <c r="J219" s="3" t="s">
        <v>30</v>
      </c>
      <c r="K219" s="3" t="s">
        <v>86</v>
      </c>
      <c r="L219" s="2" t="s">
        <v>361</v>
      </c>
      <c r="M219" s="2" t="s">
        <v>31</v>
      </c>
      <c r="N219" s="3" t="s">
        <v>498</v>
      </c>
      <c r="O219" s="3" t="s">
        <v>160</v>
      </c>
      <c r="P219" s="3" t="s">
        <v>34</v>
      </c>
      <c r="Q219" s="124">
        <v>2533</v>
      </c>
      <c r="R219" s="141">
        <v>1</v>
      </c>
      <c r="S219" s="143">
        <v>5699</v>
      </c>
      <c r="T219" s="2"/>
      <c r="U219" s="124">
        <v>144.35599999999999</v>
      </c>
      <c r="V219" s="140">
        <v>1.9999999999999999E-6</v>
      </c>
      <c r="W219" s="140">
        <v>3.4341445288788498E-2</v>
      </c>
      <c r="X219" s="140">
        <v>6.8216305641914197E-3</v>
      </c>
    </row>
    <row r="220" spans="1:24">
      <c r="A220" s="3">
        <v>161</v>
      </c>
      <c r="B220" s="3">
        <v>12468</v>
      </c>
      <c r="C220" s="3" t="s">
        <v>1663</v>
      </c>
      <c r="D220" s="3" t="s">
        <v>1664</v>
      </c>
      <c r="E220" s="3" t="s">
        <v>1351</v>
      </c>
      <c r="F220" s="3" t="s">
        <v>1665</v>
      </c>
      <c r="G220" s="3" t="s">
        <v>1666</v>
      </c>
      <c r="H220" s="3" t="s">
        <v>209</v>
      </c>
      <c r="I220" s="3" t="s">
        <v>962</v>
      </c>
      <c r="J220" s="3" t="s">
        <v>30</v>
      </c>
      <c r="K220" s="3" t="s">
        <v>30</v>
      </c>
      <c r="L220" s="2" t="s">
        <v>361</v>
      </c>
      <c r="M220" s="2" t="s">
        <v>31</v>
      </c>
      <c r="N220" s="3" t="s">
        <v>478</v>
      </c>
      <c r="O220" s="3" t="s">
        <v>160</v>
      </c>
      <c r="P220" s="3" t="s">
        <v>34</v>
      </c>
      <c r="Q220" s="124">
        <v>6220</v>
      </c>
      <c r="R220" s="141">
        <v>1</v>
      </c>
      <c r="S220" s="143">
        <v>1515</v>
      </c>
      <c r="T220" s="2"/>
      <c r="U220" s="124">
        <v>94.233000000000004</v>
      </c>
      <c r="V220" s="140">
        <v>1.9000000000000001E-5</v>
      </c>
      <c r="W220" s="140">
        <v>2.2417528967850101E-2</v>
      </c>
      <c r="X220" s="140">
        <v>4.4530478986758897E-3</v>
      </c>
    </row>
    <row r="221" spans="1:24">
      <c r="A221" s="3">
        <v>161</v>
      </c>
      <c r="B221" s="3">
        <v>12468</v>
      </c>
      <c r="C221" s="3" t="s">
        <v>1667</v>
      </c>
      <c r="D221" s="3" t="s">
        <v>1668</v>
      </c>
      <c r="E221" s="3" t="s">
        <v>1351</v>
      </c>
      <c r="F221" s="3" t="s">
        <v>1669</v>
      </c>
      <c r="G221" s="3" t="s">
        <v>1670</v>
      </c>
      <c r="H221" s="3" t="s">
        <v>209</v>
      </c>
      <c r="I221" s="3" t="s">
        <v>962</v>
      </c>
      <c r="J221" s="3" t="s">
        <v>30</v>
      </c>
      <c r="K221" s="3" t="s">
        <v>30</v>
      </c>
      <c r="L221" s="2" t="s">
        <v>361</v>
      </c>
      <c r="M221" s="2" t="s">
        <v>31</v>
      </c>
      <c r="N221" s="3" t="s">
        <v>476</v>
      </c>
      <c r="O221" s="3" t="s">
        <v>160</v>
      </c>
      <c r="P221" s="3" t="s">
        <v>34</v>
      </c>
      <c r="Q221" s="124">
        <v>1020</v>
      </c>
      <c r="R221" s="141">
        <v>1</v>
      </c>
      <c r="S221" s="143">
        <v>14880</v>
      </c>
      <c r="T221" s="2"/>
      <c r="U221" s="124">
        <v>151.77600000000001</v>
      </c>
      <c r="V221" s="140">
        <v>1.2999999999999999E-5</v>
      </c>
      <c r="W221" s="140">
        <v>3.6106702287143702E-2</v>
      </c>
      <c r="X221" s="140">
        <v>7.1722835723094002E-3</v>
      </c>
    </row>
    <row r="222" spans="1:24">
      <c r="A222" s="3">
        <v>161</v>
      </c>
      <c r="B222" s="3">
        <v>12468</v>
      </c>
      <c r="C222" s="3" t="s">
        <v>1197</v>
      </c>
      <c r="D222" s="3" t="s">
        <v>1607</v>
      </c>
      <c r="E222" s="3" t="s">
        <v>1351</v>
      </c>
      <c r="F222" s="3" t="s">
        <v>1608</v>
      </c>
      <c r="G222" s="3" t="s">
        <v>1609</v>
      </c>
      <c r="H222" s="3" t="s">
        <v>209</v>
      </c>
      <c r="I222" s="3" t="s">
        <v>962</v>
      </c>
      <c r="J222" s="3" t="s">
        <v>30</v>
      </c>
      <c r="K222" s="3" t="s">
        <v>30</v>
      </c>
      <c r="L222" s="2" t="s">
        <v>361</v>
      </c>
      <c r="M222" s="2" t="s">
        <v>31</v>
      </c>
      <c r="N222" s="3" t="s">
        <v>479</v>
      </c>
      <c r="O222" s="3" t="s">
        <v>160</v>
      </c>
      <c r="P222" s="3" t="s">
        <v>34</v>
      </c>
      <c r="Q222" s="124">
        <v>4604</v>
      </c>
      <c r="R222" s="141">
        <v>1</v>
      </c>
      <c r="S222" s="143">
        <v>6262</v>
      </c>
      <c r="T222" s="2"/>
      <c r="U222" s="124">
        <v>288.30200000000002</v>
      </c>
      <c r="V222" s="140">
        <v>3.0000000000000001E-6</v>
      </c>
      <c r="W222" s="140">
        <v>6.8585624960502398E-2</v>
      </c>
      <c r="X222" s="140">
        <v>1.36239401562833E-2</v>
      </c>
    </row>
    <row r="223" spans="1:24">
      <c r="A223" s="3">
        <v>161</v>
      </c>
      <c r="B223" s="3">
        <v>12468</v>
      </c>
      <c r="C223" s="3" t="s">
        <v>1671</v>
      </c>
      <c r="D223" s="3" t="s">
        <v>1672</v>
      </c>
      <c r="E223" s="3" t="s">
        <v>1351</v>
      </c>
      <c r="F223" s="3" t="s">
        <v>1673</v>
      </c>
      <c r="G223" s="3" t="s">
        <v>1674</v>
      </c>
      <c r="H223" s="3" t="s">
        <v>209</v>
      </c>
      <c r="I223" s="3" t="s">
        <v>962</v>
      </c>
      <c r="J223" s="3" t="s">
        <v>30</v>
      </c>
      <c r="K223" s="3" t="s">
        <v>30</v>
      </c>
      <c r="L223" s="2" t="s">
        <v>361</v>
      </c>
      <c r="M223" s="2" t="s">
        <v>31</v>
      </c>
      <c r="N223" s="3" t="s">
        <v>479</v>
      </c>
      <c r="O223" s="3" t="s">
        <v>160</v>
      </c>
      <c r="P223" s="3" t="s">
        <v>34</v>
      </c>
      <c r="Q223" s="124">
        <v>760</v>
      </c>
      <c r="R223" s="141">
        <v>1</v>
      </c>
      <c r="S223" s="143">
        <v>21950</v>
      </c>
      <c r="T223" s="2"/>
      <c r="U223" s="124">
        <v>166.82</v>
      </c>
      <c r="V223" s="140">
        <v>3.0000000000000001E-6</v>
      </c>
      <c r="W223" s="140">
        <v>3.9685589787194997E-2</v>
      </c>
      <c r="X223" s="140">
        <v>7.8831985658645194E-3</v>
      </c>
    </row>
    <row r="224" spans="1:24">
      <c r="A224" s="3">
        <v>161</v>
      </c>
      <c r="B224" s="3">
        <v>12468</v>
      </c>
      <c r="C224" s="3" t="s">
        <v>1675</v>
      </c>
      <c r="D224" s="3" t="s">
        <v>1676</v>
      </c>
      <c r="E224" s="3" t="s">
        <v>1351</v>
      </c>
      <c r="F224" s="3" t="s">
        <v>1677</v>
      </c>
      <c r="G224" s="3" t="s">
        <v>1678</v>
      </c>
      <c r="H224" s="3" t="s">
        <v>209</v>
      </c>
      <c r="I224" s="3" t="s">
        <v>962</v>
      </c>
      <c r="J224" s="3" t="s">
        <v>30</v>
      </c>
      <c r="K224" s="3" t="s">
        <v>30</v>
      </c>
      <c r="L224" s="2" t="s">
        <v>361</v>
      </c>
      <c r="M224" s="2" t="s">
        <v>31</v>
      </c>
      <c r="N224" s="3" t="s">
        <v>495</v>
      </c>
      <c r="O224" s="3" t="s">
        <v>160</v>
      </c>
      <c r="P224" s="3" t="s">
        <v>34</v>
      </c>
      <c r="Q224" s="124">
        <v>179</v>
      </c>
      <c r="R224" s="141">
        <v>1</v>
      </c>
      <c r="S224" s="143">
        <v>38400</v>
      </c>
      <c r="T224" s="2"/>
      <c r="U224" s="124">
        <v>68.736000000000004</v>
      </c>
      <c r="V224" s="140">
        <v>3.9999999999999998E-6</v>
      </c>
      <c r="W224" s="140">
        <v>1.6351928423526198E-2</v>
      </c>
      <c r="X224" s="140">
        <v>3.24816890434758E-3</v>
      </c>
    </row>
    <row r="225" spans="1:24">
      <c r="A225" s="3">
        <v>161</v>
      </c>
      <c r="B225" s="3">
        <v>12468</v>
      </c>
      <c r="C225" s="3" t="s">
        <v>1679</v>
      </c>
      <c r="D225" s="3" t="s">
        <v>1680</v>
      </c>
      <c r="E225" s="3" t="s">
        <v>1351</v>
      </c>
      <c r="F225" s="3" t="s">
        <v>1681</v>
      </c>
      <c r="G225" s="3" t="s">
        <v>1682</v>
      </c>
      <c r="H225" s="3" t="s">
        <v>209</v>
      </c>
      <c r="I225" s="3" t="s">
        <v>962</v>
      </c>
      <c r="J225" s="3" t="s">
        <v>30</v>
      </c>
      <c r="K225" s="3" t="s">
        <v>30</v>
      </c>
      <c r="L225" s="2" t="s">
        <v>361</v>
      </c>
      <c r="M225" s="2" t="s">
        <v>31</v>
      </c>
      <c r="N225" s="3" t="s">
        <v>476</v>
      </c>
      <c r="O225" s="3" t="s">
        <v>160</v>
      </c>
      <c r="P225" s="3" t="s">
        <v>34</v>
      </c>
      <c r="Q225" s="124">
        <v>200</v>
      </c>
      <c r="R225" s="141">
        <v>1</v>
      </c>
      <c r="S225" s="143">
        <v>26530</v>
      </c>
      <c r="T225" s="2"/>
      <c r="U225" s="124">
        <v>53.06</v>
      </c>
      <c r="V225" s="140">
        <v>3.0000000000000001E-6</v>
      </c>
      <c r="W225" s="140">
        <v>1.2622691488482E-2</v>
      </c>
      <c r="X225" s="140">
        <v>2.5073882981942902E-3</v>
      </c>
    </row>
    <row r="226" spans="1:24">
      <c r="A226" s="3">
        <v>161</v>
      </c>
      <c r="B226" s="3">
        <v>12468</v>
      </c>
      <c r="C226" s="3" t="s">
        <v>1683</v>
      </c>
      <c r="D226" s="3" t="s">
        <v>1684</v>
      </c>
      <c r="E226" s="3" t="s">
        <v>348</v>
      </c>
      <c r="F226" s="3" t="s">
        <v>1685</v>
      </c>
      <c r="G226" s="3" t="s">
        <v>1686</v>
      </c>
      <c r="H226" s="3" t="s">
        <v>209</v>
      </c>
      <c r="I226" s="3" t="s">
        <v>962</v>
      </c>
      <c r="J226" s="3" t="s">
        <v>30</v>
      </c>
      <c r="K226" s="3" t="s">
        <v>86</v>
      </c>
      <c r="L226" s="2" t="s">
        <v>361</v>
      </c>
      <c r="M226" s="2" t="s">
        <v>31</v>
      </c>
      <c r="N226" s="3" t="s">
        <v>485</v>
      </c>
      <c r="O226" s="3" t="s">
        <v>160</v>
      </c>
      <c r="P226" s="3" t="s">
        <v>34</v>
      </c>
      <c r="Q226" s="124">
        <v>1405</v>
      </c>
      <c r="R226" s="141">
        <v>1</v>
      </c>
      <c r="S226" s="143">
        <v>9900</v>
      </c>
      <c r="T226" s="2"/>
      <c r="U226" s="124">
        <v>139.095</v>
      </c>
      <c r="V226" s="140">
        <v>1.4E-5</v>
      </c>
      <c r="W226" s="140">
        <v>3.3089959905586198E-2</v>
      </c>
      <c r="X226" s="140">
        <v>6.5730338359844499E-3</v>
      </c>
    </row>
    <row r="227" spans="1:24">
      <c r="A227" s="3">
        <v>161</v>
      </c>
      <c r="B227" s="3">
        <v>12468</v>
      </c>
      <c r="C227" s="3" t="s">
        <v>1687</v>
      </c>
      <c r="D227" s="3" t="s">
        <v>1688</v>
      </c>
      <c r="E227" s="3" t="s">
        <v>1351</v>
      </c>
      <c r="F227" s="3" t="s">
        <v>1689</v>
      </c>
      <c r="G227" s="3" t="s">
        <v>1690</v>
      </c>
      <c r="H227" s="3" t="s">
        <v>209</v>
      </c>
      <c r="I227" s="3" t="s">
        <v>962</v>
      </c>
      <c r="J227" s="3" t="s">
        <v>30</v>
      </c>
      <c r="K227" s="3" t="s">
        <v>334</v>
      </c>
      <c r="L227" s="2" t="s">
        <v>361</v>
      </c>
      <c r="M227" s="2" t="s">
        <v>31</v>
      </c>
      <c r="N227" s="3" t="s">
        <v>489</v>
      </c>
      <c r="O227" s="3" t="s">
        <v>160</v>
      </c>
      <c r="P227" s="3" t="s">
        <v>34</v>
      </c>
      <c r="Q227" s="124">
        <v>128</v>
      </c>
      <c r="R227" s="141">
        <v>1</v>
      </c>
      <c r="S227" s="143">
        <v>95280</v>
      </c>
      <c r="T227" s="2"/>
      <c r="U227" s="124">
        <v>121.958</v>
      </c>
      <c r="V227" s="140">
        <v>3.9999999999999998E-6</v>
      </c>
      <c r="W227" s="140">
        <v>2.9013254007329101E-2</v>
      </c>
      <c r="X227" s="140">
        <v>5.7632315308424201E-3</v>
      </c>
    </row>
    <row r="228" spans="1:24">
      <c r="A228" s="3">
        <v>161</v>
      </c>
      <c r="B228" s="3">
        <v>12468</v>
      </c>
      <c r="C228" s="3" t="s">
        <v>1691</v>
      </c>
      <c r="D228" s="3" t="s">
        <v>1692</v>
      </c>
      <c r="E228" s="3" t="s">
        <v>348</v>
      </c>
      <c r="F228" s="3" t="s">
        <v>1693</v>
      </c>
      <c r="G228" s="3" t="s">
        <v>1694</v>
      </c>
      <c r="H228" s="3" t="s">
        <v>209</v>
      </c>
      <c r="I228" s="3" t="s">
        <v>962</v>
      </c>
      <c r="J228" s="3" t="s">
        <v>30</v>
      </c>
      <c r="K228" s="3" t="s">
        <v>30</v>
      </c>
      <c r="L228" s="2" t="s">
        <v>361</v>
      </c>
      <c r="M228" s="2" t="s">
        <v>31</v>
      </c>
      <c r="N228" s="3" t="s">
        <v>485</v>
      </c>
      <c r="O228" s="3" t="s">
        <v>160</v>
      </c>
      <c r="P228" s="3" t="s">
        <v>34</v>
      </c>
      <c r="Q228" s="124">
        <v>7029</v>
      </c>
      <c r="R228" s="141">
        <v>1</v>
      </c>
      <c r="S228" s="143">
        <v>1656</v>
      </c>
      <c r="T228" s="2"/>
      <c r="U228" s="124">
        <v>116.4</v>
      </c>
      <c r="V228" s="140">
        <v>6.0000000000000002E-6</v>
      </c>
      <c r="W228" s="140">
        <v>2.7690997337076199E-2</v>
      </c>
      <c r="X228" s="140">
        <v>5.5005766996420501E-3</v>
      </c>
    </row>
    <row r="229" spans="1:24">
      <c r="A229" s="3">
        <v>161</v>
      </c>
      <c r="B229" s="3">
        <v>12468</v>
      </c>
      <c r="C229" s="3" t="s">
        <v>1695</v>
      </c>
      <c r="D229" s="3" t="s">
        <v>1696</v>
      </c>
      <c r="E229" s="3" t="s">
        <v>1351</v>
      </c>
      <c r="F229" s="3" t="s">
        <v>1697</v>
      </c>
      <c r="G229" s="3" t="s">
        <v>1698</v>
      </c>
      <c r="H229" s="3" t="s">
        <v>209</v>
      </c>
      <c r="I229" s="3" t="s">
        <v>962</v>
      </c>
      <c r="J229" s="3" t="s">
        <v>30</v>
      </c>
      <c r="K229" s="3" t="s">
        <v>86</v>
      </c>
      <c r="L229" s="2" t="s">
        <v>361</v>
      </c>
      <c r="M229" s="2" t="s">
        <v>31</v>
      </c>
      <c r="N229" s="3" t="s">
        <v>512</v>
      </c>
      <c r="O229" s="3" t="s">
        <v>160</v>
      </c>
      <c r="P229" s="3" t="s">
        <v>34</v>
      </c>
      <c r="Q229" s="124">
        <v>135</v>
      </c>
      <c r="R229" s="141">
        <v>1</v>
      </c>
      <c r="S229" s="143">
        <v>57150</v>
      </c>
      <c r="T229" s="2"/>
      <c r="U229" s="124">
        <v>77.153000000000006</v>
      </c>
      <c r="V229" s="140">
        <v>1.9999999999999999E-6</v>
      </c>
      <c r="W229" s="140">
        <v>1.8354168960895399E-2</v>
      </c>
      <c r="X229" s="140">
        <v>3.6458966392091002E-3</v>
      </c>
    </row>
    <row r="230" spans="1:24">
      <c r="A230" s="3">
        <v>161</v>
      </c>
      <c r="B230" s="3">
        <v>12468</v>
      </c>
      <c r="C230" s="3" t="s">
        <v>1699</v>
      </c>
      <c r="D230" s="3" t="s">
        <v>1700</v>
      </c>
      <c r="E230" s="3" t="s">
        <v>1351</v>
      </c>
      <c r="F230" s="3" t="s">
        <v>1699</v>
      </c>
      <c r="G230" s="3" t="s">
        <v>1701</v>
      </c>
      <c r="H230" s="3" t="s">
        <v>209</v>
      </c>
      <c r="I230" s="3" t="s">
        <v>962</v>
      </c>
      <c r="J230" s="3" t="s">
        <v>30</v>
      </c>
      <c r="K230" s="3" t="s">
        <v>30</v>
      </c>
      <c r="L230" s="2" t="s">
        <v>361</v>
      </c>
      <c r="M230" s="2" t="s">
        <v>31</v>
      </c>
      <c r="N230" s="3" t="s">
        <v>470</v>
      </c>
      <c r="O230" s="3" t="s">
        <v>160</v>
      </c>
      <c r="P230" s="3" t="s">
        <v>34</v>
      </c>
      <c r="Q230" s="124">
        <v>2263</v>
      </c>
      <c r="R230" s="141">
        <v>1</v>
      </c>
      <c r="S230" s="143">
        <v>12570</v>
      </c>
      <c r="T230" s="2"/>
      <c r="U230" s="124">
        <v>284.459</v>
      </c>
      <c r="V230" s="140">
        <v>2.8E-5</v>
      </c>
      <c r="W230" s="140">
        <v>6.7671305322111797E-2</v>
      </c>
      <c r="X230" s="140">
        <v>1.3442318481999199E-2</v>
      </c>
    </row>
    <row r="231" spans="1:24">
      <c r="A231" s="3">
        <v>161</v>
      </c>
      <c r="B231" s="3">
        <v>12468</v>
      </c>
      <c r="C231" s="3" t="s">
        <v>1702</v>
      </c>
      <c r="D231" s="3" t="s">
        <v>1703</v>
      </c>
      <c r="E231" s="3" t="s">
        <v>1351</v>
      </c>
      <c r="F231" s="3" t="s">
        <v>1704</v>
      </c>
      <c r="G231" s="3" t="s">
        <v>1705</v>
      </c>
      <c r="H231" s="3" t="s">
        <v>209</v>
      </c>
      <c r="I231" s="3" t="s">
        <v>962</v>
      </c>
      <c r="J231" s="3" t="s">
        <v>30</v>
      </c>
      <c r="K231" s="3" t="s">
        <v>30</v>
      </c>
      <c r="L231" s="2" t="s">
        <v>361</v>
      </c>
      <c r="M231" s="2" t="s">
        <v>31</v>
      </c>
      <c r="N231" s="3" t="s">
        <v>495</v>
      </c>
      <c r="O231" s="3" t="s">
        <v>160</v>
      </c>
      <c r="P231" s="3" t="s">
        <v>34</v>
      </c>
      <c r="Q231" s="124">
        <v>298</v>
      </c>
      <c r="R231" s="141">
        <v>1</v>
      </c>
      <c r="S231" s="143">
        <v>30970</v>
      </c>
      <c r="T231" s="2"/>
      <c r="U231" s="124">
        <v>92.290999999999997</v>
      </c>
      <c r="V231" s="140">
        <v>1.9999999999999999E-6</v>
      </c>
      <c r="W231" s="140">
        <v>2.1955442349922701E-2</v>
      </c>
      <c r="X231" s="140">
        <v>4.3612583956526597E-3</v>
      </c>
    </row>
    <row r="232" spans="1:24">
      <c r="A232" s="3">
        <v>161</v>
      </c>
      <c r="B232" s="3">
        <v>12468</v>
      </c>
      <c r="C232" s="3" t="s">
        <v>1610</v>
      </c>
      <c r="D232" s="3" t="s">
        <v>1611</v>
      </c>
      <c r="E232" s="3" t="s">
        <v>1351</v>
      </c>
      <c r="F232" s="3" t="s">
        <v>1612</v>
      </c>
      <c r="G232" s="3" t="s">
        <v>1613</v>
      </c>
      <c r="H232" s="3" t="s">
        <v>209</v>
      </c>
      <c r="I232" s="3" t="s">
        <v>962</v>
      </c>
      <c r="J232" s="3" t="s">
        <v>30</v>
      </c>
      <c r="K232" s="3" t="s">
        <v>30</v>
      </c>
      <c r="L232" s="2" t="s">
        <v>361</v>
      </c>
      <c r="M232" s="2" t="s">
        <v>31</v>
      </c>
      <c r="N232" s="3" t="s">
        <v>479</v>
      </c>
      <c r="O232" s="3" t="s">
        <v>160</v>
      </c>
      <c r="P232" s="3" t="s">
        <v>34</v>
      </c>
      <c r="Q232" s="124">
        <v>4131</v>
      </c>
      <c r="R232" s="141">
        <v>1</v>
      </c>
      <c r="S232" s="143">
        <v>6462</v>
      </c>
      <c r="T232" s="2"/>
      <c r="U232" s="124">
        <v>266.94499999999999</v>
      </c>
      <c r="V232" s="140">
        <v>3.0000000000000001E-6</v>
      </c>
      <c r="W232" s="140">
        <v>6.3504846520636204E-2</v>
      </c>
      <c r="X232" s="140">
        <v>1.2614687540273299E-2</v>
      </c>
    </row>
    <row r="233" spans="1:24">
      <c r="A233" s="3">
        <v>161</v>
      </c>
      <c r="B233" s="3">
        <v>12468</v>
      </c>
      <c r="C233" s="3" t="s">
        <v>1706</v>
      </c>
      <c r="D233" s="3" t="s">
        <v>1707</v>
      </c>
      <c r="E233" s="3" t="s">
        <v>1351</v>
      </c>
      <c r="F233" s="3" t="s">
        <v>1708</v>
      </c>
      <c r="G233" s="3" t="s">
        <v>1709</v>
      </c>
      <c r="H233" s="3" t="s">
        <v>209</v>
      </c>
      <c r="I233" s="3" t="s">
        <v>962</v>
      </c>
      <c r="J233" s="3" t="s">
        <v>30</v>
      </c>
      <c r="K233" s="3" t="s">
        <v>30</v>
      </c>
      <c r="L233" s="2" t="s">
        <v>361</v>
      </c>
      <c r="M233" s="2" t="s">
        <v>31</v>
      </c>
      <c r="N233" s="3" t="s">
        <v>507</v>
      </c>
      <c r="O233" s="3" t="s">
        <v>160</v>
      </c>
      <c r="P233" s="3" t="s">
        <v>34</v>
      </c>
      <c r="Q233" s="124">
        <v>233</v>
      </c>
      <c r="R233" s="141">
        <v>1</v>
      </c>
      <c r="S233" s="143">
        <v>33720</v>
      </c>
      <c r="T233" s="2"/>
      <c r="U233" s="124">
        <v>78.567999999999998</v>
      </c>
      <c r="V233" s="140">
        <v>1.7E-5</v>
      </c>
      <c r="W233" s="140">
        <v>1.8690813716367501E-2</v>
      </c>
      <c r="X233" s="140">
        <v>3.71276820311364E-3</v>
      </c>
    </row>
    <row r="234" spans="1:24">
      <c r="A234" s="3">
        <v>161</v>
      </c>
      <c r="B234" s="3">
        <v>12468</v>
      </c>
      <c r="C234" s="3" t="s">
        <v>1710</v>
      </c>
      <c r="D234" s="3" t="s">
        <v>1711</v>
      </c>
      <c r="E234" s="3" t="s">
        <v>1351</v>
      </c>
      <c r="F234" s="3" t="s">
        <v>1712</v>
      </c>
      <c r="G234" s="3" t="s">
        <v>1713</v>
      </c>
      <c r="H234" s="3" t="s">
        <v>209</v>
      </c>
      <c r="I234" s="3" t="s">
        <v>962</v>
      </c>
      <c r="J234" s="3" t="s">
        <v>30</v>
      </c>
      <c r="K234" s="3" t="s">
        <v>30</v>
      </c>
      <c r="L234" s="2" t="s">
        <v>361</v>
      </c>
      <c r="M234" s="2" t="s">
        <v>31</v>
      </c>
      <c r="N234" s="3" t="s">
        <v>508</v>
      </c>
      <c r="O234" s="3" t="s">
        <v>160</v>
      </c>
      <c r="P234" s="3" t="s">
        <v>34</v>
      </c>
      <c r="Q234" s="124">
        <v>34</v>
      </c>
      <c r="R234" s="141">
        <v>1</v>
      </c>
      <c r="S234" s="143">
        <v>42880</v>
      </c>
      <c r="T234" s="2"/>
      <c r="U234" s="124">
        <v>14.579000000000001</v>
      </c>
      <c r="V234" s="140">
        <v>1.9999999999999999E-6</v>
      </c>
      <c r="W234" s="140">
        <v>3.4683140548224102E-3</v>
      </c>
      <c r="X234" s="140">
        <v>6.8895053669495304E-4</v>
      </c>
    </row>
    <row r="235" spans="1:24">
      <c r="A235" s="3">
        <v>161</v>
      </c>
      <c r="B235" s="3">
        <v>12468</v>
      </c>
      <c r="C235" s="3" t="s">
        <v>1714</v>
      </c>
      <c r="D235" s="3" t="s">
        <v>1715</v>
      </c>
      <c r="E235" s="3" t="s">
        <v>1351</v>
      </c>
      <c r="F235" s="3" t="s">
        <v>1716</v>
      </c>
      <c r="G235" s="3" t="s">
        <v>1717</v>
      </c>
      <c r="H235" s="3" t="s">
        <v>209</v>
      </c>
      <c r="I235" s="3" t="s">
        <v>962</v>
      </c>
      <c r="J235" s="3" t="s">
        <v>30</v>
      </c>
      <c r="K235" s="3" t="s">
        <v>30</v>
      </c>
      <c r="L235" s="2" t="s">
        <v>361</v>
      </c>
      <c r="M235" s="2" t="s">
        <v>31</v>
      </c>
      <c r="N235" s="3" t="s">
        <v>494</v>
      </c>
      <c r="O235" s="3" t="s">
        <v>160</v>
      </c>
      <c r="P235" s="3" t="s">
        <v>34</v>
      </c>
      <c r="Q235" s="124">
        <v>7346</v>
      </c>
      <c r="R235" s="141">
        <v>1</v>
      </c>
      <c r="S235" s="143">
        <v>922.7</v>
      </c>
      <c r="T235" s="2"/>
      <c r="U235" s="124">
        <v>67.781999999999996</v>
      </c>
      <c r="V235" s="140">
        <v>2.5000000000000001E-5</v>
      </c>
      <c r="W235" s="140">
        <v>1.6124867947221701E-2</v>
      </c>
      <c r="X235" s="140">
        <v>3.20306530803552E-3</v>
      </c>
    </row>
    <row r="236" spans="1:24">
      <c r="A236" s="3">
        <v>161</v>
      </c>
      <c r="B236" s="3">
        <v>12468</v>
      </c>
      <c r="C236" s="3" t="s">
        <v>1718</v>
      </c>
      <c r="D236" s="3" t="s">
        <v>1719</v>
      </c>
      <c r="E236" s="3" t="s">
        <v>1351</v>
      </c>
      <c r="F236" s="3" t="s">
        <v>1720</v>
      </c>
      <c r="G236" s="3" t="s">
        <v>1721</v>
      </c>
      <c r="H236" s="3" t="s">
        <v>209</v>
      </c>
      <c r="I236" s="3" t="s">
        <v>962</v>
      </c>
      <c r="J236" s="3" t="s">
        <v>30</v>
      </c>
      <c r="K236" s="3" t="s">
        <v>334</v>
      </c>
      <c r="L236" s="2" t="s">
        <v>361</v>
      </c>
      <c r="M236" s="2" t="s">
        <v>31</v>
      </c>
      <c r="N236" s="3" t="s">
        <v>489</v>
      </c>
      <c r="O236" s="3" t="s">
        <v>160</v>
      </c>
      <c r="P236" s="3" t="s">
        <v>34</v>
      </c>
      <c r="Q236" s="124">
        <v>208</v>
      </c>
      <c r="R236" s="141">
        <v>1</v>
      </c>
      <c r="S236" s="143">
        <v>29040</v>
      </c>
      <c r="T236" s="2"/>
      <c r="U236" s="124">
        <v>60.402999999999999</v>
      </c>
      <c r="V236" s="140">
        <v>3.9999999999999998E-6</v>
      </c>
      <c r="W236" s="140">
        <v>1.43695996705065E-2</v>
      </c>
      <c r="X236" s="140">
        <v>2.85439647292668E-3</v>
      </c>
    </row>
    <row r="237" spans="1:24">
      <c r="A237" s="3">
        <v>161</v>
      </c>
      <c r="B237" s="3">
        <v>12468</v>
      </c>
      <c r="C237" s="3" t="s">
        <v>1722</v>
      </c>
      <c r="D237" s="3" t="s">
        <v>1723</v>
      </c>
      <c r="E237" s="3" t="s">
        <v>348</v>
      </c>
      <c r="F237" s="3" t="s">
        <v>1724</v>
      </c>
      <c r="G237" s="3" t="s">
        <v>1725</v>
      </c>
      <c r="H237" s="3" t="s">
        <v>209</v>
      </c>
      <c r="I237" s="3" t="s">
        <v>962</v>
      </c>
      <c r="J237" s="3" t="s">
        <v>30</v>
      </c>
      <c r="K237" s="3" t="s">
        <v>30</v>
      </c>
      <c r="L237" s="2" t="s">
        <v>361</v>
      </c>
      <c r="M237" s="2" t="s">
        <v>31</v>
      </c>
      <c r="N237" s="3" t="s">
        <v>485</v>
      </c>
      <c r="O237" s="3" t="s">
        <v>160</v>
      </c>
      <c r="P237" s="3" t="s">
        <v>34</v>
      </c>
      <c r="Q237" s="124">
        <v>4548</v>
      </c>
      <c r="R237" s="141">
        <v>1</v>
      </c>
      <c r="S237" s="143">
        <v>483.9</v>
      </c>
      <c r="T237" s="2"/>
      <c r="U237" s="124">
        <v>22.007999999999999</v>
      </c>
      <c r="V237" s="140">
        <v>3.9999999999999998E-6</v>
      </c>
      <c r="W237" s="140">
        <v>5.2355317810940903E-3</v>
      </c>
      <c r="X237" s="140">
        <v>1.0399930264253299E-3</v>
      </c>
    </row>
    <row r="238" spans="1:24">
      <c r="A238" s="3">
        <v>161</v>
      </c>
      <c r="B238" s="3">
        <v>12468</v>
      </c>
      <c r="C238" s="3" t="s">
        <v>1726</v>
      </c>
      <c r="D238" s="3" t="s">
        <v>1727</v>
      </c>
      <c r="E238" s="3" t="s">
        <v>1351</v>
      </c>
      <c r="F238" s="3" t="s">
        <v>1728</v>
      </c>
      <c r="G238" s="3" t="s">
        <v>1729</v>
      </c>
      <c r="H238" s="3" t="s">
        <v>209</v>
      </c>
      <c r="I238" s="3" t="s">
        <v>962</v>
      </c>
      <c r="J238" s="3" t="s">
        <v>30</v>
      </c>
      <c r="K238" s="3" t="s">
        <v>30</v>
      </c>
      <c r="L238" s="2" t="s">
        <v>361</v>
      </c>
      <c r="M238" s="2" t="s">
        <v>31</v>
      </c>
      <c r="N238" s="3" t="s">
        <v>507</v>
      </c>
      <c r="O238" s="3" t="s">
        <v>160</v>
      </c>
      <c r="P238" s="3" t="s">
        <v>34</v>
      </c>
      <c r="Q238" s="124">
        <v>1300</v>
      </c>
      <c r="R238" s="141">
        <v>1</v>
      </c>
      <c r="S238" s="143">
        <v>3869</v>
      </c>
      <c r="T238" s="2"/>
      <c r="U238" s="124">
        <v>50.296999999999997</v>
      </c>
      <c r="V238" s="140">
        <v>5.0000000000000004E-6</v>
      </c>
      <c r="W238" s="140">
        <v>1.19653884997395E-2</v>
      </c>
      <c r="X238" s="140">
        <v>2.3768207545095798E-3</v>
      </c>
    </row>
    <row r="239" spans="1:24">
      <c r="A239" s="3">
        <v>161</v>
      </c>
      <c r="B239" s="3">
        <v>12468</v>
      </c>
      <c r="C239" s="3" t="s">
        <v>1730</v>
      </c>
      <c r="D239" s="3" t="s">
        <v>1731</v>
      </c>
      <c r="E239" s="3" t="s">
        <v>206</v>
      </c>
      <c r="F239" s="3" t="s">
        <v>1732</v>
      </c>
      <c r="G239" s="3" t="s">
        <v>1733</v>
      </c>
      <c r="H239" s="3" t="s">
        <v>209</v>
      </c>
      <c r="I239" s="3" t="s">
        <v>962</v>
      </c>
      <c r="J239" s="3" t="s">
        <v>85</v>
      </c>
      <c r="K239" s="3" t="s">
        <v>327</v>
      </c>
      <c r="L239" s="2" t="s">
        <v>361</v>
      </c>
      <c r="M239" s="2" t="s">
        <v>380</v>
      </c>
      <c r="N239" s="3" t="s">
        <v>580</v>
      </c>
      <c r="O239" s="3" t="s">
        <v>160</v>
      </c>
      <c r="P239" s="3" t="s">
        <v>90</v>
      </c>
      <c r="Q239" s="124">
        <v>55</v>
      </c>
      <c r="R239" s="141">
        <v>3.3719999999999999</v>
      </c>
      <c r="S239" s="143">
        <v>14190</v>
      </c>
      <c r="T239" s="2"/>
      <c r="U239" s="124">
        <v>26.317</v>
      </c>
      <c r="V239" s="140">
        <v>0</v>
      </c>
      <c r="W239" s="140">
        <v>6.2606204141369103E-3</v>
      </c>
      <c r="X239" s="140">
        <v>1.24361800176826E-3</v>
      </c>
    </row>
    <row r="240" spans="1:24">
      <c r="A240" s="3">
        <v>161</v>
      </c>
      <c r="B240" s="3">
        <v>12468</v>
      </c>
      <c r="C240" s="3" t="s">
        <v>1734</v>
      </c>
      <c r="D240" s="3" t="s">
        <v>1735</v>
      </c>
      <c r="E240" s="3" t="s">
        <v>206</v>
      </c>
      <c r="F240" s="3" t="s">
        <v>1736</v>
      </c>
      <c r="G240" s="3" t="s">
        <v>1737</v>
      </c>
      <c r="H240" s="3" t="s">
        <v>209</v>
      </c>
      <c r="I240" s="3" t="s">
        <v>962</v>
      </c>
      <c r="J240" s="3" t="s">
        <v>85</v>
      </c>
      <c r="K240" s="3" t="s">
        <v>86</v>
      </c>
      <c r="L240" s="2" t="s">
        <v>361</v>
      </c>
      <c r="M240" s="2" t="s">
        <v>380</v>
      </c>
      <c r="N240" s="3" t="s">
        <v>581</v>
      </c>
      <c r="O240" s="3" t="s">
        <v>160</v>
      </c>
      <c r="P240" s="3" t="s">
        <v>90</v>
      </c>
      <c r="Q240" s="124">
        <v>87</v>
      </c>
      <c r="R240" s="141">
        <v>3.3719999999999999</v>
      </c>
      <c r="S240" s="143">
        <v>17739</v>
      </c>
      <c r="T240" s="2"/>
      <c r="U240" s="124">
        <v>52.04</v>
      </c>
      <c r="V240" s="140">
        <v>0</v>
      </c>
      <c r="W240" s="140">
        <v>1.23800008466841E-2</v>
      </c>
      <c r="X240" s="140">
        <v>2.4591799049304098E-3</v>
      </c>
    </row>
    <row r="241" spans="1:24">
      <c r="A241" s="3">
        <v>161</v>
      </c>
      <c r="B241" s="3">
        <v>12468</v>
      </c>
      <c r="C241" s="3" t="s">
        <v>1738</v>
      </c>
      <c r="D241" s="3" t="s">
        <v>1739</v>
      </c>
      <c r="E241" s="3" t="s">
        <v>206</v>
      </c>
      <c r="F241" s="3" t="s">
        <v>1740</v>
      </c>
      <c r="G241" s="3" t="s">
        <v>1741</v>
      </c>
      <c r="H241" s="3" t="s">
        <v>209</v>
      </c>
      <c r="I241" s="3" t="s">
        <v>962</v>
      </c>
      <c r="J241" s="3" t="s">
        <v>85</v>
      </c>
      <c r="K241" s="3" t="s">
        <v>86</v>
      </c>
      <c r="L241" s="2" t="s">
        <v>361</v>
      </c>
      <c r="M241" s="2" t="s">
        <v>380</v>
      </c>
      <c r="N241" s="3" t="s">
        <v>532</v>
      </c>
      <c r="O241" s="3" t="s">
        <v>160</v>
      </c>
      <c r="P241" s="3" t="s">
        <v>90</v>
      </c>
      <c r="Q241" s="124">
        <v>55</v>
      </c>
      <c r="R241" s="141">
        <v>3.3719999999999999</v>
      </c>
      <c r="S241" s="143">
        <v>21939</v>
      </c>
      <c r="T241" s="2"/>
      <c r="U241" s="124">
        <v>40.688000000000002</v>
      </c>
      <c r="V241" s="140">
        <v>0</v>
      </c>
      <c r="W241" s="140">
        <v>9.6794750715820804E-3</v>
      </c>
      <c r="X241" s="140">
        <v>1.9227438577021699E-3</v>
      </c>
    </row>
    <row r="242" spans="1:24">
      <c r="A242" s="3">
        <v>161</v>
      </c>
      <c r="B242" s="3">
        <v>12468</v>
      </c>
      <c r="C242" s="3" t="s">
        <v>1742</v>
      </c>
      <c r="D242" s="3" t="s">
        <v>1743</v>
      </c>
      <c r="E242" s="3" t="s">
        <v>206</v>
      </c>
      <c r="F242" s="3" t="s">
        <v>1744</v>
      </c>
      <c r="G242" s="3" t="s">
        <v>1745</v>
      </c>
      <c r="H242" s="3" t="s">
        <v>209</v>
      </c>
      <c r="I242" s="3" t="s">
        <v>962</v>
      </c>
      <c r="J242" s="3" t="s">
        <v>85</v>
      </c>
      <c r="K242" s="3" t="s">
        <v>86</v>
      </c>
      <c r="L242" s="2" t="s">
        <v>361</v>
      </c>
      <c r="M242" s="2" t="s">
        <v>380</v>
      </c>
      <c r="N242" s="3" t="s">
        <v>580</v>
      </c>
      <c r="O242" s="3" t="s">
        <v>160</v>
      </c>
      <c r="P242" s="3" t="s">
        <v>90</v>
      </c>
      <c r="Q242" s="124">
        <v>60</v>
      </c>
      <c r="R242" s="141">
        <v>3.3719999999999999</v>
      </c>
      <c r="S242" s="143">
        <v>80139</v>
      </c>
      <c r="T242" s="2"/>
      <c r="U242" s="124">
        <v>162.137</v>
      </c>
      <c r="V242" s="140">
        <v>0</v>
      </c>
      <c r="W242" s="140">
        <v>3.8571582499982202E-2</v>
      </c>
      <c r="X242" s="140">
        <v>7.6619106702830201E-3</v>
      </c>
    </row>
    <row r="243" spans="1:24">
      <c r="A243" s="3">
        <v>161</v>
      </c>
      <c r="B243" s="3">
        <v>12468</v>
      </c>
      <c r="C243" s="3" t="s">
        <v>1746</v>
      </c>
      <c r="D243" s="3" t="s">
        <v>1747</v>
      </c>
      <c r="E243" s="3" t="s">
        <v>206</v>
      </c>
      <c r="F243" s="3" t="s">
        <v>1748</v>
      </c>
      <c r="G243" s="3" t="s">
        <v>1749</v>
      </c>
      <c r="H243" s="3" t="s">
        <v>209</v>
      </c>
      <c r="I243" s="3" t="s">
        <v>962</v>
      </c>
      <c r="J243" s="3" t="s">
        <v>85</v>
      </c>
      <c r="K243" s="3" t="s">
        <v>86</v>
      </c>
      <c r="L243" s="2" t="s">
        <v>361</v>
      </c>
      <c r="M243" s="2" t="s">
        <v>380</v>
      </c>
      <c r="N243" s="3" t="s">
        <v>580</v>
      </c>
      <c r="O243" s="3" t="s">
        <v>160</v>
      </c>
      <c r="P243" s="3" t="s">
        <v>90</v>
      </c>
      <c r="Q243" s="124">
        <v>50</v>
      </c>
      <c r="R243" s="141">
        <v>3.3719999999999999</v>
      </c>
      <c r="S243" s="143">
        <v>27565</v>
      </c>
      <c r="T243" s="123">
        <v>2.9000000000000001E-2</v>
      </c>
      <c r="U243" s="124">
        <v>46.573999999999998</v>
      </c>
      <c r="V243" s="140">
        <v>0</v>
      </c>
      <c r="W243" s="140">
        <v>1.1079721847659599E-2</v>
      </c>
      <c r="X243" s="140">
        <v>2.2008907476998101E-3</v>
      </c>
    </row>
    <row r="244" spans="1:24">
      <c r="A244" s="3">
        <v>161</v>
      </c>
      <c r="B244" s="3">
        <v>12468</v>
      </c>
      <c r="C244" s="3" t="s">
        <v>1750</v>
      </c>
      <c r="D244" s="3" t="s">
        <v>1751</v>
      </c>
      <c r="E244" s="3" t="s">
        <v>206</v>
      </c>
      <c r="F244" s="3" t="s">
        <v>1752</v>
      </c>
      <c r="G244" s="3" t="s">
        <v>1753</v>
      </c>
      <c r="H244" s="3" t="s">
        <v>209</v>
      </c>
      <c r="I244" s="3" t="s">
        <v>962</v>
      </c>
      <c r="J244" s="3" t="s">
        <v>85</v>
      </c>
      <c r="K244" s="3" t="s">
        <v>86</v>
      </c>
      <c r="L244" s="2" t="s">
        <v>361</v>
      </c>
      <c r="M244" s="2" t="s">
        <v>378</v>
      </c>
      <c r="N244" s="3" t="s">
        <v>568</v>
      </c>
      <c r="O244" s="3" t="s">
        <v>160</v>
      </c>
      <c r="P244" s="3" t="s">
        <v>90</v>
      </c>
      <c r="Q244" s="124">
        <v>17</v>
      </c>
      <c r="R244" s="141">
        <v>3.3719999999999999</v>
      </c>
      <c r="S244" s="143">
        <v>28991</v>
      </c>
      <c r="T244" s="2"/>
      <c r="U244" s="124">
        <v>16.619</v>
      </c>
      <c r="V244" s="140">
        <v>0</v>
      </c>
      <c r="W244" s="140">
        <v>3.9535242350517497E-3</v>
      </c>
      <c r="X244" s="140">
        <v>7.8533333502143695E-4</v>
      </c>
    </row>
    <row r="245" spans="1:24">
      <c r="A245" s="3">
        <v>161</v>
      </c>
      <c r="B245" s="3">
        <v>12468</v>
      </c>
      <c r="C245" s="3" t="s">
        <v>1754</v>
      </c>
      <c r="D245" s="3" t="s">
        <v>1755</v>
      </c>
      <c r="E245" s="3" t="s">
        <v>206</v>
      </c>
      <c r="F245" s="3" t="s">
        <v>1756</v>
      </c>
      <c r="G245" s="3" t="s">
        <v>1757</v>
      </c>
      <c r="H245" s="3" t="s">
        <v>209</v>
      </c>
      <c r="I245" s="3" t="s">
        <v>962</v>
      </c>
      <c r="J245" s="3" t="s">
        <v>85</v>
      </c>
      <c r="K245" s="3" t="s">
        <v>86</v>
      </c>
      <c r="L245" s="2" t="s">
        <v>361</v>
      </c>
      <c r="M245" s="2" t="s">
        <v>378</v>
      </c>
      <c r="N245" s="3" t="s">
        <v>1758</v>
      </c>
      <c r="O245" s="3" t="s">
        <v>160</v>
      </c>
      <c r="P245" s="3" t="s">
        <v>90</v>
      </c>
      <c r="Q245" s="124">
        <v>25</v>
      </c>
      <c r="R245" s="141">
        <v>3.3719999999999999</v>
      </c>
      <c r="S245" s="143">
        <v>56194</v>
      </c>
      <c r="T245" s="2"/>
      <c r="U245" s="124">
        <v>47.372</v>
      </c>
      <c r="V245" s="140">
        <v>0</v>
      </c>
      <c r="W245" s="140">
        <v>1.12694376177849E-2</v>
      </c>
      <c r="X245" s="140">
        <v>2.2385761416927898E-3</v>
      </c>
    </row>
    <row r="246" spans="1:24">
      <c r="A246" s="3">
        <v>161</v>
      </c>
      <c r="B246" s="3">
        <v>12468</v>
      </c>
      <c r="C246" s="3" t="s">
        <v>1759</v>
      </c>
      <c r="D246" s="3" t="s">
        <v>1760</v>
      </c>
      <c r="E246" s="3" t="s">
        <v>206</v>
      </c>
      <c r="F246" s="3" t="s">
        <v>1761</v>
      </c>
      <c r="G246" s="3" t="s">
        <v>1762</v>
      </c>
      <c r="H246" s="3" t="s">
        <v>209</v>
      </c>
      <c r="I246" s="3" t="s">
        <v>962</v>
      </c>
      <c r="J246" s="3" t="s">
        <v>85</v>
      </c>
      <c r="K246" s="3" t="s">
        <v>86</v>
      </c>
      <c r="L246" s="2" t="s">
        <v>361</v>
      </c>
      <c r="M246" s="2" t="s">
        <v>380</v>
      </c>
      <c r="N246" s="3" t="s">
        <v>576</v>
      </c>
      <c r="O246" s="3" t="s">
        <v>160</v>
      </c>
      <c r="P246" s="3" t="s">
        <v>90</v>
      </c>
      <c r="Q246" s="124">
        <v>23</v>
      </c>
      <c r="R246" s="141">
        <v>3.3719999999999999</v>
      </c>
      <c r="S246" s="143">
        <v>49741</v>
      </c>
      <c r="T246" s="2"/>
      <c r="U246" s="124">
        <v>38.576999999999998</v>
      </c>
      <c r="V246" s="140">
        <v>0</v>
      </c>
      <c r="W246" s="140">
        <v>9.1772938182464407E-3</v>
      </c>
      <c r="X246" s="140">
        <v>1.8229899027445201E-3</v>
      </c>
    </row>
    <row r="247" spans="1:24">
      <c r="A247" s="3">
        <v>161</v>
      </c>
      <c r="B247" s="3">
        <v>12468</v>
      </c>
      <c r="C247" s="3" t="s">
        <v>1695</v>
      </c>
      <c r="D247" s="3" t="s">
        <v>1696</v>
      </c>
      <c r="E247" s="3" t="s">
        <v>1351</v>
      </c>
      <c r="F247" s="3" t="s">
        <v>1763</v>
      </c>
      <c r="G247" s="3" t="s">
        <v>1764</v>
      </c>
      <c r="H247" s="3" t="s">
        <v>209</v>
      </c>
      <c r="I247" s="3" t="s">
        <v>962</v>
      </c>
      <c r="J247" s="3" t="s">
        <v>85</v>
      </c>
      <c r="K247" s="3" t="s">
        <v>86</v>
      </c>
      <c r="L247" s="2" t="s">
        <v>361</v>
      </c>
      <c r="M247" s="2" t="s">
        <v>380</v>
      </c>
      <c r="N247" s="3" t="s">
        <v>512</v>
      </c>
      <c r="O247" s="3" t="s">
        <v>160</v>
      </c>
      <c r="P247" s="3" t="s">
        <v>90</v>
      </c>
      <c r="Q247" s="124">
        <v>22</v>
      </c>
      <c r="R247" s="141">
        <v>3.3719999999999999</v>
      </c>
      <c r="S247" s="143">
        <v>16891</v>
      </c>
      <c r="T247" s="2"/>
      <c r="U247" s="124">
        <v>12.53</v>
      </c>
      <c r="V247" s="140">
        <v>0</v>
      </c>
      <c r="W247" s="140">
        <v>2.9809200680813702E-3</v>
      </c>
      <c r="X247" s="140">
        <v>5.9213394412593802E-4</v>
      </c>
    </row>
    <row r="248" spans="1:24">
      <c r="A248" s="3">
        <v>161</v>
      </c>
      <c r="B248" s="3">
        <v>12468</v>
      </c>
      <c r="C248" s="3" t="s">
        <v>1765</v>
      </c>
      <c r="D248" s="3" t="s">
        <v>1766</v>
      </c>
      <c r="E248" s="3" t="s">
        <v>206</v>
      </c>
      <c r="F248" s="3" t="s">
        <v>1767</v>
      </c>
      <c r="G248" s="3" t="s">
        <v>1768</v>
      </c>
      <c r="H248" s="3" t="s">
        <v>209</v>
      </c>
      <c r="I248" s="3" t="s">
        <v>962</v>
      </c>
      <c r="J248" s="3" t="s">
        <v>85</v>
      </c>
      <c r="K248" s="3" t="s">
        <v>86</v>
      </c>
      <c r="L248" s="2" t="s">
        <v>361</v>
      </c>
      <c r="M248" s="2" t="s">
        <v>380</v>
      </c>
      <c r="N248" s="3" t="s">
        <v>580</v>
      </c>
      <c r="O248" s="3" t="s">
        <v>160</v>
      </c>
      <c r="P248" s="3" t="s">
        <v>90</v>
      </c>
      <c r="Q248" s="124">
        <v>100</v>
      </c>
      <c r="R248" s="141">
        <v>3.3719999999999999</v>
      </c>
      <c r="S248" s="143">
        <v>15799</v>
      </c>
      <c r="T248" s="123">
        <v>1E-3</v>
      </c>
      <c r="U248" s="124">
        <v>53.277000000000001</v>
      </c>
      <c r="V248" s="140">
        <v>0</v>
      </c>
      <c r="W248" s="140">
        <v>1.26742568246857E-2</v>
      </c>
      <c r="X248" s="140">
        <v>2.5176313054568601E-3</v>
      </c>
    </row>
    <row r="249" spans="1:24">
      <c r="A249" s="3">
        <v>161</v>
      </c>
      <c r="B249" s="3">
        <v>12468</v>
      </c>
      <c r="C249" s="3" t="s">
        <v>1614</v>
      </c>
      <c r="D249" s="3" t="s">
        <v>1615</v>
      </c>
      <c r="E249" s="3" t="s">
        <v>206</v>
      </c>
      <c r="F249" s="3" t="s">
        <v>1769</v>
      </c>
      <c r="G249" s="3" t="s">
        <v>1617</v>
      </c>
      <c r="H249" s="3" t="s">
        <v>209</v>
      </c>
      <c r="I249" s="3" t="s">
        <v>962</v>
      </c>
      <c r="J249" s="3" t="s">
        <v>85</v>
      </c>
      <c r="K249" s="3" t="s">
        <v>86</v>
      </c>
      <c r="L249" s="2" t="s">
        <v>361</v>
      </c>
      <c r="M249" s="2" t="s">
        <v>378</v>
      </c>
      <c r="N249" s="3" t="s">
        <v>589</v>
      </c>
      <c r="O249" s="3" t="s">
        <v>160</v>
      </c>
      <c r="P249" s="3" t="s">
        <v>90</v>
      </c>
      <c r="Q249" s="124">
        <v>28</v>
      </c>
      <c r="R249" s="141">
        <v>3.3719999999999999</v>
      </c>
      <c r="S249" s="143">
        <v>8376</v>
      </c>
      <c r="T249" s="2"/>
      <c r="U249" s="124">
        <v>7.9080000000000004</v>
      </c>
      <c r="V249" s="140">
        <v>0</v>
      </c>
      <c r="W249" s="140">
        <v>1.88133869496662E-3</v>
      </c>
      <c r="X249" s="140">
        <v>3.73711631390488E-4</v>
      </c>
    </row>
    <row r="250" spans="1:24">
      <c r="A250" s="3">
        <v>161</v>
      </c>
      <c r="B250" s="3">
        <v>12468</v>
      </c>
      <c r="C250" s="3" t="s">
        <v>1770</v>
      </c>
      <c r="D250" s="3" t="s">
        <v>1771</v>
      </c>
      <c r="E250" s="3" t="s">
        <v>206</v>
      </c>
      <c r="F250" s="3" t="s">
        <v>1772</v>
      </c>
      <c r="G250" s="3" t="s">
        <v>1773</v>
      </c>
      <c r="H250" s="3" t="s">
        <v>209</v>
      </c>
      <c r="I250" s="3" t="s">
        <v>962</v>
      </c>
      <c r="J250" s="3" t="s">
        <v>85</v>
      </c>
      <c r="K250" s="3" t="s">
        <v>1774</v>
      </c>
      <c r="L250" s="2" t="s">
        <v>361</v>
      </c>
      <c r="M250" s="2" t="s">
        <v>378</v>
      </c>
      <c r="N250" s="3" t="s">
        <v>580</v>
      </c>
      <c r="O250" s="3" t="s">
        <v>160</v>
      </c>
      <c r="P250" s="3" t="s">
        <v>90</v>
      </c>
      <c r="Q250" s="124">
        <v>130</v>
      </c>
      <c r="R250" s="141">
        <v>3.3719999999999999</v>
      </c>
      <c r="S250" s="143">
        <v>22649</v>
      </c>
      <c r="T250" s="123">
        <v>7.0000000000000007E-2</v>
      </c>
      <c r="U250" s="124">
        <v>99.522000000000006</v>
      </c>
      <c r="V250" s="140">
        <v>0</v>
      </c>
      <c r="W250" s="140">
        <v>2.3675645712714199E-2</v>
      </c>
      <c r="X250" s="140">
        <v>4.7029618894212999E-3</v>
      </c>
    </row>
  </sheetData>
  <sheetProtection formatColumns="0"/>
  <customSheetViews>
    <customSheetView guid="{AE318230-F718-49FC-82EB-7CAC3DCD05F1}" showGridLines="0" hiddenRows="1" topLeftCell="O1">
      <selection activeCell="X26" sqref="X26"/>
      <pageMargins left="0.7" right="0.7" top="0.75" bottom="0.75" header="0.3" footer="0.3"/>
    </customSheetView>
  </customSheetViews>
  <dataValidations count="8">
    <dataValidation type="list" allowBlank="1" showInputMessage="1" showErrorMessage="1" sqref="J2:J19" xr:uid="{00000000-0002-0000-0600-000000000000}">
      <formula1>israel_abroad</formula1>
    </dataValidation>
    <dataValidation type="list" allowBlank="1" showInputMessage="1" showErrorMessage="1" sqref="O2:O19" xr:uid="{00000000-0002-0000-0600-000001000000}">
      <formula1>Holding_interest</formula1>
    </dataValidation>
    <dataValidation type="list" allowBlank="1" showInputMessage="1" showErrorMessage="1" sqref="K2:K20" xr:uid="{00000000-0002-0000-0600-000002000000}">
      <formula1>Country_list</formula1>
    </dataValidation>
    <dataValidation type="list" allowBlank="1" showInputMessage="1" showErrorMessage="1" sqref="E2:E20" xr:uid="{00000000-0002-0000-0600-000003000000}">
      <formula1>Issuer_Number_Type_2</formula1>
    </dataValidation>
    <dataValidation type="list" allowBlank="1" showInputMessage="1" showErrorMessage="1" sqref="H2:H20" xr:uid="{00000000-0002-0000-0600-000004000000}">
      <formula1>Security_ID_Number_Type</formula1>
    </dataValidation>
    <dataValidation type="list" allowBlank="1" showInputMessage="1" showErrorMessage="1" sqref="N2:N21" xr:uid="{00000000-0002-0000-0600-000005000000}">
      <formula1>Industry_Sector</formula1>
    </dataValidation>
    <dataValidation type="list" allowBlank="1" showInputMessage="1" showErrorMessage="1" sqref="L2:L20" xr:uid="{00000000-0002-0000-0600-000006000000}">
      <formula1>Tradeable_Status</formula1>
    </dataValidation>
    <dataValidation type="list" allowBlank="1" showInputMessage="1" showErrorMessage="1" sqref="M2:M20" xr:uid="{00000000-0002-0000-0600-000007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8000000}">
          <x14:formula1>
            <xm:f>'אפשרויות בחירה'!$C$884:$C$889</xm:f>
          </x14:formula1>
          <xm:sqref>I2:I19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9"/>
  <dimension ref="A1:X227"/>
  <sheetViews>
    <sheetView rightToLeft="1" zoomScale="70" zoomScaleNormal="70" workbookViewId="0">
      <selection activeCell="F11" sqref="F11"/>
    </sheetView>
  </sheetViews>
  <sheetFormatPr defaultColWidth="0" defaultRowHeight="14.25" zeroHeight="1"/>
  <cols>
    <col min="1" max="23" width="11.625" customWidth="1"/>
    <col min="24" max="24" width="11.625" hidden="1" customWidth="1"/>
  </cols>
  <sheetData>
    <row r="1" spans="1:23" ht="66.75" customHeight="1">
      <c r="A1" s="12" t="s">
        <v>0</v>
      </c>
      <c r="B1" s="12" t="s">
        <v>1</v>
      </c>
      <c r="C1" s="12" t="s">
        <v>2</v>
      </c>
      <c r="D1" s="12" t="s">
        <v>167</v>
      </c>
      <c r="E1" s="12" t="s">
        <v>168</v>
      </c>
      <c r="F1" s="12" t="s">
        <v>3</v>
      </c>
      <c r="G1" s="12" t="s">
        <v>4</v>
      </c>
      <c r="H1" s="12" t="s">
        <v>169</v>
      </c>
      <c r="I1" s="12" t="s">
        <v>5</v>
      </c>
      <c r="J1" s="12" t="s">
        <v>6</v>
      </c>
      <c r="K1" s="12" t="s">
        <v>7</v>
      </c>
      <c r="L1" s="12" t="s">
        <v>8</v>
      </c>
      <c r="M1" s="12" t="s">
        <v>602</v>
      </c>
      <c r="N1" s="12" t="s">
        <v>146</v>
      </c>
      <c r="O1" s="12" t="s">
        <v>11</v>
      </c>
      <c r="P1" s="12" t="s">
        <v>17</v>
      </c>
      <c r="Q1" s="131" t="s">
        <v>18</v>
      </c>
      <c r="R1" s="142" t="s">
        <v>19</v>
      </c>
      <c r="S1" s="12" t="s">
        <v>16</v>
      </c>
      <c r="T1" s="12" t="s">
        <v>20</v>
      </c>
      <c r="U1" s="137" t="s">
        <v>23</v>
      </c>
      <c r="V1" s="137" t="s">
        <v>24</v>
      </c>
      <c r="W1" s="137" t="s">
        <v>25</v>
      </c>
    </row>
    <row r="2" spans="1:23">
      <c r="A2" s="13">
        <v>14076</v>
      </c>
      <c r="B2" s="13">
        <v>14077</v>
      </c>
      <c r="C2" s="13" t="s">
        <v>1376</v>
      </c>
      <c r="D2" s="13" t="s">
        <v>1377</v>
      </c>
      <c r="E2" s="11" t="s">
        <v>1351</v>
      </c>
      <c r="F2" s="13" t="s">
        <v>1399</v>
      </c>
      <c r="G2" s="13" t="s">
        <v>1400</v>
      </c>
      <c r="H2" s="11" t="s">
        <v>209</v>
      </c>
      <c r="I2" s="13" t="s">
        <v>1012</v>
      </c>
      <c r="J2" s="11" t="s">
        <v>30</v>
      </c>
      <c r="K2" s="11" t="s">
        <v>30</v>
      </c>
      <c r="L2" s="11" t="s">
        <v>31</v>
      </c>
      <c r="M2" s="13" t="s">
        <v>1380</v>
      </c>
      <c r="N2" s="13" t="s">
        <v>160</v>
      </c>
      <c r="O2" s="11" t="s">
        <v>34</v>
      </c>
      <c r="P2" s="126">
        <v>16915</v>
      </c>
      <c r="Q2" s="147">
        <v>1</v>
      </c>
      <c r="R2" s="148">
        <v>4659</v>
      </c>
      <c r="S2" s="113"/>
      <c r="T2" s="125">
        <v>788.07</v>
      </c>
      <c r="U2" s="146">
        <v>1.9900000000000001E-4</v>
      </c>
      <c r="V2" s="146">
        <v>5.4743789058429498E-2</v>
      </c>
      <c r="W2" s="146">
        <v>4.1202526511922202E-2</v>
      </c>
    </row>
    <row r="3" spans="1:23">
      <c r="A3" s="13">
        <v>14076</v>
      </c>
      <c r="B3" s="13">
        <v>14077</v>
      </c>
      <c r="C3" s="13" t="s">
        <v>1376</v>
      </c>
      <c r="D3" s="13" t="s">
        <v>1377</v>
      </c>
      <c r="E3" s="11" t="s">
        <v>1351</v>
      </c>
      <c r="F3" s="13" t="s">
        <v>1401</v>
      </c>
      <c r="G3" s="13" t="s">
        <v>1402</v>
      </c>
      <c r="H3" s="11" t="s">
        <v>209</v>
      </c>
      <c r="I3" s="13" t="s">
        <v>1014</v>
      </c>
      <c r="J3" s="11" t="s">
        <v>30</v>
      </c>
      <c r="K3" s="11" t="s">
        <v>30</v>
      </c>
      <c r="L3" s="11" t="s">
        <v>31</v>
      </c>
      <c r="M3" s="13" t="s">
        <v>1403</v>
      </c>
      <c r="N3" s="13" t="s">
        <v>160</v>
      </c>
      <c r="O3" s="11" t="s">
        <v>34</v>
      </c>
      <c r="P3" s="126">
        <v>78451</v>
      </c>
      <c r="Q3" s="147">
        <v>1</v>
      </c>
      <c r="R3" s="148">
        <v>488.99</v>
      </c>
      <c r="S3" s="113"/>
      <c r="T3" s="125">
        <v>383.61799999999999</v>
      </c>
      <c r="U3" s="146">
        <v>3.7399999999999998E-4</v>
      </c>
      <c r="V3" s="146">
        <v>2.66482443873702E-2</v>
      </c>
      <c r="W3" s="146">
        <v>2.0056613083447802E-2</v>
      </c>
    </row>
    <row r="4" spans="1:23">
      <c r="A4" s="13">
        <v>14076</v>
      </c>
      <c r="B4" s="13">
        <v>14077</v>
      </c>
      <c r="C4" s="13" t="s">
        <v>1376</v>
      </c>
      <c r="D4" s="13" t="s">
        <v>1377</v>
      </c>
      <c r="E4" s="11" t="s">
        <v>1351</v>
      </c>
      <c r="F4" s="13" t="s">
        <v>1404</v>
      </c>
      <c r="G4" s="13" t="s">
        <v>1405</v>
      </c>
      <c r="H4" s="11" t="s">
        <v>209</v>
      </c>
      <c r="I4" s="13" t="s">
        <v>1013</v>
      </c>
      <c r="J4" s="11" t="s">
        <v>30</v>
      </c>
      <c r="K4" s="11" t="s">
        <v>86</v>
      </c>
      <c r="L4" s="11" t="s">
        <v>31</v>
      </c>
      <c r="M4" s="13" t="s">
        <v>1406</v>
      </c>
      <c r="N4" s="13" t="s">
        <v>160</v>
      </c>
      <c r="O4" s="11" t="s">
        <v>34</v>
      </c>
      <c r="P4" s="126">
        <v>10157</v>
      </c>
      <c r="Q4" s="147">
        <v>1</v>
      </c>
      <c r="R4" s="148">
        <v>7820</v>
      </c>
      <c r="S4" s="113"/>
      <c r="T4" s="125">
        <v>794.27700000000004</v>
      </c>
      <c r="U4" s="146">
        <v>4.17E-4</v>
      </c>
      <c r="V4" s="146">
        <v>5.51750005909728E-2</v>
      </c>
      <c r="W4" s="146">
        <v>4.1527074828862698E-2</v>
      </c>
    </row>
    <row r="5" spans="1:23">
      <c r="A5" s="13">
        <v>14076</v>
      </c>
      <c r="B5" s="13">
        <v>14077</v>
      </c>
      <c r="C5" s="13" t="s">
        <v>1407</v>
      </c>
      <c r="D5" s="13" t="s">
        <v>1408</v>
      </c>
      <c r="E5" s="11" t="s">
        <v>1351</v>
      </c>
      <c r="F5" s="13" t="s">
        <v>1409</v>
      </c>
      <c r="G5" s="13" t="s">
        <v>1410</v>
      </c>
      <c r="H5" s="11" t="s">
        <v>209</v>
      </c>
      <c r="I5" s="13" t="s">
        <v>1012</v>
      </c>
      <c r="J5" s="11" t="s">
        <v>30</v>
      </c>
      <c r="K5" s="11" t="s">
        <v>30</v>
      </c>
      <c r="L5" s="11" t="s">
        <v>31</v>
      </c>
      <c r="M5" s="13" t="s">
        <v>1380</v>
      </c>
      <c r="N5" s="13" t="s">
        <v>160</v>
      </c>
      <c r="O5" s="11" t="s">
        <v>34</v>
      </c>
      <c r="P5" s="126">
        <v>13556</v>
      </c>
      <c r="Q5" s="147">
        <v>1</v>
      </c>
      <c r="R5" s="148">
        <v>3032</v>
      </c>
      <c r="S5" s="113"/>
      <c r="T5" s="125">
        <v>411.01799999999997</v>
      </c>
      <c r="U5" s="146">
        <v>5.3999999999999998E-5</v>
      </c>
      <c r="V5" s="146">
        <v>2.85516294167509E-2</v>
      </c>
      <c r="W5" s="146">
        <v>2.1489182393762601E-2</v>
      </c>
    </row>
    <row r="6" spans="1:23">
      <c r="A6" s="13">
        <v>14076</v>
      </c>
      <c r="B6" s="13">
        <v>14077</v>
      </c>
      <c r="C6" s="13" t="s">
        <v>1407</v>
      </c>
      <c r="D6" s="13" t="s">
        <v>1408</v>
      </c>
      <c r="E6" s="11" t="s">
        <v>1351</v>
      </c>
      <c r="F6" s="13" t="s">
        <v>1411</v>
      </c>
      <c r="G6" s="13" t="s">
        <v>1412</v>
      </c>
      <c r="H6" s="11" t="s">
        <v>209</v>
      </c>
      <c r="I6" s="13" t="s">
        <v>1012</v>
      </c>
      <c r="J6" s="11" t="s">
        <v>30</v>
      </c>
      <c r="K6" s="11" t="s">
        <v>30</v>
      </c>
      <c r="L6" s="11" t="s">
        <v>31</v>
      </c>
      <c r="M6" s="13" t="s">
        <v>1380</v>
      </c>
      <c r="N6" s="13" t="s">
        <v>160</v>
      </c>
      <c r="O6" s="11" t="s">
        <v>34</v>
      </c>
      <c r="P6" s="126">
        <v>33374</v>
      </c>
      <c r="Q6" s="147">
        <v>1</v>
      </c>
      <c r="R6" s="148">
        <v>1260</v>
      </c>
      <c r="S6" s="113"/>
      <c r="T6" s="125">
        <v>420.512</v>
      </c>
      <c r="U6" s="146">
        <v>6.1799999999999995E-4</v>
      </c>
      <c r="V6" s="146">
        <v>2.9211169697779898E-2</v>
      </c>
      <c r="W6" s="146">
        <v>2.1985580731951601E-2</v>
      </c>
    </row>
    <row r="7" spans="1:23">
      <c r="A7" s="13">
        <v>14076</v>
      </c>
      <c r="B7" s="13">
        <v>14077</v>
      </c>
      <c r="C7" s="13" t="s">
        <v>1407</v>
      </c>
      <c r="D7" s="13" t="s">
        <v>1408</v>
      </c>
      <c r="E7" s="11" t="s">
        <v>1351</v>
      </c>
      <c r="F7" s="13" t="s">
        <v>1413</v>
      </c>
      <c r="G7" s="13" t="s">
        <v>1414</v>
      </c>
      <c r="H7" s="11" t="s">
        <v>209</v>
      </c>
      <c r="I7" s="13" t="s">
        <v>1014</v>
      </c>
      <c r="J7" s="11" t="s">
        <v>30</v>
      </c>
      <c r="K7" s="11" t="s">
        <v>30</v>
      </c>
      <c r="L7" s="11" t="s">
        <v>31</v>
      </c>
      <c r="M7" s="13" t="s">
        <v>1403</v>
      </c>
      <c r="N7" s="13" t="s">
        <v>160</v>
      </c>
      <c r="O7" s="11" t="s">
        <v>34</v>
      </c>
      <c r="P7" s="126">
        <v>92361</v>
      </c>
      <c r="Q7" s="147">
        <v>1</v>
      </c>
      <c r="R7" s="148">
        <v>415.44</v>
      </c>
      <c r="S7" s="113"/>
      <c r="T7" s="125">
        <v>383.70499999999998</v>
      </c>
      <c r="U7" s="146">
        <v>3.3799999999999998E-4</v>
      </c>
      <c r="V7" s="146">
        <v>2.6654287447910398E-2</v>
      </c>
      <c r="W7" s="146">
        <v>2.0061161350317901E-2</v>
      </c>
    </row>
    <row r="8" spans="1:23">
      <c r="A8" s="13">
        <v>14076</v>
      </c>
      <c r="B8" s="13">
        <v>14077</v>
      </c>
      <c r="C8" s="13" t="s">
        <v>1407</v>
      </c>
      <c r="D8" s="13" t="s">
        <v>1408</v>
      </c>
      <c r="E8" s="11" t="s">
        <v>1351</v>
      </c>
      <c r="F8" s="13" t="s">
        <v>1415</v>
      </c>
      <c r="G8" s="13" t="s">
        <v>1416</v>
      </c>
      <c r="H8" s="11" t="s">
        <v>209</v>
      </c>
      <c r="I8" s="13" t="s">
        <v>1012</v>
      </c>
      <c r="J8" s="11" t="s">
        <v>30</v>
      </c>
      <c r="K8" s="11" t="s">
        <v>30</v>
      </c>
      <c r="L8" s="11" t="s">
        <v>31</v>
      </c>
      <c r="M8" s="13" t="s">
        <v>1380</v>
      </c>
      <c r="N8" s="13" t="s">
        <v>160</v>
      </c>
      <c r="O8" s="11" t="s">
        <v>34</v>
      </c>
      <c r="P8" s="126">
        <v>26553</v>
      </c>
      <c r="Q8" s="147">
        <v>1</v>
      </c>
      <c r="R8" s="148">
        <v>2968</v>
      </c>
      <c r="S8" s="113"/>
      <c r="T8" s="125">
        <v>788.09299999999996</v>
      </c>
      <c r="U8" s="146">
        <v>1.2899999999999999E-4</v>
      </c>
      <c r="V8" s="146">
        <v>5.47453999669908E-2</v>
      </c>
      <c r="W8" s="146">
        <v>4.12037389508828E-2</v>
      </c>
    </row>
    <row r="9" spans="1:23">
      <c r="A9" s="13">
        <v>14076</v>
      </c>
      <c r="B9" s="13">
        <v>14077</v>
      </c>
      <c r="C9" s="13" t="s">
        <v>1417</v>
      </c>
      <c r="D9" s="13" t="s">
        <v>1418</v>
      </c>
      <c r="E9" s="11" t="s">
        <v>1351</v>
      </c>
      <c r="F9" s="13" t="s">
        <v>1419</v>
      </c>
      <c r="G9" s="13" t="s">
        <v>1420</v>
      </c>
      <c r="H9" s="11" t="s">
        <v>209</v>
      </c>
      <c r="I9" s="13" t="s">
        <v>1012</v>
      </c>
      <c r="J9" s="11" t="s">
        <v>30</v>
      </c>
      <c r="K9" s="11" t="s">
        <v>30</v>
      </c>
      <c r="L9" s="11" t="s">
        <v>31</v>
      </c>
      <c r="M9" s="13" t="s">
        <v>1380</v>
      </c>
      <c r="N9" s="13" t="s">
        <v>160</v>
      </c>
      <c r="O9" s="11" t="s">
        <v>34</v>
      </c>
      <c r="P9" s="126">
        <v>9622</v>
      </c>
      <c r="Q9" s="147">
        <v>1</v>
      </c>
      <c r="R9" s="148">
        <v>8213</v>
      </c>
      <c r="S9" s="113"/>
      <c r="T9" s="125">
        <v>790.255</v>
      </c>
      <c r="U9" s="146">
        <v>7.6999999999999996E-4</v>
      </c>
      <c r="V9" s="146">
        <v>5.48955722113195E-2</v>
      </c>
      <c r="W9" s="146">
        <v>4.1316765030822197E-2</v>
      </c>
    </row>
    <row r="10" spans="1:23">
      <c r="A10" s="13">
        <v>14076</v>
      </c>
      <c r="B10" s="13">
        <v>14077</v>
      </c>
      <c r="C10" s="13" t="s">
        <v>1417</v>
      </c>
      <c r="D10" s="13" t="s">
        <v>1418</v>
      </c>
      <c r="E10" s="11" t="s">
        <v>1351</v>
      </c>
      <c r="F10" s="13" t="s">
        <v>1421</v>
      </c>
      <c r="G10" s="13" t="s">
        <v>1422</v>
      </c>
      <c r="H10" s="11" t="s">
        <v>209</v>
      </c>
      <c r="I10" s="13" t="s">
        <v>1013</v>
      </c>
      <c r="J10" s="11" t="s">
        <v>30</v>
      </c>
      <c r="K10" s="11" t="s">
        <v>86</v>
      </c>
      <c r="L10" s="11" t="s">
        <v>31</v>
      </c>
      <c r="M10" s="13" t="s">
        <v>1406</v>
      </c>
      <c r="N10" s="13" t="s">
        <v>160</v>
      </c>
      <c r="O10" s="11" t="s">
        <v>34</v>
      </c>
      <c r="P10" s="126">
        <v>10411</v>
      </c>
      <c r="Q10" s="147">
        <v>1</v>
      </c>
      <c r="R10" s="148">
        <v>9600</v>
      </c>
      <c r="S10" s="113"/>
      <c r="T10" s="125">
        <v>999.45600000000002</v>
      </c>
      <c r="U10" s="146">
        <v>7.7099999999999998E-4</v>
      </c>
      <c r="V10" s="146">
        <v>6.9427866625251203E-2</v>
      </c>
      <c r="W10" s="146">
        <v>5.2254393868132E-2</v>
      </c>
    </row>
    <row r="11" spans="1:23">
      <c r="A11" s="13">
        <v>14076</v>
      </c>
      <c r="B11" s="13">
        <v>14077</v>
      </c>
      <c r="C11" s="13" t="s">
        <v>1417</v>
      </c>
      <c r="D11" s="13" t="s">
        <v>1418</v>
      </c>
      <c r="E11" s="11" t="s">
        <v>1351</v>
      </c>
      <c r="F11" s="13" t="s">
        <v>1423</v>
      </c>
      <c r="G11" s="13" t="s">
        <v>1424</v>
      </c>
      <c r="H11" s="11" t="s">
        <v>209</v>
      </c>
      <c r="I11" s="13" t="s">
        <v>1012</v>
      </c>
      <c r="J11" s="11" t="s">
        <v>30</v>
      </c>
      <c r="K11" s="11" t="s">
        <v>30</v>
      </c>
      <c r="L11" s="11" t="s">
        <v>31</v>
      </c>
      <c r="M11" s="13" t="s">
        <v>1380</v>
      </c>
      <c r="N11" s="13" t="s">
        <v>160</v>
      </c>
      <c r="O11" s="11" t="s">
        <v>34</v>
      </c>
      <c r="P11" s="126">
        <v>3754</v>
      </c>
      <c r="Q11" s="147">
        <v>1</v>
      </c>
      <c r="R11" s="148">
        <v>10460</v>
      </c>
      <c r="S11" s="113"/>
      <c r="T11" s="125">
        <v>392.66800000000001</v>
      </c>
      <c r="U11" s="146">
        <v>9.8999999999999994E-5</v>
      </c>
      <c r="V11" s="146">
        <v>2.72769679737285E-2</v>
      </c>
      <c r="W11" s="146">
        <v>2.0529817453864101E-2</v>
      </c>
    </row>
    <row r="12" spans="1:23">
      <c r="A12" s="13">
        <v>14076</v>
      </c>
      <c r="B12" s="13">
        <v>14077</v>
      </c>
      <c r="C12" s="13" t="s">
        <v>1425</v>
      </c>
      <c r="D12" s="13" t="s">
        <v>1426</v>
      </c>
      <c r="E12" s="11" t="s">
        <v>1351</v>
      </c>
      <c r="F12" s="13" t="s">
        <v>1427</v>
      </c>
      <c r="G12" s="13" t="s">
        <v>1428</v>
      </c>
      <c r="H12" s="11" t="s">
        <v>209</v>
      </c>
      <c r="I12" s="13" t="s">
        <v>1014</v>
      </c>
      <c r="J12" s="11" t="s">
        <v>30</v>
      </c>
      <c r="K12" s="11" t="s">
        <v>30</v>
      </c>
      <c r="L12" s="11" t="s">
        <v>31</v>
      </c>
      <c r="M12" s="13" t="s">
        <v>1403</v>
      </c>
      <c r="N12" s="13" t="s">
        <v>160</v>
      </c>
      <c r="O12" s="11" t="s">
        <v>34</v>
      </c>
      <c r="P12" s="126">
        <v>30141</v>
      </c>
      <c r="Q12" s="147">
        <v>1</v>
      </c>
      <c r="R12" s="148">
        <v>3822.55</v>
      </c>
      <c r="S12" s="113"/>
      <c r="T12" s="125">
        <v>1152.155</v>
      </c>
      <c r="U12" s="146">
        <v>4.1899999999999999E-4</v>
      </c>
      <c r="V12" s="146">
        <v>8.0035188616224801E-2</v>
      </c>
      <c r="W12" s="146">
        <v>6.0237919909544801E-2</v>
      </c>
    </row>
    <row r="13" spans="1:23">
      <c r="A13" s="13">
        <v>14076</v>
      </c>
      <c r="B13" s="13">
        <v>14077</v>
      </c>
      <c r="C13" s="13" t="s">
        <v>1425</v>
      </c>
      <c r="D13" s="13" t="s">
        <v>1426</v>
      </c>
      <c r="E13" s="11" t="s">
        <v>1351</v>
      </c>
      <c r="F13" s="13" t="s">
        <v>1429</v>
      </c>
      <c r="G13" s="13" t="s">
        <v>1430</v>
      </c>
      <c r="H13" s="11" t="s">
        <v>209</v>
      </c>
      <c r="I13" s="13" t="s">
        <v>1014</v>
      </c>
      <c r="J13" s="11" t="s">
        <v>30</v>
      </c>
      <c r="K13" s="11" t="s">
        <v>30</v>
      </c>
      <c r="L13" s="11" t="s">
        <v>31</v>
      </c>
      <c r="M13" s="13" t="s">
        <v>1403</v>
      </c>
      <c r="N13" s="13" t="s">
        <v>160</v>
      </c>
      <c r="O13" s="11" t="s">
        <v>34</v>
      </c>
      <c r="P13" s="126">
        <v>27771</v>
      </c>
      <c r="Q13" s="147">
        <v>1</v>
      </c>
      <c r="R13" s="148">
        <v>4144.0200000000004</v>
      </c>
      <c r="S13" s="113"/>
      <c r="T13" s="125">
        <v>1150.836</v>
      </c>
      <c r="U13" s="146">
        <v>5.1400000000000003E-4</v>
      </c>
      <c r="V13" s="146">
        <v>7.9943563325731895E-2</v>
      </c>
      <c r="W13" s="146">
        <v>6.01689587812482E-2</v>
      </c>
    </row>
    <row r="14" spans="1:23">
      <c r="A14" s="13">
        <v>14076</v>
      </c>
      <c r="B14" s="13">
        <v>14077</v>
      </c>
      <c r="C14" s="13" t="s">
        <v>1431</v>
      </c>
      <c r="D14" s="13" t="s">
        <v>1432</v>
      </c>
      <c r="E14" s="11" t="s">
        <v>1351</v>
      </c>
      <c r="F14" s="13" t="s">
        <v>1433</v>
      </c>
      <c r="G14" s="13" t="s">
        <v>1434</v>
      </c>
      <c r="H14" s="11" t="s">
        <v>209</v>
      </c>
      <c r="I14" s="13" t="s">
        <v>1014</v>
      </c>
      <c r="J14" s="11" t="s">
        <v>30</v>
      </c>
      <c r="K14" s="11" t="s">
        <v>30</v>
      </c>
      <c r="L14" s="11" t="s">
        <v>31</v>
      </c>
      <c r="M14" s="13" t="s">
        <v>1403</v>
      </c>
      <c r="N14" s="13" t="s">
        <v>160</v>
      </c>
      <c r="O14" s="11" t="s">
        <v>34</v>
      </c>
      <c r="P14" s="126">
        <v>249882</v>
      </c>
      <c r="Q14" s="147">
        <v>1</v>
      </c>
      <c r="R14" s="148">
        <v>383.77</v>
      </c>
      <c r="S14" s="113"/>
      <c r="T14" s="125">
        <v>958.97199999999998</v>
      </c>
      <c r="U14" s="146">
        <v>1.84E-4</v>
      </c>
      <c r="V14" s="146">
        <v>6.6615629527192202E-2</v>
      </c>
      <c r="W14" s="146">
        <v>5.0137783462028802E-2</v>
      </c>
    </row>
    <row r="15" spans="1:23">
      <c r="A15" s="13">
        <v>14076</v>
      </c>
      <c r="B15" s="13">
        <v>14077</v>
      </c>
      <c r="C15" s="13" t="s">
        <v>1431</v>
      </c>
      <c r="D15" s="13" t="s">
        <v>1432</v>
      </c>
      <c r="E15" s="11" t="s">
        <v>1351</v>
      </c>
      <c r="F15" s="13" t="s">
        <v>1435</v>
      </c>
      <c r="G15" s="13" t="s">
        <v>1436</v>
      </c>
      <c r="H15" s="11" t="s">
        <v>209</v>
      </c>
      <c r="I15" s="13" t="s">
        <v>1014</v>
      </c>
      <c r="J15" s="11" t="s">
        <v>30</v>
      </c>
      <c r="K15" s="11" t="s">
        <v>30</v>
      </c>
      <c r="L15" s="11" t="s">
        <v>31</v>
      </c>
      <c r="M15" s="13" t="s">
        <v>1403</v>
      </c>
      <c r="N15" s="13" t="s">
        <v>160</v>
      </c>
      <c r="O15" s="11" t="s">
        <v>34</v>
      </c>
      <c r="P15" s="126">
        <v>276241</v>
      </c>
      <c r="Q15" s="147">
        <v>1</v>
      </c>
      <c r="R15" s="148">
        <v>416.89</v>
      </c>
      <c r="S15" s="113"/>
      <c r="T15" s="125">
        <v>1151.6210000000001</v>
      </c>
      <c r="U15" s="146">
        <v>3.7599999999999998E-4</v>
      </c>
      <c r="V15" s="146">
        <v>7.9998115448625701E-2</v>
      </c>
      <c r="W15" s="146">
        <v>6.0210017051574E-2</v>
      </c>
    </row>
    <row r="16" spans="1:23">
      <c r="A16" s="13">
        <v>14076</v>
      </c>
      <c r="B16" s="13">
        <v>14077</v>
      </c>
      <c r="C16" s="13" t="s">
        <v>1437</v>
      </c>
      <c r="D16" s="13" t="s">
        <v>1438</v>
      </c>
      <c r="E16" s="11" t="s">
        <v>206</v>
      </c>
      <c r="F16" s="13" t="s">
        <v>1439</v>
      </c>
      <c r="G16" s="13" t="s">
        <v>1440</v>
      </c>
      <c r="H16" s="11" t="s">
        <v>209</v>
      </c>
      <c r="I16" s="13" t="s">
        <v>1013</v>
      </c>
      <c r="J16" s="11" t="s">
        <v>85</v>
      </c>
      <c r="K16" s="11" t="s">
        <v>86</v>
      </c>
      <c r="L16" s="11" t="s">
        <v>378</v>
      </c>
      <c r="M16" s="13" t="s">
        <v>768</v>
      </c>
      <c r="N16" s="13" t="s">
        <v>160</v>
      </c>
      <c r="O16" s="11" t="s">
        <v>90</v>
      </c>
      <c r="P16" s="126">
        <v>906</v>
      </c>
      <c r="Q16" s="147">
        <v>3.3719999999999999</v>
      </c>
      <c r="R16" s="148">
        <v>25323</v>
      </c>
      <c r="S16" s="113"/>
      <c r="T16" s="125">
        <v>773.62599999999998</v>
      </c>
      <c r="U16" s="146">
        <v>3.0000000000000001E-6</v>
      </c>
      <c r="V16" s="146">
        <v>5.3740420410841101E-2</v>
      </c>
      <c r="W16" s="146">
        <v>4.0447348180013699E-2</v>
      </c>
    </row>
    <row r="17" spans="1:23">
      <c r="A17" s="13">
        <v>14076</v>
      </c>
      <c r="B17" s="13">
        <v>14077</v>
      </c>
      <c r="C17" s="13" t="s">
        <v>1441</v>
      </c>
      <c r="D17" s="13" t="s">
        <v>1442</v>
      </c>
      <c r="E17" s="11" t="s">
        <v>206</v>
      </c>
      <c r="F17" s="13" t="s">
        <v>1443</v>
      </c>
      <c r="G17" s="13" t="s">
        <v>1444</v>
      </c>
      <c r="H17" s="11" t="s">
        <v>209</v>
      </c>
      <c r="I17" s="13" t="s">
        <v>1013</v>
      </c>
      <c r="J17" s="11" t="s">
        <v>85</v>
      </c>
      <c r="K17" s="11" t="s">
        <v>331</v>
      </c>
      <c r="L17" s="11" t="s">
        <v>402</v>
      </c>
      <c r="M17" s="13" t="s">
        <v>768</v>
      </c>
      <c r="N17" s="13" t="s">
        <v>160</v>
      </c>
      <c r="O17" s="11" t="s">
        <v>1200</v>
      </c>
      <c r="P17" s="126">
        <v>2672</v>
      </c>
      <c r="Q17" s="147">
        <v>3.9552</v>
      </c>
      <c r="R17" s="148">
        <v>5409</v>
      </c>
      <c r="S17" s="113"/>
      <c r="T17" s="125">
        <v>571.63900000000001</v>
      </c>
      <c r="U17" s="146">
        <v>1.9000000000000001E-5</v>
      </c>
      <c r="V17" s="146">
        <v>3.9709281160234401E-2</v>
      </c>
      <c r="W17" s="146">
        <v>2.9886910239765301E-2</v>
      </c>
    </row>
    <row r="18" spans="1:23">
      <c r="A18" s="13">
        <v>14076</v>
      </c>
      <c r="B18" s="13">
        <v>14077</v>
      </c>
      <c r="C18" s="13" t="s">
        <v>1441</v>
      </c>
      <c r="D18" s="13" t="s">
        <v>1442</v>
      </c>
      <c r="E18" s="11" t="s">
        <v>206</v>
      </c>
      <c r="F18" s="13" t="s">
        <v>1445</v>
      </c>
      <c r="G18" s="13" t="s">
        <v>1446</v>
      </c>
      <c r="H18" s="11" t="s">
        <v>209</v>
      </c>
      <c r="I18" s="13" t="s">
        <v>1013</v>
      </c>
      <c r="J18" s="11" t="s">
        <v>85</v>
      </c>
      <c r="K18" s="11" t="s">
        <v>86</v>
      </c>
      <c r="L18" s="11" t="s">
        <v>378</v>
      </c>
      <c r="M18" s="13" t="s">
        <v>768</v>
      </c>
      <c r="N18" s="13" t="s">
        <v>160</v>
      </c>
      <c r="O18" s="11" t="s">
        <v>90</v>
      </c>
      <c r="P18" s="126">
        <v>274</v>
      </c>
      <c r="Q18" s="147">
        <v>3.3719999999999999</v>
      </c>
      <c r="R18" s="148">
        <v>62090</v>
      </c>
      <c r="S18" s="113"/>
      <c r="T18" s="125">
        <v>573.66700000000003</v>
      </c>
      <c r="U18" s="146">
        <v>0</v>
      </c>
      <c r="V18" s="146">
        <v>3.9850147167326599E-2</v>
      </c>
      <c r="W18" s="146">
        <v>2.99929320459222E-2</v>
      </c>
    </row>
    <row r="19" spans="1:23">
      <c r="A19" s="13">
        <v>14076</v>
      </c>
      <c r="B19" s="13">
        <v>14077</v>
      </c>
      <c r="C19" s="13" t="s">
        <v>1437</v>
      </c>
      <c r="D19" s="13" t="s">
        <v>1438</v>
      </c>
      <c r="E19" s="11" t="s">
        <v>206</v>
      </c>
      <c r="F19" s="13" t="s">
        <v>1447</v>
      </c>
      <c r="G19" s="13" t="s">
        <v>1448</v>
      </c>
      <c r="H19" s="11" t="s">
        <v>209</v>
      </c>
      <c r="I19" s="13" t="s">
        <v>1013</v>
      </c>
      <c r="J19" s="11" t="s">
        <v>85</v>
      </c>
      <c r="K19" s="11" t="s">
        <v>86</v>
      </c>
      <c r="L19" s="11" t="s">
        <v>378</v>
      </c>
      <c r="M19" s="13" t="s">
        <v>768</v>
      </c>
      <c r="N19" s="13" t="s">
        <v>160</v>
      </c>
      <c r="O19" s="11" t="s">
        <v>90</v>
      </c>
      <c r="P19" s="126">
        <v>3112</v>
      </c>
      <c r="Q19" s="147">
        <v>3.3719999999999999</v>
      </c>
      <c r="R19" s="148">
        <v>7269</v>
      </c>
      <c r="S19" s="113"/>
      <c r="T19" s="125">
        <v>762.78399999999999</v>
      </c>
      <c r="U19" s="146">
        <v>1.0000000000000001E-5</v>
      </c>
      <c r="V19" s="146">
        <v>5.2987321200266897E-2</v>
      </c>
      <c r="W19" s="146">
        <v>3.9880533373740902E-2</v>
      </c>
    </row>
    <row r="20" spans="1:23">
      <c r="A20" s="2">
        <v>14076</v>
      </c>
      <c r="B20" s="2">
        <v>14077</v>
      </c>
      <c r="C20" s="2" t="s">
        <v>1437</v>
      </c>
      <c r="D20" s="2" t="s">
        <v>1438</v>
      </c>
      <c r="E20" s="11" t="s">
        <v>206</v>
      </c>
      <c r="F20" s="2" t="s">
        <v>1449</v>
      </c>
      <c r="G20" s="2" t="s">
        <v>1450</v>
      </c>
      <c r="H20" s="11" t="s">
        <v>209</v>
      </c>
      <c r="I20" s="13" t="s">
        <v>1013</v>
      </c>
      <c r="J20" s="11" t="s">
        <v>85</v>
      </c>
      <c r="K20" s="11" t="s">
        <v>86</v>
      </c>
      <c r="L20" s="11" t="s">
        <v>414</v>
      </c>
      <c r="M20" s="13" t="s">
        <v>768</v>
      </c>
      <c r="N20" s="13" t="s">
        <v>160</v>
      </c>
      <c r="O20" s="2" t="s">
        <v>90</v>
      </c>
      <c r="P20" s="126">
        <v>1848</v>
      </c>
      <c r="Q20" s="132">
        <v>3.3719999999999999</v>
      </c>
      <c r="R20" s="149">
        <v>6140.25</v>
      </c>
      <c r="S20" s="114"/>
      <c r="T20" s="123">
        <v>382.62700000000001</v>
      </c>
      <c r="U20" s="138">
        <v>6.0000000000000002E-6</v>
      </c>
      <c r="V20" s="138">
        <v>2.6579433941220199E-2</v>
      </c>
      <c r="W20" s="138">
        <v>2.0004823386743201E-2</v>
      </c>
    </row>
    <row r="21" spans="1:23">
      <c r="A21" s="2">
        <v>14076</v>
      </c>
      <c r="B21" s="2">
        <v>14077</v>
      </c>
      <c r="C21" s="2" t="s">
        <v>1451</v>
      </c>
      <c r="D21" s="2" t="s">
        <v>1452</v>
      </c>
      <c r="E21" s="3" t="s">
        <v>206</v>
      </c>
      <c r="F21" s="2" t="s">
        <v>1453</v>
      </c>
      <c r="G21" s="2" t="s">
        <v>1454</v>
      </c>
      <c r="H21" s="3" t="s">
        <v>209</v>
      </c>
      <c r="I21" s="2" t="s">
        <v>1013</v>
      </c>
      <c r="J21" s="2" t="s">
        <v>85</v>
      </c>
      <c r="K21" s="2" t="s">
        <v>86</v>
      </c>
      <c r="L21" s="3" t="s">
        <v>378</v>
      </c>
      <c r="M21" s="2" t="s">
        <v>768</v>
      </c>
      <c r="N21" s="2" t="s">
        <v>160</v>
      </c>
      <c r="O21" s="2" t="s">
        <v>90</v>
      </c>
      <c r="P21" s="124">
        <v>399</v>
      </c>
      <c r="Q21" s="132">
        <v>3.3719999999999999</v>
      </c>
      <c r="R21" s="149">
        <v>56803</v>
      </c>
      <c r="S21" s="127">
        <v>0.52200000000000002</v>
      </c>
      <c r="T21" s="123">
        <v>766.00400000000002</v>
      </c>
      <c r="U21" s="138">
        <v>0</v>
      </c>
      <c r="V21" s="138">
        <v>5.3210971825832599E-2</v>
      </c>
      <c r="W21" s="138">
        <v>4.00488624387869E-2</v>
      </c>
    </row>
    <row r="22" spans="1:23">
      <c r="A22" s="2">
        <v>14076</v>
      </c>
      <c r="B22" s="2">
        <v>14078</v>
      </c>
      <c r="C22" s="2" t="s">
        <v>1376</v>
      </c>
      <c r="D22" s="2" t="s">
        <v>1377</v>
      </c>
      <c r="E22" s="3" t="s">
        <v>1351</v>
      </c>
      <c r="F22" s="2" t="s">
        <v>1399</v>
      </c>
      <c r="G22" s="2" t="s">
        <v>1400</v>
      </c>
      <c r="H22" s="2" t="s">
        <v>209</v>
      </c>
      <c r="I22" s="2" t="s">
        <v>1012</v>
      </c>
      <c r="J22" s="2" t="s">
        <v>30</v>
      </c>
      <c r="K22" s="2" t="s">
        <v>30</v>
      </c>
      <c r="L22" s="3" t="s">
        <v>31</v>
      </c>
      <c r="M22" s="2" t="s">
        <v>1380</v>
      </c>
      <c r="N22" s="2" t="s">
        <v>160</v>
      </c>
      <c r="O22" s="2" t="s">
        <v>34</v>
      </c>
      <c r="P22" s="124">
        <v>3043</v>
      </c>
      <c r="Q22" s="132">
        <v>1</v>
      </c>
      <c r="R22" s="149">
        <v>4659</v>
      </c>
      <c r="S22" s="114"/>
      <c r="T22" s="123">
        <v>141.773</v>
      </c>
      <c r="U22" s="138">
        <v>3.6000000000000001E-5</v>
      </c>
      <c r="V22" s="138">
        <v>0.103652149845309</v>
      </c>
      <c r="W22" s="138">
        <v>6.8048476414656694E-2</v>
      </c>
    </row>
    <row r="23" spans="1:23">
      <c r="A23" s="2">
        <v>14076</v>
      </c>
      <c r="B23" s="2">
        <v>14078</v>
      </c>
      <c r="C23" s="2" t="s">
        <v>1376</v>
      </c>
      <c r="D23" s="2" t="s">
        <v>1377</v>
      </c>
      <c r="E23" s="3" t="s">
        <v>1351</v>
      </c>
      <c r="F23" s="2" t="s">
        <v>1455</v>
      </c>
      <c r="G23" s="2" t="s">
        <v>1456</v>
      </c>
      <c r="H23" s="2" t="s">
        <v>209</v>
      </c>
      <c r="I23" s="2" t="s">
        <v>1014</v>
      </c>
      <c r="J23" s="2" t="s">
        <v>30</v>
      </c>
      <c r="K23" s="2" t="s">
        <v>30</v>
      </c>
      <c r="L23" s="2" t="s">
        <v>31</v>
      </c>
      <c r="M23" s="2" t="s">
        <v>1403</v>
      </c>
      <c r="N23" s="2" t="s">
        <v>160</v>
      </c>
      <c r="O23" s="2" t="s">
        <v>34</v>
      </c>
      <c r="P23" s="124">
        <v>26418</v>
      </c>
      <c r="Q23" s="132">
        <v>1</v>
      </c>
      <c r="R23" s="149">
        <v>482.69</v>
      </c>
      <c r="S23" s="114"/>
      <c r="T23" s="123">
        <v>127.517</v>
      </c>
      <c r="U23" s="138">
        <v>1.07E-4</v>
      </c>
      <c r="V23" s="138">
        <v>9.3229185235910297E-2</v>
      </c>
      <c r="W23" s="138">
        <v>6.1205715676437997E-2</v>
      </c>
    </row>
    <row r="24" spans="1:23">
      <c r="A24" s="2">
        <v>14076</v>
      </c>
      <c r="B24" s="2">
        <v>14078</v>
      </c>
      <c r="C24" s="2" t="s">
        <v>1441</v>
      </c>
      <c r="D24" s="2" t="s">
        <v>1442</v>
      </c>
      <c r="E24" s="3" t="s">
        <v>206</v>
      </c>
      <c r="F24" s="2" t="s">
        <v>1457</v>
      </c>
      <c r="G24" s="2" t="s">
        <v>1458</v>
      </c>
      <c r="H24" s="2" t="s">
        <v>209</v>
      </c>
      <c r="I24" s="2" t="s">
        <v>1013</v>
      </c>
      <c r="J24" s="2" t="s">
        <v>30</v>
      </c>
      <c r="K24" s="2" t="s">
        <v>86</v>
      </c>
      <c r="L24" s="2" t="s">
        <v>31</v>
      </c>
      <c r="M24" s="2" t="s">
        <v>1459</v>
      </c>
      <c r="N24" s="2" t="s">
        <v>160</v>
      </c>
      <c r="O24" s="2" t="s">
        <v>34</v>
      </c>
      <c r="P24" s="124">
        <v>54</v>
      </c>
      <c r="Q24" s="132">
        <v>1</v>
      </c>
      <c r="R24" s="149">
        <v>222550</v>
      </c>
      <c r="S24" s="114"/>
      <c r="T24" s="123">
        <v>120.17700000000001</v>
      </c>
      <c r="U24" s="138">
        <v>1.9000000000000001E-5</v>
      </c>
      <c r="V24" s="138">
        <v>8.7862794063226807E-2</v>
      </c>
      <c r="W24" s="138">
        <v>5.7682636380049397E-2</v>
      </c>
    </row>
    <row r="25" spans="1:23">
      <c r="A25" s="2">
        <v>14076</v>
      </c>
      <c r="B25" s="2">
        <v>14078</v>
      </c>
      <c r="C25" s="2" t="s">
        <v>1407</v>
      </c>
      <c r="D25" s="2" t="s">
        <v>1408</v>
      </c>
      <c r="E25" s="3" t="s">
        <v>1351</v>
      </c>
      <c r="F25" s="2" t="s">
        <v>1409</v>
      </c>
      <c r="G25" s="2" t="s">
        <v>1410</v>
      </c>
      <c r="H25" s="2" t="s">
        <v>209</v>
      </c>
      <c r="I25" s="2" t="s">
        <v>1012</v>
      </c>
      <c r="J25" s="2" t="s">
        <v>30</v>
      </c>
      <c r="K25" s="2" t="s">
        <v>30</v>
      </c>
      <c r="L25" s="2" t="s">
        <v>31</v>
      </c>
      <c r="M25" s="2" t="s">
        <v>1380</v>
      </c>
      <c r="N25" s="2" t="s">
        <v>160</v>
      </c>
      <c r="O25" s="2" t="s">
        <v>34</v>
      </c>
      <c r="P25" s="124">
        <v>1845</v>
      </c>
      <c r="Q25" s="132">
        <v>1</v>
      </c>
      <c r="R25" s="149">
        <v>3032</v>
      </c>
      <c r="S25" s="114"/>
      <c r="T25" s="123">
        <v>55.94</v>
      </c>
      <c r="U25" s="138">
        <v>6.9999999999999999E-6</v>
      </c>
      <c r="V25" s="138">
        <v>4.0898673165535297E-2</v>
      </c>
      <c r="W25" s="138">
        <v>2.68503103934573E-2</v>
      </c>
    </row>
    <row r="26" spans="1:23">
      <c r="A26" s="2">
        <v>14076</v>
      </c>
      <c r="B26" s="2">
        <v>14078</v>
      </c>
      <c r="C26" s="2" t="s">
        <v>1407</v>
      </c>
      <c r="D26" s="2" t="s">
        <v>1408</v>
      </c>
      <c r="E26" s="3" t="s">
        <v>1351</v>
      </c>
      <c r="F26" s="2" t="s">
        <v>1460</v>
      </c>
      <c r="G26" s="4" t="s">
        <v>1461</v>
      </c>
      <c r="H26" s="2" t="s">
        <v>209</v>
      </c>
      <c r="I26" s="2" t="s">
        <v>1014</v>
      </c>
      <c r="J26" s="2" t="s">
        <v>30</v>
      </c>
      <c r="K26" s="2" t="s">
        <v>30</v>
      </c>
      <c r="L26" s="2" t="s">
        <v>31</v>
      </c>
      <c r="M26" s="2" t="s">
        <v>1403</v>
      </c>
      <c r="N26" s="2" t="s">
        <v>160</v>
      </c>
      <c r="O26" s="2" t="s">
        <v>34</v>
      </c>
      <c r="P26" s="124">
        <v>33235</v>
      </c>
      <c r="Q26" s="132">
        <v>1</v>
      </c>
      <c r="R26" s="149">
        <v>382.71</v>
      </c>
      <c r="S26" s="114"/>
      <c r="T26" s="123">
        <v>127.194</v>
      </c>
      <c r="U26" s="138">
        <v>1.08E-4</v>
      </c>
      <c r="V26" s="138">
        <v>9.2992761523102097E-2</v>
      </c>
      <c r="W26" s="138">
        <v>6.1050501592900798E-2</v>
      </c>
    </row>
    <row r="27" spans="1:23">
      <c r="A27" s="2">
        <v>14076</v>
      </c>
      <c r="B27" s="2">
        <v>14078</v>
      </c>
      <c r="C27" s="2" t="s">
        <v>1407</v>
      </c>
      <c r="D27" s="2" t="s">
        <v>1408</v>
      </c>
      <c r="E27" s="3" t="s">
        <v>1351</v>
      </c>
      <c r="F27" s="2" t="s">
        <v>1413</v>
      </c>
      <c r="G27" s="2" t="s">
        <v>1414</v>
      </c>
      <c r="H27" s="2" t="s">
        <v>209</v>
      </c>
      <c r="I27" s="2" t="s">
        <v>1014</v>
      </c>
      <c r="J27" s="2" t="s">
        <v>30</v>
      </c>
      <c r="K27" s="2" t="s">
        <v>30</v>
      </c>
      <c r="L27" s="2" t="s">
        <v>31</v>
      </c>
      <c r="M27" s="2" t="s">
        <v>1403</v>
      </c>
      <c r="N27" s="2" t="s">
        <v>160</v>
      </c>
      <c r="O27" s="2" t="s">
        <v>34</v>
      </c>
      <c r="P27" s="124">
        <v>25573</v>
      </c>
      <c r="Q27" s="132">
        <v>1</v>
      </c>
      <c r="R27" s="149">
        <v>415.44</v>
      </c>
      <c r="S27" s="114"/>
      <c r="T27" s="123">
        <v>106.24</v>
      </c>
      <c r="U27" s="138">
        <v>9.3999999999999994E-5</v>
      </c>
      <c r="V27" s="138">
        <v>7.7673636737693397E-2</v>
      </c>
      <c r="W27" s="138">
        <v>5.0993372018561897E-2</v>
      </c>
    </row>
    <row r="28" spans="1:23">
      <c r="A28" s="2">
        <v>14076</v>
      </c>
      <c r="B28" s="2">
        <v>14078</v>
      </c>
      <c r="C28" s="2" t="s">
        <v>1417</v>
      </c>
      <c r="D28" s="2" t="s">
        <v>1418</v>
      </c>
      <c r="E28" s="3" t="s">
        <v>1351</v>
      </c>
      <c r="F28" s="2" t="s">
        <v>1462</v>
      </c>
      <c r="G28" s="2" t="s">
        <v>1463</v>
      </c>
      <c r="H28" s="2" t="s">
        <v>209</v>
      </c>
      <c r="I28" s="2" t="s">
        <v>1013</v>
      </c>
      <c r="J28" s="2" t="s">
        <v>30</v>
      </c>
      <c r="K28" s="2" t="s">
        <v>86</v>
      </c>
      <c r="L28" s="2" t="s">
        <v>31</v>
      </c>
      <c r="M28" s="2" t="s">
        <v>1459</v>
      </c>
      <c r="N28" s="2" t="s">
        <v>160</v>
      </c>
      <c r="O28" s="2" t="s">
        <v>34</v>
      </c>
      <c r="P28" s="124">
        <v>477</v>
      </c>
      <c r="Q28" s="132">
        <v>1</v>
      </c>
      <c r="R28" s="149">
        <v>11570</v>
      </c>
      <c r="S28" s="114"/>
      <c r="T28" s="123">
        <v>55.189</v>
      </c>
      <c r="U28" s="138">
        <v>5.0000000000000002E-5</v>
      </c>
      <c r="V28" s="138">
        <v>4.0349242827463001E-2</v>
      </c>
      <c r="W28" s="138">
        <v>2.64896049236951E-2</v>
      </c>
    </row>
    <row r="29" spans="1:23">
      <c r="A29" s="2">
        <v>14076</v>
      </c>
      <c r="B29" s="2">
        <v>14078</v>
      </c>
      <c r="C29" s="2" t="s">
        <v>1425</v>
      </c>
      <c r="D29" s="2" t="s">
        <v>1426</v>
      </c>
      <c r="E29" s="3" t="s">
        <v>1351</v>
      </c>
      <c r="F29" s="2" t="s">
        <v>1427</v>
      </c>
      <c r="G29" s="2" t="s">
        <v>1428</v>
      </c>
      <c r="H29" s="2" t="s">
        <v>209</v>
      </c>
      <c r="I29" s="2" t="s">
        <v>1014</v>
      </c>
      <c r="J29" s="2" t="s">
        <v>30</v>
      </c>
      <c r="K29" s="2" t="s">
        <v>30</v>
      </c>
      <c r="L29" s="2" t="s">
        <v>31</v>
      </c>
      <c r="M29" s="2" t="s">
        <v>1403</v>
      </c>
      <c r="N29" s="2" t="s">
        <v>160</v>
      </c>
      <c r="O29" s="2" t="s">
        <v>34</v>
      </c>
      <c r="P29" s="124">
        <v>3329</v>
      </c>
      <c r="Q29" s="132">
        <v>1</v>
      </c>
      <c r="R29" s="149">
        <v>3822.55</v>
      </c>
      <c r="S29" s="114"/>
      <c r="T29" s="123">
        <v>127.253</v>
      </c>
      <c r="U29" s="138">
        <v>4.6E-5</v>
      </c>
      <c r="V29" s="138">
        <v>9.30359124585423E-2</v>
      </c>
      <c r="W29" s="138">
        <v>6.1078830531730903E-2</v>
      </c>
    </row>
    <row r="30" spans="1:23">
      <c r="A30" s="2">
        <v>14076</v>
      </c>
      <c r="B30" s="2">
        <v>14078</v>
      </c>
      <c r="C30" s="2" t="s">
        <v>1425</v>
      </c>
      <c r="D30" s="2" t="s">
        <v>1426</v>
      </c>
      <c r="E30" s="3" t="s">
        <v>1351</v>
      </c>
      <c r="F30" s="2" t="s">
        <v>1429</v>
      </c>
      <c r="G30" s="2" t="s">
        <v>1430</v>
      </c>
      <c r="H30" s="2" t="s">
        <v>209</v>
      </c>
      <c r="I30" s="2" t="s">
        <v>1014</v>
      </c>
      <c r="J30" s="2" t="s">
        <v>30</v>
      </c>
      <c r="K30" s="2" t="s">
        <v>30</v>
      </c>
      <c r="L30" s="2" t="s">
        <v>31</v>
      </c>
      <c r="M30" s="2" t="s">
        <v>1403</v>
      </c>
      <c r="N30" s="2" t="s">
        <v>160</v>
      </c>
      <c r="O30" s="2" t="s">
        <v>34</v>
      </c>
      <c r="P30" s="124">
        <v>3074</v>
      </c>
      <c r="Q30" s="132">
        <v>1</v>
      </c>
      <c r="R30" s="149">
        <v>4144.0200000000004</v>
      </c>
      <c r="S30" s="114"/>
      <c r="T30" s="123">
        <v>127.387</v>
      </c>
      <c r="U30" s="138">
        <v>5.7000000000000003E-5</v>
      </c>
      <c r="V30" s="138">
        <v>9.3134236216153396E-2</v>
      </c>
      <c r="W30" s="138">
        <v>6.1143380875460299E-2</v>
      </c>
    </row>
    <row r="31" spans="1:23">
      <c r="A31" s="2">
        <v>14076</v>
      </c>
      <c r="B31" s="2">
        <v>14078</v>
      </c>
      <c r="C31" s="2" t="s">
        <v>1431</v>
      </c>
      <c r="D31" s="2" t="s">
        <v>1432</v>
      </c>
      <c r="E31" s="3" t="s">
        <v>1351</v>
      </c>
      <c r="F31" s="2" t="s">
        <v>1433</v>
      </c>
      <c r="G31" s="2" t="s">
        <v>1434</v>
      </c>
      <c r="H31" s="2" t="s">
        <v>209</v>
      </c>
      <c r="I31" s="2" t="s">
        <v>1014</v>
      </c>
      <c r="J31" s="2" t="s">
        <v>30</v>
      </c>
      <c r="K31" s="2" t="s">
        <v>30</v>
      </c>
      <c r="L31" s="2" t="s">
        <v>31</v>
      </c>
      <c r="M31" s="2" t="s">
        <v>1403</v>
      </c>
      <c r="N31" s="2" t="s">
        <v>160</v>
      </c>
      <c r="O31" s="2" t="s">
        <v>34</v>
      </c>
      <c r="P31" s="124">
        <v>33201</v>
      </c>
      <c r="Q31" s="132">
        <v>1</v>
      </c>
      <c r="R31" s="149">
        <v>383.77</v>
      </c>
      <c r="S31" s="114"/>
      <c r="T31" s="123">
        <v>127.41500000000001</v>
      </c>
      <c r="U31" s="138">
        <v>2.4000000000000001E-5</v>
      </c>
      <c r="V31" s="138">
        <v>9.3154928793552597E-2</v>
      </c>
      <c r="W31" s="138">
        <v>6.11569657202242E-2</v>
      </c>
    </row>
    <row r="32" spans="1:23">
      <c r="A32" s="2">
        <v>14076</v>
      </c>
      <c r="B32" s="2">
        <v>14078</v>
      </c>
      <c r="C32" s="2" t="s">
        <v>1431</v>
      </c>
      <c r="D32" s="2" t="s">
        <v>1432</v>
      </c>
      <c r="E32" s="3" t="s">
        <v>1351</v>
      </c>
      <c r="F32" s="2" t="s">
        <v>1435</v>
      </c>
      <c r="G32" s="2" t="s">
        <v>1436</v>
      </c>
      <c r="H32" s="2" t="s">
        <v>209</v>
      </c>
      <c r="I32" s="2" t="s">
        <v>1014</v>
      </c>
      <c r="J32" s="2" t="s">
        <v>30</v>
      </c>
      <c r="K32" s="2" t="s">
        <v>30</v>
      </c>
      <c r="L32" s="2" t="s">
        <v>31</v>
      </c>
      <c r="M32" s="2" t="s">
        <v>1403</v>
      </c>
      <c r="N32" s="2" t="s">
        <v>160</v>
      </c>
      <c r="O32" s="2" t="s">
        <v>34</v>
      </c>
      <c r="P32" s="124">
        <v>30575</v>
      </c>
      <c r="Q32" s="132">
        <v>1</v>
      </c>
      <c r="R32" s="149">
        <v>416.89</v>
      </c>
      <c r="S32" s="114"/>
      <c r="T32" s="123">
        <v>127.464</v>
      </c>
      <c r="U32" s="138">
        <v>4.1999999999999998E-5</v>
      </c>
      <c r="V32" s="138">
        <v>9.3190489913655999E-2</v>
      </c>
      <c r="W32" s="138">
        <v>6.11803118837747E-2</v>
      </c>
    </row>
    <row r="33" spans="1:23">
      <c r="A33" s="2">
        <v>14076</v>
      </c>
      <c r="B33" s="2">
        <v>14078</v>
      </c>
      <c r="C33" s="2" t="s">
        <v>1389</v>
      </c>
      <c r="D33" s="2" t="s">
        <v>1390</v>
      </c>
      <c r="E33" s="3" t="s">
        <v>206</v>
      </c>
      <c r="F33" s="2" t="s">
        <v>1464</v>
      </c>
      <c r="G33" s="2" t="s">
        <v>1465</v>
      </c>
      <c r="H33" s="2" t="s">
        <v>209</v>
      </c>
      <c r="I33" s="2" t="s">
        <v>1013</v>
      </c>
      <c r="J33" s="2" t="s">
        <v>85</v>
      </c>
      <c r="K33" s="2" t="s">
        <v>86</v>
      </c>
      <c r="L33" s="2" t="s">
        <v>1466</v>
      </c>
      <c r="M33" s="2" t="s">
        <v>768</v>
      </c>
      <c r="N33" s="2" t="s">
        <v>160</v>
      </c>
      <c r="O33" s="2" t="s">
        <v>34</v>
      </c>
      <c r="P33" s="124">
        <v>30</v>
      </c>
      <c r="Q33" s="132">
        <v>1</v>
      </c>
      <c r="R33" s="149">
        <v>414100</v>
      </c>
      <c r="S33" s="114"/>
      <c r="T33" s="123">
        <v>124.23</v>
      </c>
      <c r="U33" s="138">
        <v>1.9999999999999999E-6</v>
      </c>
      <c r="V33" s="138">
        <v>9.0825989219856199E-2</v>
      </c>
      <c r="W33" s="138">
        <v>5.9627998015373398E-2</v>
      </c>
    </row>
    <row r="34" spans="1:23">
      <c r="A34" s="2">
        <v>14076</v>
      </c>
      <c r="B34" s="2">
        <v>14079</v>
      </c>
      <c r="C34" s="2" t="s">
        <v>1425</v>
      </c>
      <c r="D34" s="2" t="s">
        <v>1426</v>
      </c>
      <c r="E34" s="3" t="s">
        <v>1351</v>
      </c>
      <c r="F34" s="2" t="s">
        <v>1467</v>
      </c>
      <c r="G34" s="2" t="s">
        <v>1468</v>
      </c>
      <c r="H34" s="2" t="s">
        <v>209</v>
      </c>
      <c r="I34" s="2" t="s">
        <v>1013</v>
      </c>
      <c r="J34" s="2" t="s">
        <v>30</v>
      </c>
      <c r="K34" s="2" t="s">
        <v>1469</v>
      </c>
      <c r="L34" s="2" t="s">
        <v>31</v>
      </c>
      <c r="M34" s="2" t="s">
        <v>1459</v>
      </c>
      <c r="N34" s="2" t="s">
        <v>160</v>
      </c>
      <c r="O34" s="2" t="s">
        <v>34</v>
      </c>
      <c r="P34" s="124">
        <v>3748</v>
      </c>
      <c r="Q34" s="132">
        <v>1</v>
      </c>
      <c r="R34" s="149">
        <v>4081</v>
      </c>
      <c r="S34" s="114"/>
      <c r="T34" s="123">
        <v>152.95599999999999</v>
      </c>
      <c r="U34" s="138">
        <v>9.1000000000000003E-5</v>
      </c>
      <c r="V34" s="138">
        <v>2.1060788151779201E-2</v>
      </c>
      <c r="W34" s="138">
        <v>1.9841554485758299E-2</v>
      </c>
    </row>
    <row r="35" spans="1:23">
      <c r="A35" s="2">
        <v>14076</v>
      </c>
      <c r="B35" s="2">
        <v>14079</v>
      </c>
      <c r="C35" s="2" t="s">
        <v>1376</v>
      </c>
      <c r="D35" s="2" t="s">
        <v>1377</v>
      </c>
      <c r="E35" s="3" t="s">
        <v>1351</v>
      </c>
      <c r="F35" s="2" t="s">
        <v>1399</v>
      </c>
      <c r="G35" s="2" t="s">
        <v>1400</v>
      </c>
      <c r="H35" s="2" t="s">
        <v>209</v>
      </c>
      <c r="I35" s="2" t="s">
        <v>1012</v>
      </c>
      <c r="J35" s="2" t="s">
        <v>30</v>
      </c>
      <c r="K35" s="2" t="s">
        <v>30</v>
      </c>
      <c r="L35" s="2" t="s">
        <v>31</v>
      </c>
      <c r="M35" s="2" t="s">
        <v>1380</v>
      </c>
      <c r="N35" s="2" t="s">
        <v>160</v>
      </c>
      <c r="O35" s="2" t="s">
        <v>34</v>
      </c>
      <c r="P35" s="124">
        <v>11923</v>
      </c>
      <c r="Q35" s="132">
        <v>1</v>
      </c>
      <c r="R35" s="149">
        <v>4659</v>
      </c>
      <c r="S35" s="114"/>
      <c r="T35" s="123">
        <v>555.49300000000005</v>
      </c>
      <c r="U35" s="138">
        <v>1.3999999999999999E-4</v>
      </c>
      <c r="V35" s="138">
        <v>7.6486836182155099E-2</v>
      </c>
      <c r="W35" s="138">
        <v>7.2058923750357995E-2</v>
      </c>
    </row>
    <row r="36" spans="1:23">
      <c r="A36" s="2">
        <v>14076</v>
      </c>
      <c r="B36" s="2">
        <v>14079</v>
      </c>
      <c r="C36" s="2" t="s">
        <v>1376</v>
      </c>
      <c r="D36" s="2" t="s">
        <v>1377</v>
      </c>
      <c r="E36" s="3" t="s">
        <v>1351</v>
      </c>
      <c r="F36" s="2" t="s">
        <v>1404</v>
      </c>
      <c r="G36" s="2" t="s">
        <v>1405</v>
      </c>
      <c r="H36" s="2" t="s">
        <v>209</v>
      </c>
      <c r="I36" s="2" t="s">
        <v>1013</v>
      </c>
      <c r="J36" s="2" t="s">
        <v>30</v>
      </c>
      <c r="K36" s="2" t="s">
        <v>86</v>
      </c>
      <c r="L36" s="2" t="s">
        <v>31</v>
      </c>
      <c r="M36" s="2" t="s">
        <v>1406</v>
      </c>
      <c r="N36" s="2" t="s">
        <v>160</v>
      </c>
      <c r="O36" s="2" t="s">
        <v>34</v>
      </c>
      <c r="P36" s="124">
        <v>5988</v>
      </c>
      <c r="Q36" s="132">
        <v>1</v>
      </c>
      <c r="R36" s="149">
        <v>7820</v>
      </c>
      <c r="S36" s="114"/>
      <c r="T36" s="123">
        <v>468.262</v>
      </c>
      <c r="U36" s="138">
        <v>2.4600000000000002E-4</v>
      </c>
      <c r="V36" s="138">
        <v>6.4475836804790798E-2</v>
      </c>
      <c r="W36" s="138">
        <v>6.0743255179129797E-2</v>
      </c>
    </row>
    <row r="37" spans="1:23">
      <c r="A37" s="2">
        <v>14076</v>
      </c>
      <c r="B37" s="2">
        <v>14079</v>
      </c>
      <c r="C37" s="2" t="s">
        <v>1407</v>
      </c>
      <c r="D37" s="2" t="s">
        <v>1408</v>
      </c>
      <c r="E37" s="3" t="s">
        <v>1351</v>
      </c>
      <c r="F37" s="2" t="s">
        <v>1470</v>
      </c>
      <c r="G37" s="2" t="s">
        <v>1471</v>
      </c>
      <c r="H37" s="2" t="s">
        <v>209</v>
      </c>
      <c r="I37" s="2" t="s">
        <v>1013</v>
      </c>
      <c r="J37" s="2" t="s">
        <v>30</v>
      </c>
      <c r="K37" s="2" t="s">
        <v>86</v>
      </c>
      <c r="L37" s="2" t="s">
        <v>31</v>
      </c>
      <c r="M37" s="2" t="s">
        <v>1406</v>
      </c>
      <c r="N37" s="2" t="s">
        <v>160</v>
      </c>
      <c r="O37" s="2" t="s">
        <v>34</v>
      </c>
      <c r="P37" s="124">
        <v>1976</v>
      </c>
      <c r="Q37" s="132">
        <v>1</v>
      </c>
      <c r="R37" s="149">
        <v>5943</v>
      </c>
      <c r="S37" s="114"/>
      <c r="T37" s="123">
        <v>117.434</v>
      </c>
      <c r="U37" s="138">
        <v>1.5999999999999999E-5</v>
      </c>
      <c r="V37" s="138">
        <v>1.6169668379952599E-2</v>
      </c>
      <c r="W37" s="138">
        <v>1.5233587359852399E-2</v>
      </c>
    </row>
    <row r="38" spans="1:23">
      <c r="A38" s="2">
        <v>14076</v>
      </c>
      <c r="B38" s="2">
        <v>14079</v>
      </c>
      <c r="C38" s="2" t="s">
        <v>1407</v>
      </c>
      <c r="D38" s="2" t="s">
        <v>1408</v>
      </c>
      <c r="E38" s="3" t="s">
        <v>1351</v>
      </c>
      <c r="F38" s="2" t="s">
        <v>1409</v>
      </c>
      <c r="G38" s="2" t="s">
        <v>1410</v>
      </c>
      <c r="H38" s="2" t="s">
        <v>209</v>
      </c>
      <c r="I38" s="2" t="s">
        <v>1012</v>
      </c>
      <c r="J38" s="2" t="s">
        <v>30</v>
      </c>
      <c r="K38" s="2" t="s">
        <v>30</v>
      </c>
      <c r="L38" s="2" t="s">
        <v>31</v>
      </c>
      <c r="M38" s="2" t="s">
        <v>1380</v>
      </c>
      <c r="N38" s="2" t="s">
        <v>160</v>
      </c>
      <c r="O38" s="2" t="s">
        <v>34</v>
      </c>
      <c r="P38" s="124">
        <v>10749</v>
      </c>
      <c r="Q38" s="132">
        <v>1</v>
      </c>
      <c r="R38" s="149">
        <v>3032</v>
      </c>
      <c r="S38" s="114"/>
      <c r="T38" s="123">
        <v>325.91000000000003</v>
      </c>
      <c r="U38" s="138">
        <v>4.3000000000000002E-5</v>
      </c>
      <c r="V38" s="138">
        <v>4.4875128220596402E-2</v>
      </c>
      <c r="W38" s="138">
        <v>4.22772545465794E-2</v>
      </c>
    </row>
    <row r="39" spans="1:23">
      <c r="A39" s="2">
        <v>14076</v>
      </c>
      <c r="B39" s="2">
        <v>14079</v>
      </c>
      <c r="C39" s="2" t="s">
        <v>1407</v>
      </c>
      <c r="D39" s="2" t="s">
        <v>1408</v>
      </c>
      <c r="E39" s="3" t="s">
        <v>1351</v>
      </c>
      <c r="F39" s="2" t="s">
        <v>1411</v>
      </c>
      <c r="G39" s="2" t="s">
        <v>1412</v>
      </c>
      <c r="H39" s="2" t="s">
        <v>209</v>
      </c>
      <c r="I39" s="2" t="s">
        <v>1012</v>
      </c>
      <c r="J39" s="2" t="s">
        <v>30</v>
      </c>
      <c r="K39" s="2" t="s">
        <v>30</v>
      </c>
      <c r="L39" s="2" t="s">
        <v>31</v>
      </c>
      <c r="M39" s="2" t="s">
        <v>1380</v>
      </c>
      <c r="N39" s="2" t="s">
        <v>160</v>
      </c>
      <c r="O39" s="2" t="s">
        <v>34</v>
      </c>
      <c r="P39" s="124">
        <v>13150</v>
      </c>
      <c r="Q39" s="132">
        <v>1</v>
      </c>
      <c r="R39" s="149">
        <v>1260</v>
      </c>
      <c r="S39" s="114"/>
      <c r="T39" s="123">
        <v>165.69</v>
      </c>
      <c r="U39" s="138">
        <v>2.43E-4</v>
      </c>
      <c r="V39" s="138">
        <v>2.2814173530748199E-2</v>
      </c>
      <c r="W39" s="138">
        <v>2.14934343337784E-2</v>
      </c>
    </row>
    <row r="40" spans="1:23">
      <c r="A40" s="2">
        <v>14076</v>
      </c>
      <c r="B40" s="2">
        <v>14079</v>
      </c>
      <c r="C40" s="2" t="s">
        <v>1407</v>
      </c>
      <c r="D40" s="2" t="s">
        <v>1408</v>
      </c>
      <c r="E40" s="3" t="s">
        <v>1351</v>
      </c>
      <c r="F40" s="2" t="s">
        <v>1415</v>
      </c>
      <c r="G40" s="2" t="s">
        <v>1416</v>
      </c>
      <c r="H40" s="2" t="s">
        <v>209</v>
      </c>
      <c r="I40" s="2" t="s">
        <v>1012</v>
      </c>
      <c r="J40" s="2" t="s">
        <v>30</v>
      </c>
      <c r="K40" s="2" t="s">
        <v>30</v>
      </c>
      <c r="L40" s="2" t="s">
        <v>31</v>
      </c>
      <c r="M40" s="2" t="s">
        <v>1380</v>
      </c>
      <c r="N40" s="2" t="s">
        <v>160</v>
      </c>
      <c r="O40" s="2" t="s">
        <v>34</v>
      </c>
      <c r="P40" s="124">
        <v>16010</v>
      </c>
      <c r="Q40" s="132">
        <v>1</v>
      </c>
      <c r="R40" s="149">
        <v>2968</v>
      </c>
      <c r="S40" s="114"/>
      <c r="T40" s="123">
        <v>475.17700000000002</v>
      </c>
      <c r="U40" s="138">
        <v>7.7999999999999999E-5</v>
      </c>
      <c r="V40" s="138">
        <v>6.5428003941008006E-2</v>
      </c>
      <c r="W40" s="138">
        <v>6.1640300245850398E-2</v>
      </c>
    </row>
    <row r="41" spans="1:23">
      <c r="A41" s="2">
        <v>14076</v>
      </c>
      <c r="B41" s="2">
        <v>14079</v>
      </c>
      <c r="C41" s="2" t="s">
        <v>1472</v>
      </c>
      <c r="D41" s="2" t="s">
        <v>1473</v>
      </c>
      <c r="E41" s="3" t="s">
        <v>1351</v>
      </c>
      <c r="F41" s="2" t="s">
        <v>1474</v>
      </c>
      <c r="G41" s="2" t="s">
        <v>1475</v>
      </c>
      <c r="H41" s="2" t="s">
        <v>209</v>
      </c>
      <c r="I41" s="2" t="s">
        <v>1013</v>
      </c>
      <c r="J41" s="2" t="s">
        <v>30</v>
      </c>
      <c r="K41" s="2" t="s">
        <v>86</v>
      </c>
      <c r="L41" s="2" t="s">
        <v>58</v>
      </c>
      <c r="M41" s="2" t="s">
        <v>1406</v>
      </c>
      <c r="N41" s="2" t="s">
        <v>160</v>
      </c>
      <c r="O41" s="2" t="s">
        <v>34</v>
      </c>
      <c r="P41" s="124">
        <v>10172</v>
      </c>
      <c r="Q41" s="132">
        <v>1</v>
      </c>
      <c r="R41" s="149">
        <v>6159</v>
      </c>
      <c r="S41" s="114"/>
      <c r="T41" s="123">
        <v>626.49300000000005</v>
      </c>
      <c r="U41" s="138">
        <v>0</v>
      </c>
      <c r="V41" s="138">
        <v>8.6263087504389602E-2</v>
      </c>
      <c r="W41" s="138">
        <v>8.1269216445894896E-2</v>
      </c>
    </row>
    <row r="42" spans="1:23">
      <c r="A42" s="2">
        <v>14076</v>
      </c>
      <c r="B42" s="2">
        <v>14079</v>
      </c>
      <c r="C42" s="2" t="s">
        <v>1417</v>
      </c>
      <c r="D42" s="2" t="s">
        <v>1418</v>
      </c>
      <c r="E42" s="3" t="s">
        <v>1351</v>
      </c>
      <c r="F42" s="2" t="s">
        <v>1476</v>
      </c>
      <c r="G42" s="2" t="s">
        <v>1477</v>
      </c>
      <c r="H42" s="2" t="s">
        <v>209</v>
      </c>
      <c r="I42" s="2" t="s">
        <v>1013</v>
      </c>
      <c r="J42" s="2" t="s">
        <v>30</v>
      </c>
      <c r="K42" s="2" t="s">
        <v>86</v>
      </c>
      <c r="L42" s="2" t="s">
        <v>31</v>
      </c>
      <c r="M42" s="2" t="s">
        <v>1459</v>
      </c>
      <c r="N42" s="2" t="s">
        <v>160</v>
      </c>
      <c r="O42" s="2" t="s">
        <v>34</v>
      </c>
      <c r="P42" s="124">
        <v>3659</v>
      </c>
      <c r="Q42" s="132">
        <v>1</v>
      </c>
      <c r="R42" s="149">
        <v>10390</v>
      </c>
      <c r="S42" s="114"/>
      <c r="T42" s="123">
        <v>380.17</v>
      </c>
      <c r="U42" s="138">
        <v>5.3000000000000001E-5</v>
      </c>
      <c r="V42" s="138">
        <v>5.2346349403113598E-2</v>
      </c>
      <c r="W42" s="138">
        <v>4.9315957993940299E-2</v>
      </c>
    </row>
    <row r="43" spans="1:23">
      <c r="A43" s="2">
        <v>14076</v>
      </c>
      <c r="B43" s="2">
        <v>14079</v>
      </c>
      <c r="C43" s="2" t="s">
        <v>1417</v>
      </c>
      <c r="D43" s="2" t="s">
        <v>1418</v>
      </c>
      <c r="E43" s="3" t="s">
        <v>1351</v>
      </c>
      <c r="F43" s="2" t="s">
        <v>1421</v>
      </c>
      <c r="G43" s="2" t="s">
        <v>1422</v>
      </c>
      <c r="H43" s="2" t="s">
        <v>209</v>
      </c>
      <c r="I43" s="2" t="s">
        <v>1013</v>
      </c>
      <c r="J43" s="2" t="s">
        <v>30</v>
      </c>
      <c r="K43" s="2" t="s">
        <v>86</v>
      </c>
      <c r="L43" s="2" t="s">
        <v>31</v>
      </c>
      <c r="M43" s="2" t="s">
        <v>1406</v>
      </c>
      <c r="N43" s="2" t="s">
        <v>160</v>
      </c>
      <c r="O43" s="2" t="s">
        <v>34</v>
      </c>
      <c r="P43" s="124">
        <v>4066</v>
      </c>
      <c r="Q43" s="132">
        <v>1</v>
      </c>
      <c r="R43" s="149">
        <v>9600</v>
      </c>
      <c r="S43" s="114"/>
      <c r="T43" s="123">
        <v>390.33600000000001</v>
      </c>
      <c r="U43" s="138">
        <v>3.01E-4</v>
      </c>
      <c r="V43" s="138">
        <v>5.3746111650058097E-2</v>
      </c>
      <c r="W43" s="138">
        <v>5.0634686366767698E-2</v>
      </c>
    </row>
    <row r="44" spans="1:23">
      <c r="A44" s="2">
        <v>14076</v>
      </c>
      <c r="B44" s="2">
        <v>14079</v>
      </c>
      <c r="C44" s="2" t="s">
        <v>1425</v>
      </c>
      <c r="D44" s="2" t="s">
        <v>1426</v>
      </c>
      <c r="E44" s="3" t="s">
        <v>1351</v>
      </c>
      <c r="F44" s="2" t="s">
        <v>1478</v>
      </c>
      <c r="G44" s="2" t="s">
        <v>1479</v>
      </c>
      <c r="H44" s="2" t="s">
        <v>209</v>
      </c>
      <c r="I44" s="2" t="s">
        <v>1013</v>
      </c>
      <c r="J44" s="2" t="s">
        <v>30</v>
      </c>
      <c r="K44" s="2" t="s">
        <v>276</v>
      </c>
      <c r="L44" s="2" t="s">
        <v>31</v>
      </c>
      <c r="M44" s="2" t="s">
        <v>1406</v>
      </c>
      <c r="N44" s="2" t="s">
        <v>160</v>
      </c>
      <c r="O44" s="2" t="s">
        <v>34</v>
      </c>
      <c r="P44" s="124">
        <v>769</v>
      </c>
      <c r="Q44" s="132">
        <v>1</v>
      </c>
      <c r="R44" s="149">
        <v>20310</v>
      </c>
      <c r="S44" s="114"/>
      <c r="T44" s="123">
        <v>156.184</v>
      </c>
      <c r="U44" s="138">
        <v>1.47E-4</v>
      </c>
      <c r="V44" s="138">
        <v>2.1505260409855901E-2</v>
      </c>
      <c r="W44" s="138">
        <v>2.0260295724807899E-2</v>
      </c>
    </row>
    <row r="45" spans="1:23">
      <c r="A45" s="2">
        <v>14076</v>
      </c>
      <c r="B45" s="2">
        <v>14079</v>
      </c>
      <c r="C45" s="2" t="s">
        <v>1425</v>
      </c>
      <c r="D45" s="2" t="s">
        <v>1426</v>
      </c>
      <c r="E45" s="3" t="s">
        <v>1351</v>
      </c>
      <c r="F45" s="2" t="s">
        <v>1480</v>
      </c>
      <c r="G45" s="2" t="s">
        <v>1481</v>
      </c>
      <c r="H45" s="2" t="s">
        <v>209</v>
      </c>
      <c r="I45" s="2" t="s">
        <v>1012</v>
      </c>
      <c r="J45" s="2" t="s">
        <v>30</v>
      </c>
      <c r="K45" s="2" t="s">
        <v>30</v>
      </c>
      <c r="L45" s="2" t="s">
        <v>31</v>
      </c>
      <c r="M45" s="2" t="s">
        <v>1380</v>
      </c>
      <c r="N45" s="2" t="s">
        <v>160</v>
      </c>
      <c r="O45" s="2" t="s">
        <v>34</v>
      </c>
      <c r="P45" s="124">
        <v>2013</v>
      </c>
      <c r="Q45" s="132">
        <v>1</v>
      </c>
      <c r="R45" s="149">
        <v>29540</v>
      </c>
      <c r="S45" s="114"/>
      <c r="T45" s="123">
        <v>594.64</v>
      </c>
      <c r="U45" s="138">
        <v>5.7000000000000003E-5</v>
      </c>
      <c r="V45" s="138">
        <v>8.18771483563209E-2</v>
      </c>
      <c r="W45" s="138">
        <v>7.7137184446405105E-2</v>
      </c>
    </row>
    <row r="46" spans="1:23">
      <c r="A46" s="2">
        <v>14076</v>
      </c>
      <c r="B46" s="2">
        <v>14079</v>
      </c>
      <c r="C46" s="2" t="s">
        <v>1431</v>
      </c>
      <c r="D46" s="2" t="s">
        <v>1432</v>
      </c>
      <c r="E46" s="3" t="s">
        <v>1351</v>
      </c>
      <c r="F46" s="2" t="s">
        <v>1482</v>
      </c>
      <c r="G46" s="2" t="s">
        <v>1483</v>
      </c>
      <c r="H46" s="2" t="s">
        <v>209</v>
      </c>
      <c r="I46" s="2" t="s">
        <v>1013</v>
      </c>
      <c r="J46" s="2" t="s">
        <v>30</v>
      </c>
      <c r="K46" s="2" t="s">
        <v>86</v>
      </c>
      <c r="L46" s="2" t="s">
        <v>31</v>
      </c>
      <c r="M46" s="2" t="s">
        <v>1406</v>
      </c>
      <c r="N46" s="2" t="s">
        <v>160</v>
      </c>
      <c r="O46" s="2" t="s">
        <v>34</v>
      </c>
      <c r="P46" s="124">
        <v>5785</v>
      </c>
      <c r="Q46" s="132">
        <v>1</v>
      </c>
      <c r="R46" s="149">
        <v>5389</v>
      </c>
      <c r="S46" s="114"/>
      <c r="T46" s="123">
        <v>311.75400000000002</v>
      </c>
      <c r="U46" s="138">
        <v>4.5000000000000003E-5</v>
      </c>
      <c r="V46" s="138">
        <v>4.2925957329616397E-2</v>
      </c>
      <c r="W46" s="138">
        <v>4.0440923438896402E-2</v>
      </c>
    </row>
    <row r="47" spans="1:23">
      <c r="A47" s="2">
        <v>14076</v>
      </c>
      <c r="B47" s="2">
        <v>14079</v>
      </c>
      <c r="C47" s="2" t="s">
        <v>1431</v>
      </c>
      <c r="D47" s="2" t="s">
        <v>1432</v>
      </c>
      <c r="E47" s="3" t="s">
        <v>1351</v>
      </c>
      <c r="F47" s="2" t="s">
        <v>1484</v>
      </c>
      <c r="G47" s="2" t="s">
        <v>1485</v>
      </c>
      <c r="H47" s="2" t="s">
        <v>209</v>
      </c>
      <c r="I47" s="2" t="s">
        <v>1012</v>
      </c>
      <c r="J47" s="2" t="s">
        <v>30</v>
      </c>
      <c r="K47" s="2" t="s">
        <v>30</v>
      </c>
      <c r="L47" s="2" t="s">
        <v>31</v>
      </c>
      <c r="M47" s="2" t="s">
        <v>1380</v>
      </c>
      <c r="N47" s="2" t="s">
        <v>160</v>
      </c>
      <c r="O47" s="2" t="s">
        <v>34</v>
      </c>
      <c r="P47" s="124">
        <v>18933</v>
      </c>
      <c r="Q47" s="132">
        <v>1</v>
      </c>
      <c r="R47" s="149">
        <v>3001</v>
      </c>
      <c r="S47" s="114"/>
      <c r="T47" s="123">
        <v>568.17899999999997</v>
      </c>
      <c r="U47" s="138">
        <v>4.6E-5</v>
      </c>
      <c r="V47" s="138">
        <v>7.8233700471991297E-2</v>
      </c>
      <c r="W47" s="138">
        <v>7.3704660022724494E-2</v>
      </c>
    </row>
    <row r="48" spans="1:23">
      <c r="A48" s="2">
        <v>14076</v>
      </c>
      <c r="B48" s="2">
        <v>14079</v>
      </c>
      <c r="C48" s="2" t="s">
        <v>1441</v>
      </c>
      <c r="D48" s="2" t="s">
        <v>1442</v>
      </c>
      <c r="E48" s="3" t="s">
        <v>206</v>
      </c>
      <c r="F48" s="2" t="s">
        <v>1486</v>
      </c>
      <c r="G48" s="2" t="s">
        <v>1487</v>
      </c>
      <c r="H48" s="2" t="s">
        <v>209</v>
      </c>
      <c r="I48" s="2" t="s">
        <v>1013</v>
      </c>
      <c r="J48" s="2" t="s">
        <v>85</v>
      </c>
      <c r="K48" s="2" t="s">
        <v>86</v>
      </c>
      <c r="L48" s="2" t="s">
        <v>378</v>
      </c>
      <c r="M48" s="2" t="s">
        <v>768</v>
      </c>
      <c r="N48" s="2" t="s">
        <v>160</v>
      </c>
      <c r="O48" s="2" t="s">
        <v>90</v>
      </c>
      <c r="P48" s="124">
        <v>205</v>
      </c>
      <c r="Q48" s="132">
        <v>3.3719999999999999</v>
      </c>
      <c r="R48" s="149">
        <v>21579</v>
      </c>
      <c r="S48" s="114"/>
      <c r="T48" s="123">
        <v>149.167</v>
      </c>
      <c r="U48" s="138">
        <v>9.9999999999999995E-7</v>
      </c>
      <c r="V48" s="138">
        <v>2.0539089372417899E-2</v>
      </c>
      <c r="W48" s="138">
        <v>1.93500574590918E-2</v>
      </c>
    </row>
    <row r="49" spans="1:23">
      <c r="A49" s="2">
        <v>14076</v>
      </c>
      <c r="B49" s="2">
        <v>14079</v>
      </c>
      <c r="C49" s="2" t="s">
        <v>1389</v>
      </c>
      <c r="D49" s="2" t="s">
        <v>1390</v>
      </c>
      <c r="E49" s="3" t="s">
        <v>206</v>
      </c>
      <c r="F49" s="2" t="s">
        <v>1488</v>
      </c>
      <c r="G49" s="2" t="s">
        <v>1489</v>
      </c>
      <c r="H49" s="2" t="s">
        <v>209</v>
      </c>
      <c r="I49" s="2" t="s">
        <v>1013</v>
      </c>
      <c r="J49" s="2" t="s">
        <v>85</v>
      </c>
      <c r="K49" s="2" t="s">
        <v>86</v>
      </c>
      <c r="L49" s="2" t="s">
        <v>380</v>
      </c>
      <c r="M49" s="2" t="s">
        <v>768</v>
      </c>
      <c r="N49" s="2" t="s">
        <v>160</v>
      </c>
      <c r="O49" s="2" t="s">
        <v>90</v>
      </c>
      <c r="P49" s="124">
        <v>205</v>
      </c>
      <c r="Q49" s="132">
        <v>3.3719999999999999</v>
      </c>
      <c r="R49" s="149">
        <v>55164</v>
      </c>
      <c r="S49" s="127">
        <v>7.9000000000000001E-2</v>
      </c>
      <c r="T49" s="123">
        <v>381.59399999999999</v>
      </c>
      <c r="U49" s="138">
        <v>0</v>
      </c>
      <c r="V49" s="138">
        <v>5.2542445867531901E-2</v>
      </c>
      <c r="W49" s="138">
        <v>4.9500702204611897E-2</v>
      </c>
    </row>
    <row r="50" spans="1:23">
      <c r="A50" s="2">
        <v>14076</v>
      </c>
      <c r="B50" s="2">
        <v>14079</v>
      </c>
      <c r="C50" s="2" t="s">
        <v>1389</v>
      </c>
      <c r="D50" s="2" t="s">
        <v>1390</v>
      </c>
      <c r="E50" s="3" t="s">
        <v>206</v>
      </c>
      <c r="F50" s="2" t="s">
        <v>1490</v>
      </c>
      <c r="G50" s="2" t="s">
        <v>1465</v>
      </c>
      <c r="H50" s="2" t="s">
        <v>209</v>
      </c>
      <c r="I50" s="2" t="s">
        <v>1013</v>
      </c>
      <c r="J50" s="2" t="s">
        <v>85</v>
      </c>
      <c r="K50" s="2" t="s">
        <v>86</v>
      </c>
      <c r="L50" s="2" t="s">
        <v>414</v>
      </c>
      <c r="M50" s="2" t="s">
        <v>768</v>
      </c>
      <c r="N50" s="2" t="s">
        <v>160</v>
      </c>
      <c r="O50" s="2" t="s">
        <v>90</v>
      </c>
      <c r="P50" s="124">
        <v>73</v>
      </c>
      <c r="Q50" s="132">
        <v>3.3719999999999999</v>
      </c>
      <c r="R50" s="149">
        <v>122758</v>
      </c>
      <c r="S50" s="114"/>
      <c r="T50" s="123">
        <v>302.17599999999999</v>
      </c>
      <c r="U50" s="138">
        <v>3.0000000000000001E-6</v>
      </c>
      <c r="V50" s="138">
        <v>4.1607217478168597E-2</v>
      </c>
      <c r="W50" s="138">
        <v>3.9198526980298902E-2</v>
      </c>
    </row>
    <row r="51" spans="1:23">
      <c r="A51" s="2">
        <v>14076</v>
      </c>
      <c r="B51" s="2">
        <v>14079</v>
      </c>
      <c r="C51" s="2" t="s">
        <v>1441</v>
      </c>
      <c r="D51" s="2" t="s">
        <v>1442</v>
      </c>
      <c r="E51" s="3" t="s">
        <v>206</v>
      </c>
      <c r="F51" s="2" t="s">
        <v>1443</v>
      </c>
      <c r="G51" s="2" t="s">
        <v>1444</v>
      </c>
      <c r="H51" s="2" t="s">
        <v>209</v>
      </c>
      <c r="I51" s="2" t="s">
        <v>1013</v>
      </c>
      <c r="J51" s="2" t="s">
        <v>85</v>
      </c>
      <c r="K51" s="2" t="s">
        <v>331</v>
      </c>
      <c r="L51" s="2" t="s">
        <v>402</v>
      </c>
      <c r="M51" s="2" t="s">
        <v>768</v>
      </c>
      <c r="N51" s="2" t="s">
        <v>160</v>
      </c>
      <c r="O51" s="2" t="s">
        <v>1200</v>
      </c>
      <c r="P51" s="124">
        <v>1064</v>
      </c>
      <c r="Q51" s="132">
        <v>3.9552</v>
      </c>
      <c r="R51" s="149">
        <v>5409</v>
      </c>
      <c r="S51" s="114"/>
      <c r="T51" s="123">
        <v>227.62899999999999</v>
      </c>
      <c r="U51" s="138">
        <v>6.9999999999999999E-6</v>
      </c>
      <c r="V51" s="138">
        <v>3.1342634709059201E-2</v>
      </c>
      <c r="W51" s="138">
        <v>2.9528172916666501E-2</v>
      </c>
    </row>
    <row r="52" spans="1:23">
      <c r="A52" s="2">
        <v>14076</v>
      </c>
      <c r="B52" s="2">
        <v>14079</v>
      </c>
      <c r="C52" s="2" t="s">
        <v>1491</v>
      </c>
      <c r="D52" s="2" t="s">
        <v>1492</v>
      </c>
      <c r="E52" s="3" t="s">
        <v>206</v>
      </c>
      <c r="F52" s="2" t="s">
        <v>1493</v>
      </c>
      <c r="G52" s="2" t="s">
        <v>1494</v>
      </c>
      <c r="H52" s="2" t="s">
        <v>209</v>
      </c>
      <c r="I52" s="2" t="s">
        <v>1013</v>
      </c>
      <c r="J52" s="2" t="s">
        <v>85</v>
      </c>
      <c r="K52" s="2" t="s">
        <v>86</v>
      </c>
      <c r="L52" s="2" t="s">
        <v>414</v>
      </c>
      <c r="M52" s="2" t="s">
        <v>768</v>
      </c>
      <c r="N52" s="2" t="s">
        <v>160</v>
      </c>
      <c r="O52" s="2" t="s">
        <v>90</v>
      </c>
      <c r="P52" s="124">
        <v>303</v>
      </c>
      <c r="Q52" s="132">
        <v>3.3719999999999999</v>
      </c>
      <c r="R52" s="149">
        <v>44471</v>
      </c>
      <c r="S52" s="114"/>
      <c r="T52" s="123">
        <v>454.36700000000002</v>
      </c>
      <c r="U52" s="138">
        <v>3.4E-5</v>
      </c>
      <c r="V52" s="138">
        <v>6.2562707097727294E-2</v>
      </c>
      <c r="W52" s="138">
        <v>5.8940878789060201E-2</v>
      </c>
    </row>
    <row r="53" spans="1:23">
      <c r="A53" s="2">
        <v>14076</v>
      </c>
      <c r="B53" s="2">
        <v>14079</v>
      </c>
      <c r="C53" s="2" t="s">
        <v>1437</v>
      </c>
      <c r="D53" s="2" t="s">
        <v>1438</v>
      </c>
      <c r="E53" s="3" t="s">
        <v>206</v>
      </c>
      <c r="F53" s="2" t="s">
        <v>1495</v>
      </c>
      <c r="G53" s="2" t="s">
        <v>1496</v>
      </c>
      <c r="H53" s="2" t="s">
        <v>209</v>
      </c>
      <c r="I53" s="2" t="s">
        <v>1013</v>
      </c>
      <c r="J53" s="2" t="s">
        <v>85</v>
      </c>
      <c r="K53" s="2" t="s">
        <v>86</v>
      </c>
      <c r="L53" s="2" t="s">
        <v>414</v>
      </c>
      <c r="M53" s="2" t="s">
        <v>768</v>
      </c>
      <c r="N53" s="2" t="s">
        <v>160</v>
      </c>
      <c r="O53" s="2" t="s">
        <v>90</v>
      </c>
      <c r="P53" s="124">
        <v>2970</v>
      </c>
      <c r="Q53" s="132">
        <v>3.3719999999999999</v>
      </c>
      <c r="R53" s="149">
        <v>1515</v>
      </c>
      <c r="S53" s="114"/>
      <c r="T53" s="123">
        <v>151.72499999999999</v>
      </c>
      <c r="U53" s="138">
        <v>0</v>
      </c>
      <c r="V53" s="138">
        <v>2.0891281968052199E-2</v>
      </c>
      <c r="W53" s="138">
        <v>1.9681861213319801E-2</v>
      </c>
    </row>
    <row r="54" spans="1:23">
      <c r="A54" s="2">
        <v>14076</v>
      </c>
      <c r="B54" s="2">
        <v>14079</v>
      </c>
      <c r="C54" s="2" t="s">
        <v>1437</v>
      </c>
      <c r="D54" s="2" t="s">
        <v>1438</v>
      </c>
      <c r="E54" s="3" t="s">
        <v>206</v>
      </c>
      <c r="F54" s="2" t="s">
        <v>1449</v>
      </c>
      <c r="G54" s="2" t="s">
        <v>1450</v>
      </c>
      <c r="H54" s="2" t="s">
        <v>209</v>
      </c>
      <c r="I54" s="2" t="s">
        <v>1013</v>
      </c>
      <c r="J54" s="2" t="s">
        <v>85</v>
      </c>
      <c r="K54" s="2" t="s">
        <v>86</v>
      </c>
      <c r="L54" s="2" t="s">
        <v>414</v>
      </c>
      <c r="M54" s="2" t="s">
        <v>768</v>
      </c>
      <c r="N54" s="2" t="s">
        <v>160</v>
      </c>
      <c r="O54" s="2" t="s">
        <v>90</v>
      </c>
      <c r="P54" s="124">
        <v>1107</v>
      </c>
      <c r="Q54" s="132">
        <v>3.3719999999999999</v>
      </c>
      <c r="R54" s="149">
        <v>6140.25</v>
      </c>
      <c r="S54" s="114"/>
      <c r="T54" s="123">
        <v>229.203</v>
      </c>
      <c r="U54" s="138">
        <v>3.0000000000000001E-6</v>
      </c>
      <c r="V54" s="138">
        <v>3.1559468696535503E-2</v>
      </c>
      <c r="W54" s="138">
        <v>2.9732454130924499E-2</v>
      </c>
    </row>
    <row r="55" spans="1:23">
      <c r="A55" s="2">
        <v>14076</v>
      </c>
      <c r="B55" s="2">
        <v>14079</v>
      </c>
      <c r="C55" s="2" t="s">
        <v>1497</v>
      </c>
      <c r="D55" s="2" t="s">
        <v>1498</v>
      </c>
      <c r="E55" s="3" t="s">
        <v>206</v>
      </c>
      <c r="F55" s="2" t="s">
        <v>1499</v>
      </c>
      <c r="G55" s="2" t="s">
        <v>1500</v>
      </c>
      <c r="H55" s="2" t="s">
        <v>209</v>
      </c>
      <c r="I55" s="2" t="s">
        <v>1013</v>
      </c>
      <c r="J55" s="2" t="s">
        <v>85</v>
      </c>
      <c r="K55" s="2" t="s">
        <v>86</v>
      </c>
      <c r="L55" s="2" t="s">
        <v>380</v>
      </c>
      <c r="M55" s="2" t="s">
        <v>768</v>
      </c>
      <c r="N55" s="2" t="s">
        <v>160</v>
      </c>
      <c r="O55" s="2" t="s">
        <v>90</v>
      </c>
      <c r="P55" s="124">
        <v>83</v>
      </c>
      <c r="Q55" s="132">
        <v>3.3719999999999999</v>
      </c>
      <c r="R55" s="149">
        <v>27888</v>
      </c>
      <c r="S55" s="114"/>
      <c r="T55" s="123">
        <v>78.052000000000007</v>
      </c>
      <c r="U55" s="138">
        <v>9.9999999999999995E-7</v>
      </c>
      <c r="V55" s="138">
        <v>1.07471044741315E-2</v>
      </c>
      <c r="W55" s="138">
        <v>1.01249420226281E-2</v>
      </c>
    </row>
    <row r="56" spans="1:23">
      <c r="A56" s="2">
        <v>14076</v>
      </c>
      <c r="B56" s="2">
        <v>15394</v>
      </c>
      <c r="C56" s="2" t="s">
        <v>1376</v>
      </c>
      <c r="D56" s="2" t="s">
        <v>1377</v>
      </c>
      <c r="E56" s="3" t="s">
        <v>1351</v>
      </c>
      <c r="F56" s="2" t="s">
        <v>1501</v>
      </c>
      <c r="G56" s="2" t="s">
        <v>1502</v>
      </c>
      <c r="H56" s="2" t="s">
        <v>209</v>
      </c>
      <c r="I56" s="2" t="s">
        <v>1013</v>
      </c>
      <c r="J56" s="2" t="s">
        <v>30</v>
      </c>
      <c r="K56" s="2" t="s">
        <v>86</v>
      </c>
      <c r="L56" s="2" t="s">
        <v>31</v>
      </c>
      <c r="M56" s="2" t="s">
        <v>1459</v>
      </c>
      <c r="N56" s="2" t="s">
        <v>160</v>
      </c>
      <c r="O56" s="2" t="s">
        <v>34</v>
      </c>
      <c r="P56" s="124">
        <v>7381</v>
      </c>
      <c r="Q56" s="132">
        <v>1</v>
      </c>
      <c r="R56" s="149">
        <v>8961</v>
      </c>
      <c r="S56" s="114"/>
      <c r="T56" s="123">
        <v>661.41099999999994</v>
      </c>
      <c r="U56" s="138">
        <v>8.5000000000000006E-5</v>
      </c>
      <c r="V56" s="138">
        <v>0.12024788475638599</v>
      </c>
      <c r="W56" s="138">
        <v>0.12003110338058499</v>
      </c>
    </row>
    <row r="57" spans="1:23">
      <c r="A57" s="2">
        <v>14076</v>
      </c>
      <c r="B57" s="2">
        <v>15394</v>
      </c>
      <c r="C57" s="2" t="s">
        <v>1441</v>
      </c>
      <c r="D57" s="2" t="s">
        <v>1442</v>
      </c>
      <c r="E57" s="3" t="s">
        <v>206</v>
      </c>
      <c r="F57" s="2" t="s">
        <v>1457</v>
      </c>
      <c r="G57" s="2" t="s">
        <v>1458</v>
      </c>
      <c r="H57" s="2" t="s">
        <v>209</v>
      </c>
      <c r="I57" s="2" t="s">
        <v>1013</v>
      </c>
      <c r="J57" s="2" t="s">
        <v>30</v>
      </c>
      <c r="K57" s="2" t="s">
        <v>86</v>
      </c>
      <c r="L57" s="2" t="s">
        <v>31</v>
      </c>
      <c r="M57" s="2" t="s">
        <v>1459</v>
      </c>
      <c r="N57" s="2" t="s">
        <v>160</v>
      </c>
      <c r="O57" s="2" t="s">
        <v>34</v>
      </c>
      <c r="P57" s="124">
        <v>311</v>
      </c>
      <c r="Q57" s="132">
        <v>1</v>
      </c>
      <c r="R57" s="149">
        <v>222550</v>
      </c>
      <c r="S57" s="114"/>
      <c r="T57" s="123">
        <v>692.13</v>
      </c>
      <c r="U57" s="138">
        <v>1.0900000000000001E-4</v>
      </c>
      <c r="V57" s="138">
        <v>0.12583276814105801</v>
      </c>
      <c r="W57" s="138">
        <v>0.125605918407661</v>
      </c>
    </row>
    <row r="58" spans="1:23">
      <c r="A58" s="2">
        <v>14076</v>
      </c>
      <c r="B58" s="2">
        <v>15394</v>
      </c>
      <c r="C58" s="2" t="s">
        <v>1407</v>
      </c>
      <c r="D58" s="2" t="s">
        <v>1408</v>
      </c>
      <c r="E58" s="3" t="s">
        <v>1351</v>
      </c>
      <c r="F58" s="2" t="s">
        <v>1503</v>
      </c>
      <c r="G58" s="2" t="s">
        <v>1504</v>
      </c>
      <c r="H58" s="2" t="s">
        <v>209</v>
      </c>
      <c r="I58" s="2" t="s">
        <v>1013</v>
      </c>
      <c r="J58" s="2" t="s">
        <v>30</v>
      </c>
      <c r="K58" s="2" t="s">
        <v>86</v>
      </c>
      <c r="L58" s="2" t="s">
        <v>31</v>
      </c>
      <c r="M58" s="2" t="s">
        <v>1459</v>
      </c>
      <c r="N58" s="2" t="s">
        <v>160</v>
      </c>
      <c r="O58" s="2" t="s">
        <v>34</v>
      </c>
      <c r="P58" s="124">
        <v>28454</v>
      </c>
      <c r="Q58" s="132">
        <v>1</v>
      </c>
      <c r="R58" s="149">
        <v>2432</v>
      </c>
      <c r="S58" s="114"/>
      <c r="T58" s="123">
        <v>692.00099999999998</v>
      </c>
      <c r="U58" s="138">
        <v>7.4999999999999993E-5</v>
      </c>
      <c r="V58" s="138">
        <v>0.12580927530220801</v>
      </c>
      <c r="W58" s="138">
        <v>0.12558246792140601</v>
      </c>
    </row>
    <row r="59" spans="1:23">
      <c r="A59" s="2">
        <v>14076</v>
      </c>
      <c r="B59" s="2">
        <v>15394</v>
      </c>
      <c r="C59" s="2" t="s">
        <v>1472</v>
      </c>
      <c r="D59" s="2" t="s">
        <v>1473</v>
      </c>
      <c r="E59" s="3" t="s">
        <v>1351</v>
      </c>
      <c r="F59" s="2" t="s">
        <v>1505</v>
      </c>
      <c r="G59" s="2" t="s">
        <v>1506</v>
      </c>
      <c r="H59" s="2" t="s">
        <v>209</v>
      </c>
      <c r="I59" s="2" t="s">
        <v>1013</v>
      </c>
      <c r="J59" s="2" t="s">
        <v>30</v>
      </c>
      <c r="K59" s="2" t="s">
        <v>86</v>
      </c>
      <c r="L59" s="2" t="s">
        <v>58</v>
      </c>
      <c r="M59" s="2" t="s">
        <v>1459</v>
      </c>
      <c r="N59" s="2" t="s">
        <v>160</v>
      </c>
      <c r="O59" s="2" t="s">
        <v>34</v>
      </c>
      <c r="P59" s="124">
        <v>11855</v>
      </c>
      <c r="Q59" s="132">
        <v>1</v>
      </c>
      <c r="R59" s="149">
        <v>5869</v>
      </c>
      <c r="S59" s="114"/>
      <c r="T59" s="123">
        <v>695.77</v>
      </c>
      <c r="U59" s="138">
        <v>1.078E-3</v>
      </c>
      <c r="V59" s="138">
        <v>0.12649443825675299</v>
      </c>
      <c r="W59" s="138">
        <v>0.126266395672785</v>
      </c>
    </row>
    <row r="60" spans="1:23">
      <c r="A60" s="2">
        <v>14076</v>
      </c>
      <c r="B60" s="2">
        <v>15394</v>
      </c>
      <c r="C60" s="2" t="s">
        <v>1417</v>
      </c>
      <c r="D60" s="2" t="s">
        <v>1418</v>
      </c>
      <c r="E60" s="3" t="s">
        <v>1351</v>
      </c>
      <c r="F60" s="2" t="s">
        <v>1476</v>
      </c>
      <c r="G60" s="2" t="s">
        <v>1477</v>
      </c>
      <c r="H60" s="2" t="s">
        <v>209</v>
      </c>
      <c r="I60" s="2" t="s">
        <v>1013</v>
      </c>
      <c r="J60" s="2" t="s">
        <v>30</v>
      </c>
      <c r="K60" s="2" t="s">
        <v>86</v>
      </c>
      <c r="L60" s="2" t="s">
        <v>31</v>
      </c>
      <c r="M60" s="2" t="s">
        <v>1459</v>
      </c>
      <c r="N60" s="2" t="s">
        <v>160</v>
      </c>
      <c r="O60" s="2" t="s">
        <v>34</v>
      </c>
      <c r="P60" s="124">
        <v>6690</v>
      </c>
      <c r="Q60" s="132">
        <v>1</v>
      </c>
      <c r="R60" s="149">
        <v>10390</v>
      </c>
      <c r="S60" s="114"/>
      <c r="T60" s="123">
        <v>695.09100000000001</v>
      </c>
      <c r="U60" s="138">
        <v>9.7999999999999997E-5</v>
      </c>
      <c r="V60" s="138">
        <v>0.126371001769082</v>
      </c>
      <c r="W60" s="138">
        <v>0.12614318171486399</v>
      </c>
    </row>
    <row r="61" spans="1:23">
      <c r="A61" s="2">
        <v>14076</v>
      </c>
      <c r="B61" s="2">
        <v>15394</v>
      </c>
      <c r="C61" s="2" t="s">
        <v>1425</v>
      </c>
      <c r="D61" s="2" t="s">
        <v>1426</v>
      </c>
      <c r="E61" s="3" t="s">
        <v>1351</v>
      </c>
      <c r="F61" s="2" t="s">
        <v>1507</v>
      </c>
      <c r="G61" s="2" t="s">
        <v>1508</v>
      </c>
      <c r="H61" s="2" t="s">
        <v>209</v>
      </c>
      <c r="I61" s="2" t="s">
        <v>1013</v>
      </c>
      <c r="J61" s="2" t="s">
        <v>30</v>
      </c>
      <c r="K61" s="2" t="s">
        <v>86</v>
      </c>
      <c r="L61" s="2" t="s">
        <v>31</v>
      </c>
      <c r="M61" s="2" t="s">
        <v>1459</v>
      </c>
      <c r="N61" s="2" t="s">
        <v>160</v>
      </c>
      <c r="O61" s="2" t="s">
        <v>34</v>
      </c>
      <c r="P61" s="124">
        <v>3035</v>
      </c>
      <c r="Q61" s="132">
        <v>1</v>
      </c>
      <c r="R61" s="149">
        <v>22980</v>
      </c>
      <c r="S61" s="114"/>
      <c r="T61" s="123">
        <v>697.44299999999998</v>
      </c>
      <c r="U61" s="138">
        <v>1.03E-4</v>
      </c>
      <c r="V61" s="138">
        <v>0.126798607069915</v>
      </c>
      <c r="W61" s="138">
        <v>0.12657001613423199</v>
      </c>
    </row>
    <row r="62" spans="1:23">
      <c r="A62" s="2">
        <v>14076</v>
      </c>
      <c r="B62" s="2">
        <v>15394</v>
      </c>
      <c r="C62" s="2" t="s">
        <v>1431</v>
      </c>
      <c r="D62" s="2" t="s">
        <v>1432</v>
      </c>
      <c r="E62" s="3" t="s">
        <v>1351</v>
      </c>
      <c r="F62" s="2" t="s">
        <v>1509</v>
      </c>
      <c r="G62" s="2" t="s">
        <v>1510</v>
      </c>
      <c r="H62" s="2" t="s">
        <v>209</v>
      </c>
      <c r="I62" s="2" t="s">
        <v>1013</v>
      </c>
      <c r="J62" s="2" t="s">
        <v>30</v>
      </c>
      <c r="K62" s="2" t="s">
        <v>86</v>
      </c>
      <c r="L62" s="2" t="s">
        <v>31</v>
      </c>
      <c r="M62" s="2" t="s">
        <v>1459</v>
      </c>
      <c r="N62" s="2" t="s">
        <v>160</v>
      </c>
      <c r="O62" s="2" t="s">
        <v>34</v>
      </c>
      <c r="P62" s="124">
        <v>2754</v>
      </c>
      <c r="Q62" s="132">
        <v>1</v>
      </c>
      <c r="R62" s="149">
        <v>24510</v>
      </c>
      <c r="S62" s="114"/>
      <c r="T62" s="123">
        <v>675.005</v>
      </c>
      <c r="U62" s="138">
        <v>6.8999999999999997E-5</v>
      </c>
      <c r="V62" s="138">
        <v>0.122719339766362</v>
      </c>
      <c r="W62" s="138">
        <v>0.122498102882521</v>
      </c>
    </row>
    <row r="63" spans="1:23">
      <c r="A63" s="2">
        <v>14076</v>
      </c>
      <c r="B63" s="2">
        <v>15394</v>
      </c>
      <c r="C63" s="2" t="s">
        <v>1389</v>
      </c>
      <c r="D63" s="2" t="s">
        <v>1390</v>
      </c>
      <c r="E63" s="3" t="s">
        <v>206</v>
      </c>
      <c r="F63" s="2" t="s">
        <v>1464</v>
      </c>
      <c r="G63" s="2" t="s">
        <v>1465</v>
      </c>
      <c r="H63" s="2" t="s">
        <v>209</v>
      </c>
      <c r="I63" s="2" t="s">
        <v>1013</v>
      </c>
      <c r="J63" s="2" t="s">
        <v>85</v>
      </c>
      <c r="K63" s="2" t="s">
        <v>86</v>
      </c>
      <c r="L63" s="2" t="s">
        <v>1466</v>
      </c>
      <c r="M63" s="2" t="s">
        <v>768</v>
      </c>
      <c r="N63" s="2" t="s">
        <v>160</v>
      </c>
      <c r="O63" s="2" t="s">
        <v>34</v>
      </c>
      <c r="P63" s="124">
        <v>167</v>
      </c>
      <c r="Q63" s="132">
        <v>1</v>
      </c>
      <c r="R63" s="149">
        <v>414100</v>
      </c>
      <c r="S63" s="114"/>
      <c r="T63" s="123">
        <v>691.54700000000003</v>
      </c>
      <c r="U63" s="138">
        <v>9.0000000000000002E-6</v>
      </c>
      <c r="V63" s="138">
        <v>0.12572668493823599</v>
      </c>
      <c r="W63" s="138">
        <v>0.125500026450305</v>
      </c>
    </row>
    <row r="64" spans="1:23">
      <c r="A64" s="2">
        <v>161</v>
      </c>
      <c r="B64" s="2">
        <v>1434</v>
      </c>
      <c r="C64" s="2" t="s">
        <v>1376</v>
      </c>
      <c r="D64" s="2" t="s">
        <v>1377</v>
      </c>
      <c r="E64" s="3" t="s">
        <v>1351</v>
      </c>
      <c r="F64" s="2" t="s">
        <v>1401</v>
      </c>
      <c r="G64" s="2" t="s">
        <v>1402</v>
      </c>
      <c r="H64" s="2" t="s">
        <v>209</v>
      </c>
      <c r="I64" s="2" t="s">
        <v>1014</v>
      </c>
      <c r="J64" s="2" t="s">
        <v>30</v>
      </c>
      <c r="K64" s="2" t="s">
        <v>30</v>
      </c>
      <c r="L64" s="2" t="s">
        <v>31</v>
      </c>
      <c r="M64" s="2" t="s">
        <v>1403</v>
      </c>
      <c r="N64" s="2" t="s">
        <v>160</v>
      </c>
      <c r="O64" s="2" t="s">
        <v>34</v>
      </c>
      <c r="P64" s="124">
        <v>25000</v>
      </c>
      <c r="Q64" s="132">
        <v>1</v>
      </c>
      <c r="R64" s="149">
        <v>488.99</v>
      </c>
      <c r="S64" s="114"/>
      <c r="T64" s="123">
        <v>122.248</v>
      </c>
      <c r="U64" s="138">
        <v>1.1900000000000001E-4</v>
      </c>
      <c r="V64" s="138">
        <v>4.1517333081483303E-2</v>
      </c>
      <c r="W64" s="138">
        <v>5.42566305822712E-3</v>
      </c>
    </row>
    <row r="65" spans="1:23">
      <c r="A65" s="2">
        <v>161</v>
      </c>
      <c r="B65" s="2">
        <v>1434</v>
      </c>
      <c r="C65" s="2" t="s">
        <v>1376</v>
      </c>
      <c r="D65" s="2" t="s">
        <v>1377</v>
      </c>
      <c r="E65" s="3" t="s">
        <v>1351</v>
      </c>
      <c r="F65" s="2" t="s">
        <v>1455</v>
      </c>
      <c r="G65" s="2" t="s">
        <v>1456</v>
      </c>
      <c r="H65" s="2" t="s">
        <v>209</v>
      </c>
      <c r="I65" s="2" t="s">
        <v>1014</v>
      </c>
      <c r="J65" s="2" t="s">
        <v>30</v>
      </c>
      <c r="K65" s="2" t="s">
        <v>30</v>
      </c>
      <c r="L65" s="2" t="s">
        <v>31</v>
      </c>
      <c r="M65" s="2" t="s">
        <v>1403</v>
      </c>
      <c r="N65" s="2" t="s">
        <v>160</v>
      </c>
      <c r="O65" s="2" t="s">
        <v>34</v>
      </c>
      <c r="P65" s="124">
        <v>160000</v>
      </c>
      <c r="Q65" s="132">
        <v>1</v>
      </c>
      <c r="R65" s="149">
        <v>482.69</v>
      </c>
      <c r="S65" s="114"/>
      <c r="T65" s="123">
        <v>772.30399999999997</v>
      </c>
      <c r="U65" s="138">
        <v>6.4999999999999997E-4</v>
      </c>
      <c r="V65" s="138">
        <v>0.26228759204206098</v>
      </c>
      <c r="W65" s="138">
        <v>3.4276866868615197E-2</v>
      </c>
    </row>
    <row r="66" spans="1:23">
      <c r="A66" s="2">
        <v>161</v>
      </c>
      <c r="B66" s="2">
        <v>1434</v>
      </c>
      <c r="C66" s="2" t="s">
        <v>1407</v>
      </c>
      <c r="D66" s="2" t="s">
        <v>1408</v>
      </c>
      <c r="E66" s="3" t="s">
        <v>1351</v>
      </c>
      <c r="F66" s="2" t="s">
        <v>1413</v>
      </c>
      <c r="G66" s="2" t="s">
        <v>1414</v>
      </c>
      <c r="H66" s="2" t="s">
        <v>209</v>
      </c>
      <c r="I66" s="2" t="s">
        <v>1014</v>
      </c>
      <c r="J66" s="2" t="s">
        <v>30</v>
      </c>
      <c r="K66" s="2" t="s">
        <v>30</v>
      </c>
      <c r="L66" s="2" t="s">
        <v>31</v>
      </c>
      <c r="M66" s="2" t="s">
        <v>1403</v>
      </c>
      <c r="N66" s="2" t="s">
        <v>160</v>
      </c>
      <c r="O66" s="2" t="s">
        <v>34</v>
      </c>
      <c r="P66" s="124">
        <v>199000</v>
      </c>
      <c r="Q66" s="132">
        <v>1</v>
      </c>
      <c r="R66" s="149">
        <v>415.44</v>
      </c>
      <c r="S66" s="114"/>
      <c r="T66" s="123">
        <v>826.726</v>
      </c>
      <c r="U66" s="138">
        <v>7.2900000000000005E-4</v>
      </c>
      <c r="V66" s="138">
        <v>0.28077009429386401</v>
      </c>
      <c r="W66" s="138">
        <v>3.66922394912833E-2</v>
      </c>
    </row>
    <row r="67" spans="1:23">
      <c r="A67" s="2">
        <v>161</v>
      </c>
      <c r="B67" s="2">
        <v>1434</v>
      </c>
      <c r="C67" s="2" t="s">
        <v>1425</v>
      </c>
      <c r="D67" s="2" t="s">
        <v>1426</v>
      </c>
      <c r="E67" s="3" t="s">
        <v>1351</v>
      </c>
      <c r="F67" s="2" t="s">
        <v>1427</v>
      </c>
      <c r="G67" s="2" t="s">
        <v>1428</v>
      </c>
      <c r="H67" s="2" t="s">
        <v>209</v>
      </c>
      <c r="I67" s="2" t="s">
        <v>1014</v>
      </c>
      <c r="J67" s="2" t="s">
        <v>30</v>
      </c>
      <c r="K67" s="2" t="s">
        <v>30</v>
      </c>
      <c r="L67" s="2" t="s">
        <v>31</v>
      </c>
      <c r="M67" s="2" t="s">
        <v>1403</v>
      </c>
      <c r="N67" s="2" t="s">
        <v>160</v>
      </c>
      <c r="O67" s="2" t="s">
        <v>34</v>
      </c>
      <c r="P67" s="124">
        <v>15700</v>
      </c>
      <c r="Q67" s="132">
        <v>1</v>
      </c>
      <c r="R67" s="149">
        <v>3822.55</v>
      </c>
      <c r="S67" s="114"/>
      <c r="T67" s="123">
        <v>600.14</v>
      </c>
      <c r="U67" s="138">
        <v>2.1800000000000001E-4</v>
      </c>
      <c r="V67" s="138">
        <v>0.203817884264201</v>
      </c>
      <c r="W67" s="138">
        <v>2.66357948158162E-2</v>
      </c>
    </row>
    <row r="68" spans="1:23">
      <c r="A68" s="2">
        <v>161</v>
      </c>
      <c r="B68" s="2">
        <v>1434</v>
      </c>
      <c r="C68" s="2" t="s">
        <v>1441</v>
      </c>
      <c r="D68" s="2" t="s">
        <v>1442</v>
      </c>
      <c r="E68" s="3" t="s">
        <v>206</v>
      </c>
      <c r="F68" s="2" t="s">
        <v>1511</v>
      </c>
      <c r="G68" s="2" t="s">
        <v>1512</v>
      </c>
      <c r="H68" s="2" t="s">
        <v>209</v>
      </c>
      <c r="I68" s="2" t="s">
        <v>1015</v>
      </c>
      <c r="J68" s="2" t="s">
        <v>85</v>
      </c>
      <c r="K68" s="2" t="s">
        <v>334</v>
      </c>
      <c r="L68" s="2" t="s">
        <v>414</v>
      </c>
      <c r="M68" s="2" t="s">
        <v>765</v>
      </c>
      <c r="N68" s="2" t="s">
        <v>160</v>
      </c>
      <c r="O68" s="2" t="s">
        <v>90</v>
      </c>
      <c r="P68" s="124">
        <v>18250</v>
      </c>
      <c r="Q68" s="132">
        <v>3.3719999999999999</v>
      </c>
      <c r="R68" s="149">
        <v>608.5</v>
      </c>
      <c r="S68" s="114"/>
      <c r="T68" s="123">
        <v>374.46499999999997</v>
      </c>
      <c r="U68" s="138">
        <v>5.3999999999999998E-5</v>
      </c>
      <c r="V68" s="138">
        <v>0.12717462894252299</v>
      </c>
      <c r="W68" s="138">
        <v>1.6619725665975599E-2</v>
      </c>
    </row>
    <row r="69" spans="1:23">
      <c r="A69" s="2">
        <v>161</v>
      </c>
      <c r="B69" s="2">
        <v>1434</v>
      </c>
      <c r="C69" s="2" t="s">
        <v>1441</v>
      </c>
      <c r="D69" s="2" t="s">
        <v>1442</v>
      </c>
      <c r="E69" s="3" t="s">
        <v>206</v>
      </c>
      <c r="F69" s="2" t="s">
        <v>1513</v>
      </c>
      <c r="G69" s="2" t="s">
        <v>1514</v>
      </c>
      <c r="H69" s="2" t="s">
        <v>209</v>
      </c>
      <c r="I69" s="2" t="s">
        <v>1015</v>
      </c>
      <c r="J69" s="2" t="s">
        <v>85</v>
      </c>
      <c r="K69" s="2" t="s">
        <v>86</v>
      </c>
      <c r="L69" s="2" t="s">
        <v>414</v>
      </c>
      <c r="M69" s="2" t="s">
        <v>765</v>
      </c>
      <c r="N69" s="2" t="s">
        <v>160</v>
      </c>
      <c r="O69" s="2" t="s">
        <v>90</v>
      </c>
      <c r="P69" s="124">
        <v>12000</v>
      </c>
      <c r="Q69" s="132">
        <v>3.3719999999999999</v>
      </c>
      <c r="R69" s="149">
        <v>614.4</v>
      </c>
      <c r="S69" s="114"/>
      <c r="T69" s="123">
        <v>248.61099999999999</v>
      </c>
      <c r="U69" s="138">
        <v>0</v>
      </c>
      <c r="V69" s="138">
        <v>8.4432467375867501E-2</v>
      </c>
      <c r="W69" s="138">
        <v>1.1033996770869799E-2</v>
      </c>
    </row>
    <row r="70" spans="1:23">
      <c r="A70" s="2">
        <v>161</v>
      </c>
      <c r="B70" s="2">
        <v>9938</v>
      </c>
      <c r="C70" s="2" t="s">
        <v>1376</v>
      </c>
      <c r="D70" s="2" t="s">
        <v>1377</v>
      </c>
      <c r="E70" s="3" t="s">
        <v>1351</v>
      </c>
      <c r="F70" s="2" t="s">
        <v>1399</v>
      </c>
      <c r="G70" s="2" t="s">
        <v>1400</v>
      </c>
      <c r="H70" s="2" t="s">
        <v>209</v>
      </c>
      <c r="I70" s="2" t="s">
        <v>1012</v>
      </c>
      <c r="J70" s="2" t="s">
        <v>30</v>
      </c>
      <c r="K70" s="2" t="s">
        <v>30</v>
      </c>
      <c r="L70" s="2" t="s">
        <v>31</v>
      </c>
      <c r="M70" s="2" t="s">
        <v>1380</v>
      </c>
      <c r="N70" s="2" t="s">
        <v>160</v>
      </c>
      <c r="O70" s="2" t="s">
        <v>34</v>
      </c>
      <c r="P70" s="124">
        <v>18850</v>
      </c>
      <c r="Q70" s="132">
        <v>1</v>
      </c>
      <c r="R70" s="149">
        <v>4659</v>
      </c>
      <c r="S70" s="114"/>
      <c r="T70" s="123">
        <v>878.221</v>
      </c>
      <c r="U70" s="138">
        <v>2.22E-4</v>
      </c>
      <c r="V70" s="138">
        <v>5.0949237995127003E-2</v>
      </c>
      <c r="W70" s="138">
        <v>1.0951000813286E-2</v>
      </c>
    </row>
    <row r="71" spans="1:23">
      <c r="A71" s="2">
        <v>161</v>
      </c>
      <c r="B71" s="2">
        <v>9938</v>
      </c>
      <c r="C71" s="2" t="s">
        <v>1376</v>
      </c>
      <c r="D71" s="2" t="s">
        <v>1377</v>
      </c>
      <c r="E71" s="3" t="s">
        <v>1351</v>
      </c>
      <c r="F71" s="2" t="s">
        <v>1455</v>
      </c>
      <c r="G71" s="2" t="s">
        <v>1456</v>
      </c>
      <c r="H71" s="2" t="s">
        <v>209</v>
      </c>
      <c r="I71" s="2" t="s">
        <v>1014</v>
      </c>
      <c r="J71" s="2" t="s">
        <v>30</v>
      </c>
      <c r="K71" s="2" t="s">
        <v>30</v>
      </c>
      <c r="L71" s="2" t="s">
        <v>31</v>
      </c>
      <c r="M71" s="2" t="s">
        <v>1403</v>
      </c>
      <c r="N71" s="2" t="s">
        <v>160</v>
      </c>
      <c r="O71" s="2" t="s">
        <v>34</v>
      </c>
      <c r="P71" s="124">
        <v>130000</v>
      </c>
      <c r="Q71" s="132">
        <v>1</v>
      </c>
      <c r="R71" s="149">
        <v>482.69</v>
      </c>
      <c r="S71" s="114"/>
      <c r="T71" s="123">
        <v>627.49699999999996</v>
      </c>
      <c r="U71" s="138">
        <v>5.2800000000000004E-4</v>
      </c>
      <c r="V71" s="138">
        <v>3.6403679475198701E-2</v>
      </c>
      <c r="W71" s="138">
        <v>7.8245865733582495E-3</v>
      </c>
    </row>
    <row r="72" spans="1:23">
      <c r="A72" s="2">
        <v>161</v>
      </c>
      <c r="B72" s="2">
        <v>9938</v>
      </c>
      <c r="C72" s="2" t="s">
        <v>1407</v>
      </c>
      <c r="D72" s="2" t="s">
        <v>1408</v>
      </c>
      <c r="E72" s="3" t="s">
        <v>1351</v>
      </c>
      <c r="F72" s="2" t="s">
        <v>1409</v>
      </c>
      <c r="G72" s="2" t="s">
        <v>1410</v>
      </c>
      <c r="H72" s="2" t="s">
        <v>209</v>
      </c>
      <c r="I72" s="2" t="s">
        <v>1012</v>
      </c>
      <c r="J72" s="2" t="s">
        <v>30</v>
      </c>
      <c r="K72" s="2" t="s">
        <v>30</v>
      </c>
      <c r="L72" s="2" t="s">
        <v>31</v>
      </c>
      <c r="M72" s="2" t="s">
        <v>1380</v>
      </c>
      <c r="N72" s="2" t="s">
        <v>160</v>
      </c>
      <c r="O72" s="2" t="s">
        <v>34</v>
      </c>
      <c r="P72" s="124">
        <v>76800</v>
      </c>
      <c r="Q72" s="132">
        <v>1</v>
      </c>
      <c r="R72" s="149">
        <v>3032</v>
      </c>
      <c r="S72" s="114"/>
      <c r="T72" s="123">
        <v>2328.576</v>
      </c>
      <c r="U72" s="138">
        <v>3.0699999999999998E-4</v>
      </c>
      <c r="V72" s="138">
        <v>0.135090262324187</v>
      </c>
      <c r="W72" s="138">
        <v>2.90362256785997E-2</v>
      </c>
    </row>
    <row r="73" spans="1:23">
      <c r="A73" s="2">
        <v>161</v>
      </c>
      <c r="B73" s="2">
        <v>9938</v>
      </c>
      <c r="C73" s="2" t="s">
        <v>1407</v>
      </c>
      <c r="D73" s="2" t="s">
        <v>1408</v>
      </c>
      <c r="E73" s="3" t="s">
        <v>1351</v>
      </c>
      <c r="F73" s="2" t="s">
        <v>1413</v>
      </c>
      <c r="G73" s="2" t="s">
        <v>1414</v>
      </c>
      <c r="H73" s="2" t="s">
        <v>209</v>
      </c>
      <c r="I73" s="2" t="s">
        <v>1014</v>
      </c>
      <c r="J73" s="2" t="s">
        <v>30</v>
      </c>
      <c r="K73" s="2" t="s">
        <v>30</v>
      </c>
      <c r="L73" s="2" t="s">
        <v>31</v>
      </c>
      <c r="M73" s="2" t="s">
        <v>1403</v>
      </c>
      <c r="N73" s="2" t="s">
        <v>160</v>
      </c>
      <c r="O73" s="2" t="s">
        <v>34</v>
      </c>
      <c r="P73" s="124">
        <v>114000</v>
      </c>
      <c r="Q73" s="132">
        <v>1</v>
      </c>
      <c r="R73" s="149">
        <v>415.44</v>
      </c>
      <c r="S73" s="114"/>
      <c r="T73" s="123">
        <v>473.60199999999998</v>
      </c>
      <c r="U73" s="138">
        <v>4.1800000000000002E-4</v>
      </c>
      <c r="V73" s="138">
        <v>2.7475574935563501E-2</v>
      </c>
      <c r="W73" s="138">
        <v>5.9055847605342902E-3</v>
      </c>
    </row>
    <row r="74" spans="1:23">
      <c r="A74" s="2">
        <v>161</v>
      </c>
      <c r="B74" s="2">
        <v>9938</v>
      </c>
      <c r="C74" s="2" t="s">
        <v>1407</v>
      </c>
      <c r="D74" s="2" t="s">
        <v>1408</v>
      </c>
      <c r="E74" s="3" t="s">
        <v>1351</v>
      </c>
      <c r="F74" s="2" t="s">
        <v>1415</v>
      </c>
      <c r="G74" s="2" t="s">
        <v>1416</v>
      </c>
      <c r="H74" s="2" t="s">
        <v>209</v>
      </c>
      <c r="I74" s="2" t="s">
        <v>1012</v>
      </c>
      <c r="J74" s="2" t="s">
        <v>30</v>
      </c>
      <c r="K74" s="2" t="s">
        <v>30</v>
      </c>
      <c r="L74" s="2" t="s">
        <v>31</v>
      </c>
      <c r="M74" s="2" t="s">
        <v>1380</v>
      </c>
      <c r="N74" s="2" t="s">
        <v>160</v>
      </c>
      <c r="O74" s="2" t="s">
        <v>34</v>
      </c>
      <c r="P74" s="124">
        <v>14200</v>
      </c>
      <c r="Q74" s="132">
        <v>1</v>
      </c>
      <c r="R74" s="149">
        <v>2968</v>
      </c>
      <c r="S74" s="114"/>
      <c r="T74" s="123">
        <v>421.45600000000002</v>
      </c>
      <c r="U74" s="138">
        <v>6.8999999999999997E-5</v>
      </c>
      <c r="V74" s="138">
        <v>2.4450394403318799E-2</v>
      </c>
      <c r="W74" s="138">
        <v>5.2553541433047104E-3</v>
      </c>
    </row>
    <row r="75" spans="1:23">
      <c r="A75" s="2">
        <v>161</v>
      </c>
      <c r="B75" s="2">
        <v>9938</v>
      </c>
      <c r="C75" s="2" t="s">
        <v>1417</v>
      </c>
      <c r="D75" s="2" t="s">
        <v>1418</v>
      </c>
      <c r="E75" s="3" t="s">
        <v>1351</v>
      </c>
      <c r="F75" s="2" t="s">
        <v>1419</v>
      </c>
      <c r="G75" s="2" t="s">
        <v>1420</v>
      </c>
      <c r="H75" s="2" t="s">
        <v>209</v>
      </c>
      <c r="I75" s="2" t="s">
        <v>1012</v>
      </c>
      <c r="J75" s="2" t="s">
        <v>30</v>
      </c>
      <c r="K75" s="2" t="s">
        <v>30</v>
      </c>
      <c r="L75" s="2" t="s">
        <v>31</v>
      </c>
      <c r="M75" s="2" t="s">
        <v>1380</v>
      </c>
      <c r="N75" s="2" t="s">
        <v>160</v>
      </c>
      <c r="O75" s="2" t="s">
        <v>34</v>
      </c>
      <c r="P75" s="124">
        <v>16250</v>
      </c>
      <c r="Q75" s="132">
        <v>1</v>
      </c>
      <c r="R75" s="149">
        <v>8213</v>
      </c>
      <c r="S75" s="114"/>
      <c r="T75" s="123">
        <v>1334.6120000000001</v>
      </c>
      <c r="U75" s="138">
        <v>1.2999999999999999E-3</v>
      </c>
      <c r="V75" s="138">
        <v>7.7426355303043107E-2</v>
      </c>
      <c r="W75" s="138">
        <v>1.6641977647918801E-2</v>
      </c>
    </row>
    <row r="76" spans="1:23">
      <c r="A76" s="2">
        <v>161</v>
      </c>
      <c r="B76" s="2">
        <v>9938</v>
      </c>
      <c r="C76" s="2" t="s">
        <v>1425</v>
      </c>
      <c r="D76" s="2" t="s">
        <v>1426</v>
      </c>
      <c r="E76" s="3" t="s">
        <v>1351</v>
      </c>
      <c r="F76" s="2" t="s">
        <v>1515</v>
      </c>
      <c r="G76" s="2" t="s">
        <v>1516</v>
      </c>
      <c r="H76" s="2" t="s">
        <v>209</v>
      </c>
      <c r="I76" s="2" t="s">
        <v>1013</v>
      </c>
      <c r="J76" s="2" t="s">
        <v>30</v>
      </c>
      <c r="K76" s="2" t="s">
        <v>86</v>
      </c>
      <c r="L76" s="2" t="s">
        <v>31</v>
      </c>
      <c r="M76" s="2" t="s">
        <v>1406</v>
      </c>
      <c r="N76" s="2" t="s">
        <v>160</v>
      </c>
      <c r="O76" s="2" t="s">
        <v>34</v>
      </c>
      <c r="P76" s="124">
        <v>21100</v>
      </c>
      <c r="Q76" s="132">
        <v>1</v>
      </c>
      <c r="R76" s="149">
        <v>5875</v>
      </c>
      <c r="S76" s="114"/>
      <c r="T76" s="123">
        <v>1239.625</v>
      </c>
      <c r="U76" s="138">
        <v>3.0299999999999999E-4</v>
      </c>
      <c r="V76" s="138">
        <v>7.1915740106236706E-2</v>
      </c>
      <c r="W76" s="138">
        <v>1.54575290893809E-2</v>
      </c>
    </row>
    <row r="77" spans="1:23">
      <c r="A77" s="2">
        <v>161</v>
      </c>
      <c r="B77" s="2">
        <v>9938</v>
      </c>
      <c r="C77" s="2" t="s">
        <v>1425</v>
      </c>
      <c r="D77" s="2" t="s">
        <v>1426</v>
      </c>
      <c r="E77" s="3" t="s">
        <v>1351</v>
      </c>
      <c r="F77" s="2" t="s">
        <v>1427</v>
      </c>
      <c r="G77" s="2" t="s">
        <v>1428</v>
      </c>
      <c r="H77" s="2" t="s">
        <v>209</v>
      </c>
      <c r="I77" s="2" t="s">
        <v>1014</v>
      </c>
      <c r="J77" s="2" t="s">
        <v>30</v>
      </c>
      <c r="K77" s="2" t="s">
        <v>30</v>
      </c>
      <c r="L77" s="2" t="s">
        <v>31</v>
      </c>
      <c r="M77" s="2" t="s">
        <v>1403</v>
      </c>
      <c r="N77" s="2" t="s">
        <v>160</v>
      </c>
      <c r="O77" s="2" t="s">
        <v>34</v>
      </c>
      <c r="P77" s="124">
        <v>8900</v>
      </c>
      <c r="Q77" s="132">
        <v>1</v>
      </c>
      <c r="R77" s="149">
        <v>3822.55</v>
      </c>
      <c r="S77" s="114"/>
      <c r="T77" s="123">
        <v>340.20699999999999</v>
      </c>
      <c r="U77" s="138">
        <v>1.2400000000000001E-4</v>
      </c>
      <c r="V77" s="138">
        <v>1.97368031449313E-2</v>
      </c>
      <c r="W77" s="138">
        <v>4.24221746579372E-3</v>
      </c>
    </row>
    <row r="78" spans="1:23">
      <c r="A78" s="2">
        <v>161</v>
      </c>
      <c r="B78" s="2">
        <v>9938</v>
      </c>
      <c r="C78" s="2" t="s">
        <v>1425</v>
      </c>
      <c r="D78" s="2" t="s">
        <v>1426</v>
      </c>
      <c r="E78" s="3" t="s">
        <v>1351</v>
      </c>
      <c r="F78" s="2" t="s">
        <v>1517</v>
      </c>
      <c r="G78" s="2" t="s">
        <v>1518</v>
      </c>
      <c r="H78" s="2" t="s">
        <v>209</v>
      </c>
      <c r="I78" s="2" t="s">
        <v>1012</v>
      </c>
      <c r="J78" s="2" t="s">
        <v>30</v>
      </c>
      <c r="K78" s="2" t="s">
        <v>30</v>
      </c>
      <c r="L78" s="2" t="s">
        <v>31</v>
      </c>
      <c r="M78" s="2" t="s">
        <v>1380</v>
      </c>
      <c r="N78" s="2" t="s">
        <v>160</v>
      </c>
      <c r="O78" s="2" t="s">
        <v>34</v>
      </c>
      <c r="P78" s="124">
        <v>3848</v>
      </c>
      <c r="Q78" s="132">
        <v>1</v>
      </c>
      <c r="R78" s="149">
        <v>28960</v>
      </c>
      <c r="S78" s="114"/>
      <c r="T78" s="123">
        <v>1114.3810000000001</v>
      </c>
      <c r="U78" s="138">
        <v>1.27E-4</v>
      </c>
      <c r="V78" s="138">
        <v>6.4649809411862602E-2</v>
      </c>
      <c r="W78" s="138">
        <v>1.38957939962872E-2</v>
      </c>
    </row>
    <row r="79" spans="1:23">
      <c r="A79" s="2">
        <v>161</v>
      </c>
      <c r="B79" s="2">
        <v>9938</v>
      </c>
      <c r="C79" s="2" t="s">
        <v>1431</v>
      </c>
      <c r="D79" s="2" t="s">
        <v>1432</v>
      </c>
      <c r="E79" s="3" t="s">
        <v>1351</v>
      </c>
      <c r="F79" s="2" t="s">
        <v>1484</v>
      </c>
      <c r="G79" s="2" t="s">
        <v>1485</v>
      </c>
      <c r="H79" s="2" t="s">
        <v>209</v>
      </c>
      <c r="I79" s="2" t="s">
        <v>1012</v>
      </c>
      <c r="J79" s="2" t="s">
        <v>30</v>
      </c>
      <c r="K79" s="2" t="s">
        <v>30</v>
      </c>
      <c r="L79" s="2" t="s">
        <v>31</v>
      </c>
      <c r="M79" s="2" t="s">
        <v>1380</v>
      </c>
      <c r="N79" s="2" t="s">
        <v>160</v>
      </c>
      <c r="O79" s="2" t="s">
        <v>34</v>
      </c>
      <c r="P79" s="124">
        <v>14127</v>
      </c>
      <c r="Q79" s="132">
        <v>1</v>
      </c>
      <c r="R79" s="149">
        <v>3001</v>
      </c>
      <c r="S79" s="114"/>
      <c r="T79" s="123">
        <v>423.95100000000002</v>
      </c>
      <c r="U79" s="138">
        <v>3.4999999999999997E-5</v>
      </c>
      <c r="V79" s="138">
        <v>2.4595155269560499E-2</v>
      </c>
      <c r="W79" s="138">
        <v>5.28646896319852E-3</v>
      </c>
    </row>
    <row r="80" spans="1:23">
      <c r="A80" s="2">
        <v>161</v>
      </c>
      <c r="B80" s="2">
        <v>9938</v>
      </c>
      <c r="C80" s="2" t="s">
        <v>1519</v>
      </c>
      <c r="D80" s="2" t="s">
        <v>1520</v>
      </c>
      <c r="E80" s="3" t="s">
        <v>206</v>
      </c>
      <c r="F80" s="2" t="s">
        <v>1521</v>
      </c>
      <c r="G80" s="2" t="s">
        <v>1522</v>
      </c>
      <c r="H80" s="2" t="s">
        <v>209</v>
      </c>
      <c r="I80" s="2" t="s">
        <v>1013</v>
      </c>
      <c r="J80" s="2" t="s">
        <v>85</v>
      </c>
      <c r="K80" s="2" t="s">
        <v>86</v>
      </c>
      <c r="L80" s="2" t="s">
        <v>1523</v>
      </c>
      <c r="M80" s="2" t="s">
        <v>768</v>
      </c>
      <c r="N80" s="2" t="s">
        <v>160</v>
      </c>
      <c r="O80" s="2" t="s">
        <v>1200</v>
      </c>
      <c r="P80" s="124">
        <v>630</v>
      </c>
      <c r="Q80" s="132">
        <v>3.9552</v>
      </c>
      <c r="R80" s="149">
        <v>21885</v>
      </c>
      <c r="S80" s="114"/>
      <c r="T80" s="123">
        <v>545.32500000000005</v>
      </c>
      <c r="U80" s="138">
        <v>0</v>
      </c>
      <c r="V80" s="138">
        <v>3.1636554398038898E-2</v>
      </c>
      <c r="W80" s="138">
        <v>6.7999433666824901E-3</v>
      </c>
    </row>
    <row r="81" spans="1:23">
      <c r="A81" s="2">
        <v>161</v>
      </c>
      <c r="B81" s="2">
        <v>9938</v>
      </c>
      <c r="C81" s="2" t="s">
        <v>1437</v>
      </c>
      <c r="D81" s="2" t="s">
        <v>1438</v>
      </c>
      <c r="E81" s="3" t="s">
        <v>206</v>
      </c>
      <c r="F81" s="2" t="s">
        <v>1524</v>
      </c>
      <c r="G81" s="2" t="s">
        <v>1525</v>
      </c>
      <c r="H81" s="2" t="s">
        <v>209</v>
      </c>
      <c r="I81" s="2" t="s">
        <v>1013</v>
      </c>
      <c r="J81" s="2" t="s">
        <v>85</v>
      </c>
      <c r="K81" s="2" t="s">
        <v>86</v>
      </c>
      <c r="L81" s="2" t="s">
        <v>378</v>
      </c>
      <c r="M81" s="2" t="s">
        <v>768</v>
      </c>
      <c r="N81" s="2" t="s">
        <v>160</v>
      </c>
      <c r="O81" s="2" t="s">
        <v>90</v>
      </c>
      <c r="P81" s="124">
        <v>1590</v>
      </c>
      <c r="Q81" s="132">
        <v>3.3719999999999999</v>
      </c>
      <c r="R81" s="149">
        <v>5237</v>
      </c>
      <c r="S81" s="114"/>
      <c r="T81" s="123">
        <v>280.78100000000001</v>
      </c>
      <c r="U81" s="138">
        <v>1.9999999999999999E-6</v>
      </c>
      <c r="V81" s="138">
        <v>1.6289242629510401E-2</v>
      </c>
      <c r="W81" s="138">
        <v>3.5012007304337498E-3</v>
      </c>
    </row>
    <row r="82" spans="1:23">
      <c r="A82" s="2">
        <v>161</v>
      </c>
      <c r="B82" s="2">
        <v>9938</v>
      </c>
      <c r="C82" s="2" t="s">
        <v>1389</v>
      </c>
      <c r="D82" s="2" t="s">
        <v>1390</v>
      </c>
      <c r="E82" s="3" t="s">
        <v>206</v>
      </c>
      <c r="F82" s="2" t="s">
        <v>1490</v>
      </c>
      <c r="G82" s="2" t="s">
        <v>1465</v>
      </c>
      <c r="H82" s="2" t="s">
        <v>209</v>
      </c>
      <c r="I82" s="2" t="s">
        <v>1013</v>
      </c>
      <c r="J82" s="2" t="s">
        <v>85</v>
      </c>
      <c r="K82" s="2" t="s">
        <v>86</v>
      </c>
      <c r="L82" s="2" t="s">
        <v>414</v>
      </c>
      <c r="M82" s="2" t="s">
        <v>768</v>
      </c>
      <c r="N82" s="2" t="s">
        <v>160</v>
      </c>
      <c r="O82" s="2" t="s">
        <v>90</v>
      </c>
      <c r="P82" s="124">
        <v>78</v>
      </c>
      <c r="Q82" s="132">
        <v>3.3719999999999999</v>
      </c>
      <c r="R82" s="149">
        <v>122758</v>
      </c>
      <c r="S82" s="114"/>
      <c r="T82" s="123">
        <v>322.87299999999999</v>
      </c>
      <c r="U82" s="138">
        <v>3.9999999999999998E-6</v>
      </c>
      <c r="V82" s="138">
        <v>1.8731199993712901E-2</v>
      </c>
      <c r="W82" s="138">
        <v>4.02607368503906E-3</v>
      </c>
    </row>
    <row r="83" spans="1:23">
      <c r="A83" s="2">
        <v>161</v>
      </c>
      <c r="B83" s="2">
        <v>9938</v>
      </c>
      <c r="C83" s="2" t="s">
        <v>1441</v>
      </c>
      <c r="D83" s="2" t="s">
        <v>1442</v>
      </c>
      <c r="E83" s="3" t="s">
        <v>206</v>
      </c>
      <c r="F83" s="2" t="s">
        <v>1511</v>
      </c>
      <c r="G83" s="2" t="s">
        <v>1512</v>
      </c>
      <c r="H83" s="2" t="s">
        <v>209</v>
      </c>
      <c r="I83" s="2" t="s">
        <v>1015</v>
      </c>
      <c r="J83" s="2" t="s">
        <v>85</v>
      </c>
      <c r="K83" s="2" t="s">
        <v>334</v>
      </c>
      <c r="L83" s="2" t="s">
        <v>414</v>
      </c>
      <c r="M83" s="2" t="s">
        <v>765</v>
      </c>
      <c r="N83" s="2" t="s">
        <v>160</v>
      </c>
      <c r="O83" s="2" t="s">
        <v>90</v>
      </c>
      <c r="P83" s="124">
        <v>4677</v>
      </c>
      <c r="Q83" s="132">
        <v>3.3719999999999999</v>
      </c>
      <c r="R83" s="149">
        <v>608.5</v>
      </c>
      <c r="S83" s="114"/>
      <c r="T83" s="123">
        <v>95.965999999999994</v>
      </c>
      <c r="U83" s="138">
        <v>1.4E-5</v>
      </c>
      <c r="V83" s="138">
        <v>5.5673579697252101E-3</v>
      </c>
      <c r="W83" s="138">
        <v>1.19664481851812E-3</v>
      </c>
    </row>
    <row r="84" spans="1:23">
      <c r="A84" s="2">
        <v>161</v>
      </c>
      <c r="B84" s="2">
        <v>9938</v>
      </c>
      <c r="C84" s="2" t="s">
        <v>1441</v>
      </c>
      <c r="D84" s="2" t="s">
        <v>1442</v>
      </c>
      <c r="E84" s="3" t="s">
        <v>206</v>
      </c>
      <c r="F84" s="2" t="s">
        <v>1443</v>
      </c>
      <c r="G84" s="2" t="s">
        <v>1444</v>
      </c>
      <c r="H84" s="2" t="s">
        <v>209</v>
      </c>
      <c r="I84" s="2" t="s">
        <v>1013</v>
      </c>
      <c r="J84" s="2" t="s">
        <v>85</v>
      </c>
      <c r="K84" s="2" t="s">
        <v>331</v>
      </c>
      <c r="L84" s="2" t="s">
        <v>402</v>
      </c>
      <c r="M84" s="2" t="s">
        <v>768</v>
      </c>
      <c r="N84" s="2" t="s">
        <v>160</v>
      </c>
      <c r="O84" s="2" t="s">
        <v>1200</v>
      </c>
      <c r="P84" s="124">
        <v>2170</v>
      </c>
      <c r="Q84" s="132">
        <v>3.9552</v>
      </c>
      <c r="R84" s="149">
        <v>5409</v>
      </c>
      <c r="S84" s="114"/>
      <c r="T84" s="123">
        <v>464.24299999999999</v>
      </c>
      <c r="U84" s="138">
        <v>1.5E-5</v>
      </c>
      <c r="V84" s="138">
        <v>2.6932631710754499E-2</v>
      </c>
      <c r="W84" s="138">
        <v>5.7888848464547199E-3</v>
      </c>
    </row>
    <row r="85" spans="1:23">
      <c r="A85" s="2">
        <v>161</v>
      </c>
      <c r="B85" s="2">
        <v>9938</v>
      </c>
      <c r="C85" s="2" t="s">
        <v>1441</v>
      </c>
      <c r="D85" s="2" t="s">
        <v>1442</v>
      </c>
      <c r="E85" s="3" t="s">
        <v>206</v>
      </c>
      <c r="F85" s="2" t="s">
        <v>1526</v>
      </c>
      <c r="G85" s="2" t="s">
        <v>1527</v>
      </c>
      <c r="H85" s="2" t="s">
        <v>209</v>
      </c>
      <c r="I85" s="2" t="s">
        <v>1013</v>
      </c>
      <c r="J85" s="2" t="s">
        <v>85</v>
      </c>
      <c r="K85" s="2" t="s">
        <v>86</v>
      </c>
      <c r="L85" s="2" t="s">
        <v>1528</v>
      </c>
      <c r="M85" s="2" t="s">
        <v>768</v>
      </c>
      <c r="N85" s="2" t="s">
        <v>160</v>
      </c>
      <c r="O85" s="2" t="s">
        <v>90</v>
      </c>
      <c r="P85" s="124">
        <v>13295</v>
      </c>
      <c r="Q85" s="132">
        <v>3.3719999999999999</v>
      </c>
      <c r="R85" s="149">
        <v>668.3</v>
      </c>
      <c r="S85" s="114"/>
      <c r="T85" s="123">
        <v>299.60399999999998</v>
      </c>
      <c r="U85" s="138">
        <v>0</v>
      </c>
      <c r="V85" s="138">
        <v>1.7381249622181301E-2</v>
      </c>
      <c r="W85" s="138">
        <v>3.73591610470483E-3</v>
      </c>
    </row>
    <row r="86" spans="1:23">
      <c r="A86" s="2">
        <v>161</v>
      </c>
      <c r="B86" s="2">
        <v>9938</v>
      </c>
      <c r="C86" s="2" t="s">
        <v>1441</v>
      </c>
      <c r="D86" s="2" t="s">
        <v>1442</v>
      </c>
      <c r="E86" s="3" t="s">
        <v>206</v>
      </c>
      <c r="F86" s="2" t="s">
        <v>1529</v>
      </c>
      <c r="G86" s="2" t="s">
        <v>1530</v>
      </c>
      <c r="H86" s="2" t="s">
        <v>209</v>
      </c>
      <c r="I86" s="2" t="s">
        <v>1013</v>
      </c>
      <c r="J86" s="2" t="s">
        <v>85</v>
      </c>
      <c r="K86" s="2" t="s">
        <v>86</v>
      </c>
      <c r="L86" s="2" t="s">
        <v>1466</v>
      </c>
      <c r="M86" s="2" t="s">
        <v>768</v>
      </c>
      <c r="N86" s="2" t="s">
        <v>160</v>
      </c>
      <c r="O86" s="2" t="s">
        <v>90</v>
      </c>
      <c r="P86" s="124">
        <v>7535</v>
      </c>
      <c r="Q86" s="132">
        <v>3.3719999999999999</v>
      </c>
      <c r="R86" s="149">
        <v>1235.085</v>
      </c>
      <c r="S86" s="114"/>
      <c r="T86" s="123">
        <v>313.81099999999998</v>
      </c>
      <c r="U86" s="138">
        <v>2.3000000000000001E-4</v>
      </c>
      <c r="V86" s="138">
        <v>1.8205443481760699E-2</v>
      </c>
      <c r="W86" s="138">
        <v>3.9130678734402803E-3</v>
      </c>
    </row>
    <row r="87" spans="1:23">
      <c r="A87" s="2">
        <v>161</v>
      </c>
      <c r="B87" s="2">
        <v>9938</v>
      </c>
      <c r="C87" s="2" t="s">
        <v>1441</v>
      </c>
      <c r="D87" s="2" t="s">
        <v>1442</v>
      </c>
      <c r="E87" s="3" t="s">
        <v>206</v>
      </c>
      <c r="F87" s="2" t="s">
        <v>1513</v>
      </c>
      <c r="G87" s="2" t="s">
        <v>1514</v>
      </c>
      <c r="H87" s="2" t="s">
        <v>209</v>
      </c>
      <c r="I87" s="2" t="s">
        <v>1015</v>
      </c>
      <c r="J87" s="2" t="s">
        <v>85</v>
      </c>
      <c r="K87" s="2" t="s">
        <v>86</v>
      </c>
      <c r="L87" s="2" t="s">
        <v>414</v>
      </c>
      <c r="M87" s="2" t="s">
        <v>765</v>
      </c>
      <c r="N87" s="2" t="s">
        <v>160</v>
      </c>
      <c r="O87" s="2" t="s">
        <v>90</v>
      </c>
      <c r="P87" s="124">
        <v>11800</v>
      </c>
      <c r="Q87" s="132">
        <v>3.3719999999999999</v>
      </c>
      <c r="R87" s="149">
        <v>614.4</v>
      </c>
      <c r="S87" s="114"/>
      <c r="T87" s="123">
        <v>244.46700000000001</v>
      </c>
      <c r="U87" s="138">
        <v>0</v>
      </c>
      <c r="V87" s="138">
        <v>1.4182552775130501E-2</v>
      </c>
      <c r="W87" s="138">
        <v>3.0483899874966E-3</v>
      </c>
    </row>
    <row r="88" spans="1:23">
      <c r="A88" s="2">
        <v>161</v>
      </c>
      <c r="B88" s="2">
        <v>9938</v>
      </c>
      <c r="C88" s="2" t="s">
        <v>1441</v>
      </c>
      <c r="D88" s="2" t="s">
        <v>1442</v>
      </c>
      <c r="E88" s="3" t="s">
        <v>206</v>
      </c>
      <c r="F88" s="2" t="s">
        <v>1531</v>
      </c>
      <c r="G88" s="2" t="s">
        <v>1532</v>
      </c>
      <c r="H88" s="2" t="s">
        <v>209</v>
      </c>
      <c r="I88" s="2" t="s">
        <v>1013</v>
      </c>
      <c r="J88" s="2" t="s">
        <v>85</v>
      </c>
      <c r="K88" s="2" t="s">
        <v>86</v>
      </c>
      <c r="L88" s="2" t="s">
        <v>378</v>
      </c>
      <c r="M88" s="2" t="s">
        <v>768</v>
      </c>
      <c r="N88" s="2" t="s">
        <v>160</v>
      </c>
      <c r="O88" s="2" t="s">
        <v>90</v>
      </c>
      <c r="P88" s="124">
        <v>440</v>
      </c>
      <c r="Q88" s="132">
        <v>3.3719999999999999</v>
      </c>
      <c r="R88" s="149">
        <v>9317</v>
      </c>
      <c r="S88" s="114"/>
      <c r="T88" s="123">
        <v>138.23400000000001</v>
      </c>
      <c r="U88" s="138">
        <v>1.7E-5</v>
      </c>
      <c r="V88" s="138">
        <v>8.0195493813162207E-3</v>
      </c>
      <c r="W88" s="138">
        <v>1.7237174735642001E-3</v>
      </c>
    </row>
    <row r="89" spans="1:23">
      <c r="A89" s="2">
        <v>161</v>
      </c>
      <c r="B89" s="2">
        <v>9938</v>
      </c>
      <c r="C89" s="2" t="s">
        <v>1441</v>
      </c>
      <c r="D89" s="2" t="s">
        <v>1442</v>
      </c>
      <c r="E89" s="3" t="s">
        <v>206</v>
      </c>
      <c r="F89" s="2" t="s">
        <v>1533</v>
      </c>
      <c r="G89" s="2" t="s">
        <v>1534</v>
      </c>
      <c r="H89" s="2" t="s">
        <v>209</v>
      </c>
      <c r="I89" s="2" t="s">
        <v>1013</v>
      </c>
      <c r="J89" s="2" t="s">
        <v>85</v>
      </c>
      <c r="K89" s="2" t="s">
        <v>86</v>
      </c>
      <c r="L89" s="2" t="s">
        <v>414</v>
      </c>
      <c r="M89" s="2" t="s">
        <v>768</v>
      </c>
      <c r="N89" s="2" t="s">
        <v>160</v>
      </c>
      <c r="O89" s="2" t="s">
        <v>90</v>
      </c>
      <c r="P89" s="124">
        <v>15</v>
      </c>
      <c r="Q89" s="132">
        <v>3.3719999999999999</v>
      </c>
      <c r="R89" s="149">
        <v>129600</v>
      </c>
      <c r="S89" s="114"/>
      <c r="T89" s="123">
        <v>65.552000000000007</v>
      </c>
      <c r="U89" s="138">
        <v>9.9999999999999995E-7</v>
      </c>
      <c r="V89" s="138">
        <v>3.8029223211916499E-3</v>
      </c>
      <c r="W89" s="138">
        <v>8.1739800379774998E-4</v>
      </c>
    </row>
    <row r="90" spans="1:23">
      <c r="A90" s="2">
        <v>161</v>
      </c>
      <c r="B90" s="2">
        <v>9938</v>
      </c>
      <c r="C90" s="2" t="s">
        <v>1535</v>
      </c>
      <c r="D90" s="2" t="s">
        <v>1536</v>
      </c>
      <c r="E90" s="3" t="s">
        <v>206</v>
      </c>
      <c r="F90" s="2" t="s">
        <v>1537</v>
      </c>
      <c r="G90" s="2" t="s">
        <v>1538</v>
      </c>
      <c r="H90" s="2" t="s">
        <v>209</v>
      </c>
      <c r="I90" s="2" t="s">
        <v>1013</v>
      </c>
      <c r="J90" s="2" t="s">
        <v>85</v>
      </c>
      <c r="K90" s="2" t="s">
        <v>306</v>
      </c>
      <c r="L90" s="2" t="s">
        <v>378</v>
      </c>
      <c r="M90" s="2" t="s">
        <v>768</v>
      </c>
      <c r="N90" s="2" t="s">
        <v>160</v>
      </c>
      <c r="O90" s="2" t="s">
        <v>90</v>
      </c>
      <c r="P90" s="124">
        <v>2300</v>
      </c>
      <c r="Q90" s="132">
        <v>3.3719999999999999</v>
      </c>
      <c r="R90" s="149">
        <v>3433</v>
      </c>
      <c r="S90" s="114"/>
      <c r="T90" s="123">
        <v>266.25</v>
      </c>
      <c r="U90" s="138">
        <v>9.0000000000000002E-6</v>
      </c>
      <c r="V90" s="138">
        <v>1.5446241952622E-2</v>
      </c>
      <c r="W90" s="138">
        <v>3.3200066348696802E-3</v>
      </c>
    </row>
    <row r="91" spans="1:23">
      <c r="A91" s="2">
        <v>161</v>
      </c>
      <c r="B91" s="2">
        <v>9938</v>
      </c>
      <c r="C91" s="2" t="s">
        <v>1491</v>
      </c>
      <c r="D91" s="2" t="s">
        <v>1492</v>
      </c>
      <c r="E91" s="3" t="s">
        <v>206</v>
      </c>
      <c r="F91" s="2" t="s">
        <v>1539</v>
      </c>
      <c r="G91" s="2" t="s">
        <v>1540</v>
      </c>
      <c r="H91" s="2" t="s">
        <v>209</v>
      </c>
      <c r="I91" s="2" t="s">
        <v>1013</v>
      </c>
      <c r="J91" s="2" t="s">
        <v>85</v>
      </c>
      <c r="K91" s="2" t="s">
        <v>331</v>
      </c>
      <c r="L91" s="2" t="s">
        <v>1541</v>
      </c>
      <c r="M91" s="2" t="s">
        <v>768</v>
      </c>
      <c r="N91" s="2" t="s">
        <v>160</v>
      </c>
      <c r="O91" s="2" t="s">
        <v>1200</v>
      </c>
      <c r="P91" s="124">
        <v>1470</v>
      </c>
      <c r="Q91" s="132">
        <v>3.9552</v>
      </c>
      <c r="R91" s="149">
        <v>25882</v>
      </c>
      <c r="S91" s="114"/>
      <c r="T91" s="123">
        <v>1504.817</v>
      </c>
      <c r="U91" s="138">
        <v>4.3000000000000002E-5</v>
      </c>
      <c r="V91" s="138">
        <v>8.73006032520037E-2</v>
      </c>
      <c r="W91" s="138">
        <v>1.8764342997720399E-2</v>
      </c>
    </row>
    <row r="92" spans="1:23">
      <c r="A92" s="2">
        <v>161</v>
      </c>
      <c r="B92" s="2">
        <v>9938</v>
      </c>
      <c r="C92" s="2" t="s">
        <v>1437</v>
      </c>
      <c r="D92" s="2" t="s">
        <v>1438</v>
      </c>
      <c r="E92" s="3" t="s">
        <v>206</v>
      </c>
      <c r="F92" s="2" t="s">
        <v>1495</v>
      </c>
      <c r="G92" s="2" t="s">
        <v>1496</v>
      </c>
      <c r="H92" s="2" t="s">
        <v>209</v>
      </c>
      <c r="I92" s="2" t="s">
        <v>1013</v>
      </c>
      <c r="J92" s="2" t="s">
        <v>85</v>
      </c>
      <c r="K92" s="2" t="s">
        <v>86</v>
      </c>
      <c r="L92" s="2" t="s">
        <v>414</v>
      </c>
      <c r="M92" s="2" t="s">
        <v>768</v>
      </c>
      <c r="N92" s="2" t="s">
        <v>160</v>
      </c>
      <c r="O92" s="2" t="s">
        <v>90</v>
      </c>
      <c r="P92" s="124">
        <v>10280</v>
      </c>
      <c r="Q92" s="132">
        <v>3.3719999999999999</v>
      </c>
      <c r="R92" s="149">
        <v>1515</v>
      </c>
      <c r="S92" s="114"/>
      <c r="T92" s="123">
        <v>525.16200000000003</v>
      </c>
      <c r="U92" s="138">
        <v>0</v>
      </c>
      <c r="V92" s="138">
        <v>3.0466807003448001E-2</v>
      </c>
      <c r="W92" s="138">
        <v>6.5485185137587002E-3</v>
      </c>
    </row>
    <row r="93" spans="1:23">
      <c r="A93" s="2">
        <v>161</v>
      </c>
      <c r="B93" s="2">
        <v>9938</v>
      </c>
      <c r="C93" s="2" t="s">
        <v>1437</v>
      </c>
      <c r="D93" s="2" t="s">
        <v>1438</v>
      </c>
      <c r="E93" s="3" t="s">
        <v>206</v>
      </c>
      <c r="F93" s="2" t="s">
        <v>1542</v>
      </c>
      <c r="G93" s="2" t="s">
        <v>1543</v>
      </c>
      <c r="H93" s="2" t="s">
        <v>209</v>
      </c>
      <c r="I93" s="2" t="s">
        <v>1013</v>
      </c>
      <c r="J93" s="2" t="s">
        <v>85</v>
      </c>
      <c r="K93" s="2" t="s">
        <v>86</v>
      </c>
      <c r="L93" s="2" t="s">
        <v>414</v>
      </c>
      <c r="M93" s="2" t="s">
        <v>768</v>
      </c>
      <c r="N93" s="2" t="s">
        <v>160</v>
      </c>
      <c r="O93" s="2" t="s">
        <v>90</v>
      </c>
      <c r="P93" s="124">
        <v>174</v>
      </c>
      <c r="Q93" s="132">
        <v>3.3719999999999999</v>
      </c>
      <c r="R93" s="149">
        <v>13211</v>
      </c>
      <c r="S93" s="114"/>
      <c r="T93" s="123">
        <v>77.513000000000005</v>
      </c>
      <c r="U93" s="138">
        <v>0</v>
      </c>
      <c r="V93" s="138">
        <v>4.4968265332488398E-3</v>
      </c>
      <c r="W93" s="138">
        <v>9.6654538832404401E-4</v>
      </c>
    </row>
    <row r="94" spans="1:23">
      <c r="A94" s="2">
        <v>161</v>
      </c>
      <c r="B94" s="2">
        <v>9938</v>
      </c>
      <c r="C94" s="2" t="s">
        <v>1451</v>
      </c>
      <c r="D94" s="2" t="s">
        <v>1452</v>
      </c>
      <c r="E94" s="3" t="s">
        <v>206</v>
      </c>
      <c r="F94" s="2" t="s">
        <v>1544</v>
      </c>
      <c r="G94" s="2" t="s">
        <v>1545</v>
      </c>
      <c r="H94" s="2" t="s">
        <v>209</v>
      </c>
      <c r="I94" s="2" t="s">
        <v>1015</v>
      </c>
      <c r="J94" s="2" t="s">
        <v>85</v>
      </c>
      <c r="K94" s="2" t="s">
        <v>86</v>
      </c>
      <c r="L94" s="2" t="s">
        <v>414</v>
      </c>
      <c r="M94" s="2" t="s">
        <v>765</v>
      </c>
      <c r="N94" s="2" t="s">
        <v>160</v>
      </c>
      <c r="O94" s="2" t="s">
        <v>90</v>
      </c>
      <c r="P94" s="124">
        <v>3600</v>
      </c>
      <c r="Q94" s="132">
        <v>3.3719999999999999</v>
      </c>
      <c r="R94" s="149">
        <v>5902</v>
      </c>
      <c r="S94" s="114"/>
      <c r="T94" s="123">
        <v>716.45600000000002</v>
      </c>
      <c r="U94" s="138">
        <v>0</v>
      </c>
      <c r="V94" s="138">
        <v>4.1564532480876097E-2</v>
      </c>
      <c r="W94" s="138">
        <v>8.9338574415080002E-3</v>
      </c>
    </row>
    <row r="95" spans="1:23">
      <c r="A95" s="2">
        <v>161</v>
      </c>
      <c r="B95" s="2">
        <v>9938</v>
      </c>
      <c r="C95" s="2" t="s">
        <v>1451</v>
      </c>
      <c r="D95" s="2" t="s">
        <v>1452</v>
      </c>
      <c r="E95" s="3" t="s">
        <v>206</v>
      </c>
      <c r="F95" s="2" t="s">
        <v>1546</v>
      </c>
      <c r="G95" s="2" t="s">
        <v>1547</v>
      </c>
      <c r="H95" s="2" t="s">
        <v>209</v>
      </c>
      <c r="I95" s="2" t="s">
        <v>1013</v>
      </c>
      <c r="J95" s="2" t="s">
        <v>85</v>
      </c>
      <c r="K95" s="2" t="s">
        <v>1469</v>
      </c>
      <c r="L95" s="2" t="s">
        <v>414</v>
      </c>
      <c r="M95" s="2" t="s">
        <v>768</v>
      </c>
      <c r="N95" s="2" t="s">
        <v>160</v>
      </c>
      <c r="O95" s="2" t="s">
        <v>90</v>
      </c>
      <c r="P95" s="124">
        <v>2680</v>
      </c>
      <c r="Q95" s="132">
        <v>3.3719999999999999</v>
      </c>
      <c r="R95" s="149">
        <v>7048</v>
      </c>
      <c r="S95" s="114"/>
      <c r="T95" s="123">
        <v>636.92499999999995</v>
      </c>
      <c r="U95" s="138">
        <v>0</v>
      </c>
      <c r="V95" s="138">
        <v>3.6950633062218803E-2</v>
      </c>
      <c r="W95" s="138">
        <v>7.9421484724559299E-3</v>
      </c>
    </row>
    <row r="96" spans="1:23">
      <c r="A96" s="2">
        <v>161</v>
      </c>
      <c r="B96" s="2">
        <v>9938</v>
      </c>
      <c r="C96" s="2" t="s">
        <v>1451</v>
      </c>
      <c r="D96" s="2" t="s">
        <v>1452</v>
      </c>
      <c r="E96" s="3" t="s">
        <v>206</v>
      </c>
      <c r="F96" s="2" t="s">
        <v>1453</v>
      </c>
      <c r="G96" s="2" t="s">
        <v>1454</v>
      </c>
      <c r="H96" s="2" t="s">
        <v>209</v>
      </c>
      <c r="I96" s="2" t="s">
        <v>1013</v>
      </c>
      <c r="J96" s="2" t="s">
        <v>85</v>
      </c>
      <c r="K96" s="2" t="s">
        <v>86</v>
      </c>
      <c r="L96" s="2" t="s">
        <v>378</v>
      </c>
      <c r="M96" s="2" t="s">
        <v>768</v>
      </c>
      <c r="N96" s="2" t="s">
        <v>160</v>
      </c>
      <c r="O96" s="2" t="s">
        <v>90</v>
      </c>
      <c r="P96" s="124">
        <v>510</v>
      </c>
      <c r="Q96" s="132">
        <v>3.3719999999999999</v>
      </c>
      <c r="R96" s="149">
        <v>56803</v>
      </c>
      <c r="S96" s="127">
        <v>0.66700000000000004</v>
      </c>
      <c r="T96" s="123">
        <v>979.10299999999995</v>
      </c>
      <c r="U96" s="138">
        <v>9.9999999999999995E-7</v>
      </c>
      <c r="V96" s="138">
        <v>5.6801779985872297E-2</v>
      </c>
      <c r="W96" s="138">
        <v>1.2208942926307901E-2</v>
      </c>
    </row>
    <row r="97" spans="1:23">
      <c r="A97" s="2">
        <v>161</v>
      </c>
      <c r="B97" s="2">
        <v>9938</v>
      </c>
      <c r="C97" s="2" t="s">
        <v>1548</v>
      </c>
      <c r="D97" s="2" t="s">
        <v>1549</v>
      </c>
      <c r="E97" s="3" t="s">
        <v>206</v>
      </c>
      <c r="F97" s="2" t="s">
        <v>1550</v>
      </c>
      <c r="G97" s="2" t="s">
        <v>1551</v>
      </c>
      <c r="H97" s="2" t="s">
        <v>209</v>
      </c>
      <c r="I97" s="2" t="s">
        <v>1013</v>
      </c>
      <c r="J97" s="2" t="s">
        <v>85</v>
      </c>
      <c r="K97" s="2" t="s">
        <v>289</v>
      </c>
      <c r="L97" s="2" t="s">
        <v>378</v>
      </c>
      <c r="M97" s="2" t="s">
        <v>768</v>
      </c>
      <c r="N97" s="2" t="s">
        <v>160</v>
      </c>
      <c r="O97" s="2" t="s">
        <v>90</v>
      </c>
      <c r="P97" s="124">
        <v>1500</v>
      </c>
      <c r="Q97" s="132">
        <v>3.3719999999999999</v>
      </c>
      <c r="R97" s="149">
        <v>11427</v>
      </c>
      <c r="S97" s="114"/>
      <c r="T97" s="123">
        <v>577.97799999999995</v>
      </c>
      <c r="U97" s="138">
        <v>4.8000000000000001E-5</v>
      </c>
      <c r="V97" s="138">
        <v>3.3530859077358803E-2</v>
      </c>
      <c r="W97" s="138">
        <v>7.2071041584852499E-3</v>
      </c>
    </row>
    <row r="98" spans="1:23">
      <c r="A98" s="2">
        <v>161</v>
      </c>
      <c r="B98" s="2">
        <v>9942</v>
      </c>
      <c r="C98" s="2" t="s">
        <v>1376</v>
      </c>
      <c r="D98" s="2" t="s">
        <v>1377</v>
      </c>
      <c r="E98" s="3" t="s">
        <v>1351</v>
      </c>
      <c r="F98" s="2" t="s">
        <v>1399</v>
      </c>
      <c r="G98" s="2" t="s">
        <v>1400</v>
      </c>
      <c r="H98" s="2" t="s">
        <v>209</v>
      </c>
      <c r="I98" s="2" t="s">
        <v>1012</v>
      </c>
      <c r="J98" s="2" t="s">
        <v>30</v>
      </c>
      <c r="K98" s="2" t="s">
        <v>30</v>
      </c>
      <c r="L98" s="2" t="s">
        <v>31</v>
      </c>
      <c r="M98" s="2" t="s">
        <v>1380</v>
      </c>
      <c r="N98" s="2" t="s">
        <v>160</v>
      </c>
      <c r="O98" s="2" t="s">
        <v>34</v>
      </c>
      <c r="P98" s="124">
        <v>15400</v>
      </c>
      <c r="Q98" s="132">
        <v>1</v>
      </c>
      <c r="R98" s="149">
        <v>4659</v>
      </c>
      <c r="S98" s="114"/>
      <c r="T98" s="123">
        <v>717.48599999999999</v>
      </c>
      <c r="U98" s="138">
        <v>1.8100000000000001E-4</v>
      </c>
      <c r="V98" s="138">
        <v>5.5423911309913601E-2</v>
      </c>
      <c r="W98" s="138">
        <v>7.5563154163268802E-3</v>
      </c>
    </row>
    <row r="99" spans="1:23">
      <c r="A99" s="2">
        <v>161</v>
      </c>
      <c r="B99" s="2">
        <v>9942</v>
      </c>
      <c r="C99" s="2" t="s">
        <v>1376</v>
      </c>
      <c r="D99" s="2" t="s">
        <v>1377</v>
      </c>
      <c r="E99" s="3" t="s">
        <v>1351</v>
      </c>
      <c r="F99" s="2" t="s">
        <v>1455</v>
      </c>
      <c r="G99" s="2" t="s">
        <v>1456</v>
      </c>
      <c r="H99" s="2" t="s">
        <v>209</v>
      </c>
      <c r="I99" s="2" t="s">
        <v>1014</v>
      </c>
      <c r="J99" s="2" t="s">
        <v>30</v>
      </c>
      <c r="K99" s="2" t="s">
        <v>30</v>
      </c>
      <c r="L99" s="2" t="s">
        <v>31</v>
      </c>
      <c r="M99" s="2" t="s">
        <v>1403</v>
      </c>
      <c r="N99" s="2" t="s">
        <v>160</v>
      </c>
      <c r="O99" s="2" t="s">
        <v>34</v>
      </c>
      <c r="P99" s="124">
        <v>290000</v>
      </c>
      <c r="Q99" s="132">
        <v>1</v>
      </c>
      <c r="R99" s="149">
        <v>482.69</v>
      </c>
      <c r="S99" s="114"/>
      <c r="T99" s="123">
        <v>1399.8009999999999</v>
      </c>
      <c r="U99" s="138">
        <v>1.178E-3</v>
      </c>
      <c r="V99" s="138">
        <v>0.108130955134356</v>
      </c>
      <c r="W99" s="138">
        <v>1.47422219751881E-2</v>
      </c>
    </row>
    <row r="100" spans="1:23">
      <c r="A100" s="2">
        <v>161</v>
      </c>
      <c r="B100" s="2">
        <v>9942</v>
      </c>
      <c r="C100" s="2" t="s">
        <v>1407</v>
      </c>
      <c r="D100" s="2" t="s">
        <v>1408</v>
      </c>
      <c r="E100" s="3" t="s">
        <v>1351</v>
      </c>
      <c r="F100" s="2" t="s">
        <v>1409</v>
      </c>
      <c r="G100" s="2" t="s">
        <v>1410</v>
      </c>
      <c r="H100" s="2" t="s">
        <v>209</v>
      </c>
      <c r="I100" s="2" t="s">
        <v>1012</v>
      </c>
      <c r="J100" s="2" t="s">
        <v>30</v>
      </c>
      <c r="K100" s="2" t="s">
        <v>30</v>
      </c>
      <c r="L100" s="2" t="s">
        <v>31</v>
      </c>
      <c r="M100" s="2" t="s">
        <v>1380</v>
      </c>
      <c r="N100" s="2" t="s">
        <v>160</v>
      </c>
      <c r="O100" s="2" t="s">
        <v>34</v>
      </c>
      <c r="P100" s="124">
        <v>16400</v>
      </c>
      <c r="Q100" s="132">
        <v>1</v>
      </c>
      <c r="R100" s="149">
        <v>3032</v>
      </c>
      <c r="S100" s="114"/>
      <c r="T100" s="123">
        <v>497.24799999999999</v>
      </c>
      <c r="U100" s="138">
        <v>6.6000000000000005E-5</v>
      </c>
      <c r="V100" s="138">
        <v>3.8411103563040797E-2</v>
      </c>
      <c r="W100" s="138">
        <v>5.23684466057555E-3</v>
      </c>
    </row>
    <row r="101" spans="1:23">
      <c r="A101" s="2">
        <v>161</v>
      </c>
      <c r="B101" s="2">
        <v>9942</v>
      </c>
      <c r="C101" s="2" t="s">
        <v>1407</v>
      </c>
      <c r="D101" s="2" t="s">
        <v>1408</v>
      </c>
      <c r="E101" s="3" t="s">
        <v>1351</v>
      </c>
      <c r="F101" s="2" t="s">
        <v>1413</v>
      </c>
      <c r="G101" s="2" t="s">
        <v>1414</v>
      </c>
      <c r="H101" s="2" t="s">
        <v>209</v>
      </c>
      <c r="I101" s="2" t="s">
        <v>1014</v>
      </c>
      <c r="J101" s="2" t="s">
        <v>30</v>
      </c>
      <c r="K101" s="2" t="s">
        <v>30</v>
      </c>
      <c r="L101" s="2" t="s">
        <v>31</v>
      </c>
      <c r="M101" s="2" t="s">
        <v>1403</v>
      </c>
      <c r="N101" s="2" t="s">
        <v>160</v>
      </c>
      <c r="O101" s="2" t="s">
        <v>34</v>
      </c>
      <c r="P101" s="124">
        <v>413000</v>
      </c>
      <c r="Q101" s="132">
        <v>1</v>
      </c>
      <c r="R101" s="149">
        <v>415.44</v>
      </c>
      <c r="S101" s="114"/>
      <c r="T101" s="123">
        <v>1715.7670000000001</v>
      </c>
      <c r="U101" s="138">
        <v>1.513E-3</v>
      </c>
      <c r="V101" s="138">
        <v>0.132538515206232</v>
      </c>
      <c r="W101" s="138">
        <v>1.8069869160078401E-2</v>
      </c>
    </row>
    <row r="102" spans="1:23">
      <c r="A102" s="2">
        <v>161</v>
      </c>
      <c r="B102" s="2">
        <v>9942</v>
      </c>
      <c r="C102" s="2" t="s">
        <v>1407</v>
      </c>
      <c r="D102" s="2" t="s">
        <v>1408</v>
      </c>
      <c r="E102" s="3" t="s">
        <v>1351</v>
      </c>
      <c r="F102" s="2" t="s">
        <v>1415</v>
      </c>
      <c r="G102" s="2" t="s">
        <v>1416</v>
      </c>
      <c r="H102" s="2" t="s">
        <v>209</v>
      </c>
      <c r="I102" s="2" t="s">
        <v>1012</v>
      </c>
      <c r="J102" s="2" t="s">
        <v>30</v>
      </c>
      <c r="K102" s="2" t="s">
        <v>30</v>
      </c>
      <c r="L102" s="2" t="s">
        <v>31</v>
      </c>
      <c r="M102" s="2" t="s">
        <v>1380</v>
      </c>
      <c r="N102" s="2" t="s">
        <v>160</v>
      </c>
      <c r="O102" s="2" t="s">
        <v>34</v>
      </c>
      <c r="P102" s="124">
        <v>17900</v>
      </c>
      <c r="Q102" s="132">
        <v>1</v>
      </c>
      <c r="R102" s="149">
        <v>2968</v>
      </c>
      <c r="S102" s="114"/>
      <c r="T102" s="123">
        <v>531.27200000000005</v>
      </c>
      <c r="U102" s="138">
        <v>8.7000000000000001E-5</v>
      </c>
      <c r="V102" s="138">
        <v>4.1039368307451897E-2</v>
      </c>
      <c r="W102" s="138">
        <v>5.5951737091215897E-3</v>
      </c>
    </row>
    <row r="103" spans="1:23">
      <c r="A103" s="2">
        <v>161</v>
      </c>
      <c r="B103" s="2">
        <v>9942</v>
      </c>
      <c r="C103" s="2" t="s">
        <v>1417</v>
      </c>
      <c r="D103" s="2" t="s">
        <v>1418</v>
      </c>
      <c r="E103" s="3" t="s">
        <v>1351</v>
      </c>
      <c r="F103" s="2" t="s">
        <v>1419</v>
      </c>
      <c r="G103" s="2" t="s">
        <v>1420</v>
      </c>
      <c r="H103" s="2" t="s">
        <v>209</v>
      </c>
      <c r="I103" s="2" t="s">
        <v>1012</v>
      </c>
      <c r="J103" s="2" t="s">
        <v>30</v>
      </c>
      <c r="K103" s="2" t="s">
        <v>30</v>
      </c>
      <c r="L103" s="2" t="s">
        <v>31</v>
      </c>
      <c r="M103" s="2" t="s">
        <v>1380</v>
      </c>
      <c r="N103" s="2" t="s">
        <v>160</v>
      </c>
      <c r="O103" s="2" t="s">
        <v>34</v>
      </c>
      <c r="P103" s="124">
        <v>4000</v>
      </c>
      <c r="Q103" s="132">
        <v>1</v>
      </c>
      <c r="R103" s="149">
        <v>8213</v>
      </c>
      <c r="S103" s="114"/>
      <c r="T103" s="123">
        <v>328.52</v>
      </c>
      <c r="U103" s="138">
        <v>3.2000000000000003E-4</v>
      </c>
      <c r="V103" s="138">
        <v>2.53773081893344E-2</v>
      </c>
      <c r="W103" s="138">
        <v>3.4598594823755501E-3</v>
      </c>
    </row>
    <row r="104" spans="1:23">
      <c r="A104" s="2">
        <v>161</v>
      </c>
      <c r="B104" s="2">
        <v>9942</v>
      </c>
      <c r="C104" s="2" t="s">
        <v>1425</v>
      </c>
      <c r="D104" s="2" t="s">
        <v>1426</v>
      </c>
      <c r="E104" s="3" t="s">
        <v>1351</v>
      </c>
      <c r="F104" s="2" t="s">
        <v>1507</v>
      </c>
      <c r="G104" s="2" t="s">
        <v>1508</v>
      </c>
      <c r="H104" s="2" t="s">
        <v>209</v>
      </c>
      <c r="I104" s="2" t="s">
        <v>1013</v>
      </c>
      <c r="J104" s="2" t="s">
        <v>30</v>
      </c>
      <c r="K104" s="2" t="s">
        <v>86</v>
      </c>
      <c r="L104" s="2" t="s">
        <v>31</v>
      </c>
      <c r="M104" s="2" t="s">
        <v>1459</v>
      </c>
      <c r="N104" s="2" t="s">
        <v>160</v>
      </c>
      <c r="O104" s="2" t="s">
        <v>34</v>
      </c>
      <c r="P104" s="124">
        <v>2000</v>
      </c>
      <c r="Q104" s="132">
        <v>1</v>
      </c>
      <c r="R104" s="149">
        <v>22980</v>
      </c>
      <c r="S104" s="114"/>
      <c r="T104" s="123">
        <v>459.6</v>
      </c>
      <c r="U104" s="138">
        <v>6.7999999999999999E-5</v>
      </c>
      <c r="V104" s="138">
        <v>3.5502894325514803E-2</v>
      </c>
      <c r="W104" s="138">
        <v>4.8403488923042899E-3</v>
      </c>
    </row>
    <row r="105" spans="1:23">
      <c r="A105" s="2">
        <v>161</v>
      </c>
      <c r="B105" s="2">
        <v>9942</v>
      </c>
      <c r="C105" s="2" t="s">
        <v>1425</v>
      </c>
      <c r="D105" s="2" t="s">
        <v>1426</v>
      </c>
      <c r="E105" s="3" t="s">
        <v>1351</v>
      </c>
      <c r="F105" s="2" t="s">
        <v>1480</v>
      </c>
      <c r="G105" s="2" t="s">
        <v>1481</v>
      </c>
      <c r="H105" s="2" t="s">
        <v>209</v>
      </c>
      <c r="I105" s="2" t="s">
        <v>1012</v>
      </c>
      <c r="J105" s="2" t="s">
        <v>30</v>
      </c>
      <c r="K105" s="2" t="s">
        <v>30</v>
      </c>
      <c r="L105" s="2" t="s">
        <v>31</v>
      </c>
      <c r="M105" s="2" t="s">
        <v>1380</v>
      </c>
      <c r="N105" s="2" t="s">
        <v>160</v>
      </c>
      <c r="O105" s="2" t="s">
        <v>34</v>
      </c>
      <c r="P105" s="124">
        <v>900</v>
      </c>
      <c r="Q105" s="132">
        <v>1</v>
      </c>
      <c r="R105" s="149">
        <v>29540</v>
      </c>
      <c r="S105" s="114"/>
      <c r="T105" s="123">
        <v>265.86</v>
      </c>
      <c r="U105" s="138">
        <v>2.5000000000000001E-5</v>
      </c>
      <c r="V105" s="138">
        <v>2.0536987566103899E-2</v>
      </c>
      <c r="W105" s="138">
        <v>2.79994594540474E-3</v>
      </c>
    </row>
    <row r="106" spans="1:23">
      <c r="A106" s="2">
        <v>161</v>
      </c>
      <c r="B106" s="2">
        <v>9942</v>
      </c>
      <c r="C106" s="2" t="s">
        <v>1425</v>
      </c>
      <c r="D106" s="2" t="s">
        <v>1426</v>
      </c>
      <c r="E106" s="3" t="s">
        <v>1351</v>
      </c>
      <c r="F106" s="2" t="s">
        <v>1517</v>
      </c>
      <c r="G106" s="2" t="s">
        <v>1518</v>
      </c>
      <c r="H106" s="2" t="s">
        <v>209</v>
      </c>
      <c r="I106" s="2" t="s">
        <v>1012</v>
      </c>
      <c r="J106" s="2" t="s">
        <v>30</v>
      </c>
      <c r="K106" s="2" t="s">
        <v>30</v>
      </c>
      <c r="L106" s="2" t="s">
        <v>31</v>
      </c>
      <c r="M106" s="2" t="s">
        <v>1380</v>
      </c>
      <c r="N106" s="2" t="s">
        <v>160</v>
      </c>
      <c r="O106" s="2" t="s">
        <v>34</v>
      </c>
      <c r="P106" s="124">
        <v>1445</v>
      </c>
      <c r="Q106" s="132">
        <v>1</v>
      </c>
      <c r="R106" s="149">
        <v>28960</v>
      </c>
      <c r="S106" s="114"/>
      <c r="T106" s="123">
        <v>418.47199999999998</v>
      </c>
      <c r="U106" s="138">
        <v>4.8000000000000001E-5</v>
      </c>
      <c r="V106" s="138">
        <v>3.2325864217116598E-2</v>
      </c>
      <c r="W106" s="138">
        <v>4.4072029627074804E-3</v>
      </c>
    </row>
    <row r="107" spans="1:23">
      <c r="A107" s="2">
        <v>161</v>
      </c>
      <c r="B107" s="2">
        <v>9942</v>
      </c>
      <c r="C107" s="2" t="s">
        <v>1519</v>
      </c>
      <c r="D107" s="2" t="s">
        <v>1520</v>
      </c>
      <c r="E107" s="3" t="s">
        <v>206</v>
      </c>
      <c r="F107" s="2" t="s">
        <v>1521</v>
      </c>
      <c r="G107" s="2" t="s">
        <v>1522</v>
      </c>
      <c r="H107" s="2" t="s">
        <v>209</v>
      </c>
      <c r="I107" s="2" t="s">
        <v>1013</v>
      </c>
      <c r="J107" s="2" t="s">
        <v>85</v>
      </c>
      <c r="K107" s="2" t="s">
        <v>86</v>
      </c>
      <c r="L107" s="2" t="s">
        <v>1523</v>
      </c>
      <c r="M107" s="2" t="s">
        <v>768</v>
      </c>
      <c r="N107" s="2" t="s">
        <v>160</v>
      </c>
      <c r="O107" s="2" t="s">
        <v>1200</v>
      </c>
      <c r="P107" s="124">
        <v>320</v>
      </c>
      <c r="Q107" s="132">
        <v>3.9552</v>
      </c>
      <c r="R107" s="149">
        <v>21885</v>
      </c>
      <c r="S107" s="114"/>
      <c r="T107" s="123">
        <v>276.99099999999999</v>
      </c>
      <c r="U107" s="138">
        <v>0</v>
      </c>
      <c r="V107" s="138">
        <v>2.13967946215485E-2</v>
      </c>
      <c r="W107" s="138">
        <v>2.9171692368428598E-3</v>
      </c>
    </row>
    <row r="108" spans="1:23">
      <c r="A108" s="2">
        <v>161</v>
      </c>
      <c r="B108" s="2">
        <v>9942</v>
      </c>
      <c r="C108" s="2" t="s">
        <v>1437</v>
      </c>
      <c r="D108" s="2" t="s">
        <v>1438</v>
      </c>
      <c r="E108" s="3" t="s">
        <v>206</v>
      </c>
      <c r="F108" s="2" t="s">
        <v>1524</v>
      </c>
      <c r="G108" s="2" t="s">
        <v>1525</v>
      </c>
      <c r="H108" s="2" t="s">
        <v>209</v>
      </c>
      <c r="I108" s="2" t="s">
        <v>1013</v>
      </c>
      <c r="J108" s="2" t="s">
        <v>85</v>
      </c>
      <c r="K108" s="2" t="s">
        <v>86</v>
      </c>
      <c r="L108" s="2" t="s">
        <v>378</v>
      </c>
      <c r="M108" s="2" t="s">
        <v>768</v>
      </c>
      <c r="N108" s="2" t="s">
        <v>160</v>
      </c>
      <c r="O108" s="2" t="s">
        <v>90</v>
      </c>
      <c r="P108" s="124">
        <v>1265</v>
      </c>
      <c r="Q108" s="132">
        <v>3.3719999999999999</v>
      </c>
      <c r="R108" s="149">
        <v>5237</v>
      </c>
      <c r="S108" s="114"/>
      <c r="T108" s="123">
        <v>223.38800000000001</v>
      </c>
      <c r="U108" s="138">
        <v>9.9999999999999995E-7</v>
      </c>
      <c r="V108" s="138">
        <v>1.7256169782674101E-2</v>
      </c>
      <c r="W108" s="138">
        <v>2.3526499424852201E-3</v>
      </c>
    </row>
    <row r="109" spans="1:23">
      <c r="A109" s="2">
        <v>161</v>
      </c>
      <c r="B109" s="2">
        <v>9942</v>
      </c>
      <c r="C109" s="2" t="s">
        <v>1389</v>
      </c>
      <c r="D109" s="2" t="s">
        <v>1390</v>
      </c>
      <c r="E109" s="3" t="s">
        <v>206</v>
      </c>
      <c r="F109" s="2" t="s">
        <v>1490</v>
      </c>
      <c r="G109" s="2" t="s">
        <v>1465</v>
      </c>
      <c r="H109" s="2" t="s">
        <v>209</v>
      </c>
      <c r="I109" s="2" t="s">
        <v>1013</v>
      </c>
      <c r="J109" s="2" t="s">
        <v>85</v>
      </c>
      <c r="K109" s="2" t="s">
        <v>86</v>
      </c>
      <c r="L109" s="2" t="s">
        <v>414</v>
      </c>
      <c r="M109" s="2" t="s">
        <v>768</v>
      </c>
      <c r="N109" s="2" t="s">
        <v>160</v>
      </c>
      <c r="O109" s="2" t="s">
        <v>90</v>
      </c>
      <c r="P109" s="124">
        <v>89</v>
      </c>
      <c r="Q109" s="132">
        <v>3.3719999999999999</v>
      </c>
      <c r="R109" s="149">
        <v>122758</v>
      </c>
      <c r="S109" s="114"/>
      <c r="T109" s="123">
        <v>368.40699999999998</v>
      </c>
      <c r="U109" s="138">
        <v>3.9999999999999998E-6</v>
      </c>
      <c r="V109" s="138">
        <v>2.8458441754308901E-2</v>
      </c>
      <c r="W109" s="138">
        <v>3.8799311898123001E-3</v>
      </c>
    </row>
    <row r="110" spans="1:23">
      <c r="A110" s="2">
        <v>161</v>
      </c>
      <c r="B110" s="2">
        <v>9942</v>
      </c>
      <c r="C110" s="2" t="s">
        <v>1441</v>
      </c>
      <c r="D110" s="2" t="s">
        <v>1442</v>
      </c>
      <c r="E110" s="3" t="s">
        <v>206</v>
      </c>
      <c r="F110" s="2" t="s">
        <v>1511</v>
      </c>
      <c r="G110" s="2" t="s">
        <v>1512</v>
      </c>
      <c r="H110" s="2" t="s">
        <v>209</v>
      </c>
      <c r="I110" s="2" t="s">
        <v>1015</v>
      </c>
      <c r="J110" s="2" t="s">
        <v>85</v>
      </c>
      <c r="K110" s="2" t="s">
        <v>334</v>
      </c>
      <c r="L110" s="2" t="s">
        <v>414</v>
      </c>
      <c r="M110" s="2" t="s">
        <v>765</v>
      </c>
      <c r="N110" s="2" t="s">
        <v>160</v>
      </c>
      <c r="O110" s="2" t="s">
        <v>90</v>
      </c>
      <c r="P110" s="124">
        <v>33416</v>
      </c>
      <c r="Q110" s="132">
        <v>3.3719999999999999</v>
      </c>
      <c r="R110" s="149">
        <v>608.5</v>
      </c>
      <c r="S110" s="114"/>
      <c r="T110" s="123">
        <v>685.65</v>
      </c>
      <c r="U110" s="138">
        <v>9.8999999999999994E-5</v>
      </c>
      <c r="V110" s="138">
        <v>5.2964679732474297E-2</v>
      </c>
      <c r="W110" s="138">
        <v>7.2210317988100001E-3</v>
      </c>
    </row>
    <row r="111" spans="1:23">
      <c r="A111" s="2">
        <v>161</v>
      </c>
      <c r="B111" s="2">
        <v>9942</v>
      </c>
      <c r="C111" s="2" t="s">
        <v>1441</v>
      </c>
      <c r="D111" s="2" t="s">
        <v>1442</v>
      </c>
      <c r="E111" s="3" t="s">
        <v>206</v>
      </c>
      <c r="F111" s="2" t="s">
        <v>1443</v>
      </c>
      <c r="G111" s="2" t="s">
        <v>1444</v>
      </c>
      <c r="H111" s="2" t="s">
        <v>209</v>
      </c>
      <c r="I111" s="2" t="s">
        <v>1013</v>
      </c>
      <c r="J111" s="2" t="s">
        <v>85</v>
      </c>
      <c r="K111" s="2" t="s">
        <v>331</v>
      </c>
      <c r="L111" s="2" t="s">
        <v>402</v>
      </c>
      <c r="M111" s="2" t="s">
        <v>768</v>
      </c>
      <c r="N111" s="2" t="s">
        <v>160</v>
      </c>
      <c r="O111" s="2" t="s">
        <v>1200</v>
      </c>
      <c r="P111" s="124">
        <v>1870</v>
      </c>
      <c r="Q111" s="132">
        <v>3.9552</v>
      </c>
      <c r="R111" s="149">
        <v>5409</v>
      </c>
      <c r="S111" s="114"/>
      <c r="T111" s="123">
        <v>400.06200000000001</v>
      </c>
      <c r="U111" s="138">
        <v>1.2999999999999999E-5</v>
      </c>
      <c r="V111" s="138">
        <v>3.0903721176301899E-2</v>
      </c>
      <c r="W111" s="138">
        <v>4.2133126159320401E-3</v>
      </c>
    </row>
    <row r="112" spans="1:23">
      <c r="A112" s="2">
        <v>161</v>
      </c>
      <c r="B112" s="2">
        <v>9942</v>
      </c>
      <c r="C112" s="2" t="s">
        <v>1441</v>
      </c>
      <c r="D112" s="2" t="s">
        <v>1442</v>
      </c>
      <c r="E112" s="3" t="s">
        <v>206</v>
      </c>
      <c r="F112" s="2" t="s">
        <v>1526</v>
      </c>
      <c r="G112" s="2" t="s">
        <v>1527</v>
      </c>
      <c r="H112" s="2" t="s">
        <v>209</v>
      </c>
      <c r="I112" s="2" t="s">
        <v>1013</v>
      </c>
      <c r="J112" s="2" t="s">
        <v>85</v>
      </c>
      <c r="K112" s="2" t="s">
        <v>86</v>
      </c>
      <c r="L112" s="2" t="s">
        <v>1528</v>
      </c>
      <c r="M112" s="2" t="s">
        <v>768</v>
      </c>
      <c r="N112" s="2" t="s">
        <v>160</v>
      </c>
      <c r="O112" s="2" t="s">
        <v>90</v>
      </c>
      <c r="P112" s="124">
        <v>11150</v>
      </c>
      <c r="Q112" s="132">
        <v>3.3719999999999999</v>
      </c>
      <c r="R112" s="149">
        <v>668.3</v>
      </c>
      <c r="S112" s="114"/>
      <c r="T112" s="123">
        <v>251.26599999999999</v>
      </c>
      <c r="U112" s="138">
        <v>0</v>
      </c>
      <c r="V112" s="138">
        <v>1.9409646874622901E-2</v>
      </c>
      <c r="W112" s="138">
        <v>2.6462479900428901E-3</v>
      </c>
    </row>
    <row r="113" spans="1:23">
      <c r="A113" s="2">
        <v>161</v>
      </c>
      <c r="B113" s="2">
        <v>9942</v>
      </c>
      <c r="C113" s="2" t="s">
        <v>1441</v>
      </c>
      <c r="D113" s="2" t="s">
        <v>1442</v>
      </c>
      <c r="E113" s="3" t="s">
        <v>206</v>
      </c>
      <c r="F113" s="2" t="s">
        <v>1529</v>
      </c>
      <c r="G113" s="2" t="s">
        <v>1530</v>
      </c>
      <c r="H113" s="2" t="s">
        <v>209</v>
      </c>
      <c r="I113" s="2" t="s">
        <v>1013</v>
      </c>
      <c r="J113" s="2" t="s">
        <v>85</v>
      </c>
      <c r="K113" s="2" t="s">
        <v>86</v>
      </c>
      <c r="L113" s="2" t="s">
        <v>1466</v>
      </c>
      <c r="M113" s="2" t="s">
        <v>768</v>
      </c>
      <c r="N113" s="2" t="s">
        <v>160</v>
      </c>
      <c r="O113" s="2" t="s">
        <v>90</v>
      </c>
      <c r="P113" s="124">
        <v>6320</v>
      </c>
      <c r="Q113" s="132">
        <v>3.3719999999999999</v>
      </c>
      <c r="R113" s="149">
        <v>1235.085</v>
      </c>
      <c r="S113" s="114"/>
      <c r="T113" s="123">
        <v>263.209</v>
      </c>
      <c r="U113" s="138">
        <v>1.93E-4</v>
      </c>
      <c r="V113" s="138">
        <v>2.0332238533245301E-2</v>
      </c>
      <c r="W113" s="138">
        <v>2.7720311296347598E-3</v>
      </c>
    </row>
    <row r="114" spans="1:23">
      <c r="A114" s="2">
        <v>161</v>
      </c>
      <c r="B114" s="2">
        <v>9942</v>
      </c>
      <c r="C114" s="2" t="s">
        <v>1441</v>
      </c>
      <c r="D114" s="2" t="s">
        <v>1442</v>
      </c>
      <c r="E114" s="3" t="s">
        <v>206</v>
      </c>
      <c r="F114" s="2" t="s">
        <v>1513</v>
      </c>
      <c r="G114" s="2" t="s">
        <v>1514</v>
      </c>
      <c r="H114" s="2" t="s">
        <v>209</v>
      </c>
      <c r="I114" s="2" t="s">
        <v>1015</v>
      </c>
      <c r="J114" s="2" t="s">
        <v>85</v>
      </c>
      <c r="K114" s="2" t="s">
        <v>86</v>
      </c>
      <c r="L114" s="2" t="s">
        <v>414</v>
      </c>
      <c r="M114" s="2" t="s">
        <v>765</v>
      </c>
      <c r="N114" s="2" t="s">
        <v>160</v>
      </c>
      <c r="O114" s="2" t="s">
        <v>90</v>
      </c>
      <c r="P114" s="124">
        <v>33100</v>
      </c>
      <c r="Q114" s="132">
        <v>3.3719999999999999</v>
      </c>
      <c r="R114" s="149">
        <v>614.4</v>
      </c>
      <c r="S114" s="114"/>
      <c r="T114" s="123">
        <v>685.75199999999995</v>
      </c>
      <c r="U114" s="138">
        <v>0</v>
      </c>
      <c r="V114" s="138">
        <v>5.2972504496226203E-2</v>
      </c>
      <c r="W114" s="138">
        <v>7.2220986015954797E-3</v>
      </c>
    </row>
    <row r="115" spans="1:23">
      <c r="A115" s="2">
        <v>161</v>
      </c>
      <c r="B115" s="2">
        <v>9942</v>
      </c>
      <c r="C115" s="2" t="s">
        <v>1441</v>
      </c>
      <c r="D115" s="2" t="s">
        <v>1442</v>
      </c>
      <c r="E115" s="3" t="s">
        <v>206</v>
      </c>
      <c r="F115" s="2" t="s">
        <v>1531</v>
      </c>
      <c r="G115" s="2" t="s">
        <v>1532</v>
      </c>
      <c r="H115" s="2" t="s">
        <v>209</v>
      </c>
      <c r="I115" s="2" t="s">
        <v>1013</v>
      </c>
      <c r="J115" s="2" t="s">
        <v>85</v>
      </c>
      <c r="K115" s="2" t="s">
        <v>86</v>
      </c>
      <c r="L115" s="2" t="s">
        <v>378</v>
      </c>
      <c r="M115" s="2" t="s">
        <v>768</v>
      </c>
      <c r="N115" s="2" t="s">
        <v>160</v>
      </c>
      <c r="O115" s="2" t="s">
        <v>90</v>
      </c>
      <c r="P115" s="124">
        <v>510</v>
      </c>
      <c r="Q115" s="132">
        <v>3.3719999999999999</v>
      </c>
      <c r="R115" s="149">
        <v>9317</v>
      </c>
      <c r="S115" s="114"/>
      <c r="T115" s="123">
        <v>160.226</v>
      </c>
      <c r="U115" s="138">
        <v>2.0000000000000002E-5</v>
      </c>
      <c r="V115" s="138">
        <v>1.2377062309190799E-2</v>
      </c>
      <c r="W115" s="138">
        <v>1.6874483327748899E-3</v>
      </c>
    </row>
    <row r="116" spans="1:23">
      <c r="A116" s="2">
        <v>161</v>
      </c>
      <c r="B116" s="2">
        <v>9942</v>
      </c>
      <c r="C116" s="2" t="s">
        <v>1441</v>
      </c>
      <c r="D116" s="2" t="s">
        <v>1442</v>
      </c>
      <c r="E116" s="3" t="s">
        <v>206</v>
      </c>
      <c r="F116" s="2" t="s">
        <v>1533</v>
      </c>
      <c r="G116" s="2" t="s">
        <v>1534</v>
      </c>
      <c r="H116" s="2" t="s">
        <v>209</v>
      </c>
      <c r="I116" s="2" t="s">
        <v>1013</v>
      </c>
      <c r="J116" s="2" t="s">
        <v>85</v>
      </c>
      <c r="K116" s="2" t="s">
        <v>86</v>
      </c>
      <c r="L116" s="2" t="s">
        <v>414</v>
      </c>
      <c r="M116" s="2" t="s">
        <v>768</v>
      </c>
      <c r="N116" s="2" t="s">
        <v>160</v>
      </c>
      <c r="O116" s="2" t="s">
        <v>90</v>
      </c>
      <c r="P116" s="124">
        <v>6</v>
      </c>
      <c r="Q116" s="132">
        <v>3.3719999999999999</v>
      </c>
      <c r="R116" s="149">
        <v>129600</v>
      </c>
      <c r="S116" s="114"/>
      <c r="T116" s="123">
        <v>26.221</v>
      </c>
      <c r="U116" s="138">
        <v>9.9999999999999995E-7</v>
      </c>
      <c r="V116" s="138">
        <v>2.0254781269799498E-3</v>
      </c>
      <c r="W116" s="138">
        <v>2.7614708588049198E-4</v>
      </c>
    </row>
    <row r="117" spans="1:23">
      <c r="A117" s="2">
        <v>161</v>
      </c>
      <c r="B117" s="2">
        <v>9942</v>
      </c>
      <c r="C117" s="2" t="s">
        <v>1535</v>
      </c>
      <c r="D117" s="2" t="s">
        <v>1536</v>
      </c>
      <c r="E117" s="3" t="s">
        <v>206</v>
      </c>
      <c r="F117" s="2" t="s">
        <v>1537</v>
      </c>
      <c r="G117" s="2" t="s">
        <v>1538</v>
      </c>
      <c r="H117" s="2" t="s">
        <v>209</v>
      </c>
      <c r="I117" s="2" t="s">
        <v>1013</v>
      </c>
      <c r="J117" s="2" t="s">
        <v>85</v>
      </c>
      <c r="K117" s="2" t="s">
        <v>306</v>
      </c>
      <c r="L117" s="2" t="s">
        <v>378</v>
      </c>
      <c r="M117" s="2" t="s">
        <v>768</v>
      </c>
      <c r="N117" s="2" t="s">
        <v>160</v>
      </c>
      <c r="O117" s="2" t="s">
        <v>90</v>
      </c>
      <c r="P117" s="124">
        <v>1400</v>
      </c>
      <c r="Q117" s="132">
        <v>3.3719999999999999</v>
      </c>
      <c r="R117" s="149">
        <v>3433</v>
      </c>
      <c r="S117" s="114"/>
      <c r="T117" s="123">
        <v>162.065</v>
      </c>
      <c r="U117" s="138">
        <v>6.0000000000000002E-6</v>
      </c>
      <c r="V117" s="138">
        <v>1.2519101046670599E-2</v>
      </c>
      <c r="W117" s="138">
        <v>1.7068134312741999E-3</v>
      </c>
    </row>
    <row r="118" spans="1:23">
      <c r="A118" s="2">
        <v>161</v>
      </c>
      <c r="B118" s="2">
        <v>9942</v>
      </c>
      <c r="C118" s="2" t="s">
        <v>1491</v>
      </c>
      <c r="D118" s="2" t="s">
        <v>1492</v>
      </c>
      <c r="E118" s="3" t="s">
        <v>206</v>
      </c>
      <c r="F118" s="2" t="s">
        <v>1539</v>
      </c>
      <c r="G118" s="2" t="s">
        <v>1540</v>
      </c>
      <c r="H118" s="2" t="s">
        <v>209</v>
      </c>
      <c r="I118" s="2" t="s">
        <v>1013</v>
      </c>
      <c r="J118" s="2" t="s">
        <v>85</v>
      </c>
      <c r="K118" s="2" t="s">
        <v>331</v>
      </c>
      <c r="L118" s="2" t="s">
        <v>1541</v>
      </c>
      <c r="M118" s="2" t="s">
        <v>768</v>
      </c>
      <c r="N118" s="2" t="s">
        <v>160</v>
      </c>
      <c r="O118" s="2" t="s">
        <v>1200</v>
      </c>
      <c r="P118" s="124">
        <v>820</v>
      </c>
      <c r="Q118" s="132">
        <v>3.9552</v>
      </c>
      <c r="R118" s="149">
        <v>25882</v>
      </c>
      <c r="S118" s="114"/>
      <c r="T118" s="123">
        <v>839.42200000000003</v>
      </c>
      <c r="U118" s="138">
        <v>2.4000000000000001E-5</v>
      </c>
      <c r="V118" s="138">
        <v>6.4843115644824201E-2</v>
      </c>
      <c r="W118" s="138">
        <v>8.84049903388919E-3</v>
      </c>
    </row>
    <row r="119" spans="1:23">
      <c r="A119" s="2">
        <v>161</v>
      </c>
      <c r="B119" s="2">
        <v>9942</v>
      </c>
      <c r="C119" s="2" t="s">
        <v>1437</v>
      </c>
      <c r="D119" s="2" t="s">
        <v>1438</v>
      </c>
      <c r="E119" s="3" t="s">
        <v>206</v>
      </c>
      <c r="F119" s="2" t="s">
        <v>1495</v>
      </c>
      <c r="G119" s="2" t="s">
        <v>1496</v>
      </c>
      <c r="H119" s="2" t="s">
        <v>209</v>
      </c>
      <c r="I119" s="2" t="s">
        <v>1013</v>
      </c>
      <c r="J119" s="2" t="s">
        <v>85</v>
      </c>
      <c r="K119" s="2" t="s">
        <v>86</v>
      </c>
      <c r="L119" s="2" t="s">
        <v>414</v>
      </c>
      <c r="M119" s="2" t="s">
        <v>768</v>
      </c>
      <c r="N119" s="2" t="s">
        <v>160</v>
      </c>
      <c r="O119" s="2" t="s">
        <v>90</v>
      </c>
      <c r="P119" s="124">
        <v>540</v>
      </c>
      <c r="Q119" s="132">
        <v>3.3719999999999999</v>
      </c>
      <c r="R119" s="149">
        <v>1515</v>
      </c>
      <c r="S119" s="114"/>
      <c r="T119" s="123">
        <v>27.585999999999999</v>
      </c>
      <c r="U119" s="138">
        <v>0</v>
      </c>
      <c r="V119" s="138">
        <v>2.1309717794268201E-3</v>
      </c>
      <c r="W119" s="138">
        <v>2.9052974660343401E-4</v>
      </c>
    </row>
    <row r="120" spans="1:23">
      <c r="A120" s="2">
        <v>161</v>
      </c>
      <c r="B120" s="2">
        <v>9942</v>
      </c>
      <c r="C120" s="2" t="s">
        <v>1437</v>
      </c>
      <c r="D120" s="2" t="s">
        <v>1438</v>
      </c>
      <c r="E120" s="3" t="s">
        <v>206</v>
      </c>
      <c r="F120" s="2" t="s">
        <v>1542</v>
      </c>
      <c r="G120" s="2" t="s">
        <v>1543</v>
      </c>
      <c r="H120" s="2" t="s">
        <v>209</v>
      </c>
      <c r="I120" s="2" t="s">
        <v>1013</v>
      </c>
      <c r="J120" s="2" t="s">
        <v>85</v>
      </c>
      <c r="K120" s="2" t="s">
        <v>86</v>
      </c>
      <c r="L120" s="2" t="s">
        <v>414</v>
      </c>
      <c r="M120" s="2" t="s">
        <v>768</v>
      </c>
      <c r="N120" s="2" t="s">
        <v>160</v>
      </c>
      <c r="O120" s="2" t="s">
        <v>90</v>
      </c>
      <c r="P120" s="124">
        <v>1052</v>
      </c>
      <c r="Q120" s="132">
        <v>3.3719999999999999</v>
      </c>
      <c r="R120" s="149">
        <v>13211</v>
      </c>
      <c r="S120" s="114"/>
      <c r="T120" s="123">
        <v>468.64</v>
      </c>
      <c r="U120" s="138">
        <v>0</v>
      </c>
      <c r="V120" s="138">
        <v>3.6201180935416397E-2</v>
      </c>
      <c r="W120" s="138">
        <v>4.9355510126654701E-3</v>
      </c>
    </row>
    <row r="121" spans="1:23">
      <c r="A121" s="2">
        <v>161</v>
      </c>
      <c r="B121" s="2">
        <v>9942</v>
      </c>
      <c r="C121" s="2" t="s">
        <v>1451</v>
      </c>
      <c r="D121" s="2" t="s">
        <v>1452</v>
      </c>
      <c r="E121" s="3" t="s">
        <v>206</v>
      </c>
      <c r="F121" s="2" t="s">
        <v>1544</v>
      </c>
      <c r="G121" s="2" t="s">
        <v>1545</v>
      </c>
      <c r="H121" s="2" t="s">
        <v>209</v>
      </c>
      <c r="I121" s="2" t="s">
        <v>1015</v>
      </c>
      <c r="J121" s="2" t="s">
        <v>85</v>
      </c>
      <c r="K121" s="2" t="s">
        <v>86</v>
      </c>
      <c r="L121" s="2" t="s">
        <v>414</v>
      </c>
      <c r="M121" s="2" t="s">
        <v>765</v>
      </c>
      <c r="N121" s="2" t="s">
        <v>160</v>
      </c>
      <c r="O121" s="2" t="s">
        <v>90</v>
      </c>
      <c r="P121" s="124">
        <v>2300</v>
      </c>
      <c r="Q121" s="132">
        <v>3.3719999999999999</v>
      </c>
      <c r="R121" s="149">
        <v>5902</v>
      </c>
      <c r="S121" s="114"/>
      <c r="T121" s="123">
        <v>457.73599999999999</v>
      </c>
      <c r="U121" s="138">
        <v>0</v>
      </c>
      <c r="V121" s="138">
        <v>3.5358867518649702E-2</v>
      </c>
      <c r="W121" s="138">
        <v>4.8207127469049897E-3</v>
      </c>
    </row>
    <row r="122" spans="1:23">
      <c r="A122" s="2">
        <v>161</v>
      </c>
      <c r="B122" s="2">
        <v>9942</v>
      </c>
      <c r="C122" s="2" t="s">
        <v>1451</v>
      </c>
      <c r="D122" s="2" t="s">
        <v>1452</v>
      </c>
      <c r="E122" s="3" t="s">
        <v>206</v>
      </c>
      <c r="F122" s="2" t="s">
        <v>1453</v>
      </c>
      <c r="G122" s="2" t="s">
        <v>1454</v>
      </c>
      <c r="H122" s="2" t="s">
        <v>209</v>
      </c>
      <c r="I122" s="2" t="s">
        <v>1013</v>
      </c>
      <c r="J122" s="2" t="s">
        <v>85</v>
      </c>
      <c r="K122" s="2" t="s">
        <v>86</v>
      </c>
      <c r="L122" s="2" t="s">
        <v>378</v>
      </c>
      <c r="M122" s="2" t="s">
        <v>768</v>
      </c>
      <c r="N122" s="2" t="s">
        <v>160</v>
      </c>
      <c r="O122" s="2" t="s">
        <v>90</v>
      </c>
      <c r="P122" s="124">
        <v>444</v>
      </c>
      <c r="Q122" s="132">
        <v>3.3719999999999999</v>
      </c>
      <c r="R122" s="149">
        <v>56803</v>
      </c>
      <c r="S122" s="127">
        <v>0.58099999999999996</v>
      </c>
      <c r="T122" s="123">
        <v>852.39499999999998</v>
      </c>
      <c r="U122" s="138">
        <v>9.9999999999999995E-7</v>
      </c>
      <c r="V122" s="138">
        <v>6.5845311433252604E-2</v>
      </c>
      <c r="W122" s="138">
        <v>8.9771351410728607E-3</v>
      </c>
    </row>
    <row r="123" spans="1:23">
      <c r="A123" s="2">
        <v>161</v>
      </c>
      <c r="B123" s="2">
        <v>9942</v>
      </c>
      <c r="C123" s="2" t="s">
        <v>1548</v>
      </c>
      <c r="D123" s="2" t="s">
        <v>1549</v>
      </c>
      <c r="E123" s="3" t="s">
        <v>206</v>
      </c>
      <c r="F123" s="2" t="s">
        <v>1550</v>
      </c>
      <c r="G123" s="2" t="s">
        <v>1551</v>
      </c>
      <c r="H123" s="2" t="s">
        <v>209</v>
      </c>
      <c r="I123" s="2" t="s">
        <v>1013</v>
      </c>
      <c r="J123" s="2" t="s">
        <v>85</v>
      </c>
      <c r="K123" s="2" t="s">
        <v>289</v>
      </c>
      <c r="L123" s="2" t="s">
        <v>378</v>
      </c>
      <c r="M123" s="2" t="s">
        <v>768</v>
      </c>
      <c r="N123" s="2" t="s">
        <v>160</v>
      </c>
      <c r="O123" s="2" t="s">
        <v>90</v>
      </c>
      <c r="P123" s="124">
        <v>1200</v>
      </c>
      <c r="Q123" s="132">
        <v>3.3719999999999999</v>
      </c>
      <c r="R123" s="149">
        <v>11427</v>
      </c>
      <c r="S123" s="114"/>
      <c r="T123" s="123">
        <v>462.38200000000001</v>
      </c>
      <c r="U123" s="138">
        <v>3.8000000000000002E-5</v>
      </c>
      <c r="V123" s="138">
        <v>3.5717806415123197E-2</v>
      </c>
      <c r="W123" s="138">
        <v>4.8696493061055196E-3</v>
      </c>
    </row>
    <row r="124" spans="1:23">
      <c r="A124" s="2">
        <v>161</v>
      </c>
      <c r="B124" s="2">
        <v>9943</v>
      </c>
      <c r="C124" s="2" t="s">
        <v>1376</v>
      </c>
      <c r="D124" s="2" t="s">
        <v>1377</v>
      </c>
      <c r="E124" s="3" t="s">
        <v>1351</v>
      </c>
      <c r="F124" s="2" t="s">
        <v>1399</v>
      </c>
      <c r="G124" s="2" t="s">
        <v>1400</v>
      </c>
      <c r="H124" s="2" t="s">
        <v>209</v>
      </c>
      <c r="I124" s="2" t="s">
        <v>1012</v>
      </c>
      <c r="J124" s="2" t="s">
        <v>30</v>
      </c>
      <c r="K124" s="2" t="s">
        <v>30</v>
      </c>
      <c r="L124" s="2" t="s">
        <v>31</v>
      </c>
      <c r="M124" s="2" t="s">
        <v>1380</v>
      </c>
      <c r="N124" s="2" t="s">
        <v>160</v>
      </c>
      <c r="O124" s="2" t="s">
        <v>34</v>
      </c>
      <c r="P124" s="124">
        <v>345200</v>
      </c>
      <c r="Q124" s="132">
        <v>1</v>
      </c>
      <c r="R124" s="149">
        <v>4659</v>
      </c>
      <c r="S124" s="114"/>
      <c r="T124" s="123">
        <v>16082.868</v>
      </c>
      <c r="U124" s="138">
        <v>4.0610000000000004E-3</v>
      </c>
      <c r="V124" s="138">
        <v>3.46255186295336E-2</v>
      </c>
      <c r="W124" s="138">
        <v>8.5289936433948499E-3</v>
      </c>
    </row>
    <row r="125" spans="1:23">
      <c r="A125" s="2">
        <v>161</v>
      </c>
      <c r="B125" s="2">
        <v>9943</v>
      </c>
      <c r="C125" s="2" t="s">
        <v>1376</v>
      </c>
      <c r="D125" s="2" t="s">
        <v>1377</v>
      </c>
      <c r="E125" s="3" t="s">
        <v>1351</v>
      </c>
      <c r="F125" s="2" t="s">
        <v>1552</v>
      </c>
      <c r="G125" s="2" t="s">
        <v>1553</v>
      </c>
      <c r="H125" s="2" t="s">
        <v>209</v>
      </c>
      <c r="I125" s="2" t="s">
        <v>1012</v>
      </c>
      <c r="J125" s="2" t="s">
        <v>30</v>
      </c>
      <c r="K125" s="2" t="s">
        <v>30</v>
      </c>
      <c r="L125" s="2" t="s">
        <v>31</v>
      </c>
      <c r="M125" s="2" t="s">
        <v>1380</v>
      </c>
      <c r="N125" s="2" t="s">
        <v>160</v>
      </c>
      <c r="O125" s="2" t="s">
        <v>34</v>
      </c>
      <c r="P125" s="124">
        <v>188650</v>
      </c>
      <c r="Q125" s="132">
        <v>1</v>
      </c>
      <c r="R125" s="149">
        <v>4530</v>
      </c>
      <c r="S125" s="114"/>
      <c r="T125" s="123">
        <v>8545.8449999999993</v>
      </c>
      <c r="U125" s="138">
        <v>3.1440000000000001E-3</v>
      </c>
      <c r="V125" s="138">
        <v>1.8398728090823501E-2</v>
      </c>
      <c r="W125" s="138">
        <v>4.53199377638601E-3</v>
      </c>
    </row>
    <row r="126" spans="1:23">
      <c r="A126" s="2">
        <v>161</v>
      </c>
      <c r="B126" s="2">
        <v>9943</v>
      </c>
      <c r="C126" s="2" t="s">
        <v>1376</v>
      </c>
      <c r="D126" s="2" t="s">
        <v>1377</v>
      </c>
      <c r="E126" s="3" t="s">
        <v>1351</v>
      </c>
      <c r="F126" s="2" t="s">
        <v>1455</v>
      </c>
      <c r="G126" s="2" t="s">
        <v>1456</v>
      </c>
      <c r="H126" s="2" t="s">
        <v>209</v>
      </c>
      <c r="I126" s="2" t="s">
        <v>1014</v>
      </c>
      <c r="J126" s="2" t="s">
        <v>30</v>
      </c>
      <c r="K126" s="2" t="s">
        <v>30</v>
      </c>
      <c r="L126" s="2" t="s">
        <v>31</v>
      </c>
      <c r="M126" s="2" t="s">
        <v>1403</v>
      </c>
      <c r="N126" s="2" t="s">
        <v>160</v>
      </c>
      <c r="O126" s="2" t="s">
        <v>34</v>
      </c>
      <c r="P126" s="124">
        <v>400000</v>
      </c>
      <c r="Q126" s="132">
        <v>1</v>
      </c>
      <c r="R126" s="149">
        <v>482.69</v>
      </c>
      <c r="S126" s="114"/>
      <c r="T126" s="123">
        <v>1930.76</v>
      </c>
      <c r="U126" s="138">
        <v>1.624E-3</v>
      </c>
      <c r="V126" s="138">
        <v>4.1568186936035501E-3</v>
      </c>
      <c r="W126" s="138">
        <v>1.0239118897774401E-3</v>
      </c>
    </row>
    <row r="127" spans="1:23">
      <c r="A127" s="2">
        <v>161</v>
      </c>
      <c r="B127" s="2">
        <v>9943</v>
      </c>
      <c r="C127" s="2" t="s">
        <v>1407</v>
      </c>
      <c r="D127" s="2" t="s">
        <v>1408</v>
      </c>
      <c r="E127" s="3" t="s">
        <v>1351</v>
      </c>
      <c r="F127" s="2" t="s">
        <v>1409</v>
      </c>
      <c r="G127" s="2" t="s">
        <v>1410</v>
      </c>
      <c r="H127" s="2" t="s">
        <v>209</v>
      </c>
      <c r="I127" s="2" t="s">
        <v>1012</v>
      </c>
      <c r="J127" s="2" t="s">
        <v>30</v>
      </c>
      <c r="K127" s="2" t="s">
        <v>30</v>
      </c>
      <c r="L127" s="2" t="s">
        <v>31</v>
      </c>
      <c r="M127" s="2" t="s">
        <v>1380</v>
      </c>
      <c r="N127" s="2" t="s">
        <v>160</v>
      </c>
      <c r="O127" s="2" t="s">
        <v>34</v>
      </c>
      <c r="P127" s="124">
        <v>260700</v>
      </c>
      <c r="Q127" s="132">
        <v>1</v>
      </c>
      <c r="R127" s="149">
        <v>3032</v>
      </c>
      <c r="S127" s="114"/>
      <c r="T127" s="123">
        <v>7904.424</v>
      </c>
      <c r="U127" s="138">
        <v>1.042E-3</v>
      </c>
      <c r="V127" s="138">
        <v>1.7017784419279699E-2</v>
      </c>
      <c r="W127" s="138">
        <v>4.19183829965512E-3</v>
      </c>
    </row>
    <row r="128" spans="1:23">
      <c r="A128" s="2">
        <v>161</v>
      </c>
      <c r="B128" s="2">
        <v>9943</v>
      </c>
      <c r="C128" s="2" t="s">
        <v>1407</v>
      </c>
      <c r="D128" s="2" t="s">
        <v>1408</v>
      </c>
      <c r="E128" s="3" t="s">
        <v>1351</v>
      </c>
      <c r="F128" s="2" t="s">
        <v>1413</v>
      </c>
      <c r="G128" s="2" t="s">
        <v>1414</v>
      </c>
      <c r="H128" s="2" t="s">
        <v>209</v>
      </c>
      <c r="I128" s="2" t="s">
        <v>1014</v>
      </c>
      <c r="J128" s="2" t="s">
        <v>30</v>
      </c>
      <c r="K128" s="2" t="s">
        <v>30</v>
      </c>
      <c r="L128" s="2" t="s">
        <v>31</v>
      </c>
      <c r="M128" s="2" t="s">
        <v>1403</v>
      </c>
      <c r="N128" s="2" t="s">
        <v>160</v>
      </c>
      <c r="O128" s="2" t="s">
        <v>34</v>
      </c>
      <c r="P128" s="124">
        <v>230000</v>
      </c>
      <c r="Q128" s="132">
        <v>1</v>
      </c>
      <c r="R128" s="149">
        <v>415.44</v>
      </c>
      <c r="S128" s="114"/>
      <c r="T128" s="123">
        <v>955.51199999999994</v>
      </c>
      <c r="U128" s="138">
        <v>8.43E-4</v>
      </c>
      <c r="V128" s="138">
        <v>2.05716409266947E-3</v>
      </c>
      <c r="W128" s="138">
        <v>5.0672279186694195E-4</v>
      </c>
    </row>
    <row r="129" spans="1:23">
      <c r="A129" s="2">
        <v>161</v>
      </c>
      <c r="B129" s="2">
        <v>9943</v>
      </c>
      <c r="C129" s="2" t="s">
        <v>1407</v>
      </c>
      <c r="D129" s="2" t="s">
        <v>1408</v>
      </c>
      <c r="E129" s="3" t="s">
        <v>1351</v>
      </c>
      <c r="F129" s="2" t="s">
        <v>1415</v>
      </c>
      <c r="G129" s="2" t="s">
        <v>1416</v>
      </c>
      <c r="H129" s="2" t="s">
        <v>209</v>
      </c>
      <c r="I129" s="2" t="s">
        <v>1012</v>
      </c>
      <c r="J129" s="2" t="s">
        <v>30</v>
      </c>
      <c r="K129" s="2" t="s">
        <v>30</v>
      </c>
      <c r="L129" s="2" t="s">
        <v>31</v>
      </c>
      <c r="M129" s="2" t="s">
        <v>1380</v>
      </c>
      <c r="N129" s="2" t="s">
        <v>160</v>
      </c>
      <c r="O129" s="2" t="s">
        <v>34</v>
      </c>
      <c r="P129" s="124">
        <v>224853</v>
      </c>
      <c r="Q129" s="132">
        <v>1</v>
      </c>
      <c r="R129" s="149">
        <v>2968</v>
      </c>
      <c r="S129" s="114"/>
      <c r="T129" s="123">
        <v>6673.6369999999997</v>
      </c>
      <c r="U129" s="138">
        <v>1.0889999999999999E-3</v>
      </c>
      <c r="V129" s="138">
        <v>1.43679686766854E-2</v>
      </c>
      <c r="W129" s="138">
        <v>3.5391329390059298E-3</v>
      </c>
    </row>
    <row r="130" spans="1:23">
      <c r="A130" s="2">
        <v>161</v>
      </c>
      <c r="B130" s="2">
        <v>9943</v>
      </c>
      <c r="C130" s="2" t="s">
        <v>1417</v>
      </c>
      <c r="D130" s="2" t="s">
        <v>1418</v>
      </c>
      <c r="E130" s="3" t="s">
        <v>1351</v>
      </c>
      <c r="F130" s="2" t="s">
        <v>1419</v>
      </c>
      <c r="G130" s="2" t="s">
        <v>1420</v>
      </c>
      <c r="H130" s="2" t="s">
        <v>209</v>
      </c>
      <c r="I130" s="2" t="s">
        <v>1012</v>
      </c>
      <c r="J130" s="2" t="s">
        <v>30</v>
      </c>
      <c r="K130" s="2" t="s">
        <v>30</v>
      </c>
      <c r="L130" s="2" t="s">
        <v>31</v>
      </c>
      <c r="M130" s="2" t="s">
        <v>1380</v>
      </c>
      <c r="N130" s="2" t="s">
        <v>160</v>
      </c>
      <c r="O130" s="2" t="s">
        <v>34</v>
      </c>
      <c r="P130" s="124">
        <v>118000</v>
      </c>
      <c r="Q130" s="132">
        <v>1</v>
      </c>
      <c r="R130" s="149">
        <v>8213</v>
      </c>
      <c r="S130" s="114"/>
      <c r="T130" s="123">
        <v>9691.34</v>
      </c>
      <c r="U130" s="138">
        <v>9.4400000000000005E-3</v>
      </c>
      <c r="V130" s="138">
        <v>2.08649149962024E-2</v>
      </c>
      <c r="W130" s="138">
        <v>5.1394674914933304E-3</v>
      </c>
    </row>
    <row r="131" spans="1:23">
      <c r="A131" s="2">
        <v>161</v>
      </c>
      <c r="B131" s="2">
        <v>9943</v>
      </c>
      <c r="C131" s="2" t="s">
        <v>1417</v>
      </c>
      <c r="D131" s="2" t="s">
        <v>1418</v>
      </c>
      <c r="E131" s="3" t="s">
        <v>1351</v>
      </c>
      <c r="F131" s="2" t="s">
        <v>1421</v>
      </c>
      <c r="G131" s="2" t="s">
        <v>1422</v>
      </c>
      <c r="H131" s="2" t="s">
        <v>209</v>
      </c>
      <c r="I131" s="2" t="s">
        <v>1013</v>
      </c>
      <c r="J131" s="2" t="s">
        <v>30</v>
      </c>
      <c r="K131" s="2" t="s">
        <v>86</v>
      </c>
      <c r="L131" s="2" t="s">
        <v>31</v>
      </c>
      <c r="M131" s="2" t="s">
        <v>1406</v>
      </c>
      <c r="N131" s="2" t="s">
        <v>160</v>
      </c>
      <c r="O131" s="2" t="s">
        <v>34</v>
      </c>
      <c r="P131" s="124">
        <v>164330</v>
      </c>
      <c r="Q131" s="132">
        <v>1</v>
      </c>
      <c r="R131" s="149">
        <v>9600</v>
      </c>
      <c r="S131" s="114"/>
      <c r="T131" s="123">
        <v>15775.68</v>
      </c>
      <c r="U131" s="138">
        <v>1.2173E-2</v>
      </c>
      <c r="V131" s="138">
        <v>3.3964159982756897E-2</v>
      </c>
      <c r="W131" s="138">
        <v>8.3660870959228993E-3</v>
      </c>
    </row>
    <row r="132" spans="1:23">
      <c r="A132" s="2">
        <v>161</v>
      </c>
      <c r="B132" s="2">
        <v>9943</v>
      </c>
      <c r="C132" s="2" t="s">
        <v>1425</v>
      </c>
      <c r="D132" s="2" t="s">
        <v>1426</v>
      </c>
      <c r="E132" s="3" t="s">
        <v>1351</v>
      </c>
      <c r="F132" s="2" t="s">
        <v>1507</v>
      </c>
      <c r="G132" s="2" t="s">
        <v>1508</v>
      </c>
      <c r="H132" s="2" t="s">
        <v>209</v>
      </c>
      <c r="I132" s="2" t="s">
        <v>1013</v>
      </c>
      <c r="J132" s="2" t="s">
        <v>30</v>
      </c>
      <c r="K132" s="2" t="s">
        <v>86</v>
      </c>
      <c r="L132" s="2" t="s">
        <v>31</v>
      </c>
      <c r="M132" s="2" t="s">
        <v>1459</v>
      </c>
      <c r="N132" s="2" t="s">
        <v>160</v>
      </c>
      <c r="O132" s="2" t="s">
        <v>34</v>
      </c>
      <c r="P132" s="124">
        <v>16500</v>
      </c>
      <c r="Q132" s="132">
        <v>1</v>
      </c>
      <c r="R132" s="149">
        <v>22980</v>
      </c>
      <c r="S132" s="114"/>
      <c r="T132" s="123">
        <v>3791.7</v>
      </c>
      <c r="U132" s="138">
        <v>5.62E-4</v>
      </c>
      <c r="V132" s="138">
        <v>8.1633188177383902E-3</v>
      </c>
      <c r="W132" s="138">
        <v>2.0107971536954899E-3</v>
      </c>
    </row>
    <row r="133" spans="1:23">
      <c r="A133" s="2">
        <v>161</v>
      </c>
      <c r="B133" s="2">
        <v>9943</v>
      </c>
      <c r="C133" s="2" t="s">
        <v>1425</v>
      </c>
      <c r="D133" s="2" t="s">
        <v>1426</v>
      </c>
      <c r="E133" s="3" t="s">
        <v>1351</v>
      </c>
      <c r="F133" s="2" t="s">
        <v>1480</v>
      </c>
      <c r="G133" s="2" t="s">
        <v>1481</v>
      </c>
      <c r="H133" s="2" t="s">
        <v>209</v>
      </c>
      <c r="I133" s="2" t="s">
        <v>1012</v>
      </c>
      <c r="J133" s="2" t="s">
        <v>30</v>
      </c>
      <c r="K133" s="2" t="s">
        <v>30</v>
      </c>
      <c r="L133" s="2" t="s">
        <v>31</v>
      </c>
      <c r="M133" s="2" t="s">
        <v>1380</v>
      </c>
      <c r="N133" s="2" t="s">
        <v>160</v>
      </c>
      <c r="O133" s="2" t="s">
        <v>34</v>
      </c>
      <c r="P133" s="124">
        <v>38500</v>
      </c>
      <c r="Q133" s="132">
        <v>1</v>
      </c>
      <c r="R133" s="149">
        <v>29540</v>
      </c>
      <c r="S133" s="114"/>
      <c r="T133" s="123">
        <v>11372.9</v>
      </c>
      <c r="U133" s="138">
        <v>1.0870000000000001E-3</v>
      </c>
      <c r="V133" s="138">
        <v>2.44852199758042E-2</v>
      </c>
      <c r="W133" s="138">
        <v>6.03122476706054E-3</v>
      </c>
    </row>
    <row r="134" spans="1:23">
      <c r="A134" s="2">
        <v>161</v>
      </c>
      <c r="B134" s="2">
        <v>9943</v>
      </c>
      <c r="C134" s="2" t="s">
        <v>1425</v>
      </c>
      <c r="D134" s="2" t="s">
        <v>1426</v>
      </c>
      <c r="E134" s="3" t="s">
        <v>1351</v>
      </c>
      <c r="F134" s="2" t="s">
        <v>1517</v>
      </c>
      <c r="G134" s="2" t="s">
        <v>1518</v>
      </c>
      <c r="H134" s="2" t="s">
        <v>209</v>
      </c>
      <c r="I134" s="2" t="s">
        <v>1012</v>
      </c>
      <c r="J134" s="2" t="s">
        <v>30</v>
      </c>
      <c r="K134" s="2" t="s">
        <v>30</v>
      </c>
      <c r="L134" s="2" t="s">
        <v>31</v>
      </c>
      <c r="M134" s="2" t="s">
        <v>1380</v>
      </c>
      <c r="N134" s="2" t="s">
        <v>160</v>
      </c>
      <c r="O134" s="2" t="s">
        <v>34</v>
      </c>
      <c r="P134" s="124">
        <v>12431</v>
      </c>
      <c r="Q134" s="132">
        <v>1</v>
      </c>
      <c r="R134" s="149">
        <v>28960</v>
      </c>
      <c r="S134" s="114"/>
      <c r="T134" s="123">
        <v>3600.018</v>
      </c>
      <c r="U134" s="138">
        <v>4.1100000000000002E-4</v>
      </c>
      <c r="V134" s="138">
        <v>7.7506372915234403E-3</v>
      </c>
      <c r="W134" s="138">
        <v>1.90914501235163E-3</v>
      </c>
    </row>
    <row r="135" spans="1:23">
      <c r="A135" s="2">
        <v>161</v>
      </c>
      <c r="B135" s="2">
        <v>9943</v>
      </c>
      <c r="C135" s="2" t="s">
        <v>1431</v>
      </c>
      <c r="D135" s="2" t="s">
        <v>1432</v>
      </c>
      <c r="E135" s="3" t="s">
        <v>1351</v>
      </c>
      <c r="F135" s="2" t="s">
        <v>1484</v>
      </c>
      <c r="G135" s="2" t="s">
        <v>1485</v>
      </c>
      <c r="H135" s="2" t="s">
        <v>209</v>
      </c>
      <c r="I135" s="2" t="s">
        <v>1012</v>
      </c>
      <c r="J135" s="2" t="s">
        <v>30</v>
      </c>
      <c r="K135" s="2" t="s">
        <v>30</v>
      </c>
      <c r="L135" s="2" t="s">
        <v>31</v>
      </c>
      <c r="M135" s="2" t="s">
        <v>1380</v>
      </c>
      <c r="N135" s="2" t="s">
        <v>160</v>
      </c>
      <c r="O135" s="2" t="s">
        <v>34</v>
      </c>
      <c r="P135" s="124">
        <v>187234</v>
      </c>
      <c r="Q135" s="132">
        <v>1</v>
      </c>
      <c r="R135" s="149">
        <v>3001</v>
      </c>
      <c r="S135" s="114"/>
      <c r="T135" s="123">
        <v>5618.8919999999998</v>
      </c>
      <c r="U135" s="138">
        <v>4.5899999999999999E-4</v>
      </c>
      <c r="V135" s="138">
        <v>1.2097162110390599E-2</v>
      </c>
      <c r="W135" s="138">
        <v>2.9797855115629899E-3</v>
      </c>
    </row>
    <row r="136" spans="1:23">
      <c r="A136" s="2">
        <v>161</v>
      </c>
      <c r="B136" s="2">
        <v>9943</v>
      </c>
      <c r="C136" s="2" t="s">
        <v>1376</v>
      </c>
      <c r="D136" s="2" t="s">
        <v>1377</v>
      </c>
      <c r="E136" s="3" t="s">
        <v>1351</v>
      </c>
      <c r="F136" s="2" t="s">
        <v>1554</v>
      </c>
      <c r="G136" s="2" t="s">
        <v>1555</v>
      </c>
      <c r="H136" s="2" t="s">
        <v>209</v>
      </c>
      <c r="I136" s="2" t="s">
        <v>1013</v>
      </c>
      <c r="J136" s="2" t="s">
        <v>30</v>
      </c>
      <c r="K136" s="2" t="s">
        <v>86</v>
      </c>
      <c r="L136" s="2" t="s">
        <v>58</v>
      </c>
      <c r="M136" s="2" t="s">
        <v>1459</v>
      </c>
      <c r="N136" s="2" t="s">
        <v>160</v>
      </c>
      <c r="O136" s="2" t="s">
        <v>34</v>
      </c>
      <c r="P136" s="124">
        <v>150000</v>
      </c>
      <c r="Q136" s="132">
        <v>1</v>
      </c>
      <c r="R136" s="149">
        <v>2443</v>
      </c>
      <c r="S136" s="114"/>
      <c r="T136" s="123">
        <v>3664.5</v>
      </c>
      <c r="U136" s="138">
        <v>2.5000000000000001E-2</v>
      </c>
      <c r="V136" s="138">
        <v>7.8894643056155091E-3</v>
      </c>
      <c r="W136" s="138">
        <v>1.94334102637791E-3</v>
      </c>
    </row>
    <row r="137" spans="1:23">
      <c r="A137" s="2">
        <v>161</v>
      </c>
      <c r="B137" s="2">
        <v>9943</v>
      </c>
      <c r="C137" s="2" t="s">
        <v>1376</v>
      </c>
      <c r="D137" s="2" t="s">
        <v>1377</v>
      </c>
      <c r="E137" s="3" t="s">
        <v>1351</v>
      </c>
      <c r="F137" s="2" t="s">
        <v>1556</v>
      </c>
      <c r="G137" s="2" t="s">
        <v>1557</v>
      </c>
      <c r="H137" s="2" t="s">
        <v>209</v>
      </c>
      <c r="I137" s="2" t="s">
        <v>1013</v>
      </c>
      <c r="J137" s="2" t="s">
        <v>30</v>
      </c>
      <c r="K137" s="2" t="s">
        <v>86</v>
      </c>
      <c r="L137" s="2" t="s">
        <v>58</v>
      </c>
      <c r="M137" s="2" t="s">
        <v>1459</v>
      </c>
      <c r="N137" s="2" t="s">
        <v>160</v>
      </c>
      <c r="O137" s="2" t="s">
        <v>90</v>
      </c>
      <c r="P137" s="124">
        <v>50000</v>
      </c>
      <c r="Q137" s="132">
        <v>3.3719999999999999</v>
      </c>
      <c r="R137" s="149">
        <v>752.96600000000001</v>
      </c>
      <c r="S137" s="114"/>
      <c r="T137" s="123">
        <v>1269.5</v>
      </c>
      <c r="U137" s="138">
        <v>7.6920000000000001E-3</v>
      </c>
      <c r="V137" s="138">
        <v>2.7331627605345602E-3</v>
      </c>
      <c r="W137" s="138">
        <v>6.7323548450996199E-4</v>
      </c>
    </row>
    <row r="138" spans="1:23">
      <c r="A138" s="2">
        <v>161</v>
      </c>
      <c r="B138" s="2">
        <v>9943</v>
      </c>
      <c r="C138" s="2" t="s">
        <v>1376</v>
      </c>
      <c r="D138" s="2" t="s">
        <v>1377</v>
      </c>
      <c r="E138" s="3" t="s">
        <v>1351</v>
      </c>
      <c r="F138" s="2" t="s">
        <v>1558</v>
      </c>
      <c r="G138" s="2" t="s">
        <v>1559</v>
      </c>
      <c r="H138" s="2" t="s">
        <v>209</v>
      </c>
      <c r="I138" s="2" t="s">
        <v>1013</v>
      </c>
      <c r="J138" s="2" t="s">
        <v>30</v>
      </c>
      <c r="K138" s="2"/>
      <c r="L138" s="2" t="s">
        <v>135</v>
      </c>
      <c r="M138" s="2" t="s">
        <v>1459</v>
      </c>
      <c r="N138" s="2" t="s">
        <v>160</v>
      </c>
      <c r="O138" s="2" t="s">
        <v>34</v>
      </c>
      <c r="P138" s="124">
        <v>60000</v>
      </c>
      <c r="Q138" s="132">
        <v>1</v>
      </c>
      <c r="R138" s="149">
        <v>2297</v>
      </c>
      <c r="S138" s="114"/>
      <c r="T138" s="123">
        <v>1378.2</v>
      </c>
      <c r="U138" s="138">
        <v>2.4E-2</v>
      </c>
      <c r="V138" s="138">
        <v>2.96718780352007E-3</v>
      </c>
      <c r="W138" s="138">
        <v>7.30880775700378E-4</v>
      </c>
    </row>
    <row r="139" spans="1:23">
      <c r="A139" s="2">
        <v>161</v>
      </c>
      <c r="B139" s="2">
        <v>9943</v>
      </c>
      <c r="C139" s="2" t="s">
        <v>1376</v>
      </c>
      <c r="D139" s="2" t="s">
        <v>1377</v>
      </c>
      <c r="E139" s="3" t="s">
        <v>1351</v>
      </c>
      <c r="F139" s="2" t="s">
        <v>1501</v>
      </c>
      <c r="G139" s="2" t="s">
        <v>1502</v>
      </c>
      <c r="H139" s="2" t="s">
        <v>209</v>
      </c>
      <c r="I139" s="2" t="s">
        <v>1013</v>
      </c>
      <c r="J139" s="2" t="s">
        <v>30</v>
      </c>
      <c r="K139" s="2" t="s">
        <v>86</v>
      </c>
      <c r="L139" s="2" t="s">
        <v>31</v>
      </c>
      <c r="M139" s="2" t="s">
        <v>1459</v>
      </c>
      <c r="N139" s="2" t="s">
        <v>160</v>
      </c>
      <c r="O139" s="2" t="s">
        <v>34</v>
      </c>
      <c r="P139" s="124">
        <v>28000</v>
      </c>
      <c r="Q139" s="132">
        <v>1</v>
      </c>
      <c r="R139" s="149">
        <v>8961</v>
      </c>
      <c r="S139" s="114"/>
      <c r="T139" s="123">
        <v>2509.08</v>
      </c>
      <c r="U139" s="138">
        <v>3.21E-4</v>
      </c>
      <c r="V139" s="138">
        <v>5.40190942828047E-3</v>
      </c>
      <c r="W139" s="138">
        <v>1.3306039302672401E-3</v>
      </c>
    </row>
    <row r="140" spans="1:23">
      <c r="A140" s="2">
        <v>161</v>
      </c>
      <c r="B140" s="2">
        <v>9943</v>
      </c>
      <c r="C140" s="2" t="s">
        <v>1376</v>
      </c>
      <c r="D140" s="2" t="s">
        <v>1377</v>
      </c>
      <c r="E140" s="3" t="s">
        <v>1351</v>
      </c>
      <c r="F140" s="2" t="s">
        <v>1560</v>
      </c>
      <c r="G140" s="2" t="s">
        <v>1561</v>
      </c>
      <c r="H140" s="2" t="s">
        <v>209</v>
      </c>
      <c r="I140" s="2" t="s">
        <v>1014</v>
      </c>
      <c r="J140" s="2" t="s">
        <v>30</v>
      </c>
      <c r="K140" s="2" t="s">
        <v>30</v>
      </c>
      <c r="L140" s="2" t="s">
        <v>31</v>
      </c>
      <c r="M140" s="2" t="s">
        <v>1403</v>
      </c>
      <c r="N140" s="2" t="s">
        <v>160</v>
      </c>
      <c r="O140" s="2" t="s">
        <v>34</v>
      </c>
      <c r="P140" s="124">
        <v>775000</v>
      </c>
      <c r="Q140" s="132">
        <v>1</v>
      </c>
      <c r="R140" s="149">
        <v>408.79</v>
      </c>
      <c r="S140" s="114"/>
      <c r="T140" s="123">
        <v>3168.1219999999998</v>
      </c>
      <c r="U140" s="138">
        <v>7.7499999999999999E-3</v>
      </c>
      <c r="V140" s="138">
        <v>6.8207912074136701E-3</v>
      </c>
      <c r="W140" s="138">
        <v>1.68010436098812E-3</v>
      </c>
    </row>
    <row r="141" spans="1:23">
      <c r="A141" s="2">
        <v>161</v>
      </c>
      <c r="B141" s="2">
        <v>9943</v>
      </c>
      <c r="C141" s="2" t="s">
        <v>1376</v>
      </c>
      <c r="D141" s="2" t="s">
        <v>1377</v>
      </c>
      <c r="E141" s="3" t="s">
        <v>1351</v>
      </c>
      <c r="F141" s="2" t="s">
        <v>1562</v>
      </c>
      <c r="G141" s="2" t="s">
        <v>1563</v>
      </c>
      <c r="H141" s="2" t="s">
        <v>209</v>
      </c>
      <c r="I141" s="2" t="s">
        <v>1013</v>
      </c>
      <c r="J141" s="2" t="s">
        <v>30</v>
      </c>
      <c r="K141" s="2" t="s">
        <v>86</v>
      </c>
      <c r="L141" s="2" t="s">
        <v>31</v>
      </c>
      <c r="M141" s="2" t="s">
        <v>1459</v>
      </c>
      <c r="N141" s="2" t="s">
        <v>160</v>
      </c>
      <c r="O141" s="2" t="s">
        <v>34</v>
      </c>
      <c r="P141" s="124">
        <v>140000</v>
      </c>
      <c r="Q141" s="132">
        <v>1</v>
      </c>
      <c r="R141" s="149">
        <v>3150</v>
      </c>
      <c r="S141" s="114"/>
      <c r="T141" s="123">
        <v>4410</v>
      </c>
      <c r="U141" s="138">
        <v>2.9787000000000001E-2</v>
      </c>
      <c r="V141" s="138">
        <v>9.4944842646375802E-3</v>
      </c>
      <c r="W141" s="138">
        <v>2.3386912065292901E-3</v>
      </c>
    </row>
    <row r="142" spans="1:23">
      <c r="A142" s="2">
        <v>161</v>
      </c>
      <c r="B142" s="2">
        <v>9943</v>
      </c>
      <c r="C142" s="2" t="s">
        <v>1376</v>
      </c>
      <c r="D142" s="2" t="s">
        <v>1377</v>
      </c>
      <c r="E142" s="3" t="s">
        <v>1351</v>
      </c>
      <c r="F142" s="2" t="s">
        <v>1564</v>
      </c>
      <c r="G142" s="2" t="s">
        <v>1565</v>
      </c>
      <c r="H142" s="2" t="s">
        <v>209</v>
      </c>
      <c r="I142" s="2" t="s">
        <v>1013</v>
      </c>
      <c r="J142" s="2" t="s">
        <v>30</v>
      </c>
      <c r="K142" s="2" t="s">
        <v>86</v>
      </c>
      <c r="L142" s="2" t="s">
        <v>31</v>
      </c>
      <c r="M142" s="2" t="s">
        <v>1406</v>
      </c>
      <c r="N142" s="2" t="s">
        <v>160</v>
      </c>
      <c r="O142" s="2" t="s">
        <v>34</v>
      </c>
      <c r="P142" s="124">
        <v>85000</v>
      </c>
      <c r="Q142" s="132">
        <v>1</v>
      </c>
      <c r="R142" s="149">
        <v>8840</v>
      </c>
      <c r="S142" s="114"/>
      <c r="T142" s="123">
        <v>7514</v>
      </c>
      <c r="U142" s="138">
        <v>2.1007999999999999E-2</v>
      </c>
      <c r="V142" s="138">
        <v>1.6177223302604699E-2</v>
      </c>
      <c r="W142" s="138">
        <v>3.9847904140274601E-3</v>
      </c>
    </row>
    <row r="143" spans="1:23">
      <c r="A143" s="2">
        <v>161</v>
      </c>
      <c r="B143" s="2">
        <v>9943</v>
      </c>
      <c r="C143" s="2" t="s">
        <v>1376</v>
      </c>
      <c r="D143" s="2" t="s">
        <v>1377</v>
      </c>
      <c r="E143" s="3" t="s">
        <v>1351</v>
      </c>
      <c r="F143" s="2" t="s">
        <v>1566</v>
      </c>
      <c r="G143" s="2" t="s">
        <v>1567</v>
      </c>
      <c r="H143" s="2" t="s">
        <v>209</v>
      </c>
      <c r="I143" s="2" t="s">
        <v>1012</v>
      </c>
      <c r="J143" s="2" t="s">
        <v>30</v>
      </c>
      <c r="K143" s="2" t="s">
        <v>30</v>
      </c>
      <c r="L143" s="2" t="s">
        <v>58</v>
      </c>
      <c r="M143" s="2" t="s">
        <v>1380</v>
      </c>
      <c r="N143" s="2" t="s">
        <v>160</v>
      </c>
      <c r="O143" s="2" t="s">
        <v>34</v>
      </c>
      <c r="P143" s="124">
        <v>110800</v>
      </c>
      <c r="Q143" s="132">
        <v>1</v>
      </c>
      <c r="R143" s="149">
        <v>2810</v>
      </c>
      <c r="S143" s="114"/>
      <c r="T143" s="123">
        <v>3113.48</v>
      </c>
      <c r="U143" s="138">
        <v>2.4087000000000001E-2</v>
      </c>
      <c r="V143" s="138">
        <v>6.70314894971969E-3</v>
      </c>
      <c r="W143" s="138">
        <v>1.65112659811901E-3</v>
      </c>
    </row>
    <row r="144" spans="1:23">
      <c r="A144" s="2">
        <v>161</v>
      </c>
      <c r="B144" s="2">
        <v>9943</v>
      </c>
      <c r="C144" s="2" t="s">
        <v>1376</v>
      </c>
      <c r="D144" s="2" t="s">
        <v>1377</v>
      </c>
      <c r="E144" s="3" t="s">
        <v>1351</v>
      </c>
      <c r="F144" s="2" t="s">
        <v>1552</v>
      </c>
      <c r="G144" s="2" t="s">
        <v>1553</v>
      </c>
      <c r="H144" s="2" t="s">
        <v>209</v>
      </c>
      <c r="I144" s="2" t="s">
        <v>1012</v>
      </c>
      <c r="J144" s="2" t="s">
        <v>30</v>
      </c>
      <c r="K144" s="2" t="s">
        <v>30</v>
      </c>
      <c r="L144" s="2" t="s">
        <v>31</v>
      </c>
      <c r="M144" s="2" t="s">
        <v>1380</v>
      </c>
      <c r="N144" s="2" t="s">
        <v>160</v>
      </c>
      <c r="O144" s="2" t="s">
        <v>34</v>
      </c>
      <c r="P144" s="124">
        <v>183000</v>
      </c>
      <c r="Q144" s="132">
        <v>1</v>
      </c>
      <c r="R144" s="149">
        <v>4530</v>
      </c>
      <c r="S144" s="114"/>
      <c r="T144" s="123">
        <v>8289.9</v>
      </c>
      <c r="U144" s="138">
        <v>3.0500000000000002E-3</v>
      </c>
      <c r="V144" s="138">
        <v>1.7847692767668701E-2</v>
      </c>
      <c r="W144" s="138">
        <v>4.3962621843553597E-3</v>
      </c>
    </row>
    <row r="145" spans="1:23">
      <c r="A145" s="2">
        <v>161</v>
      </c>
      <c r="B145" s="2">
        <v>9943</v>
      </c>
      <c r="C145" s="2" t="s">
        <v>1376</v>
      </c>
      <c r="D145" s="2" t="s">
        <v>1377</v>
      </c>
      <c r="E145" s="3" t="s">
        <v>1351</v>
      </c>
      <c r="F145" s="2" t="s">
        <v>1568</v>
      </c>
      <c r="G145" s="2" t="s">
        <v>1569</v>
      </c>
      <c r="H145" s="2" t="s">
        <v>209</v>
      </c>
      <c r="I145" s="2" t="s">
        <v>1014</v>
      </c>
      <c r="J145" s="2" t="s">
        <v>30</v>
      </c>
      <c r="K145" s="2" t="s">
        <v>30</v>
      </c>
      <c r="L145" s="2" t="s">
        <v>31</v>
      </c>
      <c r="M145" s="2" t="s">
        <v>1403</v>
      </c>
      <c r="N145" s="2" t="s">
        <v>160</v>
      </c>
      <c r="O145" s="2" t="s">
        <v>34</v>
      </c>
      <c r="P145" s="124">
        <v>120879</v>
      </c>
      <c r="Q145" s="132">
        <v>1</v>
      </c>
      <c r="R145" s="149">
        <v>335.82</v>
      </c>
      <c r="S145" s="114"/>
      <c r="T145" s="123">
        <v>405.93599999999998</v>
      </c>
      <c r="U145" s="138">
        <v>4.84E-4</v>
      </c>
      <c r="V145" s="138">
        <v>8.7395728216196303E-4</v>
      </c>
      <c r="W145" s="138">
        <v>2.1527406373056301E-4</v>
      </c>
    </row>
    <row r="146" spans="1:23">
      <c r="A146" s="2">
        <v>161</v>
      </c>
      <c r="B146" s="2">
        <v>9943</v>
      </c>
      <c r="C146" s="2" t="s">
        <v>1376</v>
      </c>
      <c r="D146" s="2" t="s">
        <v>1377</v>
      </c>
      <c r="E146" s="3" t="s">
        <v>1351</v>
      </c>
      <c r="F146" s="2" t="s">
        <v>1401</v>
      </c>
      <c r="G146" s="2" t="s">
        <v>1402</v>
      </c>
      <c r="H146" s="2" t="s">
        <v>209</v>
      </c>
      <c r="I146" s="2" t="s">
        <v>1014</v>
      </c>
      <c r="J146" s="2" t="s">
        <v>30</v>
      </c>
      <c r="K146" s="2" t="s">
        <v>30</v>
      </c>
      <c r="L146" s="2" t="s">
        <v>31</v>
      </c>
      <c r="M146" s="2" t="s">
        <v>1403</v>
      </c>
      <c r="N146" s="2" t="s">
        <v>160</v>
      </c>
      <c r="O146" s="2" t="s">
        <v>34</v>
      </c>
      <c r="P146" s="124">
        <v>400000</v>
      </c>
      <c r="Q146" s="132">
        <v>1</v>
      </c>
      <c r="R146" s="149">
        <v>488.99</v>
      </c>
      <c r="S146" s="114"/>
      <c r="T146" s="123">
        <v>1955.96</v>
      </c>
      <c r="U146" s="138">
        <v>1.905E-3</v>
      </c>
      <c r="V146" s="138">
        <v>4.2110728894014801E-3</v>
      </c>
      <c r="W146" s="138">
        <v>1.0372758395290301E-3</v>
      </c>
    </row>
    <row r="147" spans="1:23">
      <c r="A147" s="2">
        <v>161</v>
      </c>
      <c r="B147" s="2">
        <v>9943</v>
      </c>
      <c r="C147" s="2" t="s">
        <v>1376</v>
      </c>
      <c r="D147" s="2" t="s">
        <v>1377</v>
      </c>
      <c r="E147" s="3" t="s">
        <v>1351</v>
      </c>
      <c r="F147" s="2" t="s">
        <v>1404</v>
      </c>
      <c r="G147" s="2" t="s">
        <v>1405</v>
      </c>
      <c r="H147" s="2" t="s">
        <v>209</v>
      </c>
      <c r="I147" s="2" t="s">
        <v>1013</v>
      </c>
      <c r="J147" s="2" t="s">
        <v>30</v>
      </c>
      <c r="K147" s="2" t="s">
        <v>86</v>
      </c>
      <c r="L147" s="2" t="s">
        <v>31</v>
      </c>
      <c r="M147" s="2" t="s">
        <v>1406</v>
      </c>
      <c r="N147" s="2" t="s">
        <v>160</v>
      </c>
      <c r="O147" s="2" t="s">
        <v>34</v>
      </c>
      <c r="P147" s="124">
        <v>83500</v>
      </c>
      <c r="Q147" s="132">
        <v>1</v>
      </c>
      <c r="R147" s="149">
        <v>7820</v>
      </c>
      <c r="S147" s="114"/>
      <c r="T147" s="123">
        <v>6529.7</v>
      </c>
      <c r="U147" s="138">
        <v>3.4259999999999998E-3</v>
      </c>
      <c r="V147" s="138">
        <v>1.40580802500689E-2</v>
      </c>
      <c r="W147" s="138">
        <v>3.46280090051572E-3</v>
      </c>
    </row>
    <row r="148" spans="1:23">
      <c r="A148" s="2">
        <v>161</v>
      </c>
      <c r="B148" s="2">
        <v>9943</v>
      </c>
      <c r="C148" s="2" t="s">
        <v>1407</v>
      </c>
      <c r="D148" s="2" t="s">
        <v>1408</v>
      </c>
      <c r="E148" s="3" t="s">
        <v>1351</v>
      </c>
      <c r="F148" s="2" t="s">
        <v>1470</v>
      </c>
      <c r="G148" s="2" t="s">
        <v>1471</v>
      </c>
      <c r="H148" s="2" t="s">
        <v>209</v>
      </c>
      <c r="I148" s="2" t="s">
        <v>1013</v>
      </c>
      <c r="J148" s="2" t="s">
        <v>30</v>
      </c>
      <c r="K148" s="2" t="s">
        <v>86</v>
      </c>
      <c r="L148" s="2" t="s">
        <v>31</v>
      </c>
      <c r="M148" s="2" t="s">
        <v>1406</v>
      </c>
      <c r="N148" s="2" t="s">
        <v>160</v>
      </c>
      <c r="O148" s="2" t="s">
        <v>34</v>
      </c>
      <c r="P148" s="124">
        <v>280840</v>
      </c>
      <c r="Q148" s="132">
        <v>1</v>
      </c>
      <c r="R148" s="149">
        <v>5943</v>
      </c>
      <c r="S148" s="114"/>
      <c r="T148" s="123">
        <v>16690.321</v>
      </c>
      <c r="U148" s="138">
        <v>2.3119999999999998E-3</v>
      </c>
      <c r="V148" s="138">
        <v>3.5933331520441501E-2</v>
      </c>
      <c r="W148" s="138">
        <v>8.8511354704284301E-3</v>
      </c>
    </row>
    <row r="149" spans="1:23">
      <c r="A149" s="2">
        <v>161</v>
      </c>
      <c r="B149" s="2">
        <v>9943</v>
      </c>
      <c r="C149" s="2" t="s">
        <v>1417</v>
      </c>
      <c r="D149" s="2" t="s">
        <v>1418</v>
      </c>
      <c r="E149" s="3" t="s">
        <v>1351</v>
      </c>
      <c r="F149" s="2" t="s">
        <v>1570</v>
      </c>
      <c r="G149" s="2" t="s">
        <v>1571</v>
      </c>
      <c r="H149" s="2" t="s">
        <v>209</v>
      </c>
      <c r="I149" s="2" t="s">
        <v>1013</v>
      </c>
      <c r="J149" s="2" t="s">
        <v>30</v>
      </c>
      <c r="K149" s="2" t="s">
        <v>86</v>
      </c>
      <c r="L149" s="2" t="s">
        <v>31</v>
      </c>
      <c r="M149" s="2" t="s">
        <v>1406</v>
      </c>
      <c r="N149" s="2" t="s">
        <v>160</v>
      </c>
      <c r="O149" s="2" t="s">
        <v>34</v>
      </c>
      <c r="P149" s="124">
        <v>140455</v>
      </c>
      <c r="Q149" s="132">
        <v>1</v>
      </c>
      <c r="R149" s="149">
        <v>10530</v>
      </c>
      <c r="S149" s="114"/>
      <c r="T149" s="123">
        <v>14789.912</v>
      </c>
      <c r="U149" s="138">
        <v>1.0560999999999999E-2</v>
      </c>
      <c r="V149" s="138">
        <v>3.1841855331549297E-2</v>
      </c>
      <c r="W149" s="138">
        <v>7.8433188141488492E-3</v>
      </c>
    </row>
    <row r="150" spans="1:23">
      <c r="A150" s="2">
        <v>161</v>
      </c>
      <c r="B150" s="2">
        <v>9943</v>
      </c>
      <c r="C150" s="2" t="s">
        <v>1417</v>
      </c>
      <c r="D150" s="2" t="s">
        <v>1418</v>
      </c>
      <c r="E150" s="3" t="s">
        <v>1351</v>
      </c>
      <c r="F150" s="2" t="s">
        <v>1476</v>
      </c>
      <c r="G150" s="2" t="s">
        <v>1477</v>
      </c>
      <c r="H150" s="2" t="s">
        <v>209</v>
      </c>
      <c r="I150" s="2" t="s">
        <v>1013</v>
      </c>
      <c r="J150" s="2" t="s">
        <v>30</v>
      </c>
      <c r="K150" s="2" t="s">
        <v>86</v>
      </c>
      <c r="L150" s="2" t="s">
        <v>31</v>
      </c>
      <c r="M150" s="2" t="s">
        <v>1459</v>
      </c>
      <c r="N150" s="2" t="s">
        <v>160</v>
      </c>
      <c r="O150" s="2" t="s">
        <v>34</v>
      </c>
      <c r="P150" s="124">
        <v>35592</v>
      </c>
      <c r="Q150" s="132">
        <v>1</v>
      </c>
      <c r="R150" s="149">
        <v>10390</v>
      </c>
      <c r="S150" s="114"/>
      <c r="T150" s="123">
        <v>3698.009</v>
      </c>
      <c r="U150" s="138">
        <v>5.1999999999999995E-4</v>
      </c>
      <c r="V150" s="138">
        <v>7.9616068848279604E-3</v>
      </c>
      <c r="W150" s="138">
        <v>1.9611112612761702E-3</v>
      </c>
    </row>
    <row r="151" spans="1:23">
      <c r="A151" s="2">
        <v>161</v>
      </c>
      <c r="B151" s="2">
        <v>9943</v>
      </c>
      <c r="C151" s="2" t="s">
        <v>1417</v>
      </c>
      <c r="D151" s="2" t="s">
        <v>1418</v>
      </c>
      <c r="E151" s="3" t="s">
        <v>1351</v>
      </c>
      <c r="F151" s="2" t="s">
        <v>1421</v>
      </c>
      <c r="G151" s="2" t="s">
        <v>1422</v>
      </c>
      <c r="H151" s="2" t="s">
        <v>209</v>
      </c>
      <c r="I151" s="2" t="s">
        <v>1013</v>
      </c>
      <c r="J151" s="2" t="s">
        <v>30</v>
      </c>
      <c r="K151" s="2" t="s">
        <v>86</v>
      </c>
      <c r="L151" s="2" t="s">
        <v>31</v>
      </c>
      <c r="M151" s="2" t="s">
        <v>1406</v>
      </c>
      <c r="N151" s="2" t="s">
        <v>160</v>
      </c>
      <c r="O151" s="2" t="s">
        <v>34</v>
      </c>
      <c r="P151" s="124">
        <v>159000</v>
      </c>
      <c r="Q151" s="132">
        <v>1</v>
      </c>
      <c r="R151" s="149">
        <v>9600</v>
      </c>
      <c r="S151" s="114"/>
      <c r="T151" s="123">
        <v>15264</v>
      </c>
      <c r="U151" s="138">
        <v>1.1778E-2</v>
      </c>
      <c r="V151" s="138">
        <v>3.2862541454745597E-2</v>
      </c>
      <c r="W151" s="138">
        <v>8.0947352781095393E-3</v>
      </c>
    </row>
    <row r="152" spans="1:23">
      <c r="A152" s="2">
        <v>161</v>
      </c>
      <c r="B152" s="2">
        <v>9943</v>
      </c>
      <c r="C152" s="2" t="s">
        <v>1376</v>
      </c>
      <c r="D152" s="2" t="s">
        <v>1377</v>
      </c>
      <c r="E152" s="3" t="s">
        <v>1351</v>
      </c>
      <c r="F152" s="2" t="s">
        <v>1572</v>
      </c>
      <c r="G152" s="2" t="s">
        <v>1573</v>
      </c>
      <c r="H152" s="2" t="s">
        <v>209</v>
      </c>
      <c r="I152" s="2" t="s">
        <v>1013</v>
      </c>
      <c r="J152" s="2" t="s">
        <v>30</v>
      </c>
      <c r="K152" s="2" t="s">
        <v>86</v>
      </c>
      <c r="L152" s="2" t="s">
        <v>58</v>
      </c>
      <c r="M152" s="2" t="s">
        <v>1459</v>
      </c>
      <c r="N152" s="2" t="s">
        <v>160</v>
      </c>
      <c r="O152" s="2" t="s">
        <v>34</v>
      </c>
      <c r="P152" s="124">
        <v>130000</v>
      </c>
      <c r="Q152" s="132">
        <v>1</v>
      </c>
      <c r="R152" s="149">
        <v>2316</v>
      </c>
      <c r="S152" s="114"/>
      <c r="T152" s="123">
        <v>3010.8</v>
      </c>
      <c r="U152" s="138">
        <v>2.8889000000000001E-2</v>
      </c>
      <c r="V152" s="138">
        <v>6.4820846312859002E-3</v>
      </c>
      <c r="W152" s="138">
        <v>1.5966738060359199E-3</v>
      </c>
    </row>
    <row r="153" spans="1:23">
      <c r="A153" s="2">
        <v>161</v>
      </c>
      <c r="B153" s="2">
        <v>9943</v>
      </c>
      <c r="C153" s="2" t="s">
        <v>1425</v>
      </c>
      <c r="D153" s="2" t="s">
        <v>1426</v>
      </c>
      <c r="E153" s="3" t="s">
        <v>1351</v>
      </c>
      <c r="F153" s="2" t="s">
        <v>1515</v>
      </c>
      <c r="G153" s="2" t="s">
        <v>1516</v>
      </c>
      <c r="H153" s="2" t="s">
        <v>209</v>
      </c>
      <c r="I153" s="2" t="s">
        <v>1013</v>
      </c>
      <c r="J153" s="2" t="s">
        <v>30</v>
      </c>
      <c r="K153" s="2" t="s">
        <v>86</v>
      </c>
      <c r="L153" s="2" t="s">
        <v>31</v>
      </c>
      <c r="M153" s="2" t="s">
        <v>1406</v>
      </c>
      <c r="N153" s="2" t="s">
        <v>160</v>
      </c>
      <c r="O153" s="2" t="s">
        <v>34</v>
      </c>
      <c r="P153" s="124">
        <v>58112</v>
      </c>
      <c r="Q153" s="132">
        <v>1</v>
      </c>
      <c r="R153" s="149">
        <v>5875</v>
      </c>
      <c r="S153" s="114"/>
      <c r="T153" s="123">
        <v>3414.08</v>
      </c>
      <c r="U153" s="138">
        <v>8.3500000000000002E-4</v>
      </c>
      <c r="V153" s="138">
        <v>7.3503239995949803E-3</v>
      </c>
      <c r="W153" s="138">
        <v>1.8105394272987601E-3</v>
      </c>
    </row>
    <row r="154" spans="1:23">
      <c r="A154" s="2">
        <v>161</v>
      </c>
      <c r="B154" s="2">
        <v>9943</v>
      </c>
      <c r="C154" s="2" t="s">
        <v>1425</v>
      </c>
      <c r="D154" s="2" t="s">
        <v>1426</v>
      </c>
      <c r="E154" s="3" t="s">
        <v>1351</v>
      </c>
      <c r="F154" s="2" t="s">
        <v>1574</v>
      </c>
      <c r="G154" s="2" t="s">
        <v>1575</v>
      </c>
      <c r="H154" s="2" t="s">
        <v>209</v>
      </c>
      <c r="I154" s="2" t="s">
        <v>1012</v>
      </c>
      <c r="J154" s="2" t="s">
        <v>30</v>
      </c>
      <c r="K154" s="2" t="s">
        <v>30</v>
      </c>
      <c r="L154" s="2" t="s">
        <v>31</v>
      </c>
      <c r="M154" s="2" t="s">
        <v>1380</v>
      </c>
      <c r="N154" s="2" t="s">
        <v>160</v>
      </c>
      <c r="O154" s="2" t="s">
        <v>34</v>
      </c>
      <c r="P154" s="124">
        <v>3000</v>
      </c>
      <c r="Q154" s="132">
        <v>1</v>
      </c>
      <c r="R154" s="149">
        <v>64500</v>
      </c>
      <c r="S154" s="114"/>
      <c r="T154" s="123">
        <v>1935</v>
      </c>
      <c r="U154" s="138">
        <v>3.0699999999999998E-4</v>
      </c>
      <c r="V154" s="138">
        <v>4.1659471773409801E-3</v>
      </c>
      <c r="W154" s="138">
        <v>1.02616042735469E-3</v>
      </c>
    </row>
    <row r="155" spans="1:23">
      <c r="A155" s="2">
        <v>161</v>
      </c>
      <c r="B155" s="2">
        <v>9943</v>
      </c>
      <c r="C155" s="2" t="s">
        <v>1425</v>
      </c>
      <c r="D155" s="2" t="s">
        <v>1426</v>
      </c>
      <c r="E155" s="3" t="s">
        <v>1351</v>
      </c>
      <c r="F155" s="2" t="s">
        <v>1576</v>
      </c>
      <c r="G155" s="2" t="s">
        <v>1577</v>
      </c>
      <c r="H155" s="2" t="s">
        <v>209</v>
      </c>
      <c r="I155" s="2" t="s">
        <v>1013</v>
      </c>
      <c r="J155" s="2" t="s">
        <v>30</v>
      </c>
      <c r="K155" s="2" t="s">
        <v>86</v>
      </c>
      <c r="L155" s="2" t="s">
        <v>31</v>
      </c>
      <c r="M155" s="2" t="s">
        <v>1406</v>
      </c>
      <c r="N155" s="2" t="s">
        <v>160</v>
      </c>
      <c r="O155" s="2" t="s">
        <v>34</v>
      </c>
      <c r="P155" s="124">
        <v>95270</v>
      </c>
      <c r="Q155" s="132">
        <v>1</v>
      </c>
      <c r="R155" s="149">
        <v>18600</v>
      </c>
      <c r="S155" s="114"/>
      <c r="T155" s="123">
        <v>17720.22</v>
      </c>
      <c r="U155" s="138">
        <v>1.1736E-2</v>
      </c>
      <c r="V155" s="138">
        <v>3.81506462485071E-2</v>
      </c>
      <c r="W155" s="138">
        <v>9.39730673282641E-3</v>
      </c>
    </row>
    <row r="156" spans="1:23">
      <c r="A156" s="2">
        <v>161</v>
      </c>
      <c r="B156" s="2">
        <v>9943</v>
      </c>
      <c r="C156" s="2" t="s">
        <v>1425</v>
      </c>
      <c r="D156" s="2" t="s">
        <v>1426</v>
      </c>
      <c r="E156" s="3" t="s">
        <v>1351</v>
      </c>
      <c r="F156" s="2" t="s">
        <v>1578</v>
      </c>
      <c r="G156" s="2" t="s">
        <v>1579</v>
      </c>
      <c r="H156" s="2" t="s">
        <v>209</v>
      </c>
      <c r="I156" s="2" t="s">
        <v>1014</v>
      </c>
      <c r="J156" s="2" t="s">
        <v>30</v>
      </c>
      <c r="K156" s="2" t="s">
        <v>30</v>
      </c>
      <c r="L156" s="2" t="s">
        <v>31</v>
      </c>
      <c r="M156" s="2" t="s">
        <v>1403</v>
      </c>
      <c r="N156" s="2" t="s">
        <v>160</v>
      </c>
      <c r="O156" s="2" t="s">
        <v>34</v>
      </c>
      <c r="P156" s="124">
        <v>88000</v>
      </c>
      <c r="Q156" s="132">
        <v>1</v>
      </c>
      <c r="R156" s="149">
        <v>4200.04</v>
      </c>
      <c r="S156" s="114"/>
      <c r="T156" s="123">
        <v>3696.0349999999999</v>
      </c>
      <c r="U156" s="138">
        <v>2.2550000000000001E-3</v>
      </c>
      <c r="V156" s="138">
        <v>7.9573578340014998E-3</v>
      </c>
      <c r="W156" s="138">
        <v>1.96006463067182E-3</v>
      </c>
    </row>
    <row r="157" spans="1:23">
      <c r="A157" s="2">
        <v>161</v>
      </c>
      <c r="B157" s="2">
        <v>9943</v>
      </c>
      <c r="C157" s="2" t="s">
        <v>1431</v>
      </c>
      <c r="D157" s="2" t="s">
        <v>1432</v>
      </c>
      <c r="E157" s="3" t="s">
        <v>1351</v>
      </c>
      <c r="F157" s="2" t="s">
        <v>1580</v>
      </c>
      <c r="G157" s="2" t="s">
        <v>1581</v>
      </c>
      <c r="H157" s="2" t="s">
        <v>209</v>
      </c>
      <c r="I157" s="2" t="s">
        <v>1012</v>
      </c>
      <c r="J157" s="2" t="s">
        <v>30</v>
      </c>
      <c r="K157" s="2" t="s">
        <v>30</v>
      </c>
      <c r="L157" s="2" t="s">
        <v>31</v>
      </c>
      <c r="M157" s="2" t="s">
        <v>1380</v>
      </c>
      <c r="N157" s="2" t="s">
        <v>160</v>
      </c>
      <c r="O157" s="2" t="s">
        <v>34</v>
      </c>
      <c r="P157" s="124">
        <v>250000</v>
      </c>
      <c r="Q157" s="132">
        <v>1</v>
      </c>
      <c r="R157" s="149">
        <v>884.9</v>
      </c>
      <c r="S157" s="114"/>
      <c r="T157" s="123">
        <v>2212.25</v>
      </c>
      <c r="U157" s="138">
        <v>1.1360000000000001E-3</v>
      </c>
      <c r="V157" s="138">
        <v>4.7628509783320802E-3</v>
      </c>
      <c r="W157" s="138">
        <v>1.17319039039556E-3</v>
      </c>
    </row>
    <row r="158" spans="1:23">
      <c r="A158" s="2">
        <v>161</v>
      </c>
      <c r="B158" s="2">
        <v>9943</v>
      </c>
      <c r="C158" s="2" t="s">
        <v>1431</v>
      </c>
      <c r="D158" s="2" t="s">
        <v>1432</v>
      </c>
      <c r="E158" s="3" t="s">
        <v>1351</v>
      </c>
      <c r="F158" s="2" t="s">
        <v>1509</v>
      </c>
      <c r="G158" s="2" t="s">
        <v>1510</v>
      </c>
      <c r="H158" s="2" t="s">
        <v>209</v>
      </c>
      <c r="I158" s="2" t="s">
        <v>1013</v>
      </c>
      <c r="J158" s="2" t="s">
        <v>30</v>
      </c>
      <c r="K158" s="2" t="s">
        <v>86</v>
      </c>
      <c r="L158" s="2" t="s">
        <v>31</v>
      </c>
      <c r="M158" s="2" t="s">
        <v>1459</v>
      </c>
      <c r="N158" s="2" t="s">
        <v>160</v>
      </c>
      <c r="O158" s="2" t="s">
        <v>34</v>
      </c>
      <c r="P158" s="124">
        <v>5700</v>
      </c>
      <c r="Q158" s="132">
        <v>1</v>
      </c>
      <c r="R158" s="149">
        <v>24510</v>
      </c>
      <c r="S158" s="114"/>
      <c r="T158" s="123">
        <v>1397.07</v>
      </c>
      <c r="U158" s="138">
        <v>1.4200000000000001E-4</v>
      </c>
      <c r="V158" s="138">
        <v>3.0078138620401899E-3</v>
      </c>
      <c r="W158" s="138">
        <v>7.4088782855008496E-4</v>
      </c>
    </row>
    <row r="159" spans="1:23">
      <c r="A159" s="2">
        <v>161</v>
      </c>
      <c r="B159" s="2">
        <v>9943</v>
      </c>
      <c r="C159" s="2" t="s">
        <v>1431</v>
      </c>
      <c r="D159" s="2" t="s">
        <v>1432</v>
      </c>
      <c r="E159" s="3" t="s">
        <v>1351</v>
      </c>
      <c r="F159" s="2" t="s">
        <v>1582</v>
      </c>
      <c r="G159" s="2" t="s">
        <v>1583</v>
      </c>
      <c r="H159" s="2" t="s">
        <v>209</v>
      </c>
      <c r="I159" s="2" t="s">
        <v>1013</v>
      </c>
      <c r="J159" s="2" t="s">
        <v>30</v>
      </c>
      <c r="K159" s="2" t="s">
        <v>276</v>
      </c>
      <c r="L159" s="2" t="s">
        <v>31</v>
      </c>
      <c r="M159" s="2" t="s">
        <v>1406</v>
      </c>
      <c r="N159" s="2" t="s">
        <v>160</v>
      </c>
      <c r="O159" s="2" t="s">
        <v>34</v>
      </c>
      <c r="P159" s="124">
        <v>15450</v>
      </c>
      <c r="Q159" s="132">
        <v>1</v>
      </c>
      <c r="R159" s="149">
        <v>20480</v>
      </c>
      <c r="S159" s="114"/>
      <c r="T159" s="123">
        <v>3164.16</v>
      </c>
      <c r="U159" s="138">
        <v>5.2499999999999997E-4</v>
      </c>
      <c r="V159" s="138">
        <v>6.8122601657133004E-3</v>
      </c>
      <c r="W159" s="138">
        <v>1.67800298595277E-3</v>
      </c>
    </row>
    <row r="160" spans="1:23">
      <c r="A160" s="2">
        <v>161</v>
      </c>
      <c r="B160" s="2">
        <v>9943</v>
      </c>
      <c r="C160" s="2" t="s">
        <v>1431</v>
      </c>
      <c r="D160" s="2" t="s">
        <v>1432</v>
      </c>
      <c r="E160" s="3" t="s">
        <v>1351</v>
      </c>
      <c r="F160" s="2" t="s">
        <v>1584</v>
      </c>
      <c r="G160" s="2" t="s">
        <v>1585</v>
      </c>
      <c r="H160" s="2" t="s">
        <v>209</v>
      </c>
      <c r="I160" s="2" t="s">
        <v>1014</v>
      </c>
      <c r="J160" s="2" t="s">
        <v>30</v>
      </c>
      <c r="K160" s="2" t="s">
        <v>30</v>
      </c>
      <c r="L160" s="2" t="s">
        <v>31</v>
      </c>
      <c r="M160" s="2" t="s">
        <v>1403</v>
      </c>
      <c r="N160" s="2" t="s">
        <v>160</v>
      </c>
      <c r="O160" s="2" t="s">
        <v>34</v>
      </c>
      <c r="P160" s="124">
        <v>205000</v>
      </c>
      <c r="Q160" s="132">
        <v>1</v>
      </c>
      <c r="R160" s="149">
        <v>4133.8</v>
      </c>
      <c r="S160" s="114"/>
      <c r="T160" s="123">
        <v>8474.2900000000009</v>
      </c>
      <c r="U160" s="138">
        <v>1.2722000000000001E-2</v>
      </c>
      <c r="V160" s="138">
        <v>1.8244674163032999E-2</v>
      </c>
      <c r="W160" s="138">
        <v>4.4940470531925399E-3</v>
      </c>
    </row>
    <row r="161" spans="1:23">
      <c r="A161" s="2">
        <v>161</v>
      </c>
      <c r="B161" s="2">
        <v>9943</v>
      </c>
      <c r="C161" s="2" t="s">
        <v>1431</v>
      </c>
      <c r="D161" s="2" t="s">
        <v>1432</v>
      </c>
      <c r="E161" s="3" t="s">
        <v>1351</v>
      </c>
      <c r="F161" s="2" t="s">
        <v>1586</v>
      </c>
      <c r="G161" s="2" t="s">
        <v>1587</v>
      </c>
      <c r="H161" s="2" t="s">
        <v>209</v>
      </c>
      <c r="I161" s="2" t="s">
        <v>1014</v>
      </c>
      <c r="J161" s="2" t="s">
        <v>30</v>
      </c>
      <c r="K161" s="2" t="s">
        <v>30</v>
      </c>
      <c r="L161" s="2" t="s">
        <v>31</v>
      </c>
      <c r="M161" s="2" t="s">
        <v>1403</v>
      </c>
      <c r="N161" s="2" t="s">
        <v>160</v>
      </c>
      <c r="O161" s="2" t="s">
        <v>34</v>
      </c>
      <c r="P161" s="124">
        <v>52760</v>
      </c>
      <c r="Q161" s="132">
        <v>1</v>
      </c>
      <c r="R161" s="149">
        <v>4336.1400000000003</v>
      </c>
      <c r="S161" s="114"/>
      <c r="T161" s="123">
        <v>2287.7469999999998</v>
      </c>
      <c r="U161" s="138">
        <v>2.1159999999999998E-3</v>
      </c>
      <c r="V161" s="138">
        <v>4.9253928114314097E-3</v>
      </c>
      <c r="W161" s="138">
        <v>1.2132278632236899E-3</v>
      </c>
    </row>
    <row r="162" spans="1:23">
      <c r="A162" s="2">
        <v>161</v>
      </c>
      <c r="B162" s="2">
        <v>9943</v>
      </c>
      <c r="C162" s="2" t="s">
        <v>1431</v>
      </c>
      <c r="D162" s="2" t="s">
        <v>1432</v>
      </c>
      <c r="E162" s="3" t="s">
        <v>1351</v>
      </c>
      <c r="F162" s="2" t="s">
        <v>1433</v>
      </c>
      <c r="G162" s="2" t="s">
        <v>1434</v>
      </c>
      <c r="H162" s="2" t="s">
        <v>209</v>
      </c>
      <c r="I162" s="2" t="s">
        <v>1014</v>
      </c>
      <c r="J162" s="2" t="s">
        <v>30</v>
      </c>
      <c r="K162" s="2" t="s">
        <v>30</v>
      </c>
      <c r="L162" s="2" t="s">
        <v>31</v>
      </c>
      <c r="M162" s="2" t="s">
        <v>1403</v>
      </c>
      <c r="N162" s="2" t="s">
        <v>160</v>
      </c>
      <c r="O162" s="2" t="s">
        <v>34</v>
      </c>
      <c r="P162" s="124">
        <v>160000</v>
      </c>
      <c r="Q162" s="132">
        <v>1</v>
      </c>
      <c r="R162" s="149">
        <v>383.77</v>
      </c>
      <c r="S162" s="114"/>
      <c r="T162" s="123">
        <v>614.03200000000004</v>
      </c>
      <c r="U162" s="138">
        <v>1.17E-4</v>
      </c>
      <c r="V162" s="138">
        <v>1.32197668072198E-3</v>
      </c>
      <c r="W162" s="138">
        <v>3.2563066642349E-4</v>
      </c>
    </row>
    <row r="163" spans="1:23">
      <c r="A163" s="2">
        <v>161</v>
      </c>
      <c r="B163" s="2">
        <v>9943</v>
      </c>
      <c r="C163" s="2" t="s">
        <v>1519</v>
      </c>
      <c r="D163" s="2" t="s">
        <v>1520</v>
      </c>
      <c r="E163" s="3" t="s">
        <v>206</v>
      </c>
      <c r="F163" s="2" t="s">
        <v>1521</v>
      </c>
      <c r="G163" s="2" t="s">
        <v>1522</v>
      </c>
      <c r="H163" s="2" t="s">
        <v>209</v>
      </c>
      <c r="I163" s="2" t="s">
        <v>1013</v>
      </c>
      <c r="J163" s="2" t="s">
        <v>85</v>
      </c>
      <c r="K163" s="2" t="s">
        <v>86</v>
      </c>
      <c r="L163" s="2" t="s">
        <v>1523</v>
      </c>
      <c r="M163" s="2" t="s">
        <v>768</v>
      </c>
      <c r="N163" s="2" t="s">
        <v>160</v>
      </c>
      <c r="O163" s="2" t="s">
        <v>1200</v>
      </c>
      <c r="P163" s="124">
        <v>8090</v>
      </c>
      <c r="Q163" s="132">
        <v>3.9552</v>
      </c>
      <c r="R163" s="149">
        <v>21885</v>
      </c>
      <c r="S163" s="114"/>
      <c r="T163" s="123">
        <v>7002.6679999999997</v>
      </c>
      <c r="U163" s="138">
        <v>0</v>
      </c>
      <c r="V163" s="138">
        <v>1.5076353475606E-2</v>
      </c>
      <c r="W163" s="138">
        <v>3.7136230170236599E-3</v>
      </c>
    </row>
    <row r="164" spans="1:23">
      <c r="A164" s="2">
        <v>161</v>
      </c>
      <c r="B164" s="2">
        <v>9943</v>
      </c>
      <c r="C164" s="2" t="s">
        <v>1437</v>
      </c>
      <c r="D164" s="2" t="s">
        <v>1438</v>
      </c>
      <c r="E164" s="3" t="s">
        <v>206</v>
      </c>
      <c r="F164" s="2" t="s">
        <v>1524</v>
      </c>
      <c r="G164" s="2" t="s">
        <v>1525</v>
      </c>
      <c r="H164" s="2" t="s">
        <v>209</v>
      </c>
      <c r="I164" s="2" t="s">
        <v>1013</v>
      </c>
      <c r="J164" s="2" t="s">
        <v>85</v>
      </c>
      <c r="K164" s="2" t="s">
        <v>86</v>
      </c>
      <c r="L164" s="2" t="s">
        <v>378</v>
      </c>
      <c r="M164" s="2" t="s">
        <v>768</v>
      </c>
      <c r="N164" s="2" t="s">
        <v>160</v>
      </c>
      <c r="O164" s="2" t="s">
        <v>90</v>
      </c>
      <c r="P164" s="124">
        <v>19600</v>
      </c>
      <c r="Q164" s="132">
        <v>3.3719999999999999</v>
      </c>
      <c r="R164" s="149">
        <v>5237</v>
      </c>
      <c r="S164" s="114"/>
      <c r="T164" s="123">
        <v>3461.1959999999999</v>
      </c>
      <c r="U164" s="138">
        <v>2.1999999999999999E-5</v>
      </c>
      <c r="V164" s="138">
        <v>7.4517624322068604E-3</v>
      </c>
      <c r="W164" s="138">
        <v>1.83552584717594E-3</v>
      </c>
    </row>
    <row r="165" spans="1:23">
      <c r="A165" s="2">
        <v>161</v>
      </c>
      <c r="B165" s="2">
        <v>9943</v>
      </c>
      <c r="C165" s="2" t="s">
        <v>1389</v>
      </c>
      <c r="D165" s="2" t="s">
        <v>1390</v>
      </c>
      <c r="E165" s="3" t="s">
        <v>206</v>
      </c>
      <c r="F165" s="2" t="s">
        <v>1490</v>
      </c>
      <c r="G165" s="2" t="s">
        <v>1465</v>
      </c>
      <c r="H165" s="2" t="s">
        <v>209</v>
      </c>
      <c r="I165" s="2" t="s">
        <v>1013</v>
      </c>
      <c r="J165" s="2" t="s">
        <v>85</v>
      </c>
      <c r="K165" s="2" t="s">
        <v>86</v>
      </c>
      <c r="L165" s="2" t="s">
        <v>414</v>
      </c>
      <c r="M165" s="2" t="s">
        <v>768</v>
      </c>
      <c r="N165" s="2" t="s">
        <v>160</v>
      </c>
      <c r="O165" s="2" t="s">
        <v>90</v>
      </c>
      <c r="P165" s="124">
        <v>2634</v>
      </c>
      <c r="Q165" s="132">
        <v>3.3719999999999999</v>
      </c>
      <c r="R165" s="149">
        <v>122758</v>
      </c>
      <c r="S165" s="114"/>
      <c r="T165" s="123">
        <v>10903.179</v>
      </c>
      <c r="U165" s="138">
        <v>1.21E-4</v>
      </c>
      <c r="V165" s="138">
        <v>2.3473936767502101E-2</v>
      </c>
      <c r="W165" s="138">
        <v>5.7821244388441004E-3</v>
      </c>
    </row>
    <row r="166" spans="1:23">
      <c r="A166" s="2">
        <v>161</v>
      </c>
      <c r="B166" s="2">
        <v>9943</v>
      </c>
      <c r="C166" s="2" t="s">
        <v>1441</v>
      </c>
      <c r="D166" s="2" t="s">
        <v>1442</v>
      </c>
      <c r="E166" s="3" t="s">
        <v>206</v>
      </c>
      <c r="F166" s="2" t="s">
        <v>1443</v>
      </c>
      <c r="G166" s="2" t="s">
        <v>1444</v>
      </c>
      <c r="H166" s="2" t="s">
        <v>209</v>
      </c>
      <c r="I166" s="2" t="s">
        <v>1013</v>
      </c>
      <c r="J166" s="2" t="s">
        <v>85</v>
      </c>
      <c r="K166" s="2" t="s">
        <v>331</v>
      </c>
      <c r="L166" s="2" t="s">
        <v>402</v>
      </c>
      <c r="M166" s="2" t="s">
        <v>768</v>
      </c>
      <c r="N166" s="2" t="s">
        <v>160</v>
      </c>
      <c r="O166" s="2" t="s">
        <v>1200</v>
      </c>
      <c r="P166" s="124">
        <v>89906</v>
      </c>
      <c r="Q166" s="132">
        <v>3.9552</v>
      </c>
      <c r="R166" s="149">
        <v>5409</v>
      </c>
      <c r="S166" s="114"/>
      <c r="T166" s="123">
        <v>19234.199000000001</v>
      </c>
      <c r="U166" s="138">
        <v>6.3299999999999999E-4</v>
      </c>
      <c r="V166" s="138">
        <v>4.1410158810483398E-2</v>
      </c>
      <c r="W166" s="138">
        <v>1.02001932460684E-2</v>
      </c>
    </row>
    <row r="167" spans="1:23">
      <c r="A167" s="2">
        <v>161</v>
      </c>
      <c r="B167" s="2">
        <v>9943</v>
      </c>
      <c r="C167" s="2" t="s">
        <v>1441</v>
      </c>
      <c r="D167" s="2" t="s">
        <v>1442</v>
      </c>
      <c r="E167" s="3" t="s">
        <v>206</v>
      </c>
      <c r="F167" s="2" t="s">
        <v>1526</v>
      </c>
      <c r="G167" s="2" t="s">
        <v>1527</v>
      </c>
      <c r="H167" s="2" t="s">
        <v>209</v>
      </c>
      <c r="I167" s="2" t="s">
        <v>1013</v>
      </c>
      <c r="J167" s="2" t="s">
        <v>85</v>
      </c>
      <c r="K167" s="2" t="s">
        <v>86</v>
      </c>
      <c r="L167" s="2" t="s">
        <v>1528</v>
      </c>
      <c r="M167" s="2" t="s">
        <v>768</v>
      </c>
      <c r="N167" s="2" t="s">
        <v>160</v>
      </c>
      <c r="O167" s="2" t="s">
        <v>90</v>
      </c>
      <c r="P167" s="124">
        <v>178320</v>
      </c>
      <c r="Q167" s="132">
        <v>3.3719999999999999</v>
      </c>
      <c r="R167" s="149">
        <v>668.3</v>
      </c>
      <c r="S167" s="114"/>
      <c r="T167" s="123">
        <v>4018.4549999999999</v>
      </c>
      <c r="U167" s="138">
        <v>0</v>
      </c>
      <c r="V167" s="138">
        <v>8.6515091641860206E-3</v>
      </c>
      <c r="W167" s="138">
        <v>2.1310487059153301E-3</v>
      </c>
    </row>
    <row r="168" spans="1:23">
      <c r="A168" s="2">
        <v>161</v>
      </c>
      <c r="B168" s="2">
        <v>9943</v>
      </c>
      <c r="C168" s="2" t="s">
        <v>1441</v>
      </c>
      <c r="D168" s="2" t="s">
        <v>1442</v>
      </c>
      <c r="E168" s="3" t="s">
        <v>206</v>
      </c>
      <c r="F168" s="2" t="s">
        <v>1529</v>
      </c>
      <c r="G168" s="2" t="s">
        <v>1530</v>
      </c>
      <c r="H168" s="2" t="s">
        <v>209</v>
      </c>
      <c r="I168" s="2" t="s">
        <v>1013</v>
      </c>
      <c r="J168" s="2" t="s">
        <v>85</v>
      </c>
      <c r="K168" s="2" t="s">
        <v>86</v>
      </c>
      <c r="L168" s="2" t="s">
        <v>1466</v>
      </c>
      <c r="M168" s="2" t="s">
        <v>768</v>
      </c>
      <c r="N168" s="2" t="s">
        <v>160</v>
      </c>
      <c r="O168" s="2" t="s">
        <v>90</v>
      </c>
      <c r="P168" s="124">
        <v>101115</v>
      </c>
      <c r="Q168" s="132">
        <v>3.3719999999999999</v>
      </c>
      <c r="R168" s="149">
        <v>1235.085</v>
      </c>
      <c r="S168" s="114"/>
      <c r="T168" s="123">
        <v>4211.143</v>
      </c>
      <c r="U168" s="138">
        <v>3.0829999999999998E-3</v>
      </c>
      <c r="V168" s="138">
        <v>9.0663557030793394E-3</v>
      </c>
      <c r="W168" s="138">
        <v>2.2332341354264901E-3</v>
      </c>
    </row>
    <row r="169" spans="1:23">
      <c r="A169" s="2">
        <v>161</v>
      </c>
      <c r="B169" s="2">
        <v>9943</v>
      </c>
      <c r="C169" s="2" t="s">
        <v>1441</v>
      </c>
      <c r="D169" s="2" t="s">
        <v>1442</v>
      </c>
      <c r="E169" s="3" t="s">
        <v>206</v>
      </c>
      <c r="F169" s="2" t="s">
        <v>1513</v>
      </c>
      <c r="G169" s="2" t="s">
        <v>1514</v>
      </c>
      <c r="H169" s="2" t="s">
        <v>209</v>
      </c>
      <c r="I169" s="2" t="s">
        <v>1015</v>
      </c>
      <c r="J169" s="2" t="s">
        <v>85</v>
      </c>
      <c r="K169" s="2" t="s">
        <v>86</v>
      </c>
      <c r="L169" s="2" t="s">
        <v>414</v>
      </c>
      <c r="M169" s="2" t="s">
        <v>765</v>
      </c>
      <c r="N169" s="2" t="s">
        <v>160</v>
      </c>
      <c r="O169" s="2" t="s">
        <v>90</v>
      </c>
      <c r="P169" s="124">
        <v>116300</v>
      </c>
      <c r="Q169" s="132">
        <v>3.3719999999999999</v>
      </c>
      <c r="R169" s="149">
        <v>614.4</v>
      </c>
      <c r="S169" s="114"/>
      <c r="T169" s="123">
        <v>2409.453</v>
      </c>
      <c r="U169" s="138">
        <v>0</v>
      </c>
      <c r="V169" s="138">
        <v>5.1874183897528603E-3</v>
      </c>
      <c r="W169" s="138">
        <v>1.2777702753048301E-3</v>
      </c>
    </row>
    <row r="170" spans="1:23">
      <c r="A170" s="2">
        <v>161</v>
      </c>
      <c r="B170" s="2">
        <v>9943</v>
      </c>
      <c r="C170" s="2" t="s">
        <v>1441</v>
      </c>
      <c r="D170" s="2" t="s">
        <v>1442</v>
      </c>
      <c r="E170" s="3" t="s">
        <v>206</v>
      </c>
      <c r="F170" s="2" t="s">
        <v>1531</v>
      </c>
      <c r="G170" s="2" t="s">
        <v>1532</v>
      </c>
      <c r="H170" s="2" t="s">
        <v>209</v>
      </c>
      <c r="I170" s="2" t="s">
        <v>1013</v>
      </c>
      <c r="J170" s="2" t="s">
        <v>85</v>
      </c>
      <c r="K170" s="2" t="s">
        <v>86</v>
      </c>
      <c r="L170" s="2" t="s">
        <v>378</v>
      </c>
      <c r="M170" s="2" t="s">
        <v>768</v>
      </c>
      <c r="N170" s="2" t="s">
        <v>160</v>
      </c>
      <c r="O170" s="2" t="s">
        <v>90</v>
      </c>
      <c r="P170" s="124">
        <v>8500</v>
      </c>
      <c r="Q170" s="132">
        <v>3.3719999999999999</v>
      </c>
      <c r="R170" s="149">
        <v>9317</v>
      </c>
      <c r="S170" s="114"/>
      <c r="T170" s="123">
        <v>2670.4389999999999</v>
      </c>
      <c r="U170" s="138">
        <v>3.3199999999999999E-4</v>
      </c>
      <c r="V170" s="138">
        <v>5.7493053736307797E-3</v>
      </c>
      <c r="W170" s="138">
        <v>1.41617485965418E-3</v>
      </c>
    </row>
    <row r="171" spans="1:23">
      <c r="A171" s="2">
        <v>161</v>
      </c>
      <c r="B171" s="2">
        <v>9943</v>
      </c>
      <c r="C171" s="2" t="s">
        <v>1535</v>
      </c>
      <c r="D171" s="2" t="s">
        <v>1536</v>
      </c>
      <c r="E171" s="3" t="s">
        <v>206</v>
      </c>
      <c r="F171" s="2" t="s">
        <v>1537</v>
      </c>
      <c r="G171" s="2" t="s">
        <v>1538</v>
      </c>
      <c r="H171" s="2" t="s">
        <v>209</v>
      </c>
      <c r="I171" s="2" t="s">
        <v>1013</v>
      </c>
      <c r="J171" s="2" t="s">
        <v>85</v>
      </c>
      <c r="K171" s="2" t="s">
        <v>306</v>
      </c>
      <c r="L171" s="2" t="s">
        <v>378</v>
      </c>
      <c r="M171" s="2" t="s">
        <v>768</v>
      </c>
      <c r="N171" s="2" t="s">
        <v>160</v>
      </c>
      <c r="O171" s="2" t="s">
        <v>90</v>
      </c>
      <c r="P171" s="124">
        <v>28000</v>
      </c>
      <c r="Q171" s="132">
        <v>3.3719999999999999</v>
      </c>
      <c r="R171" s="149">
        <v>3433</v>
      </c>
      <c r="S171" s="114"/>
      <c r="T171" s="123">
        <v>3241.3009999999999</v>
      </c>
      <c r="U171" s="138">
        <v>1.13E-4</v>
      </c>
      <c r="V171" s="138">
        <v>6.9783410430634104E-3</v>
      </c>
      <c r="W171" s="138">
        <v>1.7189121998295101E-3</v>
      </c>
    </row>
    <row r="172" spans="1:23">
      <c r="A172" s="2">
        <v>161</v>
      </c>
      <c r="B172" s="2">
        <v>9943</v>
      </c>
      <c r="C172" s="2" t="s">
        <v>1491</v>
      </c>
      <c r="D172" s="2" t="s">
        <v>1492</v>
      </c>
      <c r="E172" s="3" t="s">
        <v>206</v>
      </c>
      <c r="F172" s="2" t="s">
        <v>1493</v>
      </c>
      <c r="G172" s="2" t="s">
        <v>1494</v>
      </c>
      <c r="H172" s="2" t="s">
        <v>209</v>
      </c>
      <c r="I172" s="2" t="s">
        <v>1013</v>
      </c>
      <c r="J172" s="2" t="s">
        <v>85</v>
      </c>
      <c r="K172" s="2" t="s">
        <v>86</v>
      </c>
      <c r="L172" s="2" t="s">
        <v>414</v>
      </c>
      <c r="M172" s="2" t="s">
        <v>768</v>
      </c>
      <c r="N172" s="2" t="s">
        <v>160</v>
      </c>
      <c r="O172" s="2" t="s">
        <v>90</v>
      </c>
      <c r="P172" s="124">
        <v>1836</v>
      </c>
      <c r="Q172" s="132">
        <v>3.3719999999999999</v>
      </c>
      <c r="R172" s="149">
        <v>44471</v>
      </c>
      <c r="S172" s="114"/>
      <c r="T172" s="123">
        <v>2753.1959999999999</v>
      </c>
      <c r="U172" s="138">
        <v>2.0699999999999999E-4</v>
      </c>
      <c r="V172" s="138">
        <v>5.9274776862164504E-3</v>
      </c>
      <c r="W172" s="138">
        <v>1.4600624483927301E-3</v>
      </c>
    </row>
    <row r="173" spans="1:23">
      <c r="A173" s="2">
        <v>161</v>
      </c>
      <c r="B173" s="2">
        <v>9943</v>
      </c>
      <c r="C173" s="2" t="s">
        <v>1437</v>
      </c>
      <c r="D173" s="2" t="s">
        <v>1438</v>
      </c>
      <c r="E173" s="3" t="s">
        <v>206</v>
      </c>
      <c r="F173" s="2" t="s">
        <v>1588</v>
      </c>
      <c r="G173" s="2" t="s">
        <v>1589</v>
      </c>
      <c r="H173" s="2" t="s">
        <v>209</v>
      </c>
      <c r="I173" s="2" t="s">
        <v>1015</v>
      </c>
      <c r="J173" s="2" t="s">
        <v>85</v>
      </c>
      <c r="K173" s="2" t="s">
        <v>86</v>
      </c>
      <c r="L173" s="2" t="s">
        <v>1590</v>
      </c>
      <c r="M173" s="2" t="s">
        <v>765</v>
      </c>
      <c r="N173" s="2" t="s">
        <v>160</v>
      </c>
      <c r="O173" s="2" t="s">
        <v>90</v>
      </c>
      <c r="P173" s="124">
        <v>33490</v>
      </c>
      <c r="Q173" s="132">
        <v>3.3719999999999999</v>
      </c>
      <c r="R173" s="149">
        <v>1125.9000000000001</v>
      </c>
      <c r="S173" s="114"/>
      <c r="T173" s="123">
        <v>1271.46</v>
      </c>
      <c r="U173" s="138">
        <v>2.055E-3</v>
      </c>
      <c r="V173" s="138">
        <v>2.7373814645780098E-3</v>
      </c>
      <c r="W173" s="138">
        <v>6.74274640063268E-4</v>
      </c>
    </row>
    <row r="174" spans="1:23">
      <c r="A174" s="2">
        <v>161</v>
      </c>
      <c r="B174" s="2">
        <v>9943</v>
      </c>
      <c r="C174" s="2" t="s">
        <v>1437</v>
      </c>
      <c r="D174" s="2" t="s">
        <v>1438</v>
      </c>
      <c r="E174" s="3" t="s">
        <v>206</v>
      </c>
      <c r="F174" s="2" t="s">
        <v>1447</v>
      </c>
      <c r="G174" s="2" t="s">
        <v>1448</v>
      </c>
      <c r="H174" s="2" t="s">
        <v>209</v>
      </c>
      <c r="I174" s="2" t="s">
        <v>1013</v>
      </c>
      <c r="J174" s="2" t="s">
        <v>85</v>
      </c>
      <c r="K174" s="2" t="s">
        <v>86</v>
      </c>
      <c r="L174" s="2" t="s">
        <v>378</v>
      </c>
      <c r="M174" s="2" t="s">
        <v>768</v>
      </c>
      <c r="N174" s="2" t="s">
        <v>160</v>
      </c>
      <c r="O174" s="2" t="s">
        <v>90</v>
      </c>
      <c r="P174" s="124">
        <v>40082</v>
      </c>
      <c r="Q174" s="132">
        <v>3.3719999999999999</v>
      </c>
      <c r="R174" s="149">
        <v>7269</v>
      </c>
      <c r="S174" s="114"/>
      <c r="T174" s="123">
        <v>9824.5259999999998</v>
      </c>
      <c r="U174" s="138">
        <v>1.3300000000000001E-4</v>
      </c>
      <c r="V174" s="138">
        <v>2.11516576264675E-2</v>
      </c>
      <c r="W174" s="138">
        <v>5.2100982334321701E-3</v>
      </c>
    </row>
    <row r="175" spans="1:23">
      <c r="A175" s="2">
        <v>161</v>
      </c>
      <c r="B175" s="2">
        <v>9943</v>
      </c>
      <c r="C175" s="2" t="s">
        <v>1437</v>
      </c>
      <c r="D175" s="2" t="s">
        <v>1438</v>
      </c>
      <c r="E175" s="3" t="s">
        <v>206</v>
      </c>
      <c r="F175" s="2" t="s">
        <v>1495</v>
      </c>
      <c r="G175" s="2" t="s">
        <v>1496</v>
      </c>
      <c r="H175" s="2" t="s">
        <v>209</v>
      </c>
      <c r="I175" s="2" t="s">
        <v>1013</v>
      </c>
      <c r="J175" s="2" t="s">
        <v>85</v>
      </c>
      <c r="K175" s="2" t="s">
        <v>86</v>
      </c>
      <c r="L175" s="2" t="s">
        <v>414</v>
      </c>
      <c r="M175" s="2" t="s">
        <v>768</v>
      </c>
      <c r="N175" s="2" t="s">
        <v>160</v>
      </c>
      <c r="O175" s="2" t="s">
        <v>90</v>
      </c>
      <c r="P175" s="124">
        <v>359740</v>
      </c>
      <c r="Q175" s="132">
        <v>3.3719999999999999</v>
      </c>
      <c r="R175" s="149">
        <v>1515</v>
      </c>
      <c r="S175" s="114"/>
      <c r="T175" s="123">
        <v>18377.606</v>
      </c>
      <c r="U175" s="138">
        <v>0</v>
      </c>
      <c r="V175" s="138">
        <v>3.9565961012337399E-2</v>
      </c>
      <c r="W175" s="138">
        <v>9.7459285326401395E-3</v>
      </c>
    </row>
    <row r="176" spans="1:23">
      <c r="A176" s="2">
        <v>161</v>
      </c>
      <c r="B176" s="2">
        <v>9943</v>
      </c>
      <c r="C176" s="2" t="s">
        <v>1437</v>
      </c>
      <c r="D176" s="2" t="s">
        <v>1438</v>
      </c>
      <c r="E176" s="3" t="s">
        <v>206</v>
      </c>
      <c r="F176" s="2" t="s">
        <v>1591</v>
      </c>
      <c r="G176" s="2" t="s">
        <v>1592</v>
      </c>
      <c r="H176" s="2" t="s">
        <v>209</v>
      </c>
      <c r="I176" s="2" t="s">
        <v>1015</v>
      </c>
      <c r="J176" s="2" t="s">
        <v>85</v>
      </c>
      <c r="K176" s="2" t="s">
        <v>86</v>
      </c>
      <c r="L176" s="2" t="s">
        <v>414</v>
      </c>
      <c r="M176" s="2" t="s">
        <v>765</v>
      </c>
      <c r="N176" s="2" t="s">
        <v>160</v>
      </c>
      <c r="O176" s="2" t="s">
        <v>90</v>
      </c>
      <c r="P176" s="124">
        <v>31520</v>
      </c>
      <c r="Q176" s="132">
        <v>3.3719999999999999</v>
      </c>
      <c r="R176" s="149">
        <v>2928.25</v>
      </c>
      <c r="S176" s="114"/>
      <c r="T176" s="123">
        <v>3112.3029999999999</v>
      </c>
      <c r="U176" s="138">
        <v>1.27E-4</v>
      </c>
      <c r="V176" s="138">
        <v>6.7006157885931301E-3</v>
      </c>
      <c r="W176" s="138">
        <v>1.65050262724431E-3</v>
      </c>
    </row>
    <row r="177" spans="1:23">
      <c r="A177" s="2">
        <v>161</v>
      </c>
      <c r="B177" s="2">
        <v>9943</v>
      </c>
      <c r="C177" s="2" t="s">
        <v>1437</v>
      </c>
      <c r="D177" s="2" t="s">
        <v>1438</v>
      </c>
      <c r="E177" s="3" t="s">
        <v>206</v>
      </c>
      <c r="F177" s="2" t="s">
        <v>1593</v>
      </c>
      <c r="G177" s="2" t="s">
        <v>1594</v>
      </c>
      <c r="H177" s="2" t="s">
        <v>209</v>
      </c>
      <c r="I177" s="2" t="s">
        <v>1013</v>
      </c>
      <c r="J177" s="2" t="s">
        <v>85</v>
      </c>
      <c r="K177" s="2" t="s">
        <v>86</v>
      </c>
      <c r="L177" s="2" t="s">
        <v>414</v>
      </c>
      <c r="M177" s="2" t="s">
        <v>768</v>
      </c>
      <c r="N177" s="2" t="s">
        <v>160</v>
      </c>
      <c r="O177" s="2" t="s">
        <v>90</v>
      </c>
      <c r="P177" s="124">
        <v>27930</v>
      </c>
      <c r="Q177" s="132">
        <v>3.3719999999999999</v>
      </c>
      <c r="R177" s="149">
        <v>3340.75</v>
      </c>
      <c r="S177" s="114"/>
      <c r="T177" s="123">
        <v>3146.317</v>
      </c>
      <c r="U177" s="138">
        <v>0</v>
      </c>
      <c r="V177" s="138">
        <v>6.7738452104617103E-3</v>
      </c>
      <c r="W177" s="138">
        <v>1.6685405743523099E-3</v>
      </c>
    </row>
    <row r="178" spans="1:23">
      <c r="A178" s="2">
        <v>161</v>
      </c>
      <c r="B178" s="2">
        <v>9943</v>
      </c>
      <c r="C178" s="2" t="s">
        <v>1437</v>
      </c>
      <c r="D178" s="2" t="s">
        <v>1438</v>
      </c>
      <c r="E178" s="3" t="s">
        <v>206</v>
      </c>
      <c r="F178" s="2" t="s">
        <v>1449</v>
      </c>
      <c r="G178" s="2" t="s">
        <v>1450</v>
      </c>
      <c r="H178" s="2" t="s">
        <v>209</v>
      </c>
      <c r="I178" s="2" t="s">
        <v>1013</v>
      </c>
      <c r="J178" s="2" t="s">
        <v>85</v>
      </c>
      <c r="K178" s="2" t="s">
        <v>86</v>
      </c>
      <c r="L178" s="2" t="s">
        <v>414</v>
      </c>
      <c r="M178" s="2" t="s">
        <v>768</v>
      </c>
      <c r="N178" s="2" t="s">
        <v>160</v>
      </c>
      <c r="O178" s="2" t="s">
        <v>90</v>
      </c>
      <c r="P178" s="124">
        <v>11580</v>
      </c>
      <c r="Q178" s="132">
        <v>3.3719999999999999</v>
      </c>
      <c r="R178" s="149">
        <v>6140.25</v>
      </c>
      <c r="S178" s="114"/>
      <c r="T178" s="123">
        <v>2397.63</v>
      </c>
      <c r="U178" s="138">
        <v>3.4999999999999997E-5</v>
      </c>
      <c r="V178" s="138">
        <v>5.1619639680868497E-3</v>
      </c>
      <c r="W178" s="138">
        <v>1.2715003157727099E-3</v>
      </c>
    </row>
    <row r="179" spans="1:23">
      <c r="A179" s="2">
        <v>161</v>
      </c>
      <c r="B179" s="2">
        <v>9943</v>
      </c>
      <c r="C179" s="2" t="s">
        <v>1437</v>
      </c>
      <c r="D179" s="2" t="s">
        <v>1438</v>
      </c>
      <c r="E179" s="3" t="s">
        <v>206</v>
      </c>
      <c r="F179" s="2" t="s">
        <v>1542</v>
      </c>
      <c r="G179" s="2" t="s">
        <v>1543</v>
      </c>
      <c r="H179" s="2" t="s">
        <v>209</v>
      </c>
      <c r="I179" s="2" t="s">
        <v>1013</v>
      </c>
      <c r="J179" s="2" t="s">
        <v>85</v>
      </c>
      <c r="K179" s="2" t="s">
        <v>86</v>
      </c>
      <c r="L179" s="2" t="s">
        <v>414</v>
      </c>
      <c r="M179" s="2" t="s">
        <v>768</v>
      </c>
      <c r="N179" s="2" t="s">
        <v>160</v>
      </c>
      <c r="O179" s="2" t="s">
        <v>90</v>
      </c>
      <c r="P179" s="124">
        <v>31566</v>
      </c>
      <c r="Q179" s="132">
        <v>3.3719999999999999</v>
      </c>
      <c r="R179" s="149">
        <v>13211</v>
      </c>
      <c r="S179" s="114"/>
      <c r="T179" s="123">
        <v>14061.861000000001</v>
      </c>
      <c r="U179" s="138">
        <v>0</v>
      </c>
      <c r="V179" s="138">
        <v>3.02744038728049E-2</v>
      </c>
      <c r="W179" s="138">
        <v>7.4572225459312901E-3</v>
      </c>
    </row>
    <row r="180" spans="1:23">
      <c r="A180" s="2">
        <v>161</v>
      </c>
      <c r="B180" s="2">
        <v>9943</v>
      </c>
      <c r="C180" s="2" t="s">
        <v>1451</v>
      </c>
      <c r="D180" s="2" t="s">
        <v>1452</v>
      </c>
      <c r="E180" s="3" t="s">
        <v>206</v>
      </c>
      <c r="F180" s="2" t="s">
        <v>1544</v>
      </c>
      <c r="G180" s="2" t="s">
        <v>1545</v>
      </c>
      <c r="H180" s="2" t="s">
        <v>209</v>
      </c>
      <c r="I180" s="2" t="s">
        <v>1015</v>
      </c>
      <c r="J180" s="2" t="s">
        <v>85</v>
      </c>
      <c r="K180" s="2" t="s">
        <v>86</v>
      </c>
      <c r="L180" s="2" t="s">
        <v>414</v>
      </c>
      <c r="M180" s="2" t="s">
        <v>765</v>
      </c>
      <c r="N180" s="2" t="s">
        <v>160</v>
      </c>
      <c r="O180" s="2" t="s">
        <v>90</v>
      </c>
      <c r="P180" s="124">
        <v>38600</v>
      </c>
      <c r="Q180" s="132">
        <v>3.3719999999999999</v>
      </c>
      <c r="R180" s="149">
        <v>5902</v>
      </c>
      <c r="S180" s="114"/>
      <c r="T180" s="123">
        <v>7681.9960000000001</v>
      </c>
      <c r="U180" s="138">
        <v>0</v>
      </c>
      <c r="V180" s="138">
        <v>1.6538909295033401E-2</v>
      </c>
      <c r="W180" s="138">
        <v>4.0738812826245198E-3</v>
      </c>
    </row>
    <row r="181" spans="1:23">
      <c r="A181" s="2">
        <v>161</v>
      </c>
      <c r="B181" s="2">
        <v>9943</v>
      </c>
      <c r="C181" s="2" t="s">
        <v>1451</v>
      </c>
      <c r="D181" s="2" t="s">
        <v>1452</v>
      </c>
      <c r="E181" s="3" t="s">
        <v>206</v>
      </c>
      <c r="F181" s="2" t="s">
        <v>1546</v>
      </c>
      <c r="G181" s="2" t="s">
        <v>1547</v>
      </c>
      <c r="H181" s="2" t="s">
        <v>209</v>
      </c>
      <c r="I181" s="2" t="s">
        <v>1013</v>
      </c>
      <c r="J181" s="2" t="s">
        <v>85</v>
      </c>
      <c r="K181" s="2" t="s">
        <v>1469</v>
      </c>
      <c r="L181" s="2" t="s">
        <v>414</v>
      </c>
      <c r="M181" s="2" t="s">
        <v>768</v>
      </c>
      <c r="N181" s="2" t="s">
        <v>160</v>
      </c>
      <c r="O181" s="2" t="s">
        <v>90</v>
      </c>
      <c r="P181" s="124">
        <v>8550</v>
      </c>
      <c r="Q181" s="132">
        <v>3.3719999999999999</v>
      </c>
      <c r="R181" s="149">
        <v>7048</v>
      </c>
      <c r="S181" s="114"/>
      <c r="T181" s="123">
        <v>2031.981</v>
      </c>
      <c r="U181" s="138">
        <v>0</v>
      </c>
      <c r="V181" s="138">
        <v>4.3747411946175596E-3</v>
      </c>
      <c r="W181" s="138">
        <v>1.07759078613672E-3</v>
      </c>
    </row>
    <row r="182" spans="1:23">
      <c r="A182" s="2">
        <v>161</v>
      </c>
      <c r="B182" s="2">
        <v>9943</v>
      </c>
      <c r="C182" s="2" t="s">
        <v>1451</v>
      </c>
      <c r="D182" s="2" t="s">
        <v>1452</v>
      </c>
      <c r="E182" s="3" t="s">
        <v>206</v>
      </c>
      <c r="F182" s="2" t="s">
        <v>1595</v>
      </c>
      <c r="G182" s="2" t="s">
        <v>1547</v>
      </c>
      <c r="H182" s="2" t="s">
        <v>209</v>
      </c>
      <c r="I182" s="2" t="s">
        <v>1013</v>
      </c>
      <c r="J182" s="2" t="s">
        <v>85</v>
      </c>
      <c r="K182" s="2" t="s">
        <v>331</v>
      </c>
      <c r="L182" s="2" t="s">
        <v>1528</v>
      </c>
      <c r="M182" s="2" t="s">
        <v>768</v>
      </c>
      <c r="N182" s="2" t="s">
        <v>160</v>
      </c>
      <c r="O182" s="2" t="s">
        <v>1200</v>
      </c>
      <c r="P182" s="124">
        <v>23850</v>
      </c>
      <c r="Q182" s="132">
        <v>3.9552</v>
      </c>
      <c r="R182" s="149">
        <v>5997</v>
      </c>
      <c r="S182" s="114"/>
      <c r="T182" s="123">
        <v>5657.0609999999997</v>
      </c>
      <c r="U182" s="138">
        <v>0</v>
      </c>
      <c r="V182" s="138">
        <v>1.2179337656234E-2</v>
      </c>
      <c r="W182" s="138">
        <v>3.0000270772024599E-3</v>
      </c>
    </row>
    <row r="183" spans="1:23">
      <c r="A183" s="2">
        <v>161</v>
      </c>
      <c r="B183" s="2">
        <v>9943</v>
      </c>
      <c r="C183" s="2" t="s">
        <v>1451</v>
      </c>
      <c r="D183" s="2" t="s">
        <v>1452</v>
      </c>
      <c r="E183" s="3" t="s">
        <v>206</v>
      </c>
      <c r="F183" s="2" t="s">
        <v>1453</v>
      </c>
      <c r="G183" s="2" t="s">
        <v>1454</v>
      </c>
      <c r="H183" s="2" t="s">
        <v>209</v>
      </c>
      <c r="I183" s="2" t="s">
        <v>1013</v>
      </c>
      <c r="J183" s="2" t="s">
        <v>85</v>
      </c>
      <c r="K183" s="2" t="s">
        <v>86</v>
      </c>
      <c r="L183" s="2" t="s">
        <v>378</v>
      </c>
      <c r="M183" s="2" t="s">
        <v>768</v>
      </c>
      <c r="N183" s="2" t="s">
        <v>160</v>
      </c>
      <c r="O183" s="2" t="s">
        <v>90</v>
      </c>
      <c r="P183" s="124">
        <v>4567</v>
      </c>
      <c r="Q183" s="132">
        <v>3.3719999999999999</v>
      </c>
      <c r="R183" s="149">
        <v>56803</v>
      </c>
      <c r="S183" s="127">
        <v>5.976</v>
      </c>
      <c r="T183" s="123">
        <v>8767.77</v>
      </c>
      <c r="U183" s="138">
        <v>5.0000000000000004E-6</v>
      </c>
      <c r="V183" s="138">
        <v>1.8876520255851601E-2</v>
      </c>
      <c r="W183" s="138">
        <v>4.6496840377793103E-3</v>
      </c>
    </row>
    <row r="184" spans="1:23">
      <c r="A184" s="2">
        <v>161</v>
      </c>
      <c r="B184" s="2">
        <v>9943</v>
      </c>
      <c r="C184" s="2" t="s">
        <v>1548</v>
      </c>
      <c r="D184" s="2" t="s">
        <v>1549</v>
      </c>
      <c r="E184" s="3" t="s">
        <v>206</v>
      </c>
      <c r="F184" s="2" t="s">
        <v>1550</v>
      </c>
      <c r="G184" s="2" t="s">
        <v>1551</v>
      </c>
      <c r="H184" s="2" t="s">
        <v>209</v>
      </c>
      <c r="I184" s="2" t="s">
        <v>1013</v>
      </c>
      <c r="J184" s="2" t="s">
        <v>85</v>
      </c>
      <c r="K184" s="2" t="s">
        <v>289</v>
      </c>
      <c r="L184" s="2" t="s">
        <v>378</v>
      </c>
      <c r="M184" s="2" t="s">
        <v>768</v>
      </c>
      <c r="N184" s="2" t="s">
        <v>160</v>
      </c>
      <c r="O184" s="2" t="s">
        <v>90</v>
      </c>
      <c r="P184" s="124">
        <v>17800</v>
      </c>
      <c r="Q184" s="132">
        <v>3.3719999999999999</v>
      </c>
      <c r="R184" s="149">
        <v>11427</v>
      </c>
      <c r="S184" s="114"/>
      <c r="T184" s="123">
        <v>6858.6679999999997</v>
      </c>
      <c r="U184" s="138">
        <v>5.6400000000000005E-4</v>
      </c>
      <c r="V184" s="138">
        <v>1.4766330522697E-2</v>
      </c>
      <c r="W184" s="138">
        <v>3.6372578418775899E-3</v>
      </c>
    </row>
    <row r="185" spans="1:23">
      <c r="A185" s="2">
        <v>161</v>
      </c>
      <c r="B185" s="2">
        <v>9943</v>
      </c>
      <c r="C185" s="2" t="s">
        <v>1437</v>
      </c>
      <c r="D185" s="2" t="s">
        <v>1438</v>
      </c>
      <c r="E185" s="3" t="s">
        <v>206</v>
      </c>
      <c r="F185" s="2" t="s">
        <v>1524</v>
      </c>
      <c r="G185" s="2" t="s">
        <v>1525</v>
      </c>
      <c r="H185" s="2" t="s">
        <v>209</v>
      </c>
      <c r="I185" s="2" t="s">
        <v>1013</v>
      </c>
      <c r="J185" s="2" t="s">
        <v>85</v>
      </c>
      <c r="K185" s="2" t="s">
        <v>86</v>
      </c>
      <c r="L185" s="2" t="s">
        <v>378</v>
      </c>
      <c r="M185" s="2" t="s">
        <v>768</v>
      </c>
      <c r="N185" s="2" t="s">
        <v>160</v>
      </c>
      <c r="O185" s="2" t="s">
        <v>90</v>
      </c>
      <c r="P185" s="124">
        <v>51980</v>
      </c>
      <c r="Q185" s="132">
        <v>3.3719999999999999</v>
      </c>
      <c r="R185" s="149">
        <v>5237</v>
      </c>
      <c r="S185" s="114"/>
      <c r="T185" s="123">
        <v>9179.2330000000002</v>
      </c>
      <c r="U185" s="138">
        <v>5.8E-5</v>
      </c>
      <c r="V185" s="138">
        <v>1.9762378123781298E-2</v>
      </c>
      <c r="W185" s="138">
        <v>4.8678894661329198E-3</v>
      </c>
    </row>
    <row r="186" spans="1:23">
      <c r="A186" s="2">
        <v>161</v>
      </c>
      <c r="B186" s="2">
        <v>9943</v>
      </c>
      <c r="C186" s="2" t="s">
        <v>1389</v>
      </c>
      <c r="D186" s="2" t="s">
        <v>1390</v>
      </c>
      <c r="E186" s="3" t="s">
        <v>206</v>
      </c>
      <c r="F186" s="2" t="s">
        <v>1488</v>
      </c>
      <c r="G186" s="2" t="s">
        <v>1489</v>
      </c>
      <c r="H186" s="2" t="s">
        <v>209</v>
      </c>
      <c r="I186" s="2" t="s">
        <v>1013</v>
      </c>
      <c r="J186" s="2" t="s">
        <v>85</v>
      </c>
      <c r="K186" s="2" t="s">
        <v>86</v>
      </c>
      <c r="L186" s="2" t="s">
        <v>380</v>
      </c>
      <c r="M186" s="2" t="s">
        <v>768</v>
      </c>
      <c r="N186" s="2" t="s">
        <v>160</v>
      </c>
      <c r="O186" s="2" t="s">
        <v>90</v>
      </c>
      <c r="P186" s="124">
        <v>8573</v>
      </c>
      <c r="Q186" s="132">
        <v>3.3719999999999999</v>
      </c>
      <c r="R186" s="149">
        <v>55164</v>
      </c>
      <c r="S186" s="127">
        <v>3.8010000000000002</v>
      </c>
      <c r="T186" s="123">
        <v>15959.710999999999</v>
      </c>
      <c r="U186" s="138">
        <v>1.5E-5</v>
      </c>
      <c r="V186" s="138">
        <v>3.4360368691845299E-2</v>
      </c>
      <c r="W186" s="138">
        <v>8.4636816358755994E-3</v>
      </c>
    </row>
    <row r="187" spans="1:23">
      <c r="A187" s="2">
        <v>161</v>
      </c>
      <c r="B187" s="2">
        <v>9943</v>
      </c>
      <c r="C187" s="2" t="s">
        <v>1441</v>
      </c>
      <c r="D187" s="2" t="s">
        <v>1442</v>
      </c>
      <c r="E187" s="3" t="s">
        <v>206</v>
      </c>
      <c r="F187" s="2" t="s">
        <v>1596</v>
      </c>
      <c r="G187" s="2" t="s">
        <v>1597</v>
      </c>
      <c r="H187" s="2" t="s">
        <v>209</v>
      </c>
      <c r="I187" s="2" t="s">
        <v>1013</v>
      </c>
      <c r="J187" s="2" t="s">
        <v>85</v>
      </c>
      <c r="K187" s="2" t="s">
        <v>86</v>
      </c>
      <c r="L187" s="2" t="s">
        <v>380</v>
      </c>
      <c r="M187" s="2" t="s">
        <v>768</v>
      </c>
      <c r="N187" s="2" t="s">
        <v>160</v>
      </c>
      <c r="O187" s="2" t="s">
        <v>90</v>
      </c>
      <c r="P187" s="124">
        <v>7120</v>
      </c>
      <c r="Q187" s="132">
        <v>3.3719999999999999</v>
      </c>
      <c r="R187" s="149">
        <v>23870</v>
      </c>
      <c r="S187" s="114"/>
      <c r="T187" s="123">
        <v>5730.8620000000001</v>
      </c>
      <c r="U187" s="138">
        <v>4.0999999999999999E-4</v>
      </c>
      <c r="V187" s="138">
        <v>1.23382273414466E-2</v>
      </c>
      <c r="W187" s="138">
        <v>3.0391649491771501E-3</v>
      </c>
    </row>
    <row r="188" spans="1:23">
      <c r="A188" s="2">
        <v>161</v>
      </c>
      <c r="B188" s="2">
        <v>9943</v>
      </c>
      <c r="C188" s="2" t="s">
        <v>1598</v>
      </c>
      <c r="D188" s="2"/>
      <c r="E188" s="3" t="s">
        <v>135</v>
      </c>
      <c r="F188" s="2" t="s">
        <v>1599</v>
      </c>
      <c r="G188" s="2" t="s">
        <v>1600</v>
      </c>
      <c r="H188" s="2" t="s">
        <v>209</v>
      </c>
      <c r="I188" s="2" t="s">
        <v>1013</v>
      </c>
      <c r="J188" s="2" t="s">
        <v>85</v>
      </c>
      <c r="K188" s="2" t="s">
        <v>331</v>
      </c>
      <c r="L188" s="2" t="s">
        <v>1590</v>
      </c>
      <c r="M188" s="2" t="s">
        <v>768</v>
      </c>
      <c r="N188" s="2" t="s">
        <v>160</v>
      </c>
      <c r="O188" s="2" t="s">
        <v>90</v>
      </c>
      <c r="P188" s="124">
        <v>20000</v>
      </c>
      <c r="Q188" s="132">
        <v>3.3719999999999999</v>
      </c>
      <c r="R188" s="149">
        <v>4303</v>
      </c>
      <c r="S188" s="114"/>
      <c r="T188" s="123">
        <v>2901.9430000000002</v>
      </c>
      <c r="U188" s="138">
        <v>0</v>
      </c>
      <c r="V188" s="138">
        <v>6.2477220066376503E-3</v>
      </c>
      <c r="W188" s="138">
        <v>1.5389453613803799E-3</v>
      </c>
    </row>
    <row r="189" spans="1:23">
      <c r="A189" s="2">
        <v>161</v>
      </c>
      <c r="B189" s="2">
        <v>9943</v>
      </c>
      <c r="C189" s="2" t="s">
        <v>1437</v>
      </c>
      <c r="D189" s="2" t="s">
        <v>1438</v>
      </c>
      <c r="E189" s="3" t="s">
        <v>206</v>
      </c>
      <c r="F189" s="2" t="s">
        <v>1601</v>
      </c>
      <c r="G189" s="2" t="s">
        <v>1602</v>
      </c>
      <c r="H189" s="2" t="s">
        <v>209</v>
      </c>
      <c r="I189" s="2" t="s">
        <v>1015</v>
      </c>
      <c r="J189" s="2" t="s">
        <v>85</v>
      </c>
      <c r="K189" s="2" t="s">
        <v>86</v>
      </c>
      <c r="L189" s="2" t="s">
        <v>414</v>
      </c>
      <c r="M189" s="2" t="s">
        <v>765</v>
      </c>
      <c r="N189" s="2" t="s">
        <v>160</v>
      </c>
      <c r="O189" s="2" t="s">
        <v>90</v>
      </c>
      <c r="P189" s="124">
        <v>21700</v>
      </c>
      <c r="Q189" s="132">
        <v>3.3719999999999999</v>
      </c>
      <c r="R189" s="149">
        <v>5027.5</v>
      </c>
      <c r="S189" s="114"/>
      <c r="T189" s="123">
        <v>3678.7420000000002</v>
      </c>
      <c r="U189" s="138">
        <v>0</v>
      </c>
      <c r="V189" s="138">
        <v>7.9201274207256096E-3</v>
      </c>
      <c r="W189" s="138">
        <v>1.9508939966787701E-3</v>
      </c>
    </row>
    <row r="190" spans="1:23">
      <c r="A190" s="2">
        <v>161</v>
      </c>
      <c r="B190" s="2">
        <v>9943</v>
      </c>
      <c r="C190" s="2" t="s">
        <v>1437</v>
      </c>
      <c r="D190" s="2" t="s">
        <v>1438</v>
      </c>
      <c r="E190" s="3" t="s">
        <v>206</v>
      </c>
      <c r="F190" s="2" t="s">
        <v>1603</v>
      </c>
      <c r="G190" s="2" t="s">
        <v>1604</v>
      </c>
      <c r="H190" s="2" t="s">
        <v>209</v>
      </c>
      <c r="I190" s="2" t="s">
        <v>1013</v>
      </c>
      <c r="J190" s="2" t="s">
        <v>85</v>
      </c>
      <c r="K190" s="2" t="s">
        <v>86</v>
      </c>
      <c r="L190" s="2" t="s">
        <v>378</v>
      </c>
      <c r="M190" s="2" t="s">
        <v>768</v>
      </c>
      <c r="N190" s="2" t="s">
        <v>160</v>
      </c>
      <c r="O190" s="2" t="s">
        <v>90</v>
      </c>
      <c r="P190" s="124">
        <v>21225</v>
      </c>
      <c r="Q190" s="132">
        <v>3.3719999999999999</v>
      </c>
      <c r="R190" s="149">
        <v>61785</v>
      </c>
      <c r="S190" s="127">
        <v>28.035</v>
      </c>
      <c r="T190" s="123">
        <v>44314.49</v>
      </c>
      <c r="U190" s="138">
        <v>2.0000000000000002E-5</v>
      </c>
      <c r="V190" s="138">
        <v>9.5406628615583397E-2</v>
      </c>
      <c r="W190" s="138">
        <v>2.3500659663938901E-2</v>
      </c>
    </row>
    <row r="191" spans="1:23">
      <c r="A191" s="2">
        <v>161</v>
      </c>
      <c r="B191" s="2">
        <v>9943</v>
      </c>
      <c r="C191" s="2" t="s">
        <v>1451</v>
      </c>
      <c r="D191" s="2" t="s">
        <v>1452</v>
      </c>
      <c r="E191" s="3" t="s">
        <v>206</v>
      </c>
      <c r="F191" s="2" t="s">
        <v>1453</v>
      </c>
      <c r="G191" s="2" t="s">
        <v>1454</v>
      </c>
      <c r="H191" s="2" t="s">
        <v>209</v>
      </c>
      <c r="I191" s="2" t="s">
        <v>1013</v>
      </c>
      <c r="J191" s="2" t="s">
        <v>85</v>
      </c>
      <c r="K191" s="2" t="s">
        <v>86</v>
      </c>
      <c r="L191" s="2" t="s">
        <v>378</v>
      </c>
      <c r="M191" s="2" t="s">
        <v>768</v>
      </c>
      <c r="N191" s="2" t="s">
        <v>160</v>
      </c>
      <c r="O191" s="2" t="s">
        <v>90</v>
      </c>
      <c r="P191" s="124">
        <v>2657</v>
      </c>
      <c r="Q191" s="132">
        <v>3.3719999999999999</v>
      </c>
      <c r="R191" s="149">
        <v>56803</v>
      </c>
      <c r="S191" s="127">
        <v>3.4769999999999999</v>
      </c>
      <c r="T191" s="123">
        <v>5100.9340000000002</v>
      </c>
      <c r="U191" s="138">
        <v>3.0000000000000001E-6</v>
      </c>
      <c r="V191" s="138">
        <v>1.09820263542843E-2</v>
      </c>
      <c r="W191" s="138">
        <v>2.7051041161126302E-3</v>
      </c>
    </row>
    <row r="192" spans="1:23">
      <c r="A192" s="2">
        <v>161</v>
      </c>
      <c r="B192" s="2">
        <v>12468</v>
      </c>
      <c r="C192" s="2" t="s">
        <v>1376</v>
      </c>
      <c r="D192" s="2" t="s">
        <v>1377</v>
      </c>
      <c r="E192" s="3" t="s">
        <v>1351</v>
      </c>
      <c r="F192" s="2" t="s">
        <v>1399</v>
      </c>
      <c r="G192" s="2" t="s">
        <v>1400</v>
      </c>
      <c r="H192" s="2" t="s">
        <v>209</v>
      </c>
      <c r="I192" s="2" t="s">
        <v>1012</v>
      </c>
      <c r="J192" s="2" t="s">
        <v>30</v>
      </c>
      <c r="K192" s="2" t="s">
        <v>30</v>
      </c>
      <c r="L192" s="2" t="s">
        <v>31</v>
      </c>
      <c r="M192" s="2" t="s">
        <v>1380</v>
      </c>
      <c r="N192" s="2" t="s">
        <v>160</v>
      </c>
      <c r="O192" s="2" t="s">
        <v>34</v>
      </c>
      <c r="P192" s="124">
        <v>8067</v>
      </c>
      <c r="Q192" s="132">
        <v>1</v>
      </c>
      <c r="R192" s="149">
        <v>4659</v>
      </c>
      <c r="S192" s="114"/>
      <c r="T192" s="123">
        <v>375.84199999999998</v>
      </c>
      <c r="U192" s="138">
        <v>9.5000000000000005E-5</v>
      </c>
      <c r="V192" s="138">
        <v>3.9441642515419199E-2</v>
      </c>
      <c r="W192" s="138">
        <v>1.7760660653928399E-2</v>
      </c>
    </row>
    <row r="193" spans="1:23">
      <c r="A193" s="2">
        <v>161</v>
      </c>
      <c r="B193" s="2">
        <v>12468</v>
      </c>
      <c r="C193" s="2" t="s">
        <v>1376</v>
      </c>
      <c r="D193" s="2" t="s">
        <v>1377</v>
      </c>
      <c r="E193" s="3" t="s">
        <v>1351</v>
      </c>
      <c r="F193" s="2" t="s">
        <v>1404</v>
      </c>
      <c r="G193" s="2" t="s">
        <v>1405</v>
      </c>
      <c r="H193" s="2" t="s">
        <v>209</v>
      </c>
      <c r="I193" s="2" t="s">
        <v>1013</v>
      </c>
      <c r="J193" s="2" t="s">
        <v>30</v>
      </c>
      <c r="K193" s="2" t="s">
        <v>86</v>
      </c>
      <c r="L193" s="2" t="s">
        <v>31</v>
      </c>
      <c r="M193" s="2" t="s">
        <v>1406</v>
      </c>
      <c r="N193" s="2" t="s">
        <v>160</v>
      </c>
      <c r="O193" s="2" t="s">
        <v>34</v>
      </c>
      <c r="P193" s="124">
        <v>207</v>
      </c>
      <c r="Q193" s="132">
        <v>1</v>
      </c>
      <c r="R193" s="149">
        <v>7820</v>
      </c>
      <c r="S193" s="114"/>
      <c r="T193" s="123">
        <v>16.187000000000001</v>
      </c>
      <c r="U193" s="138">
        <v>7.9999999999999996E-6</v>
      </c>
      <c r="V193" s="138">
        <v>1.6987416054157099E-3</v>
      </c>
      <c r="W193" s="138">
        <v>7.6494717938541796E-4</v>
      </c>
    </row>
    <row r="194" spans="1:23">
      <c r="A194" s="2">
        <v>161</v>
      </c>
      <c r="B194" s="2">
        <v>12468</v>
      </c>
      <c r="C194" s="2" t="s">
        <v>1407</v>
      </c>
      <c r="D194" s="2" t="s">
        <v>1408</v>
      </c>
      <c r="E194" s="3" t="s">
        <v>1351</v>
      </c>
      <c r="F194" s="2" t="s">
        <v>1470</v>
      </c>
      <c r="G194" s="2" t="s">
        <v>1471</v>
      </c>
      <c r="H194" s="2" t="s">
        <v>209</v>
      </c>
      <c r="I194" s="2" t="s">
        <v>1013</v>
      </c>
      <c r="J194" s="2" t="s">
        <v>30</v>
      </c>
      <c r="K194" s="2" t="s">
        <v>86</v>
      </c>
      <c r="L194" s="2" t="s">
        <v>31</v>
      </c>
      <c r="M194" s="2" t="s">
        <v>1406</v>
      </c>
      <c r="N194" s="2" t="s">
        <v>160</v>
      </c>
      <c r="O194" s="2" t="s">
        <v>34</v>
      </c>
      <c r="P194" s="124">
        <v>110</v>
      </c>
      <c r="Q194" s="132">
        <v>1</v>
      </c>
      <c r="R194" s="149">
        <v>5943</v>
      </c>
      <c r="S194" s="114"/>
      <c r="T194" s="123">
        <v>6.5369999999999999</v>
      </c>
      <c r="U194" s="138">
        <v>9.9999999999999995E-7</v>
      </c>
      <c r="V194" s="138">
        <v>6.8603873982752697E-4</v>
      </c>
      <c r="W194" s="138">
        <v>3.0892479309810702E-4</v>
      </c>
    </row>
    <row r="195" spans="1:23">
      <c r="A195" s="2">
        <v>161</v>
      </c>
      <c r="B195" s="2">
        <v>12468</v>
      </c>
      <c r="C195" s="2" t="s">
        <v>1407</v>
      </c>
      <c r="D195" s="2" t="s">
        <v>1408</v>
      </c>
      <c r="E195" s="3" t="s">
        <v>1351</v>
      </c>
      <c r="F195" s="2" t="s">
        <v>1503</v>
      </c>
      <c r="G195" s="2" t="s">
        <v>1504</v>
      </c>
      <c r="H195" s="2" t="s">
        <v>209</v>
      </c>
      <c r="I195" s="2" t="s">
        <v>1013</v>
      </c>
      <c r="J195" s="2" t="s">
        <v>30</v>
      </c>
      <c r="K195" s="2" t="s">
        <v>86</v>
      </c>
      <c r="L195" s="2" t="s">
        <v>31</v>
      </c>
      <c r="M195" s="2" t="s">
        <v>1459</v>
      </c>
      <c r="N195" s="2" t="s">
        <v>160</v>
      </c>
      <c r="O195" s="2" t="s">
        <v>34</v>
      </c>
      <c r="P195" s="124">
        <v>16000</v>
      </c>
      <c r="Q195" s="132">
        <v>1</v>
      </c>
      <c r="R195" s="149">
        <v>2432</v>
      </c>
      <c r="S195" s="114"/>
      <c r="T195" s="123">
        <v>389.12</v>
      </c>
      <c r="U195" s="138">
        <v>4.1999999999999998E-5</v>
      </c>
      <c r="V195" s="138">
        <v>4.0835114564374803E-2</v>
      </c>
      <c r="W195" s="138">
        <v>1.8388144262973301E-2</v>
      </c>
    </row>
    <row r="196" spans="1:23">
      <c r="A196" s="2">
        <v>161</v>
      </c>
      <c r="B196" s="2">
        <v>12468</v>
      </c>
      <c r="C196" s="2" t="s">
        <v>1407</v>
      </c>
      <c r="D196" s="2" t="s">
        <v>1408</v>
      </c>
      <c r="E196" s="3" t="s">
        <v>1351</v>
      </c>
      <c r="F196" s="2" t="s">
        <v>1409</v>
      </c>
      <c r="G196" s="2" t="s">
        <v>1410</v>
      </c>
      <c r="H196" s="2" t="s">
        <v>209</v>
      </c>
      <c r="I196" s="2" t="s">
        <v>1012</v>
      </c>
      <c r="J196" s="2" t="s">
        <v>30</v>
      </c>
      <c r="K196" s="2" t="s">
        <v>30</v>
      </c>
      <c r="L196" s="2" t="s">
        <v>31</v>
      </c>
      <c r="M196" s="2" t="s">
        <v>1380</v>
      </c>
      <c r="N196" s="2" t="s">
        <v>160</v>
      </c>
      <c r="O196" s="2" t="s">
        <v>34</v>
      </c>
      <c r="P196" s="124">
        <v>29200</v>
      </c>
      <c r="Q196" s="132">
        <v>1</v>
      </c>
      <c r="R196" s="149">
        <v>3032</v>
      </c>
      <c r="S196" s="114"/>
      <c r="T196" s="123">
        <v>885.34400000000005</v>
      </c>
      <c r="U196" s="138">
        <v>1.17E-4</v>
      </c>
      <c r="V196" s="138">
        <v>9.2909960086558996E-2</v>
      </c>
      <c r="W196" s="138">
        <v>4.1837564747013299E-2</v>
      </c>
    </row>
    <row r="197" spans="1:23">
      <c r="A197" s="2">
        <v>161</v>
      </c>
      <c r="B197" s="2">
        <v>12468</v>
      </c>
      <c r="C197" s="2" t="s">
        <v>1407</v>
      </c>
      <c r="D197" s="2" t="s">
        <v>1408</v>
      </c>
      <c r="E197" s="3" t="s">
        <v>1351</v>
      </c>
      <c r="F197" s="2" t="s">
        <v>1605</v>
      </c>
      <c r="G197" s="2" t="s">
        <v>1606</v>
      </c>
      <c r="H197" s="2" t="s">
        <v>209</v>
      </c>
      <c r="I197" s="2" t="s">
        <v>1012</v>
      </c>
      <c r="J197" s="2" t="s">
        <v>30</v>
      </c>
      <c r="K197" s="2" t="s">
        <v>30</v>
      </c>
      <c r="L197" s="2" t="s">
        <v>31</v>
      </c>
      <c r="M197" s="2" t="s">
        <v>1380</v>
      </c>
      <c r="N197" s="2" t="s">
        <v>160</v>
      </c>
      <c r="O197" s="2" t="s">
        <v>34</v>
      </c>
      <c r="P197" s="124">
        <v>3900</v>
      </c>
      <c r="Q197" s="132">
        <v>1</v>
      </c>
      <c r="R197" s="149">
        <v>6674</v>
      </c>
      <c r="S197" s="114"/>
      <c r="T197" s="123">
        <v>260.286</v>
      </c>
      <c r="U197" s="138">
        <v>5.1999999999999997E-5</v>
      </c>
      <c r="V197" s="138">
        <v>2.7314989282233901E-2</v>
      </c>
      <c r="W197" s="138">
        <v>1.23000013302638E-2</v>
      </c>
    </row>
    <row r="198" spans="1:23">
      <c r="A198" s="2">
        <v>161</v>
      </c>
      <c r="B198" s="2">
        <v>12468</v>
      </c>
      <c r="C198" s="2" t="s">
        <v>1407</v>
      </c>
      <c r="D198" s="2" t="s">
        <v>1408</v>
      </c>
      <c r="E198" s="3" t="s">
        <v>1351</v>
      </c>
      <c r="F198" s="2" t="s">
        <v>1415</v>
      </c>
      <c r="G198" s="2" t="s">
        <v>1416</v>
      </c>
      <c r="H198" s="2" t="s">
        <v>209</v>
      </c>
      <c r="I198" s="2" t="s">
        <v>1012</v>
      </c>
      <c r="J198" s="2" t="s">
        <v>30</v>
      </c>
      <c r="K198" s="2" t="s">
        <v>30</v>
      </c>
      <c r="L198" s="2" t="s">
        <v>31</v>
      </c>
      <c r="M198" s="2" t="s">
        <v>1380</v>
      </c>
      <c r="N198" s="2" t="s">
        <v>160</v>
      </c>
      <c r="O198" s="2" t="s">
        <v>34</v>
      </c>
      <c r="P198" s="124">
        <v>6800</v>
      </c>
      <c r="Q198" s="132">
        <v>1</v>
      </c>
      <c r="R198" s="149">
        <v>2968</v>
      </c>
      <c r="S198" s="114"/>
      <c r="T198" s="123">
        <v>201.82400000000001</v>
      </c>
      <c r="U198" s="138">
        <v>3.3000000000000003E-5</v>
      </c>
      <c r="V198" s="138">
        <v>2.11798575294006E-2</v>
      </c>
      <c r="W198" s="138">
        <v>9.5373376535010292E-3</v>
      </c>
    </row>
    <row r="199" spans="1:23">
      <c r="A199" s="2">
        <v>161</v>
      </c>
      <c r="B199" s="2">
        <v>12468</v>
      </c>
      <c r="C199" s="2" t="s">
        <v>1472</v>
      </c>
      <c r="D199" s="2" t="s">
        <v>1473</v>
      </c>
      <c r="E199" s="3" t="s">
        <v>1351</v>
      </c>
      <c r="F199" s="2" t="s">
        <v>1474</v>
      </c>
      <c r="G199" s="2" t="s">
        <v>1475</v>
      </c>
      <c r="H199" s="2" t="s">
        <v>209</v>
      </c>
      <c r="I199" s="2" t="s">
        <v>1013</v>
      </c>
      <c r="J199" s="2" t="s">
        <v>30</v>
      </c>
      <c r="K199" s="2" t="s">
        <v>86</v>
      </c>
      <c r="L199" s="2" t="s">
        <v>58</v>
      </c>
      <c r="M199" s="2" t="s">
        <v>1406</v>
      </c>
      <c r="N199" s="2" t="s">
        <v>160</v>
      </c>
      <c r="O199" s="2" t="s">
        <v>34</v>
      </c>
      <c r="P199" s="124">
        <v>405</v>
      </c>
      <c r="Q199" s="132">
        <v>1</v>
      </c>
      <c r="R199" s="149">
        <v>6159</v>
      </c>
      <c r="S199" s="114"/>
      <c r="T199" s="123">
        <v>24.943999999999999</v>
      </c>
      <c r="U199" s="138">
        <v>0</v>
      </c>
      <c r="V199" s="138">
        <v>2.6176733551039198E-3</v>
      </c>
      <c r="W199" s="138">
        <v>1.1787442205191E-3</v>
      </c>
    </row>
    <row r="200" spans="1:23">
      <c r="A200" s="2">
        <v>161</v>
      </c>
      <c r="B200" s="2">
        <v>12468</v>
      </c>
      <c r="C200" s="2" t="s">
        <v>1417</v>
      </c>
      <c r="D200" s="2" t="s">
        <v>1418</v>
      </c>
      <c r="E200" s="3" t="s">
        <v>1351</v>
      </c>
      <c r="F200" s="2" t="s">
        <v>1419</v>
      </c>
      <c r="G200" s="2" t="s">
        <v>1420</v>
      </c>
      <c r="H200" s="2" t="s">
        <v>209</v>
      </c>
      <c r="I200" s="2" t="s">
        <v>1012</v>
      </c>
      <c r="J200" s="2" t="s">
        <v>30</v>
      </c>
      <c r="K200" s="2" t="s">
        <v>30</v>
      </c>
      <c r="L200" s="2" t="s">
        <v>31</v>
      </c>
      <c r="M200" s="2" t="s">
        <v>1380</v>
      </c>
      <c r="N200" s="2" t="s">
        <v>160</v>
      </c>
      <c r="O200" s="2" t="s">
        <v>34</v>
      </c>
      <c r="P200" s="124">
        <v>11150</v>
      </c>
      <c r="Q200" s="132">
        <v>1</v>
      </c>
      <c r="R200" s="149">
        <v>8213</v>
      </c>
      <c r="S200" s="114"/>
      <c r="T200" s="123">
        <v>915.75</v>
      </c>
      <c r="U200" s="138">
        <v>8.92E-4</v>
      </c>
      <c r="V200" s="138">
        <v>9.6100780594081406E-2</v>
      </c>
      <c r="W200" s="138">
        <v>4.3274398423996802E-2</v>
      </c>
    </row>
    <row r="201" spans="1:23">
      <c r="A201" s="2">
        <v>161</v>
      </c>
      <c r="B201" s="2">
        <v>12468</v>
      </c>
      <c r="C201" s="2" t="s">
        <v>1417</v>
      </c>
      <c r="D201" s="2" t="s">
        <v>1418</v>
      </c>
      <c r="E201" s="3" t="s">
        <v>1351</v>
      </c>
      <c r="F201" s="2" t="s">
        <v>1421</v>
      </c>
      <c r="G201" s="2" t="s">
        <v>1422</v>
      </c>
      <c r="H201" s="2" t="s">
        <v>209</v>
      </c>
      <c r="I201" s="2" t="s">
        <v>1013</v>
      </c>
      <c r="J201" s="2" t="s">
        <v>30</v>
      </c>
      <c r="K201" s="2" t="s">
        <v>86</v>
      </c>
      <c r="L201" s="2" t="s">
        <v>31</v>
      </c>
      <c r="M201" s="2" t="s">
        <v>1406</v>
      </c>
      <c r="N201" s="2" t="s">
        <v>160</v>
      </c>
      <c r="O201" s="2" t="s">
        <v>34</v>
      </c>
      <c r="P201" s="124">
        <v>3527</v>
      </c>
      <c r="Q201" s="132">
        <v>1</v>
      </c>
      <c r="R201" s="149">
        <v>9600</v>
      </c>
      <c r="S201" s="114"/>
      <c r="T201" s="123">
        <v>338.59199999999998</v>
      </c>
      <c r="U201" s="138">
        <v>2.61E-4</v>
      </c>
      <c r="V201" s="138">
        <v>3.5532594342569897E-2</v>
      </c>
      <c r="W201" s="138">
        <v>1.6000407438036199E-2</v>
      </c>
    </row>
    <row r="202" spans="1:23">
      <c r="A202" s="2">
        <v>161</v>
      </c>
      <c r="B202" s="2">
        <v>12468</v>
      </c>
      <c r="C202" s="2" t="s">
        <v>1425</v>
      </c>
      <c r="D202" s="2" t="s">
        <v>1426</v>
      </c>
      <c r="E202" s="3" t="s">
        <v>1351</v>
      </c>
      <c r="F202" s="2" t="s">
        <v>1507</v>
      </c>
      <c r="G202" s="2" t="s">
        <v>1508</v>
      </c>
      <c r="H202" s="2" t="s">
        <v>209</v>
      </c>
      <c r="I202" s="2" t="s">
        <v>1013</v>
      </c>
      <c r="J202" s="2" t="s">
        <v>30</v>
      </c>
      <c r="K202" s="2" t="s">
        <v>86</v>
      </c>
      <c r="L202" s="2" t="s">
        <v>31</v>
      </c>
      <c r="M202" s="2" t="s">
        <v>1459</v>
      </c>
      <c r="N202" s="2" t="s">
        <v>160</v>
      </c>
      <c r="O202" s="2" t="s">
        <v>34</v>
      </c>
      <c r="P202" s="124">
        <v>300</v>
      </c>
      <c r="Q202" s="132">
        <v>1</v>
      </c>
      <c r="R202" s="149">
        <v>22980</v>
      </c>
      <c r="S202" s="114"/>
      <c r="T202" s="123">
        <v>68.94</v>
      </c>
      <c r="U202" s="138">
        <v>1.0000000000000001E-5</v>
      </c>
      <c r="V202" s="138">
        <v>7.2347162779296797E-3</v>
      </c>
      <c r="W202" s="138">
        <v>3.2578090704393999E-3</v>
      </c>
    </row>
    <row r="203" spans="1:23">
      <c r="A203" s="2">
        <v>161</v>
      </c>
      <c r="B203" s="2">
        <v>12468</v>
      </c>
      <c r="C203" s="2" t="s">
        <v>1425</v>
      </c>
      <c r="D203" s="2" t="s">
        <v>1426</v>
      </c>
      <c r="E203" s="3" t="s">
        <v>1351</v>
      </c>
      <c r="F203" s="2" t="s">
        <v>1517</v>
      </c>
      <c r="G203" s="2" t="s">
        <v>1518</v>
      </c>
      <c r="H203" s="2" t="s">
        <v>209</v>
      </c>
      <c r="I203" s="2" t="s">
        <v>1012</v>
      </c>
      <c r="J203" s="2" t="s">
        <v>30</v>
      </c>
      <c r="K203" s="2" t="s">
        <v>30</v>
      </c>
      <c r="L203" s="2" t="s">
        <v>31</v>
      </c>
      <c r="M203" s="2" t="s">
        <v>1380</v>
      </c>
      <c r="N203" s="2" t="s">
        <v>160</v>
      </c>
      <c r="O203" s="2" t="s">
        <v>34</v>
      </c>
      <c r="P203" s="124">
        <v>2107</v>
      </c>
      <c r="Q203" s="132">
        <v>1</v>
      </c>
      <c r="R203" s="149">
        <v>28960</v>
      </c>
      <c r="S203" s="114"/>
      <c r="T203" s="123">
        <v>610.18700000000001</v>
      </c>
      <c r="U203" s="138">
        <v>6.9999999999999994E-5</v>
      </c>
      <c r="V203" s="138">
        <v>6.4034396118716794E-2</v>
      </c>
      <c r="W203" s="138">
        <v>2.8834833113229201E-2</v>
      </c>
    </row>
    <row r="204" spans="1:23">
      <c r="A204" s="2">
        <v>161</v>
      </c>
      <c r="B204" s="2">
        <v>12468</v>
      </c>
      <c r="C204" s="2" t="s">
        <v>1431</v>
      </c>
      <c r="D204" s="2" t="s">
        <v>1432</v>
      </c>
      <c r="E204" s="3" t="s">
        <v>1351</v>
      </c>
      <c r="F204" s="2" t="s">
        <v>1482</v>
      </c>
      <c r="G204" s="2" t="s">
        <v>1483</v>
      </c>
      <c r="H204" s="2" t="s">
        <v>209</v>
      </c>
      <c r="I204" s="2" t="s">
        <v>1013</v>
      </c>
      <c r="J204" s="2" t="s">
        <v>30</v>
      </c>
      <c r="K204" s="2" t="s">
        <v>86</v>
      </c>
      <c r="L204" s="2" t="s">
        <v>31</v>
      </c>
      <c r="M204" s="2" t="s">
        <v>1406</v>
      </c>
      <c r="N204" s="2" t="s">
        <v>160</v>
      </c>
      <c r="O204" s="2" t="s">
        <v>34</v>
      </c>
      <c r="P204" s="124">
        <v>7000</v>
      </c>
      <c r="Q204" s="132">
        <v>1</v>
      </c>
      <c r="R204" s="149">
        <v>5389</v>
      </c>
      <c r="S204" s="114"/>
      <c r="T204" s="123">
        <v>377.23</v>
      </c>
      <c r="U204" s="138">
        <v>5.3999999999999998E-5</v>
      </c>
      <c r="V204" s="138">
        <v>3.9587351632193402E-2</v>
      </c>
      <c r="W204" s="138">
        <v>1.7826273798112201E-2</v>
      </c>
    </row>
    <row r="205" spans="1:23">
      <c r="A205" s="2">
        <v>161</v>
      </c>
      <c r="B205" s="2">
        <v>12468</v>
      </c>
      <c r="C205" s="2" t="s">
        <v>1431</v>
      </c>
      <c r="D205" s="2" t="s">
        <v>1432</v>
      </c>
      <c r="E205" s="3" t="s">
        <v>1351</v>
      </c>
      <c r="F205" s="2" t="s">
        <v>1484</v>
      </c>
      <c r="G205" s="2" t="s">
        <v>1485</v>
      </c>
      <c r="H205" s="2" t="s">
        <v>209</v>
      </c>
      <c r="I205" s="2" t="s">
        <v>1012</v>
      </c>
      <c r="J205" s="2" t="s">
        <v>30</v>
      </c>
      <c r="K205" s="2" t="s">
        <v>30</v>
      </c>
      <c r="L205" s="2" t="s">
        <v>31</v>
      </c>
      <c r="M205" s="2" t="s">
        <v>1380</v>
      </c>
      <c r="N205" s="2" t="s">
        <v>160</v>
      </c>
      <c r="O205" s="2" t="s">
        <v>34</v>
      </c>
      <c r="P205" s="124">
        <v>13570</v>
      </c>
      <c r="Q205" s="132">
        <v>1</v>
      </c>
      <c r="R205" s="149">
        <v>3001</v>
      </c>
      <c r="S205" s="114"/>
      <c r="T205" s="123">
        <v>407.23599999999999</v>
      </c>
      <c r="U205" s="138">
        <v>3.3000000000000003E-5</v>
      </c>
      <c r="V205" s="138">
        <v>4.2736216242298897E-2</v>
      </c>
      <c r="W205" s="138">
        <v>1.9244214639784402E-2</v>
      </c>
    </row>
    <row r="206" spans="1:23">
      <c r="A206" s="2">
        <v>161</v>
      </c>
      <c r="B206" s="2">
        <v>12468</v>
      </c>
      <c r="C206" s="2" t="s">
        <v>1519</v>
      </c>
      <c r="D206" s="2" t="s">
        <v>1520</v>
      </c>
      <c r="E206" s="3" t="s">
        <v>206</v>
      </c>
      <c r="F206" s="2" t="s">
        <v>1521</v>
      </c>
      <c r="G206" s="2" t="s">
        <v>1522</v>
      </c>
      <c r="H206" s="2" t="s">
        <v>209</v>
      </c>
      <c r="I206" s="2" t="s">
        <v>1013</v>
      </c>
      <c r="J206" s="2" t="s">
        <v>85</v>
      </c>
      <c r="K206" s="2" t="s">
        <v>86</v>
      </c>
      <c r="L206" s="2" t="s">
        <v>1523</v>
      </c>
      <c r="M206" s="2" t="s">
        <v>768</v>
      </c>
      <c r="N206" s="2" t="s">
        <v>160</v>
      </c>
      <c r="O206" s="2" t="s">
        <v>1200</v>
      </c>
      <c r="P206" s="124">
        <v>430</v>
      </c>
      <c r="Q206" s="132">
        <v>3.9552</v>
      </c>
      <c r="R206" s="149">
        <v>21885</v>
      </c>
      <c r="S206" s="114"/>
      <c r="T206" s="123">
        <v>372.20600000000002</v>
      </c>
      <c r="U206" s="138">
        <v>0</v>
      </c>
      <c r="V206" s="138">
        <v>3.9060129669541803E-2</v>
      </c>
      <c r="W206" s="138">
        <v>1.75888645582639E-2</v>
      </c>
    </row>
    <row r="207" spans="1:23">
      <c r="A207" s="2">
        <v>161</v>
      </c>
      <c r="B207" s="2">
        <v>12468</v>
      </c>
      <c r="C207" s="2" t="s">
        <v>1437</v>
      </c>
      <c r="D207" s="2" t="s">
        <v>1438</v>
      </c>
      <c r="E207" s="3" t="s">
        <v>206</v>
      </c>
      <c r="F207" s="2" t="s">
        <v>1524</v>
      </c>
      <c r="G207" s="2" t="s">
        <v>1525</v>
      </c>
      <c r="H207" s="2" t="s">
        <v>209</v>
      </c>
      <c r="I207" s="2" t="s">
        <v>1013</v>
      </c>
      <c r="J207" s="2" t="s">
        <v>85</v>
      </c>
      <c r="K207" s="2" t="s">
        <v>86</v>
      </c>
      <c r="L207" s="2" t="s">
        <v>378</v>
      </c>
      <c r="M207" s="2" t="s">
        <v>768</v>
      </c>
      <c r="N207" s="2" t="s">
        <v>160</v>
      </c>
      <c r="O207" s="2" t="s">
        <v>90</v>
      </c>
      <c r="P207" s="124">
        <v>470</v>
      </c>
      <c r="Q207" s="132">
        <v>3.3719999999999999</v>
      </c>
      <c r="R207" s="149">
        <v>5237</v>
      </c>
      <c r="S207" s="114"/>
      <c r="T207" s="123">
        <v>82.998000000000005</v>
      </c>
      <c r="U207" s="138">
        <v>9.9999999999999995E-7</v>
      </c>
      <c r="V207" s="138">
        <v>8.7100013613797492E-3</v>
      </c>
      <c r="W207" s="138">
        <v>3.92213327358879E-3</v>
      </c>
    </row>
    <row r="208" spans="1:23">
      <c r="A208" s="2">
        <v>161</v>
      </c>
      <c r="B208" s="2">
        <v>12468</v>
      </c>
      <c r="C208" s="2" t="s">
        <v>1389</v>
      </c>
      <c r="D208" s="2" t="s">
        <v>1390</v>
      </c>
      <c r="E208" s="3" t="s">
        <v>206</v>
      </c>
      <c r="F208" s="2" t="s">
        <v>1490</v>
      </c>
      <c r="G208" s="2" t="s">
        <v>1465</v>
      </c>
      <c r="H208" s="2" t="s">
        <v>209</v>
      </c>
      <c r="I208" s="2" t="s">
        <v>1013</v>
      </c>
      <c r="J208" s="2" t="s">
        <v>85</v>
      </c>
      <c r="K208" s="2" t="s">
        <v>86</v>
      </c>
      <c r="L208" s="2" t="s">
        <v>414</v>
      </c>
      <c r="M208" s="2" t="s">
        <v>768</v>
      </c>
      <c r="N208" s="2" t="s">
        <v>160</v>
      </c>
      <c r="O208" s="2" t="s">
        <v>90</v>
      </c>
      <c r="P208" s="124">
        <v>163</v>
      </c>
      <c r="Q208" s="132">
        <v>3.3719999999999999</v>
      </c>
      <c r="R208" s="149">
        <v>122758</v>
      </c>
      <c r="S208" s="114"/>
      <c r="T208" s="123">
        <v>674.72199999999998</v>
      </c>
      <c r="U208" s="138">
        <v>6.9999999999999999E-6</v>
      </c>
      <c r="V208" s="138">
        <v>7.0806837835776404E-2</v>
      </c>
      <c r="W208" s="138">
        <v>3.1884478905444401E-2</v>
      </c>
    </row>
    <row r="209" spans="1:23">
      <c r="A209" s="2">
        <v>161</v>
      </c>
      <c r="B209" s="2">
        <v>12468</v>
      </c>
      <c r="C209" s="2" t="s">
        <v>1441</v>
      </c>
      <c r="D209" s="2" t="s">
        <v>1442</v>
      </c>
      <c r="E209" s="3" t="s">
        <v>206</v>
      </c>
      <c r="F209" s="2" t="s">
        <v>1443</v>
      </c>
      <c r="G209" s="2" t="s">
        <v>1444</v>
      </c>
      <c r="H209" s="2" t="s">
        <v>209</v>
      </c>
      <c r="I209" s="2" t="s">
        <v>1013</v>
      </c>
      <c r="J209" s="2" t="s">
        <v>85</v>
      </c>
      <c r="K209" s="2" t="s">
        <v>331</v>
      </c>
      <c r="L209" s="2" t="s">
        <v>402</v>
      </c>
      <c r="M209" s="2" t="s">
        <v>768</v>
      </c>
      <c r="N209" s="2" t="s">
        <v>160</v>
      </c>
      <c r="O209" s="2" t="s">
        <v>1200</v>
      </c>
      <c r="P209" s="124">
        <v>1660</v>
      </c>
      <c r="Q209" s="132">
        <v>3.9552</v>
      </c>
      <c r="R209" s="149">
        <v>5409</v>
      </c>
      <c r="S209" s="114"/>
      <c r="T209" s="123">
        <v>355.13499999999999</v>
      </c>
      <c r="U209" s="138">
        <v>1.2E-5</v>
      </c>
      <c r="V209" s="138">
        <v>3.7268657059899402E-2</v>
      </c>
      <c r="W209" s="138">
        <v>1.67821603983591E-2</v>
      </c>
    </row>
    <row r="210" spans="1:23">
      <c r="A210" s="2">
        <v>161</v>
      </c>
      <c r="B210" s="2">
        <v>12468</v>
      </c>
      <c r="C210" s="2" t="s">
        <v>1441</v>
      </c>
      <c r="D210" s="2" t="s">
        <v>1442</v>
      </c>
      <c r="E210" s="3" t="s">
        <v>206</v>
      </c>
      <c r="F210" s="2" t="s">
        <v>1531</v>
      </c>
      <c r="G210" s="2" t="s">
        <v>1532</v>
      </c>
      <c r="H210" s="2" t="s">
        <v>209</v>
      </c>
      <c r="I210" s="2" t="s">
        <v>1013</v>
      </c>
      <c r="J210" s="2" t="s">
        <v>85</v>
      </c>
      <c r="K210" s="2" t="s">
        <v>86</v>
      </c>
      <c r="L210" s="2" t="s">
        <v>378</v>
      </c>
      <c r="M210" s="2" t="s">
        <v>768</v>
      </c>
      <c r="N210" s="2" t="s">
        <v>160</v>
      </c>
      <c r="O210" s="2" t="s">
        <v>90</v>
      </c>
      <c r="P210" s="124">
        <v>170</v>
      </c>
      <c r="Q210" s="132">
        <v>3.3719999999999999</v>
      </c>
      <c r="R210" s="149">
        <v>9317</v>
      </c>
      <c r="S210" s="114"/>
      <c r="T210" s="123">
        <v>53.408999999999999</v>
      </c>
      <c r="U210" s="138">
        <v>6.9999999999999999E-6</v>
      </c>
      <c r="V210" s="138">
        <v>5.6048346894542397E-3</v>
      </c>
      <c r="W210" s="138">
        <v>2.5238697121157398E-3</v>
      </c>
    </row>
    <row r="211" spans="1:23">
      <c r="A211" s="2">
        <v>161</v>
      </c>
      <c r="B211" s="2">
        <v>12468</v>
      </c>
      <c r="C211" s="2" t="s">
        <v>1441</v>
      </c>
      <c r="D211" s="2" t="s">
        <v>1442</v>
      </c>
      <c r="E211" s="3" t="s">
        <v>206</v>
      </c>
      <c r="F211" s="2" t="s">
        <v>1533</v>
      </c>
      <c r="G211" s="2" t="s">
        <v>1534</v>
      </c>
      <c r="H211" s="2" t="s">
        <v>209</v>
      </c>
      <c r="I211" s="2" t="s">
        <v>1013</v>
      </c>
      <c r="J211" s="2" t="s">
        <v>85</v>
      </c>
      <c r="K211" s="2" t="s">
        <v>86</v>
      </c>
      <c r="L211" s="2" t="s">
        <v>414</v>
      </c>
      <c r="M211" s="2" t="s">
        <v>768</v>
      </c>
      <c r="N211" s="2" t="s">
        <v>160</v>
      </c>
      <c r="O211" s="2" t="s">
        <v>90</v>
      </c>
      <c r="P211" s="124">
        <v>7</v>
      </c>
      <c r="Q211" s="132">
        <v>3.3719999999999999</v>
      </c>
      <c r="R211" s="149">
        <v>129600</v>
      </c>
      <c r="S211" s="114"/>
      <c r="T211" s="123">
        <v>30.591000000000001</v>
      </c>
      <c r="U211" s="138">
        <v>9.9999999999999995E-7</v>
      </c>
      <c r="V211" s="138">
        <v>3.2102646208214498E-3</v>
      </c>
      <c r="W211" s="138">
        <v>1.4455894050921399E-3</v>
      </c>
    </row>
    <row r="212" spans="1:23">
      <c r="A212" s="2">
        <v>161</v>
      </c>
      <c r="B212" s="2">
        <v>12468</v>
      </c>
      <c r="C212" s="2" t="s">
        <v>1535</v>
      </c>
      <c r="D212" s="2" t="s">
        <v>1536</v>
      </c>
      <c r="E212" s="3" t="s">
        <v>206</v>
      </c>
      <c r="F212" s="2" t="s">
        <v>1537</v>
      </c>
      <c r="G212" s="2" t="s">
        <v>1538</v>
      </c>
      <c r="H212" s="2" t="s">
        <v>209</v>
      </c>
      <c r="I212" s="2" t="s">
        <v>1013</v>
      </c>
      <c r="J212" s="2" t="s">
        <v>85</v>
      </c>
      <c r="K212" s="2" t="s">
        <v>306</v>
      </c>
      <c r="L212" s="2" t="s">
        <v>378</v>
      </c>
      <c r="M212" s="2" t="s">
        <v>768</v>
      </c>
      <c r="N212" s="2" t="s">
        <v>160</v>
      </c>
      <c r="O212" s="2" t="s">
        <v>90</v>
      </c>
      <c r="P212" s="124">
        <v>2450</v>
      </c>
      <c r="Q212" s="132">
        <v>3.3719999999999999</v>
      </c>
      <c r="R212" s="149">
        <v>3433</v>
      </c>
      <c r="S212" s="114"/>
      <c r="T212" s="123">
        <v>283.61399999999998</v>
      </c>
      <c r="U212" s="138">
        <v>1.0000000000000001E-5</v>
      </c>
      <c r="V212" s="138">
        <v>2.9763066783549501E-2</v>
      </c>
      <c r="W212" s="138">
        <v>1.3402376155003601E-2</v>
      </c>
    </row>
    <row r="213" spans="1:23">
      <c r="A213" s="2">
        <v>161</v>
      </c>
      <c r="B213" s="2">
        <v>12468</v>
      </c>
      <c r="C213" s="2" t="s">
        <v>1491</v>
      </c>
      <c r="D213" s="2" t="s">
        <v>1492</v>
      </c>
      <c r="E213" s="3" t="s">
        <v>206</v>
      </c>
      <c r="F213" s="2" t="s">
        <v>1539</v>
      </c>
      <c r="G213" s="2" t="s">
        <v>1540</v>
      </c>
      <c r="H213" s="2" t="s">
        <v>209</v>
      </c>
      <c r="I213" s="2" t="s">
        <v>1013</v>
      </c>
      <c r="J213" s="2" t="s">
        <v>85</v>
      </c>
      <c r="K213" s="2" t="s">
        <v>331</v>
      </c>
      <c r="L213" s="2" t="s">
        <v>1541</v>
      </c>
      <c r="M213" s="2" t="s">
        <v>768</v>
      </c>
      <c r="N213" s="2" t="s">
        <v>160</v>
      </c>
      <c r="O213" s="2" t="s">
        <v>1200</v>
      </c>
      <c r="P213" s="124">
        <v>640</v>
      </c>
      <c r="Q213" s="132">
        <v>3.9552</v>
      </c>
      <c r="R213" s="149">
        <v>25882</v>
      </c>
      <c r="S213" s="114"/>
      <c r="T213" s="123">
        <v>655.15800000000002</v>
      </c>
      <c r="U213" s="138">
        <v>1.9000000000000001E-5</v>
      </c>
      <c r="V213" s="138">
        <v>6.8753764307987505E-2</v>
      </c>
      <c r="W213" s="138">
        <v>3.09599752616023E-2</v>
      </c>
    </row>
    <row r="214" spans="1:23">
      <c r="A214" s="2">
        <v>161</v>
      </c>
      <c r="B214" s="2">
        <v>12468</v>
      </c>
      <c r="C214" s="2" t="s">
        <v>1437</v>
      </c>
      <c r="D214" s="2" t="s">
        <v>1438</v>
      </c>
      <c r="E214" s="3" t="s">
        <v>206</v>
      </c>
      <c r="F214" s="2" t="s">
        <v>1447</v>
      </c>
      <c r="G214" s="2" t="s">
        <v>1448</v>
      </c>
      <c r="H214" s="2" t="s">
        <v>209</v>
      </c>
      <c r="I214" s="2" t="s">
        <v>1013</v>
      </c>
      <c r="J214" s="2" t="s">
        <v>85</v>
      </c>
      <c r="K214" s="2" t="s">
        <v>86</v>
      </c>
      <c r="L214" s="2" t="s">
        <v>378</v>
      </c>
      <c r="M214" s="2" t="s">
        <v>768</v>
      </c>
      <c r="N214" s="2" t="s">
        <v>160</v>
      </c>
      <c r="O214" s="2" t="s">
        <v>90</v>
      </c>
      <c r="P214" s="124">
        <v>3990</v>
      </c>
      <c r="Q214" s="132">
        <v>3.3719999999999999</v>
      </c>
      <c r="R214" s="149">
        <v>7269</v>
      </c>
      <c r="S214" s="114"/>
      <c r="T214" s="123">
        <v>977.99199999999996</v>
      </c>
      <c r="U214" s="138">
        <v>1.2999999999999999E-5</v>
      </c>
      <c r="V214" s="138">
        <v>0.10263260579774799</v>
      </c>
      <c r="W214" s="138">
        <v>4.6215694057102102E-2</v>
      </c>
    </row>
    <row r="215" spans="1:23">
      <c r="A215" s="2">
        <v>161</v>
      </c>
      <c r="B215" s="2">
        <v>12468</v>
      </c>
      <c r="C215" s="2" t="s">
        <v>1437</v>
      </c>
      <c r="D215" s="2" t="s">
        <v>1438</v>
      </c>
      <c r="E215" s="3" t="s">
        <v>206</v>
      </c>
      <c r="F215" s="2" t="s">
        <v>1495</v>
      </c>
      <c r="G215" s="2" t="s">
        <v>1496</v>
      </c>
      <c r="H215" s="2" t="s">
        <v>209</v>
      </c>
      <c r="I215" s="2" t="s">
        <v>1013</v>
      </c>
      <c r="J215" s="2" t="s">
        <v>85</v>
      </c>
      <c r="K215" s="2" t="s">
        <v>86</v>
      </c>
      <c r="L215" s="2" t="s">
        <v>414</v>
      </c>
      <c r="M215" s="2" t="s">
        <v>768</v>
      </c>
      <c r="N215" s="2" t="s">
        <v>160</v>
      </c>
      <c r="O215" s="2" t="s">
        <v>90</v>
      </c>
      <c r="P215" s="124">
        <v>6902</v>
      </c>
      <c r="Q215" s="132">
        <v>3.3719999999999999</v>
      </c>
      <c r="R215" s="149">
        <v>1515</v>
      </c>
      <c r="S215" s="114"/>
      <c r="T215" s="123">
        <v>352.59399999999999</v>
      </c>
      <c r="U215" s="138">
        <v>0</v>
      </c>
      <c r="V215" s="138">
        <v>3.7002015339019097E-2</v>
      </c>
      <c r="W215" s="138">
        <v>1.6662091029572501E-2</v>
      </c>
    </row>
    <row r="216" spans="1:23">
      <c r="A216" s="2">
        <v>161</v>
      </c>
      <c r="B216" s="2">
        <v>12468</v>
      </c>
      <c r="C216" s="2" t="s">
        <v>1437</v>
      </c>
      <c r="D216" s="2" t="s">
        <v>1438</v>
      </c>
      <c r="E216" s="3" t="s">
        <v>206</v>
      </c>
      <c r="F216" s="2" t="s">
        <v>1542</v>
      </c>
      <c r="G216" s="2" t="s">
        <v>1543</v>
      </c>
      <c r="H216" s="2" t="s">
        <v>209</v>
      </c>
      <c r="I216" s="2" t="s">
        <v>1013</v>
      </c>
      <c r="J216" s="2" t="s">
        <v>85</v>
      </c>
      <c r="K216" s="2" t="s">
        <v>86</v>
      </c>
      <c r="L216" s="2" t="s">
        <v>414</v>
      </c>
      <c r="M216" s="2" t="s">
        <v>768</v>
      </c>
      <c r="N216" s="2" t="s">
        <v>160</v>
      </c>
      <c r="O216" s="2" t="s">
        <v>90</v>
      </c>
      <c r="P216" s="124">
        <v>150</v>
      </c>
      <c r="Q216" s="132">
        <v>3.3719999999999999</v>
      </c>
      <c r="R216" s="149">
        <v>13211</v>
      </c>
      <c r="S216" s="114"/>
      <c r="T216" s="123">
        <v>66.820999999999998</v>
      </c>
      <c r="U216" s="138">
        <v>0</v>
      </c>
      <c r="V216" s="138">
        <v>7.0123687013346897E-3</v>
      </c>
      <c r="W216" s="138">
        <v>3.1576854548069299E-3</v>
      </c>
    </row>
    <row r="217" spans="1:23">
      <c r="A217" s="2">
        <v>161</v>
      </c>
      <c r="B217" s="2">
        <v>12468</v>
      </c>
      <c r="C217" s="2" t="s">
        <v>1451</v>
      </c>
      <c r="D217" s="2" t="s">
        <v>1452</v>
      </c>
      <c r="E217" s="3" t="s">
        <v>206</v>
      </c>
      <c r="F217" s="2" t="s">
        <v>1546</v>
      </c>
      <c r="G217" s="2" t="s">
        <v>1547</v>
      </c>
      <c r="H217" s="2" t="s">
        <v>209</v>
      </c>
      <c r="I217" s="2" t="s">
        <v>1013</v>
      </c>
      <c r="J217" s="2" t="s">
        <v>85</v>
      </c>
      <c r="K217" s="2" t="s">
        <v>1469</v>
      </c>
      <c r="L217" s="2" t="s">
        <v>414</v>
      </c>
      <c r="M217" s="2" t="s">
        <v>768</v>
      </c>
      <c r="N217" s="2" t="s">
        <v>160</v>
      </c>
      <c r="O217" s="2" t="s">
        <v>90</v>
      </c>
      <c r="P217" s="124">
        <v>420</v>
      </c>
      <c r="Q217" s="132">
        <v>3.3719999999999999</v>
      </c>
      <c r="R217" s="149">
        <v>7048</v>
      </c>
      <c r="S217" s="114"/>
      <c r="T217" s="123">
        <v>99.816999999999993</v>
      </c>
      <c r="U217" s="138">
        <v>0</v>
      </c>
      <c r="V217" s="138">
        <v>1.04749745590507E-2</v>
      </c>
      <c r="W217" s="138">
        <v>4.7169046884673301E-3</v>
      </c>
    </row>
    <row r="218" spans="1:23">
      <c r="A218" s="2">
        <v>161</v>
      </c>
      <c r="B218" s="2">
        <v>12468</v>
      </c>
      <c r="C218" s="2" t="s">
        <v>1451</v>
      </c>
      <c r="D218" s="2" t="s">
        <v>1452</v>
      </c>
      <c r="E218" s="3" t="s">
        <v>206</v>
      </c>
      <c r="F218" s="2" t="s">
        <v>1453</v>
      </c>
      <c r="G218" s="2" t="s">
        <v>1454</v>
      </c>
      <c r="H218" s="2" t="s">
        <v>209</v>
      </c>
      <c r="I218" s="2" t="s">
        <v>1013</v>
      </c>
      <c r="J218" s="2" t="s">
        <v>85</v>
      </c>
      <c r="K218" s="2" t="s">
        <v>86</v>
      </c>
      <c r="L218" s="2" t="s">
        <v>378</v>
      </c>
      <c r="M218" s="2" t="s">
        <v>768</v>
      </c>
      <c r="N218" s="2" t="s">
        <v>160</v>
      </c>
      <c r="O218" s="2" t="s">
        <v>90</v>
      </c>
      <c r="P218" s="124">
        <v>200</v>
      </c>
      <c r="Q218" s="132">
        <v>3.3719999999999999</v>
      </c>
      <c r="R218" s="149">
        <v>56803</v>
      </c>
      <c r="S218" s="127">
        <v>0.26200000000000001</v>
      </c>
      <c r="T218" s="123">
        <v>383.96199999999999</v>
      </c>
      <c r="U218" s="138">
        <v>0</v>
      </c>
      <c r="V218" s="138">
        <v>4.0293810489893202E-2</v>
      </c>
      <c r="W218" s="138">
        <v>1.81443938163812E-2</v>
      </c>
    </row>
    <row r="219" spans="1:23">
      <c r="A219" s="2">
        <v>161</v>
      </c>
      <c r="B219" s="2">
        <v>12468</v>
      </c>
      <c r="C219" s="2" t="s">
        <v>1548</v>
      </c>
      <c r="D219" s="2" t="s">
        <v>1549</v>
      </c>
      <c r="E219" s="3" t="s">
        <v>206</v>
      </c>
      <c r="F219" s="2" t="s">
        <v>1550</v>
      </c>
      <c r="G219" s="2" t="s">
        <v>1551</v>
      </c>
      <c r="H219" s="2" t="s">
        <v>209</v>
      </c>
      <c r="I219" s="2" t="s">
        <v>1013</v>
      </c>
      <c r="J219" s="2" t="s">
        <v>85</v>
      </c>
      <c r="K219" s="2" t="s">
        <v>289</v>
      </c>
      <c r="L219" s="2" t="s">
        <v>378</v>
      </c>
      <c r="M219" s="2" t="s">
        <v>768</v>
      </c>
      <c r="N219" s="2" t="s">
        <v>160</v>
      </c>
      <c r="O219" s="2" t="s">
        <v>90</v>
      </c>
      <c r="P219" s="124">
        <v>680</v>
      </c>
      <c r="Q219" s="132">
        <v>3.3719999999999999</v>
      </c>
      <c r="R219" s="149">
        <v>11427</v>
      </c>
      <c r="S219" s="114"/>
      <c r="T219" s="123">
        <v>262.017</v>
      </c>
      <c r="U219" s="138">
        <v>2.1999999999999999E-5</v>
      </c>
      <c r="V219" s="138">
        <v>2.7496595898419501E-2</v>
      </c>
      <c r="W219" s="138">
        <v>1.23817791994618E-2</v>
      </c>
    </row>
    <row r="220" spans="1:23">
      <c r="A220" s="2">
        <v>161</v>
      </c>
      <c r="B220" s="2">
        <v>15391</v>
      </c>
      <c r="C220" s="2" t="s">
        <v>1376</v>
      </c>
      <c r="D220" s="2" t="s">
        <v>1377</v>
      </c>
      <c r="E220" s="3" t="s">
        <v>1351</v>
      </c>
      <c r="F220" s="2" t="s">
        <v>1501</v>
      </c>
      <c r="G220" s="2" t="s">
        <v>1502</v>
      </c>
      <c r="H220" s="2" t="s">
        <v>209</v>
      </c>
      <c r="I220" s="2" t="s">
        <v>1013</v>
      </c>
      <c r="J220" s="2" t="s">
        <v>30</v>
      </c>
      <c r="K220" s="2" t="s">
        <v>86</v>
      </c>
      <c r="L220" s="2" t="s">
        <v>31</v>
      </c>
      <c r="M220" s="2" t="s">
        <v>1459</v>
      </c>
      <c r="N220" s="2" t="s">
        <v>160</v>
      </c>
      <c r="O220" s="2" t="s">
        <v>34</v>
      </c>
      <c r="P220" s="124">
        <v>15941</v>
      </c>
      <c r="Q220" s="132">
        <v>1</v>
      </c>
      <c r="R220" s="149">
        <v>8961</v>
      </c>
      <c r="S220" s="114"/>
      <c r="T220" s="123">
        <v>1428.473</v>
      </c>
      <c r="U220" s="138">
        <v>1.83E-4</v>
      </c>
      <c r="V220" s="138">
        <v>0.12651962013176801</v>
      </c>
      <c r="W220" s="138">
        <v>0.12598866289639299</v>
      </c>
    </row>
    <row r="221" spans="1:23">
      <c r="A221" s="2">
        <v>161</v>
      </c>
      <c r="B221" s="2">
        <v>15391</v>
      </c>
      <c r="C221" s="2" t="s">
        <v>1441</v>
      </c>
      <c r="D221" s="2" t="s">
        <v>1442</v>
      </c>
      <c r="E221" s="3" t="s">
        <v>206</v>
      </c>
      <c r="F221" s="2" t="s">
        <v>1457</v>
      </c>
      <c r="G221" s="2" t="s">
        <v>1458</v>
      </c>
      <c r="H221" s="2" t="s">
        <v>209</v>
      </c>
      <c r="I221" s="2" t="s">
        <v>1013</v>
      </c>
      <c r="J221" s="2" t="s">
        <v>30</v>
      </c>
      <c r="K221" s="2" t="s">
        <v>86</v>
      </c>
      <c r="L221" s="2" t="s">
        <v>31</v>
      </c>
      <c r="M221" s="2" t="s">
        <v>1459</v>
      </c>
      <c r="N221" s="2" t="s">
        <v>160</v>
      </c>
      <c r="O221" s="2" t="s">
        <v>34</v>
      </c>
      <c r="P221" s="124">
        <v>641</v>
      </c>
      <c r="Q221" s="132">
        <v>1</v>
      </c>
      <c r="R221" s="149">
        <v>222550</v>
      </c>
      <c r="S221" s="114"/>
      <c r="T221" s="123">
        <v>1426.5450000000001</v>
      </c>
      <c r="U221" s="138">
        <v>2.2499999999999999E-4</v>
      </c>
      <c r="V221" s="138">
        <v>0.12634890088730699</v>
      </c>
      <c r="W221" s="138">
        <v>0.12581866009905701</v>
      </c>
    </row>
    <row r="222" spans="1:23">
      <c r="A222" s="2">
        <v>161</v>
      </c>
      <c r="B222" s="2">
        <v>15391</v>
      </c>
      <c r="C222" s="2" t="s">
        <v>1407</v>
      </c>
      <c r="D222" s="2" t="s">
        <v>1408</v>
      </c>
      <c r="E222" s="3" t="s">
        <v>1351</v>
      </c>
      <c r="F222" s="2" t="s">
        <v>1503</v>
      </c>
      <c r="G222" s="2" t="s">
        <v>1504</v>
      </c>
      <c r="H222" s="2" t="s">
        <v>209</v>
      </c>
      <c r="I222" s="2" t="s">
        <v>1013</v>
      </c>
      <c r="J222" s="2" t="s">
        <v>30</v>
      </c>
      <c r="K222" s="2" t="s">
        <v>86</v>
      </c>
      <c r="L222" s="2" t="s">
        <v>31</v>
      </c>
      <c r="M222" s="2" t="s">
        <v>1459</v>
      </c>
      <c r="N222" s="2" t="s">
        <v>160</v>
      </c>
      <c r="O222" s="2" t="s">
        <v>34</v>
      </c>
      <c r="P222" s="124">
        <v>58835</v>
      </c>
      <c r="Q222" s="132">
        <v>1</v>
      </c>
      <c r="R222" s="149">
        <v>2432</v>
      </c>
      <c r="S222" s="114"/>
      <c r="T222" s="123">
        <v>1430.867</v>
      </c>
      <c r="U222" s="138">
        <v>1.55E-4</v>
      </c>
      <c r="V222" s="138">
        <v>0.126731673147263</v>
      </c>
      <c r="W222" s="138">
        <v>0.126199826001827</v>
      </c>
    </row>
    <row r="223" spans="1:23">
      <c r="A223" s="2">
        <v>161</v>
      </c>
      <c r="B223" s="2">
        <v>15391</v>
      </c>
      <c r="C223" s="2" t="s">
        <v>1472</v>
      </c>
      <c r="D223" s="2" t="s">
        <v>1473</v>
      </c>
      <c r="E223" s="3" t="s">
        <v>1351</v>
      </c>
      <c r="F223" s="2" t="s">
        <v>1505</v>
      </c>
      <c r="G223" s="2" t="s">
        <v>1506</v>
      </c>
      <c r="H223" s="2" t="s">
        <v>209</v>
      </c>
      <c r="I223" s="2" t="s">
        <v>1013</v>
      </c>
      <c r="J223" s="2" t="s">
        <v>30</v>
      </c>
      <c r="K223" s="2" t="s">
        <v>86</v>
      </c>
      <c r="L223" s="2" t="s">
        <v>58</v>
      </c>
      <c r="M223" s="2" t="s">
        <v>1459</v>
      </c>
      <c r="N223" s="2" t="s">
        <v>160</v>
      </c>
      <c r="O223" s="2" t="s">
        <v>34</v>
      </c>
      <c r="P223" s="124">
        <v>23561</v>
      </c>
      <c r="Q223" s="132">
        <v>1</v>
      </c>
      <c r="R223" s="149">
        <v>5869</v>
      </c>
      <c r="S223" s="114"/>
      <c r="T223" s="123">
        <v>1382.7950000000001</v>
      </c>
      <c r="U223" s="138">
        <v>2.1419999999999998E-3</v>
      </c>
      <c r="V223" s="138">
        <v>0.122473934251564</v>
      </c>
      <c r="W223" s="138">
        <v>0.121959955301359</v>
      </c>
    </row>
    <row r="224" spans="1:23">
      <c r="A224" s="2">
        <v>161</v>
      </c>
      <c r="B224" s="2">
        <v>15391</v>
      </c>
      <c r="C224" s="2" t="s">
        <v>1417</v>
      </c>
      <c r="D224" s="2" t="s">
        <v>1418</v>
      </c>
      <c r="E224" s="3" t="s">
        <v>1351</v>
      </c>
      <c r="F224" s="2" t="s">
        <v>1476</v>
      </c>
      <c r="G224" s="2" t="s">
        <v>1477</v>
      </c>
      <c r="H224" s="2" t="s">
        <v>209</v>
      </c>
      <c r="I224" s="2" t="s">
        <v>1013</v>
      </c>
      <c r="J224" s="2" t="s">
        <v>30</v>
      </c>
      <c r="K224" s="2" t="s">
        <v>86</v>
      </c>
      <c r="L224" s="2" t="s">
        <v>31</v>
      </c>
      <c r="M224" s="2" t="s">
        <v>1459</v>
      </c>
      <c r="N224" s="2" t="s">
        <v>160</v>
      </c>
      <c r="O224" s="2" t="s">
        <v>34</v>
      </c>
      <c r="P224" s="124">
        <v>13316</v>
      </c>
      <c r="Q224" s="132">
        <v>1</v>
      </c>
      <c r="R224" s="149">
        <v>10390</v>
      </c>
      <c r="S224" s="114"/>
      <c r="T224" s="123">
        <v>1383.5319999999999</v>
      </c>
      <c r="U224" s="138">
        <v>1.94E-4</v>
      </c>
      <c r="V224" s="138">
        <v>0.12253923767729601</v>
      </c>
      <c r="W224" s="138">
        <v>0.122024984672155</v>
      </c>
    </row>
    <row r="225" spans="1:23">
      <c r="A225" s="2">
        <v>161</v>
      </c>
      <c r="B225" s="2">
        <v>15391</v>
      </c>
      <c r="C225" s="2" t="s">
        <v>1425</v>
      </c>
      <c r="D225" s="2" t="s">
        <v>1426</v>
      </c>
      <c r="E225" s="3" t="s">
        <v>1351</v>
      </c>
      <c r="F225" s="2" t="s">
        <v>1507</v>
      </c>
      <c r="G225" s="2" t="s">
        <v>1508</v>
      </c>
      <c r="H225" s="2" t="s">
        <v>209</v>
      </c>
      <c r="I225" s="2" t="s">
        <v>1013</v>
      </c>
      <c r="J225" s="2" t="s">
        <v>30</v>
      </c>
      <c r="K225" s="2" t="s">
        <v>86</v>
      </c>
      <c r="L225" s="2" t="s">
        <v>31</v>
      </c>
      <c r="M225" s="2" t="s">
        <v>1459</v>
      </c>
      <c r="N225" s="2" t="s">
        <v>160</v>
      </c>
      <c r="O225" s="2" t="s">
        <v>34</v>
      </c>
      <c r="P225" s="124">
        <v>6226</v>
      </c>
      <c r="Q225" s="132">
        <v>1</v>
      </c>
      <c r="R225" s="149">
        <v>22980</v>
      </c>
      <c r="S225" s="114"/>
      <c r="T225" s="123">
        <v>1430.7349999999999</v>
      </c>
      <c r="U225" s="138">
        <v>2.12E-4</v>
      </c>
      <c r="V225" s="138">
        <v>0.126719946500985</v>
      </c>
      <c r="W225" s="138">
        <v>0.12618814856805599</v>
      </c>
    </row>
    <row r="226" spans="1:23">
      <c r="A226" s="2">
        <v>161</v>
      </c>
      <c r="B226" s="2">
        <v>15391</v>
      </c>
      <c r="C226" s="2" t="s">
        <v>1431</v>
      </c>
      <c r="D226" s="2" t="s">
        <v>1432</v>
      </c>
      <c r="E226" s="3" t="s">
        <v>1351</v>
      </c>
      <c r="F226" s="2" t="s">
        <v>1509</v>
      </c>
      <c r="G226" s="2" t="s">
        <v>1510</v>
      </c>
      <c r="H226" s="2" t="s">
        <v>209</v>
      </c>
      <c r="I226" s="2" t="s">
        <v>1013</v>
      </c>
      <c r="J226" s="2" t="s">
        <v>30</v>
      </c>
      <c r="K226" s="2" t="s">
        <v>86</v>
      </c>
      <c r="L226" s="2" t="s">
        <v>31</v>
      </c>
      <c r="M226" s="2" t="s">
        <v>1459</v>
      </c>
      <c r="N226" s="2" t="s">
        <v>160</v>
      </c>
      <c r="O226" s="2" t="s">
        <v>34</v>
      </c>
      <c r="P226" s="124">
        <v>5626</v>
      </c>
      <c r="Q226" s="132">
        <v>1</v>
      </c>
      <c r="R226" s="149">
        <v>24510</v>
      </c>
      <c r="S226" s="114"/>
      <c r="T226" s="123">
        <v>1378.933</v>
      </c>
      <c r="U226" s="138">
        <v>1.3999999999999999E-4</v>
      </c>
      <c r="V226" s="138">
        <v>0.122131834145968</v>
      </c>
      <c r="W226" s="138">
        <v>0.12161929086657899</v>
      </c>
    </row>
    <row r="227" spans="1:23">
      <c r="A227" s="2">
        <v>161</v>
      </c>
      <c r="B227" s="2">
        <v>15391</v>
      </c>
      <c r="C227" s="2" t="s">
        <v>1389</v>
      </c>
      <c r="D227" s="2" t="s">
        <v>1390</v>
      </c>
      <c r="E227" s="3" t="s">
        <v>206</v>
      </c>
      <c r="F227" s="2" t="s">
        <v>1464</v>
      </c>
      <c r="G227" s="2" t="s">
        <v>1465</v>
      </c>
      <c r="H227" s="2" t="s">
        <v>209</v>
      </c>
      <c r="I227" s="2" t="s">
        <v>1013</v>
      </c>
      <c r="J227" s="2" t="s">
        <v>85</v>
      </c>
      <c r="K227" s="2" t="s">
        <v>86</v>
      </c>
      <c r="L227" s="2" t="s">
        <v>1466</v>
      </c>
      <c r="M227" s="2" t="s">
        <v>768</v>
      </c>
      <c r="N227" s="2" t="s">
        <v>160</v>
      </c>
      <c r="O227" s="2" t="s">
        <v>34</v>
      </c>
      <c r="P227" s="124">
        <v>345</v>
      </c>
      <c r="Q227" s="132">
        <v>1</v>
      </c>
      <c r="R227" s="149">
        <v>414100</v>
      </c>
      <c r="S227" s="114"/>
      <c r="T227" s="123">
        <v>1428.645</v>
      </c>
      <c r="U227" s="138">
        <v>2.0000000000000002E-5</v>
      </c>
      <c r="V227" s="138">
        <v>0.12653485325784999</v>
      </c>
      <c r="W227" s="138">
        <v>0.126003832094537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J2:J20" xr:uid="{00000000-0002-0000-0700-000000000000}">
      <formula1>israel_abroad</formula1>
    </dataValidation>
    <dataValidation type="list" allowBlank="1" showInputMessage="1" showErrorMessage="1" sqref="N2:N20" xr:uid="{00000000-0002-0000-0700-000001000000}">
      <formula1>Holding_interest</formula1>
    </dataValidation>
    <dataValidation type="list" allowBlank="1" showInputMessage="1" showErrorMessage="1" sqref="K3:K20" xr:uid="{00000000-0002-0000-0700-000002000000}">
      <formula1>Country_list</formula1>
    </dataValidation>
    <dataValidation type="list" allowBlank="1" showInputMessage="1" showErrorMessage="1" sqref="M2:M20" xr:uid="{00000000-0002-0000-0700-000003000000}">
      <formula1>Fund_type</formula1>
    </dataValidation>
    <dataValidation type="list" allowBlank="1" showInputMessage="1" showErrorMessage="1" sqref="E2:E20" xr:uid="{00000000-0002-0000-0700-000004000000}">
      <formula1>Issuer_Type_TFunds</formula1>
    </dataValidation>
    <dataValidation type="list" allowBlank="1" showInputMessage="1" showErrorMessage="1" sqref="H2:H20" xr:uid="{00000000-0002-0000-0700-000005000000}">
      <formula1>Security_ID_Number_Type</formula1>
    </dataValidation>
    <dataValidation type="list" allowBlank="1" showInputMessage="1" showErrorMessage="1" sqref="K2" xr:uid="{00000000-0002-0000-0700-000006000000}">
      <formula1>Country_list_funds</formula1>
    </dataValidation>
    <dataValidation type="list" allowBlank="1" showInputMessage="1" showErrorMessage="1" sqref="L2:L20" xr:uid="{00000000-0002-0000-0700-000007000000}">
      <formula1>Stock_Exchange</formula1>
    </dataValidation>
  </dataValidations>
  <pageMargins left="0.7" right="0.7" top="0.75" bottom="0.75" header="0.3" footer="0.3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8000000}">
          <x14:formula1>
            <xm:f>'אפשרויות בחירה'!$C$891:$C$896</xm:f>
          </x14:formula1>
          <xm:sqref>I2:I20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0"/>
  <dimension ref="A1:X9"/>
  <sheetViews>
    <sheetView rightToLeft="1" zoomScale="70" zoomScaleNormal="70" workbookViewId="0"/>
  </sheetViews>
  <sheetFormatPr defaultColWidth="0" defaultRowHeight="14.25" zeroHeight="1"/>
  <cols>
    <col min="1" max="23" width="11.625" customWidth="1"/>
    <col min="24" max="24" width="11.625" hidden="1" customWidth="1"/>
  </cols>
  <sheetData>
    <row r="1" spans="1:23" ht="66.75" customHeight="1">
      <c r="A1" s="12" t="s">
        <v>0</v>
      </c>
      <c r="B1" s="12" t="s">
        <v>1</v>
      </c>
      <c r="C1" s="12" t="s">
        <v>2</v>
      </c>
      <c r="D1" s="12" t="s">
        <v>167</v>
      </c>
      <c r="E1" s="12" t="s">
        <v>168</v>
      </c>
      <c r="F1" s="12" t="s">
        <v>1135</v>
      </c>
      <c r="G1" s="12" t="s">
        <v>4</v>
      </c>
      <c r="H1" s="12" t="s">
        <v>169</v>
      </c>
      <c r="I1" s="12" t="s">
        <v>5</v>
      </c>
      <c r="J1" s="12" t="s">
        <v>6</v>
      </c>
      <c r="K1" s="12" t="s">
        <v>7</v>
      </c>
      <c r="L1" s="12" t="s">
        <v>360</v>
      </c>
      <c r="M1" s="12" t="s">
        <v>8</v>
      </c>
      <c r="N1" s="12" t="s">
        <v>602</v>
      </c>
      <c r="O1" s="12" t="s">
        <v>146</v>
      </c>
      <c r="P1" s="12" t="s">
        <v>11</v>
      </c>
      <c r="Q1" s="12" t="s">
        <v>17</v>
      </c>
      <c r="R1" s="131" t="s">
        <v>18</v>
      </c>
      <c r="S1" s="142" t="s">
        <v>19</v>
      </c>
      <c r="T1" s="12" t="s">
        <v>20</v>
      </c>
      <c r="U1" s="137" t="s">
        <v>23</v>
      </c>
      <c r="V1" s="137" t="s">
        <v>24</v>
      </c>
      <c r="W1" s="137" t="s">
        <v>25</v>
      </c>
    </row>
    <row r="2" spans="1:23">
      <c r="A2" s="11">
        <v>161</v>
      </c>
      <c r="B2" s="11">
        <v>9938</v>
      </c>
      <c r="C2" s="11" t="s">
        <v>1376</v>
      </c>
      <c r="D2" s="11" t="s">
        <v>1377</v>
      </c>
      <c r="E2" s="11" t="s">
        <v>1351</v>
      </c>
      <c r="F2" s="11" t="s">
        <v>1378</v>
      </c>
      <c r="G2" s="11" t="s">
        <v>1379</v>
      </c>
      <c r="H2" s="11" t="s">
        <v>209</v>
      </c>
      <c r="I2" s="11" t="s">
        <v>962</v>
      </c>
      <c r="J2" s="11" t="s">
        <v>30</v>
      </c>
      <c r="K2" s="11" t="s">
        <v>30</v>
      </c>
      <c r="L2" s="3" t="s">
        <v>361</v>
      </c>
      <c r="M2" s="11" t="s">
        <v>31</v>
      </c>
      <c r="N2" s="13" t="s">
        <v>1380</v>
      </c>
      <c r="O2" s="13" t="s">
        <v>160</v>
      </c>
      <c r="P2" s="11" t="s">
        <v>34</v>
      </c>
      <c r="Q2" s="126">
        <v>300000</v>
      </c>
      <c r="R2" s="150">
        <v>1</v>
      </c>
      <c r="S2" s="151">
        <v>334.26</v>
      </c>
      <c r="T2" s="126">
        <v>1002.78</v>
      </c>
      <c r="U2" s="152">
        <v>6.3900000000000003E-4</v>
      </c>
      <c r="V2" s="152">
        <v>1</v>
      </c>
      <c r="W2" s="152">
        <v>1.25041855563169E-2</v>
      </c>
    </row>
    <row r="3" spans="1:23">
      <c r="A3" s="11">
        <v>161</v>
      </c>
      <c r="B3" s="11">
        <v>9943</v>
      </c>
      <c r="C3" s="11" t="s">
        <v>1381</v>
      </c>
      <c r="D3" s="11" t="s">
        <v>1382</v>
      </c>
      <c r="E3" s="11" t="s">
        <v>206</v>
      </c>
      <c r="F3" s="11" t="s">
        <v>1383</v>
      </c>
      <c r="G3" s="11" t="s">
        <v>1384</v>
      </c>
      <c r="H3" s="11" t="s">
        <v>209</v>
      </c>
      <c r="I3" s="11" t="s">
        <v>962</v>
      </c>
      <c r="J3" s="11" t="s">
        <v>85</v>
      </c>
      <c r="K3" s="11" t="s">
        <v>306</v>
      </c>
      <c r="L3" s="3" t="s">
        <v>361</v>
      </c>
      <c r="M3" s="11" t="s">
        <v>135</v>
      </c>
      <c r="N3" s="13" t="s">
        <v>768</v>
      </c>
      <c r="O3" s="13" t="s">
        <v>160</v>
      </c>
      <c r="P3" s="11" t="s">
        <v>90</v>
      </c>
      <c r="Q3" s="126">
        <v>10253.09</v>
      </c>
      <c r="R3" s="150">
        <v>3.3719999999999999</v>
      </c>
      <c r="S3" s="151">
        <v>13161</v>
      </c>
      <c r="T3" s="126">
        <v>4550.2079999999996</v>
      </c>
      <c r="U3" s="152">
        <v>6.1081000000000003E-2</v>
      </c>
      <c r="V3" s="152">
        <v>0.169433160684484</v>
      </c>
      <c r="W3" s="152">
        <v>2.4130455383644901E-3</v>
      </c>
    </row>
    <row r="4" spans="1:23">
      <c r="A4" s="11">
        <v>161</v>
      </c>
      <c r="B4" s="11">
        <v>9943</v>
      </c>
      <c r="C4" s="11" t="s">
        <v>1385</v>
      </c>
      <c r="D4" s="11" t="s">
        <v>1386</v>
      </c>
      <c r="E4" s="11" t="s">
        <v>206</v>
      </c>
      <c r="F4" s="11" t="s">
        <v>1387</v>
      </c>
      <c r="G4" s="11" t="s">
        <v>1388</v>
      </c>
      <c r="H4" s="11" t="s">
        <v>209</v>
      </c>
      <c r="I4" s="11" t="s">
        <v>1018</v>
      </c>
      <c r="J4" s="11" t="s">
        <v>85</v>
      </c>
      <c r="K4" s="11" t="s">
        <v>86</v>
      </c>
      <c r="L4" s="3" t="s">
        <v>361</v>
      </c>
      <c r="M4" s="11" t="s">
        <v>135</v>
      </c>
      <c r="N4" s="13" t="s">
        <v>765</v>
      </c>
      <c r="O4" s="13" t="s">
        <v>160</v>
      </c>
      <c r="P4" s="11" t="s">
        <v>90</v>
      </c>
      <c r="Q4" s="126">
        <v>1620.11</v>
      </c>
      <c r="R4" s="150">
        <v>3.3719999999999999</v>
      </c>
      <c r="S4" s="151">
        <v>172482.46</v>
      </c>
      <c r="T4" s="126">
        <v>9422.7360000000008</v>
      </c>
      <c r="U4" s="152">
        <v>0</v>
      </c>
      <c r="V4" s="152">
        <v>0.350868349585166</v>
      </c>
      <c r="W4" s="152">
        <v>4.9970224370448901E-3</v>
      </c>
    </row>
    <row r="5" spans="1:23">
      <c r="A5" s="11">
        <v>161</v>
      </c>
      <c r="B5" s="11">
        <v>9943</v>
      </c>
      <c r="C5" s="11" t="s">
        <v>1389</v>
      </c>
      <c r="D5" s="11" t="s">
        <v>1390</v>
      </c>
      <c r="E5" s="11" t="s">
        <v>206</v>
      </c>
      <c r="F5" s="11" t="s">
        <v>1391</v>
      </c>
      <c r="G5" s="11" t="s">
        <v>1392</v>
      </c>
      <c r="H5" s="11" t="s">
        <v>209</v>
      </c>
      <c r="I5" s="11" t="s">
        <v>1018</v>
      </c>
      <c r="J5" s="11" t="s">
        <v>85</v>
      </c>
      <c r="K5" s="11" t="s">
        <v>334</v>
      </c>
      <c r="L5" s="3" t="s">
        <v>361</v>
      </c>
      <c r="M5" s="11" t="s">
        <v>135</v>
      </c>
      <c r="N5" s="13" t="s">
        <v>765</v>
      </c>
      <c r="O5" s="13" t="s">
        <v>160</v>
      </c>
      <c r="P5" s="11" t="s">
        <v>90</v>
      </c>
      <c r="Q5" s="126">
        <v>9242</v>
      </c>
      <c r="R5" s="150">
        <v>3.3719999999999999</v>
      </c>
      <c r="S5" s="151">
        <v>19025</v>
      </c>
      <c r="T5" s="126">
        <v>5928.9560000000001</v>
      </c>
      <c r="U5" s="152">
        <v>1.0139999999999999E-3</v>
      </c>
      <c r="V5" s="152">
        <v>0.22077270731361301</v>
      </c>
      <c r="W5" s="152">
        <v>3.1442168358519502E-3</v>
      </c>
    </row>
    <row r="6" spans="1:23">
      <c r="A6" s="11">
        <v>161</v>
      </c>
      <c r="B6" s="11">
        <v>9943</v>
      </c>
      <c r="C6" s="11" t="s">
        <v>1393</v>
      </c>
      <c r="D6" s="11" t="s">
        <v>1394</v>
      </c>
      <c r="E6" s="11" t="s">
        <v>206</v>
      </c>
      <c r="F6" s="11" t="s">
        <v>1395</v>
      </c>
      <c r="G6" s="11" t="s">
        <v>1396</v>
      </c>
      <c r="H6" s="11" t="s">
        <v>209</v>
      </c>
      <c r="I6" s="11" t="s">
        <v>1018</v>
      </c>
      <c r="J6" s="11" t="s">
        <v>85</v>
      </c>
      <c r="K6" s="11" t="s">
        <v>334</v>
      </c>
      <c r="L6" s="3" t="s">
        <v>361</v>
      </c>
      <c r="M6" s="11" t="s">
        <v>135</v>
      </c>
      <c r="N6" s="13" t="s">
        <v>765</v>
      </c>
      <c r="O6" s="13" t="s">
        <v>160</v>
      </c>
      <c r="P6" s="11" t="s">
        <v>90</v>
      </c>
      <c r="Q6" s="126">
        <v>410.51</v>
      </c>
      <c r="R6" s="150">
        <v>3.3719999999999999</v>
      </c>
      <c r="S6" s="151">
        <v>185867</v>
      </c>
      <c r="T6" s="126">
        <v>2572.8449999999998</v>
      </c>
      <c r="U6" s="152">
        <v>3.4299999999999999E-4</v>
      </c>
      <c r="V6" s="152">
        <v>9.5803369511518896E-2</v>
      </c>
      <c r="W6" s="152">
        <v>1.3644194113249901E-3</v>
      </c>
    </row>
    <row r="7" spans="1:23">
      <c r="A7" s="11">
        <v>161</v>
      </c>
      <c r="B7" s="11">
        <v>9943</v>
      </c>
      <c r="C7" s="11" t="s">
        <v>1389</v>
      </c>
      <c r="D7" s="11" t="s">
        <v>1390</v>
      </c>
      <c r="E7" s="11" t="s">
        <v>206</v>
      </c>
      <c r="F7" s="11" t="s">
        <v>1391</v>
      </c>
      <c r="G7" s="11" t="s">
        <v>1392</v>
      </c>
      <c r="H7" s="11" t="s">
        <v>209</v>
      </c>
      <c r="I7" s="11" t="s">
        <v>1018</v>
      </c>
      <c r="J7" s="11" t="s">
        <v>85</v>
      </c>
      <c r="K7" s="11" t="s">
        <v>334</v>
      </c>
      <c r="L7" s="3" t="s">
        <v>361</v>
      </c>
      <c r="M7" s="11" t="s">
        <v>135</v>
      </c>
      <c r="N7" s="13" t="s">
        <v>765</v>
      </c>
      <c r="O7" s="13" t="s">
        <v>160</v>
      </c>
      <c r="P7" s="11" t="s">
        <v>90</v>
      </c>
      <c r="Q7" s="126">
        <v>6828.64</v>
      </c>
      <c r="R7" s="150">
        <v>3.3719999999999999</v>
      </c>
      <c r="S7" s="151">
        <v>19025</v>
      </c>
      <c r="T7" s="126">
        <v>4380.7299999999996</v>
      </c>
      <c r="U7" s="152">
        <v>7.4899999999999999E-4</v>
      </c>
      <c r="V7" s="152">
        <v>0.16312241290521801</v>
      </c>
      <c r="W7" s="152">
        <v>2.3231686706310399E-3</v>
      </c>
    </row>
    <row r="8" spans="1:23">
      <c r="A8" s="11">
        <v>161</v>
      </c>
      <c r="B8" s="11">
        <v>12468</v>
      </c>
      <c r="C8" s="11" t="s">
        <v>1376</v>
      </c>
      <c r="D8" s="11" t="s">
        <v>1377</v>
      </c>
      <c r="E8" s="11" t="s">
        <v>1351</v>
      </c>
      <c r="F8" s="11" t="s">
        <v>1378</v>
      </c>
      <c r="G8" s="11" t="s">
        <v>1379</v>
      </c>
      <c r="H8" s="11" t="s">
        <v>209</v>
      </c>
      <c r="I8" s="11" t="s">
        <v>962</v>
      </c>
      <c r="J8" s="11" t="s">
        <v>30</v>
      </c>
      <c r="K8" s="11" t="s">
        <v>30</v>
      </c>
      <c r="L8" s="3" t="s">
        <v>361</v>
      </c>
      <c r="M8" s="11" t="s">
        <v>31</v>
      </c>
      <c r="N8" s="13" t="s">
        <v>1380</v>
      </c>
      <c r="O8" s="13" t="s">
        <v>160</v>
      </c>
      <c r="P8" s="11" t="s">
        <v>34</v>
      </c>
      <c r="Q8" s="126">
        <v>225000</v>
      </c>
      <c r="R8" s="150">
        <v>1</v>
      </c>
      <c r="S8" s="151">
        <v>334.26</v>
      </c>
      <c r="T8" s="126">
        <v>752.08500000000004</v>
      </c>
      <c r="U8" s="152">
        <v>4.7899999999999999E-4</v>
      </c>
      <c r="V8" s="152">
        <v>0.90979858464888397</v>
      </c>
      <c r="W8" s="152">
        <v>3.5540315270400601E-2</v>
      </c>
    </row>
    <row r="9" spans="1:23">
      <c r="A9" s="11">
        <v>161</v>
      </c>
      <c r="B9" s="11">
        <v>12468</v>
      </c>
      <c r="C9" s="11" t="s">
        <v>1376</v>
      </c>
      <c r="D9" s="11" t="s">
        <v>1377</v>
      </c>
      <c r="E9" s="11" t="s">
        <v>1351</v>
      </c>
      <c r="F9" s="11" t="s">
        <v>1397</v>
      </c>
      <c r="G9" s="11" t="s">
        <v>1398</v>
      </c>
      <c r="H9" s="11" t="s">
        <v>209</v>
      </c>
      <c r="I9" s="11" t="s">
        <v>962</v>
      </c>
      <c r="J9" s="11" t="s">
        <v>30</v>
      </c>
      <c r="K9" s="11" t="s">
        <v>30</v>
      </c>
      <c r="L9" s="3" t="s">
        <v>361</v>
      </c>
      <c r="M9" s="11" t="s">
        <v>58</v>
      </c>
      <c r="N9" s="13" t="s">
        <v>1380</v>
      </c>
      <c r="O9" s="13" t="s">
        <v>160</v>
      </c>
      <c r="P9" s="11" t="s">
        <v>34</v>
      </c>
      <c r="Q9" s="126">
        <v>25000</v>
      </c>
      <c r="R9" s="150">
        <v>1</v>
      </c>
      <c r="S9" s="151">
        <v>298.26</v>
      </c>
      <c r="T9" s="126">
        <v>74.564999999999998</v>
      </c>
      <c r="U9" s="152">
        <v>2.5099999999999998E-4</v>
      </c>
      <c r="V9" s="152">
        <v>9.0201415351116004E-2</v>
      </c>
      <c r="W9" s="152">
        <v>3.52362247370632E-3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J2:J9" xr:uid="{00000000-0002-0000-0800-000000000000}">
      <formula1>israel_abroad</formula1>
    </dataValidation>
    <dataValidation type="list" allowBlank="1" showInputMessage="1" showErrorMessage="1" sqref="O2:O9" xr:uid="{00000000-0002-0000-0800-000001000000}">
      <formula1>Holding_interest</formula1>
    </dataValidation>
    <dataValidation type="list" allowBlank="1" showInputMessage="1" showErrorMessage="1" sqref="N2:N9" xr:uid="{00000000-0002-0000-0800-000002000000}">
      <formula1>Fund_type</formula1>
    </dataValidation>
    <dataValidation type="list" allowBlank="1" showInputMessage="1" showErrorMessage="1" sqref="E2:E9" xr:uid="{00000000-0002-0000-0800-000003000000}">
      <formula1>Issuer_Type_TFunds</formula1>
    </dataValidation>
    <dataValidation type="list" allowBlank="1" showInputMessage="1" showErrorMessage="1" sqref="H2:H9" xr:uid="{00000000-0002-0000-0800-000004000000}">
      <formula1>Security_ID_Number_Type</formula1>
    </dataValidation>
    <dataValidation type="list" allowBlank="1" showInputMessage="1" showErrorMessage="1" sqref="L2:L9" xr:uid="{00000000-0002-0000-0800-000005000000}">
      <formula1>tradeable_status_funds</formula1>
    </dataValidation>
    <dataValidation type="list" allowBlank="1" showInputMessage="1" showErrorMessage="1" sqref="K2:K9" xr:uid="{00000000-0002-0000-0800-000006000000}">
      <formula1>Country_list_funds</formula1>
    </dataValidation>
    <dataValidation type="list" allowBlank="1" showInputMessage="1" showErrorMessage="1" sqref="M2:M9" xr:uid="{00000000-0002-0000-0800-000007000000}">
      <formula1>Stock_Exchange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8000000}">
          <x14:formula1>
            <xm:f>'אפשרויות בחירה'!$C$897:$C$900</xm:f>
          </x14:formula1>
          <xm:sqref>I2:I9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1"/>
  <dimension ref="A1:AA9"/>
  <sheetViews>
    <sheetView rightToLeft="1" zoomScale="70" zoomScaleNormal="70" workbookViewId="0"/>
  </sheetViews>
  <sheetFormatPr defaultColWidth="0" defaultRowHeight="14.25" zeroHeight="1"/>
  <cols>
    <col min="1" max="25" width="11.625" customWidth="1"/>
    <col min="26" max="27" width="11.625" hidden="1" customWidth="1"/>
  </cols>
  <sheetData>
    <row r="1" spans="1:25" ht="66.75" customHeight="1">
      <c r="A1" s="12" t="s">
        <v>0</v>
      </c>
      <c r="B1" s="12" t="s">
        <v>1</v>
      </c>
      <c r="C1" s="12" t="s">
        <v>2</v>
      </c>
      <c r="D1" s="12" t="s">
        <v>167</v>
      </c>
      <c r="E1" s="12" t="s">
        <v>168</v>
      </c>
      <c r="F1" s="12" t="s">
        <v>3</v>
      </c>
      <c r="G1" s="12" t="s">
        <v>4</v>
      </c>
      <c r="H1" s="12" t="s">
        <v>169</v>
      </c>
      <c r="I1" s="12" t="s">
        <v>6</v>
      </c>
      <c r="J1" s="12" t="s">
        <v>7</v>
      </c>
      <c r="K1" s="12" t="s">
        <v>360</v>
      </c>
      <c r="L1" s="12" t="s">
        <v>8</v>
      </c>
      <c r="M1" s="12" t="s">
        <v>1140</v>
      </c>
      <c r="N1" s="12" t="s">
        <v>170</v>
      </c>
      <c r="O1" s="153" t="s">
        <v>1141</v>
      </c>
      <c r="P1" s="12" t="s">
        <v>146</v>
      </c>
      <c r="Q1" s="12" t="s">
        <v>11</v>
      </c>
      <c r="R1" s="142" t="s">
        <v>1142</v>
      </c>
      <c r="S1" s="12" t="s">
        <v>1143</v>
      </c>
      <c r="T1" s="12" t="s">
        <v>17</v>
      </c>
      <c r="U1" s="131" t="s">
        <v>18</v>
      </c>
      <c r="V1" s="142" t="s">
        <v>19</v>
      </c>
      <c r="W1" s="12" t="s">
        <v>20</v>
      </c>
      <c r="X1" s="137" t="s">
        <v>24</v>
      </c>
      <c r="Y1" s="137" t="s">
        <v>25</v>
      </c>
    </row>
    <row r="2" spans="1:25">
      <c r="A2" s="18">
        <v>161</v>
      </c>
      <c r="B2" s="13">
        <v>9938</v>
      </c>
      <c r="C2" s="13" t="s">
        <v>2369</v>
      </c>
      <c r="D2" s="13" t="s">
        <v>2370</v>
      </c>
      <c r="E2" s="11" t="s">
        <v>1351</v>
      </c>
      <c r="F2" s="13" t="s">
        <v>2618</v>
      </c>
      <c r="G2" s="13" t="s">
        <v>2619</v>
      </c>
      <c r="H2" s="11" t="s">
        <v>209</v>
      </c>
      <c r="I2" s="11" t="s">
        <v>30</v>
      </c>
      <c r="J2" s="11" t="s">
        <v>30</v>
      </c>
      <c r="K2" s="13" t="s">
        <v>361</v>
      </c>
      <c r="L2" s="11" t="s">
        <v>31</v>
      </c>
      <c r="M2" s="13" t="s">
        <v>2620</v>
      </c>
      <c r="N2" s="13" t="s">
        <v>472</v>
      </c>
      <c r="O2" s="154" t="s">
        <v>2538</v>
      </c>
      <c r="P2" s="13" t="s">
        <v>160</v>
      </c>
      <c r="Q2" s="11" t="s">
        <v>34</v>
      </c>
      <c r="R2" s="151">
        <v>8000</v>
      </c>
      <c r="S2" s="126">
        <v>0</v>
      </c>
      <c r="T2" s="125">
        <v>318</v>
      </c>
      <c r="U2" s="147">
        <v>1</v>
      </c>
      <c r="V2" s="148">
        <v>327.10000000000002</v>
      </c>
      <c r="W2" s="125">
        <v>1.04</v>
      </c>
      <c r="X2" s="146">
        <v>5.8766527658648399E-2</v>
      </c>
      <c r="Y2" s="146">
        <v>1.2970520676119E-5</v>
      </c>
    </row>
    <row r="3" spans="1:25">
      <c r="A3" s="13">
        <v>161</v>
      </c>
      <c r="B3" s="13">
        <v>9938</v>
      </c>
      <c r="C3" s="13" t="s">
        <v>1814</v>
      </c>
      <c r="D3" s="13" t="s">
        <v>1815</v>
      </c>
      <c r="E3" s="11" t="s">
        <v>1351</v>
      </c>
      <c r="F3" s="13" t="s">
        <v>2621</v>
      </c>
      <c r="G3" s="13" t="s">
        <v>2622</v>
      </c>
      <c r="H3" s="11" t="s">
        <v>209</v>
      </c>
      <c r="I3" s="11" t="s">
        <v>30</v>
      </c>
      <c r="J3" s="11" t="s">
        <v>30</v>
      </c>
      <c r="K3" s="13" t="s">
        <v>361</v>
      </c>
      <c r="L3" s="11" t="s">
        <v>58</v>
      </c>
      <c r="M3" s="13" t="s">
        <v>1817</v>
      </c>
      <c r="N3" s="13" t="s">
        <v>495</v>
      </c>
      <c r="O3" s="154" t="s">
        <v>2623</v>
      </c>
      <c r="P3" s="13" t="s">
        <v>160</v>
      </c>
      <c r="Q3" s="11" t="s">
        <v>34</v>
      </c>
      <c r="R3" s="151">
        <v>58000</v>
      </c>
      <c r="S3" s="126">
        <v>1</v>
      </c>
      <c r="T3" s="125">
        <v>170</v>
      </c>
      <c r="U3" s="147">
        <v>1</v>
      </c>
      <c r="V3" s="148">
        <v>9800</v>
      </c>
      <c r="W3" s="125">
        <v>16.66</v>
      </c>
      <c r="X3" s="146">
        <v>0.94123347234135202</v>
      </c>
      <c r="Y3" s="146">
        <v>2.0774220802991601E-4</v>
      </c>
    </row>
    <row r="4" spans="1:25">
      <c r="A4" s="13">
        <v>161</v>
      </c>
      <c r="B4" s="13">
        <v>9942</v>
      </c>
      <c r="C4" s="13" t="s">
        <v>2369</v>
      </c>
      <c r="D4" s="13" t="s">
        <v>2370</v>
      </c>
      <c r="E4" s="11" t="s">
        <v>1351</v>
      </c>
      <c r="F4" s="13" t="s">
        <v>2618</v>
      </c>
      <c r="G4" s="13" t="s">
        <v>2619</v>
      </c>
      <c r="H4" s="11" t="s">
        <v>209</v>
      </c>
      <c r="I4" s="11" t="s">
        <v>30</v>
      </c>
      <c r="J4" s="11" t="s">
        <v>30</v>
      </c>
      <c r="K4" s="13" t="s">
        <v>361</v>
      </c>
      <c r="L4" s="11" t="s">
        <v>31</v>
      </c>
      <c r="M4" s="13" t="s">
        <v>2620</v>
      </c>
      <c r="N4" s="13" t="s">
        <v>472</v>
      </c>
      <c r="O4" s="154" t="s">
        <v>2538</v>
      </c>
      <c r="P4" s="13" t="s">
        <v>160</v>
      </c>
      <c r="Q4" s="11" t="s">
        <v>34</v>
      </c>
      <c r="R4" s="151">
        <v>8000</v>
      </c>
      <c r="S4" s="126">
        <v>0</v>
      </c>
      <c r="T4" s="125">
        <v>492</v>
      </c>
      <c r="U4" s="147">
        <v>1</v>
      </c>
      <c r="V4" s="148">
        <v>327.10000000000002</v>
      </c>
      <c r="W4" s="125">
        <v>1.609</v>
      </c>
      <c r="X4" s="146">
        <v>6.0726457070157801E-2</v>
      </c>
      <c r="Y4" s="146">
        <v>1.6948930294929999E-5</v>
      </c>
    </row>
    <row r="5" spans="1:25">
      <c r="A5" s="13">
        <v>161</v>
      </c>
      <c r="B5" s="13">
        <v>9942</v>
      </c>
      <c r="C5" s="13" t="s">
        <v>1814</v>
      </c>
      <c r="D5" s="13" t="s">
        <v>1815</v>
      </c>
      <c r="E5" s="11" t="s">
        <v>1351</v>
      </c>
      <c r="F5" s="13" t="s">
        <v>2621</v>
      </c>
      <c r="G5" s="13" t="s">
        <v>2622</v>
      </c>
      <c r="H5" s="11" t="s">
        <v>209</v>
      </c>
      <c r="I5" s="11" t="s">
        <v>30</v>
      </c>
      <c r="J5" s="11" t="s">
        <v>30</v>
      </c>
      <c r="K5" s="13" t="s">
        <v>361</v>
      </c>
      <c r="L5" s="11" t="s">
        <v>58</v>
      </c>
      <c r="M5" s="13" t="s">
        <v>1817</v>
      </c>
      <c r="N5" s="13" t="s">
        <v>495</v>
      </c>
      <c r="O5" s="154" t="s">
        <v>2623</v>
      </c>
      <c r="P5" s="13" t="s">
        <v>160</v>
      </c>
      <c r="Q5" s="11" t="s">
        <v>34</v>
      </c>
      <c r="R5" s="151">
        <v>58000</v>
      </c>
      <c r="S5" s="126">
        <v>1</v>
      </c>
      <c r="T5" s="125">
        <v>254</v>
      </c>
      <c r="U5" s="147">
        <v>1</v>
      </c>
      <c r="V5" s="148">
        <v>9800</v>
      </c>
      <c r="W5" s="125">
        <v>24.891999999999999</v>
      </c>
      <c r="X5" s="146">
        <v>0.939273542929842</v>
      </c>
      <c r="Y5" s="146">
        <v>2.6215397003315601E-4</v>
      </c>
    </row>
    <row r="6" spans="1:25">
      <c r="A6" s="13">
        <v>161</v>
      </c>
      <c r="B6" s="13">
        <v>9943</v>
      </c>
      <c r="C6" s="13" t="s">
        <v>2369</v>
      </c>
      <c r="D6" s="13" t="s">
        <v>2370</v>
      </c>
      <c r="E6" s="11" t="s">
        <v>1351</v>
      </c>
      <c r="F6" s="13" t="s">
        <v>2618</v>
      </c>
      <c r="G6" s="13" t="s">
        <v>2619</v>
      </c>
      <c r="H6" s="11" t="s">
        <v>209</v>
      </c>
      <c r="I6" s="11" t="s">
        <v>30</v>
      </c>
      <c r="J6" s="11" t="s">
        <v>30</v>
      </c>
      <c r="K6" s="13" t="s">
        <v>361</v>
      </c>
      <c r="L6" s="11" t="s">
        <v>31</v>
      </c>
      <c r="M6" s="13" t="s">
        <v>2620</v>
      </c>
      <c r="N6" s="13" t="s">
        <v>472</v>
      </c>
      <c r="O6" s="154" t="s">
        <v>2538</v>
      </c>
      <c r="P6" s="13" t="s">
        <v>160</v>
      </c>
      <c r="Q6" s="11" t="s">
        <v>34</v>
      </c>
      <c r="R6" s="151">
        <v>8000</v>
      </c>
      <c r="S6" s="126">
        <v>0</v>
      </c>
      <c r="T6" s="125">
        <v>1667</v>
      </c>
      <c r="U6" s="147">
        <v>1</v>
      </c>
      <c r="V6" s="148">
        <v>327.10000000000002</v>
      </c>
      <c r="W6" s="125">
        <v>5.4530000000000003</v>
      </c>
      <c r="X6" s="146">
        <v>2.4486443672836401E-2</v>
      </c>
      <c r="Y6" s="146">
        <v>2.8916813712564702E-6</v>
      </c>
    </row>
    <row r="7" spans="1:25">
      <c r="A7" s="13">
        <v>161</v>
      </c>
      <c r="B7" s="13">
        <v>9943</v>
      </c>
      <c r="C7" s="13" t="s">
        <v>1814</v>
      </c>
      <c r="D7" s="13" t="s">
        <v>1815</v>
      </c>
      <c r="E7" s="11" t="s">
        <v>1351</v>
      </c>
      <c r="F7" s="13" t="s">
        <v>2621</v>
      </c>
      <c r="G7" s="13" t="s">
        <v>2622</v>
      </c>
      <c r="H7" s="11" t="s">
        <v>209</v>
      </c>
      <c r="I7" s="11" t="s">
        <v>30</v>
      </c>
      <c r="J7" s="11" t="s">
        <v>30</v>
      </c>
      <c r="K7" s="13" t="s">
        <v>361</v>
      </c>
      <c r="L7" s="11" t="s">
        <v>58</v>
      </c>
      <c r="M7" s="13" t="s">
        <v>1817</v>
      </c>
      <c r="N7" s="13" t="s">
        <v>495</v>
      </c>
      <c r="O7" s="154" t="s">
        <v>2623</v>
      </c>
      <c r="P7" s="13" t="s">
        <v>160</v>
      </c>
      <c r="Q7" s="11" t="s">
        <v>34</v>
      </c>
      <c r="R7" s="151">
        <v>58000</v>
      </c>
      <c r="S7" s="126">
        <v>1</v>
      </c>
      <c r="T7" s="125">
        <v>2202</v>
      </c>
      <c r="U7" s="147">
        <v>1</v>
      </c>
      <c r="V7" s="148">
        <v>9800</v>
      </c>
      <c r="W7" s="125">
        <v>215.79599999999999</v>
      </c>
      <c r="X7" s="146">
        <v>0.96906511675165397</v>
      </c>
      <c r="Y7" s="146">
        <v>1.14439956372833E-4</v>
      </c>
    </row>
    <row r="8" spans="1:25">
      <c r="A8" s="13">
        <v>161</v>
      </c>
      <c r="B8" s="13">
        <v>9943</v>
      </c>
      <c r="C8" s="13" t="s">
        <v>2369</v>
      </c>
      <c r="D8" s="13" t="s">
        <v>2370</v>
      </c>
      <c r="E8" s="11" t="s">
        <v>1351</v>
      </c>
      <c r="F8" s="13" t="s">
        <v>2618</v>
      </c>
      <c r="G8" s="13" t="s">
        <v>2619</v>
      </c>
      <c r="H8" s="11" t="s">
        <v>209</v>
      </c>
      <c r="I8" s="11" t="s">
        <v>30</v>
      </c>
      <c r="J8" s="11" t="s">
        <v>30</v>
      </c>
      <c r="K8" s="13" t="s">
        <v>361</v>
      </c>
      <c r="L8" s="11" t="s">
        <v>31</v>
      </c>
      <c r="M8" s="13" t="s">
        <v>2620</v>
      </c>
      <c r="N8" s="13" t="s">
        <v>472</v>
      </c>
      <c r="O8" s="154" t="s">
        <v>2538</v>
      </c>
      <c r="P8" s="13" t="s">
        <v>160</v>
      </c>
      <c r="Q8" s="11" t="s">
        <v>34</v>
      </c>
      <c r="R8" s="151">
        <v>8000</v>
      </c>
      <c r="S8" s="126">
        <v>0</v>
      </c>
      <c r="T8" s="125">
        <v>439</v>
      </c>
      <c r="U8" s="147">
        <v>1</v>
      </c>
      <c r="V8" s="148">
        <v>327.10000000000002</v>
      </c>
      <c r="W8" s="125">
        <v>1.4359999999999999</v>
      </c>
      <c r="X8" s="146">
        <v>6.4484395755100002E-3</v>
      </c>
      <c r="Y8" s="146">
        <v>7.61516569874979E-7</v>
      </c>
    </row>
    <row r="9" spans="1:25">
      <c r="A9" s="13">
        <v>161</v>
      </c>
      <c r="B9" s="13">
        <v>12468</v>
      </c>
      <c r="C9" s="13" t="s">
        <v>2369</v>
      </c>
      <c r="D9" s="13" t="s">
        <v>2370</v>
      </c>
      <c r="E9" s="11" t="s">
        <v>1351</v>
      </c>
      <c r="F9" s="13" t="s">
        <v>2618</v>
      </c>
      <c r="G9" s="13" t="s">
        <v>2619</v>
      </c>
      <c r="H9" s="11" t="s">
        <v>209</v>
      </c>
      <c r="I9" s="11" t="s">
        <v>30</v>
      </c>
      <c r="J9" s="11" t="s">
        <v>30</v>
      </c>
      <c r="K9" s="13" t="s">
        <v>361</v>
      </c>
      <c r="L9" s="11" t="s">
        <v>31</v>
      </c>
      <c r="M9" s="13" t="s">
        <v>2620</v>
      </c>
      <c r="N9" s="13" t="s">
        <v>472</v>
      </c>
      <c r="O9" s="154" t="s">
        <v>2538</v>
      </c>
      <c r="P9" s="13" t="s">
        <v>160</v>
      </c>
      <c r="Q9" s="11" t="s">
        <v>34</v>
      </c>
      <c r="R9" s="151">
        <v>8000</v>
      </c>
      <c r="S9" s="126">
        <v>0</v>
      </c>
      <c r="T9" s="125">
        <v>120</v>
      </c>
      <c r="U9" s="147">
        <v>1</v>
      </c>
      <c r="V9" s="148">
        <v>327.10000000000002</v>
      </c>
      <c r="W9" s="125">
        <v>0.39300000000000002</v>
      </c>
      <c r="X9" s="146">
        <v>1</v>
      </c>
      <c r="Y9" s="146">
        <v>1.8548813697836801E-5</v>
      </c>
    </row>
  </sheetData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I2:I9" xr:uid="{00000000-0002-0000-0900-000000000000}">
      <formula1>israel_abroad</formula1>
    </dataValidation>
    <dataValidation type="list" allowBlank="1" showInputMessage="1" showErrorMessage="1" sqref="N2:N9" xr:uid="{00000000-0002-0000-0900-000001000000}">
      <formula1>Industry_sectors</formula1>
    </dataValidation>
    <dataValidation type="list" allowBlank="1" showInputMessage="1" showErrorMessage="1" sqref="P2:P9" xr:uid="{00000000-0002-0000-0900-000002000000}">
      <formula1>Holding_interest</formula1>
    </dataValidation>
    <dataValidation type="list" allowBlank="1" showInputMessage="1" showErrorMessage="1" sqref="J2:J9" xr:uid="{00000000-0002-0000-0900-000003000000}">
      <formula1>Country_list</formula1>
    </dataValidation>
    <dataValidation type="list" allowBlank="1" showInputMessage="1" showErrorMessage="1" sqref="E2:E9" xr:uid="{00000000-0002-0000-0900-000004000000}">
      <formula1>Issuer_Type_TFunds</formula1>
    </dataValidation>
    <dataValidation type="list" allowBlank="1" showInputMessage="1" showErrorMessage="1" sqref="H2:H9" xr:uid="{00000000-0002-0000-0900-000005000000}">
      <formula1>Security_ID_Number_Type</formula1>
    </dataValidation>
    <dataValidation type="list" allowBlank="1" showInputMessage="1" showErrorMessage="1" sqref="K2:K9" xr:uid="{00000000-0002-0000-0900-000006000000}">
      <formula1>tradeable_status_warrants</formula1>
    </dataValidation>
    <dataValidation type="list" allowBlank="1" showInputMessage="1" showErrorMessage="1" sqref="L2:L9" xr:uid="{00000000-0002-0000-0900-000007000000}">
      <formula1>Stock_Exchange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2"/>
  <dimension ref="A1:Y1"/>
  <sheetViews>
    <sheetView rightToLeft="1" topLeftCell="G1" zoomScale="70" zoomScaleNormal="70" workbookViewId="0"/>
  </sheetViews>
  <sheetFormatPr defaultColWidth="0" defaultRowHeight="14.25" zeroHeight="1"/>
  <cols>
    <col min="1" max="24" width="11.625" customWidth="1"/>
    <col min="25" max="25" width="11.625" hidden="1" customWidth="1"/>
  </cols>
  <sheetData>
    <row r="1" spans="1:24" ht="66.75" customHeight="1">
      <c r="A1" s="12" t="s">
        <v>0</v>
      </c>
      <c r="B1" s="12" t="s">
        <v>1</v>
      </c>
      <c r="C1" s="12" t="s">
        <v>2</v>
      </c>
      <c r="D1" s="12" t="s">
        <v>167</v>
      </c>
      <c r="E1" s="12" t="s">
        <v>168</v>
      </c>
      <c r="F1" s="12" t="s">
        <v>3</v>
      </c>
      <c r="G1" s="12" t="s">
        <v>4</v>
      </c>
      <c r="H1" s="12" t="s">
        <v>169</v>
      </c>
      <c r="I1" s="12" t="s">
        <v>5</v>
      </c>
      <c r="J1" s="12" t="s">
        <v>6</v>
      </c>
      <c r="K1" s="12" t="s">
        <v>7</v>
      </c>
      <c r="L1" s="12" t="s">
        <v>8</v>
      </c>
      <c r="M1" s="12" t="s">
        <v>170</v>
      </c>
      <c r="N1" s="12" t="s">
        <v>202</v>
      </c>
      <c r="O1" s="12" t="s">
        <v>1141</v>
      </c>
      <c r="P1" s="12" t="s">
        <v>146</v>
      </c>
      <c r="Q1" s="12" t="s">
        <v>11</v>
      </c>
      <c r="R1" s="12" t="s">
        <v>1142</v>
      </c>
      <c r="S1" s="12" t="s">
        <v>17</v>
      </c>
      <c r="T1" s="12" t="s">
        <v>18</v>
      </c>
      <c r="U1" s="12" t="s">
        <v>19</v>
      </c>
      <c r="V1" s="12" t="s">
        <v>20</v>
      </c>
      <c r="W1" s="12" t="s">
        <v>24</v>
      </c>
      <c r="X1" s="12" t="s">
        <v>25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3"/>
  <dimension ref="A1:T10"/>
  <sheetViews>
    <sheetView rightToLeft="1" zoomScale="70" zoomScaleNormal="70" workbookViewId="0"/>
  </sheetViews>
  <sheetFormatPr defaultColWidth="0" defaultRowHeight="14.25" zeroHeight="1"/>
  <cols>
    <col min="1" max="20" width="11.625" customWidth="1"/>
  </cols>
  <sheetData>
    <row r="1" spans="1:20" ht="66.75" customHeight="1">
      <c r="A1" s="12" t="s">
        <v>0</v>
      </c>
      <c r="B1" s="12" t="s">
        <v>1</v>
      </c>
      <c r="C1" s="12" t="s">
        <v>2</v>
      </c>
      <c r="D1" s="12" t="s">
        <v>167</v>
      </c>
      <c r="E1" s="12" t="s">
        <v>168</v>
      </c>
      <c r="F1" s="12" t="s">
        <v>3</v>
      </c>
      <c r="G1" s="12" t="s">
        <v>4</v>
      </c>
      <c r="H1" s="12" t="s">
        <v>169</v>
      </c>
      <c r="I1" s="12" t="s">
        <v>6</v>
      </c>
      <c r="J1" s="12" t="s">
        <v>7</v>
      </c>
      <c r="K1" s="12" t="s">
        <v>8</v>
      </c>
      <c r="L1" s="12" t="s">
        <v>202</v>
      </c>
      <c r="M1" s="12" t="s">
        <v>146</v>
      </c>
      <c r="N1" s="12" t="s">
        <v>11</v>
      </c>
      <c r="O1" s="12" t="s">
        <v>17</v>
      </c>
      <c r="P1" s="131" t="s">
        <v>18</v>
      </c>
      <c r="Q1" s="142" t="s">
        <v>19</v>
      </c>
      <c r="R1" s="12" t="s">
        <v>20</v>
      </c>
      <c r="S1" s="137" t="s">
        <v>24</v>
      </c>
      <c r="T1" s="137" t="s">
        <v>25</v>
      </c>
    </row>
    <row r="2" spans="1:20">
      <c r="A2" s="13">
        <v>161</v>
      </c>
      <c r="B2" s="13">
        <v>9938</v>
      </c>
      <c r="C2" s="2" t="s">
        <v>2607</v>
      </c>
      <c r="D2" s="2" t="s">
        <v>2608</v>
      </c>
      <c r="E2" s="11" t="s">
        <v>33</v>
      </c>
      <c r="F2" s="13" t="s">
        <v>2609</v>
      </c>
      <c r="G2" s="13" t="s">
        <v>2610</v>
      </c>
      <c r="H2" s="11" t="s">
        <v>135</v>
      </c>
      <c r="I2" s="11" t="s">
        <v>85</v>
      </c>
      <c r="J2" s="11" t="s">
        <v>86</v>
      </c>
      <c r="K2" s="11" t="s">
        <v>2611</v>
      </c>
      <c r="L2" s="13" t="s">
        <v>780</v>
      </c>
      <c r="M2" s="13" t="s">
        <v>160</v>
      </c>
      <c r="N2" s="11" t="s">
        <v>90</v>
      </c>
      <c r="O2" s="125">
        <v>9</v>
      </c>
      <c r="P2" s="147">
        <v>3.3719999999999999</v>
      </c>
      <c r="Q2" s="148">
        <v>22893.25</v>
      </c>
      <c r="R2" s="125">
        <v>44.171999999999997</v>
      </c>
      <c r="S2" s="146">
        <v>0.102029371560759</v>
      </c>
      <c r="T2" s="146">
        <v>5.5079759005908797E-4</v>
      </c>
    </row>
    <row r="3" spans="1:20">
      <c r="A3" s="13">
        <v>161</v>
      </c>
      <c r="B3" s="13">
        <v>9938</v>
      </c>
      <c r="C3" s="2" t="s">
        <v>2607</v>
      </c>
      <c r="D3" s="2" t="s">
        <v>2608</v>
      </c>
      <c r="E3" s="11" t="s">
        <v>33</v>
      </c>
      <c r="F3" s="13" t="s">
        <v>2612</v>
      </c>
      <c r="G3" s="13" t="s">
        <v>2613</v>
      </c>
      <c r="H3" s="11" t="s">
        <v>135</v>
      </c>
      <c r="I3" s="11" t="s">
        <v>85</v>
      </c>
      <c r="J3" s="11" t="s">
        <v>86</v>
      </c>
      <c r="K3" s="11" t="s">
        <v>2611</v>
      </c>
      <c r="L3" s="13" t="s">
        <v>780</v>
      </c>
      <c r="M3" s="13" t="s">
        <v>160</v>
      </c>
      <c r="N3" s="11" t="s">
        <v>90</v>
      </c>
      <c r="O3" s="125">
        <v>14</v>
      </c>
      <c r="P3" s="147">
        <v>3.3719999999999999</v>
      </c>
      <c r="Q3" s="148">
        <v>6253.75</v>
      </c>
      <c r="R3" s="125">
        <v>388.75799999999998</v>
      </c>
      <c r="S3" s="146">
        <v>0.89797062843924103</v>
      </c>
      <c r="T3" s="146">
        <v>4.8476242725227804E-3</v>
      </c>
    </row>
    <row r="4" spans="1:20">
      <c r="A4" s="13">
        <v>161</v>
      </c>
      <c r="B4" s="13">
        <v>9942</v>
      </c>
      <c r="C4" s="2" t="s">
        <v>2607</v>
      </c>
      <c r="D4" s="2" t="s">
        <v>2608</v>
      </c>
      <c r="E4" s="11" t="s">
        <v>33</v>
      </c>
      <c r="F4" s="13" t="s">
        <v>2614</v>
      </c>
      <c r="G4" s="13" t="s">
        <v>2615</v>
      </c>
      <c r="H4" s="11" t="s">
        <v>135</v>
      </c>
      <c r="I4" s="11" t="s">
        <v>85</v>
      </c>
      <c r="J4" s="11" t="s">
        <v>86</v>
      </c>
      <c r="K4" s="11" t="s">
        <v>2611</v>
      </c>
      <c r="L4" s="13" t="s">
        <v>780</v>
      </c>
      <c r="M4" s="13" t="s">
        <v>160</v>
      </c>
      <c r="N4" s="11" t="s">
        <v>90</v>
      </c>
      <c r="O4" s="125">
        <v>30</v>
      </c>
      <c r="P4" s="147">
        <v>3.3719999999999999</v>
      </c>
      <c r="Q4" s="148">
        <v>6253.75</v>
      </c>
      <c r="R4" s="125">
        <v>83.260999999999996</v>
      </c>
      <c r="S4" s="146">
        <v>0.38537853092201002</v>
      </c>
      <c r="T4" s="146">
        <v>8.7687909186670901E-4</v>
      </c>
    </row>
    <row r="5" spans="1:20">
      <c r="A5" s="13">
        <v>161</v>
      </c>
      <c r="B5" s="13">
        <v>9942</v>
      </c>
      <c r="C5" s="2" t="s">
        <v>2607</v>
      </c>
      <c r="D5" s="2" t="s">
        <v>2608</v>
      </c>
      <c r="E5" s="11" t="s">
        <v>33</v>
      </c>
      <c r="F5" s="13" t="s">
        <v>2616</v>
      </c>
      <c r="G5" s="13" t="s">
        <v>2617</v>
      </c>
      <c r="H5" s="11" t="s">
        <v>135</v>
      </c>
      <c r="I5" s="11" t="s">
        <v>85</v>
      </c>
      <c r="J5" s="11" t="s">
        <v>1469</v>
      </c>
      <c r="K5" s="11" t="s">
        <v>2611</v>
      </c>
      <c r="L5" s="13" t="s">
        <v>780</v>
      </c>
      <c r="M5" s="13" t="s">
        <v>160</v>
      </c>
      <c r="N5" s="11" t="s">
        <v>90</v>
      </c>
      <c r="O5" s="125">
        <v>4</v>
      </c>
      <c r="P5" s="147">
        <v>3.3719999999999999</v>
      </c>
      <c r="Q5" s="148">
        <v>1233.5</v>
      </c>
      <c r="R5" s="125">
        <v>21.716000000000001</v>
      </c>
      <c r="S5" s="146">
        <v>0.100511992403816</v>
      </c>
      <c r="T5" s="146">
        <v>2.2870206186604601E-4</v>
      </c>
    </row>
    <row r="6" spans="1:20">
      <c r="A6" s="13">
        <v>161</v>
      </c>
      <c r="B6" s="13">
        <v>9942</v>
      </c>
      <c r="C6" s="2" t="s">
        <v>2607</v>
      </c>
      <c r="D6" s="2" t="s">
        <v>2608</v>
      </c>
      <c r="E6" s="11" t="s">
        <v>33</v>
      </c>
      <c r="F6" s="13" t="s">
        <v>2612</v>
      </c>
      <c r="G6" s="13" t="s">
        <v>2613</v>
      </c>
      <c r="H6" s="11" t="s">
        <v>135</v>
      </c>
      <c r="I6" s="11" t="s">
        <v>85</v>
      </c>
      <c r="J6" s="11" t="s">
        <v>86</v>
      </c>
      <c r="K6" s="11" t="s">
        <v>2611</v>
      </c>
      <c r="L6" s="13" t="s">
        <v>780</v>
      </c>
      <c r="M6" s="13" t="s">
        <v>160</v>
      </c>
      <c r="N6" s="11" t="s">
        <v>90</v>
      </c>
      <c r="O6" s="125">
        <v>4</v>
      </c>
      <c r="P6" s="147">
        <v>3.3719999999999999</v>
      </c>
      <c r="Q6" s="148">
        <v>6253.75</v>
      </c>
      <c r="R6" s="125">
        <v>111.074</v>
      </c>
      <c r="S6" s="146">
        <v>0.51410947667417395</v>
      </c>
      <c r="T6" s="146">
        <v>1.16978973879931E-3</v>
      </c>
    </row>
    <row r="7" spans="1:20">
      <c r="A7" s="13">
        <v>161</v>
      </c>
      <c r="B7" s="13">
        <v>9943</v>
      </c>
      <c r="C7" s="2" t="s">
        <v>2607</v>
      </c>
      <c r="D7" s="2" t="s">
        <v>2608</v>
      </c>
      <c r="E7" s="11" t="s">
        <v>33</v>
      </c>
      <c r="F7" s="13" t="s">
        <v>2612</v>
      </c>
      <c r="G7" s="13" t="s">
        <v>2613</v>
      </c>
      <c r="H7" s="11" t="s">
        <v>135</v>
      </c>
      <c r="I7" s="11" t="s">
        <v>85</v>
      </c>
      <c r="J7" s="11" t="s">
        <v>86</v>
      </c>
      <c r="K7" s="11" t="s">
        <v>2611</v>
      </c>
      <c r="L7" s="13" t="s">
        <v>780</v>
      </c>
      <c r="M7" s="13" t="s">
        <v>160</v>
      </c>
      <c r="N7" s="11" t="s">
        <v>90</v>
      </c>
      <c r="O7" s="125">
        <v>80</v>
      </c>
      <c r="P7" s="147">
        <v>3.3719999999999999</v>
      </c>
      <c r="Q7" s="148">
        <v>6253.75</v>
      </c>
      <c r="R7" s="125">
        <v>2222.8220000000001</v>
      </c>
      <c r="S7" s="146">
        <v>1</v>
      </c>
      <c r="T7" s="146">
        <v>1.17879709763182E-3</v>
      </c>
    </row>
    <row r="8" spans="1:20">
      <c r="A8" s="13">
        <v>161</v>
      </c>
      <c r="B8" s="13">
        <v>12468</v>
      </c>
      <c r="C8" s="2" t="s">
        <v>2607</v>
      </c>
      <c r="D8" s="2" t="s">
        <v>2608</v>
      </c>
      <c r="E8" s="11" t="s">
        <v>33</v>
      </c>
      <c r="F8" s="13" t="s">
        <v>2614</v>
      </c>
      <c r="G8" s="13" t="s">
        <v>2615</v>
      </c>
      <c r="H8" s="11" t="s">
        <v>135</v>
      </c>
      <c r="I8" s="11" t="s">
        <v>85</v>
      </c>
      <c r="J8" s="11" t="s">
        <v>86</v>
      </c>
      <c r="K8" s="11" t="s">
        <v>2611</v>
      </c>
      <c r="L8" s="13" t="s">
        <v>780</v>
      </c>
      <c r="M8" s="13" t="s">
        <v>160</v>
      </c>
      <c r="N8" s="11" t="s">
        <v>90</v>
      </c>
      <c r="O8" s="125">
        <v>39</v>
      </c>
      <c r="P8" s="147">
        <v>3.3719999999999999</v>
      </c>
      <c r="Q8" s="148">
        <v>6253.75</v>
      </c>
      <c r="R8" s="125">
        <v>108.24</v>
      </c>
      <c r="S8" s="146">
        <v>0.66295286195068204</v>
      </c>
      <c r="T8" s="146">
        <v>5.1149426615577304E-3</v>
      </c>
    </row>
    <row r="9" spans="1:20">
      <c r="A9" s="13">
        <v>161</v>
      </c>
      <c r="B9" s="13">
        <v>12468</v>
      </c>
      <c r="C9" s="2" t="s">
        <v>2607</v>
      </c>
      <c r="D9" s="2" t="s">
        <v>2608</v>
      </c>
      <c r="E9" s="11" t="s">
        <v>33</v>
      </c>
      <c r="F9" s="13" t="s">
        <v>2616</v>
      </c>
      <c r="G9" s="13" t="s">
        <v>2617</v>
      </c>
      <c r="H9" s="11" t="s">
        <v>135</v>
      </c>
      <c r="I9" s="11" t="s">
        <v>85</v>
      </c>
      <c r="J9" s="11" t="s">
        <v>1469</v>
      </c>
      <c r="K9" s="11" t="s">
        <v>2611</v>
      </c>
      <c r="L9" s="13" t="s">
        <v>780</v>
      </c>
      <c r="M9" s="13" t="s">
        <v>160</v>
      </c>
      <c r="N9" s="11" t="s">
        <v>90</v>
      </c>
      <c r="O9" s="125">
        <v>2</v>
      </c>
      <c r="P9" s="147">
        <v>3.3719999999999999</v>
      </c>
      <c r="Q9" s="148">
        <v>1233.5</v>
      </c>
      <c r="R9" s="125">
        <v>10.858000000000001</v>
      </c>
      <c r="S9" s="146">
        <v>6.6502759552608995E-2</v>
      </c>
      <c r="T9" s="146">
        <v>5.1309500489381797E-4</v>
      </c>
    </row>
    <row r="10" spans="1:20">
      <c r="A10" s="13">
        <v>161</v>
      </c>
      <c r="B10" s="13">
        <v>12468</v>
      </c>
      <c r="C10" s="2" t="s">
        <v>2607</v>
      </c>
      <c r="D10" s="2" t="s">
        <v>2608</v>
      </c>
      <c r="E10" s="11" t="s">
        <v>33</v>
      </c>
      <c r="F10" s="13" t="s">
        <v>2609</v>
      </c>
      <c r="G10" s="13" t="s">
        <v>2610</v>
      </c>
      <c r="H10" s="11" t="s">
        <v>135</v>
      </c>
      <c r="I10" s="11" t="s">
        <v>85</v>
      </c>
      <c r="J10" s="11" t="s">
        <v>86</v>
      </c>
      <c r="K10" s="11" t="s">
        <v>2611</v>
      </c>
      <c r="L10" s="13" t="s">
        <v>780</v>
      </c>
      <c r="M10" s="13" t="s">
        <v>160</v>
      </c>
      <c r="N10" s="11" t="s">
        <v>90</v>
      </c>
      <c r="O10" s="125">
        <v>9</v>
      </c>
      <c r="P10" s="147">
        <v>3.3719999999999999</v>
      </c>
      <c r="Q10" s="148">
        <v>22893.25</v>
      </c>
      <c r="R10" s="125">
        <v>44.171999999999997</v>
      </c>
      <c r="S10" s="146">
        <v>0.27054437849670898</v>
      </c>
      <c r="T10" s="146">
        <v>2.0873565268964499E-3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7">
    <dataValidation type="list" allowBlank="1" showInputMessage="1" showErrorMessage="1" sqref="I2:I10" xr:uid="{00000000-0002-0000-0B00-000000000000}">
      <formula1>israel_abroad</formula1>
    </dataValidation>
    <dataValidation type="list" allowBlank="1" showInputMessage="1" showErrorMessage="1" sqref="M2:M10" xr:uid="{00000000-0002-0000-0B00-000001000000}">
      <formula1>Holding_interest</formula1>
    </dataValidation>
    <dataValidation type="list" allowBlank="1" showInputMessage="1" showErrorMessage="1" sqref="L2:L10" xr:uid="{00000000-0002-0000-0B00-000002000000}">
      <formula1>Underlying_Asset</formula1>
    </dataValidation>
    <dataValidation type="list" allowBlank="1" showInputMessage="1" showErrorMessage="1" sqref="J2:J10" xr:uid="{00000000-0002-0000-0B00-000003000000}">
      <formula1>Country_list</formula1>
    </dataValidation>
    <dataValidation type="list" allowBlank="1" showInputMessage="1" showErrorMessage="1" sqref="E2:E10" xr:uid="{00000000-0002-0000-0B00-000004000000}">
      <formula1>Issuer_Type_TFunds</formula1>
    </dataValidation>
    <dataValidation type="list" allowBlank="1" showInputMessage="1" showErrorMessage="1" sqref="H2:H10" xr:uid="{00000000-0002-0000-0B00-000005000000}">
      <formula1>Security_ID_Number_Type</formula1>
    </dataValidation>
    <dataValidation type="list" allowBlank="1" showInputMessage="1" showErrorMessage="1" sqref="K2:K10" xr:uid="{00000000-0002-0000-0B00-000006000000}">
      <formula1>Stock_Exchange</formula1>
    </dataValidation>
  </dataValidations>
  <pageMargins left="0.7" right="0.7" top="0.75" bottom="0.75" header="0.3" footer="0.3"/>
  <pageSetup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4"/>
  <dimension ref="A1:AB6"/>
  <sheetViews>
    <sheetView rightToLeft="1" zoomScale="70" zoomScaleNormal="70" workbookViewId="0">
      <selection activeCell="A2" sqref="A2"/>
    </sheetView>
  </sheetViews>
  <sheetFormatPr defaultColWidth="0" defaultRowHeight="14.25" zeroHeight="1"/>
  <cols>
    <col min="1" max="28" width="11.625" customWidth="1"/>
  </cols>
  <sheetData>
    <row r="1" spans="1:28" ht="66.75" customHeight="1">
      <c r="A1" s="12" t="s">
        <v>0</v>
      </c>
      <c r="B1" s="12" t="s">
        <v>1</v>
      </c>
      <c r="C1" s="12" t="s">
        <v>2</v>
      </c>
      <c r="D1" s="12" t="s">
        <v>167</v>
      </c>
      <c r="E1" s="12" t="s">
        <v>168</v>
      </c>
      <c r="F1" s="12" t="s">
        <v>3</v>
      </c>
      <c r="G1" s="12" t="s">
        <v>4</v>
      </c>
      <c r="H1" s="12" t="s">
        <v>169</v>
      </c>
      <c r="I1" s="12" t="s">
        <v>5</v>
      </c>
      <c r="J1" s="12" t="s">
        <v>6</v>
      </c>
      <c r="K1" s="12" t="s">
        <v>7</v>
      </c>
      <c r="L1" s="12" t="s">
        <v>360</v>
      </c>
      <c r="M1" s="12" t="s">
        <v>8</v>
      </c>
      <c r="N1" s="12" t="s">
        <v>202</v>
      </c>
      <c r="O1" s="12" t="s">
        <v>146</v>
      </c>
      <c r="P1" s="12" t="s">
        <v>12</v>
      </c>
      <c r="Q1" s="133" t="s">
        <v>14</v>
      </c>
      <c r="R1" s="137" t="s">
        <v>15</v>
      </c>
      <c r="S1" s="12" t="s">
        <v>9</v>
      </c>
      <c r="T1" s="12" t="s">
        <v>10</v>
      </c>
      <c r="U1" s="12" t="s">
        <v>203</v>
      </c>
      <c r="V1" s="12" t="s">
        <v>11</v>
      </c>
      <c r="W1" s="12" t="s">
        <v>17</v>
      </c>
      <c r="X1" s="131" t="s">
        <v>18</v>
      </c>
      <c r="Y1" s="142" t="s">
        <v>19</v>
      </c>
      <c r="Z1" s="12" t="s">
        <v>20</v>
      </c>
      <c r="AA1" s="137" t="s">
        <v>24</v>
      </c>
      <c r="AB1" s="137" t="s">
        <v>25</v>
      </c>
    </row>
    <row r="2" spans="1:28">
      <c r="A2" s="13">
        <v>161</v>
      </c>
      <c r="B2" s="13">
        <v>1434</v>
      </c>
      <c r="C2" s="13" t="s">
        <v>3081</v>
      </c>
      <c r="D2" s="13" t="s">
        <v>3082</v>
      </c>
      <c r="E2" s="11" t="s">
        <v>1351</v>
      </c>
      <c r="F2" s="13" t="s">
        <v>3083</v>
      </c>
      <c r="G2" s="13" t="s">
        <v>3084</v>
      </c>
      <c r="H2" s="11" t="s">
        <v>209</v>
      </c>
      <c r="I2" s="13" t="s">
        <v>1026</v>
      </c>
      <c r="J2" s="11" t="s">
        <v>30</v>
      </c>
      <c r="K2" s="11" t="s">
        <v>30</v>
      </c>
      <c r="L2" s="13" t="s">
        <v>361</v>
      </c>
      <c r="M2" s="11" t="s">
        <v>31</v>
      </c>
      <c r="N2" s="13" t="s">
        <v>777</v>
      </c>
      <c r="O2" s="13" t="s">
        <v>160</v>
      </c>
      <c r="P2" s="125">
        <v>3.0369999999999999</v>
      </c>
      <c r="Q2" s="145">
        <v>5.0000000000000001E-4</v>
      </c>
      <c r="R2" s="146">
        <v>2.588E-2</v>
      </c>
      <c r="S2" s="13" t="s">
        <v>1199</v>
      </c>
      <c r="T2" s="13" t="s">
        <v>446</v>
      </c>
      <c r="U2" s="13" t="s">
        <v>440</v>
      </c>
      <c r="V2" s="11" t="s">
        <v>34</v>
      </c>
      <c r="W2" s="125">
        <v>84642.01</v>
      </c>
      <c r="X2" s="147">
        <v>1</v>
      </c>
      <c r="Y2" s="148">
        <v>107.74</v>
      </c>
      <c r="Z2" s="125">
        <v>91.192999999999998</v>
      </c>
      <c r="AA2" s="146">
        <v>1</v>
      </c>
      <c r="AB2" s="146">
        <v>4.0473966952928901E-3</v>
      </c>
    </row>
    <row r="3" spans="1:28">
      <c r="A3" s="13">
        <v>161</v>
      </c>
      <c r="B3" s="13">
        <v>9938</v>
      </c>
      <c r="C3" s="13" t="s">
        <v>3081</v>
      </c>
      <c r="D3" s="13" t="s">
        <v>3082</v>
      </c>
      <c r="E3" s="11" t="s">
        <v>1351</v>
      </c>
      <c r="F3" s="13" t="s">
        <v>3083</v>
      </c>
      <c r="G3" s="13" t="s">
        <v>3084</v>
      </c>
      <c r="H3" s="11" t="s">
        <v>209</v>
      </c>
      <c r="I3" s="13" t="s">
        <v>1026</v>
      </c>
      <c r="J3" s="11" t="s">
        <v>30</v>
      </c>
      <c r="K3" s="11" t="s">
        <v>30</v>
      </c>
      <c r="L3" s="13" t="s">
        <v>361</v>
      </c>
      <c r="M3" s="11" t="s">
        <v>31</v>
      </c>
      <c r="N3" s="13" t="s">
        <v>777</v>
      </c>
      <c r="O3" s="13" t="s">
        <v>160</v>
      </c>
      <c r="P3" s="125">
        <v>3.0369999999999999</v>
      </c>
      <c r="Q3" s="145">
        <v>5.0000000000000001E-4</v>
      </c>
      <c r="R3" s="146">
        <v>2.588E-2</v>
      </c>
      <c r="S3" s="13" t="s">
        <v>1199</v>
      </c>
      <c r="T3" s="13" t="s">
        <v>446</v>
      </c>
      <c r="U3" s="13" t="s">
        <v>440</v>
      </c>
      <c r="V3" s="11" t="s">
        <v>34</v>
      </c>
      <c r="W3" s="125">
        <v>36000.01</v>
      </c>
      <c r="X3" s="147">
        <v>1</v>
      </c>
      <c r="Y3" s="148">
        <v>107.74</v>
      </c>
      <c r="Z3" s="125">
        <v>38.786000000000001</v>
      </c>
      <c r="AA3" s="146">
        <v>1</v>
      </c>
      <c r="AB3" s="146">
        <v>4.8364793611921402E-4</v>
      </c>
    </row>
    <row r="4" spans="1:28">
      <c r="A4" s="13">
        <v>161</v>
      </c>
      <c r="B4" s="13">
        <v>9942</v>
      </c>
      <c r="C4" s="13" t="s">
        <v>3081</v>
      </c>
      <c r="D4" s="13" t="s">
        <v>3082</v>
      </c>
      <c r="E4" s="11" t="s">
        <v>1351</v>
      </c>
      <c r="F4" s="13" t="s">
        <v>3083</v>
      </c>
      <c r="G4" s="13" t="s">
        <v>3084</v>
      </c>
      <c r="H4" s="11" t="s">
        <v>209</v>
      </c>
      <c r="I4" s="13" t="s">
        <v>1026</v>
      </c>
      <c r="J4" s="11" t="s">
        <v>30</v>
      </c>
      <c r="K4" s="11" t="s">
        <v>30</v>
      </c>
      <c r="L4" s="13" t="s">
        <v>361</v>
      </c>
      <c r="M4" s="11" t="s">
        <v>31</v>
      </c>
      <c r="N4" s="13" t="s">
        <v>777</v>
      </c>
      <c r="O4" s="13" t="s">
        <v>160</v>
      </c>
      <c r="P4" s="125">
        <v>3.0369999999999999</v>
      </c>
      <c r="Q4" s="145">
        <v>5.0000000000000001E-4</v>
      </c>
      <c r="R4" s="146">
        <v>2.588E-2</v>
      </c>
      <c r="S4" s="13" t="s">
        <v>1199</v>
      </c>
      <c r="T4" s="13" t="s">
        <v>446</v>
      </c>
      <c r="U4" s="13" t="s">
        <v>440</v>
      </c>
      <c r="V4" s="11" t="s">
        <v>34</v>
      </c>
      <c r="W4" s="125">
        <v>70363.649999999994</v>
      </c>
      <c r="X4" s="147">
        <v>1</v>
      </c>
      <c r="Y4" s="148">
        <v>107.74</v>
      </c>
      <c r="Z4" s="125">
        <v>75.81</v>
      </c>
      <c r="AA4" s="146">
        <v>1</v>
      </c>
      <c r="AB4" s="146">
        <v>7.9840266441033895E-4</v>
      </c>
    </row>
    <row r="5" spans="1:28">
      <c r="A5" s="13">
        <v>161</v>
      </c>
      <c r="B5" s="13">
        <v>9943</v>
      </c>
      <c r="C5" s="13" t="s">
        <v>3081</v>
      </c>
      <c r="D5" s="13" t="s">
        <v>3082</v>
      </c>
      <c r="E5" s="11" t="s">
        <v>1351</v>
      </c>
      <c r="F5" s="13" t="s">
        <v>3085</v>
      </c>
      <c r="G5" s="13" t="s">
        <v>3086</v>
      </c>
      <c r="H5" s="11" t="s">
        <v>209</v>
      </c>
      <c r="I5" s="13" t="s">
        <v>1026</v>
      </c>
      <c r="J5" s="11" t="s">
        <v>30</v>
      </c>
      <c r="K5" s="11" t="s">
        <v>30</v>
      </c>
      <c r="L5" s="13" t="s">
        <v>361</v>
      </c>
      <c r="M5" s="11" t="s">
        <v>31</v>
      </c>
      <c r="N5" s="13" t="s">
        <v>779</v>
      </c>
      <c r="O5" s="13" t="s">
        <v>160</v>
      </c>
      <c r="P5" s="125">
        <v>0.76800000000000002</v>
      </c>
      <c r="Q5" s="145">
        <v>9.4959000000000002E-2</v>
      </c>
      <c r="R5" s="146">
        <v>8.2710000000000006E-2</v>
      </c>
      <c r="S5" s="13" t="s">
        <v>1199</v>
      </c>
      <c r="T5" s="13" t="s">
        <v>446</v>
      </c>
      <c r="U5" s="13" t="s">
        <v>440</v>
      </c>
      <c r="V5" s="11" t="s">
        <v>34</v>
      </c>
      <c r="W5" s="125">
        <v>2986876</v>
      </c>
      <c r="X5" s="147">
        <v>1</v>
      </c>
      <c r="Y5" s="148">
        <v>98.67</v>
      </c>
      <c r="Z5" s="125">
        <v>2947.1509999999998</v>
      </c>
      <c r="AA5" s="146">
        <v>0.66105361523704798</v>
      </c>
      <c r="AB5" s="146">
        <v>1.56291951785306E-3</v>
      </c>
    </row>
    <row r="6" spans="1:28">
      <c r="A6" s="13">
        <v>161</v>
      </c>
      <c r="B6" s="13">
        <v>9943</v>
      </c>
      <c r="C6" s="13" t="s">
        <v>3081</v>
      </c>
      <c r="D6" s="13" t="s">
        <v>3082</v>
      </c>
      <c r="E6" s="11" t="s">
        <v>1351</v>
      </c>
      <c r="F6" s="13" t="s">
        <v>3083</v>
      </c>
      <c r="G6" s="13" t="s">
        <v>3084</v>
      </c>
      <c r="H6" s="11" t="s">
        <v>209</v>
      </c>
      <c r="I6" s="13" t="s">
        <v>1026</v>
      </c>
      <c r="J6" s="11" t="s">
        <v>30</v>
      </c>
      <c r="K6" s="11" t="s">
        <v>30</v>
      </c>
      <c r="L6" s="13" t="s">
        <v>361</v>
      </c>
      <c r="M6" s="11" t="s">
        <v>31</v>
      </c>
      <c r="N6" s="13" t="s">
        <v>777</v>
      </c>
      <c r="O6" s="13" t="s">
        <v>160</v>
      </c>
      <c r="P6" s="125">
        <v>3.0369999999999999</v>
      </c>
      <c r="Q6" s="145">
        <v>5.0000000000000001E-4</v>
      </c>
      <c r="R6" s="146">
        <v>2.588E-2</v>
      </c>
      <c r="S6" s="13" t="s">
        <v>1199</v>
      </c>
      <c r="T6" s="13" t="s">
        <v>446</v>
      </c>
      <c r="U6" s="13" t="s">
        <v>440</v>
      </c>
      <c r="V6" s="11" t="s">
        <v>34</v>
      </c>
      <c r="W6" s="125">
        <v>1402554.26</v>
      </c>
      <c r="X6" s="147">
        <v>1</v>
      </c>
      <c r="Y6" s="148">
        <v>107.74</v>
      </c>
      <c r="Z6" s="125">
        <v>1511.1120000000001</v>
      </c>
      <c r="AA6" s="146">
        <v>0.33894638476295202</v>
      </c>
      <c r="AB6" s="146">
        <v>8.0136604360266702E-4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J2:J6" xr:uid="{00000000-0002-0000-0C00-000000000000}">
      <formula1>israel_abroad</formula1>
    </dataValidation>
    <dataValidation type="list" allowBlank="1" showInputMessage="1" showErrorMessage="1" sqref="O2:O6" xr:uid="{00000000-0002-0000-0C00-000001000000}">
      <formula1>Holding_interest</formula1>
    </dataValidation>
    <dataValidation type="list" allowBlank="1" showInputMessage="1" showErrorMessage="1" sqref="U2:U6" xr:uid="{00000000-0002-0000-0C00-000002000000}">
      <formula1>What_is_rated</formula1>
    </dataValidation>
    <dataValidation type="list" allowBlank="1" showInputMessage="1" showErrorMessage="1" sqref="T2:T6" xr:uid="{00000000-0002-0000-0C00-000003000000}">
      <formula1>Rating_Agency</formula1>
    </dataValidation>
    <dataValidation type="list" allowBlank="1" showInputMessage="1" showErrorMessage="1" sqref="K2:K6" xr:uid="{00000000-0002-0000-0C00-000004000000}">
      <formula1>Country_list</formula1>
    </dataValidation>
    <dataValidation type="list" allowBlank="1" showInputMessage="1" showErrorMessage="1" sqref="E2:E6" xr:uid="{00000000-0002-0000-0C00-000005000000}">
      <formula1>Issuer_Type_TFunds</formula1>
    </dataValidation>
    <dataValidation type="list" allowBlank="1" showInputMessage="1" showErrorMessage="1" sqref="N2:N6" xr:uid="{00000000-0002-0000-0C00-000006000000}">
      <formula1>Underlying_Asset_Structured</formula1>
    </dataValidation>
    <dataValidation type="list" allowBlank="1" showInputMessage="1" showErrorMessage="1" sqref="H2:H6" xr:uid="{00000000-0002-0000-0C00-000007000000}">
      <formula1>Security_ID_Number_Type</formula1>
    </dataValidation>
    <dataValidation type="list" allowBlank="1" showInputMessage="1" showErrorMessage="1" sqref="L2:L6" xr:uid="{00000000-0002-0000-0C00-000008000000}">
      <formula1>Tradeable_Status</formula1>
    </dataValidation>
    <dataValidation type="list" allowBlank="1" showInputMessage="1" showErrorMessage="1" sqref="M2:M6" xr:uid="{00000000-0002-0000-0C00-000009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A000000}">
          <x14:formula1>
            <xm:f>'אפשרויות בחירה'!$C$906:$C$911</xm:f>
          </x14:formula1>
          <xm:sqref>I2:I6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5"/>
  <dimension ref="A1:Y1"/>
  <sheetViews>
    <sheetView rightToLeft="1" zoomScale="70" zoomScaleNormal="70" workbookViewId="0">
      <selection activeCell="A2" sqref="A2"/>
    </sheetView>
  </sheetViews>
  <sheetFormatPr defaultColWidth="0" defaultRowHeight="14.25" zeroHeight="1"/>
  <cols>
    <col min="1" max="25" width="11.625" customWidth="1"/>
    <col min="26" max="27" width="0" hidden="1" customWidth="1"/>
  </cols>
  <sheetData>
    <row r="1" spans="1:25" ht="66.75" customHeight="1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169</v>
      </c>
      <c r="G1" s="12" t="s">
        <v>5</v>
      </c>
      <c r="H1" s="12" t="s">
        <v>6</v>
      </c>
      <c r="I1" s="12" t="s">
        <v>7</v>
      </c>
      <c r="J1" s="12" t="s">
        <v>178</v>
      </c>
      <c r="K1" s="12" t="s">
        <v>9</v>
      </c>
      <c r="L1" s="12" t="s">
        <v>10</v>
      </c>
      <c r="M1" s="12" t="s">
        <v>11</v>
      </c>
      <c r="N1" s="12" t="s">
        <v>12</v>
      </c>
      <c r="O1" s="12" t="s">
        <v>13</v>
      </c>
      <c r="P1" s="119" t="s">
        <v>14</v>
      </c>
      <c r="Q1" s="12" t="s">
        <v>15</v>
      </c>
      <c r="R1" s="12" t="s">
        <v>17</v>
      </c>
      <c r="S1" s="12" t="s">
        <v>18</v>
      </c>
      <c r="T1" s="12" t="s">
        <v>19</v>
      </c>
      <c r="U1" s="12" t="s">
        <v>20</v>
      </c>
      <c r="V1" s="12" t="s">
        <v>21</v>
      </c>
      <c r="W1" s="12" t="s">
        <v>22</v>
      </c>
      <c r="X1" s="12" t="s">
        <v>24</v>
      </c>
      <c r="Y1" s="12" t="s">
        <v>25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  <pageSetup paperSize="9" orientation="portrait" verticalDpi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6"/>
  <dimension ref="A1:S1"/>
  <sheetViews>
    <sheetView rightToLeft="1" zoomScale="70" zoomScaleNormal="70" workbookViewId="0"/>
  </sheetViews>
  <sheetFormatPr defaultColWidth="0" defaultRowHeight="14.25" zeroHeight="1"/>
  <cols>
    <col min="1" max="18" width="11.625" customWidth="1"/>
    <col min="19" max="19" width="11.625" hidden="1" customWidth="1"/>
  </cols>
  <sheetData>
    <row r="1" spans="1:18" ht="66.75" customHeight="1">
      <c r="A1" s="12" t="s">
        <v>0</v>
      </c>
      <c r="B1" s="12" t="s">
        <v>1</v>
      </c>
      <c r="C1" s="12" t="s">
        <v>5</v>
      </c>
      <c r="D1" s="12" t="s">
        <v>3</v>
      </c>
      <c r="E1" s="12" t="s">
        <v>4</v>
      </c>
      <c r="F1" s="12" t="s">
        <v>178</v>
      </c>
      <c r="G1" s="12" t="s">
        <v>12</v>
      </c>
      <c r="H1" s="12" t="s">
        <v>786</v>
      </c>
      <c r="I1" s="12" t="s">
        <v>13</v>
      </c>
      <c r="J1" s="119" t="s">
        <v>14</v>
      </c>
      <c r="K1" s="12" t="s">
        <v>15</v>
      </c>
      <c r="L1" s="12" t="s">
        <v>17</v>
      </c>
      <c r="M1" s="12" t="s">
        <v>19</v>
      </c>
      <c r="N1" s="12" t="s">
        <v>20</v>
      </c>
      <c r="O1" s="12" t="s">
        <v>21</v>
      </c>
      <c r="P1" s="12" t="s">
        <v>22</v>
      </c>
      <c r="Q1" s="12" t="s">
        <v>24</v>
      </c>
      <c r="R1" s="12" t="s">
        <v>25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/>
    </customSheetView>
  </customSheetViews>
  <pageMargins left="0.7" right="0.7" top="0.75" bottom="0.75" header="0.3" footer="0.3"/>
  <pageSetup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2"/>
  <dimension ref="A1:H1"/>
  <sheetViews>
    <sheetView rightToLeft="1" zoomScale="70" zoomScaleNormal="70" workbookViewId="0"/>
  </sheetViews>
  <sheetFormatPr defaultColWidth="0" defaultRowHeight="14.25" zeroHeight="1"/>
  <cols>
    <col min="1" max="7" width="11.625" customWidth="1"/>
    <col min="8" max="8" width="11.625" hidden="1" customWidth="1"/>
  </cols>
  <sheetData>
    <row r="1" spans="1:7" ht="66.75" customHeight="1">
      <c r="A1" s="12" t="s">
        <v>1145</v>
      </c>
      <c r="B1" s="12" t="s">
        <v>1</v>
      </c>
      <c r="C1" s="12" t="s">
        <v>5</v>
      </c>
      <c r="D1" s="12" t="s">
        <v>1146</v>
      </c>
      <c r="E1" s="12" t="s">
        <v>1147</v>
      </c>
      <c r="F1" s="12" t="s">
        <v>1148</v>
      </c>
      <c r="G1" s="12" t="s">
        <v>25</v>
      </c>
    </row>
  </sheetData>
  <sheetProtection formatColumns="0"/>
  <pageMargins left="0.7" right="0.7" top="0.75" bottom="0.75" header="0.3" footer="0.3"/>
  <pageSetup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/>
  <dimension ref="A1:AN5"/>
  <sheetViews>
    <sheetView rightToLeft="1" zoomScale="70" zoomScaleNormal="70" workbookViewId="0"/>
  </sheetViews>
  <sheetFormatPr defaultColWidth="0" defaultRowHeight="14.25" zeroHeight="1"/>
  <cols>
    <col min="1" max="40" width="11.625" customWidth="1"/>
  </cols>
  <sheetData>
    <row r="1" spans="1:40" ht="66.75" customHeight="1">
      <c r="A1" s="12" t="s">
        <v>0</v>
      </c>
      <c r="B1" s="12" t="s">
        <v>1</v>
      </c>
      <c r="C1" s="12" t="s">
        <v>2</v>
      </c>
      <c r="D1" s="12" t="s">
        <v>167</v>
      </c>
      <c r="E1" s="12" t="s">
        <v>168</v>
      </c>
      <c r="F1" s="12" t="s">
        <v>3</v>
      </c>
      <c r="G1" s="12" t="s">
        <v>4</v>
      </c>
      <c r="H1" s="12" t="s">
        <v>169</v>
      </c>
      <c r="I1" s="12" t="s">
        <v>5</v>
      </c>
      <c r="J1" s="12" t="s">
        <v>6</v>
      </c>
      <c r="K1" s="12" t="s">
        <v>7</v>
      </c>
      <c r="L1" s="12" t="s">
        <v>170</v>
      </c>
      <c r="M1" s="12" t="s">
        <v>146</v>
      </c>
      <c r="N1" s="153" t="s">
        <v>178</v>
      </c>
      <c r="O1" s="12" t="s">
        <v>9</v>
      </c>
      <c r="P1" s="12" t="s">
        <v>10</v>
      </c>
      <c r="Q1" s="12" t="s">
        <v>203</v>
      </c>
      <c r="R1" s="12" t="s">
        <v>11</v>
      </c>
      <c r="S1" s="12" t="s">
        <v>12</v>
      </c>
      <c r="T1" s="12" t="s">
        <v>786</v>
      </c>
      <c r="U1" s="12" t="s">
        <v>940</v>
      </c>
      <c r="V1" s="12" t="s">
        <v>13</v>
      </c>
      <c r="W1" s="137" t="s">
        <v>14</v>
      </c>
      <c r="X1" s="137" t="s">
        <v>15</v>
      </c>
      <c r="Y1" s="12" t="s">
        <v>443</v>
      </c>
      <c r="Z1" s="12" t="s">
        <v>864</v>
      </c>
      <c r="AA1" s="12" t="s">
        <v>171</v>
      </c>
      <c r="AB1" s="12" t="s">
        <v>172</v>
      </c>
      <c r="AC1" s="12" t="s">
        <v>184</v>
      </c>
      <c r="AD1" s="153" t="s">
        <v>155</v>
      </c>
      <c r="AE1" s="153" t="s">
        <v>173</v>
      </c>
      <c r="AF1" s="12" t="s">
        <v>17</v>
      </c>
      <c r="AG1" s="131" t="s">
        <v>18</v>
      </c>
      <c r="AH1" s="142" t="s">
        <v>19</v>
      </c>
      <c r="AI1" s="12" t="s">
        <v>20</v>
      </c>
      <c r="AJ1" s="12" t="s">
        <v>21</v>
      </c>
      <c r="AK1" s="12" t="s">
        <v>186</v>
      </c>
      <c r="AL1" s="12" t="s">
        <v>22</v>
      </c>
      <c r="AM1" s="137" t="s">
        <v>24</v>
      </c>
      <c r="AN1" s="137" t="s">
        <v>25</v>
      </c>
    </row>
    <row r="2" spans="1:40">
      <c r="A2" s="18">
        <v>161</v>
      </c>
      <c r="B2" s="13">
        <v>1434</v>
      </c>
      <c r="C2" s="13" t="s">
        <v>1622</v>
      </c>
      <c r="D2" s="13" t="s">
        <v>1623</v>
      </c>
      <c r="E2" s="11" t="s">
        <v>1351</v>
      </c>
      <c r="F2" s="13" t="s">
        <v>3087</v>
      </c>
      <c r="G2" s="13" t="s">
        <v>3088</v>
      </c>
      <c r="H2" s="11" t="s">
        <v>209</v>
      </c>
      <c r="I2" s="13" t="s">
        <v>789</v>
      </c>
      <c r="J2" s="11" t="s">
        <v>30</v>
      </c>
      <c r="K2" s="11" t="s">
        <v>30</v>
      </c>
      <c r="L2" s="13" t="s">
        <v>477</v>
      </c>
      <c r="M2" s="13" t="s">
        <v>160</v>
      </c>
      <c r="N2" s="154" t="s">
        <v>3089</v>
      </c>
      <c r="O2" s="13" t="s">
        <v>1969</v>
      </c>
      <c r="P2" s="13" t="s">
        <v>446</v>
      </c>
      <c r="Q2" s="13" t="s">
        <v>440</v>
      </c>
      <c r="R2" s="11" t="s">
        <v>90</v>
      </c>
      <c r="S2" s="125">
        <v>0.3</v>
      </c>
      <c r="T2" s="13" t="s">
        <v>790</v>
      </c>
      <c r="U2" s="13" t="s">
        <v>947</v>
      </c>
      <c r="V2" s="13" t="s">
        <v>3090</v>
      </c>
      <c r="W2" s="146">
        <v>5.3262999999999998E-2</v>
      </c>
      <c r="X2" s="146">
        <v>4.8399999999999999E-2</v>
      </c>
      <c r="Y2" s="11" t="s">
        <v>445</v>
      </c>
      <c r="Z2" s="13" t="s">
        <v>160</v>
      </c>
      <c r="AA2" s="13" t="s">
        <v>926</v>
      </c>
      <c r="AB2" s="13" t="s">
        <v>2984</v>
      </c>
      <c r="AC2" s="13" t="s">
        <v>1358</v>
      </c>
      <c r="AD2" s="154" t="s">
        <v>161</v>
      </c>
      <c r="AE2" s="13"/>
      <c r="AF2" s="125">
        <v>12000</v>
      </c>
      <c r="AG2" s="147">
        <v>3.3719999999999999</v>
      </c>
      <c r="AH2" s="148">
        <v>100.64</v>
      </c>
      <c r="AI2" s="125">
        <v>40.722999999999999</v>
      </c>
      <c r="AK2" s="18"/>
      <c r="AL2" s="13" t="s">
        <v>36</v>
      </c>
      <c r="AM2" s="144">
        <v>1</v>
      </c>
      <c r="AN2" s="144">
        <v>1.8073916585617401E-3</v>
      </c>
    </row>
    <row r="3" spans="1:40">
      <c r="A3" s="13">
        <v>161</v>
      </c>
      <c r="B3" s="13">
        <v>9938</v>
      </c>
      <c r="C3" s="13" t="s">
        <v>1622</v>
      </c>
      <c r="D3" s="13" t="s">
        <v>1623</v>
      </c>
      <c r="E3" s="11" t="s">
        <v>1351</v>
      </c>
      <c r="F3" s="13" t="s">
        <v>3087</v>
      </c>
      <c r="G3" s="13" t="s">
        <v>3088</v>
      </c>
      <c r="H3" s="11" t="s">
        <v>209</v>
      </c>
      <c r="I3" s="13" t="s">
        <v>789</v>
      </c>
      <c r="J3" s="11" t="s">
        <v>30</v>
      </c>
      <c r="K3" s="11" t="s">
        <v>30</v>
      </c>
      <c r="L3" s="13" t="s">
        <v>477</v>
      </c>
      <c r="M3" s="13" t="s">
        <v>160</v>
      </c>
      <c r="N3" s="154" t="s">
        <v>3089</v>
      </c>
      <c r="O3" s="13" t="s">
        <v>1969</v>
      </c>
      <c r="P3" s="13" t="s">
        <v>446</v>
      </c>
      <c r="Q3" s="13" t="s">
        <v>440</v>
      </c>
      <c r="R3" s="11" t="s">
        <v>90</v>
      </c>
      <c r="S3" s="125">
        <v>0.3</v>
      </c>
      <c r="T3" s="13" t="s">
        <v>790</v>
      </c>
      <c r="U3" s="13" t="s">
        <v>947</v>
      </c>
      <c r="V3" s="13" t="s">
        <v>3090</v>
      </c>
      <c r="W3" s="146">
        <v>5.3262999999999998E-2</v>
      </c>
      <c r="X3" s="146">
        <v>4.8399999999999999E-2</v>
      </c>
      <c r="Y3" s="11" t="s">
        <v>445</v>
      </c>
      <c r="Z3" s="11" t="s">
        <v>160</v>
      </c>
      <c r="AA3" s="13" t="s">
        <v>926</v>
      </c>
      <c r="AB3" s="13" t="s">
        <v>2984</v>
      </c>
      <c r="AC3" t="s">
        <v>1358</v>
      </c>
      <c r="AD3" s="155" t="s">
        <v>161</v>
      </c>
      <c r="AF3" s="125">
        <v>30000</v>
      </c>
      <c r="AG3" s="147">
        <v>3.3719999999999999</v>
      </c>
      <c r="AH3" s="148">
        <v>100.64</v>
      </c>
      <c r="AI3" s="125">
        <v>101.807</v>
      </c>
      <c r="AK3" s="13"/>
      <c r="AL3" s="13" t="s">
        <v>36</v>
      </c>
      <c r="AM3" s="144">
        <v>1</v>
      </c>
      <c r="AN3" s="144">
        <v>1.26948973923157E-3</v>
      </c>
    </row>
    <row r="4" spans="1:40">
      <c r="A4" s="13">
        <v>161</v>
      </c>
      <c r="B4" s="13">
        <v>9942</v>
      </c>
      <c r="C4" s="13" t="s">
        <v>1622</v>
      </c>
      <c r="D4" s="13" t="s">
        <v>1623</v>
      </c>
      <c r="E4" s="11" t="s">
        <v>1351</v>
      </c>
      <c r="F4" s="13" t="s">
        <v>3087</v>
      </c>
      <c r="G4" s="13" t="s">
        <v>3088</v>
      </c>
      <c r="H4" s="11" t="s">
        <v>209</v>
      </c>
      <c r="I4" s="13" t="s">
        <v>789</v>
      </c>
      <c r="J4" s="11" t="s">
        <v>30</v>
      </c>
      <c r="K4" s="11" t="s">
        <v>30</v>
      </c>
      <c r="L4" s="13" t="s">
        <v>477</v>
      </c>
      <c r="M4" s="13" t="s">
        <v>160</v>
      </c>
      <c r="N4" s="154" t="s">
        <v>3089</v>
      </c>
      <c r="O4" s="13" t="s">
        <v>1969</v>
      </c>
      <c r="P4" s="13" t="s">
        <v>446</v>
      </c>
      <c r="Q4" s="13" t="s">
        <v>440</v>
      </c>
      <c r="R4" s="11" t="s">
        <v>90</v>
      </c>
      <c r="S4" s="125">
        <v>0.3</v>
      </c>
      <c r="T4" s="13" t="s">
        <v>790</v>
      </c>
      <c r="U4" s="13" t="s">
        <v>947</v>
      </c>
      <c r="V4" s="13" t="s">
        <v>3090</v>
      </c>
      <c r="W4" s="146">
        <v>5.3262999999999998E-2</v>
      </c>
      <c r="X4" s="146">
        <v>4.8399999999999999E-2</v>
      </c>
      <c r="Y4" s="11" t="s">
        <v>445</v>
      </c>
      <c r="Z4" s="11" t="s">
        <v>160</v>
      </c>
      <c r="AA4" s="13" t="s">
        <v>926</v>
      </c>
      <c r="AB4" s="13" t="s">
        <v>2984</v>
      </c>
      <c r="AC4" t="s">
        <v>1358</v>
      </c>
      <c r="AD4" s="154" t="s">
        <v>161</v>
      </c>
      <c r="AE4" s="13"/>
      <c r="AF4" s="125">
        <v>44000</v>
      </c>
      <c r="AG4" s="147">
        <v>3.3719999999999999</v>
      </c>
      <c r="AH4" s="148">
        <v>100.64</v>
      </c>
      <c r="AI4" s="125">
        <v>149.31800000000001</v>
      </c>
      <c r="AK4" s="13"/>
      <c r="AL4" s="13" t="s">
        <v>36</v>
      </c>
      <c r="AM4" s="144">
        <v>1</v>
      </c>
      <c r="AN4" s="144">
        <v>1.5725610594297299E-3</v>
      </c>
    </row>
    <row r="5" spans="1:40">
      <c r="A5" s="13">
        <v>161</v>
      </c>
      <c r="B5" s="13">
        <v>9943</v>
      </c>
      <c r="C5" s="13" t="s">
        <v>1622</v>
      </c>
      <c r="D5" s="13" t="s">
        <v>1623</v>
      </c>
      <c r="E5" s="11" t="s">
        <v>1351</v>
      </c>
      <c r="F5" s="13" t="s">
        <v>3087</v>
      </c>
      <c r="G5" s="13" t="s">
        <v>3088</v>
      </c>
      <c r="H5" s="11" t="s">
        <v>209</v>
      </c>
      <c r="I5" s="13" t="s">
        <v>789</v>
      </c>
      <c r="J5" s="11" t="s">
        <v>30</v>
      </c>
      <c r="K5" s="11" t="s">
        <v>30</v>
      </c>
      <c r="L5" s="13" t="s">
        <v>477</v>
      </c>
      <c r="M5" s="13" t="s">
        <v>160</v>
      </c>
      <c r="N5" s="154" t="s">
        <v>3089</v>
      </c>
      <c r="O5" s="13" t="s">
        <v>1969</v>
      </c>
      <c r="P5" s="13" t="s">
        <v>446</v>
      </c>
      <c r="Q5" s="13" t="s">
        <v>440</v>
      </c>
      <c r="R5" s="11" t="s">
        <v>90</v>
      </c>
      <c r="S5" s="125">
        <v>0.3</v>
      </c>
      <c r="T5" s="13" t="s">
        <v>790</v>
      </c>
      <c r="U5" s="13" t="s">
        <v>947</v>
      </c>
      <c r="V5" s="13" t="s">
        <v>3090</v>
      </c>
      <c r="W5" s="146">
        <v>5.3262999999999998E-2</v>
      </c>
      <c r="X5" s="146">
        <v>4.8399999999999999E-2</v>
      </c>
      <c r="Y5" s="11" t="s">
        <v>445</v>
      </c>
      <c r="Z5" s="11" t="s">
        <v>160</v>
      </c>
      <c r="AA5" s="13" t="s">
        <v>926</v>
      </c>
      <c r="AB5" s="13" t="s">
        <v>2984</v>
      </c>
      <c r="AC5" t="s">
        <v>1358</v>
      </c>
      <c r="AD5" s="154" t="s">
        <v>161</v>
      </c>
      <c r="AE5" s="13"/>
      <c r="AF5" s="125">
        <v>191000</v>
      </c>
      <c r="AG5" s="147">
        <v>3.3719999999999999</v>
      </c>
      <c r="AH5" s="148">
        <v>100.64</v>
      </c>
      <c r="AI5" s="125">
        <v>648.17399999999998</v>
      </c>
      <c r="AK5" s="13"/>
      <c r="AL5" s="13" t="s">
        <v>36</v>
      </c>
      <c r="AM5" s="144">
        <v>1</v>
      </c>
      <c r="AN5" s="144">
        <v>3.4373666143783802E-4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6">
    <dataValidation type="list" allowBlank="1" showInputMessage="1" showErrorMessage="1" sqref="J2:J5" xr:uid="{00000000-0002-0000-1000-000000000000}">
      <formula1>israel_abroad</formula1>
    </dataValidation>
    <dataValidation type="list" allowBlank="1" showInputMessage="1" showErrorMessage="1" sqref="Q2:Q5" xr:uid="{00000000-0002-0000-1000-000001000000}">
      <formula1>What_is_rated</formula1>
    </dataValidation>
    <dataValidation type="list" allowBlank="1" showInputMessage="1" showErrorMessage="1" sqref="P2:P5" xr:uid="{00000000-0002-0000-1000-000002000000}">
      <formula1>Rating_Agency</formula1>
    </dataValidation>
    <dataValidation type="list" allowBlank="1" showInputMessage="1" showErrorMessage="1" sqref="M2:M5" xr:uid="{00000000-0002-0000-1000-000003000000}">
      <formula1>Holding_interest</formula1>
    </dataValidation>
    <dataValidation type="list" allowBlank="1" showInputMessage="1" showErrorMessage="1" sqref="K2:K5" xr:uid="{00000000-0002-0000-1000-000004000000}">
      <formula1>Country_list</formula1>
    </dataValidation>
    <dataValidation type="list" allowBlank="1" showInputMessage="1" showErrorMessage="1" sqref="AF3 AA2:AA5" xr:uid="{00000000-0002-0000-1000-000005000000}">
      <formula1>Valuation</formula1>
    </dataValidation>
    <dataValidation type="list" allowBlank="1" showInputMessage="1" showErrorMessage="1" sqref="AB2:AB5" xr:uid="{00000000-0002-0000-1000-000006000000}">
      <formula1>Dependence_Independence</formula1>
    </dataValidation>
    <dataValidation type="list" allowBlank="1" showInputMessage="1" showErrorMessage="1" sqref="U2:U5" xr:uid="{00000000-0002-0000-1000-000007000000}">
      <formula1>Underlying_Interest_Rates</formula1>
    </dataValidation>
    <dataValidation type="list" allowBlank="1" showInputMessage="1" showErrorMessage="1" sqref="T2:T5" xr:uid="{00000000-0002-0000-1000-000008000000}">
      <formula1>Linked_Type</formula1>
    </dataValidation>
    <dataValidation type="list" allowBlank="1" showInputMessage="1" showErrorMessage="1" sqref="Z2:Z5" xr:uid="{00000000-0002-0000-1000-000009000000}">
      <formula1>Yes_No_Bad_Debt</formula1>
    </dataValidation>
    <dataValidation type="list" allowBlank="1" showInputMessage="1" showErrorMessage="1" sqref="E3:E5" xr:uid="{00000000-0002-0000-1000-00000A000000}">
      <formula1>Issuer_Number_Type_2</formula1>
    </dataValidation>
    <dataValidation type="list" allowBlank="1" showInputMessage="1" showErrorMessage="1" sqref="H2:H5" xr:uid="{00000000-0002-0000-1000-00000B000000}">
      <formula1>Type_of_Security_ID_Fund</formula1>
    </dataValidation>
    <dataValidation type="list" allowBlank="1" showInputMessage="1" showErrorMessage="1" sqref="E2" xr:uid="{00000000-0002-0000-1000-00000C000000}">
      <formula1>Issuer_Number_Type_3</formula1>
    </dataValidation>
    <dataValidation type="list" allowBlank="1" showInputMessage="1" showErrorMessage="1" sqref="Y2:Y5" xr:uid="{00000000-0002-0000-1000-00000D000000}">
      <formula1>Subordination_Risk</formula1>
    </dataValidation>
    <dataValidation type="list" allowBlank="1" showInputMessage="1" showErrorMessage="1" sqref="AL2:AL5" xr:uid="{00000000-0002-0000-1000-00000E000000}">
      <formula1>In_the_books</formula1>
    </dataValidation>
    <dataValidation type="list" allowBlank="1" showInputMessage="1" showErrorMessage="1" sqref="L2:L5" xr:uid="{00000000-0002-0000-1000-00000F000000}">
      <formula1>Industry_Sector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10000000}">
          <x14:formula1>
            <xm:f>'אפשרויות בחירה'!$C$870:$C$873</xm:f>
          </x14:formula1>
          <xm:sqref>I2:I5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/>
  <dimension ref="A1:AL62"/>
  <sheetViews>
    <sheetView rightToLeft="1" topLeftCell="P1" zoomScale="80" zoomScaleNormal="80" workbookViewId="0">
      <selection activeCell="P1" sqref="P1"/>
    </sheetView>
  </sheetViews>
  <sheetFormatPr defaultColWidth="0" defaultRowHeight="14.25" zeroHeight="1"/>
  <cols>
    <col min="1" max="29" width="11.625" customWidth="1"/>
    <col min="30" max="30" width="12.5" bestFit="1" customWidth="1"/>
    <col min="31" max="38" width="11.625" customWidth="1"/>
  </cols>
  <sheetData>
    <row r="1" spans="1:38" ht="66.75" customHeight="1">
      <c r="A1" s="12" t="s">
        <v>0</v>
      </c>
      <c r="B1" s="12" t="s">
        <v>1</v>
      </c>
      <c r="C1" s="12" t="s">
        <v>2</v>
      </c>
      <c r="D1" s="12" t="s">
        <v>167</v>
      </c>
      <c r="E1" s="12" t="s">
        <v>168</v>
      </c>
      <c r="F1" s="12" t="s">
        <v>3</v>
      </c>
      <c r="G1" s="12" t="s">
        <v>4</v>
      </c>
      <c r="H1" s="12" t="s">
        <v>169</v>
      </c>
      <c r="I1" s="12" t="s">
        <v>5</v>
      </c>
      <c r="J1" s="12" t="s">
        <v>6</v>
      </c>
      <c r="K1" s="12" t="s">
        <v>7</v>
      </c>
      <c r="L1" s="12" t="s">
        <v>360</v>
      </c>
      <c r="M1" s="12" t="s">
        <v>170</v>
      </c>
      <c r="N1" s="12" t="s">
        <v>146</v>
      </c>
      <c r="O1" s="153" t="s">
        <v>178</v>
      </c>
      <c r="P1" s="12" t="s">
        <v>9</v>
      </c>
      <c r="Q1" s="12" t="s">
        <v>10</v>
      </c>
      <c r="R1" s="12" t="s">
        <v>203</v>
      </c>
      <c r="S1" s="12" t="s">
        <v>11</v>
      </c>
      <c r="T1" s="12" t="s">
        <v>12</v>
      </c>
      <c r="U1" s="12" t="s">
        <v>13</v>
      </c>
      <c r="V1" s="137" t="s">
        <v>15</v>
      </c>
      <c r="W1" s="137" t="s">
        <v>14</v>
      </c>
      <c r="X1" s="12" t="s">
        <v>443</v>
      </c>
      <c r="Y1" s="12" t="s">
        <v>864</v>
      </c>
      <c r="Z1" s="12" t="s">
        <v>171</v>
      </c>
      <c r="AA1" s="12" t="s">
        <v>172</v>
      </c>
      <c r="AB1" s="153" t="s">
        <v>155</v>
      </c>
      <c r="AC1" s="153" t="s">
        <v>173</v>
      </c>
      <c r="AD1" s="12" t="s">
        <v>17</v>
      </c>
      <c r="AE1" s="131" t="s">
        <v>18</v>
      </c>
      <c r="AF1" s="142" t="s">
        <v>19</v>
      </c>
      <c r="AG1" s="12" t="s">
        <v>20</v>
      </c>
      <c r="AH1" s="12" t="s">
        <v>21</v>
      </c>
      <c r="AI1" s="12" t="s">
        <v>186</v>
      </c>
      <c r="AJ1" s="12" t="s">
        <v>22</v>
      </c>
      <c r="AK1" s="137" t="s">
        <v>24</v>
      </c>
      <c r="AL1" s="137" t="s">
        <v>25</v>
      </c>
    </row>
    <row r="2" spans="1:38">
      <c r="A2" s="2">
        <v>161</v>
      </c>
      <c r="B2" s="13">
        <v>1434</v>
      </c>
      <c r="C2" s="13" t="s">
        <v>2979</v>
      </c>
      <c r="D2" s="13" t="s">
        <v>2980</v>
      </c>
      <c r="E2" s="11" t="s">
        <v>1351</v>
      </c>
      <c r="F2" s="13" t="s">
        <v>2981</v>
      </c>
      <c r="G2" s="13" t="s">
        <v>2982</v>
      </c>
      <c r="H2" s="13" t="s">
        <v>209</v>
      </c>
      <c r="I2" s="13" t="s">
        <v>788</v>
      </c>
      <c r="J2" s="11" t="s">
        <v>30</v>
      </c>
      <c r="K2" s="11" t="s">
        <v>30</v>
      </c>
      <c r="L2" s="13" t="s">
        <v>362</v>
      </c>
      <c r="M2" s="13" t="s">
        <v>495</v>
      </c>
      <c r="N2" s="13" t="s">
        <v>160</v>
      </c>
      <c r="O2" s="154" t="s">
        <v>2983</v>
      </c>
      <c r="P2" s="13" t="s">
        <v>1965</v>
      </c>
      <c r="Q2" s="13" t="s">
        <v>446</v>
      </c>
      <c r="R2" s="13" t="s">
        <v>440</v>
      </c>
      <c r="S2" s="11" t="s">
        <v>34</v>
      </c>
      <c r="T2" s="125">
        <v>3.16</v>
      </c>
      <c r="U2" s="13" t="s">
        <v>2349</v>
      </c>
      <c r="V2" s="146">
        <v>3.4000000000000002E-2</v>
      </c>
      <c r="W2" s="138">
        <v>3.8399999999999997E-2</v>
      </c>
      <c r="X2" s="11" t="s">
        <v>445</v>
      </c>
      <c r="Y2" s="11" t="s">
        <v>160</v>
      </c>
      <c r="Z2" s="13" t="s">
        <v>926</v>
      </c>
      <c r="AA2" s="13" t="s">
        <v>2984</v>
      </c>
      <c r="AB2" s="156" t="s">
        <v>161</v>
      </c>
      <c r="AC2" s="154" t="s">
        <v>161</v>
      </c>
      <c r="AD2" s="125">
        <v>83000</v>
      </c>
      <c r="AE2" s="147">
        <v>1</v>
      </c>
      <c r="AF2" s="148">
        <v>104.58</v>
      </c>
      <c r="AG2" s="125">
        <v>86.801000000000002</v>
      </c>
      <c r="AH2" s="13"/>
      <c r="AI2" s="18"/>
      <c r="AJ2" s="13" t="s">
        <v>36</v>
      </c>
      <c r="AK2" s="138">
        <v>0.174634276838179</v>
      </c>
      <c r="AL2" s="138">
        <v>3.8524726426503301E-3</v>
      </c>
    </row>
    <row r="3" spans="1:38">
      <c r="A3" s="13">
        <v>161</v>
      </c>
      <c r="B3" s="13">
        <v>1434</v>
      </c>
      <c r="C3" s="13" t="s">
        <v>2985</v>
      </c>
      <c r="D3" s="13" t="s">
        <v>2986</v>
      </c>
      <c r="E3" s="11" t="s">
        <v>348</v>
      </c>
      <c r="F3" s="13" t="s">
        <v>2987</v>
      </c>
      <c r="G3" s="13" t="s">
        <v>2988</v>
      </c>
      <c r="H3" s="13" t="s">
        <v>209</v>
      </c>
      <c r="I3" s="13" t="s">
        <v>998</v>
      </c>
      <c r="J3" s="11" t="s">
        <v>30</v>
      </c>
      <c r="K3" s="11" t="s">
        <v>30</v>
      </c>
      <c r="L3" s="13" t="s">
        <v>362</v>
      </c>
      <c r="M3" s="13" t="s">
        <v>482</v>
      </c>
      <c r="N3" s="13" t="s">
        <v>160</v>
      </c>
      <c r="O3" s="154" t="s">
        <v>2989</v>
      </c>
      <c r="P3" s="13" t="s">
        <v>1965</v>
      </c>
      <c r="Q3" s="13" t="s">
        <v>446</v>
      </c>
      <c r="R3" s="13" t="s">
        <v>440</v>
      </c>
      <c r="S3" s="11" t="s">
        <v>34</v>
      </c>
      <c r="T3" s="125">
        <v>1.91</v>
      </c>
      <c r="U3" s="13" t="s">
        <v>2349</v>
      </c>
      <c r="V3" s="146">
        <v>5.0999999999999997E-2</v>
      </c>
      <c r="W3" s="138">
        <v>2.86E-2</v>
      </c>
      <c r="X3" s="11" t="s">
        <v>445</v>
      </c>
      <c r="Y3" s="11" t="s">
        <v>160</v>
      </c>
      <c r="Z3" s="13" t="s">
        <v>926</v>
      </c>
      <c r="AA3" s="13" t="s">
        <v>194</v>
      </c>
      <c r="AB3" s="156" t="s">
        <v>161</v>
      </c>
      <c r="AC3" s="154" t="s">
        <v>161</v>
      </c>
      <c r="AD3" s="125">
        <v>15428.58</v>
      </c>
      <c r="AE3" s="147">
        <v>1</v>
      </c>
      <c r="AF3" s="148">
        <v>97.29</v>
      </c>
      <c r="AG3" s="125">
        <v>15.01</v>
      </c>
      <c r="AH3" s="13"/>
      <c r="AI3" s="13"/>
      <c r="AJ3" s="13" t="s">
        <v>36</v>
      </c>
      <c r="AK3" s="138">
        <v>3.01993030579406E-2</v>
      </c>
      <c r="AL3" s="138">
        <v>6.6620362831535003E-4</v>
      </c>
    </row>
    <row r="4" spans="1:38">
      <c r="A4" s="13">
        <v>161</v>
      </c>
      <c r="B4" s="13">
        <v>1434</v>
      </c>
      <c r="C4" s="13" t="s">
        <v>2990</v>
      </c>
      <c r="D4" s="13" t="s">
        <v>2991</v>
      </c>
      <c r="E4" s="11" t="s">
        <v>1351</v>
      </c>
      <c r="F4" s="13" t="s">
        <v>2992</v>
      </c>
      <c r="G4" s="13" t="s">
        <v>2993</v>
      </c>
      <c r="H4" s="13" t="s">
        <v>209</v>
      </c>
      <c r="I4" s="13" t="s">
        <v>998</v>
      </c>
      <c r="J4" s="11" t="s">
        <v>30</v>
      </c>
      <c r="K4" s="11" t="s">
        <v>30</v>
      </c>
      <c r="L4" s="13" t="s">
        <v>362</v>
      </c>
      <c r="M4" s="13" t="s">
        <v>482</v>
      </c>
      <c r="N4" s="13" t="s">
        <v>160</v>
      </c>
      <c r="O4" s="156" t="s">
        <v>2994</v>
      </c>
      <c r="P4" s="13" t="s">
        <v>2030</v>
      </c>
      <c r="Q4" s="13" t="s">
        <v>464</v>
      </c>
      <c r="R4" s="13" t="s">
        <v>440</v>
      </c>
      <c r="S4" s="13" t="s">
        <v>34</v>
      </c>
      <c r="T4" s="125">
        <v>1.72</v>
      </c>
      <c r="U4" s="13" t="s">
        <v>2282</v>
      </c>
      <c r="V4" s="146">
        <v>5.21E-2</v>
      </c>
      <c r="W4" s="138">
        <v>4.4699999999999997E-2</v>
      </c>
      <c r="X4" s="11" t="s">
        <v>445</v>
      </c>
      <c r="Y4" s="11" t="s">
        <v>160</v>
      </c>
      <c r="Z4" s="13" t="s">
        <v>926</v>
      </c>
      <c r="AA4" s="13" t="s">
        <v>2984</v>
      </c>
      <c r="AB4" s="156" t="s">
        <v>161</v>
      </c>
      <c r="AC4" s="156" t="s">
        <v>161</v>
      </c>
      <c r="AD4" s="123">
        <v>48432.15</v>
      </c>
      <c r="AE4" s="147">
        <v>1</v>
      </c>
      <c r="AF4" s="148">
        <v>98.87</v>
      </c>
      <c r="AG4" s="125">
        <v>47.884999999999998</v>
      </c>
      <c r="AH4" s="13"/>
      <c r="AI4" s="13"/>
      <c r="AJ4" s="13" t="s">
        <v>36</v>
      </c>
      <c r="AK4" s="138">
        <v>9.6338757998376601E-2</v>
      </c>
      <c r="AL4" s="138">
        <v>2.1252553412499102E-3</v>
      </c>
    </row>
    <row r="5" spans="1:38">
      <c r="A5" s="13">
        <v>161</v>
      </c>
      <c r="B5" s="13">
        <v>1434</v>
      </c>
      <c r="C5" s="13" t="s">
        <v>2995</v>
      </c>
      <c r="D5" s="13" t="s">
        <v>2996</v>
      </c>
      <c r="E5" s="11" t="s">
        <v>1351</v>
      </c>
      <c r="F5" s="13" t="s">
        <v>2997</v>
      </c>
      <c r="G5" s="13" t="s">
        <v>2998</v>
      </c>
      <c r="H5" s="13" t="s">
        <v>209</v>
      </c>
      <c r="I5" s="13" t="s">
        <v>998</v>
      </c>
      <c r="J5" s="11" t="s">
        <v>30</v>
      </c>
      <c r="K5" s="11" t="s">
        <v>30</v>
      </c>
      <c r="L5" s="13" t="s">
        <v>362</v>
      </c>
      <c r="M5" s="13" t="s">
        <v>482</v>
      </c>
      <c r="N5" s="13" t="s">
        <v>160</v>
      </c>
      <c r="O5" s="154" t="s">
        <v>2999</v>
      </c>
      <c r="P5" s="13" t="s">
        <v>2108</v>
      </c>
      <c r="Q5" s="13" t="s">
        <v>448</v>
      </c>
      <c r="R5" s="13" t="s">
        <v>440</v>
      </c>
      <c r="S5" s="11" t="s">
        <v>34</v>
      </c>
      <c r="T5" s="125">
        <v>1.59</v>
      </c>
      <c r="U5" s="13" t="s">
        <v>3000</v>
      </c>
      <c r="V5" s="146">
        <v>4.7500000000000001E-2</v>
      </c>
      <c r="W5" s="138">
        <v>2.1000000000000001E-2</v>
      </c>
      <c r="X5" s="11" t="s">
        <v>445</v>
      </c>
      <c r="Y5" s="11" t="s">
        <v>160</v>
      </c>
      <c r="Z5" s="13" t="s">
        <v>926</v>
      </c>
      <c r="AA5" s="13" t="s">
        <v>2984</v>
      </c>
      <c r="AB5" s="156" t="s">
        <v>161</v>
      </c>
      <c r="AC5" s="154" t="s">
        <v>161</v>
      </c>
      <c r="AD5" s="125">
        <v>17142.88</v>
      </c>
      <c r="AE5" s="147">
        <v>1</v>
      </c>
      <c r="AF5" s="148">
        <v>96.74</v>
      </c>
      <c r="AG5" s="123">
        <v>16.584</v>
      </c>
      <c r="AH5" s="2"/>
      <c r="AI5" s="2"/>
      <c r="AJ5" s="13" t="s">
        <v>36</v>
      </c>
      <c r="AK5" s="138">
        <v>3.3365115177837003E-2</v>
      </c>
      <c r="AL5" s="138">
        <v>7.3604217779422998E-4</v>
      </c>
    </row>
    <row r="6" spans="1:38">
      <c r="A6" s="13">
        <v>161</v>
      </c>
      <c r="B6" s="13">
        <v>1434</v>
      </c>
      <c r="C6" s="13" t="s">
        <v>3001</v>
      </c>
      <c r="D6" s="13" t="s">
        <v>3002</v>
      </c>
      <c r="E6" s="11" t="s">
        <v>1351</v>
      </c>
      <c r="F6" s="13" t="s">
        <v>3003</v>
      </c>
      <c r="G6" s="13" t="s">
        <v>3004</v>
      </c>
      <c r="H6" s="13" t="s">
        <v>209</v>
      </c>
      <c r="I6" s="13" t="s">
        <v>788</v>
      </c>
      <c r="J6" s="11" t="s">
        <v>30</v>
      </c>
      <c r="K6" s="11" t="s">
        <v>30</v>
      </c>
      <c r="L6" s="13" t="s">
        <v>362</v>
      </c>
      <c r="M6" s="13" t="s">
        <v>510</v>
      </c>
      <c r="N6" s="13" t="s">
        <v>160</v>
      </c>
      <c r="O6" s="154" t="s">
        <v>3005</v>
      </c>
      <c r="P6" s="13" t="s">
        <v>2008</v>
      </c>
      <c r="Q6" s="13" t="s">
        <v>448</v>
      </c>
      <c r="R6" s="13" t="s">
        <v>440</v>
      </c>
      <c r="S6" s="11" t="s">
        <v>34</v>
      </c>
      <c r="T6" s="125">
        <v>3.48</v>
      </c>
      <c r="U6" s="13" t="s">
        <v>2482</v>
      </c>
      <c r="V6" s="146">
        <v>3.7400000000000003E-2</v>
      </c>
      <c r="W6" s="138">
        <v>4.4499999999999998E-2</v>
      </c>
      <c r="X6" s="11" t="s">
        <v>445</v>
      </c>
      <c r="Y6" s="11" t="s">
        <v>160</v>
      </c>
      <c r="Z6" s="13" t="s">
        <v>926</v>
      </c>
      <c r="AA6" s="13" t="s">
        <v>194</v>
      </c>
      <c r="AB6" s="156" t="s">
        <v>161</v>
      </c>
      <c r="AC6" s="154" t="s">
        <v>161</v>
      </c>
      <c r="AD6" s="125">
        <v>81000</v>
      </c>
      <c r="AE6" s="147">
        <v>1</v>
      </c>
      <c r="AF6" s="148">
        <v>105.72</v>
      </c>
      <c r="AG6" s="123">
        <v>85.632999999999996</v>
      </c>
      <c r="AH6" s="2"/>
      <c r="AI6" s="2"/>
      <c r="AJ6" s="13" t="s">
        <v>36</v>
      </c>
      <c r="AK6" s="138">
        <v>0.172283994904912</v>
      </c>
      <c r="AL6" s="138">
        <v>3.80062487820017E-3</v>
      </c>
    </row>
    <row r="7" spans="1:38">
      <c r="A7" s="13">
        <v>161</v>
      </c>
      <c r="B7" s="13">
        <v>1434</v>
      </c>
      <c r="C7" s="13" t="s">
        <v>3006</v>
      </c>
      <c r="D7" s="13" t="s">
        <v>3007</v>
      </c>
      <c r="E7" s="11" t="s">
        <v>1351</v>
      </c>
      <c r="F7" s="13" t="s">
        <v>3008</v>
      </c>
      <c r="G7" s="13" t="s">
        <v>3009</v>
      </c>
      <c r="H7" s="13" t="s">
        <v>209</v>
      </c>
      <c r="I7" s="13" t="s">
        <v>998</v>
      </c>
      <c r="J7" s="11" t="s">
        <v>30</v>
      </c>
      <c r="K7" s="11" t="s">
        <v>30</v>
      </c>
      <c r="L7" s="13" t="s">
        <v>362</v>
      </c>
      <c r="M7" s="13" t="s">
        <v>495</v>
      </c>
      <c r="N7" s="13" t="s">
        <v>160</v>
      </c>
      <c r="O7" s="154" t="s">
        <v>3010</v>
      </c>
      <c r="P7" s="13" t="s">
        <v>1355</v>
      </c>
      <c r="Q7" s="13" t="s">
        <v>448</v>
      </c>
      <c r="R7" s="13" t="s">
        <v>440</v>
      </c>
      <c r="S7" s="11" t="s">
        <v>34</v>
      </c>
      <c r="T7" s="125">
        <v>1.46</v>
      </c>
      <c r="U7" s="13" t="s">
        <v>2282</v>
      </c>
      <c r="V7" s="146">
        <v>4.6300000000000001E-2</v>
      </c>
      <c r="W7" s="138">
        <v>3.1E-2</v>
      </c>
      <c r="X7" s="11" t="s">
        <v>445</v>
      </c>
      <c r="Y7" s="11" t="s">
        <v>160</v>
      </c>
      <c r="Z7" s="13" t="s">
        <v>926</v>
      </c>
      <c r="AA7" s="13" t="s">
        <v>2984</v>
      </c>
      <c r="AB7" s="156" t="s">
        <v>161</v>
      </c>
      <c r="AC7" s="154" t="s">
        <v>161</v>
      </c>
      <c r="AD7" s="125">
        <v>30178.09</v>
      </c>
      <c r="AE7" s="147">
        <v>1</v>
      </c>
      <c r="AF7" s="148">
        <v>97.91</v>
      </c>
      <c r="AG7" s="125">
        <v>29.547000000000001</v>
      </c>
      <c r="AH7" s="13"/>
      <c r="AI7" s="13"/>
      <c r="AJ7" s="13" t="s">
        <v>36</v>
      </c>
      <c r="AK7" s="138">
        <v>5.9445852590006502E-2</v>
      </c>
      <c r="AL7" s="138">
        <v>1.31138929291776E-3</v>
      </c>
    </row>
    <row r="8" spans="1:38">
      <c r="A8" s="13">
        <v>161</v>
      </c>
      <c r="B8" s="13">
        <v>1434</v>
      </c>
      <c r="C8" s="13" t="s">
        <v>3011</v>
      </c>
      <c r="D8" s="13" t="s">
        <v>3012</v>
      </c>
      <c r="E8" s="11" t="s">
        <v>1351</v>
      </c>
      <c r="F8" s="13" t="s">
        <v>3013</v>
      </c>
      <c r="G8" s="13" t="s">
        <v>3014</v>
      </c>
      <c r="H8" s="13" t="s">
        <v>209</v>
      </c>
      <c r="I8" s="13" t="s">
        <v>998</v>
      </c>
      <c r="J8" s="11" t="s">
        <v>30</v>
      </c>
      <c r="K8" s="11" t="s">
        <v>30</v>
      </c>
      <c r="L8" s="13" t="s">
        <v>362</v>
      </c>
      <c r="M8" s="13" t="s">
        <v>510</v>
      </c>
      <c r="N8" s="13" t="s">
        <v>160</v>
      </c>
      <c r="O8" s="154" t="s">
        <v>3015</v>
      </c>
      <c r="P8" s="13" t="s">
        <v>1355</v>
      </c>
      <c r="Q8" s="13" t="s">
        <v>448</v>
      </c>
      <c r="R8" s="13" t="s">
        <v>440</v>
      </c>
      <c r="S8" s="11" t="s">
        <v>34</v>
      </c>
      <c r="T8" s="125">
        <v>0.46</v>
      </c>
      <c r="U8" s="13" t="s">
        <v>3016</v>
      </c>
      <c r="V8" s="146">
        <v>5.1999999999999998E-2</v>
      </c>
      <c r="W8" s="138">
        <v>6.5000000000000002E-2</v>
      </c>
      <c r="X8" s="11" t="s">
        <v>445</v>
      </c>
      <c r="Y8" s="11" t="s">
        <v>160</v>
      </c>
      <c r="Z8" s="13" t="s">
        <v>926</v>
      </c>
      <c r="AA8" s="13" t="s">
        <v>194</v>
      </c>
      <c r="AB8" s="156" t="s">
        <v>161</v>
      </c>
      <c r="AC8" s="154" t="s">
        <v>161</v>
      </c>
      <c r="AD8" s="125">
        <v>7556.51</v>
      </c>
      <c r="AE8" s="147">
        <v>1</v>
      </c>
      <c r="AF8" s="148">
        <v>100.81</v>
      </c>
      <c r="AG8" s="125">
        <v>7.6180000000000003</v>
      </c>
      <c r="AH8" s="13"/>
      <c r="AI8" s="13"/>
      <c r="AJ8" s="13" t="s">
        <v>36</v>
      </c>
      <c r="AK8" s="138">
        <v>1.53259581885841E-2</v>
      </c>
      <c r="AL8" s="138">
        <v>3.38094191546563E-4</v>
      </c>
    </row>
    <row r="9" spans="1:38">
      <c r="A9" s="13">
        <v>161</v>
      </c>
      <c r="B9" s="13">
        <v>1434</v>
      </c>
      <c r="C9" s="13" t="s">
        <v>3017</v>
      </c>
      <c r="D9" s="13" t="s">
        <v>3018</v>
      </c>
      <c r="E9" s="11" t="s">
        <v>1351</v>
      </c>
      <c r="F9" s="13" t="s">
        <v>3019</v>
      </c>
      <c r="G9" s="13" t="s">
        <v>3020</v>
      </c>
      <c r="H9" s="13" t="s">
        <v>209</v>
      </c>
      <c r="I9" s="13" t="s">
        <v>788</v>
      </c>
      <c r="J9" s="11" t="s">
        <v>30</v>
      </c>
      <c r="K9" s="11" t="s">
        <v>30</v>
      </c>
      <c r="L9" s="13" t="s">
        <v>362</v>
      </c>
      <c r="M9" s="13" t="s">
        <v>477</v>
      </c>
      <c r="N9" s="13" t="s">
        <v>160</v>
      </c>
      <c r="O9" s="154" t="s">
        <v>3021</v>
      </c>
      <c r="P9" s="13" t="s">
        <v>1199</v>
      </c>
      <c r="Q9" s="13" t="s">
        <v>446</v>
      </c>
      <c r="R9" s="13" t="s">
        <v>440</v>
      </c>
      <c r="S9" s="11" t="s">
        <v>34</v>
      </c>
      <c r="T9" s="125">
        <v>4.38</v>
      </c>
      <c r="U9" s="13" t="s">
        <v>3022</v>
      </c>
      <c r="V9" s="146">
        <v>2.4899999999999999E-2</v>
      </c>
      <c r="W9" s="138">
        <v>2.3217999999999999E-2</v>
      </c>
      <c r="X9" s="11" t="s">
        <v>445</v>
      </c>
      <c r="Y9" s="11" t="s">
        <v>160</v>
      </c>
      <c r="Z9" s="13" t="s">
        <v>926</v>
      </c>
      <c r="AA9" s="13" t="s">
        <v>2984</v>
      </c>
      <c r="AB9" s="156" t="s">
        <v>161</v>
      </c>
      <c r="AC9" s="154" t="s">
        <v>161</v>
      </c>
      <c r="AD9" s="125">
        <v>50736.02</v>
      </c>
      <c r="AE9" s="147">
        <v>1</v>
      </c>
      <c r="AF9" s="148">
        <v>117.69</v>
      </c>
      <c r="AG9" s="125">
        <v>59.710999999999999</v>
      </c>
      <c r="AH9" s="13"/>
      <c r="AI9" s="13"/>
      <c r="AJ9" s="13" t="s">
        <v>36</v>
      </c>
      <c r="AK9" s="138">
        <v>0.120132003196569</v>
      </c>
      <c r="AL9" s="138">
        <v>2.6501398476910199E-3</v>
      </c>
    </row>
    <row r="10" spans="1:38">
      <c r="A10" s="13">
        <v>161</v>
      </c>
      <c r="B10" s="13">
        <v>1434</v>
      </c>
      <c r="C10" s="13" t="s">
        <v>3017</v>
      </c>
      <c r="D10" s="13" t="s">
        <v>3018</v>
      </c>
      <c r="E10" s="11" t="s">
        <v>1351</v>
      </c>
      <c r="F10" s="13" t="s">
        <v>3023</v>
      </c>
      <c r="G10" s="13" t="s">
        <v>3024</v>
      </c>
      <c r="H10" s="13" t="s">
        <v>209</v>
      </c>
      <c r="I10" s="13" t="s">
        <v>998</v>
      </c>
      <c r="J10" s="11" t="s">
        <v>30</v>
      </c>
      <c r="K10" s="11" t="s">
        <v>30</v>
      </c>
      <c r="L10" s="13" t="s">
        <v>362</v>
      </c>
      <c r="M10" s="13" t="s">
        <v>477</v>
      </c>
      <c r="N10" s="13" t="s">
        <v>160</v>
      </c>
      <c r="O10" s="154" t="s">
        <v>3025</v>
      </c>
      <c r="P10" s="13" t="s">
        <v>1199</v>
      </c>
      <c r="Q10" s="13" t="s">
        <v>446</v>
      </c>
      <c r="R10" s="13" t="s">
        <v>440</v>
      </c>
      <c r="S10" s="11" t="s">
        <v>34</v>
      </c>
      <c r="T10" s="125">
        <v>0.7</v>
      </c>
      <c r="U10" s="13" t="s">
        <v>3016</v>
      </c>
      <c r="V10" s="146">
        <v>4.7199999999999999E-2</v>
      </c>
      <c r="W10" s="138">
        <v>2.7119999999999998E-2</v>
      </c>
      <c r="X10" s="11" t="s">
        <v>445</v>
      </c>
      <c r="Y10" s="11" t="s">
        <v>160</v>
      </c>
      <c r="Z10" s="13" t="s">
        <v>926</v>
      </c>
      <c r="AA10" s="13" t="s">
        <v>2984</v>
      </c>
      <c r="AB10" s="156" t="s">
        <v>161</v>
      </c>
      <c r="AC10" s="154" t="s">
        <v>161</v>
      </c>
      <c r="AD10" s="125">
        <v>29949.59</v>
      </c>
      <c r="AE10" s="147">
        <v>1</v>
      </c>
      <c r="AF10" s="148">
        <v>99.24</v>
      </c>
      <c r="AG10" s="125">
        <v>29.722000000000001</v>
      </c>
      <c r="AH10" s="13"/>
      <c r="AI10" s="13"/>
      <c r="AJ10" s="13" t="s">
        <v>36</v>
      </c>
      <c r="AK10" s="138">
        <v>5.97971378493488E-2</v>
      </c>
      <c r="AL10" s="138">
        <v>1.3191387271976999E-3</v>
      </c>
    </row>
    <row r="11" spans="1:38">
      <c r="A11" s="13">
        <v>161</v>
      </c>
      <c r="B11" s="13">
        <v>1434</v>
      </c>
      <c r="C11" s="13" t="s">
        <v>3017</v>
      </c>
      <c r="D11" s="13" t="s">
        <v>3018</v>
      </c>
      <c r="E11" s="11" t="s">
        <v>1351</v>
      </c>
      <c r="F11" s="13" t="s">
        <v>3026</v>
      </c>
      <c r="G11" s="13" t="s">
        <v>3027</v>
      </c>
      <c r="H11" s="13" t="s">
        <v>209</v>
      </c>
      <c r="I11" s="13" t="s">
        <v>998</v>
      </c>
      <c r="J11" s="11" t="s">
        <v>30</v>
      </c>
      <c r="K11" s="11" t="s">
        <v>30</v>
      </c>
      <c r="L11" s="13" t="s">
        <v>362</v>
      </c>
      <c r="M11" s="13" t="s">
        <v>477</v>
      </c>
      <c r="N11" s="13" t="s">
        <v>160</v>
      </c>
      <c r="O11" s="154" t="s">
        <v>3025</v>
      </c>
      <c r="P11" s="13" t="s">
        <v>1199</v>
      </c>
      <c r="Q11" s="13" t="s">
        <v>446</v>
      </c>
      <c r="R11" s="13" t="s">
        <v>440</v>
      </c>
      <c r="S11" s="11" t="s">
        <v>34</v>
      </c>
      <c r="T11" s="125">
        <v>4.13</v>
      </c>
      <c r="U11" s="13" t="s">
        <v>3022</v>
      </c>
      <c r="V11" s="146">
        <v>4.65E-2</v>
      </c>
      <c r="W11" s="138">
        <v>4.0579999999999998E-2</v>
      </c>
      <c r="X11" s="11" t="s">
        <v>445</v>
      </c>
      <c r="Y11" s="11" t="s">
        <v>160</v>
      </c>
      <c r="Z11" s="13" t="s">
        <v>926</v>
      </c>
      <c r="AA11" s="13" t="s">
        <v>2984</v>
      </c>
      <c r="AB11" s="156" t="s">
        <v>161</v>
      </c>
      <c r="AC11" s="154" t="s">
        <v>161</v>
      </c>
      <c r="AD11" s="125">
        <v>107188.78</v>
      </c>
      <c r="AE11" s="147">
        <v>1</v>
      </c>
      <c r="AF11" s="148">
        <v>97.6</v>
      </c>
      <c r="AG11" s="125">
        <v>104.616</v>
      </c>
      <c r="AH11" s="13"/>
      <c r="AI11" s="13"/>
      <c r="AJ11" s="13" t="s">
        <v>36</v>
      </c>
      <c r="AK11" s="138">
        <v>0.21047567249532301</v>
      </c>
      <c r="AL11" s="138">
        <v>4.64314214203788E-3</v>
      </c>
    </row>
    <row r="12" spans="1:38">
      <c r="A12" s="13">
        <v>161</v>
      </c>
      <c r="B12" s="13">
        <v>1434</v>
      </c>
      <c r="C12" s="13" t="s">
        <v>3028</v>
      </c>
      <c r="D12" s="13" t="s">
        <v>3029</v>
      </c>
      <c r="E12" s="11" t="s">
        <v>1351</v>
      </c>
      <c r="F12" s="13" t="s">
        <v>3030</v>
      </c>
      <c r="G12" s="13" t="s">
        <v>3031</v>
      </c>
      <c r="H12" s="13" t="s">
        <v>209</v>
      </c>
      <c r="I12" s="13" t="s">
        <v>789</v>
      </c>
      <c r="J12" s="11" t="s">
        <v>85</v>
      </c>
      <c r="K12" s="11" t="s">
        <v>86</v>
      </c>
      <c r="L12" s="13" t="s">
        <v>362</v>
      </c>
      <c r="M12" s="13" t="s">
        <v>518</v>
      </c>
      <c r="N12" s="13" t="s">
        <v>160</v>
      </c>
      <c r="O12" s="154" t="s">
        <v>3032</v>
      </c>
      <c r="P12" s="13" t="s">
        <v>3033</v>
      </c>
      <c r="Q12" s="13" t="s">
        <v>137</v>
      </c>
      <c r="R12" s="13" t="s">
        <v>440</v>
      </c>
      <c r="S12" s="11" t="s">
        <v>90</v>
      </c>
      <c r="T12" s="125">
        <v>1.9019999999999999</v>
      </c>
      <c r="U12" s="13" t="s">
        <v>2282</v>
      </c>
      <c r="V12" s="146">
        <v>7.0449999999999999E-2</v>
      </c>
      <c r="W12" s="138">
        <v>6.5000000000000002E-2</v>
      </c>
      <c r="X12" s="11" t="s">
        <v>445</v>
      </c>
      <c r="Y12" s="11" t="s">
        <v>160</v>
      </c>
      <c r="Z12" s="13" t="s">
        <v>926</v>
      </c>
      <c r="AA12" s="13" t="s">
        <v>194</v>
      </c>
      <c r="AB12" s="156" t="s">
        <v>161</v>
      </c>
      <c r="AC12" s="154" t="s">
        <v>161</v>
      </c>
      <c r="AD12" s="125">
        <v>4000</v>
      </c>
      <c r="AE12" s="147">
        <v>3.3719999999999999</v>
      </c>
      <c r="AF12" s="148">
        <v>99.94</v>
      </c>
      <c r="AG12" s="125">
        <v>13.917999999999999</v>
      </c>
      <c r="AH12" s="13"/>
      <c r="AI12" s="13"/>
      <c r="AJ12" s="13" t="s">
        <v>36</v>
      </c>
      <c r="AK12" s="138">
        <v>2.8001927702923601E-2</v>
      </c>
      <c r="AL12" s="138">
        <v>6.1772901843861199E-4</v>
      </c>
    </row>
    <row r="13" spans="1:38">
      <c r="A13" s="13">
        <v>161</v>
      </c>
      <c r="B13" s="13">
        <v>9938</v>
      </c>
      <c r="C13" s="13" t="s">
        <v>2979</v>
      </c>
      <c r="D13" s="13" t="s">
        <v>2980</v>
      </c>
      <c r="E13" s="11" t="s">
        <v>1351</v>
      </c>
      <c r="F13" s="13" t="s">
        <v>2981</v>
      </c>
      <c r="G13" s="13" t="s">
        <v>2982</v>
      </c>
      <c r="H13" s="13" t="s">
        <v>209</v>
      </c>
      <c r="I13" s="13" t="s">
        <v>788</v>
      </c>
      <c r="J13" s="11" t="s">
        <v>30</v>
      </c>
      <c r="K13" s="11" t="s">
        <v>30</v>
      </c>
      <c r="L13" s="13" t="s">
        <v>362</v>
      </c>
      <c r="M13" s="13" t="s">
        <v>495</v>
      </c>
      <c r="N13" s="13" t="s">
        <v>160</v>
      </c>
      <c r="O13" s="154" t="s">
        <v>2983</v>
      </c>
      <c r="P13" s="13" t="s">
        <v>1965</v>
      </c>
      <c r="Q13" s="13" t="s">
        <v>446</v>
      </c>
      <c r="R13" s="13" t="s">
        <v>440</v>
      </c>
      <c r="S13" s="11" t="s">
        <v>34</v>
      </c>
      <c r="T13" s="125">
        <v>3.16</v>
      </c>
      <c r="U13" s="13" t="s">
        <v>2349</v>
      </c>
      <c r="V13" s="146">
        <v>3.4000000000000002E-2</v>
      </c>
      <c r="W13" s="138">
        <v>3.8399999999999997E-2</v>
      </c>
      <c r="X13" s="11" t="s">
        <v>445</v>
      </c>
      <c r="Y13" s="11" t="s">
        <v>160</v>
      </c>
      <c r="Z13" s="13" t="s">
        <v>926</v>
      </c>
      <c r="AA13" s="13" t="s">
        <v>2984</v>
      </c>
      <c r="AB13" s="156" t="s">
        <v>161</v>
      </c>
      <c r="AC13" s="154" t="s">
        <v>161</v>
      </c>
      <c r="AD13" s="125">
        <v>227000</v>
      </c>
      <c r="AE13" s="147">
        <v>1</v>
      </c>
      <c r="AF13" s="148">
        <v>104.58</v>
      </c>
      <c r="AG13" s="125">
        <v>237.39699999999999</v>
      </c>
      <c r="AH13" s="13"/>
      <c r="AI13" s="13"/>
      <c r="AJ13" s="13" t="s">
        <v>36</v>
      </c>
      <c r="AK13" s="138">
        <v>0.201928919695919</v>
      </c>
      <c r="AL13" s="138">
        <v>2.9602217204558702E-3</v>
      </c>
    </row>
    <row r="14" spans="1:38">
      <c r="A14" s="13">
        <v>161</v>
      </c>
      <c r="B14" s="13">
        <v>9938</v>
      </c>
      <c r="C14" s="13" t="s">
        <v>2985</v>
      </c>
      <c r="D14" s="13" t="s">
        <v>2986</v>
      </c>
      <c r="E14" s="11" t="s">
        <v>348</v>
      </c>
      <c r="F14" s="13" t="s">
        <v>2987</v>
      </c>
      <c r="G14" s="13" t="s">
        <v>2988</v>
      </c>
      <c r="H14" s="13" t="s">
        <v>209</v>
      </c>
      <c r="I14" s="13" t="s">
        <v>998</v>
      </c>
      <c r="J14" s="11" t="s">
        <v>30</v>
      </c>
      <c r="K14" s="11" t="s">
        <v>30</v>
      </c>
      <c r="L14" s="13" t="s">
        <v>362</v>
      </c>
      <c r="M14" s="13" t="s">
        <v>482</v>
      </c>
      <c r="N14" s="13" t="s">
        <v>160</v>
      </c>
      <c r="O14" s="154" t="s">
        <v>2989</v>
      </c>
      <c r="P14" s="13" t="s">
        <v>1965</v>
      </c>
      <c r="Q14" s="13" t="s">
        <v>446</v>
      </c>
      <c r="R14" s="13" t="s">
        <v>440</v>
      </c>
      <c r="S14" s="11" t="s">
        <v>34</v>
      </c>
      <c r="T14" s="125">
        <v>1.91</v>
      </c>
      <c r="U14" s="13" t="s">
        <v>2349</v>
      </c>
      <c r="V14" s="146">
        <v>5.0999999999999997E-2</v>
      </c>
      <c r="W14" s="138">
        <v>2.86E-2</v>
      </c>
      <c r="X14" s="11" t="s">
        <v>445</v>
      </c>
      <c r="Y14" s="11" t="s">
        <v>160</v>
      </c>
      <c r="Z14" s="13" t="s">
        <v>926</v>
      </c>
      <c r="AA14" s="13" t="s">
        <v>194</v>
      </c>
      <c r="AB14" s="156" t="s">
        <v>161</v>
      </c>
      <c r="AC14" s="154" t="s">
        <v>161</v>
      </c>
      <c r="AD14" s="125">
        <v>33714.29</v>
      </c>
      <c r="AE14" s="147">
        <v>1</v>
      </c>
      <c r="AF14" s="148">
        <v>97.29</v>
      </c>
      <c r="AG14" s="125">
        <v>32.801000000000002</v>
      </c>
      <c r="AH14" s="13"/>
      <c r="AI14" s="13"/>
      <c r="AJ14" s="13" t="s">
        <v>36</v>
      </c>
      <c r="AK14" s="138">
        <v>2.7900131403451999E-2</v>
      </c>
      <c r="AL14" s="138">
        <v>4.0900815548581702E-4</v>
      </c>
    </row>
    <row r="15" spans="1:38">
      <c r="A15" s="13">
        <v>161</v>
      </c>
      <c r="B15" s="13">
        <v>9938</v>
      </c>
      <c r="C15" s="13" t="s">
        <v>2990</v>
      </c>
      <c r="D15" s="13" t="s">
        <v>2991</v>
      </c>
      <c r="E15" s="11" t="s">
        <v>1351</v>
      </c>
      <c r="F15" s="13" t="s">
        <v>2992</v>
      </c>
      <c r="G15" s="13" t="s">
        <v>2993</v>
      </c>
      <c r="H15" s="13" t="s">
        <v>209</v>
      </c>
      <c r="I15" s="13" t="s">
        <v>998</v>
      </c>
      <c r="J15" s="11" t="s">
        <v>30</v>
      </c>
      <c r="K15" s="11" t="s">
        <v>30</v>
      </c>
      <c r="L15" s="13" t="s">
        <v>362</v>
      </c>
      <c r="M15" s="13" t="s">
        <v>482</v>
      </c>
      <c r="N15" s="13" t="s">
        <v>160</v>
      </c>
      <c r="O15" s="154" t="s">
        <v>3034</v>
      </c>
      <c r="P15" s="13" t="s">
        <v>2030</v>
      </c>
      <c r="Q15" s="13" t="s">
        <v>464</v>
      </c>
      <c r="R15" s="13" t="s">
        <v>440</v>
      </c>
      <c r="S15" s="11" t="s">
        <v>34</v>
      </c>
      <c r="T15" s="125">
        <v>1.72</v>
      </c>
      <c r="U15" s="13" t="s">
        <v>2282</v>
      </c>
      <c r="V15" s="146">
        <v>5.21E-2</v>
      </c>
      <c r="W15" s="138">
        <v>4.4699999999999997E-2</v>
      </c>
      <c r="X15" s="11" t="s">
        <v>445</v>
      </c>
      <c r="Y15" s="11" t="s">
        <v>160</v>
      </c>
      <c r="Z15" s="13" t="s">
        <v>926</v>
      </c>
      <c r="AA15" s="13" t="s">
        <v>2984</v>
      </c>
      <c r="AB15" s="156" t="s">
        <v>161</v>
      </c>
      <c r="AC15" s="154" t="s">
        <v>161</v>
      </c>
      <c r="AD15" s="125">
        <v>153260.92000000001</v>
      </c>
      <c r="AE15" s="147">
        <v>1</v>
      </c>
      <c r="AF15" s="148">
        <v>98.87</v>
      </c>
      <c r="AG15" s="125">
        <v>151.529</v>
      </c>
      <c r="AH15" s="13"/>
      <c r="AI15" s="13"/>
      <c r="AJ15" s="13" t="s">
        <v>36</v>
      </c>
      <c r="AK15" s="138">
        <v>0.12889022728851801</v>
      </c>
      <c r="AL15" s="138">
        <v>1.88949483287745E-3</v>
      </c>
    </row>
    <row r="16" spans="1:38">
      <c r="A16" s="13">
        <v>161</v>
      </c>
      <c r="B16" s="13">
        <v>9938</v>
      </c>
      <c r="C16" s="13" t="s">
        <v>2995</v>
      </c>
      <c r="D16" s="13" t="s">
        <v>2996</v>
      </c>
      <c r="E16" s="11" t="s">
        <v>1351</v>
      </c>
      <c r="F16" s="13" t="s">
        <v>2997</v>
      </c>
      <c r="G16" s="13" t="s">
        <v>2998</v>
      </c>
      <c r="H16" s="13" t="s">
        <v>209</v>
      </c>
      <c r="I16" s="13" t="s">
        <v>998</v>
      </c>
      <c r="J16" s="11" t="s">
        <v>30</v>
      </c>
      <c r="K16" s="11" t="s">
        <v>30</v>
      </c>
      <c r="L16" s="13" t="s">
        <v>362</v>
      </c>
      <c r="M16" s="13" t="s">
        <v>482</v>
      </c>
      <c r="N16" s="13" t="s">
        <v>160</v>
      </c>
      <c r="O16" s="154" t="s">
        <v>2999</v>
      </c>
      <c r="P16" s="13" t="s">
        <v>2108</v>
      </c>
      <c r="Q16" s="13" t="s">
        <v>448</v>
      </c>
      <c r="R16" s="13" t="s">
        <v>440</v>
      </c>
      <c r="S16" s="11" t="s">
        <v>34</v>
      </c>
      <c r="T16" s="125">
        <v>1.59</v>
      </c>
      <c r="U16" s="13" t="s">
        <v>3000</v>
      </c>
      <c r="V16" s="146">
        <v>4.7500000000000001E-2</v>
      </c>
      <c r="W16" s="138">
        <v>2.1000000000000001E-2</v>
      </c>
      <c r="X16" s="11" t="s">
        <v>445</v>
      </c>
      <c r="Y16" s="11" t="s">
        <v>160</v>
      </c>
      <c r="Z16" s="13" t="s">
        <v>926</v>
      </c>
      <c r="AA16" s="13" t="s">
        <v>2984</v>
      </c>
      <c r="AB16" s="156" t="s">
        <v>161</v>
      </c>
      <c r="AC16" s="154" t="s">
        <v>161</v>
      </c>
      <c r="AD16" s="125">
        <v>12857.16</v>
      </c>
      <c r="AE16" s="147">
        <v>1</v>
      </c>
      <c r="AF16" s="148">
        <v>96.74</v>
      </c>
      <c r="AG16" s="125">
        <v>12.438000000000001</v>
      </c>
      <c r="AH16" s="13"/>
      <c r="AI16" s="13"/>
      <c r="AJ16" s="13" t="s">
        <v>36</v>
      </c>
      <c r="AK16" s="138">
        <v>1.0579743989455E-2</v>
      </c>
      <c r="AL16" s="138">
        <v>1.5509610016043701E-4</v>
      </c>
    </row>
    <row r="17" spans="1:38">
      <c r="A17" s="13">
        <v>161</v>
      </c>
      <c r="B17" s="13">
        <v>9938</v>
      </c>
      <c r="C17" s="13" t="s">
        <v>3001</v>
      </c>
      <c r="D17" s="13" t="s">
        <v>3002</v>
      </c>
      <c r="E17" s="11" t="s">
        <v>1351</v>
      </c>
      <c r="F17" s="13" t="s">
        <v>3003</v>
      </c>
      <c r="G17" s="13" t="s">
        <v>3004</v>
      </c>
      <c r="H17" s="13" t="s">
        <v>209</v>
      </c>
      <c r="I17" s="13" t="s">
        <v>788</v>
      </c>
      <c r="J17" s="11" t="s">
        <v>30</v>
      </c>
      <c r="K17" s="11" t="s">
        <v>30</v>
      </c>
      <c r="L17" s="13" t="s">
        <v>362</v>
      </c>
      <c r="M17" s="13" t="s">
        <v>510</v>
      </c>
      <c r="N17" s="13" t="s">
        <v>160</v>
      </c>
      <c r="O17" s="154" t="s">
        <v>3005</v>
      </c>
      <c r="P17" s="13" t="s">
        <v>2008</v>
      </c>
      <c r="Q17" s="13" t="s">
        <v>448</v>
      </c>
      <c r="R17" s="13" t="s">
        <v>440</v>
      </c>
      <c r="S17" s="11" t="s">
        <v>34</v>
      </c>
      <c r="T17" s="125">
        <v>3.48</v>
      </c>
      <c r="U17" s="13" t="s">
        <v>2482</v>
      </c>
      <c r="V17" s="146">
        <v>3.7400000000000003E-2</v>
      </c>
      <c r="W17" s="138">
        <v>4.4499999999999998E-2</v>
      </c>
      <c r="X17" s="11" t="s">
        <v>445</v>
      </c>
      <c r="Y17" s="11" t="s">
        <v>160</v>
      </c>
      <c r="Z17" s="13" t="s">
        <v>926</v>
      </c>
      <c r="AA17" s="13" t="s">
        <v>194</v>
      </c>
      <c r="AB17" s="156" t="s">
        <v>161</v>
      </c>
      <c r="AC17" s="154" t="s">
        <v>161</v>
      </c>
      <c r="AD17" s="125">
        <v>224999.99</v>
      </c>
      <c r="AE17" s="147">
        <v>1</v>
      </c>
      <c r="AF17" s="148">
        <v>105.72</v>
      </c>
      <c r="AG17" s="125">
        <v>237.87</v>
      </c>
      <c r="AH17" s="13"/>
      <c r="AI17" s="13"/>
      <c r="AJ17" s="13" t="s">
        <v>36</v>
      </c>
      <c r="AK17" s="138">
        <v>0.20233158349056299</v>
      </c>
      <c r="AL17" s="138">
        <v>2.9661246595333499E-3</v>
      </c>
    </row>
    <row r="18" spans="1:38">
      <c r="A18" s="13">
        <v>161</v>
      </c>
      <c r="B18" s="13">
        <v>9938</v>
      </c>
      <c r="C18" s="13" t="s">
        <v>3006</v>
      </c>
      <c r="D18" s="13" t="s">
        <v>3007</v>
      </c>
      <c r="E18" s="11" t="s">
        <v>1351</v>
      </c>
      <c r="F18" s="13" t="s">
        <v>3008</v>
      </c>
      <c r="G18" s="13" t="s">
        <v>3009</v>
      </c>
      <c r="H18" s="13" t="s">
        <v>209</v>
      </c>
      <c r="I18" s="13" t="s">
        <v>998</v>
      </c>
      <c r="J18" s="11" t="s">
        <v>30</v>
      </c>
      <c r="K18" s="11" t="s">
        <v>30</v>
      </c>
      <c r="L18" s="13" t="s">
        <v>362</v>
      </c>
      <c r="M18" s="13" t="s">
        <v>495</v>
      </c>
      <c r="N18" s="13" t="s">
        <v>160</v>
      </c>
      <c r="O18" s="154" t="s">
        <v>3010</v>
      </c>
      <c r="P18" s="13" t="s">
        <v>1355</v>
      </c>
      <c r="Q18" s="13" t="s">
        <v>448</v>
      </c>
      <c r="R18" s="13" t="s">
        <v>440</v>
      </c>
      <c r="S18" s="11" t="s">
        <v>34</v>
      </c>
      <c r="T18" s="125">
        <v>1.46</v>
      </c>
      <c r="U18" s="13" t="s">
        <v>2282</v>
      </c>
      <c r="V18" s="146">
        <v>4.6300000000000001E-2</v>
      </c>
      <c r="W18" s="138">
        <v>3.1E-2</v>
      </c>
      <c r="X18" s="11" t="s">
        <v>445</v>
      </c>
      <c r="Y18" s="11" t="s">
        <v>160</v>
      </c>
      <c r="Z18" s="13" t="s">
        <v>926</v>
      </c>
      <c r="AA18" s="13" t="s">
        <v>2984</v>
      </c>
      <c r="AB18" s="156" t="s">
        <v>161</v>
      </c>
      <c r="AC18" s="154" t="s">
        <v>161</v>
      </c>
      <c r="AD18" s="125">
        <v>50950.46</v>
      </c>
      <c r="AE18" s="147">
        <v>1</v>
      </c>
      <c r="AF18" s="148">
        <v>97.91</v>
      </c>
      <c r="AG18" s="125">
        <v>49.886000000000003</v>
      </c>
      <c r="AH18" s="13"/>
      <c r="AI18" s="13"/>
      <c r="AJ18" s="13" t="s">
        <v>36</v>
      </c>
      <c r="AK18" s="138">
        <v>4.2432555414368703E-2</v>
      </c>
      <c r="AL18" s="138">
        <v>6.2204944384001504E-4</v>
      </c>
    </row>
    <row r="19" spans="1:38">
      <c r="A19" s="13">
        <v>161</v>
      </c>
      <c r="B19" s="13">
        <v>9938</v>
      </c>
      <c r="C19" s="13" t="s">
        <v>3011</v>
      </c>
      <c r="D19" s="13" t="s">
        <v>3012</v>
      </c>
      <c r="E19" s="11" t="s">
        <v>1351</v>
      </c>
      <c r="F19" s="13" t="s">
        <v>3013</v>
      </c>
      <c r="G19" s="13" t="s">
        <v>3014</v>
      </c>
      <c r="H19" s="13" t="s">
        <v>209</v>
      </c>
      <c r="I19" s="13" t="s">
        <v>998</v>
      </c>
      <c r="J19" s="11" t="s">
        <v>30</v>
      </c>
      <c r="K19" s="11" t="s">
        <v>30</v>
      </c>
      <c r="L19" s="13" t="s">
        <v>362</v>
      </c>
      <c r="M19" s="13" t="s">
        <v>510</v>
      </c>
      <c r="N19" s="13" t="s">
        <v>160</v>
      </c>
      <c r="O19" s="154" t="s">
        <v>3015</v>
      </c>
      <c r="P19" s="13" t="s">
        <v>1355</v>
      </c>
      <c r="Q19" s="13" t="s">
        <v>448</v>
      </c>
      <c r="R19" s="13" t="s">
        <v>440</v>
      </c>
      <c r="S19" s="11" t="s">
        <v>34</v>
      </c>
      <c r="T19" s="125">
        <v>0.46</v>
      </c>
      <c r="U19" s="13" t="s">
        <v>3016</v>
      </c>
      <c r="V19" s="146">
        <v>5.1999999999999998E-2</v>
      </c>
      <c r="W19" s="138">
        <v>6.5000000000000002E-2</v>
      </c>
      <c r="X19" s="11" t="s">
        <v>445</v>
      </c>
      <c r="Y19" s="11" t="s">
        <v>160</v>
      </c>
      <c r="Z19" s="13" t="s">
        <v>926</v>
      </c>
      <c r="AA19" s="13" t="s">
        <v>194</v>
      </c>
      <c r="AB19" s="156" t="s">
        <v>161</v>
      </c>
      <c r="AC19" s="154" t="s">
        <v>161</v>
      </c>
      <c r="AD19" s="125">
        <v>18309.990000000002</v>
      </c>
      <c r="AE19" s="147">
        <v>1</v>
      </c>
      <c r="AF19" s="148">
        <v>100.81</v>
      </c>
      <c r="AG19" s="125">
        <v>18.457999999999998</v>
      </c>
      <c r="AH19" s="13"/>
      <c r="AI19" s="13"/>
      <c r="AJ19" s="13" t="s">
        <v>36</v>
      </c>
      <c r="AK19" s="138">
        <v>1.5700581912276201E-2</v>
      </c>
      <c r="AL19" s="138">
        <v>2.3016615782675201E-4</v>
      </c>
    </row>
    <row r="20" spans="1:38">
      <c r="A20" s="2">
        <v>161</v>
      </c>
      <c r="B20" s="2">
        <v>9938</v>
      </c>
      <c r="C20" s="2" t="s">
        <v>3017</v>
      </c>
      <c r="D20" s="2" t="s">
        <v>3018</v>
      </c>
      <c r="E20" s="11" t="s">
        <v>1351</v>
      </c>
      <c r="F20" s="2" t="s">
        <v>3019</v>
      </c>
      <c r="G20" s="2" t="s">
        <v>3020</v>
      </c>
      <c r="H20" s="13" t="s">
        <v>209</v>
      </c>
      <c r="I20" s="13" t="s">
        <v>788</v>
      </c>
      <c r="J20" s="11" t="s">
        <v>30</v>
      </c>
      <c r="K20" s="11" t="s">
        <v>30</v>
      </c>
      <c r="L20" s="13" t="s">
        <v>362</v>
      </c>
      <c r="M20" s="13" t="s">
        <v>477</v>
      </c>
      <c r="N20" s="13" t="s">
        <v>160</v>
      </c>
      <c r="O20" s="156" t="s">
        <v>3021</v>
      </c>
      <c r="P20" s="2" t="s">
        <v>1199</v>
      </c>
      <c r="Q20" s="13" t="s">
        <v>446</v>
      </c>
      <c r="R20" s="13" t="s">
        <v>440</v>
      </c>
      <c r="S20" s="2" t="s">
        <v>34</v>
      </c>
      <c r="T20" s="123">
        <v>4.38</v>
      </c>
      <c r="U20" s="2" t="s">
        <v>3022</v>
      </c>
      <c r="V20" s="138">
        <v>2.4899999999999999E-2</v>
      </c>
      <c r="W20" s="138">
        <v>2.3217999999999999E-2</v>
      </c>
      <c r="X20" s="11" t="s">
        <v>445</v>
      </c>
      <c r="Y20" s="11" t="s">
        <v>160</v>
      </c>
      <c r="Z20" s="2" t="s">
        <v>926</v>
      </c>
      <c r="AA20" s="13" t="s">
        <v>2984</v>
      </c>
      <c r="AB20" s="156" t="s">
        <v>161</v>
      </c>
      <c r="AC20" s="156" t="s">
        <v>161</v>
      </c>
      <c r="AD20" s="123">
        <v>87894.79</v>
      </c>
      <c r="AE20" s="132">
        <v>1</v>
      </c>
      <c r="AF20" s="149">
        <v>117.69</v>
      </c>
      <c r="AG20" s="123">
        <v>103.443</v>
      </c>
      <c r="AH20" s="2"/>
      <c r="AI20" s="2"/>
      <c r="AJ20" s="13" t="s">
        <v>36</v>
      </c>
      <c r="AK20" s="138">
        <v>8.7988663865083402E-2</v>
      </c>
      <c r="AL20" s="138">
        <v>1.28988930520473E-3</v>
      </c>
    </row>
    <row r="21" spans="1:38">
      <c r="A21" s="2">
        <v>161</v>
      </c>
      <c r="B21" s="2">
        <v>9938</v>
      </c>
      <c r="C21" s="2" t="s">
        <v>3017</v>
      </c>
      <c r="D21" s="2" t="s">
        <v>3018</v>
      </c>
      <c r="E21" s="3" t="s">
        <v>1351</v>
      </c>
      <c r="F21" s="2" t="s">
        <v>3023</v>
      </c>
      <c r="G21" s="2" t="s">
        <v>3024</v>
      </c>
      <c r="H21" s="2" t="s">
        <v>209</v>
      </c>
      <c r="I21" s="2" t="s">
        <v>998</v>
      </c>
      <c r="J21" s="2" t="s">
        <v>30</v>
      </c>
      <c r="K21" s="2" t="s">
        <v>30</v>
      </c>
      <c r="L21" s="2" t="s">
        <v>362</v>
      </c>
      <c r="M21" s="2" t="s">
        <v>477</v>
      </c>
      <c r="N21" s="2" t="s">
        <v>160</v>
      </c>
      <c r="O21" s="156" t="s">
        <v>3025</v>
      </c>
      <c r="P21" s="2" t="s">
        <v>1199</v>
      </c>
      <c r="Q21" s="2" t="s">
        <v>446</v>
      </c>
      <c r="R21" s="2" t="s">
        <v>440</v>
      </c>
      <c r="S21" s="2" t="s">
        <v>34</v>
      </c>
      <c r="T21" s="123">
        <v>0.7</v>
      </c>
      <c r="U21" s="2" t="s">
        <v>3016</v>
      </c>
      <c r="V21" s="138">
        <v>4.7199999999999999E-2</v>
      </c>
      <c r="W21" s="138">
        <v>2.7119999999999998E-2</v>
      </c>
      <c r="X21" s="3" t="s">
        <v>445</v>
      </c>
      <c r="Y21" s="3" t="s">
        <v>160</v>
      </c>
      <c r="Z21" s="2" t="s">
        <v>926</v>
      </c>
      <c r="AA21" s="2" t="s">
        <v>2984</v>
      </c>
      <c r="AB21" s="156" t="s">
        <v>161</v>
      </c>
      <c r="AC21" s="156" t="s">
        <v>161</v>
      </c>
      <c r="AD21" s="123">
        <v>51912.62</v>
      </c>
      <c r="AE21" s="132">
        <v>1</v>
      </c>
      <c r="AF21" s="149">
        <v>99.24</v>
      </c>
      <c r="AG21" s="123">
        <v>51.518000000000001</v>
      </c>
      <c r="AH21" s="2"/>
      <c r="AI21" s="2"/>
      <c r="AJ21" s="2" t="s">
        <v>36</v>
      </c>
      <c r="AK21" s="138">
        <v>4.38211459839499E-2</v>
      </c>
      <c r="AL21" s="138">
        <v>6.4240579483265399E-4</v>
      </c>
    </row>
    <row r="22" spans="1:38">
      <c r="A22" s="2">
        <v>161</v>
      </c>
      <c r="B22" s="2">
        <v>9938</v>
      </c>
      <c r="C22" s="2" t="s">
        <v>3017</v>
      </c>
      <c r="D22" s="2" t="s">
        <v>3018</v>
      </c>
      <c r="E22" s="3" t="s">
        <v>1351</v>
      </c>
      <c r="F22" s="2" t="s">
        <v>3026</v>
      </c>
      <c r="G22" s="2" t="s">
        <v>3027</v>
      </c>
      <c r="H22" s="2" t="s">
        <v>209</v>
      </c>
      <c r="I22" s="2" t="s">
        <v>998</v>
      </c>
      <c r="J22" s="2" t="s">
        <v>30</v>
      </c>
      <c r="K22" s="2" t="s">
        <v>30</v>
      </c>
      <c r="L22" s="2" t="s">
        <v>362</v>
      </c>
      <c r="M22" s="2" t="s">
        <v>477</v>
      </c>
      <c r="N22" s="2" t="s">
        <v>160</v>
      </c>
      <c r="O22" s="156" t="s">
        <v>3025</v>
      </c>
      <c r="P22" s="2" t="s">
        <v>1199</v>
      </c>
      <c r="Q22" s="2" t="s">
        <v>446</v>
      </c>
      <c r="R22" s="2" t="s">
        <v>440</v>
      </c>
      <c r="S22" s="2" t="s">
        <v>34</v>
      </c>
      <c r="T22" s="123">
        <v>4.13</v>
      </c>
      <c r="U22" s="2" t="s">
        <v>3022</v>
      </c>
      <c r="V22" s="138">
        <v>4.65E-2</v>
      </c>
      <c r="W22" s="138">
        <v>4.0579999999999998E-2</v>
      </c>
      <c r="X22" s="3" t="s">
        <v>445</v>
      </c>
      <c r="Y22" s="3" t="s">
        <v>160</v>
      </c>
      <c r="Z22" s="2" t="s">
        <v>926</v>
      </c>
      <c r="AA22" s="2" t="s">
        <v>2984</v>
      </c>
      <c r="AB22" s="156" t="s">
        <v>161</v>
      </c>
      <c r="AC22" s="156" t="s">
        <v>161</v>
      </c>
      <c r="AD22" s="123">
        <v>185793.88</v>
      </c>
      <c r="AE22" s="132">
        <v>1</v>
      </c>
      <c r="AF22" s="149">
        <v>97.6</v>
      </c>
      <c r="AG22" s="123">
        <v>181.33500000000001</v>
      </c>
      <c r="AH22" s="2"/>
      <c r="AI22" s="2"/>
      <c r="AJ22" s="2" t="s">
        <v>36</v>
      </c>
      <c r="AK22" s="138">
        <v>0.15424292384610799</v>
      </c>
      <c r="AL22" s="138">
        <v>2.26115830304765E-3</v>
      </c>
    </row>
    <row r="23" spans="1:38">
      <c r="A23" s="2">
        <v>161</v>
      </c>
      <c r="B23" s="2">
        <v>9938</v>
      </c>
      <c r="C23" s="2" t="s">
        <v>3035</v>
      </c>
      <c r="D23" s="2" t="s">
        <v>3036</v>
      </c>
      <c r="E23" s="3" t="s">
        <v>206</v>
      </c>
      <c r="F23" s="2" t="s">
        <v>3037</v>
      </c>
      <c r="G23" s="2" t="s">
        <v>3038</v>
      </c>
      <c r="H23" s="2" t="s">
        <v>209</v>
      </c>
      <c r="I23" s="2" t="s">
        <v>789</v>
      </c>
      <c r="J23" s="2" t="s">
        <v>30</v>
      </c>
      <c r="K23" s="2" t="s">
        <v>30</v>
      </c>
      <c r="L23" s="2" t="s">
        <v>362</v>
      </c>
      <c r="M23" s="2" t="s">
        <v>485</v>
      </c>
      <c r="N23" s="2" t="s">
        <v>160</v>
      </c>
      <c r="O23" s="156" t="s">
        <v>3039</v>
      </c>
      <c r="P23" s="2" t="s">
        <v>3040</v>
      </c>
      <c r="Q23" s="2" t="s">
        <v>464</v>
      </c>
      <c r="R23" s="2" t="s">
        <v>440</v>
      </c>
      <c r="S23" s="2" t="s">
        <v>90</v>
      </c>
      <c r="T23" s="123">
        <v>2.5489999999999999</v>
      </c>
      <c r="U23" s="2" t="s">
        <v>3041</v>
      </c>
      <c r="V23" s="138">
        <v>7.4149999999999994E-2</v>
      </c>
      <c r="W23" s="138">
        <v>5.3749999999999999E-2</v>
      </c>
      <c r="X23" s="3" t="s">
        <v>445</v>
      </c>
      <c r="Y23" s="3" t="s">
        <v>160</v>
      </c>
      <c r="Z23" s="2" t="s">
        <v>135</v>
      </c>
      <c r="AA23" s="2" t="s">
        <v>194</v>
      </c>
      <c r="AB23" s="156" t="s">
        <v>161</v>
      </c>
      <c r="AC23" s="156" t="s">
        <v>161</v>
      </c>
      <c r="AD23" s="123">
        <v>20400</v>
      </c>
      <c r="AE23" s="132">
        <v>3.3719999999999999</v>
      </c>
      <c r="AF23" s="149">
        <v>98.35</v>
      </c>
      <c r="AG23" s="123">
        <v>67.653999999999996</v>
      </c>
      <c r="AH23" s="2"/>
      <c r="AI23" s="2"/>
      <c r="AJ23" s="2" t="s">
        <v>36</v>
      </c>
      <c r="AK23" s="138">
        <v>5.7546130306854397E-2</v>
      </c>
      <c r="AL23" s="138">
        <v>8.4361024225286898E-4</v>
      </c>
    </row>
    <row r="24" spans="1:38">
      <c r="A24" s="2">
        <v>161</v>
      </c>
      <c r="B24" s="2">
        <v>9938</v>
      </c>
      <c r="C24" s="2" t="s">
        <v>3028</v>
      </c>
      <c r="D24" s="2" t="s">
        <v>3029</v>
      </c>
      <c r="E24" s="3" t="s">
        <v>1351</v>
      </c>
      <c r="F24" s="2" t="s">
        <v>3030</v>
      </c>
      <c r="G24" s="2" t="s">
        <v>3031</v>
      </c>
      <c r="H24" s="2" t="s">
        <v>209</v>
      </c>
      <c r="I24" s="2" t="s">
        <v>789</v>
      </c>
      <c r="J24" s="2" t="s">
        <v>85</v>
      </c>
      <c r="K24" s="2" t="s">
        <v>86</v>
      </c>
      <c r="L24" s="2" t="s">
        <v>362</v>
      </c>
      <c r="M24" s="2" t="s">
        <v>518</v>
      </c>
      <c r="N24" s="2" t="s">
        <v>160</v>
      </c>
      <c r="O24" s="156" t="s">
        <v>3032</v>
      </c>
      <c r="P24" s="2" t="s">
        <v>3033</v>
      </c>
      <c r="Q24" s="2" t="s">
        <v>137</v>
      </c>
      <c r="R24" s="2" t="s">
        <v>440</v>
      </c>
      <c r="S24" s="2" t="s">
        <v>90</v>
      </c>
      <c r="T24" s="123">
        <v>1.9019999999999999</v>
      </c>
      <c r="U24" s="2" t="s">
        <v>2282</v>
      </c>
      <c r="V24" s="138">
        <v>7.0449999999999999E-2</v>
      </c>
      <c r="W24" s="138">
        <v>6.5000000000000002E-2</v>
      </c>
      <c r="X24" s="3" t="s">
        <v>445</v>
      </c>
      <c r="Y24" s="3" t="s">
        <v>160</v>
      </c>
      <c r="Z24" s="2" t="s">
        <v>926</v>
      </c>
      <c r="AA24" s="2" t="s">
        <v>194</v>
      </c>
      <c r="AB24" s="156" t="s">
        <v>161</v>
      </c>
      <c r="AC24" s="156" t="s">
        <v>161</v>
      </c>
      <c r="AD24" s="123">
        <v>9000</v>
      </c>
      <c r="AE24" s="132">
        <v>3.3719999999999999</v>
      </c>
      <c r="AF24" s="149">
        <v>99.94</v>
      </c>
      <c r="AG24" s="123">
        <v>31.315999999999999</v>
      </c>
      <c r="AH24" s="2"/>
      <c r="AI24" s="2"/>
      <c r="AJ24" s="2" t="s">
        <v>36</v>
      </c>
      <c r="AK24" s="138">
        <v>2.6637392803452401E-2</v>
      </c>
      <c r="AL24" s="138">
        <v>3.90496759314305E-4</v>
      </c>
    </row>
    <row r="25" spans="1:38">
      <c r="A25" s="2">
        <v>161</v>
      </c>
      <c r="B25" s="2">
        <v>9942</v>
      </c>
      <c r="C25" s="2" t="s">
        <v>2979</v>
      </c>
      <c r="D25" s="2" t="s">
        <v>2980</v>
      </c>
      <c r="E25" s="3" t="s">
        <v>1351</v>
      </c>
      <c r="F25" s="2" t="s">
        <v>2981</v>
      </c>
      <c r="G25" s="2" t="s">
        <v>2982</v>
      </c>
      <c r="H25" s="2" t="s">
        <v>209</v>
      </c>
      <c r="I25" s="2" t="s">
        <v>788</v>
      </c>
      <c r="J25" s="2" t="s">
        <v>30</v>
      </c>
      <c r="K25" s="2" t="s">
        <v>30</v>
      </c>
      <c r="L25" s="2" t="s">
        <v>362</v>
      </c>
      <c r="M25" s="2" t="s">
        <v>495</v>
      </c>
      <c r="N25" s="2" t="s">
        <v>160</v>
      </c>
      <c r="O25" s="156" t="s">
        <v>2983</v>
      </c>
      <c r="P25" s="2" t="s">
        <v>1965</v>
      </c>
      <c r="Q25" s="2" t="s">
        <v>446</v>
      </c>
      <c r="R25" s="2" t="s">
        <v>440</v>
      </c>
      <c r="S25" s="2" t="s">
        <v>34</v>
      </c>
      <c r="T25" s="123">
        <v>3.16</v>
      </c>
      <c r="U25" s="2" t="s">
        <v>2349</v>
      </c>
      <c r="V25" s="138">
        <v>3.4000000000000002E-2</v>
      </c>
      <c r="W25" s="138">
        <v>3.8399999999999997E-2</v>
      </c>
      <c r="X25" s="3" t="s">
        <v>445</v>
      </c>
      <c r="Y25" s="3" t="s">
        <v>160</v>
      </c>
      <c r="Z25" s="2" t="s">
        <v>926</v>
      </c>
      <c r="AA25" s="2" t="s">
        <v>2984</v>
      </c>
      <c r="AB25" s="156" t="s">
        <v>161</v>
      </c>
      <c r="AC25" s="156" t="s">
        <v>161</v>
      </c>
      <c r="AD25" s="123">
        <v>332000</v>
      </c>
      <c r="AE25" s="132">
        <v>1</v>
      </c>
      <c r="AF25" s="149">
        <v>104.58</v>
      </c>
      <c r="AG25" s="123">
        <v>347.20600000000002</v>
      </c>
      <c r="AH25" s="2"/>
      <c r="AI25" s="2"/>
      <c r="AJ25" s="2" t="s">
        <v>36</v>
      </c>
      <c r="AK25" s="138">
        <v>0.20056622547633901</v>
      </c>
      <c r="AL25" s="138">
        <v>3.6566497853826002E-3</v>
      </c>
    </row>
    <row r="26" spans="1:38">
      <c r="A26" s="2">
        <v>161</v>
      </c>
      <c r="B26" s="2">
        <v>9942</v>
      </c>
      <c r="C26" s="2" t="s">
        <v>2985</v>
      </c>
      <c r="D26" s="2" t="s">
        <v>2986</v>
      </c>
      <c r="E26" s="3" t="s">
        <v>348</v>
      </c>
      <c r="F26" s="2" t="s">
        <v>2987</v>
      </c>
      <c r="G26" s="2" t="s">
        <v>2988</v>
      </c>
      <c r="H26" s="2" t="s">
        <v>209</v>
      </c>
      <c r="I26" s="2" t="s">
        <v>998</v>
      </c>
      <c r="J26" s="2" t="s">
        <v>30</v>
      </c>
      <c r="K26" s="2" t="s">
        <v>30</v>
      </c>
      <c r="L26" s="3" t="s">
        <v>362</v>
      </c>
      <c r="M26" s="2" t="s">
        <v>482</v>
      </c>
      <c r="N26" s="2" t="s">
        <v>160</v>
      </c>
      <c r="O26" s="156" t="s">
        <v>2989</v>
      </c>
      <c r="P26" s="2" t="s">
        <v>1965</v>
      </c>
      <c r="Q26" s="2" t="s">
        <v>446</v>
      </c>
      <c r="R26" s="2" t="s">
        <v>440</v>
      </c>
      <c r="S26" s="2" t="s">
        <v>34</v>
      </c>
      <c r="T26" s="123">
        <v>1.91</v>
      </c>
      <c r="U26" s="2" t="s">
        <v>2349</v>
      </c>
      <c r="V26" s="138">
        <v>5.0999999999999997E-2</v>
      </c>
      <c r="W26" s="138">
        <v>2.86E-2</v>
      </c>
      <c r="X26" s="3" t="s">
        <v>445</v>
      </c>
      <c r="Y26" s="3" t="s">
        <v>160</v>
      </c>
      <c r="Z26" s="2" t="s">
        <v>926</v>
      </c>
      <c r="AA26" s="2" t="s">
        <v>194</v>
      </c>
      <c r="AB26" s="156" t="s">
        <v>161</v>
      </c>
      <c r="AC26" s="156" t="s">
        <v>161</v>
      </c>
      <c r="AD26" s="123">
        <v>48000.01</v>
      </c>
      <c r="AE26" s="132">
        <v>1</v>
      </c>
      <c r="AF26" s="149">
        <v>97.29</v>
      </c>
      <c r="AG26" s="123">
        <v>46.698999999999998</v>
      </c>
      <c r="AH26" s="2"/>
      <c r="AI26" s="2"/>
      <c r="AJ26" s="2" t="s">
        <v>36</v>
      </c>
      <c r="AK26" s="138">
        <v>2.6976189981018299E-2</v>
      </c>
      <c r="AL26" s="138">
        <v>4.9181999147791702E-4</v>
      </c>
    </row>
    <row r="27" spans="1:38">
      <c r="A27" s="2">
        <v>161</v>
      </c>
      <c r="B27" s="2">
        <v>9942</v>
      </c>
      <c r="C27" s="2" t="s">
        <v>2990</v>
      </c>
      <c r="D27" s="2" t="s">
        <v>2991</v>
      </c>
      <c r="E27" s="3" t="s">
        <v>1351</v>
      </c>
      <c r="F27" s="2" t="s">
        <v>2992</v>
      </c>
      <c r="G27" s="2" t="s">
        <v>2993</v>
      </c>
      <c r="H27" s="2" t="s">
        <v>209</v>
      </c>
      <c r="I27" s="2" t="s">
        <v>998</v>
      </c>
      <c r="J27" s="2" t="s">
        <v>30</v>
      </c>
      <c r="K27" s="2" t="s">
        <v>30</v>
      </c>
      <c r="L27" s="3" t="s">
        <v>362</v>
      </c>
      <c r="M27" s="2" t="s">
        <v>482</v>
      </c>
      <c r="N27" s="2" t="s">
        <v>160</v>
      </c>
      <c r="O27" s="156" t="s">
        <v>3034</v>
      </c>
      <c r="P27" s="2" t="s">
        <v>2030</v>
      </c>
      <c r="Q27" s="2" t="s">
        <v>464</v>
      </c>
      <c r="R27" s="2" t="s">
        <v>440</v>
      </c>
      <c r="S27" s="2" t="s">
        <v>34</v>
      </c>
      <c r="T27" s="123">
        <v>1.72</v>
      </c>
      <c r="U27" s="2" t="s">
        <v>2282</v>
      </c>
      <c r="V27" s="138">
        <v>5.21E-2</v>
      </c>
      <c r="W27" s="138">
        <v>4.4699999999999997E-2</v>
      </c>
      <c r="X27" s="3" t="s">
        <v>445</v>
      </c>
      <c r="Y27" s="3" t="s">
        <v>160</v>
      </c>
      <c r="Z27" s="2" t="s">
        <v>926</v>
      </c>
      <c r="AA27" s="2" t="s">
        <v>2984</v>
      </c>
      <c r="AB27" s="156" t="s">
        <v>161</v>
      </c>
      <c r="AC27" s="156" t="s">
        <v>161</v>
      </c>
      <c r="AD27" s="123">
        <v>223119.05</v>
      </c>
      <c r="AE27" s="132">
        <v>1</v>
      </c>
      <c r="AF27" s="149">
        <v>98.87</v>
      </c>
      <c r="AG27" s="123">
        <v>220.59800000000001</v>
      </c>
      <c r="AH27" s="2"/>
      <c r="AI27" s="2"/>
      <c r="AJ27" s="2" t="s">
        <v>36</v>
      </c>
      <c r="AK27" s="138">
        <v>0.127430171184063</v>
      </c>
      <c r="AL27" s="138">
        <v>2.3232600952867999E-3</v>
      </c>
    </row>
    <row r="28" spans="1:38">
      <c r="A28" s="2">
        <v>161</v>
      </c>
      <c r="B28" s="2">
        <v>9942</v>
      </c>
      <c r="C28" s="2" t="s">
        <v>2995</v>
      </c>
      <c r="D28" s="2" t="s">
        <v>2996</v>
      </c>
      <c r="E28" s="3" t="s">
        <v>1351</v>
      </c>
      <c r="F28" s="2" t="s">
        <v>2997</v>
      </c>
      <c r="G28" s="2" t="s">
        <v>2998</v>
      </c>
      <c r="H28" s="2" t="s">
        <v>209</v>
      </c>
      <c r="I28" s="2" t="s">
        <v>998</v>
      </c>
      <c r="J28" s="2" t="s">
        <v>30</v>
      </c>
      <c r="K28" s="2" t="s">
        <v>30</v>
      </c>
      <c r="L28" s="3" t="s">
        <v>362</v>
      </c>
      <c r="M28" s="2" t="s">
        <v>482</v>
      </c>
      <c r="N28" s="2" t="s">
        <v>160</v>
      </c>
      <c r="O28" s="156" t="s">
        <v>2999</v>
      </c>
      <c r="P28" s="2" t="s">
        <v>2108</v>
      </c>
      <c r="Q28" s="2" t="s">
        <v>448</v>
      </c>
      <c r="R28" s="2" t="s">
        <v>440</v>
      </c>
      <c r="S28" s="2" t="s">
        <v>34</v>
      </c>
      <c r="T28" s="123">
        <v>1.59</v>
      </c>
      <c r="U28" s="2" t="s">
        <v>3000</v>
      </c>
      <c r="V28" s="138">
        <v>4.7500000000000001E-2</v>
      </c>
      <c r="W28" s="138">
        <v>2.1000000000000001E-2</v>
      </c>
      <c r="X28" s="3" t="s">
        <v>445</v>
      </c>
      <c r="Y28" s="3" t="s">
        <v>160</v>
      </c>
      <c r="Z28" s="2" t="s">
        <v>926</v>
      </c>
      <c r="AA28" s="2" t="s">
        <v>2984</v>
      </c>
      <c r="AB28" s="156" t="s">
        <v>161</v>
      </c>
      <c r="AC28" s="156" t="s">
        <v>161</v>
      </c>
      <c r="AD28" s="123">
        <v>40714.33</v>
      </c>
      <c r="AE28" s="132">
        <v>1</v>
      </c>
      <c r="AF28" s="149">
        <v>96.74</v>
      </c>
      <c r="AG28" s="123">
        <v>39.387</v>
      </c>
      <c r="AH28" s="2"/>
      <c r="AI28" s="2"/>
      <c r="AJ28" s="2" t="s">
        <v>36</v>
      </c>
      <c r="AK28" s="138">
        <v>2.27522554805994E-2</v>
      </c>
      <c r="AL28" s="138">
        <v>4.1481076847566602E-4</v>
      </c>
    </row>
    <row r="29" spans="1:38">
      <c r="A29" s="2">
        <v>161</v>
      </c>
      <c r="B29" s="2">
        <v>9942</v>
      </c>
      <c r="C29" s="2" t="s">
        <v>3001</v>
      </c>
      <c r="D29" s="2" t="s">
        <v>3002</v>
      </c>
      <c r="E29" s="3" t="s">
        <v>1351</v>
      </c>
      <c r="F29" s="2" t="s">
        <v>3003</v>
      </c>
      <c r="G29" s="2" t="s">
        <v>3004</v>
      </c>
      <c r="H29" s="2" t="s">
        <v>209</v>
      </c>
      <c r="I29" s="2" t="s">
        <v>788</v>
      </c>
      <c r="J29" s="2" t="s">
        <v>30</v>
      </c>
      <c r="K29" s="2" t="s">
        <v>30</v>
      </c>
      <c r="L29" s="3" t="s">
        <v>362</v>
      </c>
      <c r="M29" s="2" t="s">
        <v>510</v>
      </c>
      <c r="N29" s="2" t="s">
        <v>160</v>
      </c>
      <c r="O29" s="156" t="s">
        <v>3005</v>
      </c>
      <c r="P29" s="2" t="s">
        <v>2008</v>
      </c>
      <c r="Q29" s="2" t="s">
        <v>448</v>
      </c>
      <c r="R29" s="2" t="s">
        <v>440</v>
      </c>
      <c r="S29" s="2" t="s">
        <v>34</v>
      </c>
      <c r="T29" s="123">
        <v>3.48</v>
      </c>
      <c r="U29" s="2" t="s">
        <v>2482</v>
      </c>
      <c r="V29" s="138">
        <v>3.7400000000000003E-2</v>
      </c>
      <c r="W29" s="138">
        <v>4.4499999999999998E-2</v>
      </c>
      <c r="X29" s="3" t="s">
        <v>445</v>
      </c>
      <c r="Y29" s="3" t="s">
        <v>160</v>
      </c>
      <c r="Z29" s="2" t="s">
        <v>926</v>
      </c>
      <c r="AA29" s="2" t="s">
        <v>194</v>
      </c>
      <c r="AB29" s="156" t="s">
        <v>161</v>
      </c>
      <c r="AC29" s="156" t="s">
        <v>161</v>
      </c>
      <c r="AD29" s="123">
        <v>319499.99</v>
      </c>
      <c r="AE29" s="132">
        <v>1</v>
      </c>
      <c r="AF29" s="149">
        <v>105.72</v>
      </c>
      <c r="AG29" s="123">
        <v>337.77499999999998</v>
      </c>
      <c r="AH29" s="2"/>
      <c r="AI29" s="2"/>
      <c r="AJ29" s="2" t="s">
        <v>36</v>
      </c>
      <c r="AK29" s="138">
        <v>0.19511878528564799</v>
      </c>
      <c r="AL29" s="138">
        <v>3.5573340558430599E-3</v>
      </c>
    </row>
    <row r="30" spans="1:38">
      <c r="A30" s="2">
        <v>161</v>
      </c>
      <c r="B30" s="2">
        <v>9942</v>
      </c>
      <c r="C30" s="2" t="s">
        <v>3006</v>
      </c>
      <c r="D30" s="2" t="s">
        <v>3007</v>
      </c>
      <c r="E30" s="3" t="s">
        <v>1351</v>
      </c>
      <c r="F30" s="2" t="s">
        <v>3008</v>
      </c>
      <c r="G30" s="2" t="s">
        <v>3009</v>
      </c>
      <c r="H30" s="2" t="s">
        <v>209</v>
      </c>
      <c r="I30" s="2" t="s">
        <v>998</v>
      </c>
      <c r="J30" s="2" t="s">
        <v>30</v>
      </c>
      <c r="K30" s="2" t="s">
        <v>30</v>
      </c>
      <c r="L30" s="3" t="s">
        <v>362</v>
      </c>
      <c r="M30" s="2" t="s">
        <v>495</v>
      </c>
      <c r="N30" s="2" t="s">
        <v>160</v>
      </c>
      <c r="O30" s="156" t="s">
        <v>3010</v>
      </c>
      <c r="P30" s="2" t="s">
        <v>1355</v>
      </c>
      <c r="Q30" s="2" t="s">
        <v>448</v>
      </c>
      <c r="R30" s="2" t="s">
        <v>440</v>
      </c>
      <c r="S30" s="2" t="s">
        <v>34</v>
      </c>
      <c r="T30" s="123">
        <v>1.46</v>
      </c>
      <c r="U30" s="2" t="s">
        <v>2282</v>
      </c>
      <c r="V30" s="138">
        <v>4.6300000000000001E-2</v>
      </c>
      <c r="W30" s="138">
        <v>3.1E-2</v>
      </c>
      <c r="X30" s="3" t="s">
        <v>445</v>
      </c>
      <c r="Y30" s="3" t="s">
        <v>160</v>
      </c>
      <c r="Z30" s="2" t="s">
        <v>926</v>
      </c>
      <c r="AA30" s="2" t="s">
        <v>2984</v>
      </c>
      <c r="AB30" s="156" t="s">
        <v>161</v>
      </c>
      <c r="AC30" s="156" t="s">
        <v>161</v>
      </c>
      <c r="AD30" s="123">
        <v>84021.61</v>
      </c>
      <c r="AE30" s="132">
        <v>1</v>
      </c>
      <c r="AF30" s="149">
        <v>97.91</v>
      </c>
      <c r="AG30" s="123">
        <v>82.266000000000005</v>
      </c>
      <c r="AH30" s="2"/>
      <c r="AI30" s="2"/>
      <c r="AJ30" s="2" t="s">
        <v>36</v>
      </c>
      <c r="AK30" s="138">
        <v>4.7521389416425301E-2</v>
      </c>
      <c r="AL30" s="138">
        <v>8.6639252445399597E-4</v>
      </c>
    </row>
    <row r="31" spans="1:38">
      <c r="A31" s="2">
        <v>161</v>
      </c>
      <c r="B31" s="2">
        <v>9942</v>
      </c>
      <c r="C31" s="2" t="s">
        <v>3011</v>
      </c>
      <c r="D31" s="2" t="s">
        <v>3012</v>
      </c>
      <c r="E31" s="3" t="s">
        <v>1351</v>
      </c>
      <c r="F31" s="2" t="s">
        <v>3013</v>
      </c>
      <c r="G31" s="2" t="s">
        <v>3014</v>
      </c>
      <c r="H31" s="2" t="s">
        <v>209</v>
      </c>
      <c r="I31" s="2" t="s">
        <v>998</v>
      </c>
      <c r="J31" s="2" t="s">
        <v>30</v>
      </c>
      <c r="K31" s="2" t="s">
        <v>30</v>
      </c>
      <c r="L31" s="3" t="s">
        <v>362</v>
      </c>
      <c r="M31" s="2" t="s">
        <v>510</v>
      </c>
      <c r="N31" s="2" t="s">
        <v>160</v>
      </c>
      <c r="O31" s="156" t="s">
        <v>3015</v>
      </c>
      <c r="P31" s="2" t="s">
        <v>1355</v>
      </c>
      <c r="Q31" s="2" t="s">
        <v>448</v>
      </c>
      <c r="R31" s="2" t="s">
        <v>440</v>
      </c>
      <c r="S31" s="2" t="s">
        <v>34</v>
      </c>
      <c r="T31" s="123">
        <v>0.46</v>
      </c>
      <c r="U31" s="2" t="s">
        <v>3016</v>
      </c>
      <c r="V31" s="138">
        <v>5.1999999999999998E-2</v>
      </c>
      <c r="W31" s="138">
        <v>6.5000000000000002E-2</v>
      </c>
      <c r="X31" s="3" t="s">
        <v>445</v>
      </c>
      <c r="Y31" s="3" t="s">
        <v>160</v>
      </c>
      <c r="Z31" s="2" t="s">
        <v>926</v>
      </c>
      <c r="AA31" s="2" t="s">
        <v>194</v>
      </c>
      <c r="AB31" s="156" t="s">
        <v>161</v>
      </c>
      <c r="AC31" s="156" t="s">
        <v>161</v>
      </c>
      <c r="AD31" s="123">
        <v>27900.94</v>
      </c>
      <c r="AE31" s="132">
        <v>1</v>
      </c>
      <c r="AF31" s="149">
        <v>100.81</v>
      </c>
      <c r="AG31" s="123">
        <v>28.126999999999999</v>
      </c>
      <c r="AH31" s="2"/>
      <c r="AI31" s="2"/>
      <c r="AJ31" s="2" t="s">
        <v>36</v>
      </c>
      <c r="AK31" s="138">
        <v>1.6247761301800601E-2</v>
      </c>
      <c r="AL31" s="138">
        <v>2.9622321872027098E-4</v>
      </c>
    </row>
    <row r="32" spans="1:38">
      <c r="A32" s="2">
        <v>161</v>
      </c>
      <c r="B32" s="2">
        <v>9942</v>
      </c>
      <c r="C32" s="2" t="s">
        <v>3017</v>
      </c>
      <c r="D32" s="2" t="s">
        <v>3018</v>
      </c>
      <c r="E32" s="3" t="s">
        <v>1351</v>
      </c>
      <c r="F32" s="2" t="s">
        <v>3019</v>
      </c>
      <c r="G32" s="2" t="s">
        <v>3020</v>
      </c>
      <c r="H32" s="2" t="s">
        <v>209</v>
      </c>
      <c r="I32" s="2" t="s">
        <v>788</v>
      </c>
      <c r="J32" s="2" t="s">
        <v>30</v>
      </c>
      <c r="K32" s="2" t="s">
        <v>30</v>
      </c>
      <c r="L32" s="3" t="s">
        <v>362</v>
      </c>
      <c r="M32" s="2" t="s">
        <v>477</v>
      </c>
      <c r="N32" s="2" t="s">
        <v>160</v>
      </c>
      <c r="O32" s="156" t="s">
        <v>3021</v>
      </c>
      <c r="P32" s="2" t="s">
        <v>1199</v>
      </c>
      <c r="Q32" s="2" t="s">
        <v>446</v>
      </c>
      <c r="R32" s="2" t="s">
        <v>440</v>
      </c>
      <c r="S32" s="2" t="s">
        <v>34</v>
      </c>
      <c r="T32" s="123">
        <v>4.38</v>
      </c>
      <c r="U32" s="2" t="s">
        <v>3022</v>
      </c>
      <c r="V32" s="138">
        <v>2.4899999999999999E-2</v>
      </c>
      <c r="W32" s="138">
        <v>2.3217999999999999E-2</v>
      </c>
      <c r="X32" s="3" t="s">
        <v>445</v>
      </c>
      <c r="Y32" s="3" t="s">
        <v>160</v>
      </c>
      <c r="Z32" s="2" t="s">
        <v>926</v>
      </c>
      <c r="AA32" s="2" t="s">
        <v>2984</v>
      </c>
      <c r="AB32" s="156" t="s">
        <v>161</v>
      </c>
      <c r="AC32" s="156" t="s">
        <v>161</v>
      </c>
      <c r="AD32" s="123">
        <v>125053.58</v>
      </c>
      <c r="AE32" s="132">
        <v>1</v>
      </c>
      <c r="AF32" s="149">
        <v>117.69</v>
      </c>
      <c r="AG32" s="123">
        <v>147.17599999999999</v>
      </c>
      <c r="AH32" s="2"/>
      <c r="AI32" s="2"/>
      <c r="AJ32" s="2" t="s">
        <v>36</v>
      </c>
      <c r="AK32" s="138">
        <v>8.5017195030855003E-2</v>
      </c>
      <c r="AL32" s="138">
        <v>1.5500022859037199E-3</v>
      </c>
    </row>
    <row r="33" spans="1:38">
      <c r="A33" s="2">
        <v>161</v>
      </c>
      <c r="B33" s="2">
        <v>9942</v>
      </c>
      <c r="C33" s="2" t="s">
        <v>3017</v>
      </c>
      <c r="D33" s="2" t="s">
        <v>3018</v>
      </c>
      <c r="E33" s="3" t="s">
        <v>1351</v>
      </c>
      <c r="F33" s="2" t="s">
        <v>3023</v>
      </c>
      <c r="G33" s="2" t="s">
        <v>3024</v>
      </c>
      <c r="H33" s="2" t="s">
        <v>209</v>
      </c>
      <c r="I33" s="2" t="s">
        <v>998</v>
      </c>
      <c r="J33" s="2" t="s">
        <v>30</v>
      </c>
      <c r="K33" s="2" t="s">
        <v>30</v>
      </c>
      <c r="L33" s="3" t="s">
        <v>362</v>
      </c>
      <c r="M33" s="2" t="s">
        <v>477</v>
      </c>
      <c r="N33" s="2" t="s">
        <v>160</v>
      </c>
      <c r="O33" s="156" t="s">
        <v>3021</v>
      </c>
      <c r="P33" s="2" t="s">
        <v>1199</v>
      </c>
      <c r="Q33" s="2" t="s">
        <v>446</v>
      </c>
      <c r="R33" s="2" t="s">
        <v>440</v>
      </c>
      <c r="S33" s="2" t="s">
        <v>34</v>
      </c>
      <c r="T33" s="123">
        <v>0.7</v>
      </c>
      <c r="U33" s="2" t="s">
        <v>3016</v>
      </c>
      <c r="V33" s="138">
        <v>4.7199999999999999E-2</v>
      </c>
      <c r="W33" s="138">
        <v>2.7119999999999998E-2</v>
      </c>
      <c r="X33" s="3" t="s">
        <v>445</v>
      </c>
      <c r="Y33" s="3" t="s">
        <v>160</v>
      </c>
      <c r="Z33" s="2" t="s">
        <v>926</v>
      </c>
      <c r="AA33" s="2" t="s">
        <v>2984</v>
      </c>
      <c r="AB33" s="156" t="s">
        <v>161</v>
      </c>
      <c r="AC33" s="156" t="s">
        <v>161</v>
      </c>
      <c r="AD33" s="123">
        <v>73875.66</v>
      </c>
      <c r="AE33" s="132">
        <v>1</v>
      </c>
      <c r="AF33" s="149">
        <v>99.24</v>
      </c>
      <c r="AG33" s="123">
        <v>73.313999999999993</v>
      </c>
      <c r="AH33" s="2"/>
      <c r="AI33" s="2"/>
      <c r="AJ33" s="2" t="s">
        <v>36</v>
      </c>
      <c r="AK33" s="138">
        <v>4.2350565104478398E-2</v>
      </c>
      <c r="AL33" s="138">
        <v>7.7211995405673198E-4</v>
      </c>
    </row>
    <row r="34" spans="1:38">
      <c r="A34" s="2">
        <v>161</v>
      </c>
      <c r="B34" s="2">
        <v>9942</v>
      </c>
      <c r="C34" s="2" t="s">
        <v>3017</v>
      </c>
      <c r="D34" s="2" t="s">
        <v>3018</v>
      </c>
      <c r="E34" s="3" t="s">
        <v>1351</v>
      </c>
      <c r="F34" s="2" t="s">
        <v>3026</v>
      </c>
      <c r="G34" s="2" t="s">
        <v>3027</v>
      </c>
      <c r="H34" s="2" t="s">
        <v>209</v>
      </c>
      <c r="I34" s="2" t="s">
        <v>998</v>
      </c>
      <c r="J34" s="2" t="s">
        <v>30</v>
      </c>
      <c r="K34" s="2" t="s">
        <v>30</v>
      </c>
      <c r="L34" s="3" t="s">
        <v>362</v>
      </c>
      <c r="M34" s="2" t="s">
        <v>477</v>
      </c>
      <c r="N34" s="2" t="s">
        <v>160</v>
      </c>
      <c r="O34" s="156" t="s">
        <v>3025</v>
      </c>
      <c r="P34" s="2" t="s">
        <v>1199</v>
      </c>
      <c r="Q34" s="2" t="s">
        <v>446</v>
      </c>
      <c r="R34" s="2" t="s">
        <v>440</v>
      </c>
      <c r="S34" s="2" t="s">
        <v>34</v>
      </c>
      <c r="T34" s="123">
        <v>4.13</v>
      </c>
      <c r="U34" s="2" t="s">
        <v>3022</v>
      </c>
      <c r="V34" s="138">
        <v>4.65E-2</v>
      </c>
      <c r="W34" s="138">
        <v>4.0579999999999998E-2</v>
      </c>
      <c r="X34" s="3" t="s">
        <v>445</v>
      </c>
      <c r="Y34" s="3" t="s">
        <v>160</v>
      </c>
      <c r="Z34" s="2" t="s">
        <v>926</v>
      </c>
      <c r="AA34" s="2" t="s">
        <v>2984</v>
      </c>
      <c r="AB34" s="156" t="s">
        <v>161</v>
      </c>
      <c r="AC34" s="156" t="s">
        <v>161</v>
      </c>
      <c r="AD34" s="123">
        <v>264398.98</v>
      </c>
      <c r="AE34" s="132">
        <v>1</v>
      </c>
      <c r="AF34" s="149">
        <v>97.6</v>
      </c>
      <c r="AG34" s="123">
        <v>258.053</v>
      </c>
      <c r="AH34" s="2"/>
      <c r="AI34" s="2"/>
      <c r="AJ34" s="2" t="s">
        <v>36</v>
      </c>
      <c r="AK34" s="138">
        <v>0.149066712368328</v>
      </c>
      <c r="AL34" s="138">
        <v>2.7177295703440301E-3</v>
      </c>
    </row>
    <row r="35" spans="1:38">
      <c r="A35" s="2">
        <v>161</v>
      </c>
      <c r="B35" s="2">
        <v>9942</v>
      </c>
      <c r="C35" s="2" t="s">
        <v>3035</v>
      </c>
      <c r="D35" s="2" t="s">
        <v>3036</v>
      </c>
      <c r="E35" s="3" t="s">
        <v>206</v>
      </c>
      <c r="F35" s="2" t="s">
        <v>3037</v>
      </c>
      <c r="G35" s="2" t="s">
        <v>3038</v>
      </c>
      <c r="H35" s="2" t="s">
        <v>209</v>
      </c>
      <c r="I35" s="2" t="s">
        <v>789</v>
      </c>
      <c r="J35" s="2" t="s">
        <v>30</v>
      </c>
      <c r="K35" s="2" t="s">
        <v>30</v>
      </c>
      <c r="L35" s="3" t="s">
        <v>362</v>
      </c>
      <c r="M35" s="2" t="s">
        <v>485</v>
      </c>
      <c r="N35" s="2" t="s">
        <v>160</v>
      </c>
      <c r="O35" s="156" t="s">
        <v>3039</v>
      </c>
      <c r="P35" s="2" t="s">
        <v>3040</v>
      </c>
      <c r="Q35" s="2" t="s">
        <v>464</v>
      </c>
      <c r="R35" s="2" t="s">
        <v>440</v>
      </c>
      <c r="S35" s="2" t="s">
        <v>90</v>
      </c>
      <c r="T35" s="123">
        <v>2.5489999999999999</v>
      </c>
      <c r="U35" s="2" t="s">
        <v>3041</v>
      </c>
      <c r="V35" s="138">
        <v>7.4149999999999994E-2</v>
      </c>
      <c r="W35" s="138">
        <v>5.3749999999999999E-2</v>
      </c>
      <c r="X35" s="3" t="s">
        <v>445</v>
      </c>
      <c r="Y35" s="3" t="s">
        <v>160</v>
      </c>
      <c r="Z35" s="2" t="s">
        <v>135</v>
      </c>
      <c r="AA35" s="2" t="s">
        <v>194</v>
      </c>
      <c r="AB35" s="156" t="s">
        <v>161</v>
      </c>
      <c r="AC35" s="156" t="s">
        <v>161</v>
      </c>
      <c r="AD35" s="123">
        <v>30700</v>
      </c>
      <c r="AE35" s="132">
        <v>3.3719999999999999</v>
      </c>
      <c r="AF35" s="149">
        <v>98.35</v>
      </c>
      <c r="AG35" s="123">
        <v>101.812</v>
      </c>
      <c r="AH35" s="2"/>
      <c r="AI35" s="2"/>
      <c r="AJ35" s="2" t="s">
        <v>36</v>
      </c>
      <c r="AK35" s="138">
        <v>5.8812736331591703E-2</v>
      </c>
      <c r="AL35" s="138">
        <v>1.07225221581511E-3</v>
      </c>
    </row>
    <row r="36" spans="1:38">
      <c r="A36" s="2">
        <v>161</v>
      </c>
      <c r="B36" s="2">
        <v>9942</v>
      </c>
      <c r="C36" s="2" t="s">
        <v>3028</v>
      </c>
      <c r="D36" s="2" t="s">
        <v>3029</v>
      </c>
      <c r="E36" s="3" t="s">
        <v>1351</v>
      </c>
      <c r="F36" s="2" t="s">
        <v>3030</v>
      </c>
      <c r="G36" s="2" t="s">
        <v>3031</v>
      </c>
      <c r="H36" s="2" t="s">
        <v>209</v>
      </c>
      <c r="I36" s="2" t="s">
        <v>789</v>
      </c>
      <c r="J36" s="2" t="s">
        <v>85</v>
      </c>
      <c r="K36" s="2" t="s">
        <v>86</v>
      </c>
      <c r="L36" s="3" t="s">
        <v>362</v>
      </c>
      <c r="M36" s="2" t="s">
        <v>518</v>
      </c>
      <c r="N36" s="2" t="s">
        <v>160</v>
      </c>
      <c r="O36" s="156" t="s">
        <v>3032</v>
      </c>
      <c r="P36" s="2" t="s">
        <v>3033</v>
      </c>
      <c r="Q36" s="2" t="s">
        <v>137</v>
      </c>
      <c r="R36" s="2" t="s">
        <v>440</v>
      </c>
      <c r="S36" s="2" t="s">
        <v>90</v>
      </c>
      <c r="T36" s="123">
        <v>1.9019999999999999</v>
      </c>
      <c r="U36" s="2" t="s">
        <v>2282</v>
      </c>
      <c r="V36" s="138">
        <v>7.0449999999999999E-2</v>
      </c>
      <c r="W36" s="138">
        <v>6.5000000000000002E-2</v>
      </c>
      <c r="X36" s="3" t="s">
        <v>445</v>
      </c>
      <c r="Y36" s="3" t="s">
        <v>160</v>
      </c>
      <c r="Z36" s="2" t="s">
        <v>926</v>
      </c>
      <c r="AA36" s="2" t="s">
        <v>194</v>
      </c>
      <c r="AB36" s="156" t="s">
        <v>161</v>
      </c>
      <c r="AC36" s="156" t="s">
        <v>161</v>
      </c>
      <c r="AD36" s="123">
        <v>14000</v>
      </c>
      <c r="AE36" s="132">
        <v>3.3719999999999999</v>
      </c>
      <c r="AF36" s="149">
        <v>99.94</v>
      </c>
      <c r="AG36" s="123">
        <v>48.713999999999999</v>
      </c>
      <c r="AH36" s="2"/>
      <c r="AI36" s="2"/>
      <c r="AJ36" s="2" t="s">
        <v>36</v>
      </c>
      <c r="AK36" s="138">
        <v>2.8140013038853599E-2</v>
      </c>
      <c r="AL36" s="138">
        <v>5.1303838617298297E-4</v>
      </c>
    </row>
    <row r="37" spans="1:38">
      <c r="A37" s="2">
        <v>161</v>
      </c>
      <c r="B37" s="2">
        <v>9943</v>
      </c>
      <c r="C37" s="2" t="s">
        <v>3042</v>
      </c>
      <c r="D37" s="2" t="s">
        <v>3043</v>
      </c>
      <c r="E37" s="3" t="s">
        <v>206</v>
      </c>
      <c r="F37" s="2" t="s">
        <v>3044</v>
      </c>
      <c r="G37" s="2" t="s">
        <v>3045</v>
      </c>
      <c r="H37" s="2" t="s">
        <v>209</v>
      </c>
      <c r="I37" s="2" t="s">
        <v>789</v>
      </c>
      <c r="J37" s="2" t="s">
        <v>85</v>
      </c>
      <c r="K37" s="2" t="s">
        <v>256</v>
      </c>
      <c r="L37" s="3" t="s">
        <v>362</v>
      </c>
      <c r="M37" s="2" t="s">
        <v>1898</v>
      </c>
      <c r="N37" s="2" t="s">
        <v>160</v>
      </c>
      <c r="O37" s="156" t="s">
        <v>2965</v>
      </c>
      <c r="P37" s="2" t="s">
        <v>211</v>
      </c>
      <c r="Q37" s="2" t="s">
        <v>211</v>
      </c>
      <c r="R37" s="2" t="s">
        <v>211</v>
      </c>
      <c r="S37" s="2" t="s">
        <v>90</v>
      </c>
      <c r="T37" s="123">
        <v>17.510000000000002</v>
      </c>
      <c r="U37" s="2" t="s">
        <v>3046</v>
      </c>
      <c r="V37" s="138">
        <v>1.1039999999999999E-2</v>
      </c>
      <c r="W37" s="138">
        <v>0</v>
      </c>
      <c r="X37" s="3" t="s">
        <v>445</v>
      </c>
      <c r="Y37" s="3" t="s">
        <v>160</v>
      </c>
      <c r="Z37" s="2" t="s">
        <v>135</v>
      </c>
      <c r="AA37" s="2" t="s">
        <v>194</v>
      </c>
      <c r="AB37" s="156" t="s">
        <v>212</v>
      </c>
      <c r="AC37" s="156" t="s">
        <v>2950</v>
      </c>
      <c r="AD37" s="123">
        <v>440000</v>
      </c>
      <c r="AE37" s="132">
        <v>3.3719999999999999</v>
      </c>
      <c r="AF37" s="149">
        <v>0.1</v>
      </c>
      <c r="AG37" s="123">
        <v>1.484</v>
      </c>
      <c r="AH37" s="2"/>
      <c r="AI37" s="2"/>
      <c r="AJ37" s="2" t="s">
        <v>36</v>
      </c>
      <c r="AK37" s="138">
        <v>1.01874674775155E-4</v>
      </c>
      <c r="AL37" s="138">
        <v>7.8681845108920098E-7</v>
      </c>
    </row>
    <row r="38" spans="1:38">
      <c r="A38" s="2">
        <v>161</v>
      </c>
      <c r="B38" s="2">
        <v>9943</v>
      </c>
      <c r="C38" s="2" t="s">
        <v>2957</v>
      </c>
      <c r="D38" s="2" t="s">
        <v>2958</v>
      </c>
      <c r="E38" s="3" t="s">
        <v>1351</v>
      </c>
      <c r="F38" s="2" t="s">
        <v>3047</v>
      </c>
      <c r="G38" s="2" t="s">
        <v>3048</v>
      </c>
      <c r="H38" s="2" t="s">
        <v>209</v>
      </c>
      <c r="I38" s="2" t="s">
        <v>788</v>
      </c>
      <c r="J38" s="2" t="s">
        <v>30</v>
      </c>
      <c r="K38" s="2" t="s">
        <v>30</v>
      </c>
      <c r="L38" s="3" t="s">
        <v>362</v>
      </c>
      <c r="M38" s="2" t="s">
        <v>482</v>
      </c>
      <c r="N38" s="2" t="s">
        <v>160</v>
      </c>
      <c r="O38" s="156" t="s">
        <v>3049</v>
      </c>
      <c r="P38" s="2" t="s">
        <v>2598</v>
      </c>
      <c r="Q38" s="2" t="s">
        <v>446</v>
      </c>
      <c r="R38" s="2" t="s">
        <v>440</v>
      </c>
      <c r="S38" s="2" t="s">
        <v>34</v>
      </c>
      <c r="T38" s="123">
        <v>0.01</v>
      </c>
      <c r="U38" s="2" t="s">
        <v>1366</v>
      </c>
      <c r="V38" s="138">
        <v>1E-4</v>
      </c>
      <c r="W38" s="138">
        <v>5.3499999999999999E-2</v>
      </c>
      <c r="X38" s="3" t="s">
        <v>444</v>
      </c>
      <c r="Y38" s="3" t="s">
        <v>160</v>
      </c>
      <c r="Z38" s="2" t="s">
        <v>924</v>
      </c>
      <c r="AA38" s="2" t="s">
        <v>194</v>
      </c>
      <c r="AB38" s="156" t="s">
        <v>161</v>
      </c>
      <c r="AC38" s="156" t="s">
        <v>161</v>
      </c>
      <c r="AD38" s="123">
        <v>1944828.12</v>
      </c>
      <c r="AE38" s="132">
        <v>1</v>
      </c>
      <c r="AF38" s="149">
        <v>14.78</v>
      </c>
      <c r="AG38" s="123">
        <v>287.44600000000003</v>
      </c>
      <c r="AH38" s="2"/>
      <c r="AI38" s="2"/>
      <c r="AJ38" s="2" t="s">
        <v>36</v>
      </c>
      <c r="AK38" s="138">
        <v>1.9737023227316901E-2</v>
      </c>
      <c r="AL38" s="138">
        <v>1.5243684536028E-4</v>
      </c>
    </row>
    <row r="39" spans="1:38">
      <c r="A39" s="2">
        <v>161</v>
      </c>
      <c r="B39" s="2">
        <v>9943</v>
      </c>
      <c r="C39" s="2" t="s">
        <v>3050</v>
      </c>
      <c r="D39" s="2" t="s">
        <v>3051</v>
      </c>
      <c r="E39" s="3" t="s">
        <v>349</v>
      </c>
      <c r="F39" s="2" t="s">
        <v>3052</v>
      </c>
      <c r="G39" s="2" t="s">
        <v>3053</v>
      </c>
      <c r="H39" s="2" t="s">
        <v>209</v>
      </c>
      <c r="I39" s="2" t="s">
        <v>788</v>
      </c>
      <c r="J39" s="2" t="s">
        <v>30</v>
      </c>
      <c r="K39" s="2" t="s">
        <v>30</v>
      </c>
      <c r="L39" s="3" t="s">
        <v>362</v>
      </c>
      <c r="M39" s="2" t="s">
        <v>482</v>
      </c>
      <c r="N39" s="2" t="s">
        <v>160</v>
      </c>
      <c r="O39" s="156" t="s">
        <v>189</v>
      </c>
      <c r="P39" s="2" t="s">
        <v>2598</v>
      </c>
      <c r="Q39" s="2" t="s">
        <v>448</v>
      </c>
      <c r="R39" s="2" t="s">
        <v>440</v>
      </c>
      <c r="S39" s="2" t="s">
        <v>34</v>
      </c>
      <c r="T39" s="123">
        <v>1.95</v>
      </c>
      <c r="U39" s="2" t="s">
        <v>3054</v>
      </c>
      <c r="V39" s="138">
        <v>1E-4</v>
      </c>
      <c r="W39" s="138">
        <v>5.7500000000000002E-2</v>
      </c>
      <c r="X39" s="3" t="s">
        <v>444</v>
      </c>
      <c r="Y39" s="3" t="s">
        <v>374</v>
      </c>
      <c r="Z39" s="2" t="s">
        <v>135</v>
      </c>
      <c r="AA39" s="2" t="s">
        <v>194</v>
      </c>
      <c r="AB39" s="156" t="s">
        <v>3055</v>
      </c>
      <c r="AC39" s="156" t="s">
        <v>2950</v>
      </c>
      <c r="AD39" s="123">
        <v>353484.96</v>
      </c>
      <c r="AE39" s="132">
        <v>1</v>
      </c>
      <c r="AF39" s="149">
        <v>0</v>
      </c>
      <c r="AG39" s="123">
        <v>0</v>
      </c>
      <c r="AH39" s="2"/>
      <c r="AI39" s="2"/>
      <c r="AJ39" s="2" t="s">
        <v>36</v>
      </c>
      <c r="AK39" s="138">
        <v>2.4271517670864798E-10</v>
      </c>
      <c r="AL39" s="138">
        <v>1.8745854140416298E-12</v>
      </c>
    </row>
    <row r="40" spans="1:38">
      <c r="A40" s="2">
        <v>161</v>
      </c>
      <c r="B40" s="2">
        <v>9943</v>
      </c>
      <c r="C40" s="2" t="s">
        <v>2979</v>
      </c>
      <c r="D40" s="2" t="s">
        <v>2980</v>
      </c>
      <c r="E40" s="3" t="s">
        <v>1351</v>
      </c>
      <c r="F40" s="2" t="s">
        <v>2981</v>
      </c>
      <c r="G40" s="2" t="s">
        <v>2982</v>
      </c>
      <c r="H40" s="2" t="s">
        <v>209</v>
      </c>
      <c r="I40" s="2" t="s">
        <v>788</v>
      </c>
      <c r="J40" s="2" t="s">
        <v>30</v>
      </c>
      <c r="K40" s="2" t="s">
        <v>30</v>
      </c>
      <c r="L40" s="3" t="s">
        <v>362</v>
      </c>
      <c r="M40" s="2" t="s">
        <v>495</v>
      </c>
      <c r="N40" s="2" t="s">
        <v>160</v>
      </c>
      <c r="O40" s="156" t="s">
        <v>2983</v>
      </c>
      <c r="P40" s="2" t="s">
        <v>1965</v>
      </c>
      <c r="Q40" s="2" t="s">
        <v>446</v>
      </c>
      <c r="R40" s="2" t="s">
        <v>440</v>
      </c>
      <c r="S40" s="2" t="s">
        <v>34</v>
      </c>
      <c r="T40" s="123">
        <v>3.16</v>
      </c>
      <c r="U40" s="2" t="s">
        <v>2349</v>
      </c>
      <c r="V40" s="138">
        <v>3.4000000000000002E-2</v>
      </c>
      <c r="W40" s="138">
        <v>3.8399999999999997E-2</v>
      </c>
      <c r="X40" s="3" t="s">
        <v>445</v>
      </c>
      <c r="Y40" s="3" t="s">
        <v>160</v>
      </c>
      <c r="Z40" s="2" t="s">
        <v>926</v>
      </c>
      <c r="AA40" s="2" t="s">
        <v>2984</v>
      </c>
      <c r="AB40" s="156" t="s">
        <v>161</v>
      </c>
      <c r="AC40" s="156" t="s">
        <v>161</v>
      </c>
      <c r="AD40" s="123">
        <v>1131883</v>
      </c>
      <c r="AE40" s="132">
        <v>1</v>
      </c>
      <c r="AF40" s="149">
        <v>104.58</v>
      </c>
      <c r="AG40" s="123">
        <v>1183.723</v>
      </c>
      <c r="AH40" s="2"/>
      <c r="AI40" s="2"/>
      <c r="AJ40" s="2" t="s">
        <v>36</v>
      </c>
      <c r="AK40" s="138">
        <v>8.1278591233566094E-2</v>
      </c>
      <c r="AL40" s="138">
        <v>6.2774674277245497E-4</v>
      </c>
    </row>
    <row r="41" spans="1:38">
      <c r="A41" s="2">
        <v>161</v>
      </c>
      <c r="B41" s="2">
        <v>9943</v>
      </c>
      <c r="C41" s="2" t="s">
        <v>3056</v>
      </c>
      <c r="D41" s="2" t="s">
        <v>3057</v>
      </c>
      <c r="E41" s="3" t="s">
        <v>1351</v>
      </c>
      <c r="F41" s="2" t="s">
        <v>3058</v>
      </c>
      <c r="G41" s="2" t="s">
        <v>3059</v>
      </c>
      <c r="H41" s="2" t="s">
        <v>209</v>
      </c>
      <c r="I41" s="2" t="s">
        <v>788</v>
      </c>
      <c r="J41" s="2" t="s">
        <v>30</v>
      </c>
      <c r="K41" s="2" t="s">
        <v>30</v>
      </c>
      <c r="L41" s="3" t="s">
        <v>362</v>
      </c>
      <c r="M41" s="2" t="s">
        <v>495</v>
      </c>
      <c r="N41" s="2" t="s">
        <v>160</v>
      </c>
      <c r="O41" s="156" t="s">
        <v>189</v>
      </c>
      <c r="P41" s="2" t="s">
        <v>211</v>
      </c>
      <c r="Q41" s="2" t="s">
        <v>211</v>
      </c>
      <c r="R41" s="2" t="s">
        <v>211</v>
      </c>
      <c r="S41" s="2" t="s">
        <v>34</v>
      </c>
      <c r="T41" s="123">
        <v>0</v>
      </c>
      <c r="U41" s="2" t="s">
        <v>3060</v>
      </c>
      <c r="V41" s="138">
        <v>1E-4</v>
      </c>
      <c r="W41" s="138">
        <v>0</v>
      </c>
      <c r="X41" s="3" t="s">
        <v>444</v>
      </c>
      <c r="Y41" s="3" t="s">
        <v>374</v>
      </c>
      <c r="Z41" s="2" t="s">
        <v>135</v>
      </c>
      <c r="AA41" s="2" t="s">
        <v>194</v>
      </c>
      <c r="AB41" s="156" t="s">
        <v>3055</v>
      </c>
      <c r="AC41" s="156" t="s">
        <v>2950</v>
      </c>
      <c r="AD41" s="123">
        <v>502.56</v>
      </c>
      <c r="AE41" s="132">
        <v>1</v>
      </c>
      <c r="AF41" s="149">
        <v>0</v>
      </c>
      <c r="AG41" s="123">
        <v>0</v>
      </c>
      <c r="AH41" s="2"/>
      <c r="AI41" s="2"/>
      <c r="AJ41" s="2" t="s">
        <v>36</v>
      </c>
      <c r="AK41" s="138">
        <v>3.45075329956607E-13</v>
      </c>
      <c r="AL41" s="138">
        <v>2.665153407604E-15</v>
      </c>
    </row>
    <row r="42" spans="1:38">
      <c r="A42" s="2">
        <v>161</v>
      </c>
      <c r="B42" s="2">
        <v>9943</v>
      </c>
      <c r="C42" s="2" t="s">
        <v>3056</v>
      </c>
      <c r="D42" s="2" t="s">
        <v>3057</v>
      </c>
      <c r="E42" s="3" t="s">
        <v>1351</v>
      </c>
      <c r="F42" s="2" t="s">
        <v>3061</v>
      </c>
      <c r="G42" s="2" t="s">
        <v>3062</v>
      </c>
      <c r="H42" s="2" t="s">
        <v>209</v>
      </c>
      <c r="I42" s="2" t="s">
        <v>788</v>
      </c>
      <c r="J42" s="2" t="s">
        <v>30</v>
      </c>
      <c r="K42" s="2" t="s">
        <v>30</v>
      </c>
      <c r="L42" s="3" t="s">
        <v>362</v>
      </c>
      <c r="M42" s="2" t="s">
        <v>478</v>
      </c>
      <c r="N42" s="2" t="s">
        <v>160</v>
      </c>
      <c r="O42" s="156" t="s">
        <v>189</v>
      </c>
      <c r="P42" s="2" t="s">
        <v>211</v>
      </c>
      <c r="Q42" s="2" t="s">
        <v>211</v>
      </c>
      <c r="R42" s="2" t="s">
        <v>211</v>
      </c>
      <c r="S42" s="2" t="s">
        <v>34</v>
      </c>
      <c r="T42" s="123">
        <v>0.01</v>
      </c>
      <c r="U42" s="2" t="s">
        <v>3060</v>
      </c>
      <c r="V42" s="138">
        <v>0</v>
      </c>
      <c r="W42" s="138">
        <v>0.06</v>
      </c>
      <c r="X42" s="3" t="s">
        <v>444</v>
      </c>
      <c r="Y42" s="3" t="s">
        <v>374</v>
      </c>
      <c r="Z42" s="2" t="s">
        <v>135</v>
      </c>
      <c r="AA42" s="2" t="s">
        <v>194</v>
      </c>
      <c r="AB42" s="156" t="s">
        <v>3055</v>
      </c>
      <c r="AC42" s="156" t="s">
        <v>2950</v>
      </c>
      <c r="AD42" s="123">
        <v>3015.35</v>
      </c>
      <c r="AE42" s="132">
        <v>1</v>
      </c>
      <c r="AF42" s="149">
        <v>0</v>
      </c>
      <c r="AG42" s="123">
        <v>0</v>
      </c>
      <c r="AH42" s="2"/>
      <c r="AI42" s="2"/>
      <c r="AJ42" s="2" t="s">
        <v>36</v>
      </c>
      <c r="AK42" s="138">
        <v>2.0704451133887599E-12</v>
      </c>
      <c r="AL42" s="138">
        <v>1.59908674140773E-14</v>
      </c>
    </row>
    <row r="43" spans="1:38">
      <c r="A43" s="2">
        <v>161</v>
      </c>
      <c r="B43" s="2">
        <v>9943</v>
      </c>
      <c r="C43" s="2" t="s">
        <v>2985</v>
      </c>
      <c r="D43" s="2" t="s">
        <v>2986</v>
      </c>
      <c r="E43" s="3" t="s">
        <v>348</v>
      </c>
      <c r="F43" s="2" t="s">
        <v>2987</v>
      </c>
      <c r="G43" s="2" t="s">
        <v>2988</v>
      </c>
      <c r="H43" s="2" t="s">
        <v>209</v>
      </c>
      <c r="I43" s="2" t="s">
        <v>998</v>
      </c>
      <c r="J43" s="2" t="s">
        <v>30</v>
      </c>
      <c r="K43" s="2" t="s">
        <v>30</v>
      </c>
      <c r="L43" s="3" t="s">
        <v>362</v>
      </c>
      <c r="M43" s="2" t="s">
        <v>482</v>
      </c>
      <c r="N43" s="2" t="s">
        <v>160</v>
      </c>
      <c r="O43" s="156" t="s">
        <v>2989</v>
      </c>
      <c r="P43" s="2" t="s">
        <v>1965</v>
      </c>
      <c r="Q43" s="2" t="s">
        <v>446</v>
      </c>
      <c r="R43" s="2" t="s">
        <v>440</v>
      </c>
      <c r="S43" s="2" t="s">
        <v>34</v>
      </c>
      <c r="T43" s="123">
        <v>1.91</v>
      </c>
      <c r="U43" s="2" t="s">
        <v>2349</v>
      </c>
      <c r="V43" s="138">
        <v>5.0999999999999997E-2</v>
      </c>
      <c r="W43" s="138">
        <v>2.86E-2</v>
      </c>
      <c r="X43" s="3" t="s">
        <v>445</v>
      </c>
      <c r="Y43" s="3" t="s">
        <v>160</v>
      </c>
      <c r="Z43" s="2" t="s">
        <v>926</v>
      </c>
      <c r="AA43" s="2" t="s">
        <v>194</v>
      </c>
      <c r="AB43" s="156" t="s">
        <v>161</v>
      </c>
      <c r="AC43" s="156" t="s">
        <v>161</v>
      </c>
      <c r="AD43" s="123">
        <v>220000.03</v>
      </c>
      <c r="AE43" s="132">
        <v>1</v>
      </c>
      <c r="AF43" s="149">
        <v>97.29</v>
      </c>
      <c r="AG43" s="123">
        <v>214.03800000000001</v>
      </c>
      <c r="AH43" s="2"/>
      <c r="AI43" s="2"/>
      <c r="AJ43" s="2" t="s">
        <v>36</v>
      </c>
      <c r="AK43" s="138">
        <v>1.46966021062094E-2</v>
      </c>
      <c r="AL43" s="138">
        <v>1.13507677261337E-4</v>
      </c>
    </row>
    <row r="44" spans="1:38">
      <c r="A44" s="2">
        <v>161</v>
      </c>
      <c r="B44" s="2">
        <v>9943</v>
      </c>
      <c r="C44" s="2" t="s">
        <v>2990</v>
      </c>
      <c r="D44" s="2" t="s">
        <v>2991</v>
      </c>
      <c r="E44" s="3" t="s">
        <v>1351</v>
      </c>
      <c r="F44" s="2" t="s">
        <v>2992</v>
      </c>
      <c r="G44" s="2" t="s">
        <v>2993</v>
      </c>
      <c r="H44" s="2" t="s">
        <v>209</v>
      </c>
      <c r="I44" s="2" t="s">
        <v>998</v>
      </c>
      <c r="J44" s="2" t="s">
        <v>30</v>
      </c>
      <c r="K44" s="2" t="s">
        <v>30</v>
      </c>
      <c r="L44" s="3" t="s">
        <v>362</v>
      </c>
      <c r="M44" s="2" t="s">
        <v>482</v>
      </c>
      <c r="N44" s="2" t="s">
        <v>160</v>
      </c>
      <c r="O44" s="156" t="s">
        <v>3034</v>
      </c>
      <c r="P44" s="2" t="s">
        <v>2030</v>
      </c>
      <c r="Q44" s="2" t="s">
        <v>464</v>
      </c>
      <c r="R44" s="2" t="s">
        <v>440</v>
      </c>
      <c r="S44" s="2" t="s">
        <v>34</v>
      </c>
      <c r="T44" s="123">
        <v>1.72</v>
      </c>
      <c r="U44" s="2" t="s">
        <v>2282</v>
      </c>
      <c r="V44" s="138">
        <v>5.21E-2</v>
      </c>
      <c r="W44" s="138">
        <v>4.4699999999999997E-2</v>
      </c>
      <c r="X44" s="3" t="s">
        <v>445</v>
      </c>
      <c r="Y44" s="3" t="s">
        <v>160</v>
      </c>
      <c r="Z44" s="2" t="s">
        <v>926</v>
      </c>
      <c r="AA44" s="2" t="s">
        <v>2984</v>
      </c>
      <c r="AB44" s="156" t="s">
        <v>161</v>
      </c>
      <c r="AC44" s="156" t="s">
        <v>161</v>
      </c>
      <c r="AD44" s="123">
        <v>995561.64</v>
      </c>
      <c r="AE44" s="132">
        <v>1</v>
      </c>
      <c r="AF44" s="149">
        <v>98.87</v>
      </c>
      <c r="AG44" s="123">
        <v>984.31200000000001</v>
      </c>
      <c r="AH44" s="2"/>
      <c r="AI44" s="2"/>
      <c r="AJ44" s="2" t="s">
        <v>36</v>
      </c>
      <c r="AK44" s="138">
        <v>6.7586301518455502E-2</v>
      </c>
      <c r="AL44" s="138">
        <v>5.2199576777022395E-4</v>
      </c>
    </row>
    <row r="45" spans="1:38">
      <c r="A45" s="2">
        <v>161</v>
      </c>
      <c r="B45" s="2">
        <v>9943</v>
      </c>
      <c r="C45" s="2" t="s">
        <v>1197</v>
      </c>
      <c r="D45" s="2" t="s">
        <v>1607</v>
      </c>
      <c r="E45" s="3" t="s">
        <v>1351</v>
      </c>
      <c r="F45" s="2" t="s">
        <v>3063</v>
      </c>
      <c r="G45" s="2" t="s">
        <v>3064</v>
      </c>
      <c r="H45" s="2" t="s">
        <v>33</v>
      </c>
      <c r="I45" s="2" t="s">
        <v>788</v>
      </c>
      <c r="J45" s="2" t="s">
        <v>30</v>
      </c>
      <c r="K45" s="2" t="s">
        <v>30</v>
      </c>
      <c r="L45" s="3" t="s">
        <v>362</v>
      </c>
      <c r="M45" s="2" t="s">
        <v>479</v>
      </c>
      <c r="N45" s="2" t="s">
        <v>160</v>
      </c>
      <c r="O45" s="156" t="s">
        <v>189</v>
      </c>
      <c r="P45" s="2" t="s">
        <v>1199</v>
      </c>
      <c r="Q45" s="2" t="s">
        <v>446</v>
      </c>
      <c r="R45" s="2" t="s">
        <v>440</v>
      </c>
      <c r="S45" s="2" t="s">
        <v>34</v>
      </c>
      <c r="T45" s="123">
        <v>1.05</v>
      </c>
      <c r="U45" s="2" t="s">
        <v>3065</v>
      </c>
      <c r="V45" s="138">
        <v>2.1649999999999999E-2</v>
      </c>
      <c r="W45" s="138">
        <v>6.1499999999999999E-2</v>
      </c>
      <c r="X45" s="3" t="s">
        <v>445</v>
      </c>
      <c r="Y45" s="3" t="s">
        <v>160</v>
      </c>
      <c r="Z45" s="2" t="s">
        <v>926</v>
      </c>
      <c r="AA45" s="2" t="s">
        <v>2984</v>
      </c>
      <c r="AB45" s="156" t="s">
        <v>161</v>
      </c>
      <c r="AC45" s="156" t="s">
        <v>161</v>
      </c>
      <c r="AD45" s="123">
        <v>8000</v>
      </c>
      <c r="AE45" s="132">
        <v>1</v>
      </c>
      <c r="AF45" s="149">
        <v>153.36000000000001</v>
      </c>
      <c r="AG45" s="123">
        <v>12.269</v>
      </c>
      <c r="AH45" s="2"/>
      <c r="AI45" s="2"/>
      <c r="AJ45" s="2" t="s">
        <v>36</v>
      </c>
      <c r="AK45" s="138">
        <v>8.4241885708604401E-4</v>
      </c>
      <c r="AL45" s="138">
        <v>6.5063343933484198E-6</v>
      </c>
    </row>
    <row r="46" spans="1:38">
      <c r="A46" s="2">
        <v>161</v>
      </c>
      <c r="B46" s="2">
        <v>9943</v>
      </c>
      <c r="C46" s="2" t="s">
        <v>1197</v>
      </c>
      <c r="D46" s="2" t="s">
        <v>1607</v>
      </c>
      <c r="E46" s="3" t="s">
        <v>1351</v>
      </c>
      <c r="F46" s="2" t="s">
        <v>3066</v>
      </c>
      <c r="G46" s="2" t="s">
        <v>3067</v>
      </c>
      <c r="H46" s="2" t="s">
        <v>33</v>
      </c>
      <c r="I46" s="2" t="s">
        <v>788</v>
      </c>
      <c r="J46" s="2" t="s">
        <v>30</v>
      </c>
      <c r="K46" s="2" t="s">
        <v>30</v>
      </c>
      <c r="L46" s="3" t="s">
        <v>362</v>
      </c>
      <c r="M46" s="2" t="s">
        <v>479</v>
      </c>
      <c r="N46" s="2" t="s">
        <v>160</v>
      </c>
      <c r="O46" s="156" t="s">
        <v>189</v>
      </c>
      <c r="P46" s="2" t="s">
        <v>88</v>
      </c>
      <c r="Q46" s="2" t="s">
        <v>446</v>
      </c>
      <c r="R46" s="2" t="s">
        <v>440</v>
      </c>
      <c r="S46" s="2" t="s">
        <v>34</v>
      </c>
      <c r="T46" s="123">
        <v>1.05</v>
      </c>
      <c r="U46" s="2" t="s">
        <v>3065</v>
      </c>
      <c r="V46" s="138">
        <v>2.4410000000000001E-2</v>
      </c>
      <c r="W46" s="138">
        <v>6.6000000000000003E-2</v>
      </c>
      <c r="X46" s="3" t="s">
        <v>445</v>
      </c>
      <c r="Y46" s="3" t="s">
        <v>160</v>
      </c>
      <c r="Z46" s="2" t="s">
        <v>926</v>
      </c>
      <c r="AA46" s="2" t="s">
        <v>2984</v>
      </c>
      <c r="AB46" s="156" t="s">
        <v>161</v>
      </c>
      <c r="AC46" s="156" t="s">
        <v>161</v>
      </c>
      <c r="AD46" s="123">
        <v>2190000</v>
      </c>
      <c r="AE46" s="132">
        <v>1</v>
      </c>
      <c r="AF46" s="149">
        <v>153.44999999999999</v>
      </c>
      <c r="AG46" s="123">
        <v>3360.5549999999998</v>
      </c>
      <c r="AH46" s="2"/>
      <c r="AI46" s="2"/>
      <c r="AJ46" s="2" t="s">
        <v>36</v>
      </c>
      <c r="AK46" s="138">
        <v>0.23074749790320101</v>
      </c>
      <c r="AL46" s="138">
        <v>1.78215429196327E-3</v>
      </c>
    </row>
    <row r="47" spans="1:38">
      <c r="A47" s="2">
        <v>161</v>
      </c>
      <c r="B47" s="2">
        <v>9943</v>
      </c>
      <c r="C47" s="2" t="s">
        <v>2995</v>
      </c>
      <c r="D47" s="2" t="s">
        <v>2996</v>
      </c>
      <c r="E47" s="3" t="s">
        <v>1351</v>
      </c>
      <c r="F47" s="2" t="s">
        <v>2997</v>
      </c>
      <c r="G47" s="2" t="s">
        <v>2998</v>
      </c>
      <c r="H47" s="2" t="s">
        <v>209</v>
      </c>
      <c r="I47" s="2" t="s">
        <v>998</v>
      </c>
      <c r="J47" s="2" t="s">
        <v>30</v>
      </c>
      <c r="K47" s="2" t="s">
        <v>30</v>
      </c>
      <c r="L47" s="3" t="s">
        <v>362</v>
      </c>
      <c r="M47" s="2" t="s">
        <v>482</v>
      </c>
      <c r="N47" s="2" t="s">
        <v>160</v>
      </c>
      <c r="O47" s="156" t="s">
        <v>2999</v>
      </c>
      <c r="P47" s="2" t="s">
        <v>2108</v>
      </c>
      <c r="Q47" s="2" t="s">
        <v>448</v>
      </c>
      <c r="R47" s="2" t="s">
        <v>440</v>
      </c>
      <c r="S47" s="2" t="s">
        <v>34</v>
      </c>
      <c r="T47" s="123">
        <v>1.59</v>
      </c>
      <c r="U47" s="2" t="s">
        <v>3000</v>
      </c>
      <c r="V47" s="138">
        <v>4.7500000000000001E-2</v>
      </c>
      <c r="W47" s="138">
        <v>2.1000000000000001E-2</v>
      </c>
      <c r="X47" s="3" t="s">
        <v>445</v>
      </c>
      <c r="Y47" s="3" t="s">
        <v>160</v>
      </c>
      <c r="Z47" s="2" t="s">
        <v>926</v>
      </c>
      <c r="AA47" s="2" t="s">
        <v>2984</v>
      </c>
      <c r="AB47" s="156" t="s">
        <v>161</v>
      </c>
      <c r="AC47" s="156" t="s">
        <v>161</v>
      </c>
      <c r="AD47" s="123">
        <v>137143.04999999999</v>
      </c>
      <c r="AE47" s="132">
        <v>1</v>
      </c>
      <c r="AF47" s="149">
        <v>96.74</v>
      </c>
      <c r="AG47" s="123">
        <v>132.672</v>
      </c>
      <c r="AH47" s="2"/>
      <c r="AI47" s="2"/>
      <c r="AJ47" s="2" t="s">
        <v>36</v>
      </c>
      <c r="AK47" s="138">
        <v>9.1097378535313807E-3</v>
      </c>
      <c r="AL47" s="138">
        <v>7.0358112490311194E-5</v>
      </c>
    </row>
    <row r="48" spans="1:38">
      <c r="A48" s="2">
        <v>161</v>
      </c>
      <c r="B48" s="2">
        <v>9943</v>
      </c>
      <c r="C48" s="2" t="s">
        <v>3068</v>
      </c>
      <c r="D48" s="2" t="s">
        <v>3069</v>
      </c>
      <c r="E48" s="3" t="s">
        <v>1351</v>
      </c>
      <c r="F48" s="2" t="s">
        <v>3070</v>
      </c>
      <c r="G48" s="2" t="s">
        <v>3071</v>
      </c>
      <c r="H48" s="2" t="s">
        <v>209</v>
      </c>
      <c r="I48" s="2" t="s">
        <v>998</v>
      </c>
      <c r="J48" s="2" t="s">
        <v>30</v>
      </c>
      <c r="K48" s="2" t="s">
        <v>30</v>
      </c>
      <c r="L48" s="3" t="s">
        <v>362</v>
      </c>
      <c r="M48" s="2" t="s">
        <v>494</v>
      </c>
      <c r="N48" s="2" t="s">
        <v>160</v>
      </c>
      <c r="O48" s="156" t="s">
        <v>189</v>
      </c>
      <c r="P48" s="2" t="s">
        <v>211</v>
      </c>
      <c r="Q48" s="2" t="s">
        <v>211</v>
      </c>
      <c r="R48" s="2" t="s">
        <v>211</v>
      </c>
      <c r="S48" s="2" t="s">
        <v>34</v>
      </c>
      <c r="T48" s="123">
        <v>0</v>
      </c>
      <c r="U48" s="2" t="s">
        <v>3072</v>
      </c>
      <c r="V48" s="138">
        <v>0</v>
      </c>
      <c r="W48" s="138">
        <v>0</v>
      </c>
      <c r="X48" s="3" t="s">
        <v>444</v>
      </c>
      <c r="Y48" s="3" t="s">
        <v>374</v>
      </c>
      <c r="Z48" s="2" t="s">
        <v>135</v>
      </c>
      <c r="AA48" s="2" t="s">
        <v>194</v>
      </c>
      <c r="AB48" s="156" t="s">
        <v>3073</v>
      </c>
      <c r="AC48" s="156" t="s">
        <v>161</v>
      </c>
      <c r="AD48" s="123">
        <v>8743.39</v>
      </c>
      <c r="AE48" s="132">
        <v>1</v>
      </c>
      <c r="AF48" s="149">
        <v>0</v>
      </c>
      <c r="AG48" s="123">
        <v>0</v>
      </c>
      <c r="AH48" s="2"/>
      <c r="AI48" s="2"/>
      <c r="AJ48" s="2" t="s">
        <v>36</v>
      </c>
      <c r="AK48" s="138">
        <v>6.0035183643531101E-12</v>
      </c>
      <c r="AL48" s="138">
        <v>4.6367549451827904E-14</v>
      </c>
    </row>
    <row r="49" spans="1:38">
      <c r="A49" s="2">
        <v>161</v>
      </c>
      <c r="B49" s="2">
        <v>9943</v>
      </c>
      <c r="C49" s="2" t="s">
        <v>3001</v>
      </c>
      <c r="D49" s="2" t="s">
        <v>3002</v>
      </c>
      <c r="E49" s="3" t="s">
        <v>1351</v>
      </c>
      <c r="F49" s="2" t="s">
        <v>3003</v>
      </c>
      <c r="G49" s="2" t="s">
        <v>3004</v>
      </c>
      <c r="H49" s="2" t="s">
        <v>209</v>
      </c>
      <c r="I49" s="2" t="s">
        <v>788</v>
      </c>
      <c r="J49" s="2" t="s">
        <v>30</v>
      </c>
      <c r="K49" s="2" t="s">
        <v>30</v>
      </c>
      <c r="L49" s="3" t="s">
        <v>362</v>
      </c>
      <c r="M49" s="2" t="s">
        <v>510</v>
      </c>
      <c r="N49" s="2" t="s">
        <v>160</v>
      </c>
      <c r="O49" s="156" t="s">
        <v>3005</v>
      </c>
      <c r="P49" s="2" t="s">
        <v>2008</v>
      </c>
      <c r="Q49" s="2" t="s">
        <v>448</v>
      </c>
      <c r="R49" s="2" t="s">
        <v>440</v>
      </c>
      <c r="S49" s="2" t="s">
        <v>34</v>
      </c>
      <c r="T49" s="123">
        <v>3.48</v>
      </c>
      <c r="U49" s="2" t="s">
        <v>2482</v>
      </c>
      <c r="V49" s="138">
        <v>3.7400000000000003E-2</v>
      </c>
      <c r="W49" s="138">
        <v>4.4499999999999998E-2</v>
      </c>
      <c r="X49" s="3" t="s">
        <v>445</v>
      </c>
      <c r="Y49" s="3" t="s">
        <v>160</v>
      </c>
      <c r="Z49" s="2" t="s">
        <v>926</v>
      </c>
      <c r="AA49" s="2" t="s">
        <v>194</v>
      </c>
      <c r="AB49" s="156" t="s">
        <v>161</v>
      </c>
      <c r="AC49" s="156" t="s">
        <v>161</v>
      </c>
      <c r="AD49" s="123">
        <v>1093493.68</v>
      </c>
      <c r="AE49" s="132">
        <v>1</v>
      </c>
      <c r="AF49" s="149">
        <v>105.72</v>
      </c>
      <c r="AG49" s="123">
        <v>1156.0419999999999</v>
      </c>
      <c r="AH49" s="2"/>
      <c r="AI49" s="2"/>
      <c r="AJ49" s="2" t="s">
        <v>36</v>
      </c>
      <c r="AK49" s="138">
        <v>7.93778670086248E-2</v>
      </c>
      <c r="AL49" s="138">
        <v>6.1306669698171497E-4</v>
      </c>
    </row>
    <row r="50" spans="1:38">
      <c r="A50" s="2">
        <v>161</v>
      </c>
      <c r="B50" s="2">
        <v>9943</v>
      </c>
      <c r="C50" s="2" t="s">
        <v>3068</v>
      </c>
      <c r="D50" s="2" t="s">
        <v>3069</v>
      </c>
      <c r="E50" s="3" t="s">
        <v>1351</v>
      </c>
      <c r="F50" s="2" t="s">
        <v>3074</v>
      </c>
      <c r="G50" s="2" t="s">
        <v>3075</v>
      </c>
      <c r="H50" s="2" t="s">
        <v>209</v>
      </c>
      <c r="I50" s="2" t="s">
        <v>788</v>
      </c>
      <c r="J50" s="2" t="s">
        <v>30</v>
      </c>
      <c r="K50" s="2" t="s">
        <v>30</v>
      </c>
      <c r="L50" s="3" t="s">
        <v>362</v>
      </c>
      <c r="M50" s="2" t="s">
        <v>494</v>
      </c>
      <c r="N50" s="2" t="s">
        <v>160</v>
      </c>
      <c r="O50" s="156" t="s">
        <v>189</v>
      </c>
      <c r="P50" s="2" t="s">
        <v>211</v>
      </c>
      <c r="Q50" s="2" t="s">
        <v>211</v>
      </c>
      <c r="R50" s="2" t="s">
        <v>211</v>
      </c>
      <c r="S50" s="2" t="s">
        <v>34</v>
      </c>
      <c r="T50" s="123">
        <v>0</v>
      </c>
      <c r="U50" s="2" t="s">
        <v>3072</v>
      </c>
      <c r="V50" s="138">
        <v>0</v>
      </c>
      <c r="W50" s="138">
        <v>0</v>
      </c>
      <c r="X50" s="3" t="s">
        <v>444</v>
      </c>
      <c r="Y50" s="3" t="s">
        <v>374</v>
      </c>
      <c r="Z50" s="2" t="s">
        <v>135</v>
      </c>
      <c r="AA50" s="2" t="s">
        <v>194</v>
      </c>
      <c r="AB50" s="156" t="s">
        <v>3073</v>
      </c>
      <c r="AC50" s="156" t="s">
        <v>2950</v>
      </c>
      <c r="AD50" s="123">
        <v>8112.62</v>
      </c>
      <c r="AE50" s="132">
        <v>1</v>
      </c>
      <c r="AF50" s="149">
        <v>0</v>
      </c>
      <c r="AG50" s="123">
        <v>0</v>
      </c>
      <c r="AH50" s="2"/>
      <c r="AI50" s="2"/>
      <c r="AJ50" s="2" t="s">
        <v>36</v>
      </c>
      <c r="AK50" s="138">
        <v>5.5704095497305197E-12</v>
      </c>
      <c r="AL50" s="138">
        <v>4.3022478584838199E-14</v>
      </c>
    </row>
    <row r="51" spans="1:38">
      <c r="A51" s="2">
        <v>161</v>
      </c>
      <c r="B51" s="2">
        <v>9943</v>
      </c>
      <c r="C51" s="2" t="s">
        <v>3006</v>
      </c>
      <c r="D51" s="2" t="s">
        <v>3007</v>
      </c>
      <c r="E51" s="3" t="s">
        <v>1351</v>
      </c>
      <c r="F51" s="2" t="s">
        <v>3008</v>
      </c>
      <c r="G51" s="2" t="s">
        <v>3009</v>
      </c>
      <c r="H51" s="2" t="s">
        <v>209</v>
      </c>
      <c r="I51" s="2" t="s">
        <v>998</v>
      </c>
      <c r="J51" s="2" t="s">
        <v>30</v>
      </c>
      <c r="K51" s="2" t="s">
        <v>30</v>
      </c>
      <c r="L51" s="3" t="s">
        <v>362</v>
      </c>
      <c r="M51" s="2" t="s">
        <v>495</v>
      </c>
      <c r="N51" s="2" t="s">
        <v>160</v>
      </c>
      <c r="O51" s="156" t="s">
        <v>3010</v>
      </c>
      <c r="P51" s="2" t="s">
        <v>1355</v>
      </c>
      <c r="Q51" s="2" t="s">
        <v>448</v>
      </c>
      <c r="R51" s="2" t="s">
        <v>440</v>
      </c>
      <c r="S51" s="2" t="s">
        <v>34</v>
      </c>
      <c r="T51" s="123">
        <v>1.46</v>
      </c>
      <c r="U51" s="2" t="s">
        <v>2282</v>
      </c>
      <c r="V51" s="138">
        <v>4.6300000000000001E-2</v>
      </c>
      <c r="W51" s="138">
        <v>3.1E-2</v>
      </c>
      <c r="X51" s="3" t="s">
        <v>445</v>
      </c>
      <c r="Y51" s="3" t="s">
        <v>160</v>
      </c>
      <c r="Z51" s="2" t="s">
        <v>926</v>
      </c>
      <c r="AA51" s="2" t="s">
        <v>2984</v>
      </c>
      <c r="AB51" s="156" t="s">
        <v>161</v>
      </c>
      <c r="AC51" s="156" t="s">
        <v>161</v>
      </c>
      <c r="AD51" s="123">
        <v>1284707.3400000001</v>
      </c>
      <c r="AE51" s="132">
        <v>1</v>
      </c>
      <c r="AF51" s="149">
        <v>97.91</v>
      </c>
      <c r="AG51" s="123">
        <v>1257.857</v>
      </c>
      <c r="AH51" s="2"/>
      <c r="AI51" s="2"/>
      <c r="AJ51" s="2" t="s">
        <v>36</v>
      </c>
      <c r="AK51" s="138">
        <v>8.6368872241103206E-2</v>
      </c>
      <c r="AL51" s="138">
        <v>6.6706099851657197E-4</v>
      </c>
    </row>
    <row r="52" spans="1:38">
      <c r="A52" s="2">
        <v>161</v>
      </c>
      <c r="B52" s="2">
        <v>9943</v>
      </c>
      <c r="C52" s="2" t="s">
        <v>3076</v>
      </c>
      <c r="D52" s="2" t="s">
        <v>3077</v>
      </c>
      <c r="E52" s="3" t="s">
        <v>1351</v>
      </c>
      <c r="F52" s="2" t="s">
        <v>3078</v>
      </c>
      <c r="G52" s="2" t="s">
        <v>3079</v>
      </c>
      <c r="H52" s="2" t="s">
        <v>209</v>
      </c>
      <c r="I52" s="2" t="s">
        <v>788</v>
      </c>
      <c r="J52" s="2" t="s">
        <v>30</v>
      </c>
      <c r="K52" s="2" t="s">
        <v>30</v>
      </c>
      <c r="L52" s="3" t="s">
        <v>362</v>
      </c>
      <c r="M52" s="2" t="s">
        <v>509</v>
      </c>
      <c r="N52" s="2" t="s">
        <v>160</v>
      </c>
      <c r="O52" s="156" t="s">
        <v>189</v>
      </c>
      <c r="P52" s="2" t="s">
        <v>88</v>
      </c>
      <c r="Q52" s="2" t="s">
        <v>446</v>
      </c>
      <c r="R52" s="2" t="s">
        <v>440</v>
      </c>
      <c r="S52" s="2" t="s">
        <v>34</v>
      </c>
      <c r="T52" s="123">
        <v>0.83</v>
      </c>
      <c r="U52" s="2" t="s">
        <v>3080</v>
      </c>
      <c r="V52" s="138">
        <v>2.8899999999999999E-2</v>
      </c>
      <c r="W52" s="138">
        <v>5.6000000000000001E-2</v>
      </c>
      <c r="X52" s="3" t="s">
        <v>445</v>
      </c>
      <c r="Y52" s="3" t="s">
        <v>160</v>
      </c>
      <c r="Z52" s="2" t="s">
        <v>926</v>
      </c>
      <c r="AA52" s="2" t="s">
        <v>2984</v>
      </c>
      <c r="AB52" s="156" t="s">
        <v>161</v>
      </c>
      <c r="AC52" s="156" t="s">
        <v>2950</v>
      </c>
      <c r="AD52" s="123">
        <v>453826.74</v>
      </c>
      <c r="AE52" s="132">
        <v>1</v>
      </c>
      <c r="AF52" s="149">
        <v>144.6</v>
      </c>
      <c r="AG52" s="123">
        <v>656.23299999999995</v>
      </c>
      <c r="AH52" s="2"/>
      <c r="AI52" s="2"/>
      <c r="AJ52" s="2" t="s">
        <v>36</v>
      </c>
      <c r="AK52" s="138">
        <v>4.5059292387440497E-2</v>
      </c>
      <c r="AL52" s="138">
        <v>3.4801075656643699E-4</v>
      </c>
    </row>
    <row r="53" spans="1:38">
      <c r="A53" s="2">
        <v>161</v>
      </c>
      <c r="B53" s="2">
        <v>9943</v>
      </c>
      <c r="C53" s="2" t="s">
        <v>3011</v>
      </c>
      <c r="D53" s="2" t="s">
        <v>3012</v>
      </c>
      <c r="E53" s="3" t="s">
        <v>1351</v>
      </c>
      <c r="F53" s="2" t="s">
        <v>3013</v>
      </c>
      <c r="G53" s="2" t="s">
        <v>3014</v>
      </c>
      <c r="H53" s="2" t="s">
        <v>209</v>
      </c>
      <c r="I53" s="2" t="s">
        <v>998</v>
      </c>
      <c r="J53" s="2" t="s">
        <v>30</v>
      </c>
      <c r="K53" s="2" t="s">
        <v>30</v>
      </c>
      <c r="L53" s="3" t="s">
        <v>362</v>
      </c>
      <c r="M53" s="2" t="s">
        <v>510</v>
      </c>
      <c r="N53" s="2" t="s">
        <v>160</v>
      </c>
      <c r="O53" s="156" t="s">
        <v>3015</v>
      </c>
      <c r="P53" s="2" t="s">
        <v>1355</v>
      </c>
      <c r="Q53" s="2" t="s">
        <v>448</v>
      </c>
      <c r="R53" s="2" t="s">
        <v>440</v>
      </c>
      <c r="S53" s="2" t="s">
        <v>34</v>
      </c>
      <c r="T53" s="123">
        <v>0.46</v>
      </c>
      <c r="U53" s="2" t="s">
        <v>3016</v>
      </c>
      <c r="V53" s="138">
        <v>5.1999999999999998E-2</v>
      </c>
      <c r="W53" s="138">
        <v>6.5000000000000002E-2</v>
      </c>
      <c r="X53" s="3" t="s">
        <v>445</v>
      </c>
      <c r="Y53" s="3" t="s">
        <v>160</v>
      </c>
      <c r="Z53" s="2" t="s">
        <v>926</v>
      </c>
      <c r="AA53" s="2" t="s">
        <v>194</v>
      </c>
      <c r="AB53" s="156" t="s">
        <v>161</v>
      </c>
      <c r="AC53" s="156" t="s">
        <v>161</v>
      </c>
      <c r="AD53" s="123">
        <v>117416.46</v>
      </c>
      <c r="AE53" s="132">
        <v>1</v>
      </c>
      <c r="AF53" s="149">
        <v>100.81</v>
      </c>
      <c r="AG53" s="123">
        <v>118.36799999999999</v>
      </c>
      <c r="AH53" s="2"/>
      <c r="AI53" s="2"/>
      <c r="AJ53" s="2" t="s">
        <v>36</v>
      </c>
      <c r="AK53" s="138">
        <v>8.1275301692572393E-3</v>
      </c>
      <c r="AL53" s="138">
        <v>6.2772133634485003E-5</v>
      </c>
    </row>
    <row r="54" spans="1:38">
      <c r="A54" s="2">
        <v>161</v>
      </c>
      <c r="B54" s="2">
        <v>9943</v>
      </c>
      <c r="C54" s="2" t="s">
        <v>3017</v>
      </c>
      <c r="D54" s="2" t="s">
        <v>3018</v>
      </c>
      <c r="E54" s="3" t="s">
        <v>1351</v>
      </c>
      <c r="F54" s="2" t="s">
        <v>3019</v>
      </c>
      <c r="G54" s="2" t="s">
        <v>3020</v>
      </c>
      <c r="H54" s="2" t="s">
        <v>209</v>
      </c>
      <c r="I54" s="2" t="s">
        <v>788</v>
      </c>
      <c r="J54" s="2" t="s">
        <v>30</v>
      </c>
      <c r="K54" s="2" t="s">
        <v>30</v>
      </c>
      <c r="L54" s="3" t="s">
        <v>362</v>
      </c>
      <c r="M54" s="2" t="s">
        <v>477</v>
      </c>
      <c r="N54" s="2" t="s">
        <v>160</v>
      </c>
      <c r="O54" s="156" t="s">
        <v>3021</v>
      </c>
      <c r="P54" s="2" t="s">
        <v>1199</v>
      </c>
      <c r="Q54" s="2" t="s">
        <v>446</v>
      </c>
      <c r="R54" s="2" t="s">
        <v>440</v>
      </c>
      <c r="S54" s="2" t="s">
        <v>34</v>
      </c>
      <c r="T54" s="123">
        <v>4.38</v>
      </c>
      <c r="U54" s="2" t="s">
        <v>3022</v>
      </c>
      <c r="V54" s="138">
        <v>2.4899999999999999E-2</v>
      </c>
      <c r="W54" s="138">
        <v>2.3217999999999999E-2</v>
      </c>
      <c r="X54" s="3" t="s">
        <v>445</v>
      </c>
      <c r="Y54" s="3" t="s">
        <v>160</v>
      </c>
      <c r="Z54" s="2" t="s">
        <v>926</v>
      </c>
      <c r="AA54" s="2" t="s">
        <v>2984</v>
      </c>
      <c r="AB54" s="156" t="s">
        <v>161</v>
      </c>
      <c r="AC54" s="156" t="s">
        <v>161</v>
      </c>
      <c r="AD54" s="123">
        <v>1171930.6499999999</v>
      </c>
      <c r="AE54" s="132">
        <v>1</v>
      </c>
      <c r="AF54" s="149">
        <v>117.69</v>
      </c>
      <c r="AG54" s="123">
        <v>1379.2449999999999</v>
      </c>
      <c r="AH54" s="2"/>
      <c r="AI54" s="2"/>
      <c r="AJ54" s="2" t="s">
        <v>36</v>
      </c>
      <c r="AK54" s="138">
        <v>9.4703813726626604E-2</v>
      </c>
      <c r="AL54" s="138">
        <v>7.3143505187215599E-4</v>
      </c>
    </row>
    <row r="55" spans="1:38">
      <c r="A55" s="2">
        <v>161</v>
      </c>
      <c r="B55" s="2">
        <v>9943</v>
      </c>
      <c r="C55" s="2" t="s">
        <v>3017</v>
      </c>
      <c r="D55" s="2" t="s">
        <v>3018</v>
      </c>
      <c r="E55" s="3" t="s">
        <v>1351</v>
      </c>
      <c r="F55" s="2" t="s">
        <v>3023</v>
      </c>
      <c r="G55" s="2" t="s">
        <v>3024</v>
      </c>
      <c r="H55" s="2" t="s">
        <v>209</v>
      </c>
      <c r="I55" s="2" t="s">
        <v>998</v>
      </c>
      <c r="J55" s="2" t="s">
        <v>30</v>
      </c>
      <c r="K55" s="2" t="s">
        <v>30</v>
      </c>
      <c r="L55" s="3" t="s">
        <v>362</v>
      </c>
      <c r="M55" s="2" t="s">
        <v>477</v>
      </c>
      <c r="N55" s="2" t="s">
        <v>160</v>
      </c>
      <c r="O55" s="156" t="s">
        <v>3025</v>
      </c>
      <c r="P55" s="2" t="s">
        <v>1199</v>
      </c>
      <c r="Q55" s="2" t="s">
        <v>446</v>
      </c>
      <c r="R55" s="2" t="s">
        <v>440</v>
      </c>
      <c r="S55" s="2" t="s">
        <v>34</v>
      </c>
      <c r="T55" s="123">
        <v>0.7</v>
      </c>
      <c r="U55" s="2" t="s">
        <v>3016</v>
      </c>
      <c r="V55" s="138">
        <v>4.7199999999999999E-2</v>
      </c>
      <c r="W55" s="138">
        <v>2.7119999999999998E-2</v>
      </c>
      <c r="X55" s="3" t="s">
        <v>445</v>
      </c>
      <c r="Y55" s="3" t="s">
        <v>160</v>
      </c>
      <c r="Z55" s="2" t="s">
        <v>926</v>
      </c>
      <c r="AA55" s="2" t="s">
        <v>2984</v>
      </c>
      <c r="AB55" s="156" t="s">
        <v>161</v>
      </c>
      <c r="AC55" s="156" t="s">
        <v>161</v>
      </c>
      <c r="AD55" s="123">
        <v>363388.4</v>
      </c>
      <c r="AE55" s="132">
        <v>1</v>
      </c>
      <c r="AF55" s="149">
        <v>99.24</v>
      </c>
      <c r="AG55" s="123">
        <v>360.62700000000001</v>
      </c>
      <c r="AH55" s="2"/>
      <c r="AI55" s="2"/>
      <c r="AJ55" s="2" t="s">
        <v>36</v>
      </c>
      <c r="AK55" s="138">
        <v>2.47618910388724E-2</v>
      </c>
      <c r="AL55" s="138">
        <v>1.91245889091139E-4</v>
      </c>
    </row>
    <row r="56" spans="1:38">
      <c r="A56" s="2">
        <v>161</v>
      </c>
      <c r="B56" s="2">
        <v>9943</v>
      </c>
      <c r="C56" s="2" t="s">
        <v>3017</v>
      </c>
      <c r="D56" s="2" t="s">
        <v>3018</v>
      </c>
      <c r="E56" s="3" t="s">
        <v>1351</v>
      </c>
      <c r="F56" s="2" t="s">
        <v>3026</v>
      </c>
      <c r="G56" s="2" t="s">
        <v>3027</v>
      </c>
      <c r="H56" s="2" t="s">
        <v>209</v>
      </c>
      <c r="I56" s="2" t="s">
        <v>998</v>
      </c>
      <c r="J56" s="2" t="s">
        <v>30</v>
      </c>
      <c r="K56" s="2" t="s">
        <v>30</v>
      </c>
      <c r="L56" s="3" t="s">
        <v>362</v>
      </c>
      <c r="M56" s="2" t="s">
        <v>477</v>
      </c>
      <c r="N56" s="2" t="s">
        <v>160</v>
      </c>
      <c r="O56" s="156" t="s">
        <v>3025</v>
      </c>
      <c r="P56" s="2" t="s">
        <v>1199</v>
      </c>
      <c r="Q56" s="2" t="s">
        <v>446</v>
      </c>
      <c r="R56" s="2" t="s">
        <v>440</v>
      </c>
      <c r="S56" s="2" t="s">
        <v>34</v>
      </c>
      <c r="T56" s="123">
        <v>4.13</v>
      </c>
      <c r="U56" s="2" t="s">
        <v>3022</v>
      </c>
      <c r="V56" s="138">
        <v>4.65E-2</v>
      </c>
      <c r="W56" s="138">
        <v>4.0579999999999998E-2</v>
      </c>
      <c r="X56" s="3" t="s">
        <v>445</v>
      </c>
      <c r="Y56" s="3" t="s">
        <v>160</v>
      </c>
      <c r="Z56" s="2" t="s">
        <v>926</v>
      </c>
      <c r="AA56" s="2" t="s">
        <v>2984</v>
      </c>
      <c r="AB56" s="156" t="s">
        <v>161</v>
      </c>
      <c r="AC56" s="156" t="s">
        <v>161</v>
      </c>
      <c r="AD56" s="123">
        <v>2515363.27</v>
      </c>
      <c r="AE56" s="132">
        <v>1</v>
      </c>
      <c r="AF56" s="149">
        <v>97.6</v>
      </c>
      <c r="AG56" s="123">
        <v>2454.9949999999999</v>
      </c>
      <c r="AH56" s="2"/>
      <c r="AI56" s="2"/>
      <c r="AJ56" s="2" t="s">
        <v>36</v>
      </c>
      <c r="AK56" s="138">
        <v>0.16856854005639901</v>
      </c>
      <c r="AL56" s="138">
        <v>1.3019215804347299E-3</v>
      </c>
    </row>
    <row r="57" spans="1:38">
      <c r="A57" s="2">
        <v>161</v>
      </c>
      <c r="B57" s="2">
        <v>9943</v>
      </c>
      <c r="C57" s="2" t="s">
        <v>2979</v>
      </c>
      <c r="D57" s="2" t="s">
        <v>2980</v>
      </c>
      <c r="E57" s="3" t="s">
        <v>1351</v>
      </c>
      <c r="F57" s="2" t="s">
        <v>2981</v>
      </c>
      <c r="G57" s="2" t="s">
        <v>2982</v>
      </c>
      <c r="H57" s="2" t="s">
        <v>209</v>
      </c>
      <c r="I57" s="2" t="s">
        <v>788</v>
      </c>
      <c r="J57" s="2" t="s">
        <v>30</v>
      </c>
      <c r="K57" s="2" t="s">
        <v>30</v>
      </c>
      <c r="L57" s="3" t="s">
        <v>362</v>
      </c>
      <c r="M57" s="2" t="s">
        <v>495</v>
      </c>
      <c r="N57" s="2" t="s">
        <v>160</v>
      </c>
      <c r="O57" s="156" t="s">
        <v>2983</v>
      </c>
      <c r="P57" s="2" t="s">
        <v>1965</v>
      </c>
      <c r="Q57" s="2" t="s">
        <v>446</v>
      </c>
      <c r="R57" s="2" t="s">
        <v>440</v>
      </c>
      <c r="S57" s="2" t="s">
        <v>34</v>
      </c>
      <c r="T57" s="123">
        <v>3.16</v>
      </c>
      <c r="U57" s="2" t="s">
        <v>2349</v>
      </c>
      <c r="V57" s="138">
        <v>3.4000000000000002E-2</v>
      </c>
      <c r="W57" s="138">
        <v>3.8399999999999997E-2</v>
      </c>
      <c r="X57" s="3" t="s">
        <v>445</v>
      </c>
      <c r="Y57" s="3" t="s">
        <v>160</v>
      </c>
      <c r="Z57" s="2" t="s">
        <v>926</v>
      </c>
      <c r="AA57" s="2" t="s">
        <v>2984</v>
      </c>
      <c r="AB57" s="156" t="s">
        <v>161</v>
      </c>
      <c r="AC57" s="156" t="s">
        <v>161</v>
      </c>
      <c r="AD57" s="123">
        <v>298117</v>
      </c>
      <c r="AE57" s="132">
        <v>1</v>
      </c>
      <c r="AF57" s="149">
        <v>104.58</v>
      </c>
      <c r="AG57" s="123">
        <v>311.77100000000002</v>
      </c>
      <c r="AH57" s="2"/>
      <c r="AI57" s="2"/>
      <c r="AJ57" s="2" t="s">
        <v>36</v>
      </c>
      <c r="AK57" s="138">
        <v>2.1407274234860899E-2</v>
      </c>
      <c r="AL57" s="138">
        <v>1.6533685523600599E-4</v>
      </c>
    </row>
    <row r="58" spans="1:38">
      <c r="A58" s="2">
        <v>161</v>
      </c>
      <c r="B58" s="2">
        <v>9943</v>
      </c>
      <c r="C58" s="2" t="s">
        <v>3035</v>
      </c>
      <c r="D58" s="2" t="s">
        <v>3036</v>
      </c>
      <c r="E58" s="3" t="s">
        <v>206</v>
      </c>
      <c r="F58" s="2" t="s">
        <v>3037</v>
      </c>
      <c r="G58" s="2" t="s">
        <v>3038</v>
      </c>
      <c r="H58" s="2" t="s">
        <v>209</v>
      </c>
      <c r="I58" s="2" t="s">
        <v>789</v>
      </c>
      <c r="J58" s="2" t="s">
        <v>30</v>
      </c>
      <c r="K58" s="2" t="s">
        <v>30</v>
      </c>
      <c r="L58" s="3" t="s">
        <v>362</v>
      </c>
      <c r="M58" s="2" t="s">
        <v>485</v>
      </c>
      <c r="N58" s="2" t="s">
        <v>160</v>
      </c>
      <c r="O58" s="156" t="s">
        <v>3039</v>
      </c>
      <c r="P58" s="2" t="s">
        <v>3040</v>
      </c>
      <c r="Q58" s="2" t="s">
        <v>464</v>
      </c>
      <c r="R58" s="2" t="s">
        <v>440</v>
      </c>
      <c r="S58" s="2" t="s">
        <v>90</v>
      </c>
      <c r="T58" s="123">
        <v>2.5489999999999999</v>
      </c>
      <c r="U58" s="2" t="s">
        <v>3041</v>
      </c>
      <c r="V58" s="138">
        <v>7.4149999999999994E-2</v>
      </c>
      <c r="W58" s="138">
        <v>5.3749999999999999E-2</v>
      </c>
      <c r="X58" s="3" t="s">
        <v>445</v>
      </c>
      <c r="Y58" s="3" t="s">
        <v>160</v>
      </c>
      <c r="Z58" s="2" t="s">
        <v>135</v>
      </c>
      <c r="AA58" s="2" t="s">
        <v>194</v>
      </c>
      <c r="AB58" s="156" t="s">
        <v>161</v>
      </c>
      <c r="AC58" s="156" t="s">
        <v>161</v>
      </c>
      <c r="AD58" s="123">
        <v>148900</v>
      </c>
      <c r="AE58" s="132">
        <v>3.3719999999999999</v>
      </c>
      <c r="AF58" s="149">
        <v>98.35</v>
      </c>
      <c r="AG58" s="123">
        <v>493.80599999999998</v>
      </c>
      <c r="AH58" s="2"/>
      <c r="AI58" s="2"/>
      <c r="AJ58" s="2" t="s">
        <v>36</v>
      </c>
      <c r="AK58" s="138">
        <v>3.39064733620437E-2</v>
      </c>
      <c r="AL58" s="138">
        <v>2.6187311921732598E-4</v>
      </c>
    </row>
    <row r="59" spans="1:38">
      <c r="A59" s="2">
        <v>161</v>
      </c>
      <c r="B59" s="2">
        <v>9943</v>
      </c>
      <c r="C59" s="2" t="s">
        <v>3028</v>
      </c>
      <c r="D59" s="2" t="s">
        <v>3029</v>
      </c>
      <c r="E59" s="3" t="s">
        <v>1351</v>
      </c>
      <c r="F59" s="2" t="s">
        <v>3030</v>
      </c>
      <c r="G59" s="2" t="s">
        <v>3031</v>
      </c>
      <c r="H59" s="2" t="s">
        <v>209</v>
      </c>
      <c r="I59" s="2" t="s">
        <v>789</v>
      </c>
      <c r="J59" s="2" t="s">
        <v>85</v>
      </c>
      <c r="K59" s="2" t="s">
        <v>86</v>
      </c>
      <c r="L59" s="3" t="s">
        <v>362</v>
      </c>
      <c r="M59" s="2" t="s">
        <v>518</v>
      </c>
      <c r="N59" s="2" t="s">
        <v>160</v>
      </c>
      <c r="O59" s="156" t="s">
        <v>3032</v>
      </c>
      <c r="P59" s="2" t="s">
        <v>3033</v>
      </c>
      <c r="Q59" s="2" t="s">
        <v>137</v>
      </c>
      <c r="R59" s="2" t="s">
        <v>440</v>
      </c>
      <c r="S59" s="2" t="s">
        <v>90</v>
      </c>
      <c r="T59" s="123">
        <v>1.9019999999999999</v>
      </c>
      <c r="U59" s="2" t="s">
        <v>2282</v>
      </c>
      <c r="V59" s="138">
        <v>7.0449999999999999E-2</v>
      </c>
      <c r="W59" s="138">
        <v>6.5000000000000002E-2</v>
      </c>
      <c r="X59" s="3" t="s">
        <v>445</v>
      </c>
      <c r="Y59" s="3" t="s">
        <v>160</v>
      </c>
      <c r="Z59" s="2" t="s">
        <v>926</v>
      </c>
      <c r="AA59" s="2" t="s">
        <v>194</v>
      </c>
      <c r="AB59" s="156" t="s">
        <v>161</v>
      </c>
      <c r="AC59" s="156" t="s">
        <v>161</v>
      </c>
      <c r="AD59" s="123">
        <v>57000</v>
      </c>
      <c r="AE59" s="132">
        <v>3.3719999999999999</v>
      </c>
      <c r="AF59" s="149">
        <v>99.94</v>
      </c>
      <c r="AG59" s="123">
        <v>198.33500000000001</v>
      </c>
      <c r="AH59" s="2"/>
      <c r="AI59" s="2"/>
      <c r="AJ59" s="2" t="s">
        <v>36</v>
      </c>
      <c r="AK59" s="138">
        <v>1.3618398143926101E-2</v>
      </c>
      <c r="AL59" s="138">
        <v>1.05180281140227E-4</v>
      </c>
    </row>
    <row r="60" spans="1:38">
      <c r="A60" s="2">
        <v>161</v>
      </c>
      <c r="B60" s="2">
        <v>12468</v>
      </c>
      <c r="C60" s="2" t="s">
        <v>2985</v>
      </c>
      <c r="D60" s="2" t="s">
        <v>2986</v>
      </c>
      <c r="E60" s="3" t="s">
        <v>348</v>
      </c>
      <c r="F60" s="2" t="s">
        <v>2987</v>
      </c>
      <c r="G60" s="2" t="s">
        <v>2988</v>
      </c>
      <c r="H60" s="2" t="s">
        <v>209</v>
      </c>
      <c r="I60" s="2" t="s">
        <v>998</v>
      </c>
      <c r="J60" s="2" t="s">
        <v>30</v>
      </c>
      <c r="K60" s="2" t="s">
        <v>30</v>
      </c>
      <c r="L60" s="3" t="s">
        <v>362</v>
      </c>
      <c r="M60" s="2" t="s">
        <v>482</v>
      </c>
      <c r="N60" s="2" t="s">
        <v>160</v>
      </c>
      <c r="O60" s="156" t="s">
        <v>2989</v>
      </c>
      <c r="P60" s="2" t="s">
        <v>1965</v>
      </c>
      <c r="Q60" s="2" t="s">
        <v>446</v>
      </c>
      <c r="R60" s="2" t="s">
        <v>440</v>
      </c>
      <c r="S60" s="2" t="s">
        <v>34</v>
      </c>
      <c r="T60" s="123">
        <v>1.91</v>
      </c>
      <c r="U60" s="2" t="s">
        <v>2349</v>
      </c>
      <c r="V60" s="138">
        <v>5.0999999999999997E-2</v>
      </c>
      <c r="W60" s="138">
        <v>2.86E-2</v>
      </c>
      <c r="X60" s="3" t="s">
        <v>445</v>
      </c>
      <c r="Y60" s="3" t="s">
        <v>160</v>
      </c>
      <c r="Z60" s="2" t="s">
        <v>926</v>
      </c>
      <c r="AA60" s="2" t="s">
        <v>194</v>
      </c>
      <c r="AB60" s="156" t="s">
        <v>161</v>
      </c>
      <c r="AC60" s="156" t="s">
        <v>161</v>
      </c>
      <c r="AD60" s="123">
        <v>4571.42</v>
      </c>
      <c r="AE60" s="132">
        <v>1</v>
      </c>
      <c r="AF60" s="149">
        <v>97.29</v>
      </c>
      <c r="AG60" s="123">
        <v>4.4480000000000004</v>
      </c>
      <c r="AH60" s="2"/>
      <c r="AI60" s="2"/>
      <c r="AJ60" s="2" t="s">
        <v>36</v>
      </c>
      <c r="AK60" s="138">
        <v>0.28937218615913701</v>
      </c>
      <c r="AL60" s="138">
        <v>2.1017142868918901E-4</v>
      </c>
    </row>
    <row r="61" spans="1:38">
      <c r="A61" s="2">
        <v>161</v>
      </c>
      <c r="B61" s="2">
        <v>12468</v>
      </c>
      <c r="C61" s="2" t="s">
        <v>3017</v>
      </c>
      <c r="D61" s="2" t="s">
        <v>3018</v>
      </c>
      <c r="E61" s="3" t="s">
        <v>1351</v>
      </c>
      <c r="F61" s="2" t="s">
        <v>3023</v>
      </c>
      <c r="G61" s="2" t="s">
        <v>3024</v>
      </c>
      <c r="H61" s="2" t="s">
        <v>209</v>
      </c>
      <c r="I61" s="2" t="s">
        <v>998</v>
      </c>
      <c r="J61" s="2" t="s">
        <v>30</v>
      </c>
      <c r="K61" s="2" t="s">
        <v>30</v>
      </c>
      <c r="L61" s="3" t="s">
        <v>362</v>
      </c>
      <c r="M61" s="2" t="s">
        <v>477</v>
      </c>
      <c r="N61" s="2" t="s">
        <v>160</v>
      </c>
      <c r="O61" s="156" t="s">
        <v>3025</v>
      </c>
      <c r="P61" s="2" t="s">
        <v>1199</v>
      </c>
      <c r="Q61" s="2" t="s">
        <v>446</v>
      </c>
      <c r="R61" s="2" t="s">
        <v>440</v>
      </c>
      <c r="S61" s="2" t="s">
        <v>34</v>
      </c>
      <c r="T61" s="123">
        <v>0.7</v>
      </c>
      <c r="U61" s="2" t="s">
        <v>3016</v>
      </c>
      <c r="V61" s="138">
        <v>4.7199999999999999E-2</v>
      </c>
      <c r="W61" s="138">
        <v>2.7119999999999998E-2</v>
      </c>
      <c r="X61" s="3" t="s">
        <v>445</v>
      </c>
      <c r="Y61" s="3" t="s">
        <v>160</v>
      </c>
      <c r="Z61" s="2" t="s">
        <v>926</v>
      </c>
      <c r="AA61" s="2" t="s">
        <v>2984</v>
      </c>
      <c r="AB61" s="156" t="s">
        <v>161</v>
      </c>
      <c r="AC61" s="156" t="s">
        <v>161</v>
      </c>
      <c r="AD61" s="123">
        <v>3993.28</v>
      </c>
      <c r="AE61" s="132">
        <v>1</v>
      </c>
      <c r="AF61" s="149">
        <v>99.24</v>
      </c>
      <c r="AG61" s="123">
        <v>3.9630000000000001</v>
      </c>
      <c r="AH61" s="2"/>
      <c r="AI61" s="2"/>
      <c r="AJ61" s="2" t="s">
        <v>36</v>
      </c>
      <c r="AK61" s="138">
        <v>0.25784218723012797</v>
      </c>
      <c r="AL61" s="138">
        <v>1.8727114580632001E-4</v>
      </c>
    </row>
    <row r="62" spans="1:38">
      <c r="A62" s="2">
        <v>161</v>
      </c>
      <c r="B62" s="2">
        <v>12468</v>
      </c>
      <c r="C62" s="2" t="s">
        <v>3028</v>
      </c>
      <c r="D62" s="2" t="s">
        <v>3029</v>
      </c>
      <c r="E62" s="3" t="s">
        <v>1351</v>
      </c>
      <c r="F62" s="2" t="s">
        <v>3030</v>
      </c>
      <c r="G62" s="2" t="s">
        <v>3031</v>
      </c>
      <c r="H62" s="2" t="s">
        <v>209</v>
      </c>
      <c r="I62" s="2" t="s">
        <v>789</v>
      </c>
      <c r="J62" s="2" t="s">
        <v>85</v>
      </c>
      <c r="K62" s="2" t="s">
        <v>86</v>
      </c>
      <c r="L62" s="3" t="s">
        <v>362</v>
      </c>
      <c r="M62" s="2" t="s">
        <v>518</v>
      </c>
      <c r="N62" s="2" t="s">
        <v>160</v>
      </c>
      <c r="O62" s="156" t="s">
        <v>3032</v>
      </c>
      <c r="P62" s="2" t="s">
        <v>3033</v>
      </c>
      <c r="Q62" s="2" t="s">
        <v>137</v>
      </c>
      <c r="R62" s="2" t="s">
        <v>440</v>
      </c>
      <c r="S62" s="2" t="s">
        <v>90</v>
      </c>
      <c r="T62" s="123">
        <v>1.9019999999999999</v>
      </c>
      <c r="U62" s="2" t="s">
        <v>2282</v>
      </c>
      <c r="V62" s="138">
        <v>7.0449999999999999E-2</v>
      </c>
      <c r="W62" s="138">
        <v>6.5000000000000002E-2</v>
      </c>
      <c r="X62" s="3" t="s">
        <v>445</v>
      </c>
      <c r="Y62" s="3" t="s">
        <v>160</v>
      </c>
      <c r="Z62" s="2" t="s">
        <v>926</v>
      </c>
      <c r="AA62" s="2" t="s">
        <v>194</v>
      </c>
      <c r="AB62" s="156" t="s">
        <v>161</v>
      </c>
      <c r="AC62" s="156" t="s">
        <v>161</v>
      </c>
      <c r="AD62" s="123">
        <v>2000</v>
      </c>
      <c r="AE62" s="132">
        <v>3.3719999999999999</v>
      </c>
      <c r="AF62" s="149">
        <v>99.94</v>
      </c>
      <c r="AG62" s="123">
        <v>6.9589999999999996</v>
      </c>
      <c r="AH62" s="2"/>
      <c r="AI62" s="2"/>
      <c r="AJ62" s="2" t="s">
        <v>36</v>
      </c>
      <c r="AK62" s="138">
        <v>0.45278562661073501</v>
      </c>
      <c r="AL62" s="138">
        <v>3.2885884195647802E-4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6">
    <dataValidation type="list" allowBlank="1" showInputMessage="1" showErrorMessage="1" sqref="J2:J20" xr:uid="{00000000-0002-0000-1100-000000000000}">
      <formula1>israel_abroad</formula1>
    </dataValidation>
    <dataValidation type="list" allowBlank="1" showInputMessage="1" showErrorMessage="1" sqref="N2:N20" xr:uid="{00000000-0002-0000-1100-000001000000}">
      <formula1>Holding_interest</formula1>
    </dataValidation>
    <dataValidation type="list" allowBlank="1" showInputMessage="1" showErrorMessage="1" sqref="K2:K20" xr:uid="{00000000-0002-0000-1100-000002000000}">
      <formula1>Country_list</formula1>
    </dataValidation>
    <dataValidation type="list" allowBlank="1" showInputMessage="1" showErrorMessage="1" sqref="E3:E20" xr:uid="{00000000-0002-0000-1100-000003000000}">
      <formula1>Issuer_Number_Type_2</formula1>
    </dataValidation>
    <dataValidation type="list" allowBlank="1" showInputMessage="1" showErrorMessage="1" sqref="Q2:Q20" xr:uid="{00000000-0002-0000-1100-000004000000}">
      <formula1>Rating_Agency</formula1>
    </dataValidation>
    <dataValidation type="list" allowBlank="1" showInputMessage="1" showErrorMessage="1" sqref="P4 R2:R20" xr:uid="{00000000-0002-0000-1100-000005000000}">
      <formula1>What_is_rated</formula1>
    </dataValidation>
    <dataValidation type="list" allowBlank="1" showInputMessage="1" showErrorMessage="1" sqref="V4 X2:X20" xr:uid="{00000000-0002-0000-1100-000006000000}">
      <formula1>Subordination_Risk</formula1>
    </dataValidation>
    <dataValidation type="list" allowBlank="1" showInputMessage="1" showErrorMessage="1" sqref="Z2:Z19" xr:uid="{00000000-0002-0000-1100-000007000000}">
      <formula1>Valuation</formula1>
    </dataValidation>
    <dataValidation type="list" allowBlank="1" showInputMessage="1" showErrorMessage="1" sqref="AA2:AA20" xr:uid="{00000000-0002-0000-1100-000008000000}">
      <formula1>Dependence_Independence</formula1>
    </dataValidation>
    <dataValidation type="list" allowBlank="1" showInputMessage="1" showErrorMessage="1" sqref="AE4" xr:uid="{00000000-0002-0000-1100-000009000000}">
      <formula1>Info_Provider</formula1>
    </dataValidation>
    <dataValidation type="list" allowBlank="1" showInputMessage="1" showErrorMessage="1" sqref="Y2:Y20" xr:uid="{00000000-0002-0000-1100-00000A000000}">
      <formula1>Yes_No_Bad_Debt</formula1>
    </dataValidation>
    <dataValidation type="list" allowBlank="1" showInputMessage="1" showErrorMessage="1" sqref="H2:H20" xr:uid="{00000000-0002-0000-1100-00000B000000}">
      <formula1>Type_of_Security_ID_Fund</formula1>
    </dataValidation>
    <dataValidation type="list" allowBlank="1" showInputMessage="1" showErrorMessage="1" sqref="E2" xr:uid="{00000000-0002-0000-1100-00000C000000}">
      <formula1>Issuer_Number_Type_3</formula1>
    </dataValidation>
    <dataValidation type="list" allowBlank="1" showInputMessage="1" showErrorMessage="1" sqref="AJ2:AJ20" xr:uid="{00000000-0002-0000-1100-00000D000000}">
      <formula1>In_the_books</formula1>
    </dataValidation>
    <dataValidation type="list" allowBlank="1" showInputMessage="1" showErrorMessage="1" sqref="M2:M20" xr:uid="{00000000-0002-0000-1100-00000E000000}">
      <formula1>Industry_Sector</formula1>
    </dataValidation>
    <dataValidation type="list" allowBlank="1" showInputMessage="1" showErrorMessage="1" sqref="L2:L20" xr:uid="{00000000-0002-0000-1100-00000F000000}">
      <formula1>tradeable_status_bonds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10000000}">
          <x14:formula1>
            <xm:f>'אפשרויות בחירה'!$C$934:$C$945</xm:f>
          </x14:formula1>
          <xm:sqref>I2:I20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/>
  <dimension ref="A1:Z16"/>
  <sheetViews>
    <sheetView rightToLeft="1" topLeftCell="C1" zoomScale="70" zoomScaleNormal="70" workbookViewId="0">
      <selection activeCell="F9" sqref="F9"/>
    </sheetView>
  </sheetViews>
  <sheetFormatPr defaultColWidth="0" defaultRowHeight="14.25" zeroHeight="1"/>
  <cols>
    <col min="1" max="26" width="11.625" customWidth="1"/>
  </cols>
  <sheetData>
    <row r="1" spans="1:26" ht="66.75" customHeight="1">
      <c r="A1" s="12" t="s">
        <v>0</v>
      </c>
      <c r="B1" s="12" t="s">
        <v>1</v>
      </c>
      <c r="C1" s="12" t="s">
        <v>2</v>
      </c>
      <c r="D1" s="12" t="s">
        <v>167</v>
      </c>
      <c r="E1" s="12" t="s">
        <v>168</v>
      </c>
      <c r="F1" s="12" t="s">
        <v>3</v>
      </c>
      <c r="G1" s="12" t="s">
        <v>4</v>
      </c>
      <c r="H1" s="12" t="s">
        <v>169</v>
      </c>
      <c r="I1" s="12" t="s">
        <v>5</v>
      </c>
      <c r="J1" s="12" t="s">
        <v>6</v>
      </c>
      <c r="K1" s="12" t="s">
        <v>7</v>
      </c>
      <c r="L1" s="12" t="s">
        <v>360</v>
      </c>
      <c r="M1" s="12" t="s">
        <v>170</v>
      </c>
      <c r="N1" s="12" t="s">
        <v>146</v>
      </c>
      <c r="O1" s="153" t="s">
        <v>178</v>
      </c>
      <c r="P1" s="12" t="s">
        <v>11</v>
      </c>
      <c r="Q1" s="12" t="s">
        <v>171</v>
      </c>
      <c r="R1" s="12" t="s">
        <v>172</v>
      </c>
      <c r="S1" s="153" t="s">
        <v>155</v>
      </c>
      <c r="T1" s="153" t="s">
        <v>173</v>
      </c>
      <c r="U1" s="12" t="s">
        <v>17</v>
      </c>
      <c r="V1" s="131" t="s">
        <v>18</v>
      </c>
      <c r="W1" s="142" t="s">
        <v>19</v>
      </c>
      <c r="X1" s="12" t="s">
        <v>20</v>
      </c>
      <c r="Y1" s="137" t="s">
        <v>24</v>
      </c>
      <c r="Z1" s="137" t="s">
        <v>25</v>
      </c>
    </row>
    <row r="2" spans="1:26">
      <c r="A2" s="13">
        <v>161</v>
      </c>
      <c r="B2" s="13">
        <v>9938</v>
      </c>
      <c r="C2" s="13" t="s">
        <v>2939</v>
      </c>
      <c r="D2" s="13" t="s">
        <v>2940</v>
      </c>
      <c r="E2" s="11" t="s">
        <v>33</v>
      </c>
      <c r="F2" s="13" t="s">
        <v>2941</v>
      </c>
      <c r="G2" s="13" t="s">
        <v>2942</v>
      </c>
      <c r="H2" s="11" t="s">
        <v>209</v>
      </c>
      <c r="I2" s="13" t="s">
        <v>800</v>
      </c>
      <c r="J2" s="11" t="s">
        <v>30</v>
      </c>
      <c r="K2" s="11" t="s">
        <v>30</v>
      </c>
      <c r="L2" s="13" t="s">
        <v>362</v>
      </c>
      <c r="M2" s="13" t="s">
        <v>480</v>
      </c>
      <c r="N2" s="13" t="s">
        <v>160</v>
      </c>
      <c r="O2" s="154" t="s">
        <v>2943</v>
      </c>
      <c r="P2" s="11" t="s">
        <v>34</v>
      </c>
      <c r="Q2" s="13" t="s">
        <v>135</v>
      </c>
      <c r="R2" s="13" t="s">
        <v>194</v>
      </c>
      <c r="S2" s="154" t="s">
        <v>2944</v>
      </c>
      <c r="T2" s="154" t="s">
        <v>2944</v>
      </c>
      <c r="U2" s="125">
        <v>72698</v>
      </c>
      <c r="V2" s="147">
        <v>1</v>
      </c>
      <c r="W2" s="148">
        <v>0</v>
      </c>
      <c r="X2" s="125">
        <v>0</v>
      </c>
      <c r="Y2" s="146">
        <v>3.9387001582517405E-9</v>
      </c>
      <c r="Z2" s="146">
        <v>9.0650918603594593E-12</v>
      </c>
    </row>
    <row r="3" spans="1:26">
      <c r="A3" s="13">
        <v>161</v>
      </c>
      <c r="B3" s="13">
        <v>9938</v>
      </c>
      <c r="C3" s="13" t="s">
        <v>2945</v>
      </c>
      <c r="D3" s="13" t="s">
        <v>2946</v>
      </c>
      <c r="E3" s="11" t="s">
        <v>206</v>
      </c>
      <c r="F3" s="13" t="s">
        <v>2947</v>
      </c>
      <c r="G3" s="13" t="s">
        <v>2948</v>
      </c>
      <c r="H3" s="11" t="s">
        <v>209</v>
      </c>
      <c r="I3" s="13" t="s">
        <v>800</v>
      </c>
      <c r="J3" s="11" t="s">
        <v>85</v>
      </c>
      <c r="K3" s="11" t="s">
        <v>86</v>
      </c>
      <c r="L3" s="13" t="s">
        <v>362</v>
      </c>
      <c r="M3" s="13" t="s">
        <v>510</v>
      </c>
      <c r="N3" s="13" t="s">
        <v>160</v>
      </c>
      <c r="O3" s="154" t="s">
        <v>2949</v>
      </c>
      <c r="P3" s="11" t="s">
        <v>90</v>
      </c>
      <c r="Q3" s="13" t="s">
        <v>135</v>
      </c>
      <c r="R3" s="13" t="s">
        <v>927</v>
      </c>
      <c r="S3" s="154" t="s">
        <v>2949</v>
      </c>
      <c r="T3" s="154" t="s">
        <v>2950</v>
      </c>
      <c r="U3" s="125">
        <v>1560</v>
      </c>
      <c r="V3" s="147">
        <v>3.3719999999999999</v>
      </c>
      <c r="W3" s="148">
        <v>2500</v>
      </c>
      <c r="X3" s="125">
        <v>132.11099999999999</v>
      </c>
      <c r="Y3" s="146">
        <v>0.71576175331547698</v>
      </c>
      <c r="Z3" s="146">
        <v>1.6473571948205301E-3</v>
      </c>
    </row>
    <row r="4" spans="1:26">
      <c r="A4" s="13">
        <v>161</v>
      </c>
      <c r="B4" s="13">
        <v>9938</v>
      </c>
      <c r="C4" s="13" t="s">
        <v>2951</v>
      </c>
      <c r="D4" s="13" t="s">
        <v>2626</v>
      </c>
      <c r="E4" s="11" t="s">
        <v>1351</v>
      </c>
      <c r="F4" s="13" t="s">
        <v>2952</v>
      </c>
      <c r="G4" s="13" t="s">
        <v>2953</v>
      </c>
      <c r="H4" s="11" t="s">
        <v>33</v>
      </c>
      <c r="I4" s="13" t="s">
        <v>800</v>
      </c>
      <c r="J4" s="11" t="s">
        <v>85</v>
      </c>
      <c r="K4" s="11" t="s">
        <v>334</v>
      </c>
      <c r="L4" s="13" t="s">
        <v>362</v>
      </c>
      <c r="M4" s="13" t="s">
        <v>578</v>
      </c>
      <c r="N4" s="13" t="s">
        <v>160</v>
      </c>
      <c r="O4" s="156" t="s">
        <v>2954</v>
      </c>
      <c r="P4" s="11" t="s">
        <v>90</v>
      </c>
      <c r="Q4" s="13" t="s">
        <v>135</v>
      </c>
      <c r="R4" s="13" t="s">
        <v>194</v>
      </c>
      <c r="S4" s="154" t="s">
        <v>2955</v>
      </c>
      <c r="T4" s="154" t="s">
        <v>2956</v>
      </c>
      <c r="U4" s="125">
        <v>2235.4</v>
      </c>
      <c r="V4" s="147">
        <v>3.3719999999999999</v>
      </c>
      <c r="W4" s="148">
        <v>696</v>
      </c>
      <c r="X4" s="125">
        <v>52.463000000000001</v>
      </c>
      <c r="Y4" s="146">
        <v>0.28423824274582299</v>
      </c>
      <c r="Z4" s="146">
        <v>6.5418683250611403E-4</v>
      </c>
    </row>
    <row r="5" spans="1:26">
      <c r="A5" s="13">
        <v>161</v>
      </c>
      <c r="B5" s="13">
        <v>9942</v>
      </c>
      <c r="C5" s="13" t="s">
        <v>2939</v>
      </c>
      <c r="D5" s="13" t="s">
        <v>2940</v>
      </c>
      <c r="E5" s="11" t="s">
        <v>33</v>
      </c>
      <c r="F5" s="13" t="s">
        <v>2941</v>
      </c>
      <c r="G5" s="13" t="s">
        <v>2942</v>
      </c>
      <c r="H5" s="11" t="s">
        <v>209</v>
      </c>
      <c r="I5" s="13" t="s">
        <v>800</v>
      </c>
      <c r="J5" s="11" t="s">
        <v>30</v>
      </c>
      <c r="K5" s="11" t="s">
        <v>30</v>
      </c>
      <c r="L5" s="13" t="s">
        <v>362</v>
      </c>
      <c r="M5" s="13" t="s">
        <v>480</v>
      </c>
      <c r="N5" s="13" t="s">
        <v>160</v>
      </c>
      <c r="O5" s="154" t="s">
        <v>2943</v>
      </c>
      <c r="P5" s="11" t="s">
        <v>34</v>
      </c>
      <c r="Q5" s="13" t="s">
        <v>135</v>
      </c>
      <c r="R5" s="13" t="s">
        <v>194</v>
      </c>
      <c r="S5" s="154" t="s">
        <v>2944</v>
      </c>
      <c r="T5" s="154" t="s">
        <v>2944</v>
      </c>
      <c r="U5" s="125">
        <v>53312</v>
      </c>
      <c r="V5" s="147">
        <v>1</v>
      </c>
      <c r="W5" s="148">
        <v>0</v>
      </c>
      <c r="X5" s="125">
        <v>0</v>
      </c>
      <c r="Y5" s="146">
        <v>2.6788207135065403E-9</v>
      </c>
      <c r="Z5" s="146">
        <v>5.6146362085841199E-12</v>
      </c>
    </row>
    <row r="6" spans="1:26">
      <c r="A6" s="13">
        <v>161</v>
      </c>
      <c r="B6" s="13">
        <v>9942</v>
      </c>
      <c r="C6" s="13" t="s">
        <v>2945</v>
      </c>
      <c r="D6" s="13" t="s">
        <v>2946</v>
      </c>
      <c r="E6" s="11" t="s">
        <v>206</v>
      </c>
      <c r="F6" s="13" t="s">
        <v>2947</v>
      </c>
      <c r="G6" s="13" t="s">
        <v>2948</v>
      </c>
      <c r="H6" s="11" t="s">
        <v>209</v>
      </c>
      <c r="I6" s="13" t="s">
        <v>800</v>
      </c>
      <c r="J6" s="11" t="s">
        <v>85</v>
      </c>
      <c r="K6" s="11" t="s">
        <v>86</v>
      </c>
      <c r="L6" s="13" t="s">
        <v>362</v>
      </c>
      <c r="M6" s="13" t="s">
        <v>510</v>
      </c>
      <c r="N6" s="13" t="s">
        <v>160</v>
      </c>
      <c r="O6" s="13"/>
      <c r="P6" s="11" t="s">
        <v>90</v>
      </c>
      <c r="Q6" s="13" t="s">
        <v>135</v>
      </c>
      <c r="R6" s="13" t="s">
        <v>927</v>
      </c>
      <c r="S6" s="154" t="s">
        <v>2949</v>
      </c>
      <c r="T6" s="154" t="s">
        <v>2950</v>
      </c>
      <c r="U6" s="125">
        <v>2350</v>
      </c>
      <c r="V6" s="147">
        <v>3.3719999999999999</v>
      </c>
      <c r="W6" s="148">
        <v>2500</v>
      </c>
      <c r="X6" s="125">
        <v>199.01300000000001</v>
      </c>
      <c r="Y6" s="146">
        <v>0.99999999732117895</v>
      </c>
      <c r="Z6" s="146">
        <v>2.09593578444227E-3</v>
      </c>
    </row>
    <row r="7" spans="1:26">
      <c r="A7" s="13">
        <v>161</v>
      </c>
      <c r="B7" s="13">
        <v>9943</v>
      </c>
      <c r="C7" s="13" t="s">
        <v>2957</v>
      </c>
      <c r="D7" s="13" t="s">
        <v>2958</v>
      </c>
      <c r="E7" s="11" t="s">
        <v>1351</v>
      </c>
      <c r="F7" s="13" t="s">
        <v>2959</v>
      </c>
      <c r="G7" s="13" t="s">
        <v>2960</v>
      </c>
      <c r="H7" s="11" t="s">
        <v>33</v>
      </c>
      <c r="I7" s="13" t="s">
        <v>800</v>
      </c>
      <c r="J7" s="11" t="s">
        <v>30</v>
      </c>
      <c r="K7" s="11" t="s">
        <v>30</v>
      </c>
      <c r="L7" s="13" t="s">
        <v>362</v>
      </c>
      <c r="M7" s="13" t="s">
        <v>493</v>
      </c>
      <c r="N7" s="13" t="s">
        <v>160</v>
      </c>
      <c r="O7" s="13" t="s">
        <v>2961</v>
      </c>
      <c r="P7" s="11" t="s">
        <v>34</v>
      </c>
      <c r="Q7" s="13" t="s">
        <v>135</v>
      </c>
      <c r="R7" s="13" t="s">
        <v>194</v>
      </c>
      <c r="S7" s="154" t="s">
        <v>2962</v>
      </c>
      <c r="T7" s="154" t="s">
        <v>2950</v>
      </c>
      <c r="U7" s="125">
        <v>141213.79</v>
      </c>
      <c r="V7" s="147">
        <v>1</v>
      </c>
      <c r="W7" s="148">
        <v>1E-3</v>
      </c>
      <c r="X7" s="125">
        <v>1E-3</v>
      </c>
      <c r="Y7" s="146">
        <v>7.4438067621908297E-7</v>
      </c>
      <c r="Z7" s="146">
        <v>7.4887856896524704E-10</v>
      </c>
    </row>
    <row r="8" spans="1:26">
      <c r="A8" s="13">
        <v>161</v>
      </c>
      <c r="B8" s="13">
        <v>9943</v>
      </c>
      <c r="C8" s="13" t="s">
        <v>204</v>
      </c>
      <c r="D8" s="13" t="s">
        <v>205</v>
      </c>
      <c r="E8" s="11" t="s">
        <v>206</v>
      </c>
      <c r="F8" s="13" t="s">
        <v>2963</v>
      </c>
      <c r="G8" s="13" t="s">
        <v>2964</v>
      </c>
      <c r="H8" s="11" t="s">
        <v>209</v>
      </c>
      <c r="I8" s="13" t="s">
        <v>800</v>
      </c>
      <c r="J8" s="11" t="s">
        <v>85</v>
      </c>
      <c r="K8" s="11" t="s">
        <v>86</v>
      </c>
      <c r="L8" s="13" t="s">
        <v>362</v>
      </c>
      <c r="M8" s="13" t="s">
        <v>1758</v>
      </c>
      <c r="N8" s="13" t="s">
        <v>160</v>
      </c>
      <c r="O8" s="13" t="s">
        <v>2965</v>
      </c>
      <c r="P8" s="11" t="s">
        <v>90</v>
      </c>
      <c r="Q8" s="13" t="s">
        <v>135</v>
      </c>
      <c r="R8" s="13" t="s">
        <v>194</v>
      </c>
      <c r="S8" s="154" t="s">
        <v>2966</v>
      </c>
      <c r="T8" s="154" t="s">
        <v>2950</v>
      </c>
      <c r="U8" s="125">
        <v>49</v>
      </c>
      <c r="V8" s="147">
        <v>3.3719999999999999</v>
      </c>
      <c r="W8" s="148">
        <v>0</v>
      </c>
      <c r="X8" s="125">
        <v>0</v>
      </c>
      <c r="Y8" s="146">
        <v>8.7096685366440999E-13</v>
      </c>
      <c r="Z8" s="146">
        <v>8.7622963871299997E-16</v>
      </c>
    </row>
    <row r="9" spans="1:26">
      <c r="A9" s="13">
        <v>161</v>
      </c>
      <c r="B9" s="13">
        <v>9943</v>
      </c>
      <c r="C9" s="13" t="s">
        <v>204</v>
      </c>
      <c r="D9" s="13" t="s">
        <v>205</v>
      </c>
      <c r="E9" s="11" t="s">
        <v>206</v>
      </c>
      <c r="F9" s="13" t="s">
        <v>2967</v>
      </c>
      <c r="G9" s="13" t="s">
        <v>2968</v>
      </c>
      <c r="H9" s="11" t="s">
        <v>209</v>
      </c>
      <c r="I9" s="13" t="s">
        <v>800</v>
      </c>
      <c r="J9" s="11" t="s">
        <v>85</v>
      </c>
      <c r="K9" s="11" t="s">
        <v>86</v>
      </c>
      <c r="L9" s="13" t="s">
        <v>362</v>
      </c>
      <c r="M9" s="13" t="s">
        <v>1758</v>
      </c>
      <c r="N9" s="13" t="s">
        <v>160</v>
      </c>
      <c r="O9" s="13" t="s">
        <v>2965</v>
      </c>
      <c r="P9" s="11" t="s">
        <v>90</v>
      </c>
      <c r="Q9" s="13" t="s">
        <v>135</v>
      </c>
      <c r="R9" s="13" t="s">
        <v>194</v>
      </c>
      <c r="S9" s="154" t="s">
        <v>2969</v>
      </c>
      <c r="T9" s="154" t="s">
        <v>2950</v>
      </c>
      <c r="U9" s="125">
        <v>0</v>
      </c>
      <c r="V9" s="147">
        <v>3.3719999999999999</v>
      </c>
      <c r="W9" s="148">
        <v>0</v>
      </c>
      <c r="X9" s="125">
        <v>171.66200000000001</v>
      </c>
      <c r="Y9" s="146">
        <v>9.0488479142282599E-2</v>
      </c>
      <c r="Z9" s="146">
        <v>9.1035252435771002E-5</v>
      </c>
    </row>
    <row r="10" spans="1:26">
      <c r="A10" s="13">
        <v>161</v>
      </c>
      <c r="B10" s="13">
        <v>9943</v>
      </c>
      <c r="C10" s="13" t="s">
        <v>204</v>
      </c>
      <c r="D10" s="13" t="s">
        <v>205</v>
      </c>
      <c r="E10" s="11" t="s">
        <v>206</v>
      </c>
      <c r="F10" s="13" t="s">
        <v>2970</v>
      </c>
      <c r="G10" s="13" t="s">
        <v>2971</v>
      </c>
      <c r="H10" s="11" t="s">
        <v>209</v>
      </c>
      <c r="I10" s="13" t="s">
        <v>800</v>
      </c>
      <c r="J10" s="11" t="s">
        <v>85</v>
      </c>
      <c r="K10" s="11" t="s">
        <v>86</v>
      </c>
      <c r="L10" s="13" t="s">
        <v>362</v>
      </c>
      <c r="M10" s="13" t="s">
        <v>521</v>
      </c>
      <c r="N10" s="13" t="s">
        <v>160</v>
      </c>
      <c r="O10" s="13" t="s">
        <v>2972</v>
      </c>
      <c r="P10" s="11" t="s">
        <v>90</v>
      </c>
      <c r="Q10" s="13" t="s">
        <v>135</v>
      </c>
      <c r="R10" s="13" t="s">
        <v>194</v>
      </c>
      <c r="S10" s="154" t="s">
        <v>161</v>
      </c>
      <c r="T10" s="154" t="s">
        <v>2950</v>
      </c>
      <c r="U10" s="125">
        <v>73</v>
      </c>
      <c r="V10" s="147">
        <v>3.3719999999999999</v>
      </c>
      <c r="W10" s="148">
        <v>0</v>
      </c>
      <c r="X10" s="125">
        <v>8.9999999999999993E-3</v>
      </c>
      <c r="Y10" s="146">
        <v>4.60372042130956E-6</v>
      </c>
      <c r="Z10" s="146">
        <v>4.6315382319404707E-9</v>
      </c>
    </row>
    <row r="11" spans="1:26">
      <c r="A11" s="13">
        <v>161</v>
      </c>
      <c r="B11" s="13">
        <v>9943</v>
      </c>
      <c r="C11" s="13" t="s">
        <v>2939</v>
      </c>
      <c r="D11" s="13" t="s">
        <v>2940</v>
      </c>
      <c r="E11" s="11" t="s">
        <v>33</v>
      </c>
      <c r="F11" s="13" t="s">
        <v>2941</v>
      </c>
      <c r="G11" s="13" t="s">
        <v>2942</v>
      </c>
      <c r="H11" s="11" t="s">
        <v>209</v>
      </c>
      <c r="I11" s="13" t="s">
        <v>800</v>
      </c>
      <c r="J11" s="11" t="s">
        <v>30</v>
      </c>
      <c r="K11" s="11" t="s">
        <v>30</v>
      </c>
      <c r="L11" s="13" t="s">
        <v>362</v>
      </c>
      <c r="M11" s="13" t="s">
        <v>480</v>
      </c>
      <c r="N11" s="13" t="s">
        <v>160</v>
      </c>
      <c r="O11" s="13" t="s">
        <v>2943</v>
      </c>
      <c r="P11" s="11" t="s">
        <v>34</v>
      </c>
      <c r="Q11" s="13" t="s">
        <v>135</v>
      </c>
      <c r="R11" s="13" t="s">
        <v>194</v>
      </c>
      <c r="S11" s="154" t="s">
        <v>2944</v>
      </c>
      <c r="T11" s="154" t="s">
        <v>2944</v>
      </c>
      <c r="U11" s="125">
        <v>525040</v>
      </c>
      <c r="V11" s="147">
        <v>1</v>
      </c>
      <c r="W11" s="148">
        <v>0</v>
      </c>
      <c r="X11" s="125">
        <v>0</v>
      </c>
      <c r="Y11" s="146">
        <v>2.7676449321420202E-9</v>
      </c>
      <c r="Z11" s="146">
        <v>2.78436832443569E-12</v>
      </c>
    </row>
    <row r="12" spans="1:26">
      <c r="A12" s="13">
        <v>161</v>
      </c>
      <c r="B12" s="13">
        <v>9943</v>
      </c>
      <c r="C12" s="13" t="s">
        <v>2945</v>
      </c>
      <c r="D12" s="13" t="s">
        <v>2946</v>
      </c>
      <c r="E12" s="11" t="s">
        <v>206</v>
      </c>
      <c r="F12" s="13" t="s">
        <v>2947</v>
      </c>
      <c r="G12" s="13" t="s">
        <v>2948</v>
      </c>
      <c r="H12" s="11" t="s">
        <v>209</v>
      </c>
      <c r="I12" s="13" t="s">
        <v>800</v>
      </c>
      <c r="J12" s="11" t="s">
        <v>85</v>
      </c>
      <c r="K12" s="11" t="s">
        <v>86</v>
      </c>
      <c r="L12" s="13" t="s">
        <v>362</v>
      </c>
      <c r="M12" s="13" t="s">
        <v>510</v>
      </c>
      <c r="N12" s="13" t="s">
        <v>160</v>
      </c>
      <c r="O12" s="13" t="s">
        <v>2973</v>
      </c>
      <c r="P12" s="11" t="s">
        <v>90</v>
      </c>
      <c r="Q12" s="13" t="s">
        <v>135</v>
      </c>
      <c r="R12" s="13" t="s">
        <v>927</v>
      </c>
      <c r="S12" s="154" t="s">
        <v>2949</v>
      </c>
      <c r="T12" s="154" t="s">
        <v>2950</v>
      </c>
      <c r="U12" s="125">
        <v>11450</v>
      </c>
      <c r="V12" s="147">
        <v>3.3719999999999999</v>
      </c>
      <c r="W12" s="148">
        <v>2500</v>
      </c>
      <c r="X12" s="125">
        <v>969.65899999999999</v>
      </c>
      <c r="Y12" s="146">
        <v>0.51113656758251802</v>
      </c>
      <c r="Z12" s="146">
        <v>5.1422509141592202E-4</v>
      </c>
    </row>
    <row r="13" spans="1:26">
      <c r="A13" s="13">
        <v>161</v>
      </c>
      <c r="B13" s="13">
        <v>9943</v>
      </c>
      <c r="C13" s="13" t="s">
        <v>2974</v>
      </c>
      <c r="D13" s="13" t="s">
        <v>2975</v>
      </c>
      <c r="E13" s="11" t="s">
        <v>33</v>
      </c>
      <c r="F13" s="13" t="s">
        <v>2974</v>
      </c>
      <c r="G13" s="13" t="s">
        <v>2976</v>
      </c>
      <c r="H13" s="11" t="s">
        <v>33</v>
      </c>
      <c r="I13" s="13" t="s">
        <v>800</v>
      </c>
      <c r="J13" s="11" t="s">
        <v>85</v>
      </c>
      <c r="K13" s="11" t="s">
        <v>86</v>
      </c>
      <c r="L13" s="13" t="s">
        <v>362</v>
      </c>
      <c r="M13" s="13" t="s">
        <v>578</v>
      </c>
      <c r="N13" s="13" t="s">
        <v>160</v>
      </c>
      <c r="O13" s="13" t="s">
        <v>2977</v>
      </c>
      <c r="P13" s="11" t="s">
        <v>90</v>
      </c>
      <c r="Q13" s="13" t="s">
        <v>135</v>
      </c>
      <c r="R13" s="13" t="s">
        <v>194</v>
      </c>
      <c r="S13" s="154" t="s">
        <v>2978</v>
      </c>
      <c r="T13" s="154" t="s">
        <v>2956</v>
      </c>
      <c r="U13" s="125">
        <v>43720</v>
      </c>
      <c r="V13" s="147">
        <v>3.3719999999999999</v>
      </c>
      <c r="W13" s="148">
        <v>505.08</v>
      </c>
      <c r="X13" s="125">
        <v>744.60799999999995</v>
      </c>
      <c r="Y13" s="146">
        <v>0.39250561365270198</v>
      </c>
      <c r="Z13" s="146">
        <v>3.9487731432801302E-4</v>
      </c>
    </row>
    <row r="14" spans="1:26">
      <c r="A14" s="13">
        <v>161</v>
      </c>
      <c r="B14" s="13">
        <v>9943</v>
      </c>
      <c r="C14" s="13" t="s">
        <v>2951</v>
      </c>
      <c r="D14" s="13" t="s">
        <v>2626</v>
      </c>
      <c r="E14" s="11" t="s">
        <v>1351</v>
      </c>
      <c r="F14" s="13" t="s">
        <v>2952</v>
      </c>
      <c r="G14" s="13" t="s">
        <v>2953</v>
      </c>
      <c r="H14" s="11" t="s">
        <v>33</v>
      </c>
      <c r="I14" s="13" t="s">
        <v>800</v>
      </c>
      <c r="J14" s="11" t="s">
        <v>85</v>
      </c>
      <c r="K14" s="11" t="s">
        <v>334</v>
      </c>
      <c r="L14" s="13" t="s">
        <v>362</v>
      </c>
      <c r="M14" s="13" t="s">
        <v>578</v>
      </c>
      <c r="N14" s="13" t="s">
        <v>160</v>
      </c>
      <c r="O14" s="13" t="s">
        <v>2954</v>
      </c>
      <c r="P14" s="11" t="s">
        <v>90</v>
      </c>
      <c r="Q14" s="13" t="s">
        <v>135</v>
      </c>
      <c r="R14" s="13" t="s">
        <v>194</v>
      </c>
      <c r="S14" s="154" t="s">
        <v>2955</v>
      </c>
      <c r="T14" s="154" t="s">
        <v>2956</v>
      </c>
      <c r="U14" s="125">
        <v>474</v>
      </c>
      <c r="V14" s="147">
        <v>3.3719999999999999</v>
      </c>
      <c r="W14" s="148">
        <v>696</v>
      </c>
      <c r="X14" s="125">
        <v>11.124000000000001</v>
      </c>
      <c r="Y14" s="146">
        <v>5.8639887528837403E-3</v>
      </c>
      <c r="Z14" s="146">
        <v>5.8994216883666303E-6</v>
      </c>
    </row>
    <row r="15" spans="1:26">
      <c r="A15" s="13">
        <v>161</v>
      </c>
      <c r="B15" s="13">
        <v>12468</v>
      </c>
      <c r="C15" s="13" t="s">
        <v>2939</v>
      </c>
      <c r="D15" s="13" t="s">
        <v>2940</v>
      </c>
      <c r="E15" s="11" t="s">
        <v>33</v>
      </c>
      <c r="F15" s="13" t="s">
        <v>2941</v>
      </c>
      <c r="G15" s="13" t="s">
        <v>2942</v>
      </c>
      <c r="H15" s="11" t="s">
        <v>209</v>
      </c>
      <c r="I15" s="13" t="s">
        <v>800</v>
      </c>
      <c r="J15" s="11" t="s">
        <v>30</v>
      </c>
      <c r="K15" s="11" t="s">
        <v>30</v>
      </c>
      <c r="L15" s="13" t="s">
        <v>362</v>
      </c>
      <c r="M15" s="13" t="s">
        <v>480</v>
      </c>
      <c r="N15" s="13" t="s">
        <v>160</v>
      </c>
      <c r="O15" s="13" t="s">
        <v>2943</v>
      </c>
      <c r="P15" s="11" t="s">
        <v>34</v>
      </c>
      <c r="Q15" s="13" t="s">
        <v>135</v>
      </c>
      <c r="R15" s="13" t="s">
        <v>194</v>
      </c>
      <c r="S15" s="154" t="s">
        <v>2944</v>
      </c>
      <c r="T15" s="154" t="s">
        <v>2944</v>
      </c>
      <c r="U15" s="125">
        <v>7270</v>
      </c>
      <c r="V15" s="147">
        <v>1</v>
      </c>
      <c r="W15" s="148">
        <v>0</v>
      </c>
      <c r="X15" s="125">
        <v>0</v>
      </c>
      <c r="Y15" s="146">
        <v>1.00995460257854E-8</v>
      </c>
      <c r="Z15" s="146">
        <v>3.43549056311204E-12</v>
      </c>
    </row>
    <row r="16" spans="1:26">
      <c r="A16" s="13">
        <v>161</v>
      </c>
      <c r="B16" s="13">
        <v>12468</v>
      </c>
      <c r="C16" s="13" t="s">
        <v>2945</v>
      </c>
      <c r="D16" s="13" t="s">
        <v>2946</v>
      </c>
      <c r="E16" s="11" t="s">
        <v>206</v>
      </c>
      <c r="F16" s="13" t="s">
        <v>2947</v>
      </c>
      <c r="G16" s="13" t="s">
        <v>2948</v>
      </c>
      <c r="H16" s="11" t="s">
        <v>209</v>
      </c>
      <c r="I16" s="13" t="s">
        <v>800</v>
      </c>
      <c r="J16" s="11" t="s">
        <v>85</v>
      </c>
      <c r="K16" s="11" t="s">
        <v>86</v>
      </c>
      <c r="L16" s="13" t="s">
        <v>362</v>
      </c>
      <c r="M16" s="13" t="s">
        <v>510</v>
      </c>
      <c r="N16" s="13" t="s">
        <v>160</v>
      </c>
      <c r="O16" s="13"/>
      <c r="P16" s="11" t="s">
        <v>90</v>
      </c>
      <c r="Q16" s="13" t="s">
        <v>135</v>
      </c>
      <c r="R16" s="13" t="s">
        <v>927</v>
      </c>
      <c r="S16" s="154" t="s">
        <v>2949</v>
      </c>
      <c r="T16" s="154" t="s">
        <v>2950</v>
      </c>
      <c r="U16" s="125">
        <v>85</v>
      </c>
      <c r="V16" s="147">
        <v>3.3719999999999999</v>
      </c>
      <c r="W16" s="148">
        <v>2500</v>
      </c>
      <c r="X16" s="125">
        <v>7.1980000000000004</v>
      </c>
      <c r="Y16" s="146">
        <v>0.99999998990045402</v>
      </c>
      <c r="Z16" s="146">
        <v>3.4016286669162301E-4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1">
    <dataValidation type="list" allowBlank="1" showInputMessage="1" showErrorMessage="1" sqref="J2:J16" xr:uid="{00000000-0002-0000-1200-000000000000}">
      <formula1>israel_abroad</formula1>
    </dataValidation>
    <dataValidation type="list" allowBlank="1" showInputMessage="1" showErrorMessage="1" sqref="N2:N16" xr:uid="{00000000-0002-0000-1200-000001000000}">
      <formula1>Holding_interest</formula1>
    </dataValidation>
    <dataValidation type="list" allowBlank="1" showInputMessage="1" showErrorMessage="1" sqref="Q2:Q16" xr:uid="{00000000-0002-0000-1200-000002000000}">
      <formula1>Valuation</formula1>
    </dataValidation>
    <dataValidation type="list" allowBlank="1" showInputMessage="1" showErrorMessage="1" sqref="R2:R16" xr:uid="{00000000-0002-0000-1200-000003000000}">
      <formula1>Dependence_Independence</formula1>
    </dataValidation>
    <dataValidation type="list" allowBlank="1" showInputMessage="1" showErrorMessage="1" sqref="K2:K16" xr:uid="{00000000-0002-0000-1200-000004000000}">
      <formula1>Country_list</formula1>
    </dataValidation>
    <dataValidation type="list" allowBlank="1" showInputMessage="1" showErrorMessage="1" sqref="E3:E16" xr:uid="{00000000-0002-0000-1200-000005000000}">
      <formula1>Issuer_Number_Type_2</formula1>
    </dataValidation>
    <dataValidation type="list" allowBlank="1" showInputMessage="1" showErrorMessage="1" sqref="H2" xr:uid="{00000000-0002-0000-1200-000006000000}">
      <formula1>Type_of_Security_ID</formula1>
    </dataValidation>
    <dataValidation type="list" allowBlank="1" showInputMessage="1" showErrorMessage="1" sqref="H3:H16" xr:uid="{00000000-0002-0000-1200-000007000000}">
      <formula1>Type_of_Security_ID_Traded</formula1>
    </dataValidation>
    <dataValidation type="list" allowBlank="1" showInputMessage="1" showErrorMessage="1" sqref="E2" xr:uid="{00000000-0002-0000-1200-000008000000}">
      <formula1>Issuer_Number_Type_3</formula1>
    </dataValidation>
    <dataValidation type="list" allowBlank="1" showInputMessage="1" showErrorMessage="1" sqref="M2:M16" xr:uid="{00000000-0002-0000-1200-000009000000}">
      <formula1>Industry_Sector</formula1>
    </dataValidation>
    <dataValidation type="list" allowBlank="1" showInputMessage="1" showErrorMessage="1" sqref="L2:L16" xr:uid="{00000000-0002-0000-1200-00000A000000}">
      <formula1>tradeable_status_stock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B000000}">
          <x14:formula1>
            <xm:f>'אפשרויות בחירה'!$C$946:$C$955</xm:f>
          </x14:formula1>
          <xm:sqref>I2:I16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/>
  <dimension ref="A1:AA73"/>
  <sheetViews>
    <sheetView rightToLeft="1" topLeftCell="C1" zoomScale="90" zoomScaleNormal="90" workbookViewId="0">
      <selection activeCell="L37" sqref="L37"/>
    </sheetView>
  </sheetViews>
  <sheetFormatPr defaultColWidth="0" defaultRowHeight="14.25" zeroHeight="1"/>
  <cols>
    <col min="1" max="26" width="11.625" customWidth="1"/>
    <col min="27" max="27" width="9" hidden="1" customWidth="1"/>
  </cols>
  <sheetData>
    <row r="1" spans="1:26" ht="66.75" customHeight="1">
      <c r="A1" s="12" t="s">
        <v>0</v>
      </c>
      <c r="B1" s="12" t="s">
        <v>1</v>
      </c>
      <c r="C1" s="12" t="s">
        <v>228</v>
      </c>
      <c r="D1" s="12" t="s">
        <v>229</v>
      </c>
      <c r="E1" s="12" t="s">
        <v>230</v>
      </c>
      <c r="F1" s="12" t="s">
        <v>231</v>
      </c>
      <c r="G1" s="12" t="s">
        <v>232</v>
      </c>
      <c r="H1" s="12" t="s">
        <v>233</v>
      </c>
      <c r="I1" s="12" t="s">
        <v>5</v>
      </c>
      <c r="J1" s="12" t="s">
        <v>865</v>
      </c>
      <c r="K1" s="12" t="s">
        <v>6</v>
      </c>
      <c r="L1" s="12" t="s">
        <v>1151</v>
      </c>
      <c r="M1" s="12" t="s">
        <v>1152</v>
      </c>
      <c r="N1" s="12" t="s">
        <v>7</v>
      </c>
      <c r="O1" s="12" t="s">
        <v>146</v>
      </c>
      <c r="P1" s="157" t="s">
        <v>178</v>
      </c>
      <c r="Q1" s="12" t="s">
        <v>11</v>
      </c>
      <c r="R1" s="12" t="s">
        <v>171</v>
      </c>
      <c r="S1" s="12" t="s">
        <v>172</v>
      </c>
      <c r="T1" s="153" t="s">
        <v>155</v>
      </c>
      <c r="U1" s="131" t="s">
        <v>18</v>
      </c>
      <c r="V1" s="90" t="s">
        <v>2624</v>
      </c>
      <c r="W1" s="12" t="s">
        <v>20</v>
      </c>
      <c r="X1" s="137" t="s">
        <v>1154</v>
      </c>
      <c r="Y1" s="137" t="s">
        <v>24</v>
      </c>
      <c r="Z1" s="137" t="s">
        <v>25</v>
      </c>
    </row>
    <row r="2" spans="1:26">
      <c r="A2" s="13">
        <v>161</v>
      </c>
      <c r="B2" s="13">
        <v>9938</v>
      </c>
      <c r="C2" s="13" t="s">
        <v>2625</v>
      </c>
      <c r="D2" s="13" t="s">
        <v>2626</v>
      </c>
      <c r="E2" s="13" t="s">
        <v>1351</v>
      </c>
      <c r="F2" s="13" t="s">
        <v>2627</v>
      </c>
      <c r="G2" s="13">
        <v>27970027</v>
      </c>
      <c r="H2" s="13" t="s">
        <v>33</v>
      </c>
      <c r="I2" s="2" t="s">
        <v>1057</v>
      </c>
      <c r="J2" s="13" t="s">
        <v>885</v>
      </c>
      <c r="K2" s="11" t="s">
        <v>85</v>
      </c>
      <c r="L2" s="13" t="s">
        <v>86</v>
      </c>
      <c r="M2" s="13" t="s">
        <v>256</v>
      </c>
      <c r="N2" s="11" t="s">
        <v>30</v>
      </c>
      <c r="O2" s="13" t="s">
        <v>160</v>
      </c>
      <c r="P2" s="155" t="s">
        <v>2628</v>
      </c>
      <c r="Q2" s="11" t="s">
        <v>90</v>
      </c>
      <c r="R2" s="13" t="s">
        <v>925</v>
      </c>
      <c r="S2" s="13" t="s">
        <v>194</v>
      </c>
      <c r="T2" s="154" t="s">
        <v>2629</v>
      </c>
      <c r="U2" s="147">
        <v>3.3719999999999999</v>
      </c>
      <c r="V2" s="125">
        <v>38.621000000000002</v>
      </c>
      <c r="W2" s="125">
        <v>130.232</v>
      </c>
      <c r="X2" s="146">
        <v>0</v>
      </c>
      <c r="Y2" s="146">
        <v>0.31174761704926002</v>
      </c>
      <c r="Z2" s="146">
        <v>1.6239246982394299E-3</v>
      </c>
    </row>
    <row r="3" spans="1:26">
      <c r="A3" s="13">
        <v>161</v>
      </c>
      <c r="B3" s="13">
        <v>9938</v>
      </c>
      <c r="C3" s="13" t="s">
        <v>2630</v>
      </c>
      <c r="D3" s="2" t="s">
        <v>2631</v>
      </c>
      <c r="E3" s="13" t="s">
        <v>33</v>
      </c>
      <c r="F3" s="13" t="s">
        <v>2632</v>
      </c>
      <c r="G3" s="13">
        <v>27970029</v>
      </c>
      <c r="H3" s="13" t="s">
        <v>33</v>
      </c>
      <c r="I3" s="2" t="s">
        <v>1057</v>
      </c>
      <c r="J3" s="13" t="s">
        <v>887</v>
      </c>
      <c r="K3" s="11" t="s">
        <v>85</v>
      </c>
      <c r="L3" s="13" t="s">
        <v>2633</v>
      </c>
      <c r="M3" s="13" t="s">
        <v>331</v>
      </c>
      <c r="N3" s="11" t="s">
        <v>331</v>
      </c>
      <c r="O3" s="13" t="s">
        <v>160</v>
      </c>
      <c r="P3" s="155" t="s">
        <v>2634</v>
      </c>
      <c r="Q3" s="11" t="s">
        <v>90</v>
      </c>
      <c r="R3" s="13" t="s">
        <v>925</v>
      </c>
      <c r="S3" s="13" t="s">
        <v>927</v>
      </c>
      <c r="T3" s="158" t="s">
        <v>2635</v>
      </c>
      <c r="U3" s="147">
        <v>3.3719999999999999</v>
      </c>
      <c r="V3" s="125">
        <v>85.265000000000001</v>
      </c>
      <c r="W3" s="125">
        <v>287.51499999999999</v>
      </c>
      <c r="X3" s="159">
        <v>0</v>
      </c>
      <c r="Y3" s="146">
        <v>0.68825238295073998</v>
      </c>
      <c r="Z3" s="146">
        <v>3.58517589925714E-3</v>
      </c>
    </row>
    <row r="4" spans="1:26">
      <c r="A4" s="13">
        <v>161</v>
      </c>
      <c r="B4" s="13">
        <v>9942</v>
      </c>
      <c r="C4" s="13" t="s">
        <v>2630</v>
      </c>
      <c r="D4" s="2" t="s">
        <v>2631</v>
      </c>
      <c r="E4" s="13" t="s">
        <v>33</v>
      </c>
      <c r="F4" s="13" t="s">
        <v>2632</v>
      </c>
      <c r="G4" s="13">
        <v>27970029</v>
      </c>
      <c r="H4" s="13" t="s">
        <v>33</v>
      </c>
      <c r="I4" s="2" t="s">
        <v>1057</v>
      </c>
      <c r="J4" s="13" t="s">
        <v>887</v>
      </c>
      <c r="K4" s="11" t="s">
        <v>85</v>
      </c>
      <c r="L4" s="13" t="s">
        <v>2633</v>
      </c>
      <c r="M4" s="13" t="s">
        <v>331</v>
      </c>
      <c r="N4" s="11" t="s">
        <v>331</v>
      </c>
      <c r="O4" s="13" t="s">
        <v>160</v>
      </c>
      <c r="P4" s="155" t="s">
        <v>2634</v>
      </c>
      <c r="Q4" s="11" t="s">
        <v>90</v>
      </c>
      <c r="R4" s="13" t="s">
        <v>925</v>
      </c>
      <c r="S4" s="13" t="s">
        <v>927</v>
      </c>
      <c r="T4" s="154" t="s">
        <v>2635</v>
      </c>
      <c r="U4" s="147">
        <v>3.3719999999999999</v>
      </c>
      <c r="V4" s="125">
        <v>85.265000000000001</v>
      </c>
      <c r="W4" s="125">
        <v>287.51499999999999</v>
      </c>
      <c r="X4" s="159">
        <v>0</v>
      </c>
      <c r="Y4" s="146">
        <v>1</v>
      </c>
      <c r="Z4" s="146">
        <v>3.02801044396054E-3</v>
      </c>
    </row>
    <row r="5" spans="1:26">
      <c r="A5" s="13">
        <v>161</v>
      </c>
      <c r="B5" s="13">
        <v>9943</v>
      </c>
      <c r="C5" s="13" t="s">
        <v>2636</v>
      </c>
      <c r="D5" s="2" t="s">
        <v>2637</v>
      </c>
      <c r="E5" s="13" t="s">
        <v>206</v>
      </c>
      <c r="F5" s="13" t="s">
        <v>2638</v>
      </c>
      <c r="G5" s="13">
        <v>27970039</v>
      </c>
      <c r="H5" s="13" t="s">
        <v>33</v>
      </c>
      <c r="I5" s="2" t="s">
        <v>1057</v>
      </c>
      <c r="J5" s="13" t="s">
        <v>881</v>
      </c>
      <c r="K5" s="11" t="s">
        <v>30</v>
      </c>
      <c r="L5" s="13" t="s">
        <v>256</v>
      </c>
      <c r="M5" s="13" t="s">
        <v>2639</v>
      </c>
      <c r="N5" s="11" t="s">
        <v>30</v>
      </c>
      <c r="O5" s="13" t="s">
        <v>160</v>
      </c>
      <c r="P5" s="155" t="s">
        <v>2640</v>
      </c>
      <c r="Q5" s="11" t="s">
        <v>34</v>
      </c>
      <c r="R5" s="13" t="s">
        <v>925</v>
      </c>
      <c r="S5" s="13" t="s">
        <v>194</v>
      </c>
      <c r="T5" s="154" t="s">
        <v>2641</v>
      </c>
      <c r="U5" s="147">
        <v>1</v>
      </c>
      <c r="V5" s="125">
        <v>5049.4290000000001</v>
      </c>
      <c r="W5" s="125">
        <v>5049.4290000000001</v>
      </c>
      <c r="X5" s="159">
        <v>0</v>
      </c>
      <c r="Y5" s="146">
        <v>1.9250868606221602E-2</v>
      </c>
      <c r="Z5" s="146">
        <v>2.67779027388995E-3</v>
      </c>
    </row>
    <row r="6" spans="1:26">
      <c r="A6" s="13">
        <v>161</v>
      </c>
      <c r="B6" s="13">
        <v>9943</v>
      </c>
      <c r="C6" s="13" t="s">
        <v>2642</v>
      </c>
      <c r="D6" s="2" t="s">
        <v>2643</v>
      </c>
      <c r="E6" s="13" t="s">
        <v>1351</v>
      </c>
      <c r="F6" s="13" t="s">
        <v>2644</v>
      </c>
      <c r="G6" s="13">
        <v>27970052</v>
      </c>
      <c r="H6" s="13" t="s">
        <v>33</v>
      </c>
      <c r="I6" s="2" t="s">
        <v>1057</v>
      </c>
      <c r="J6" s="13" t="s">
        <v>601</v>
      </c>
      <c r="K6" s="11" t="s">
        <v>30</v>
      </c>
      <c r="L6" s="13" t="s">
        <v>30</v>
      </c>
      <c r="M6" s="13" t="s">
        <v>2645</v>
      </c>
      <c r="N6" s="11" t="s">
        <v>30</v>
      </c>
      <c r="O6" s="13" t="s">
        <v>160</v>
      </c>
      <c r="P6" s="155" t="s">
        <v>2646</v>
      </c>
      <c r="Q6" s="11" t="s">
        <v>90</v>
      </c>
      <c r="R6" s="13" t="s">
        <v>135</v>
      </c>
      <c r="S6" s="13" t="s">
        <v>927</v>
      </c>
      <c r="T6" s="154" t="s">
        <v>2646</v>
      </c>
      <c r="U6" s="147">
        <v>3.3719999999999999</v>
      </c>
      <c r="V6" s="125">
        <v>384.63200000000001</v>
      </c>
      <c r="W6" s="125">
        <v>1296.979</v>
      </c>
      <c r="X6" s="146">
        <v>0</v>
      </c>
      <c r="Y6" s="146">
        <v>4.9447124638378201E-3</v>
      </c>
      <c r="Z6" s="146">
        <v>6.8780807836213995E-4</v>
      </c>
    </row>
    <row r="7" spans="1:26">
      <c r="A7" s="13">
        <v>161</v>
      </c>
      <c r="B7" s="13">
        <v>9943</v>
      </c>
      <c r="C7" s="13" t="s">
        <v>2647</v>
      </c>
      <c r="D7" s="2" t="s">
        <v>2648</v>
      </c>
      <c r="E7" s="13" t="s">
        <v>1351</v>
      </c>
      <c r="F7" s="13" t="s">
        <v>2649</v>
      </c>
      <c r="G7" s="13">
        <v>27970034</v>
      </c>
      <c r="H7" s="13" t="s">
        <v>33</v>
      </c>
      <c r="I7" s="2" t="s">
        <v>1059</v>
      </c>
      <c r="J7" s="13" t="s">
        <v>883</v>
      </c>
      <c r="K7" s="11" t="s">
        <v>30</v>
      </c>
      <c r="L7" s="13" t="s">
        <v>256</v>
      </c>
      <c r="M7" s="13" t="s">
        <v>2650</v>
      </c>
      <c r="N7" s="11" t="s">
        <v>30</v>
      </c>
      <c r="O7" s="13" t="s">
        <v>160</v>
      </c>
      <c r="P7" s="155" t="s">
        <v>2651</v>
      </c>
      <c r="Q7" s="11" t="s">
        <v>34</v>
      </c>
      <c r="R7" s="13" t="s">
        <v>135</v>
      </c>
      <c r="S7" s="13" t="s">
        <v>194</v>
      </c>
      <c r="T7" s="154" t="s">
        <v>2652</v>
      </c>
      <c r="U7" s="147">
        <v>1</v>
      </c>
      <c r="V7" s="125">
        <v>2464.6509999999998</v>
      </c>
      <c r="W7" s="125">
        <v>2464.6509999999998</v>
      </c>
      <c r="X7" s="146">
        <v>0</v>
      </c>
      <c r="Y7" s="146">
        <v>9.3964436254300107E-3</v>
      </c>
      <c r="Z7" s="146">
        <v>1.30704259968819E-3</v>
      </c>
    </row>
    <row r="8" spans="1:26">
      <c r="A8" s="13">
        <v>161</v>
      </c>
      <c r="B8" s="13">
        <v>9943</v>
      </c>
      <c r="C8" s="13" t="s">
        <v>2647</v>
      </c>
      <c r="D8" s="2" t="s">
        <v>2648</v>
      </c>
      <c r="E8" s="13" t="s">
        <v>1351</v>
      </c>
      <c r="F8" s="13" t="s">
        <v>2653</v>
      </c>
      <c r="G8" s="13">
        <v>27970033</v>
      </c>
      <c r="H8" s="13" t="s">
        <v>33</v>
      </c>
      <c r="I8" s="2" t="s">
        <v>1059</v>
      </c>
      <c r="J8" s="13" t="s">
        <v>883</v>
      </c>
      <c r="K8" s="11" t="s">
        <v>30</v>
      </c>
      <c r="L8" s="13" t="s">
        <v>30</v>
      </c>
      <c r="M8" s="13" t="s">
        <v>2650</v>
      </c>
      <c r="N8" s="11" t="s">
        <v>30</v>
      </c>
      <c r="O8" s="13" t="s">
        <v>160</v>
      </c>
      <c r="P8" s="155" t="s">
        <v>2651</v>
      </c>
      <c r="Q8" s="11" t="s">
        <v>34</v>
      </c>
      <c r="R8" s="13" t="s">
        <v>135</v>
      </c>
      <c r="S8" s="13" t="s">
        <v>194</v>
      </c>
      <c r="T8" s="154" t="s">
        <v>2652</v>
      </c>
      <c r="U8" s="147">
        <v>1</v>
      </c>
      <c r="V8" s="125">
        <v>2472.2539999999999</v>
      </c>
      <c r="W8" s="125">
        <v>2472.2539999999999</v>
      </c>
      <c r="X8" s="146">
        <v>0</v>
      </c>
      <c r="Y8" s="146">
        <v>9.4254309130629103E-3</v>
      </c>
      <c r="Z8" s="146">
        <v>1.3110747230420799E-3</v>
      </c>
    </row>
    <row r="9" spans="1:26">
      <c r="A9" s="13">
        <v>161</v>
      </c>
      <c r="B9" s="13">
        <v>9943</v>
      </c>
      <c r="C9" s="13" t="s">
        <v>2654</v>
      </c>
      <c r="D9" s="2" t="s">
        <v>2655</v>
      </c>
      <c r="E9" s="13" t="s">
        <v>33</v>
      </c>
      <c r="F9" s="13" t="s">
        <v>2656</v>
      </c>
      <c r="G9" s="13">
        <v>27950001</v>
      </c>
      <c r="H9" s="13" t="s">
        <v>33</v>
      </c>
      <c r="I9" s="2" t="s">
        <v>1059</v>
      </c>
      <c r="J9" s="13" t="s">
        <v>601</v>
      </c>
      <c r="K9" s="11" t="s">
        <v>30</v>
      </c>
      <c r="L9" s="13" t="s">
        <v>30</v>
      </c>
      <c r="M9" s="13" t="s">
        <v>30</v>
      </c>
      <c r="N9" s="11" t="s">
        <v>30</v>
      </c>
      <c r="O9" s="13" t="s">
        <v>160</v>
      </c>
      <c r="P9" s="155" t="s">
        <v>2657</v>
      </c>
      <c r="Q9" s="11" t="s">
        <v>34</v>
      </c>
      <c r="R9" s="13" t="s">
        <v>192</v>
      </c>
      <c r="S9" s="13" t="s">
        <v>194</v>
      </c>
      <c r="T9" s="154" t="s">
        <v>2658</v>
      </c>
      <c r="U9" s="147">
        <v>1</v>
      </c>
      <c r="V9" s="125">
        <v>3761.75</v>
      </c>
      <c r="W9" s="125">
        <v>3761.75</v>
      </c>
      <c r="X9" s="146">
        <v>0</v>
      </c>
      <c r="Y9" s="146">
        <v>1.43416129559644E-2</v>
      </c>
      <c r="Z9" s="146">
        <v>1.99491422807614E-3</v>
      </c>
    </row>
    <row r="10" spans="1:26">
      <c r="A10" s="13">
        <v>161</v>
      </c>
      <c r="B10" s="13">
        <v>9943</v>
      </c>
      <c r="C10" s="13" t="s">
        <v>2659</v>
      </c>
      <c r="D10" s="2" t="s">
        <v>2660</v>
      </c>
      <c r="E10" s="13" t="s">
        <v>348</v>
      </c>
      <c r="F10" s="13" t="s">
        <v>2661</v>
      </c>
      <c r="G10" s="13">
        <v>27950002</v>
      </c>
      <c r="H10" s="13" t="s">
        <v>33</v>
      </c>
      <c r="I10" s="2" t="s">
        <v>1057</v>
      </c>
      <c r="J10" s="13" t="s">
        <v>601</v>
      </c>
      <c r="K10" s="11" t="s">
        <v>30</v>
      </c>
      <c r="L10" s="13" t="s">
        <v>30</v>
      </c>
      <c r="M10" s="13" t="s">
        <v>2662</v>
      </c>
      <c r="N10" s="11" t="s">
        <v>30</v>
      </c>
      <c r="O10" s="9" t="s">
        <v>160</v>
      </c>
      <c r="P10" s="155" t="s">
        <v>2663</v>
      </c>
      <c r="Q10" s="11" t="s">
        <v>34</v>
      </c>
      <c r="R10" s="13" t="s">
        <v>135</v>
      </c>
      <c r="S10" s="13" t="s">
        <v>194</v>
      </c>
      <c r="T10" s="154" t="s">
        <v>2664</v>
      </c>
      <c r="U10" s="147">
        <v>1</v>
      </c>
      <c r="V10" s="125">
        <v>3035</v>
      </c>
      <c r="W10" s="125">
        <v>3035</v>
      </c>
      <c r="X10" s="146">
        <v>0</v>
      </c>
      <c r="Y10" s="146">
        <v>1.15708898327384E-2</v>
      </c>
      <c r="Z10" s="146">
        <v>1.6095074403211799E-3</v>
      </c>
    </row>
    <row r="11" spans="1:26">
      <c r="A11" s="13">
        <v>161</v>
      </c>
      <c r="B11" s="13">
        <v>9943</v>
      </c>
      <c r="C11" s="13" t="s">
        <v>2665</v>
      </c>
      <c r="D11" s="2" t="s">
        <v>2666</v>
      </c>
      <c r="E11" s="13" t="s">
        <v>1351</v>
      </c>
      <c r="F11" s="13" t="s">
        <v>2667</v>
      </c>
      <c r="G11" s="13">
        <v>62011879</v>
      </c>
      <c r="H11" s="13" t="s">
        <v>33</v>
      </c>
      <c r="I11" s="2" t="s">
        <v>1061</v>
      </c>
      <c r="J11" s="13" t="s">
        <v>873</v>
      </c>
      <c r="K11" s="11" t="s">
        <v>85</v>
      </c>
      <c r="L11" s="13" t="s">
        <v>331</v>
      </c>
      <c r="M11" s="13" t="s">
        <v>2668</v>
      </c>
      <c r="N11" s="11" t="s">
        <v>334</v>
      </c>
      <c r="O11" s="13" t="s">
        <v>160</v>
      </c>
      <c r="P11" s="155" t="s">
        <v>2669</v>
      </c>
      <c r="Q11" s="11" t="s">
        <v>1200</v>
      </c>
      <c r="R11" s="13" t="s">
        <v>135</v>
      </c>
      <c r="S11" s="13" t="s">
        <v>927</v>
      </c>
      <c r="T11" s="154" t="s">
        <v>2670</v>
      </c>
      <c r="U11" s="147">
        <v>3.9552</v>
      </c>
      <c r="V11" s="125">
        <v>1528.375</v>
      </c>
      <c r="W11" s="125">
        <v>6045.0290000000005</v>
      </c>
      <c r="X11" s="146">
        <v>0</v>
      </c>
      <c r="Y11" s="146">
        <v>2.3046577613807399E-2</v>
      </c>
      <c r="Z11" s="146">
        <v>3.2057723026979899E-3</v>
      </c>
    </row>
    <row r="12" spans="1:26">
      <c r="A12" s="13">
        <v>161</v>
      </c>
      <c r="B12" s="13">
        <v>9943</v>
      </c>
      <c r="C12" s="13" t="s">
        <v>2671</v>
      </c>
      <c r="D12" s="2" t="s">
        <v>2672</v>
      </c>
      <c r="E12" s="13" t="s">
        <v>348</v>
      </c>
      <c r="F12" s="13" t="s">
        <v>2673</v>
      </c>
      <c r="G12" s="13">
        <v>9840783</v>
      </c>
      <c r="H12" s="13" t="s">
        <v>33</v>
      </c>
      <c r="I12" s="2" t="s">
        <v>1057</v>
      </c>
      <c r="J12" s="13" t="s">
        <v>867</v>
      </c>
      <c r="K12" s="11" t="s">
        <v>30</v>
      </c>
      <c r="L12" s="13" t="s">
        <v>30</v>
      </c>
      <c r="M12" s="13" t="s">
        <v>2674</v>
      </c>
      <c r="N12" s="11" t="s">
        <v>30</v>
      </c>
      <c r="O12" s="13" t="s">
        <v>160</v>
      </c>
      <c r="P12" s="155" t="s">
        <v>189</v>
      </c>
      <c r="Q12" s="11" t="s">
        <v>90</v>
      </c>
      <c r="R12" s="13" t="s">
        <v>135</v>
      </c>
      <c r="S12" s="13" t="s">
        <v>927</v>
      </c>
      <c r="T12" s="154" t="s">
        <v>2635</v>
      </c>
      <c r="U12" s="147">
        <v>3.3719999999999999</v>
      </c>
      <c r="V12" s="125">
        <v>21.556999999999999</v>
      </c>
      <c r="W12" s="125">
        <v>72.69</v>
      </c>
      <c r="X12" s="146">
        <v>0</v>
      </c>
      <c r="Y12" s="146">
        <v>2.7712789435457098E-4</v>
      </c>
      <c r="Z12" s="146">
        <v>3.8548410220120599E-5</v>
      </c>
    </row>
    <row r="13" spans="1:26">
      <c r="A13" s="13">
        <v>161</v>
      </c>
      <c r="B13" s="13">
        <v>9943</v>
      </c>
      <c r="C13" s="13" t="s">
        <v>2675</v>
      </c>
      <c r="D13" s="2" t="s">
        <v>2676</v>
      </c>
      <c r="E13" s="13" t="s">
        <v>349</v>
      </c>
      <c r="F13" s="13" t="s">
        <v>2677</v>
      </c>
      <c r="G13" s="13">
        <v>27971038</v>
      </c>
      <c r="H13" s="13" t="s">
        <v>33</v>
      </c>
      <c r="I13" s="2" t="s">
        <v>1057</v>
      </c>
      <c r="J13" s="13" t="s">
        <v>601</v>
      </c>
      <c r="K13" s="11" t="s">
        <v>30</v>
      </c>
      <c r="L13" s="13" t="s">
        <v>256</v>
      </c>
      <c r="M13" s="13" t="s">
        <v>2678</v>
      </c>
      <c r="N13" s="11" t="s">
        <v>334</v>
      </c>
      <c r="O13" s="13" t="s">
        <v>160</v>
      </c>
      <c r="P13" s="155" t="s">
        <v>2679</v>
      </c>
      <c r="Q13" s="11" t="s">
        <v>34</v>
      </c>
      <c r="R13" s="13" t="s">
        <v>135</v>
      </c>
      <c r="S13" s="13" t="s">
        <v>927</v>
      </c>
      <c r="T13" s="154" t="s">
        <v>161</v>
      </c>
      <c r="U13" s="147">
        <v>1</v>
      </c>
      <c r="V13" s="125">
        <v>1068.049</v>
      </c>
      <c r="W13" s="125">
        <v>1068.049</v>
      </c>
      <c r="X13" s="146">
        <v>0</v>
      </c>
      <c r="Y13" s="146">
        <v>4.07191927538335E-3</v>
      </c>
      <c r="Z13" s="146">
        <v>5.6640279743858503E-4</v>
      </c>
    </row>
    <row r="14" spans="1:26">
      <c r="A14" s="13">
        <v>161</v>
      </c>
      <c r="B14" s="13">
        <v>9943</v>
      </c>
      <c r="C14" s="13" t="s">
        <v>2680</v>
      </c>
      <c r="D14" s="2" t="s">
        <v>2676</v>
      </c>
      <c r="E14" s="13" t="s">
        <v>349</v>
      </c>
      <c r="F14" s="13" t="s">
        <v>2681</v>
      </c>
      <c r="G14" s="13">
        <v>27970001</v>
      </c>
      <c r="H14" s="13" t="s">
        <v>33</v>
      </c>
      <c r="I14" s="2" t="s">
        <v>1057</v>
      </c>
      <c r="J14" s="13" t="s">
        <v>879</v>
      </c>
      <c r="K14" s="11" t="s">
        <v>30</v>
      </c>
      <c r="L14" s="13" t="s">
        <v>256</v>
      </c>
      <c r="M14" s="13" t="s">
        <v>2682</v>
      </c>
      <c r="N14" s="11" t="s">
        <v>30</v>
      </c>
      <c r="O14" s="13" t="s">
        <v>160</v>
      </c>
      <c r="P14" s="155" t="s">
        <v>2683</v>
      </c>
      <c r="Q14" s="11" t="s">
        <v>34</v>
      </c>
      <c r="R14" s="13" t="s">
        <v>135</v>
      </c>
      <c r="S14" s="13" t="s">
        <v>927</v>
      </c>
      <c r="T14" s="154" t="s">
        <v>2635</v>
      </c>
      <c r="U14" s="147">
        <v>1</v>
      </c>
      <c r="V14" s="125">
        <v>1771.374</v>
      </c>
      <c r="W14" s="125">
        <v>1771.374</v>
      </c>
      <c r="X14" s="146">
        <v>0</v>
      </c>
      <c r="Y14" s="146">
        <v>6.7533354854369503E-3</v>
      </c>
      <c r="Z14" s="146">
        <v>9.3938701931477804E-4</v>
      </c>
    </row>
    <row r="15" spans="1:26">
      <c r="A15" s="13">
        <v>161</v>
      </c>
      <c r="B15" s="13">
        <v>9943</v>
      </c>
      <c r="C15" s="13" t="s">
        <v>2684</v>
      </c>
      <c r="D15" s="2" t="s">
        <v>2685</v>
      </c>
      <c r="E15" s="13" t="s">
        <v>33</v>
      </c>
      <c r="F15" s="13" t="s">
        <v>2686</v>
      </c>
      <c r="G15" s="13">
        <v>27970016</v>
      </c>
      <c r="H15" s="13" t="s">
        <v>33</v>
      </c>
      <c r="I15" s="2" t="s">
        <v>1057</v>
      </c>
      <c r="J15" s="13" t="s">
        <v>883</v>
      </c>
      <c r="K15" s="11" t="s">
        <v>85</v>
      </c>
      <c r="L15" s="13" t="s">
        <v>30</v>
      </c>
      <c r="M15" s="13" t="s">
        <v>2687</v>
      </c>
      <c r="N15" s="11" t="s">
        <v>86</v>
      </c>
      <c r="O15" s="13" t="s">
        <v>160</v>
      </c>
      <c r="P15" s="155" t="s">
        <v>2688</v>
      </c>
      <c r="Q15" s="11" t="s">
        <v>90</v>
      </c>
      <c r="R15" s="13" t="s">
        <v>135</v>
      </c>
      <c r="S15" s="13" t="s">
        <v>194</v>
      </c>
      <c r="T15" s="154" t="s">
        <v>2689</v>
      </c>
      <c r="U15" s="147">
        <v>3.3719999999999999</v>
      </c>
      <c r="V15" s="125">
        <v>144.251</v>
      </c>
      <c r="W15" s="125">
        <v>486.416</v>
      </c>
      <c r="X15" s="146">
        <v>1.1720000000000001E-3</v>
      </c>
      <c r="Y15" s="146">
        <v>1.8544535301234699E-3</v>
      </c>
      <c r="Z15" s="146">
        <v>2.57953951477318E-4</v>
      </c>
    </row>
    <row r="16" spans="1:26">
      <c r="A16" s="13">
        <v>161</v>
      </c>
      <c r="B16" s="13">
        <v>9943</v>
      </c>
      <c r="C16" s="13" t="s">
        <v>2690</v>
      </c>
      <c r="D16" s="2" t="s">
        <v>2691</v>
      </c>
      <c r="E16" s="13" t="s">
        <v>33</v>
      </c>
      <c r="F16" s="13" t="s">
        <v>2692</v>
      </c>
      <c r="G16" s="13">
        <v>27970018</v>
      </c>
      <c r="H16" s="13" t="s">
        <v>33</v>
      </c>
      <c r="I16" s="2" t="s">
        <v>1057</v>
      </c>
      <c r="J16" s="13" t="s">
        <v>601</v>
      </c>
      <c r="K16" s="11" t="s">
        <v>30</v>
      </c>
      <c r="L16" s="13" t="s">
        <v>30</v>
      </c>
      <c r="M16" s="13" t="s">
        <v>2693</v>
      </c>
      <c r="N16" s="11" t="s">
        <v>30</v>
      </c>
      <c r="O16" s="13" t="s">
        <v>160</v>
      </c>
      <c r="P16" s="155" t="s">
        <v>2694</v>
      </c>
      <c r="Q16" s="11" t="s">
        <v>90</v>
      </c>
      <c r="R16" s="13" t="s">
        <v>135</v>
      </c>
      <c r="S16" s="13" t="s">
        <v>194</v>
      </c>
      <c r="T16" s="154" t="s">
        <v>2695</v>
      </c>
      <c r="U16" s="147">
        <v>3.3719999999999999</v>
      </c>
      <c r="V16" s="125">
        <v>231.642</v>
      </c>
      <c r="W16" s="125">
        <v>781.09699999999998</v>
      </c>
      <c r="X16" s="146">
        <v>0</v>
      </c>
      <c r="Y16" s="146">
        <v>2.9779193737086802E-3</v>
      </c>
      <c r="Z16" s="146">
        <v>4.1422772647092002E-4</v>
      </c>
    </row>
    <row r="17" spans="1:26">
      <c r="A17" s="13">
        <v>161</v>
      </c>
      <c r="B17" s="13">
        <v>9943</v>
      </c>
      <c r="C17" s="13" t="s">
        <v>2625</v>
      </c>
      <c r="D17" s="2" t="s">
        <v>2626</v>
      </c>
      <c r="E17" s="13" t="s">
        <v>1351</v>
      </c>
      <c r="F17" s="13" t="s">
        <v>2627</v>
      </c>
      <c r="G17" s="13">
        <v>27970027</v>
      </c>
      <c r="H17" s="13" t="s">
        <v>33</v>
      </c>
      <c r="I17" s="2" t="s">
        <v>1057</v>
      </c>
      <c r="J17" s="13" t="s">
        <v>885</v>
      </c>
      <c r="K17" s="11" t="s">
        <v>85</v>
      </c>
      <c r="L17" s="13" t="s">
        <v>86</v>
      </c>
      <c r="M17" s="13" t="s">
        <v>256</v>
      </c>
      <c r="N17" s="11" t="s">
        <v>30</v>
      </c>
      <c r="O17" s="13" t="s">
        <v>160</v>
      </c>
      <c r="P17" s="155" t="s">
        <v>2628</v>
      </c>
      <c r="Q17" s="11" t="s">
        <v>90</v>
      </c>
      <c r="R17" s="13" t="s">
        <v>925</v>
      </c>
      <c r="S17" s="13" t="s">
        <v>194</v>
      </c>
      <c r="T17" s="154" t="s">
        <v>2629</v>
      </c>
      <c r="U17" s="147">
        <v>3.3719999999999999</v>
      </c>
      <c r="V17" s="125">
        <v>231.72900000000001</v>
      </c>
      <c r="W17" s="125">
        <v>781.38900000000001</v>
      </c>
      <c r="X17" s="146">
        <v>0</v>
      </c>
      <c r="Y17" s="146">
        <v>2.9790339626420402E-3</v>
      </c>
      <c r="Z17" s="146">
        <v>4.1438276547025899E-4</v>
      </c>
    </row>
    <row r="18" spans="1:26">
      <c r="A18" s="13">
        <v>161</v>
      </c>
      <c r="B18" s="13">
        <v>9943</v>
      </c>
      <c r="C18" s="13" t="s">
        <v>2696</v>
      </c>
      <c r="D18" s="2" t="s">
        <v>2697</v>
      </c>
      <c r="E18" s="13" t="s">
        <v>349</v>
      </c>
      <c r="F18" s="13" t="s">
        <v>2698</v>
      </c>
      <c r="G18" s="13">
        <v>604066001</v>
      </c>
      <c r="H18" s="13" t="s">
        <v>33</v>
      </c>
      <c r="I18" s="2" t="s">
        <v>1057</v>
      </c>
      <c r="J18" s="13" t="s">
        <v>872</v>
      </c>
      <c r="K18" s="11" t="s">
        <v>85</v>
      </c>
      <c r="L18" s="13" t="s">
        <v>256</v>
      </c>
      <c r="M18" s="13" t="s">
        <v>2699</v>
      </c>
      <c r="N18" s="11" t="s">
        <v>86</v>
      </c>
      <c r="O18" s="13" t="s">
        <v>160</v>
      </c>
      <c r="P18" s="155" t="s">
        <v>2700</v>
      </c>
      <c r="Q18" s="11" t="s">
        <v>90</v>
      </c>
      <c r="R18" s="13" t="s">
        <v>135</v>
      </c>
      <c r="S18" s="13" t="s">
        <v>927</v>
      </c>
      <c r="T18" s="154" t="s">
        <v>2701</v>
      </c>
      <c r="U18" s="147">
        <v>3.3719999999999999</v>
      </c>
      <c r="V18" s="125">
        <v>3182.7060000000001</v>
      </c>
      <c r="W18" s="125">
        <v>10732.085999999999</v>
      </c>
      <c r="X18" s="146">
        <v>0</v>
      </c>
      <c r="Y18" s="146">
        <v>4.0915909888027999E-2</v>
      </c>
      <c r="Z18" s="146">
        <v>5.69139127104684E-3</v>
      </c>
    </row>
    <row r="19" spans="1:26">
      <c r="A19" s="13">
        <v>161</v>
      </c>
      <c r="B19" s="13">
        <v>9943</v>
      </c>
      <c r="C19" s="13" t="s">
        <v>2654</v>
      </c>
      <c r="D19" s="2" t="s">
        <v>2702</v>
      </c>
      <c r="E19" s="13" t="s">
        <v>1351</v>
      </c>
      <c r="F19" s="13" t="s">
        <v>2703</v>
      </c>
      <c r="G19" s="13">
        <v>35196</v>
      </c>
      <c r="H19" s="13" t="s">
        <v>33</v>
      </c>
      <c r="I19" s="2" t="s">
        <v>1059</v>
      </c>
      <c r="J19" s="13" t="s">
        <v>883</v>
      </c>
      <c r="K19" s="11" t="s">
        <v>30</v>
      </c>
      <c r="L19" s="13" t="s">
        <v>256</v>
      </c>
      <c r="M19" s="13" t="s">
        <v>2704</v>
      </c>
      <c r="N19" s="11" t="s">
        <v>30</v>
      </c>
      <c r="O19" s="13" t="s">
        <v>160</v>
      </c>
      <c r="P19" s="155" t="s">
        <v>189</v>
      </c>
      <c r="Q19" s="11" t="s">
        <v>34</v>
      </c>
      <c r="R19" s="13" t="s">
        <v>135</v>
      </c>
      <c r="S19" s="13" t="s">
        <v>194</v>
      </c>
      <c r="T19" s="154" t="s">
        <v>2652</v>
      </c>
      <c r="U19" s="147">
        <v>1</v>
      </c>
      <c r="V19" s="125">
        <v>12667.405000000001</v>
      </c>
      <c r="W19" s="125">
        <v>12667.405000000001</v>
      </c>
      <c r="X19" s="146">
        <v>0</v>
      </c>
      <c r="Y19" s="146">
        <v>4.82942822884024E-2</v>
      </c>
      <c r="Z19" s="146">
        <v>6.7177207450569102E-3</v>
      </c>
    </row>
    <row r="20" spans="1:26">
      <c r="A20" s="2">
        <v>161</v>
      </c>
      <c r="B20" s="2">
        <v>9943</v>
      </c>
      <c r="C20" s="2" t="s">
        <v>2705</v>
      </c>
      <c r="D20" s="2" t="s">
        <v>2706</v>
      </c>
      <c r="E20" s="13" t="s">
        <v>348</v>
      </c>
      <c r="F20" s="2" t="s">
        <v>2707</v>
      </c>
      <c r="G20" s="2">
        <v>78923</v>
      </c>
      <c r="H20" s="13" t="s">
        <v>33</v>
      </c>
      <c r="I20" s="2" t="s">
        <v>1057</v>
      </c>
      <c r="J20" s="13" t="s">
        <v>881</v>
      </c>
      <c r="K20" s="11" t="s">
        <v>30</v>
      </c>
      <c r="L20" s="13" t="s">
        <v>30</v>
      </c>
      <c r="M20" s="13" t="s">
        <v>2708</v>
      </c>
      <c r="N20" s="11" t="s">
        <v>30</v>
      </c>
      <c r="O20" s="13" t="s">
        <v>160</v>
      </c>
      <c r="P20" s="155" t="s">
        <v>2709</v>
      </c>
      <c r="Q20" s="2" t="s">
        <v>34</v>
      </c>
      <c r="R20" s="13" t="s">
        <v>135</v>
      </c>
      <c r="S20" s="13" t="s">
        <v>194</v>
      </c>
      <c r="T20" s="156" t="s">
        <v>2635</v>
      </c>
      <c r="U20" s="132">
        <v>1</v>
      </c>
      <c r="V20" s="123">
        <v>6494.79</v>
      </c>
      <c r="W20" s="123">
        <v>6494.79</v>
      </c>
      <c r="X20" s="138">
        <v>0</v>
      </c>
      <c r="Y20" s="138">
        <v>2.4761284722295201E-2</v>
      </c>
      <c r="Z20" s="138">
        <v>3.4442875672089398E-3</v>
      </c>
    </row>
    <row r="21" spans="1:26">
      <c r="A21" s="2">
        <v>161</v>
      </c>
      <c r="B21" s="2">
        <v>9943</v>
      </c>
      <c r="C21" s="2" t="s">
        <v>2705</v>
      </c>
      <c r="D21" s="2" t="s">
        <v>2710</v>
      </c>
      <c r="E21" s="2" t="s">
        <v>1351</v>
      </c>
      <c r="F21" s="2" t="s">
        <v>2711</v>
      </c>
      <c r="G21" s="2">
        <v>27970003</v>
      </c>
      <c r="H21" s="2" t="s">
        <v>33</v>
      </c>
      <c r="I21" s="2" t="s">
        <v>1057</v>
      </c>
      <c r="J21" s="2" t="s">
        <v>881</v>
      </c>
      <c r="K21" s="2" t="s">
        <v>30</v>
      </c>
      <c r="L21" s="2" t="s">
        <v>30</v>
      </c>
      <c r="M21" s="2" t="s">
        <v>2708</v>
      </c>
      <c r="N21" s="2" t="s">
        <v>30</v>
      </c>
      <c r="O21" s="2" t="s">
        <v>160</v>
      </c>
      <c r="P21" s="155" t="s">
        <v>2712</v>
      </c>
      <c r="Q21" s="2" t="s">
        <v>34</v>
      </c>
      <c r="R21" s="2" t="s">
        <v>135</v>
      </c>
      <c r="S21" s="2" t="s">
        <v>194</v>
      </c>
      <c r="T21" s="156" t="s">
        <v>2713</v>
      </c>
      <c r="U21" s="132">
        <v>1</v>
      </c>
      <c r="V21" s="123">
        <v>4199.4480000000003</v>
      </c>
      <c r="W21" s="123">
        <v>4199.4480000000003</v>
      </c>
      <c r="X21" s="138">
        <v>1.9880000000000002E-3</v>
      </c>
      <c r="Y21" s="138">
        <v>1.6010329498638901E-2</v>
      </c>
      <c r="Z21" s="138">
        <v>2.2270322181396499E-3</v>
      </c>
    </row>
    <row r="22" spans="1:26">
      <c r="A22" s="2">
        <v>161</v>
      </c>
      <c r="B22" s="2">
        <v>9943</v>
      </c>
      <c r="C22" s="2" t="s">
        <v>2647</v>
      </c>
      <c r="D22" s="2" t="s">
        <v>2648</v>
      </c>
      <c r="E22" s="2" t="s">
        <v>1351</v>
      </c>
      <c r="F22" s="2" t="s">
        <v>2714</v>
      </c>
      <c r="G22" s="2">
        <v>27970014</v>
      </c>
      <c r="H22" s="2" t="s">
        <v>33</v>
      </c>
      <c r="I22" s="2" t="s">
        <v>1059</v>
      </c>
      <c r="J22" s="2" t="s">
        <v>883</v>
      </c>
      <c r="K22" s="2" t="s">
        <v>30</v>
      </c>
      <c r="L22" s="2" t="s">
        <v>256</v>
      </c>
      <c r="M22" s="2" t="s">
        <v>2650</v>
      </c>
      <c r="N22" s="2" t="s">
        <v>30</v>
      </c>
      <c r="O22" s="2" t="s">
        <v>160</v>
      </c>
      <c r="P22" s="155" t="s">
        <v>2715</v>
      </c>
      <c r="Q22" s="2" t="s">
        <v>34</v>
      </c>
      <c r="R22" s="2" t="s">
        <v>135</v>
      </c>
      <c r="S22" s="2" t="s">
        <v>194</v>
      </c>
      <c r="T22" s="156" t="s">
        <v>2652</v>
      </c>
      <c r="U22" s="132">
        <v>1</v>
      </c>
      <c r="V22" s="123">
        <v>7944.9089999999997</v>
      </c>
      <c r="W22" s="123">
        <v>7944.9089999999997</v>
      </c>
      <c r="X22" s="138">
        <v>0</v>
      </c>
      <c r="Y22" s="138">
        <v>3.0289841322467901E-2</v>
      </c>
      <c r="Z22" s="138">
        <v>4.2133081966369496E-3</v>
      </c>
    </row>
    <row r="23" spans="1:26">
      <c r="A23" s="2">
        <v>161</v>
      </c>
      <c r="B23" s="2">
        <v>9943</v>
      </c>
      <c r="C23" s="2" t="s">
        <v>2716</v>
      </c>
      <c r="D23" s="2" t="s">
        <v>2717</v>
      </c>
      <c r="E23" s="2" t="s">
        <v>1351</v>
      </c>
      <c r="F23" s="2" t="s">
        <v>2718</v>
      </c>
      <c r="G23" s="2">
        <v>604008921</v>
      </c>
      <c r="H23" s="2" t="s">
        <v>33</v>
      </c>
      <c r="I23" s="2" t="s">
        <v>1057</v>
      </c>
      <c r="J23" s="2" t="s">
        <v>867</v>
      </c>
      <c r="K23" s="2" t="s">
        <v>30</v>
      </c>
      <c r="L23" s="2" t="s">
        <v>30</v>
      </c>
      <c r="M23" s="2" t="s">
        <v>2719</v>
      </c>
      <c r="N23" s="2" t="s">
        <v>30</v>
      </c>
      <c r="O23" s="2" t="s">
        <v>160</v>
      </c>
      <c r="P23" s="155" t="s">
        <v>2720</v>
      </c>
      <c r="Q23" s="2" t="s">
        <v>90</v>
      </c>
      <c r="R23" s="2" t="s">
        <v>135</v>
      </c>
      <c r="S23" s="2" t="s">
        <v>194</v>
      </c>
      <c r="T23" s="156" t="s">
        <v>161</v>
      </c>
      <c r="U23" s="132">
        <v>3.3719999999999999</v>
      </c>
      <c r="V23" s="123">
        <v>2296.1759999999999</v>
      </c>
      <c r="W23" s="123">
        <v>7742.7049999999999</v>
      </c>
      <c r="X23" s="138">
        <v>0</v>
      </c>
      <c r="Y23" s="138">
        <v>2.9518940534061299E-2</v>
      </c>
      <c r="Z23" s="138">
        <v>4.10607611918866E-3</v>
      </c>
    </row>
    <row r="24" spans="1:26">
      <c r="A24" s="2">
        <v>161</v>
      </c>
      <c r="B24" s="2">
        <v>9943</v>
      </c>
      <c r="C24" s="2" t="s">
        <v>2721</v>
      </c>
      <c r="D24" s="2" t="s">
        <v>2722</v>
      </c>
      <c r="E24" s="2" t="s">
        <v>33</v>
      </c>
      <c r="F24" s="2" t="s">
        <v>2723</v>
      </c>
      <c r="G24" s="2">
        <v>27970031</v>
      </c>
      <c r="H24" s="2" t="s">
        <v>33</v>
      </c>
      <c r="I24" s="2" t="s">
        <v>1057</v>
      </c>
      <c r="J24" s="2" t="s">
        <v>601</v>
      </c>
      <c r="K24" s="2" t="s">
        <v>30</v>
      </c>
      <c r="L24" s="2" t="s">
        <v>30</v>
      </c>
      <c r="M24" s="2" t="s">
        <v>30</v>
      </c>
      <c r="N24" s="2" t="s">
        <v>30</v>
      </c>
      <c r="O24" s="2" t="s">
        <v>160</v>
      </c>
      <c r="P24" s="155" t="s">
        <v>2724</v>
      </c>
      <c r="Q24" s="2" t="s">
        <v>34</v>
      </c>
      <c r="R24" s="2" t="s">
        <v>925</v>
      </c>
      <c r="S24" s="2" t="s">
        <v>927</v>
      </c>
      <c r="T24" s="156" t="s">
        <v>2725</v>
      </c>
      <c r="U24" s="132">
        <v>1</v>
      </c>
      <c r="V24" s="123">
        <v>439.45400000000001</v>
      </c>
      <c r="W24" s="123">
        <v>439.45400000000001</v>
      </c>
      <c r="X24" s="138">
        <v>0</v>
      </c>
      <c r="Y24" s="138">
        <v>1.6754099746178299E-3</v>
      </c>
      <c r="Z24" s="138">
        <v>2.3304904451739301E-4</v>
      </c>
    </row>
    <row r="25" spans="1:26">
      <c r="A25" s="2">
        <v>161</v>
      </c>
      <c r="B25" s="2">
        <v>9943</v>
      </c>
      <c r="C25" s="2" t="s">
        <v>2671</v>
      </c>
      <c r="D25" s="2" t="s">
        <v>2726</v>
      </c>
      <c r="E25" s="2" t="s">
        <v>1351</v>
      </c>
      <c r="F25" s="2" t="s">
        <v>2727</v>
      </c>
      <c r="G25" s="2">
        <v>27970010</v>
      </c>
      <c r="H25" s="2" t="s">
        <v>33</v>
      </c>
      <c r="I25" s="2" t="s">
        <v>1057</v>
      </c>
      <c r="J25" s="2" t="s">
        <v>867</v>
      </c>
      <c r="K25" s="2" t="s">
        <v>30</v>
      </c>
      <c r="L25" s="2" t="s">
        <v>30</v>
      </c>
      <c r="M25" s="2" t="s">
        <v>2674</v>
      </c>
      <c r="N25" s="2" t="s">
        <v>30</v>
      </c>
      <c r="O25" s="2" t="s">
        <v>160</v>
      </c>
      <c r="P25" s="155" t="s">
        <v>2728</v>
      </c>
      <c r="Q25" s="2" t="s">
        <v>90</v>
      </c>
      <c r="R25" s="4" t="s">
        <v>135</v>
      </c>
      <c r="S25" s="2" t="s">
        <v>927</v>
      </c>
      <c r="T25" s="156" t="s">
        <v>2729</v>
      </c>
      <c r="U25" s="132">
        <v>3.3719999999999999</v>
      </c>
      <c r="V25" s="123">
        <v>2821.741</v>
      </c>
      <c r="W25" s="123">
        <v>9514.9110000000001</v>
      </c>
      <c r="X25" s="138">
        <v>0</v>
      </c>
      <c r="Y25" s="138">
        <v>3.6275447368517802E-2</v>
      </c>
      <c r="Z25" s="138">
        <v>5.0459042722379001E-3</v>
      </c>
    </row>
    <row r="26" spans="1:26">
      <c r="A26" s="2">
        <v>161</v>
      </c>
      <c r="B26" s="2">
        <v>9943</v>
      </c>
      <c r="C26" s="2" t="s">
        <v>2647</v>
      </c>
      <c r="D26" s="2" t="s">
        <v>2648</v>
      </c>
      <c r="E26" s="2" t="s">
        <v>1351</v>
      </c>
      <c r="F26" s="2" t="s">
        <v>2730</v>
      </c>
      <c r="G26" s="2">
        <v>36434</v>
      </c>
      <c r="H26" s="2" t="s">
        <v>33</v>
      </c>
      <c r="I26" s="2" t="s">
        <v>1059</v>
      </c>
      <c r="J26" s="2" t="s">
        <v>883</v>
      </c>
      <c r="K26" s="2" t="s">
        <v>30</v>
      </c>
      <c r="L26" s="2" t="s">
        <v>30</v>
      </c>
      <c r="M26" s="2" t="s">
        <v>2650</v>
      </c>
      <c r="N26" s="2" t="s">
        <v>30</v>
      </c>
      <c r="O26" s="2" t="s">
        <v>160</v>
      </c>
      <c r="P26" s="155" t="s">
        <v>2731</v>
      </c>
      <c r="Q26" s="2" t="s">
        <v>34</v>
      </c>
      <c r="R26" s="4" t="s">
        <v>135</v>
      </c>
      <c r="S26" s="2" t="s">
        <v>194</v>
      </c>
      <c r="T26" s="156" t="s">
        <v>2652</v>
      </c>
      <c r="U26" s="132">
        <v>1</v>
      </c>
      <c r="V26" s="123">
        <v>11450.571</v>
      </c>
      <c r="W26" s="123">
        <v>11450.571</v>
      </c>
      <c r="X26" s="138">
        <v>0</v>
      </c>
      <c r="Y26" s="138">
        <v>4.3655121805520503E-2</v>
      </c>
      <c r="Z26" s="138">
        <v>6.0724148591676502E-3</v>
      </c>
    </row>
    <row r="27" spans="1:26">
      <c r="A27" s="2">
        <v>161</v>
      </c>
      <c r="B27" s="2">
        <v>9943</v>
      </c>
      <c r="C27" s="2" t="s">
        <v>2732</v>
      </c>
      <c r="D27" s="2" t="s">
        <v>2733</v>
      </c>
      <c r="E27" s="2" t="s">
        <v>1351</v>
      </c>
      <c r="F27" s="2" t="s">
        <v>2734</v>
      </c>
      <c r="G27" s="2">
        <v>34785</v>
      </c>
      <c r="H27" s="2" t="s">
        <v>33</v>
      </c>
      <c r="I27" s="2" t="s">
        <v>1057</v>
      </c>
      <c r="J27" s="2" t="s">
        <v>872</v>
      </c>
      <c r="K27" s="2" t="s">
        <v>30</v>
      </c>
      <c r="L27" s="2" t="s">
        <v>30</v>
      </c>
      <c r="M27" s="2" t="s">
        <v>2735</v>
      </c>
      <c r="N27" s="2" t="s">
        <v>30</v>
      </c>
      <c r="O27" s="2" t="s">
        <v>160</v>
      </c>
      <c r="P27" s="155" t="s">
        <v>189</v>
      </c>
      <c r="Q27" s="2" t="s">
        <v>34</v>
      </c>
      <c r="R27" s="2" t="s">
        <v>135</v>
      </c>
      <c r="S27" s="2" t="s">
        <v>927</v>
      </c>
      <c r="T27" s="156" t="s">
        <v>2736</v>
      </c>
      <c r="U27" s="132">
        <v>1</v>
      </c>
      <c r="V27" s="123">
        <v>1.7130000000000001</v>
      </c>
      <c r="W27" s="123">
        <v>1.7130000000000001</v>
      </c>
      <c r="X27" s="138">
        <v>0</v>
      </c>
      <c r="Y27" s="138">
        <v>6.5310038240010801E-6</v>
      </c>
      <c r="Z27" s="138">
        <v>9.0846074929814299E-7</v>
      </c>
    </row>
    <row r="28" spans="1:26">
      <c r="A28" s="2">
        <v>161</v>
      </c>
      <c r="B28" s="2">
        <v>9943</v>
      </c>
      <c r="C28" s="2" t="s">
        <v>2737</v>
      </c>
      <c r="D28" s="2" t="s">
        <v>2738</v>
      </c>
      <c r="E28" s="2" t="s">
        <v>348</v>
      </c>
      <c r="F28" s="2" t="s">
        <v>2739</v>
      </c>
      <c r="G28" s="2">
        <v>47845</v>
      </c>
      <c r="H28" s="2" t="s">
        <v>33</v>
      </c>
      <c r="I28" s="2" t="s">
        <v>1057</v>
      </c>
      <c r="J28" s="2" t="s">
        <v>872</v>
      </c>
      <c r="K28" s="2" t="s">
        <v>85</v>
      </c>
      <c r="L28" s="2" t="s">
        <v>30</v>
      </c>
      <c r="M28" s="2" t="s">
        <v>2735</v>
      </c>
      <c r="N28" s="2" t="s">
        <v>334</v>
      </c>
      <c r="O28" s="2" t="s">
        <v>160</v>
      </c>
      <c r="P28" s="155" t="s">
        <v>2740</v>
      </c>
      <c r="Q28" s="2" t="s">
        <v>34</v>
      </c>
      <c r="R28" s="2" t="s">
        <v>135</v>
      </c>
      <c r="S28" s="2" t="s">
        <v>927</v>
      </c>
      <c r="T28" s="156" t="s">
        <v>2629</v>
      </c>
      <c r="U28" s="132">
        <v>1</v>
      </c>
      <c r="V28" s="123">
        <v>4169.4880000000003</v>
      </c>
      <c r="W28" s="123">
        <v>4169.4880000000003</v>
      </c>
      <c r="X28" s="138">
        <v>0</v>
      </c>
      <c r="Y28" s="138">
        <v>1.5896106870327598E-2</v>
      </c>
      <c r="Z28" s="138">
        <v>2.2111438834672499E-3</v>
      </c>
    </row>
    <row r="29" spans="1:26">
      <c r="A29" s="2">
        <v>161</v>
      </c>
      <c r="B29" s="2">
        <v>9943</v>
      </c>
      <c r="C29" s="2" t="s">
        <v>2741</v>
      </c>
      <c r="D29" s="2" t="s">
        <v>2648</v>
      </c>
      <c r="E29" s="2" t="s">
        <v>1351</v>
      </c>
      <c r="F29" s="2" t="s">
        <v>2742</v>
      </c>
      <c r="G29" s="2">
        <v>27970047</v>
      </c>
      <c r="H29" s="2" t="s">
        <v>33</v>
      </c>
      <c r="I29" s="2" t="s">
        <v>1059</v>
      </c>
      <c r="J29" s="2" t="s">
        <v>601</v>
      </c>
      <c r="K29" s="2" t="s">
        <v>30</v>
      </c>
      <c r="L29" s="2" t="s">
        <v>30</v>
      </c>
      <c r="M29" s="2" t="s">
        <v>2743</v>
      </c>
      <c r="N29" s="2" t="s">
        <v>30</v>
      </c>
      <c r="O29" s="2" t="s">
        <v>160</v>
      </c>
      <c r="P29" s="155" t="s">
        <v>2744</v>
      </c>
      <c r="Q29" s="2" t="s">
        <v>34</v>
      </c>
      <c r="R29" s="2" t="s">
        <v>135</v>
      </c>
      <c r="S29" s="2" t="s">
        <v>194</v>
      </c>
      <c r="T29" s="156" t="s">
        <v>2652</v>
      </c>
      <c r="U29" s="132">
        <v>1</v>
      </c>
      <c r="V29" s="123">
        <v>6943.3339999999998</v>
      </c>
      <c r="W29" s="123">
        <v>6943.3339999999998</v>
      </c>
      <c r="X29" s="138">
        <v>0</v>
      </c>
      <c r="Y29" s="138">
        <v>2.6471351819869701E-2</v>
      </c>
      <c r="Z29" s="138">
        <v>3.68215740753938E-3</v>
      </c>
    </row>
    <row r="30" spans="1:26">
      <c r="A30" s="2">
        <v>161</v>
      </c>
      <c r="B30" s="2">
        <v>9943</v>
      </c>
      <c r="C30" s="2" t="s">
        <v>2745</v>
      </c>
      <c r="D30" s="2" t="s">
        <v>2746</v>
      </c>
      <c r="E30" s="2" t="s">
        <v>33</v>
      </c>
      <c r="F30" s="2" t="s">
        <v>2747</v>
      </c>
      <c r="G30" s="2">
        <v>27970028</v>
      </c>
      <c r="H30" s="2" t="s">
        <v>33</v>
      </c>
      <c r="I30" s="2" t="s">
        <v>1057</v>
      </c>
      <c r="J30" s="2" t="s">
        <v>879</v>
      </c>
      <c r="K30" s="2" t="s">
        <v>85</v>
      </c>
      <c r="L30" s="2" t="s">
        <v>271</v>
      </c>
      <c r="M30" s="2" t="s">
        <v>2748</v>
      </c>
      <c r="N30" s="2" t="s">
        <v>334</v>
      </c>
      <c r="O30" s="2" t="s">
        <v>160</v>
      </c>
      <c r="P30" s="155" t="s">
        <v>2749</v>
      </c>
      <c r="Q30" s="2" t="s">
        <v>1200</v>
      </c>
      <c r="R30" s="2" t="s">
        <v>135</v>
      </c>
      <c r="S30" s="2" t="s">
        <v>194</v>
      </c>
      <c r="T30" s="156" t="s">
        <v>161</v>
      </c>
      <c r="U30" s="132">
        <v>3.9552</v>
      </c>
      <c r="V30" s="123">
        <v>652.89200000000005</v>
      </c>
      <c r="W30" s="123">
        <v>2582.319</v>
      </c>
      <c r="X30" s="138">
        <v>0</v>
      </c>
      <c r="Y30" s="138">
        <v>9.8450500147672006E-3</v>
      </c>
      <c r="Z30" s="138">
        <v>1.36944361913018E-3</v>
      </c>
    </row>
    <row r="31" spans="1:26">
      <c r="A31" s="2">
        <v>161</v>
      </c>
      <c r="B31" s="2">
        <v>9943</v>
      </c>
      <c r="C31" s="2" t="s">
        <v>2750</v>
      </c>
      <c r="D31" s="2" t="s">
        <v>2751</v>
      </c>
      <c r="E31" s="2" t="s">
        <v>33</v>
      </c>
      <c r="F31" s="2" t="s">
        <v>2752</v>
      </c>
      <c r="G31" s="2">
        <v>27970056</v>
      </c>
      <c r="H31" s="2" t="s">
        <v>33</v>
      </c>
      <c r="I31" s="2" t="s">
        <v>1057</v>
      </c>
      <c r="J31" s="2" t="s">
        <v>601</v>
      </c>
      <c r="K31" s="2" t="s">
        <v>85</v>
      </c>
      <c r="L31" s="2" t="s">
        <v>86</v>
      </c>
      <c r="M31" s="2" t="s">
        <v>2753</v>
      </c>
      <c r="N31" s="2" t="s">
        <v>86</v>
      </c>
      <c r="O31" s="2" t="s">
        <v>160</v>
      </c>
      <c r="P31" s="155" t="s">
        <v>2754</v>
      </c>
      <c r="Q31" s="2" t="s">
        <v>90</v>
      </c>
      <c r="R31" s="2" t="s">
        <v>135</v>
      </c>
      <c r="S31" s="2" t="s">
        <v>927</v>
      </c>
      <c r="T31" s="156" t="s">
        <v>2754</v>
      </c>
      <c r="U31" s="132">
        <v>3.3719999999999999</v>
      </c>
      <c r="V31" s="123">
        <v>243.59200000000001</v>
      </c>
      <c r="W31" s="123">
        <v>821.39200000000005</v>
      </c>
      <c r="X31" s="138">
        <v>0</v>
      </c>
      <c r="Y31" s="138">
        <v>3.13154341065144E-3</v>
      </c>
      <c r="Z31" s="138">
        <v>4.3559678572615098E-4</v>
      </c>
    </row>
    <row r="32" spans="1:26">
      <c r="A32" s="2">
        <v>161</v>
      </c>
      <c r="B32" s="2">
        <v>9943</v>
      </c>
      <c r="C32" s="2" t="s">
        <v>2755</v>
      </c>
      <c r="D32" s="2" t="s">
        <v>2756</v>
      </c>
      <c r="E32" s="2" t="s">
        <v>135</v>
      </c>
      <c r="F32" s="2" t="s">
        <v>2755</v>
      </c>
      <c r="G32" s="2">
        <v>27970053</v>
      </c>
      <c r="H32" s="2" t="s">
        <v>33</v>
      </c>
      <c r="I32" s="2" t="s">
        <v>1057</v>
      </c>
      <c r="J32" s="2" t="s">
        <v>601</v>
      </c>
      <c r="K32" s="2" t="s">
        <v>85</v>
      </c>
      <c r="L32" s="2" t="s">
        <v>331</v>
      </c>
      <c r="M32" s="2" t="s">
        <v>2757</v>
      </c>
      <c r="N32" s="2" t="s">
        <v>331</v>
      </c>
      <c r="O32" s="2" t="s">
        <v>160</v>
      </c>
      <c r="P32" s="155" t="s">
        <v>2758</v>
      </c>
      <c r="Q32" s="2" t="s">
        <v>1200</v>
      </c>
      <c r="R32" s="2" t="s">
        <v>135</v>
      </c>
      <c r="S32" s="2" t="s">
        <v>194</v>
      </c>
      <c r="T32" s="156" t="s">
        <v>2629</v>
      </c>
      <c r="U32" s="132">
        <v>3.9552</v>
      </c>
      <c r="V32" s="123">
        <v>586.91300000000001</v>
      </c>
      <c r="W32" s="123">
        <v>2321.3560000000002</v>
      </c>
      <c r="X32" s="138">
        <v>0</v>
      </c>
      <c r="Y32" s="138">
        <v>8.8501345111206102E-3</v>
      </c>
      <c r="Z32" s="138">
        <v>1.2310511593662599E-3</v>
      </c>
    </row>
    <row r="33" spans="1:26">
      <c r="A33" s="2">
        <v>161</v>
      </c>
      <c r="B33" s="2">
        <v>9943</v>
      </c>
      <c r="C33" s="2" t="s">
        <v>2759</v>
      </c>
      <c r="D33" s="2" t="s">
        <v>1975</v>
      </c>
      <c r="E33" s="2" t="s">
        <v>1351</v>
      </c>
      <c r="F33" s="2" t="s">
        <v>2760</v>
      </c>
      <c r="G33" s="2">
        <v>27970040</v>
      </c>
      <c r="H33" s="2" t="s">
        <v>33</v>
      </c>
      <c r="I33" s="2" t="s">
        <v>1057</v>
      </c>
      <c r="J33" s="2" t="s">
        <v>601</v>
      </c>
      <c r="K33" s="2" t="s">
        <v>85</v>
      </c>
      <c r="L33" s="2" t="s">
        <v>256</v>
      </c>
      <c r="M33" s="2" t="s">
        <v>2761</v>
      </c>
      <c r="N33" s="2" t="s">
        <v>86</v>
      </c>
      <c r="O33" s="2" t="s">
        <v>160</v>
      </c>
      <c r="P33" s="155" t="s">
        <v>2762</v>
      </c>
      <c r="Q33" s="2" t="s">
        <v>90</v>
      </c>
      <c r="R33" s="2" t="s">
        <v>135</v>
      </c>
      <c r="S33" s="2" t="s">
        <v>194</v>
      </c>
      <c r="T33" s="156" t="s">
        <v>1372</v>
      </c>
      <c r="U33" s="132">
        <v>3.3719999999999999</v>
      </c>
      <c r="V33" s="123">
        <v>904.97199999999998</v>
      </c>
      <c r="W33" s="123">
        <v>3051.567</v>
      </c>
      <c r="X33" s="138">
        <v>0</v>
      </c>
      <c r="Y33" s="138">
        <v>1.16340522894103E-2</v>
      </c>
      <c r="Z33" s="138">
        <v>1.6182933198371E-3</v>
      </c>
    </row>
    <row r="34" spans="1:26">
      <c r="A34" s="2">
        <v>161</v>
      </c>
      <c r="B34" s="2">
        <v>9943</v>
      </c>
      <c r="C34" s="2" t="s">
        <v>2763</v>
      </c>
      <c r="D34" s="2" t="s">
        <v>2764</v>
      </c>
      <c r="E34" s="2" t="s">
        <v>1351</v>
      </c>
      <c r="F34" s="2" t="s">
        <v>2765</v>
      </c>
      <c r="G34" s="2">
        <v>27970026</v>
      </c>
      <c r="H34" s="2" t="s">
        <v>33</v>
      </c>
      <c r="I34" s="2" t="s">
        <v>1057</v>
      </c>
      <c r="J34" s="2" t="s">
        <v>872</v>
      </c>
      <c r="K34" s="2" t="s">
        <v>85</v>
      </c>
      <c r="L34" s="2" t="s">
        <v>2766</v>
      </c>
      <c r="M34" s="2" t="s">
        <v>2767</v>
      </c>
      <c r="N34" s="2" t="s">
        <v>334</v>
      </c>
      <c r="O34" s="2" t="s">
        <v>160</v>
      </c>
      <c r="P34" s="155" t="s">
        <v>2768</v>
      </c>
      <c r="Q34" s="2" t="s">
        <v>1200</v>
      </c>
      <c r="R34" s="2" t="s">
        <v>135</v>
      </c>
      <c r="S34" s="2" t="s">
        <v>927</v>
      </c>
      <c r="T34" s="156" t="s">
        <v>161</v>
      </c>
      <c r="U34" s="132">
        <v>3.9552</v>
      </c>
      <c r="V34" s="123">
        <v>1307.454</v>
      </c>
      <c r="W34" s="123">
        <v>5171.2420000000002</v>
      </c>
      <c r="X34" s="138">
        <v>0</v>
      </c>
      <c r="Y34" s="138">
        <v>1.97152793880363E-2</v>
      </c>
      <c r="Z34" s="138">
        <v>2.7423896797697999E-3</v>
      </c>
    </row>
    <row r="35" spans="1:26">
      <c r="A35" s="2">
        <v>161</v>
      </c>
      <c r="B35" s="2">
        <v>9943</v>
      </c>
      <c r="C35" s="2" t="s">
        <v>2769</v>
      </c>
      <c r="D35" s="2" t="s">
        <v>2770</v>
      </c>
      <c r="E35" s="2" t="s">
        <v>349</v>
      </c>
      <c r="F35" s="2" t="s">
        <v>2771</v>
      </c>
      <c r="G35" s="2">
        <v>27970049</v>
      </c>
      <c r="H35" s="2" t="s">
        <v>33</v>
      </c>
      <c r="I35" s="2" t="s">
        <v>1057</v>
      </c>
      <c r="J35" s="2" t="s">
        <v>601</v>
      </c>
      <c r="K35" s="2" t="s">
        <v>85</v>
      </c>
      <c r="L35" s="2" t="s">
        <v>86</v>
      </c>
      <c r="M35" s="2" t="s">
        <v>2772</v>
      </c>
      <c r="N35" s="2" t="s">
        <v>86</v>
      </c>
      <c r="O35" s="2" t="s">
        <v>160</v>
      </c>
      <c r="P35" s="155" t="s">
        <v>2773</v>
      </c>
      <c r="Q35" s="2" t="s">
        <v>90</v>
      </c>
      <c r="R35" s="2" t="s">
        <v>135</v>
      </c>
      <c r="S35" s="2" t="s">
        <v>194</v>
      </c>
      <c r="T35" s="156" t="s">
        <v>2774</v>
      </c>
      <c r="U35" s="132">
        <v>3.3719999999999999</v>
      </c>
      <c r="V35" s="123">
        <v>1611.5229999999999</v>
      </c>
      <c r="W35" s="123">
        <v>5434.0559999999996</v>
      </c>
      <c r="X35" s="138">
        <v>0</v>
      </c>
      <c r="Y35" s="138">
        <v>2.0717251452857199E-2</v>
      </c>
      <c r="Z35" s="138">
        <v>2.8817637051589602E-3</v>
      </c>
    </row>
    <row r="36" spans="1:26">
      <c r="A36" s="2">
        <v>161</v>
      </c>
      <c r="B36" s="2">
        <v>9943</v>
      </c>
      <c r="C36" s="2" t="s">
        <v>2775</v>
      </c>
      <c r="D36" s="2" t="s">
        <v>2776</v>
      </c>
      <c r="E36" s="2" t="s">
        <v>33</v>
      </c>
      <c r="F36" s="2" t="s">
        <v>2777</v>
      </c>
      <c r="G36" s="2">
        <v>27970023</v>
      </c>
      <c r="H36" s="2" t="s">
        <v>33</v>
      </c>
      <c r="I36" s="2" t="s">
        <v>1057</v>
      </c>
      <c r="J36" s="2" t="s">
        <v>872</v>
      </c>
      <c r="K36" s="2" t="s">
        <v>85</v>
      </c>
      <c r="L36" s="2" t="s">
        <v>86</v>
      </c>
      <c r="M36" s="2" t="s">
        <v>2778</v>
      </c>
      <c r="N36" s="2" t="s">
        <v>334</v>
      </c>
      <c r="O36" s="2" t="s">
        <v>160</v>
      </c>
      <c r="P36" s="155" t="s">
        <v>2779</v>
      </c>
      <c r="Q36" s="2" t="s">
        <v>90</v>
      </c>
      <c r="R36" s="2" t="s">
        <v>135</v>
      </c>
      <c r="S36" s="2" t="s">
        <v>927</v>
      </c>
      <c r="T36" s="156" t="s">
        <v>2729</v>
      </c>
      <c r="U36" s="132">
        <v>3.3719999999999999</v>
      </c>
      <c r="V36" s="123">
        <v>1430.508</v>
      </c>
      <c r="W36" s="123">
        <v>4823.6710000000003</v>
      </c>
      <c r="X36" s="138">
        <v>0</v>
      </c>
      <c r="Y36" s="138">
        <v>1.8390171290370301E-2</v>
      </c>
      <c r="Z36" s="138">
        <v>2.5580675253587602E-3</v>
      </c>
    </row>
    <row r="37" spans="1:26">
      <c r="A37" s="2">
        <v>161</v>
      </c>
      <c r="B37" s="2">
        <v>9943</v>
      </c>
      <c r="C37" s="2" t="s">
        <v>2780</v>
      </c>
      <c r="D37" s="2" t="s">
        <v>2781</v>
      </c>
      <c r="E37" s="2" t="s">
        <v>206</v>
      </c>
      <c r="F37" s="2" t="s">
        <v>2782</v>
      </c>
      <c r="G37" s="2">
        <v>27970048</v>
      </c>
      <c r="H37" s="2" t="s">
        <v>33</v>
      </c>
      <c r="I37" s="2" t="s">
        <v>1060</v>
      </c>
      <c r="J37" s="2" t="s">
        <v>601</v>
      </c>
      <c r="K37" s="2" t="s">
        <v>85</v>
      </c>
      <c r="L37" s="2" t="s">
        <v>2766</v>
      </c>
      <c r="M37" s="2" t="s">
        <v>2783</v>
      </c>
      <c r="N37" s="2" t="s">
        <v>86</v>
      </c>
      <c r="O37" s="2" t="s">
        <v>160</v>
      </c>
      <c r="P37" s="155" t="s">
        <v>2784</v>
      </c>
      <c r="Q37" s="2" t="s">
        <v>90</v>
      </c>
      <c r="R37" s="2" t="s">
        <v>135</v>
      </c>
      <c r="S37" s="2" t="s">
        <v>194</v>
      </c>
      <c r="T37" s="156" t="s">
        <v>2635</v>
      </c>
      <c r="U37" s="132">
        <v>3.3719999999999999</v>
      </c>
      <c r="V37" s="123">
        <v>773.17600000000004</v>
      </c>
      <c r="W37" s="123">
        <v>2607.1480000000001</v>
      </c>
      <c r="X37" s="138">
        <v>0</v>
      </c>
      <c r="Y37" s="138">
        <v>9.9397125706421705E-3</v>
      </c>
      <c r="Z37" s="138">
        <v>1.38261115336506E-3</v>
      </c>
    </row>
    <row r="38" spans="1:26">
      <c r="A38" s="2">
        <v>161</v>
      </c>
      <c r="B38" s="2">
        <v>9943</v>
      </c>
      <c r="C38" s="2" t="s">
        <v>2680</v>
      </c>
      <c r="D38" s="2" t="s">
        <v>2676</v>
      </c>
      <c r="E38" s="2" t="s">
        <v>349</v>
      </c>
      <c r="F38" s="2" t="s">
        <v>2785</v>
      </c>
      <c r="G38" s="2">
        <v>27970038</v>
      </c>
      <c r="H38" s="2" t="s">
        <v>33</v>
      </c>
      <c r="I38" s="2" t="s">
        <v>1057</v>
      </c>
      <c r="J38" s="2" t="s">
        <v>879</v>
      </c>
      <c r="K38" s="2" t="s">
        <v>30</v>
      </c>
      <c r="L38" s="2" t="s">
        <v>256</v>
      </c>
      <c r="M38" s="2" t="s">
        <v>2682</v>
      </c>
      <c r="N38" s="2" t="s">
        <v>30</v>
      </c>
      <c r="O38" s="2" t="s">
        <v>160</v>
      </c>
      <c r="P38" s="155" t="s">
        <v>2679</v>
      </c>
      <c r="Q38" s="2" t="s">
        <v>34</v>
      </c>
      <c r="R38" s="2" t="s">
        <v>925</v>
      </c>
      <c r="S38" s="2" t="s">
        <v>927</v>
      </c>
      <c r="T38" s="156" t="s">
        <v>161</v>
      </c>
      <c r="U38" s="132">
        <v>1</v>
      </c>
      <c r="V38" s="123">
        <v>2053.9470000000001</v>
      </c>
      <c r="W38" s="123">
        <v>2053.9470000000001</v>
      </c>
      <c r="X38" s="138">
        <v>0</v>
      </c>
      <c r="Y38" s="138">
        <v>7.8306406785118802E-3</v>
      </c>
      <c r="Z38" s="138">
        <v>1.0892398611286199E-3</v>
      </c>
    </row>
    <row r="39" spans="1:26">
      <c r="A39" s="2">
        <v>161</v>
      </c>
      <c r="B39" s="2">
        <v>9943</v>
      </c>
      <c r="C39" s="2" t="s">
        <v>2786</v>
      </c>
      <c r="D39" s="2" t="s">
        <v>2787</v>
      </c>
      <c r="E39" s="2" t="s">
        <v>33</v>
      </c>
      <c r="F39" s="2" t="s">
        <v>2788</v>
      </c>
      <c r="G39" s="2">
        <v>27970045</v>
      </c>
      <c r="H39" s="2" t="s">
        <v>33</v>
      </c>
      <c r="I39" s="2" t="s">
        <v>1059</v>
      </c>
      <c r="J39" s="2" t="s">
        <v>879</v>
      </c>
      <c r="K39" s="2" t="s">
        <v>85</v>
      </c>
      <c r="L39" s="2" t="s">
        <v>86</v>
      </c>
      <c r="M39" s="2" t="s">
        <v>2789</v>
      </c>
      <c r="N39" s="2" t="s">
        <v>86</v>
      </c>
      <c r="O39" s="2" t="s">
        <v>160</v>
      </c>
      <c r="P39" s="155" t="s">
        <v>2790</v>
      </c>
      <c r="Q39" s="2" t="s">
        <v>90</v>
      </c>
      <c r="R39" s="2" t="s">
        <v>135</v>
      </c>
      <c r="S39" s="2" t="s">
        <v>194</v>
      </c>
      <c r="T39" s="156" t="s">
        <v>2701</v>
      </c>
      <c r="U39" s="132">
        <v>3.3719999999999999</v>
      </c>
      <c r="V39" s="123">
        <v>3214.297</v>
      </c>
      <c r="W39" s="123">
        <v>10838.609</v>
      </c>
      <c r="X39" s="138">
        <v>0</v>
      </c>
      <c r="Y39" s="138">
        <v>4.1322028484631797E-2</v>
      </c>
      <c r="Z39" s="138">
        <v>5.7478822507671E-3</v>
      </c>
    </row>
    <row r="40" spans="1:26">
      <c r="A40" s="2">
        <v>161</v>
      </c>
      <c r="B40" s="2">
        <v>9943</v>
      </c>
      <c r="C40" s="2" t="s">
        <v>2791</v>
      </c>
      <c r="D40" s="2" t="s">
        <v>2792</v>
      </c>
      <c r="E40" s="2" t="s">
        <v>33</v>
      </c>
      <c r="F40" s="2" t="s">
        <v>2793</v>
      </c>
      <c r="G40" s="2">
        <v>27970050</v>
      </c>
      <c r="H40" s="2" t="s">
        <v>33</v>
      </c>
      <c r="I40" s="2" t="s">
        <v>1059</v>
      </c>
      <c r="J40" s="2" t="s">
        <v>601</v>
      </c>
      <c r="K40" s="2" t="s">
        <v>85</v>
      </c>
      <c r="L40" s="2" t="s">
        <v>86</v>
      </c>
      <c r="M40" s="2" t="s">
        <v>2794</v>
      </c>
      <c r="N40" s="2" t="s">
        <v>86</v>
      </c>
      <c r="O40" s="2" t="s">
        <v>160</v>
      </c>
      <c r="P40" s="155" t="s">
        <v>2795</v>
      </c>
      <c r="Q40" s="2" t="s">
        <v>90</v>
      </c>
      <c r="R40" s="2" t="s">
        <v>135</v>
      </c>
      <c r="S40" s="2" t="s">
        <v>194</v>
      </c>
      <c r="T40" s="156" t="s">
        <v>2796</v>
      </c>
      <c r="U40" s="132">
        <v>3.3719999999999999</v>
      </c>
      <c r="V40" s="123">
        <v>1963.414</v>
      </c>
      <c r="W40" s="123">
        <v>6620.634</v>
      </c>
      <c r="X40" s="138">
        <v>0</v>
      </c>
      <c r="Y40" s="138">
        <v>2.52410613087268E-2</v>
      </c>
      <c r="Z40" s="138">
        <v>3.51102435208168E-3</v>
      </c>
    </row>
    <row r="41" spans="1:26">
      <c r="A41" s="2">
        <v>161</v>
      </c>
      <c r="B41" s="2">
        <v>9943</v>
      </c>
      <c r="C41" s="2" t="s">
        <v>2797</v>
      </c>
      <c r="D41" s="2" t="s">
        <v>2798</v>
      </c>
      <c r="E41" s="2" t="s">
        <v>33</v>
      </c>
      <c r="F41" s="2" t="s">
        <v>2799</v>
      </c>
      <c r="G41" s="2">
        <v>27970055</v>
      </c>
      <c r="H41" s="2" t="s">
        <v>33</v>
      </c>
      <c r="I41" s="2" t="s">
        <v>1060</v>
      </c>
      <c r="J41" s="2" t="s">
        <v>601</v>
      </c>
      <c r="K41" s="2" t="s">
        <v>85</v>
      </c>
      <c r="L41" s="2" t="s">
        <v>256</v>
      </c>
      <c r="M41" s="2" t="s">
        <v>2800</v>
      </c>
      <c r="N41" s="2" t="s">
        <v>86</v>
      </c>
      <c r="O41" s="2" t="s">
        <v>160</v>
      </c>
      <c r="P41" s="155" t="s">
        <v>2801</v>
      </c>
      <c r="Q41" s="2" t="s">
        <v>90</v>
      </c>
      <c r="R41" s="2" t="s">
        <v>135</v>
      </c>
      <c r="S41" s="2" t="s">
        <v>927</v>
      </c>
      <c r="T41" s="156" t="s">
        <v>2802</v>
      </c>
      <c r="U41" s="132">
        <v>3.3719999999999999</v>
      </c>
      <c r="V41" s="123">
        <v>1338.164</v>
      </c>
      <c r="W41" s="123">
        <v>4512.2879999999996</v>
      </c>
      <c r="X41" s="138">
        <v>0</v>
      </c>
      <c r="Y41" s="138">
        <v>1.7203027759731201E-2</v>
      </c>
      <c r="Z41" s="138">
        <v>2.3929362024516301E-3</v>
      </c>
    </row>
    <row r="42" spans="1:26">
      <c r="A42" s="2">
        <v>161</v>
      </c>
      <c r="B42" s="2">
        <v>9943</v>
      </c>
      <c r="C42" s="2" t="s">
        <v>2803</v>
      </c>
      <c r="D42" s="2" t="s">
        <v>2804</v>
      </c>
      <c r="E42" s="2" t="s">
        <v>33</v>
      </c>
      <c r="F42" s="2" t="s">
        <v>2805</v>
      </c>
      <c r="G42" s="2">
        <v>27970051</v>
      </c>
      <c r="H42" s="2" t="s">
        <v>33</v>
      </c>
      <c r="I42" s="2" t="s">
        <v>1057</v>
      </c>
      <c r="J42" s="2" t="s">
        <v>601</v>
      </c>
      <c r="K42" s="2" t="s">
        <v>85</v>
      </c>
      <c r="L42" s="2" t="s">
        <v>86</v>
      </c>
      <c r="M42" s="2" t="s">
        <v>2806</v>
      </c>
      <c r="N42" s="2" t="s">
        <v>86</v>
      </c>
      <c r="O42" s="2" t="s">
        <v>160</v>
      </c>
      <c r="P42" s="155" t="s">
        <v>2807</v>
      </c>
      <c r="Q42" s="2" t="s">
        <v>90</v>
      </c>
      <c r="R42" s="2" t="s">
        <v>135</v>
      </c>
      <c r="S42" s="2" t="s">
        <v>194</v>
      </c>
      <c r="T42" s="156" t="s">
        <v>2808</v>
      </c>
      <c r="U42" s="132">
        <v>3.3719999999999999</v>
      </c>
      <c r="V42" s="123">
        <v>167.27199999999999</v>
      </c>
      <c r="W42" s="123">
        <v>564.04300000000001</v>
      </c>
      <c r="X42" s="138">
        <v>0</v>
      </c>
      <c r="Y42" s="138">
        <v>2.15040408543127E-3</v>
      </c>
      <c r="Z42" s="138">
        <v>2.9912058841023302E-4</v>
      </c>
    </row>
    <row r="43" spans="1:26">
      <c r="A43" s="2">
        <v>161</v>
      </c>
      <c r="B43" s="2">
        <v>9943</v>
      </c>
      <c r="C43" s="2" t="s">
        <v>2671</v>
      </c>
      <c r="D43" s="2" t="s">
        <v>2726</v>
      </c>
      <c r="E43" s="2" t="s">
        <v>1351</v>
      </c>
      <c r="F43" s="2" t="s">
        <v>2727</v>
      </c>
      <c r="G43" s="2">
        <v>27970046</v>
      </c>
      <c r="H43" s="2" t="s">
        <v>33</v>
      </c>
      <c r="I43" s="2" t="s">
        <v>1057</v>
      </c>
      <c r="J43" s="2" t="s">
        <v>867</v>
      </c>
      <c r="K43" s="2" t="s">
        <v>30</v>
      </c>
      <c r="L43" s="2" t="s">
        <v>30</v>
      </c>
      <c r="M43" s="2" t="s">
        <v>2674</v>
      </c>
      <c r="N43" s="2" t="s">
        <v>30</v>
      </c>
      <c r="O43" s="2" t="s">
        <v>160</v>
      </c>
      <c r="P43" s="155" t="s">
        <v>2809</v>
      </c>
      <c r="Q43" s="2" t="s">
        <v>90</v>
      </c>
      <c r="R43" s="2" t="s">
        <v>135</v>
      </c>
      <c r="S43" s="2" t="s">
        <v>927</v>
      </c>
      <c r="T43" s="156" t="s">
        <v>2635</v>
      </c>
      <c r="U43" s="132">
        <v>3.3719999999999999</v>
      </c>
      <c r="V43" s="123">
        <v>1179.2940000000001</v>
      </c>
      <c r="W43" s="123">
        <v>3976.578</v>
      </c>
      <c r="X43" s="138">
        <v>0</v>
      </c>
      <c r="Y43" s="138">
        <v>1.51606425282229E-2</v>
      </c>
      <c r="Z43" s="138">
        <v>2.1088410054846702E-3</v>
      </c>
    </row>
    <row r="44" spans="1:26">
      <c r="A44" s="2">
        <v>161</v>
      </c>
      <c r="B44" s="2">
        <v>9943</v>
      </c>
      <c r="C44" s="2" t="s">
        <v>2810</v>
      </c>
      <c r="D44" s="2" t="s">
        <v>2660</v>
      </c>
      <c r="E44" s="2" t="s">
        <v>348</v>
      </c>
      <c r="F44" s="2" t="s">
        <v>2811</v>
      </c>
      <c r="G44" s="2">
        <v>604051641</v>
      </c>
      <c r="H44" s="2" t="s">
        <v>33</v>
      </c>
      <c r="I44" s="2" t="s">
        <v>1059</v>
      </c>
      <c r="J44" s="2" t="s">
        <v>881</v>
      </c>
      <c r="K44" s="2" t="s">
        <v>85</v>
      </c>
      <c r="L44" s="2" t="s">
        <v>256</v>
      </c>
      <c r="M44" s="2" t="s">
        <v>2812</v>
      </c>
      <c r="N44" s="2" t="s">
        <v>86</v>
      </c>
      <c r="O44" t="s">
        <v>160</v>
      </c>
      <c r="P44" s="155" t="s">
        <v>2813</v>
      </c>
      <c r="Q44" s="2" t="s">
        <v>90</v>
      </c>
      <c r="R44" s="2" t="s">
        <v>192</v>
      </c>
      <c r="S44" s="2" t="s">
        <v>194</v>
      </c>
      <c r="T44" s="156" t="s">
        <v>2814</v>
      </c>
      <c r="U44" s="132">
        <v>3.3719999999999999</v>
      </c>
      <c r="V44" s="123">
        <v>389.00299999999999</v>
      </c>
      <c r="W44" s="123">
        <v>1311.7180000000001</v>
      </c>
      <c r="X44" s="138">
        <v>0</v>
      </c>
      <c r="Y44" s="138">
        <v>5.0009029129475203E-3</v>
      </c>
      <c r="Z44" s="138">
        <v>6.9562415363589897E-4</v>
      </c>
    </row>
    <row r="45" spans="1:26">
      <c r="A45" s="2">
        <v>161</v>
      </c>
      <c r="B45" s="2">
        <v>9943</v>
      </c>
      <c r="C45" s="2" t="s">
        <v>2815</v>
      </c>
      <c r="D45" s="2" t="s">
        <v>2816</v>
      </c>
      <c r="E45" s="2" t="s">
        <v>349</v>
      </c>
      <c r="F45" s="2" t="s">
        <v>2817</v>
      </c>
      <c r="G45" s="2">
        <v>62000074</v>
      </c>
      <c r="H45" s="2" t="s">
        <v>33</v>
      </c>
      <c r="I45" s="2" t="s">
        <v>1061</v>
      </c>
      <c r="J45" s="2" t="s">
        <v>873</v>
      </c>
      <c r="K45" s="2" t="s">
        <v>85</v>
      </c>
      <c r="L45" s="2" t="s">
        <v>86</v>
      </c>
      <c r="M45" s="2" t="s">
        <v>2818</v>
      </c>
      <c r="N45" s="2" t="s">
        <v>86</v>
      </c>
      <c r="O45" s="2" t="s">
        <v>160</v>
      </c>
      <c r="P45" s="155" t="s">
        <v>2819</v>
      </c>
      <c r="Q45" s="2" t="s">
        <v>90</v>
      </c>
      <c r="R45" s="2" t="s">
        <v>135</v>
      </c>
      <c r="S45" s="2" t="s">
        <v>927</v>
      </c>
      <c r="T45" s="156" t="s">
        <v>2701</v>
      </c>
      <c r="U45" s="132">
        <v>3.3719999999999999</v>
      </c>
      <c r="V45" s="123">
        <v>947.25599999999997</v>
      </c>
      <c r="W45" s="123">
        <v>3194.1469999999999</v>
      </c>
      <c r="X45" s="138">
        <v>0</v>
      </c>
      <c r="Y45" s="138">
        <v>1.2177636155195499E-2</v>
      </c>
      <c r="Z45" s="138">
        <v>1.69390567887489E-3</v>
      </c>
    </row>
    <row r="46" spans="1:26">
      <c r="A46" s="2">
        <v>161</v>
      </c>
      <c r="B46" s="2">
        <v>9943</v>
      </c>
      <c r="C46" s="2" t="s">
        <v>2820</v>
      </c>
      <c r="D46" s="2" t="s">
        <v>2816</v>
      </c>
      <c r="E46" s="2" t="s">
        <v>349</v>
      </c>
      <c r="F46" s="2" t="s">
        <v>2821</v>
      </c>
      <c r="G46" s="2">
        <v>60390077</v>
      </c>
      <c r="H46" s="2" t="s">
        <v>33</v>
      </c>
      <c r="I46" s="2" t="s">
        <v>1061</v>
      </c>
      <c r="J46" s="2" t="s">
        <v>873</v>
      </c>
      <c r="K46" s="2" t="s">
        <v>85</v>
      </c>
      <c r="L46" s="2" t="s">
        <v>86</v>
      </c>
      <c r="M46" s="2" t="s">
        <v>2818</v>
      </c>
      <c r="N46" s="2" t="s">
        <v>86</v>
      </c>
      <c r="O46" s="2" t="s">
        <v>160</v>
      </c>
      <c r="P46" s="155" t="s">
        <v>2822</v>
      </c>
      <c r="Q46" s="2" t="s">
        <v>90</v>
      </c>
      <c r="R46" s="2" t="s">
        <v>135</v>
      </c>
      <c r="S46" s="2" t="s">
        <v>927</v>
      </c>
      <c r="T46" s="156" t="s">
        <v>2635</v>
      </c>
      <c r="U46" s="132">
        <v>3.3719999999999999</v>
      </c>
      <c r="V46" s="123">
        <v>735.33</v>
      </c>
      <c r="W46" s="123">
        <v>2479.5329999999999</v>
      </c>
      <c r="X46" s="138">
        <v>0</v>
      </c>
      <c r="Y46" s="138">
        <v>9.4531797043248093E-3</v>
      </c>
      <c r="Z46" s="138">
        <v>1.3149345719077801E-3</v>
      </c>
    </row>
    <row r="47" spans="1:26">
      <c r="A47" s="2">
        <v>161</v>
      </c>
      <c r="B47" s="2">
        <v>9943</v>
      </c>
      <c r="C47" s="2" t="s">
        <v>2823</v>
      </c>
      <c r="D47" s="2" t="s">
        <v>2824</v>
      </c>
      <c r="E47" s="2" t="s">
        <v>33</v>
      </c>
      <c r="F47" s="2" t="s">
        <v>2825</v>
      </c>
      <c r="G47" s="2">
        <v>60398484</v>
      </c>
      <c r="H47" s="2" t="s">
        <v>33</v>
      </c>
      <c r="I47" s="2" t="s">
        <v>1057</v>
      </c>
      <c r="J47" s="2" t="s">
        <v>867</v>
      </c>
      <c r="K47" s="2" t="s">
        <v>85</v>
      </c>
      <c r="L47" s="2" t="s">
        <v>2633</v>
      </c>
      <c r="M47" s="2" t="s">
        <v>2826</v>
      </c>
      <c r="N47" s="2" t="s">
        <v>30</v>
      </c>
      <c r="O47" s="2" t="s">
        <v>160</v>
      </c>
      <c r="P47" s="155" t="s">
        <v>2827</v>
      </c>
      <c r="Q47" s="2" t="s">
        <v>90</v>
      </c>
      <c r="R47" s="2" t="s">
        <v>135</v>
      </c>
      <c r="S47" s="2" t="s">
        <v>194</v>
      </c>
      <c r="T47" s="156" t="s">
        <v>2725</v>
      </c>
      <c r="U47" s="132">
        <v>3.3719999999999999</v>
      </c>
      <c r="V47" s="123">
        <v>1448.5640000000001</v>
      </c>
      <c r="W47" s="123">
        <v>4884.558</v>
      </c>
      <c r="X47" s="138">
        <v>0</v>
      </c>
      <c r="Y47" s="138">
        <v>1.8622301513634702E-2</v>
      </c>
      <c r="Z47" s="138">
        <v>2.59035677250121E-3</v>
      </c>
    </row>
    <row r="48" spans="1:26">
      <c r="A48" s="2">
        <v>161</v>
      </c>
      <c r="B48" s="2">
        <v>9943</v>
      </c>
      <c r="C48" s="2" t="s">
        <v>2828</v>
      </c>
      <c r="D48" s="2" t="s">
        <v>2829</v>
      </c>
      <c r="E48" s="2" t="s">
        <v>206</v>
      </c>
      <c r="F48" s="2" t="s">
        <v>2830</v>
      </c>
      <c r="G48" s="2">
        <v>27970054</v>
      </c>
      <c r="H48" s="2" t="s">
        <v>33</v>
      </c>
      <c r="I48" s="2" t="s">
        <v>1057</v>
      </c>
      <c r="J48" s="2" t="s">
        <v>601</v>
      </c>
      <c r="K48" s="2" t="s">
        <v>85</v>
      </c>
      <c r="L48" s="2" t="s">
        <v>86</v>
      </c>
      <c r="M48" s="2" t="s">
        <v>2831</v>
      </c>
      <c r="N48" s="2" t="s">
        <v>86</v>
      </c>
      <c r="O48" s="2" t="s">
        <v>160</v>
      </c>
      <c r="P48" s="155" t="s">
        <v>2832</v>
      </c>
      <c r="Q48" s="2" t="s">
        <v>90</v>
      </c>
      <c r="R48" s="2" t="s">
        <v>135</v>
      </c>
      <c r="S48" s="2" t="s">
        <v>194</v>
      </c>
      <c r="T48" s="156" t="s">
        <v>2796</v>
      </c>
      <c r="U48" s="132">
        <v>3.3719999999999999</v>
      </c>
      <c r="V48" s="123">
        <v>458.73099999999999</v>
      </c>
      <c r="W48" s="123">
        <v>1546.8420000000001</v>
      </c>
      <c r="X48" s="138">
        <v>0</v>
      </c>
      <c r="Y48" s="138">
        <v>5.8973090922324299E-3</v>
      </c>
      <c r="Z48" s="138">
        <v>8.2031399477731199E-4</v>
      </c>
    </row>
    <row r="49" spans="1:26">
      <c r="A49" s="2">
        <v>161</v>
      </c>
      <c r="B49" s="2">
        <v>9943</v>
      </c>
      <c r="C49" s="2" t="s">
        <v>2833</v>
      </c>
      <c r="D49" s="2" t="s">
        <v>2834</v>
      </c>
      <c r="E49" s="2" t="s">
        <v>33</v>
      </c>
      <c r="F49" s="2" t="s">
        <v>2835</v>
      </c>
      <c r="G49" s="2">
        <v>60416385</v>
      </c>
      <c r="H49" s="2" t="s">
        <v>33</v>
      </c>
      <c r="I49" s="2" t="s">
        <v>1057</v>
      </c>
      <c r="J49" s="2" t="s">
        <v>879</v>
      </c>
      <c r="K49" s="2" t="s">
        <v>85</v>
      </c>
      <c r="L49" s="2" t="s">
        <v>2766</v>
      </c>
      <c r="M49" s="2" t="s">
        <v>2836</v>
      </c>
      <c r="N49" s="2" t="s">
        <v>334</v>
      </c>
      <c r="O49" s="2" t="s">
        <v>160</v>
      </c>
      <c r="P49" s="155" t="s">
        <v>2837</v>
      </c>
      <c r="Q49" s="2" t="s">
        <v>1200</v>
      </c>
      <c r="R49" s="2" t="s">
        <v>135</v>
      </c>
      <c r="S49" s="2" t="s">
        <v>194</v>
      </c>
      <c r="T49" s="156" t="s">
        <v>2629</v>
      </c>
      <c r="U49" s="132">
        <v>3.9552</v>
      </c>
      <c r="V49" s="123">
        <v>764.73099999999999</v>
      </c>
      <c r="W49" s="123">
        <v>3024.6640000000002</v>
      </c>
      <c r="X49" s="138">
        <v>0</v>
      </c>
      <c r="Y49" s="138">
        <v>1.1531483632345201E-2</v>
      </c>
      <c r="Z49" s="138">
        <v>1.6040260492056701E-3</v>
      </c>
    </row>
    <row r="50" spans="1:26">
      <c r="A50" s="2">
        <v>161</v>
      </c>
      <c r="B50" s="2">
        <v>9943</v>
      </c>
      <c r="C50" s="2" t="s">
        <v>2838</v>
      </c>
      <c r="D50" s="2" t="s">
        <v>2839</v>
      </c>
      <c r="E50" s="2" t="s">
        <v>349</v>
      </c>
      <c r="F50" s="2" t="s">
        <v>2840</v>
      </c>
      <c r="G50" s="2">
        <v>60408978</v>
      </c>
      <c r="H50" s="2" t="s">
        <v>33</v>
      </c>
      <c r="I50" s="2" t="s">
        <v>1061</v>
      </c>
      <c r="J50" s="2" t="s">
        <v>601</v>
      </c>
      <c r="K50" s="2" t="s">
        <v>85</v>
      </c>
      <c r="L50" s="2" t="s">
        <v>86</v>
      </c>
      <c r="M50" s="2" t="s">
        <v>2841</v>
      </c>
      <c r="N50" s="2" t="s">
        <v>86</v>
      </c>
      <c r="O50" s="2" t="s">
        <v>160</v>
      </c>
      <c r="P50" s="155" t="s">
        <v>2842</v>
      </c>
      <c r="Q50" s="2" t="s">
        <v>90</v>
      </c>
      <c r="R50" s="2" t="s">
        <v>135</v>
      </c>
      <c r="S50" s="2" t="s">
        <v>194</v>
      </c>
      <c r="T50" s="156" t="s">
        <v>2635</v>
      </c>
      <c r="U50" s="132">
        <v>3.3719999999999999</v>
      </c>
      <c r="V50" s="123">
        <v>4648.6000000000004</v>
      </c>
      <c r="W50" s="123">
        <v>15675.079</v>
      </c>
      <c r="X50" s="138">
        <v>0</v>
      </c>
      <c r="Y50" s="138">
        <v>5.9760993259521999E-2</v>
      </c>
      <c r="Z50" s="138">
        <v>8.3127369357574102E-3</v>
      </c>
    </row>
    <row r="51" spans="1:26">
      <c r="A51" s="2">
        <v>161</v>
      </c>
      <c r="B51" s="2">
        <v>9943</v>
      </c>
      <c r="C51" s="2" t="s">
        <v>2843</v>
      </c>
      <c r="D51" s="2" t="s">
        <v>2844</v>
      </c>
      <c r="E51" s="2" t="s">
        <v>33</v>
      </c>
      <c r="F51" s="2" t="s">
        <v>2845</v>
      </c>
      <c r="G51" s="2">
        <v>27970041</v>
      </c>
      <c r="H51" s="2" t="s">
        <v>33</v>
      </c>
      <c r="I51" s="2" t="s">
        <v>1057</v>
      </c>
      <c r="J51" s="2" t="s">
        <v>601</v>
      </c>
      <c r="K51" s="2" t="s">
        <v>85</v>
      </c>
      <c r="L51" s="2" t="s">
        <v>86</v>
      </c>
      <c r="M51" s="2" t="s">
        <v>2846</v>
      </c>
      <c r="N51" s="2" t="s">
        <v>86</v>
      </c>
      <c r="O51" s="2" t="s">
        <v>160</v>
      </c>
      <c r="P51" s="155" t="s">
        <v>2847</v>
      </c>
      <c r="Q51" s="2" t="s">
        <v>90</v>
      </c>
      <c r="R51" s="2" t="s">
        <v>135</v>
      </c>
      <c r="S51" s="2" t="s">
        <v>927</v>
      </c>
      <c r="T51" s="156" t="s">
        <v>2689</v>
      </c>
      <c r="U51" s="132">
        <v>3.3719999999999999</v>
      </c>
      <c r="V51" s="123">
        <v>584.28399999999999</v>
      </c>
      <c r="W51" s="123">
        <v>1970.2070000000001</v>
      </c>
      <c r="X51" s="138">
        <v>0</v>
      </c>
      <c r="Y51" s="138">
        <v>7.51138211068834E-3</v>
      </c>
      <c r="Z51" s="138">
        <v>1.0448310863735101E-3</v>
      </c>
    </row>
    <row r="52" spans="1:26">
      <c r="A52" s="2">
        <v>161</v>
      </c>
      <c r="B52" s="2">
        <v>9943</v>
      </c>
      <c r="C52" s="2" t="s">
        <v>2848</v>
      </c>
      <c r="D52" s="2" t="s">
        <v>2849</v>
      </c>
      <c r="E52" s="2" t="s">
        <v>206</v>
      </c>
      <c r="F52" s="2" t="s">
        <v>2850</v>
      </c>
      <c r="G52" s="2">
        <v>98405711</v>
      </c>
      <c r="H52" s="2" t="s">
        <v>33</v>
      </c>
      <c r="I52" s="2" t="s">
        <v>1061</v>
      </c>
      <c r="J52" s="2" t="s">
        <v>873</v>
      </c>
      <c r="K52" s="2" t="s">
        <v>85</v>
      </c>
      <c r="L52" s="2" t="s">
        <v>321</v>
      </c>
      <c r="M52" s="2" t="s">
        <v>2851</v>
      </c>
      <c r="N52" s="2" t="s">
        <v>30</v>
      </c>
      <c r="O52" s="2" t="s">
        <v>160</v>
      </c>
      <c r="P52" s="155" t="s">
        <v>2852</v>
      </c>
      <c r="Q52" s="2" t="s">
        <v>90</v>
      </c>
      <c r="R52" s="2" t="s">
        <v>135</v>
      </c>
      <c r="S52" s="2" t="s">
        <v>927</v>
      </c>
      <c r="T52" s="156" t="s">
        <v>2853</v>
      </c>
      <c r="U52" s="132">
        <v>3.3719999999999999</v>
      </c>
      <c r="V52" s="123">
        <v>95.28</v>
      </c>
      <c r="W52" s="123">
        <v>321.28300000000002</v>
      </c>
      <c r="X52" s="138">
        <v>0</v>
      </c>
      <c r="Y52" s="138">
        <v>1.22488607946235E-3</v>
      </c>
      <c r="Z52" s="138">
        <v>1.7038130056881801E-4</v>
      </c>
    </row>
    <row r="53" spans="1:26">
      <c r="A53" s="2">
        <v>161</v>
      </c>
      <c r="B53" s="2">
        <v>9943</v>
      </c>
      <c r="C53" s="2" t="s">
        <v>2630</v>
      </c>
      <c r="D53" s="2" t="s">
        <v>2631</v>
      </c>
      <c r="E53" s="2" t="s">
        <v>33</v>
      </c>
      <c r="F53" s="2" t="s">
        <v>2632</v>
      </c>
      <c r="G53" s="2">
        <v>27970029</v>
      </c>
      <c r="H53" s="2" t="s">
        <v>33</v>
      </c>
      <c r="I53" s="2" t="s">
        <v>1057</v>
      </c>
      <c r="J53" s="2" t="s">
        <v>887</v>
      </c>
      <c r="K53" s="2" t="s">
        <v>85</v>
      </c>
      <c r="L53" s="2" t="s">
        <v>2633</v>
      </c>
      <c r="M53" s="2" t="s">
        <v>331</v>
      </c>
      <c r="N53" s="2" t="s">
        <v>331</v>
      </c>
      <c r="O53" s="2" t="s">
        <v>160</v>
      </c>
      <c r="P53" s="155" t="s">
        <v>2634</v>
      </c>
      <c r="Q53" s="2" t="s">
        <v>90</v>
      </c>
      <c r="R53" s="2" t="s">
        <v>925</v>
      </c>
      <c r="S53" s="2" t="s">
        <v>927</v>
      </c>
      <c r="T53" s="156" t="s">
        <v>2635</v>
      </c>
      <c r="U53" s="132">
        <v>3.3719999999999999</v>
      </c>
      <c r="V53" s="123">
        <v>682.12599999999998</v>
      </c>
      <c r="W53" s="123">
        <v>2300.1289999999999</v>
      </c>
      <c r="X53" s="138">
        <v>0</v>
      </c>
      <c r="Y53" s="138">
        <v>8.7692039452832004E-3</v>
      </c>
      <c r="Z53" s="138">
        <v>1.21979374098723E-3</v>
      </c>
    </row>
    <row r="54" spans="1:26">
      <c r="A54" s="2">
        <v>161</v>
      </c>
      <c r="B54" s="2">
        <v>9943</v>
      </c>
      <c r="C54" s="2" t="s">
        <v>2854</v>
      </c>
      <c r="D54" s="2" t="s">
        <v>2855</v>
      </c>
      <c r="E54" s="2" t="s">
        <v>33</v>
      </c>
      <c r="F54" s="2" t="s">
        <v>2856</v>
      </c>
      <c r="G54" s="2">
        <v>27970043</v>
      </c>
      <c r="H54" s="2" t="s">
        <v>33</v>
      </c>
      <c r="I54" s="2" t="s">
        <v>1057</v>
      </c>
      <c r="J54" s="2" t="s">
        <v>601</v>
      </c>
      <c r="K54" s="2" t="s">
        <v>85</v>
      </c>
      <c r="L54" s="2" t="s">
        <v>334</v>
      </c>
      <c r="M54" s="2" t="s">
        <v>2857</v>
      </c>
      <c r="N54" s="2" t="s">
        <v>86</v>
      </c>
      <c r="O54" s="2" t="s">
        <v>160</v>
      </c>
      <c r="P54" s="155" t="s">
        <v>2858</v>
      </c>
      <c r="Q54" s="2" t="s">
        <v>90</v>
      </c>
      <c r="R54" s="2" t="s">
        <v>135</v>
      </c>
      <c r="S54" s="2" t="s">
        <v>927</v>
      </c>
      <c r="T54" s="156" t="s">
        <v>2774</v>
      </c>
      <c r="U54" s="132">
        <v>3.3719999999999999</v>
      </c>
      <c r="V54" s="123">
        <v>428.55799999999999</v>
      </c>
      <c r="W54" s="123">
        <v>1445.0989999999999</v>
      </c>
      <c r="X54" s="138">
        <v>0</v>
      </c>
      <c r="Y54" s="138">
        <v>5.50941695428979E-3</v>
      </c>
      <c r="Z54" s="138">
        <v>7.66358310202878E-4</v>
      </c>
    </row>
    <row r="55" spans="1:26">
      <c r="A55" s="2">
        <v>161</v>
      </c>
      <c r="B55" s="2">
        <v>9943</v>
      </c>
      <c r="C55" s="2" t="s">
        <v>2859</v>
      </c>
      <c r="D55" s="2" t="s">
        <v>2860</v>
      </c>
      <c r="E55" s="2" t="s">
        <v>135</v>
      </c>
      <c r="F55" s="2" t="s">
        <v>2861</v>
      </c>
      <c r="G55" s="2">
        <v>27970042</v>
      </c>
      <c r="H55" s="2" t="s">
        <v>33</v>
      </c>
      <c r="I55" s="2" t="s">
        <v>1057</v>
      </c>
      <c r="J55" s="2" t="s">
        <v>601</v>
      </c>
      <c r="K55" s="2" t="s">
        <v>85</v>
      </c>
      <c r="L55" s="2" t="s">
        <v>86</v>
      </c>
      <c r="M55" s="2" t="s">
        <v>2862</v>
      </c>
      <c r="N55" s="2" t="s">
        <v>86</v>
      </c>
      <c r="O55" s="2" t="s">
        <v>160</v>
      </c>
      <c r="P55" s="155" t="s">
        <v>2863</v>
      </c>
      <c r="Q55" s="2" t="s">
        <v>90</v>
      </c>
      <c r="R55" s="2" t="s">
        <v>135</v>
      </c>
      <c r="S55" s="2" t="s">
        <v>194</v>
      </c>
      <c r="T55" s="156" t="s">
        <v>2629</v>
      </c>
      <c r="U55" s="132">
        <v>3.3719999999999999</v>
      </c>
      <c r="V55" s="123">
        <v>517.19000000000005</v>
      </c>
      <c r="W55" s="123">
        <v>1743.9659999999999</v>
      </c>
      <c r="X55" s="138">
        <v>0</v>
      </c>
      <c r="Y55" s="138">
        <v>6.6488413710210203E-3</v>
      </c>
      <c r="Z55" s="138">
        <v>9.2485191812088897E-4</v>
      </c>
    </row>
    <row r="56" spans="1:26">
      <c r="A56" s="2">
        <v>161</v>
      </c>
      <c r="B56" s="2">
        <v>9943</v>
      </c>
      <c r="C56" s="2" t="s">
        <v>2864</v>
      </c>
      <c r="D56" s="2" t="s">
        <v>2865</v>
      </c>
      <c r="E56" s="2" t="s">
        <v>33</v>
      </c>
      <c r="F56" s="2" t="s">
        <v>2866</v>
      </c>
      <c r="G56" s="2">
        <v>27970032</v>
      </c>
      <c r="H56" s="2" t="s">
        <v>33</v>
      </c>
      <c r="I56" s="2" t="s">
        <v>1057</v>
      </c>
      <c r="J56" s="2" t="s">
        <v>875</v>
      </c>
      <c r="K56" s="2" t="s">
        <v>85</v>
      </c>
      <c r="L56" s="2" t="s">
        <v>256</v>
      </c>
      <c r="M56" s="2" t="s">
        <v>86</v>
      </c>
      <c r="N56" s="2" t="s">
        <v>86</v>
      </c>
      <c r="O56" s="2" t="s">
        <v>160</v>
      </c>
      <c r="P56" s="155" t="s">
        <v>2867</v>
      </c>
      <c r="Q56" s="2" t="s">
        <v>90</v>
      </c>
      <c r="R56" s="2" t="s">
        <v>925</v>
      </c>
      <c r="S56" s="2" t="s">
        <v>194</v>
      </c>
      <c r="T56" s="156" t="s">
        <v>2796</v>
      </c>
      <c r="U56" s="132">
        <v>3.3719999999999999</v>
      </c>
      <c r="V56" s="123">
        <v>2012.75</v>
      </c>
      <c r="W56" s="123">
        <v>6786.9930000000004</v>
      </c>
      <c r="X56" s="138">
        <v>0</v>
      </c>
      <c r="Y56" s="138">
        <v>2.58753041833687E-2</v>
      </c>
      <c r="Z56" s="138">
        <v>3.59924735311816E-3</v>
      </c>
    </row>
    <row r="57" spans="1:26">
      <c r="A57" s="2">
        <v>161</v>
      </c>
      <c r="B57" s="2">
        <v>9943</v>
      </c>
      <c r="C57" s="2" t="s">
        <v>2868</v>
      </c>
      <c r="D57" s="2" t="s">
        <v>2869</v>
      </c>
      <c r="E57" s="2" t="s">
        <v>349</v>
      </c>
      <c r="F57" s="2" t="s">
        <v>2870</v>
      </c>
      <c r="G57" s="2">
        <v>27970020</v>
      </c>
      <c r="H57" s="2" t="s">
        <v>33</v>
      </c>
      <c r="I57" s="2" t="s">
        <v>1060</v>
      </c>
      <c r="J57" s="2" t="s">
        <v>870</v>
      </c>
      <c r="K57" s="2" t="s">
        <v>85</v>
      </c>
      <c r="L57" s="2" t="s">
        <v>256</v>
      </c>
      <c r="M57" s="2" t="s">
        <v>86</v>
      </c>
      <c r="N57" s="2" t="s">
        <v>86</v>
      </c>
      <c r="O57" s="2" t="s">
        <v>160</v>
      </c>
      <c r="P57" s="155" t="s">
        <v>2871</v>
      </c>
      <c r="Q57" s="2" t="s">
        <v>90</v>
      </c>
      <c r="R57" s="2" t="s">
        <v>925</v>
      </c>
      <c r="S57" s="2" t="s">
        <v>194</v>
      </c>
      <c r="T57" s="156" t="s">
        <v>1372</v>
      </c>
      <c r="U57" s="132">
        <v>3.3719999999999999</v>
      </c>
      <c r="V57" s="123">
        <v>190.87799999999999</v>
      </c>
      <c r="W57" s="123">
        <v>643.64099999999996</v>
      </c>
      <c r="X57" s="138">
        <v>0</v>
      </c>
      <c r="Y57" s="138">
        <v>2.45386973957558E-3</v>
      </c>
      <c r="Z57" s="138">
        <v>3.4133257342501002E-4</v>
      </c>
    </row>
    <row r="58" spans="1:26">
      <c r="A58" s="2">
        <v>161</v>
      </c>
      <c r="B58" s="2">
        <v>9943</v>
      </c>
      <c r="C58" s="2" t="s">
        <v>2872</v>
      </c>
      <c r="D58" s="2" t="s">
        <v>2873</v>
      </c>
      <c r="E58" s="2" t="s">
        <v>1351</v>
      </c>
      <c r="F58" s="2" t="s">
        <v>2874</v>
      </c>
      <c r="G58" s="2">
        <v>62012539</v>
      </c>
      <c r="H58" s="2" t="s">
        <v>33</v>
      </c>
      <c r="I58" s="2" t="s">
        <v>1061</v>
      </c>
      <c r="J58" s="2" t="s">
        <v>873</v>
      </c>
      <c r="K58" s="2" t="s">
        <v>85</v>
      </c>
      <c r="L58" s="2" t="s">
        <v>256</v>
      </c>
      <c r="M58" s="2" t="s">
        <v>2875</v>
      </c>
      <c r="N58" s="2" t="s">
        <v>86</v>
      </c>
      <c r="O58" s="2" t="s">
        <v>160</v>
      </c>
      <c r="P58" s="155" t="s">
        <v>2876</v>
      </c>
      <c r="Q58" s="2" t="s">
        <v>90</v>
      </c>
      <c r="R58" s="2" t="s">
        <v>135</v>
      </c>
      <c r="S58" s="2" t="s">
        <v>194</v>
      </c>
      <c r="T58" s="156" t="s">
        <v>1372</v>
      </c>
      <c r="U58" s="132">
        <v>3.3719999999999999</v>
      </c>
      <c r="V58" s="123">
        <v>1887.8240000000001</v>
      </c>
      <c r="W58" s="123">
        <v>6365.7430000000004</v>
      </c>
      <c r="X58" s="138">
        <v>0</v>
      </c>
      <c r="Y58" s="138">
        <v>2.4269294308487201E-2</v>
      </c>
      <c r="Z58" s="138">
        <v>3.3758518424688898E-3</v>
      </c>
    </row>
    <row r="59" spans="1:26">
      <c r="A59" s="2">
        <v>161</v>
      </c>
      <c r="B59" s="2">
        <v>9943</v>
      </c>
      <c r="C59" s="2" t="s">
        <v>2877</v>
      </c>
      <c r="D59" s="2" t="s">
        <v>2878</v>
      </c>
      <c r="E59" s="2" t="s">
        <v>349</v>
      </c>
      <c r="F59" s="2" t="s">
        <v>2879</v>
      </c>
      <c r="G59" s="2">
        <v>62012828</v>
      </c>
      <c r="H59" s="2" t="s">
        <v>33</v>
      </c>
      <c r="I59" s="2" t="s">
        <v>1057</v>
      </c>
      <c r="J59" s="2" t="s">
        <v>867</v>
      </c>
      <c r="K59" s="2" t="s">
        <v>85</v>
      </c>
      <c r="L59" s="2" t="s">
        <v>256</v>
      </c>
      <c r="M59" s="2" t="s">
        <v>2880</v>
      </c>
      <c r="N59" s="2" t="s">
        <v>86</v>
      </c>
      <c r="O59" s="2" t="s">
        <v>160</v>
      </c>
      <c r="P59" s="155" t="s">
        <v>2881</v>
      </c>
      <c r="Q59" s="2" t="s">
        <v>90</v>
      </c>
      <c r="R59" s="2" t="s">
        <v>135</v>
      </c>
      <c r="S59" s="2" t="s">
        <v>194</v>
      </c>
      <c r="T59" s="156" t="s">
        <v>161</v>
      </c>
      <c r="U59" s="132">
        <v>3.3719999999999999</v>
      </c>
      <c r="V59" s="123">
        <v>2263.0320000000002</v>
      </c>
      <c r="W59" s="123">
        <v>7630.9440000000004</v>
      </c>
      <c r="X59" s="138">
        <v>0</v>
      </c>
      <c r="Y59" s="138">
        <v>2.90928539211175E-2</v>
      </c>
      <c r="Z59" s="138">
        <v>4.0468075941514697E-3</v>
      </c>
    </row>
    <row r="60" spans="1:26">
      <c r="A60" s="2">
        <v>161</v>
      </c>
      <c r="B60" s="2">
        <v>9943</v>
      </c>
      <c r="C60" s="2" t="s">
        <v>2882</v>
      </c>
      <c r="D60" s="2" t="s">
        <v>2883</v>
      </c>
      <c r="E60" s="2" t="s">
        <v>33</v>
      </c>
      <c r="F60" s="2" t="s">
        <v>2884</v>
      </c>
      <c r="G60" s="2">
        <v>27970025</v>
      </c>
      <c r="H60" s="2" t="s">
        <v>33</v>
      </c>
      <c r="I60" s="2" t="s">
        <v>1057</v>
      </c>
      <c r="J60" s="2" t="s">
        <v>885</v>
      </c>
      <c r="K60" s="2" t="s">
        <v>85</v>
      </c>
      <c r="L60" s="2" t="s">
        <v>86</v>
      </c>
      <c r="M60" s="2" t="s">
        <v>256</v>
      </c>
      <c r="N60" s="2" t="s">
        <v>86</v>
      </c>
      <c r="O60" s="2" t="s">
        <v>160</v>
      </c>
      <c r="P60" s="155" t="s">
        <v>2885</v>
      </c>
      <c r="Q60" s="2" t="s">
        <v>90</v>
      </c>
      <c r="R60" s="2" t="s">
        <v>925</v>
      </c>
      <c r="S60" s="2" t="s">
        <v>194</v>
      </c>
      <c r="T60" s="156" t="s">
        <v>2635</v>
      </c>
      <c r="U60" s="132">
        <v>3.3719999999999999</v>
      </c>
      <c r="V60" s="123">
        <v>252</v>
      </c>
      <c r="W60" s="123">
        <v>849.74400000000003</v>
      </c>
      <c r="X60" s="138">
        <v>0</v>
      </c>
      <c r="Y60" s="138">
        <v>3.2396356540462801E-3</v>
      </c>
      <c r="Z60" s="138">
        <v>4.5063238562381502E-4</v>
      </c>
    </row>
    <row r="61" spans="1:26">
      <c r="A61" s="2">
        <v>161</v>
      </c>
      <c r="B61" s="2">
        <v>9943</v>
      </c>
      <c r="C61" s="2" t="s">
        <v>2886</v>
      </c>
      <c r="D61" s="2" t="s">
        <v>2887</v>
      </c>
      <c r="E61" s="2" t="s">
        <v>33</v>
      </c>
      <c r="F61" s="2" t="s">
        <v>2888</v>
      </c>
      <c r="G61" s="2">
        <v>27970005</v>
      </c>
      <c r="H61" s="2" t="s">
        <v>33</v>
      </c>
      <c r="I61" s="2" t="s">
        <v>1057</v>
      </c>
      <c r="J61" s="2" t="s">
        <v>887</v>
      </c>
      <c r="K61" s="2" t="s">
        <v>85</v>
      </c>
      <c r="L61" s="2" t="s">
        <v>86</v>
      </c>
      <c r="M61" s="2" t="s">
        <v>2889</v>
      </c>
      <c r="N61" s="2" t="s">
        <v>334</v>
      </c>
      <c r="O61" s="2" t="s">
        <v>160</v>
      </c>
      <c r="P61" s="155" t="s">
        <v>2890</v>
      </c>
      <c r="Q61" s="2" t="s">
        <v>90</v>
      </c>
      <c r="R61" s="2" t="s">
        <v>135</v>
      </c>
      <c r="S61" s="2" t="s">
        <v>927</v>
      </c>
      <c r="T61" s="156" t="s">
        <v>2701</v>
      </c>
      <c r="U61" s="132">
        <v>3.3719999999999999</v>
      </c>
      <c r="V61" s="123">
        <v>2343.6329999999998</v>
      </c>
      <c r="W61" s="123">
        <v>7902.73</v>
      </c>
      <c r="X61" s="138">
        <v>0</v>
      </c>
      <c r="Y61" s="138">
        <v>3.01290350492909E-2</v>
      </c>
      <c r="Z61" s="138">
        <v>4.1909400903918899E-3</v>
      </c>
    </row>
    <row r="62" spans="1:26">
      <c r="A62" s="2">
        <v>161</v>
      </c>
      <c r="B62" s="2">
        <v>9943</v>
      </c>
      <c r="C62" s="2" t="s">
        <v>2891</v>
      </c>
      <c r="D62" s="2" t="s">
        <v>2892</v>
      </c>
      <c r="E62" s="2" t="s">
        <v>33</v>
      </c>
      <c r="F62" s="2" t="s">
        <v>2893</v>
      </c>
      <c r="G62" s="2">
        <v>62007695</v>
      </c>
      <c r="H62" s="2" t="s">
        <v>33</v>
      </c>
      <c r="I62" s="2" t="s">
        <v>1057</v>
      </c>
      <c r="J62" s="2" t="s">
        <v>601</v>
      </c>
      <c r="K62" s="2" t="s">
        <v>85</v>
      </c>
      <c r="L62" s="2" t="s">
        <v>2766</v>
      </c>
      <c r="M62" s="2" t="s">
        <v>2894</v>
      </c>
      <c r="N62" s="2" t="s">
        <v>334</v>
      </c>
      <c r="O62" s="2" t="s">
        <v>160</v>
      </c>
      <c r="P62" s="155" t="s">
        <v>2895</v>
      </c>
      <c r="Q62" s="2" t="s">
        <v>1200</v>
      </c>
      <c r="R62" s="2" t="s">
        <v>135</v>
      </c>
      <c r="S62" s="2" t="s">
        <v>194</v>
      </c>
      <c r="T62" s="156" t="s">
        <v>2635</v>
      </c>
      <c r="U62" s="132">
        <v>3.9552</v>
      </c>
      <c r="V62" s="123">
        <v>721.96600000000001</v>
      </c>
      <c r="W62" s="123">
        <v>2855.5189999999998</v>
      </c>
      <c r="X62" s="138">
        <v>0</v>
      </c>
      <c r="Y62" s="138">
        <v>1.08866198849196E-2</v>
      </c>
      <c r="Z62" s="138">
        <v>1.5143256878265201E-3</v>
      </c>
    </row>
    <row r="63" spans="1:26">
      <c r="A63" s="2">
        <v>161</v>
      </c>
      <c r="B63" s="2">
        <v>9943</v>
      </c>
      <c r="C63" s="2" t="s">
        <v>2896</v>
      </c>
      <c r="D63" s="2" t="s">
        <v>2892</v>
      </c>
      <c r="E63" s="2" t="s">
        <v>33</v>
      </c>
      <c r="F63" s="2" t="s">
        <v>2897</v>
      </c>
      <c r="G63" s="2">
        <v>62011416</v>
      </c>
      <c r="H63" s="2" t="s">
        <v>33</v>
      </c>
      <c r="I63" s="2" t="s">
        <v>1057</v>
      </c>
      <c r="J63" s="2" t="s">
        <v>601</v>
      </c>
      <c r="K63" s="2" t="s">
        <v>85</v>
      </c>
      <c r="L63" s="2" t="s">
        <v>86</v>
      </c>
      <c r="M63" s="2" t="s">
        <v>2898</v>
      </c>
      <c r="N63" s="2" t="s">
        <v>86</v>
      </c>
      <c r="O63" s="2" t="s">
        <v>160</v>
      </c>
      <c r="P63" s="155" t="s">
        <v>2899</v>
      </c>
      <c r="Q63" s="2" t="s">
        <v>90</v>
      </c>
      <c r="R63" s="2" t="s">
        <v>135</v>
      </c>
      <c r="S63" s="2" t="s">
        <v>194</v>
      </c>
      <c r="T63" s="156" t="s">
        <v>161</v>
      </c>
      <c r="U63" s="132">
        <v>3.3719999999999999</v>
      </c>
      <c r="V63" s="123">
        <v>474.32600000000002</v>
      </c>
      <c r="W63" s="123">
        <v>1599.4259999999999</v>
      </c>
      <c r="X63" s="138">
        <v>0</v>
      </c>
      <c r="Y63" s="138">
        <v>6.0977879255325997E-3</v>
      </c>
      <c r="Z63" s="138">
        <v>8.4820054269954504E-4</v>
      </c>
    </row>
    <row r="64" spans="1:26">
      <c r="A64" s="2">
        <v>161</v>
      </c>
      <c r="B64" s="2">
        <v>9943</v>
      </c>
      <c r="C64" s="2" t="s">
        <v>2900</v>
      </c>
      <c r="D64" s="2" t="s">
        <v>2901</v>
      </c>
      <c r="E64" s="2" t="s">
        <v>349</v>
      </c>
      <c r="F64" s="2" t="s">
        <v>2902</v>
      </c>
      <c r="G64" s="2">
        <v>27970036</v>
      </c>
      <c r="H64" s="2" t="s">
        <v>33</v>
      </c>
      <c r="I64" s="2" t="s">
        <v>1057</v>
      </c>
      <c r="J64" s="2" t="s">
        <v>601</v>
      </c>
      <c r="K64" s="2" t="s">
        <v>85</v>
      </c>
      <c r="L64" s="2" t="s">
        <v>86</v>
      </c>
      <c r="M64" s="2" t="s">
        <v>86</v>
      </c>
      <c r="N64" s="2" t="s">
        <v>86</v>
      </c>
      <c r="O64" s="2" t="s">
        <v>160</v>
      </c>
      <c r="P64" s="155" t="s">
        <v>2903</v>
      </c>
      <c r="Q64" s="2" t="s">
        <v>90</v>
      </c>
      <c r="R64" s="2" t="s">
        <v>925</v>
      </c>
      <c r="S64" s="2" t="s">
        <v>194</v>
      </c>
      <c r="T64" s="156" t="s">
        <v>2725</v>
      </c>
      <c r="U64" s="132">
        <v>3.3719999999999999</v>
      </c>
      <c r="V64" s="123">
        <v>382.12700000000001</v>
      </c>
      <c r="W64" s="123">
        <v>1288.5329999999999</v>
      </c>
      <c r="X64" s="138">
        <v>0</v>
      </c>
      <c r="Y64" s="138">
        <v>4.9125110175596096E-3</v>
      </c>
      <c r="Z64" s="138">
        <v>6.8332886646719701E-4</v>
      </c>
    </row>
    <row r="65" spans="1:26">
      <c r="A65" s="2">
        <v>161</v>
      </c>
      <c r="B65" s="2">
        <v>9943</v>
      </c>
      <c r="C65" s="2" t="s">
        <v>2904</v>
      </c>
      <c r="D65" s="2" t="s">
        <v>2905</v>
      </c>
      <c r="E65" s="2" t="s">
        <v>33</v>
      </c>
      <c r="F65" s="2" t="s">
        <v>2906</v>
      </c>
      <c r="G65" s="2">
        <v>27970021</v>
      </c>
      <c r="H65" s="2" t="s">
        <v>33</v>
      </c>
      <c r="I65" s="2" t="s">
        <v>1057</v>
      </c>
      <c r="J65" s="2" t="s">
        <v>873</v>
      </c>
      <c r="K65" s="2" t="s">
        <v>85</v>
      </c>
      <c r="L65" s="2" t="s">
        <v>86</v>
      </c>
      <c r="M65" s="2" t="s">
        <v>86</v>
      </c>
      <c r="N65" s="2" t="s">
        <v>86</v>
      </c>
      <c r="O65" s="2" t="s">
        <v>160</v>
      </c>
      <c r="P65" s="155" t="s">
        <v>2907</v>
      </c>
      <c r="Q65" s="2" t="s">
        <v>90</v>
      </c>
      <c r="R65" s="2" t="s">
        <v>925</v>
      </c>
      <c r="S65" s="2" t="s">
        <v>194</v>
      </c>
      <c r="T65" s="156" t="s">
        <v>2908</v>
      </c>
      <c r="U65" s="132">
        <v>3.3719999999999999</v>
      </c>
      <c r="V65" s="123">
        <v>404.69499999999999</v>
      </c>
      <c r="W65" s="123">
        <v>1364.6320000000001</v>
      </c>
      <c r="X65" s="138">
        <v>0</v>
      </c>
      <c r="Y65" s="138">
        <v>5.2026388846880597E-3</v>
      </c>
      <c r="Z65" s="138">
        <v>7.23685569152806E-4</v>
      </c>
    </row>
    <row r="66" spans="1:26">
      <c r="A66" s="2">
        <v>161</v>
      </c>
      <c r="B66" s="2">
        <v>9943</v>
      </c>
      <c r="C66" s="2" t="s">
        <v>2909</v>
      </c>
      <c r="D66" s="2" t="s">
        <v>2910</v>
      </c>
      <c r="E66" s="2" t="s">
        <v>349</v>
      </c>
      <c r="F66" s="2" t="s">
        <v>2911</v>
      </c>
      <c r="G66" s="2">
        <v>62007091</v>
      </c>
      <c r="H66" s="2" t="s">
        <v>33</v>
      </c>
      <c r="I66" s="2" t="s">
        <v>1057</v>
      </c>
      <c r="J66" s="2" t="s">
        <v>872</v>
      </c>
      <c r="K66" s="2" t="s">
        <v>85</v>
      </c>
      <c r="L66" s="2" t="s">
        <v>2766</v>
      </c>
      <c r="M66" s="2" t="s">
        <v>2912</v>
      </c>
      <c r="N66" s="2" t="s">
        <v>86</v>
      </c>
      <c r="O66" s="2" t="s">
        <v>160</v>
      </c>
      <c r="P66" s="155" t="s">
        <v>2913</v>
      </c>
      <c r="Q66" s="2" t="s">
        <v>90</v>
      </c>
      <c r="R66" s="2" t="s">
        <v>135</v>
      </c>
      <c r="S66" s="2" t="s">
        <v>927</v>
      </c>
      <c r="T66" s="156" t="s">
        <v>2658</v>
      </c>
      <c r="U66" s="132">
        <v>3.3719999999999999</v>
      </c>
      <c r="V66" s="123">
        <v>3100.1570000000002</v>
      </c>
      <c r="W66" s="123">
        <v>10453.728999999999</v>
      </c>
      <c r="X66" s="138">
        <v>4.7130000000000002E-3</v>
      </c>
      <c r="Y66" s="138">
        <v>3.9854678962229703E-2</v>
      </c>
      <c r="Z66" s="138">
        <v>5.5437743551776204E-3</v>
      </c>
    </row>
    <row r="67" spans="1:26">
      <c r="A67" s="2">
        <v>161</v>
      </c>
      <c r="B67" s="2">
        <v>9943</v>
      </c>
      <c r="C67" s="2" t="s">
        <v>2914</v>
      </c>
      <c r="D67" s="2" t="s">
        <v>2915</v>
      </c>
      <c r="E67" s="2" t="s">
        <v>33</v>
      </c>
      <c r="F67" s="2" t="s">
        <v>2914</v>
      </c>
      <c r="G67" s="2">
        <v>27970044</v>
      </c>
      <c r="H67" s="2" t="s">
        <v>33</v>
      </c>
      <c r="I67" s="2" t="s">
        <v>1057</v>
      </c>
      <c r="J67" s="2" t="s">
        <v>601</v>
      </c>
      <c r="K67" s="2" t="s">
        <v>85</v>
      </c>
      <c r="L67" s="2" t="s">
        <v>86</v>
      </c>
      <c r="M67" s="2" t="s">
        <v>2806</v>
      </c>
      <c r="N67" s="2" t="s">
        <v>291</v>
      </c>
      <c r="O67" s="2" t="s">
        <v>160</v>
      </c>
      <c r="P67" s="155" t="s">
        <v>2916</v>
      </c>
      <c r="Q67" s="2" t="s">
        <v>90</v>
      </c>
      <c r="R67" s="2" t="s">
        <v>135</v>
      </c>
      <c r="S67" s="2" t="s">
        <v>927</v>
      </c>
      <c r="T67" s="156" t="s">
        <v>2917</v>
      </c>
      <c r="U67" s="132">
        <v>3.3719999999999999</v>
      </c>
      <c r="V67" s="123">
        <v>1075.28</v>
      </c>
      <c r="W67" s="123">
        <v>3625.8440000000001</v>
      </c>
      <c r="X67" s="138">
        <v>0</v>
      </c>
      <c r="Y67" s="138">
        <v>1.3823475031987199E-2</v>
      </c>
      <c r="Z67" s="138">
        <v>1.9228413922087999E-3</v>
      </c>
    </row>
    <row r="68" spans="1:26">
      <c r="A68" s="2">
        <v>161</v>
      </c>
      <c r="B68" s="2">
        <v>9943</v>
      </c>
      <c r="C68" s="2" t="s">
        <v>2918</v>
      </c>
      <c r="D68" s="2" t="s">
        <v>2919</v>
      </c>
      <c r="E68" s="2" t="s">
        <v>33</v>
      </c>
      <c r="F68" s="2" t="s">
        <v>2920</v>
      </c>
      <c r="G68" s="2">
        <v>27970022</v>
      </c>
      <c r="H68" s="2" t="s">
        <v>33</v>
      </c>
      <c r="I68" s="2" t="s">
        <v>1057</v>
      </c>
      <c r="J68" s="2" t="s">
        <v>885</v>
      </c>
      <c r="K68" s="2" t="s">
        <v>30</v>
      </c>
      <c r="L68" s="2" t="s">
        <v>86</v>
      </c>
      <c r="M68" s="2" t="s">
        <v>30</v>
      </c>
      <c r="N68" s="2" t="s">
        <v>334</v>
      </c>
      <c r="O68" s="2" t="s">
        <v>160</v>
      </c>
      <c r="P68" s="155" t="s">
        <v>2921</v>
      </c>
      <c r="Q68" s="2" t="s">
        <v>90</v>
      </c>
      <c r="R68" s="2" t="s">
        <v>925</v>
      </c>
      <c r="S68" s="2" t="s">
        <v>194</v>
      </c>
      <c r="T68" s="156" t="s">
        <v>2664</v>
      </c>
      <c r="U68" s="132">
        <v>3.3719999999999999</v>
      </c>
      <c r="V68" s="123">
        <v>166.285</v>
      </c>
      <c r="W68" s="123">
        <v>560.71400000000006</v>
      </c>
      <c r="X68" s="138">
        <v>0</v>
      </c>
      <c r="Y68" s="138">
        <v>2.1377148531099401E-3</v>
      </c>
      <c r="Z68" s="138">
        <v>2.9735551985212003E-4</v>
      </c>
    </row>
    <row r="69" spans="1:26">
      <c r="A69" s="2">
        <v>161</v>
      </c>
      <c r="B69" s="2">
        <v>9943</v>
      </c>
      <c r="C69" s="2" t="s">
        <v>2922</v>
      </c>
      <c r="D69" s="2" t="s">
        <v>2923</v>
      </c>
      <c r="E69" s="2" t="s">
        <v>33</v>
      </c>
      <c r="F69" s="2" t="s">
        <v>2924</v>
      </c>
      <c r="G69" s="2">
        <v>27970037</v>
      </c>
      <c r="H69" s="2" t="s">
        <v>33</v>
      </c>
      <c r="I69" s="2" t="s">
        <v>1061</v>
      </c>
      <c r="J69" s="2" t="s">
        <v>873</v>
      </c>
      <c r="K69" s="2" t="s">
        <v>85</v>
      </c>
      <c r="L69" t="s">
        <v>271</v>
      </c>
      <c r="M69" s="2" t="s">
        <v>331</v>
      </c>
      <c r="N69" s="2" t="s">
        <v>331</v>
      </c>
      <c r="O69" s="2" t="s">
        <v>160</v>
      </c>
      <c r="P69" s="155" t="s">
        <v>2925</v>
      </c>
      <c r="Q69" s="2" t="s">
        <v>1204</v>
      </c>
      <c r="R69" s="2" t="s">
        <v>925</v>
      </c>
      <c r="S69" s="2" t="s">
        <v>194</v>
      </c>
      <c r="T69" s="156" t="s">
        <v>2926</v>
      </c>
      <c r="U69" s="132">
        <v>4.6235999999999997</v>
      </c>
      <c r="V69" s="123">
        <v>162.88499999999999</v>
      </c>
      <c r="W69" s="123">
        <v>753.11699999999996</v>
      </c>
      <c r="X69" s="138">
        <v>0</v>
      </c>
      <c r="Y69" s="138">
        <v>2.8712474841461901E-3</v>
      </c>
      <c r="Z69" s="138">
        <v>3.9938969738190498E-4</v>
      </c>
    </row>
    <row r="70" spans="1:26">
      <c r="A70" s="2">
        <v>161</v>
      </c>
      <c r="B70" s="2">
        <v>9943</v>
      </c>
      <c r="C70" s="2" t="s">
        <v>2927</v>
      </c>
      <c r="D70" s="2" t="s">
        <v>2928</v>
      </c>
      <c r="E70" s="2" t="s">
        <v>33</v>
      </c>
      <c r="F70" s="2" t="s">
        <v>2929</v>
      </c>
      <c r="G70" s="2">
        <v>27970030</v>
      </c>
      <c r="H70" s="2" t="s">
        <v>33</v>
      </c>
      <c r="I70" s="2" t="s">
        <v>1057</v>
      </c>
      <c r="J70" s="2" t="s">
        <v>885</v>
      </c>
      <c r="K70" s="2" t="s">
        <v>85</v>
      </c>
      <c r="L70" s="2" t="s">
        <v>2766</v>
      </c>
      <c r="M70" s="2" t="s">
        <v>291</v>
      </c>
      <c r="N70" s="2" t="s">
        <v>331</v>
      </c>
      <c r="O70" s="2" t="s">
        <v>160</v>
      </c>
      <c r="P70" s="155" t="s">
        <v>2930</v>
      </c>
      <c r="Q70" s="2" t="s">
        <v>1200</v>
      </c>
      <c r="R70" s="2" t="s">
        <v>925</v>
      </c>
      <c r="S70" s="2" t="s">
        <v>194</v>
      </c>
      <c r="T70" s="156" t="s">
        <v>2908</v>
      </c>
      <c r="U70" s="132">
        <v>3.9552</v>
      </c>
      <c r="V70" s="123">
        <v>162.69</v>
      </c>
      <c r="W70" s="123">
        <v>643.47199999999998</v>
      </c>
      <c r="X70" s="138">
        <v>0</v>
      </c>
      <c r="Y70" s="138">
        <v>2.45322824858682E-3</v>
      </c>
      <c r="Z70" s="138">
        <v>3.41243342213389E-4</v>
      </c>
    </row>
    <row r="71" spans="1:26">
      <c r="A71" s="2">
        <v>161</v>
      </c>
      <c r="B71" s="2">
        <v>9943</v>
      </c>
      <c r="C71" s="2" t="s">
        <v>2696</v>
      </c>
      <c r="D71" s="2" t="s">
        <v>2697</v>
      </c>
      <c r="E71" s="2" t="s">
        <v>349</v>
      </c>
      <c r="F71" s="2" t="s">
        <v>2931</v>
      </c>
      <c r="G71" s="2">
        <v>27970004</v>
      </c>
      <c r="H71" s="2" t="s">
        <v>33</v>
      </c>
      <c r="I71" s="2" t="s">
        <v>1057</v>
      </c>
      <c r="J71" s="2" t="s">
        <v>872</v>
      </c>
      <c r="K71" s="2" t="s">
        <v>85</v>
      </c>
      <c r="L71" s="2" t="s">
        <v>86</v>
      </c>
      <c r="M71" s="2" t="s">
        <v>2699</v>
      </c>
      <c r="N71" s="2" t="s">
        <v>86</v>
      </c>
      <c r="O71" s="2" t="s">
        <v>160</v>
      </c>
      <c r="P71" s="155" t="s">
        <v>2932</v>
      </c>
      <c r="Q71" s="2" t="s">
        <v>90</v>
      </c>
      <c r="R71" s="2" t="s">
        <v>135</v>
      </c>
      <c r="S71" s="2" t="s">
        <v>927</v>
      </c>
      <c r="T71" s="156" t="s">
        <v>2689</v>
      </c>
      <c r="U71" s="132">
        <v>3.3719999999999999</v>
      </c>
      <c r="V71" s="123">
        <v>173.18299999999999</v>
      </c>
      <c r="W71" s="123">
        <v>583.97400000000005</v>
      </c>
      <c r="X71" s="138">
        <v>0</v>
      </c>
      <c r="Y71" s="138">
        <v>2.2263930013415398E-3</v>
      </c>
      <c r="Z71" s="138">
        <v>3.0969062470886401E-4</v>
      </c>
    </row>
    <row r="72" spans="1:26">
      <c r="A72" s="2">
        <v>161</v>
      </c>
      <c r="B72" s="2">
        <v>9943</v>
      </c>
      <c r="C72" s="2" t="s">
        <v>2696</v>
      </c>
      <c r="D72" s="2" t="s">
        <v>2697</v>
      </c>
      <c r="E72" s="2" t="s">
        <v>349</v>
      </c>
      <c r="F72" s="2" t="s">
        <v>2933</v>
      </c>
      <c r="G72" s="2">
        <v>62007406</v>
      </c>
      <c r="H72" s="2" t="s">
        <v>33</v>
      </c>
      <c r="I72" s="2" t="s">
        <v>1057</v>
      </c>
      <c r="J72" s="2" t="s">
        <v>872</v>
      </c>
      <c r="K72" s="2" t="s">
        <v>85</v>
      </c>
      <c r="L72" s="2" t="s">
        <v>256</v>
      </c>
      <c r="M72" s="2" t="s">
        <v>2699</v>
      </c>
      <c r="N72" s="2" t="s">
        <v>86</v>
      </c>
      <c r="O72" s="2" t="s">
        <v>160</v>
      </c>
      <c r="P72" s="155" t="s">
        <v>2934</v>
      </c>
      <c r="Q72" s="2" t="s">
        <v>90</v>
      </c>
      <c r="R72" s="2" t="s">
        <v>135</v>
      </c>
      <c r="S72" s="2" t="s">
        <v>927</v>
      </c>
      <c r="T72" s="156" t="s">
        <v>161</v>
      </c>
      <c r="U72" s="132">
        <v>3.3719999999999999</v>
      </c>
      <c r="V72" s="123">
        <v>452.49</v>
      </c>
      <c r="W72" s="123">
        <v>1525.7950000000001</v>
      </c>
      <c r="X72" s="138">
        <v>1.6869999999999999E-3</v>
      </c>
      <c r="Y72" s="138">
        <v>5.8170695326826604E-3</v>
      </c>
      <c r="Z72" s="138">
        <v>8.0915269517371205E-4</v>
      </c>
    </row>
    <row r="73" spans="1:26">
      <c r="A73" s="2">
        <v>161</v>
      </c>
      <c r="B73" s="2">
        <v>9943</v>
      </c>
      <c r="C73" s="2" t="s">
        <v>2935</v>
      </c>
      <c r="D73" s="2" t="s">
        <v>2936</v>
      </c>
      <c r="E73" s="2" t="s">
        <v>33</v>
      </c>
      <c r="F73" s="2" t="s">
        <v>2937</v>
      </c>
      <c r="G73" s="2">
        <v>27970035</v>
      </c>
      <c r="H73" s="2" t="s">
        <v>33</v>
      </c>
      <c r="I73" s="2" t="s">
        <v>1057</v>
      </c>
      <c r="J73" s="2" t="s">
        <v>881</v>
      </c>
      <c r="K73" s="2" t="s">
        <v>30</v>
      </c>
      <c r="L73" s="2" t="s">
        <v>30</v>
      </c>
      <c r="M73" s="2" t="s">
        <v>30</v>
      </c>
      <c r="N73" s="2" t="s">
        <v>86</v>
      </c>
      <c r="O73" s="2" t="s">
        <v>160</v>
      </c>
      <c r="P73" s="155" t="s">
        <v>2938</v>
      </c>
      <c r="Q73" s="2" t="s">
        <v>90</v>
      </c>
      <c r="R73" s="2" t="s">
        <v>925</v>
      </c>
      <c r="S73" s="2" t="s">
        <v>927</v>
      </c>
      <c r="T73" s="156" t="s">
        <v>2701</v>
      </c>
      <c r="U73" s="132">
        <v>3.3719999999999999</v>
      </c>
      <c r="V73" s="123">
        <v>58.902000000000001</v>
      </c>
      <c r="W73" s="123">
        <v>198.61699999999999</v>
      </c>
      <c r="X73" s="138">
        <v>0</v>
      </c>
      <c r="Y73" s="138">
        <v>7.5722318398893499E-4</v>
      </c>
      <c r="Z73" s="138">
        <v>1.05329526616489E-4</v>
      </c>
    </row>
  </sheetData>
  <sheetProtection formatColumns="0"/>
  <customSheetViews>
    <customSheetView guid="{AE318230-F718-49FC-82EB-7CAC3DCD05F1}" showGridLines="0" hiddenRows="1" topLeftCell="P1">
      <selection activeCell="Z2" sqref="Z2"/>
      <pageMargins left="0.7" right="0.7" top="0.75" bottom="0.75" header="0.3" footer="0.3"/>
    </customSheetView>
  </customSheetViews>
  <dataValidations count="9">
    <dataValidation type="list" allowBlank="1" showInputMessage="1" showErrorMessage="1" sqref="J2:J20" xr:uid="{00000000-0002-0000-1300-000000000000}">
      <formula1>Fund_Strategy</formula1>
    </dataValidation>
    <dataValidation type="list" allowBlank="1" showInputMessage="1" showErrorMessage="1" sqref="K2:K20" xr:uid="{00000000-0002-0000-1300-000001000000}">
      <formula1>israel_abroad</formula1>
    </dataValidation>
    <dataValidation type="list" allowBlank="1" showInputMessage="1" showErrorMessage="1" sqref="O2:O20" xr:uid="{00000000-0002-0000-1300-000002000000}">
      <formula1>Holding_interest</formula1>
    </dataValidation>
    <dataValidation type="list" allowBlank="1" showInputMessage="1" showErrorMessage="1" sqref="R2:R20" xr:uid="{00000000-0002-0000-1300-000003000000}">
      <formula1>Valuation</formula1>
    </dataValidation>
    <dataValidation type="list" allowBlank="1" showInputMessage="1" showErrorMessage="1" sqref="S2:S20" xr:uid="{00000000-0002-0000-1300-000004000000}">
      <formula1>Dependence_Independence</formula1>
    </dataValidation>
    <dataValidation type="list" allowBlank="1" showInputMessage="1" showErrorMessage="1" sqref="L2:M20" xr:uid="{00000000-0002-0000-1300-000005000000}">
      <formula1>Country_list</formula1>
    </dataValidation>
    <dataValidation type="list" allowBlank="1" showInputMessage="1" showErrorMessage="1" sqref="E2:E20" xr:uid="{00000000-0002-0000-1300-000007000000}">
      <formula1>Issuer_Number_Fund</formula1>
    </dataValidation>
    <dataValidation type="list" allowBlank="1" showInputMessage="1" showErrorMessage="1" sqref="H2:H20" xr:uid="{00000000-0002-0000-1300-000008000000}">
      <formula1>Type_of_Security_ID_Fund</formula1>
    </dataValidation>
    <dataValidation type="list" allowBlank="1" showInputMessage="1" showErrorMessage="1" sqref="N2:N20" xr:uid="{00000000-0002-0000-1300-000009000000}">
      <formula1>Country_list_funds</formula1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A000000}">
          <x14:formula1>
            <xm:f>'אפשרויות בחירה'!$C$956:$C$963</xm:f>
          </x14:formula1>
          <xm:sqref>I2:I24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1"/>
  <dimension ref="A1:AC9"/>
  <sheetViews>
    <sheetView rightToLeft="1" topLeftCell="F1" zoomScale="80" zoomScaleNormal="80" workbookViewId="0">
      <selection activeCell="F3" sqref="F3"/>
    </sheetView>
  </sheetViews>
  <sheetFormatPr defaultColWidth="0" defaultRowHeight="14.25" zeroHeight="1"/>
  <cols>
    <col min="1" max="28" width="11.625" customWidth="1"/>
    <col min="29" max="29" width="11.625" hidden="1" customWidth="1"/>
  </cols>
  <sheetData>
    <row r="1" spans="1:28" ht="66.75" customHeight="1">
      <c r="A1" s="12" t="s">
        <v>0</v>
      </c>
      <c r="B1" s="12" t="s">
        <v>1</v>
      </c>
      <c r="C1" s="12" t="s">
        <v>2</v>
      </c>
      <c r="D1" s="12" t="s">
        <v>167</v>
      </c>
      <c r="E1" s="12" t="s">
        <v>168</v>
      </c>
      <c r="F1" s="12" t="s">
        <v>3</v>
      </c>
      <c r="G1" s="12" t="s">
        <v>4</v>
      </c>
      <c r="H1" s="12" t="s">
        <v>169</v>
      </c>
      <c r="I1" s="12" t="s">
        <v>6</v>
      </c>
      <c r="J1" s="12" t="s">
        <v>7</v>
      </c>
      <c r="K1" s="12" t="s">
        <v>360</v>
      </c>
      <c r="L1" s="12" t="s">
        <v>1140</v>
      </c>
      <c r="M1" s="12" t="s">
        <v>170</v>
      </c>
      <c r="N1" s="153" t="s">
        <v>1141</v>
      </c>
      <c r="O1" s="12" t="s">
        <v>146</v>
      </c>
      <c r="P1" s="153" t="s">
        <v>178</v>
      </c>
      <c r="Q1" s="12" t="s">
        <v>11</v>
      </c>
      <c r="R1" s="12" t="s">
        <v>171</v>
      </c>
      <c r="S1" s="12" t="s">
        <v>172</v>
      </c>
      <c r="T1" s="153" t="s">
        <v>155</v>
      </c>
      <c r="U1" s="142" t="s">
        <v>1142</v>
      </c>
      <c r="V1" s="12" t="s">
        <v>1143</v>
      </c>
      <c r="W1" s="12" t="s">
        <v>17</v>
      </c>
      <c r="X1" s="142" t="s">
        <v>19</v>
      </c>
      <c r="Y1" s="131" t="s">
        <v>18</v>
      </c>
      <c r="Z1" s="12" t="s">
        <v>20</v>
      </c>
      <c r="AA1" s="137" t="s">
        <v>24</v>
      </c>
      <c r="AB1" s="137" t="s">
        <v>25</v>
      </c>
    </row>
    <row r="2" spans="1:28">
      <c r="A2" s="13">
        <v>161</v>
      </c>
      <c r="B2" s="13">
        <v>9938</v>
      </c>
      <c r="C2" s="13" t="s">
        <v>1361</v>
      </c>
      <c r="D2" s="13" t="s">
        <v>1362</v>
      </c>
      <c r="E2" s="11" t="s">
        <v>1351</v>
      </c>
      <c r="F2" s="13" t="s">
        <v>1363</v>
      </c>
      <c r="G2" s="13" t="s">
        <v>1364</v>
      </c>
      <c r="H2" s="13" t="s">
        <v>33</v>
      </c>
      <c r="I2" s="11" t="s">
        <v>30</v>
      </c>
      <c r="J2" s="11" t="s">
        <v>30</v>
      </c>
      <c r="K2" s="13" t="s">
        <v>135</v>
      </c>
      <c r="L2" s="13" t="s">
        <v>1365</v>
      </c>
      <c r="M2" s="13" t="s">
        <v>478</v>
      </c>
      <c r="N2" s="154" t="s">
        <v>1366</v>
      </c>
      <c r="O2" s="13" t="s">
        <v>160</v>
      </c>
      <c r="P2" s="154" t="s">
        <v>1367</v>
      </c>
      <c r="Q2" s="11" t="s">
        <v>34</v>
      </c>
      <c r="R2" s="13" t="s">
        <v>135</v>
      </c>
      <c r="S2" s="13" t="s">
        <v>194</v>
      </c>
      <c r="T2" s="154" t="s">
        <v>161</v>
      </c>
      <c r="U2" s="148">
        <v>0</v>
      </c>
      <c r="V2" s="125">
        <v>0</v>
      </c>
      <c r="W2" s="125">
        <v>150</v>
      </c>
      <c r="X2" s="148">
        <v>117</v>
      </c>
      <c r="Y2" s="147">
        <v>1</v>
      </c>
      <c r="Z2" s="125">
        <v>0.17499999999999999</v>
      </c>
      <c r="AA2" s="146">
        <v>0.95476344402813595</v>
      </c>
      <c r="AB2" s="146">
        <v>2.18840081087937E-6</v>
      </c>
    </row>
    <row r="3" spans="1:28">
      <c r="A3" s="13">
        <v>161</v>
      </c>
      <c r="B3" s="13">
        <v>9938</v>
      </c>
      <c r="C3" s="13" t="s">
        <v>1368</v>
      </c>
      <c r="D3" s="13" t="s">
        <v>1369</v>
      </c>
      <c r="E3" s="11" t="s">
        <v>1351</v>
      </c>
      <c r="F3" s="13" t="s">
        <v>1370</v>
      </c>
      <c r="G3" s="13" t="s">
        <v>1371</v>
      </c>
      <c r="H3" s="13" t="s">
        <v>209</v>
      </c>
      <c r="I3" s="11" t="s">
        <v>30</v>
      </c>
      <c r="J3" s="11" t="s">
        <v>30</v>
      </c>
      <c r="K3" s="13" t="s">
        <v>363</v>
      </c>
      <c r="L3" s="13" t="s">
        <v>1371</v>
      </c>
      <c r="M3" s="13" t="s">
        <v>509</v>
      </c>
      <c r="N3" s="154" t="s">
        <v>1372</v>
      </c>
      <c r="O3" s="13" t="s">
        <v>160</v>
      </c>
      <c r="P3" s="154" t="s">
        <v>1373</v>
      </c>
      <c r="Q3" s="11" t="s">
        <v>34</v>
      </c>
      <c r="R3" s="13" t="s">
        <v>135</v>
      </c>
      <c r="S3" s="13" t="s">
        <v>194</v>
      </c>
      <c r="T3" s="154" t="s">
        <v>1374</v>
      </c>
      <c r="U3" s="148">
        <v>22.5</v>
      </c>
      <c r="V3" s="125">
        <v>1</v>
      </c>
      <c r="W3" s="125">
        <v>1985</v>
      </c>
      <c r="X3" s="148">
        <v>0.41899999999999998</v>
      </c>
      <c r="Y3" s="147">
        <v>1</v>
      </c>
      <c r="Z3" s="125">
        <v>8.0000000000000002E-3</v>
      </c>
      <c r="AA3" s="146">
        <v>4.5236555971864503E-2</v>
      </c>
      <c r="AB3" s="146">
        <v>1.03686118681457E-7</v>
      </c>
    </row>
    <row r="4" spans="1:28">
      <c r="A4" s="13">
        <v>161</v>
      </c>
      <c r="B4" s="13">
        <v>9942</v>
      </c>
      <c r="C4" s="13" t="s">
        <v>1361</v>
      </c>
      <c r="D4" s="13" t="s">
        <v>1362</v>
      </c>
      <c r="E4" s="11" t="s">
        <v>1351</v>
      </c>
      <c r="F4" s="13" t="s">
        <v>1363</v>
      </c>
      <c r="G4" s="13" t="s">
        <v>1364</v>
      </c>
      <c r="H4" s="13" t="s">
        <v>33</v>
      </c>
      <c r="I4" s="11" t="s">
        <v>30</v>
      </c>
      <c r="J4" s="11" t="s">
        <v>30</v>
      </c>
      <c r="K4" s="13" t="s">
        <v>135</v>
      </c>
      <c r="L4" s="13" t="s">
        <v>1365</v>
      </c>
      <c r="M4" s="13" t="s">
        <v>478</v>
      </c>
      <c r="N4" s="154" t="s">
        <v>1366</v>
      </c>
      <c r="O4" s="13" t="s">
        <v>160</v>
      </c>
      <c r="P4" s="154" t="s">
        <v>1367</v>
      </c>
      <c r="Q4" s="11" t="s">
        <v>34</v>
      </c>
      <c r="R4" s="13" t="s">
        <v>135</v>
      </c>
      <c r="S4" s="13" t="s">
        <v>194</v>
      </c>
      <c r="T4" s="154" t="s">
        <v>161</v>
      </c>
      <c r="U4" s="148">
        <v>0</v>
      </c>
      <c r="V4" s="125">
        <v>0</v>
      </c>
      <c r="W4" s="125">
        <v>90</v>
      </c>
      <c r="X4" s="148">
        <v>117</v>
      </c>
      <c r="Y4" s="147">
        <v>1</v>
      </c>
      <c r="Z4" s="125">
        <v>0.105</v>
      </c>
      <c r="AA4" s="146">
        <v>0.88911393969806396</v>
      </c>
      <c r="AB4" s="146">
        <v>1.1089833297642301E-6</v>
      </c>
    </row>
    <row r="5" spans="1:28">
      <c r="A5" s="13">
        <v>161</v>
      </c>
      <c r="B5" s="13">
        <v>9942</v>
      </c>
      <c r="C5" s="13" t="s">
        <v>1368</v>
      </c>
      <c r="D5" s="13" t="s">
        <v>1369</v>
      </c>
      <c r="E5" s="11" t="s">
        <v>1351</v>
      </c>
      <c r="F5" s="13" t="s">
        <v>1370</v>
      </c>
      <c r="G5" s="13" t="s">
        <v>1371</v>
      </c>
      <c r="H5" s="13" t="s">
        <v>209</v>
      </c>
      <c r="I5" s="11" t="s">
        <v>30</v>
      </c>
      <c r="J5" s="11" t="s">
        <v>30</v>
      </c>
      <c r="K5" s="13" t="s">
        <v>363</v>
      </c>
      <c r="L5" s="13" t="s">
        <v>1371</v>
      </c>
      <c r="M5" s="13" t="s">
        <v>509</v>
      </c>
      <c r="N5" s="154" t="s">
        <v>1372</v>
      </c>
      <c r="O5" s="13" t="s">
        <v>160</v>
      </c>
      <c r="P5" s="154" t="s">
        <v>1373</v>
      </c>
      <c r="Q5" s="11" t="s">
        <v>34</v>
      </c>
      <c r="R5" s="13" t="s">
        <v>135</v>
      </c>
      <c r="S5" s="13" t="s">
        <v>194</v>
      </c>
      <c r="T5" s="154" t="s">
        <v>1374</v>
      </c>
      <c r="U5" s="148">
        <v>22.5</v>
      </c>
      <c r="V5" s="125">
        <v>1</v>
      </c>
      <c r="W5" s="125">
        <v>3135</v>
      </c>
      <c r="X5" s="148">
        <v>0.41899999999999998</v>
      </c>
      <c r="Y5" s="147">
        <v>1</v>
      </c>
      <c r="Z5" s="125">
        <v>1.2999999999999999E-2</v>
      </c>
      <c r="AA5" s="146">
        <v>0.110886060301937</v>
      </c>
      <c r="AB5" s="146">
        <v>1.3830712452876301E-7</v>
      </c>
    </row>
    <row r="6" spans="1:28">
      <c r="A6" s="13">
        <v>161</v>
      </c>
      <c r="B6" s="13">
        <v>9943</v>
      </c>
      <c r="C6" s="13" t="s">
        <v>1361</v>
      </c>
      <c r="D6" s="13" t="s">
        <v>1362</v>
      </c>
      <c r="E6" s="11" t="s">
        <v>1351</v>
      </c>
      <c r="F6" s="13" t="s">
        <v>1363</v>
      </c>
      <c r="G6" s="13" t="s">
        <v>1364</v>
      </c>
      <c r="H6" s="13" t="s">
        <v>33</v>
      </c>
      <c r="I6" s="11" t="s">
        <v>30</v>
      </c>
      <c r="J6" s="11" t="s">
        <v>30</v>
      </c>
      <c r="K6" s="13" t="s">
        <v>135</v>
      </c>
      <c r="L6" s="13" t="s">
        <v>1365</v>
      </c>
      <c r="M6" s="13" t="s">
        <v>478</v>
      </c>
      <c r="N6" s="154" t="s">
        <v>1366</v>
      </c>
      <c r="O6" s="13" t="s">
        <v>160</v>
      </c>
      <c r="P6" s="154" t="s">
        <v>1367</v>
      </c>
      <c r="Q6" s="11" t="s">
        <v>34</v>
      </c>
      <c r="R6" s="13" t="s">
        <v>135</v>
      </c>
      <c r="S6" s="13" t="s">
        <v>194</v>
      </c>
      <c r="T6" s="154" t="s">
        <v>161</v>
      </c>
      <c r="U6" s="148">
        <v>0</v>
      </c>
      <c r="V6" s="125">
        <v>0</v>
      </c>
      <c r="W6" s="125">
        <v>1410</v>
      </c>
      <c r="X6" s="148">
        <v>117</v>
      </c>
      <c r="Y6" s="147">
        <v>1</v>
      </c>
      <c r="Z6" s="125">
        <v>1.65</v>
      </c>
      <c r="AA6" s="146">
        <v>0.96800178078059995</v>
      </c>
      <c r="AB6" s="146">
        <v>8.7486142480983403E-7</v>
      </c>
    </row>
    <row r="7" spans="1:28">
      <c r="A7" s="13">
        <v>161</v>
      </c>
      <c r="B7" s="13">
        <v>9943</v>
      </c>
      <c r="C7" s="13" t="s">
        <v>1368</v>
      </c>
      <c r="D7" s="13" t="s">
        <v>1369</v>
      </c>
      <c r="E7" s="11" t="s">
        <v>1351</v>
      </c>
      <c r="F7" s="13" t="s">
        <v>1370</v>
      </c>
      <c r="G7" s="13" t="s">
        <v>1371</v>
      </c>
      <c r="H7" s="13" t="s">
        <v>209</v>
      </c>
      <c r="I7" s="11" t="s">
        <v>30</v>
      </c>
      <c r="J7" s="11" t="s">
        <v>30</v>
      </c>
      <c r="K7" s="13" t="s">
        <v>363</v>
      </c>
      <c r="L7" s="13" t="s">
        <v>1371</v>
      </c>
      <c r="M7" s="13" t="s">
        <v>509</v>
      </c>
      <c r="N7" s="154" t="s">
        <v>1372</v>
      </c>
      <c r="O7" s="13" t="s">
        <v>160</v>
      </c>
      <c r="P7" s="154" t="s">
        <v>1373</v>
      </c>
      <c r="Q7" s="11" t="s">
        <v>34</v>
      </c>
      <c r="R7" s="13" t="s">
        <v>135</v>
      </c>
      <c r="S7" s="13" t="s">
        <v>194</v>
      </c>
      <c r="T7" s="154" t="s">
        <v>1374</v>
      </c>
      <c r="U7" s="148">
        <v>22.5</v>
      </c>
      <c r="V7" s="125">
        <v>1</v>
      </c>
      <c r="W7" s="125">
        <v>13018</v>
      </c>
      <c r="X7" s="148">
        <v>0.41899999999999998</v>
      </c>
      <c r="Y7" s="147">
        <v>1</v>
      </c>
      <c r="Z7" s="125">
        <v>5.5E-2</v>
      </c>
      <c r="AA7" s="146">
        <v>3.1998219219399597E-2</v>
      </c>
      <c r="AB7" s="146">
        <v>2.8919376196898E-8</v>
      </c>
    </row>
    <row r="8" spans="1:28">
      <c r="A8" s="13">
        <v>161</v>
      </c>
      <c r="B8" s="13">
        <v>12468</v>
      </c>
      <c r="C8" s="13" t="s">
        <v>1361</v>
      </c>
      <c r="D8" s="13" t="s">
        <v>1362</v>
      </c>
      <c r="E8" s="11" t="s">
        <v>1351</v>
      </c>
      <c r="F8" s="13" t="s">
        <v>1363</v>
      </c>
      <c r="G8" s="13" t="s">
        <v>1364</v>
      </c>
      <c r="H8" s="13" t="s">
        <v>33</v>
      </c>
      <c r="I8" s="11" t="s">
        <v>30</v>
      </c>
      <c r="J8" s="11" t="s">
        <v>30</v>
      </c>
      <c r="K8" s="13" t="s">
        <v>135</v>
      </c>
      <c r="L8" s="13" t="s">
        <v>1365</v>
      </c>
      <c r="M8" s="13" t="s">
        <v>478</v>
      </c>
      <c r="N8" s="154" t="s">
        <v>1366</v>
      </c>
      <c r="O8" s="13" t="s">
        <v>160</v>
      </c>
      <c r="P8" s="154" t="s">
        <v>1367</v>
      </c>
      <c r="Q8" s="11" t="s">
        <v>34</v>
      </c>
      <c r="R8" s="13" t="s">
        <v>135</v>
      </c>
      <c r="S8" s="13" t="s">
        <v>194</v>
      </c>
      <c r="T8" s="154" t="s">
        <v>161</v>
      </c>
      <c r="U8" s="148">
        <v>0</v>
      </c>
      <c r="V8" s="125">
        <v>0</v>
      </c>
      <c r="W8" s="125">
        <v>51</v>
      </c>
      <c r="X8" s="148">
        <v>117</v>
      </c>
      <c r="Y8" s="147">
        <v>1</v>
      </c>
      <c r="Z8" s="125">
        <v>0.06</v>
      </c>
      <c r="AA8" s="146">
        <v>0.97957562656272201</v>
      </c>
      <c r="AB8" s="146">
        <v>2.8197485818555099E-6</v>
      </c>
    </row>
    <row r="9" spans="1:28">
      <c r="A9" s="13">
        <v>161</v>
      </c>
      <c r="B9" s="13">
        <v>12468</v>
      </c>
      <c r="C9" s="13" t="s">
        <v>1368</v>
      </c>
      <c r="D9" s="13" t="s">
        <v>1369</v>
      </c>
      <c r="E9" s="11" t="s">
        <v>1351</v>
      </c>
      <c r="F9" s="13" t="s">
        <v>1370</v>
      </c>
      <c r="G9" s="13" t="s">
        <v>1371</v>
      </c>
      <c r="H9" s="13" t="s">
        <v>209</v>
      </c>
      <c r="I9" s="11" t="s">
        <v>30</v>
      </c>
      <c r="J9" s="11" t="s">
        <v>30</v>
      </c>
      <c r="K9" s="13" t="s">
        <v>363</v>
      </c>
      <c r="L9" s="13" t="s">
        <v>1371</v>
      </c>
      <c r="M9" s="13" t="s">
        <v>509</v>
      </c>
      <c r="N9" s="154" t="s">
        <v>1372</v>
      </c>
      <c r="O9" s="13" t="s">
        <v>160</v>
      </c>
      <c r="P9" s="154" t="s">
        <v>1373</v>
      </c>
      <c r="Q9" s="11" t="s">
        <v>34</v>
      </c>
      <c r="R9" s="13" t="s">
        <v>135</v>
      </c>
      <c r="S9" s="13" t="s">
        <v>194</v>
      </c>
      <c r="T9" s="154" t="s">
        <v>1374</v>
      </c>
      <c r="U9" s="148">
        <v>22.5</v>
      </c>
      <c r="V9" s="125">
        <v>1</v>
      </c>
      <c r="W9" s="125">
        <v>297</v>
      </c>
      <c r="X9" s="148">
        <v>0.41899999999999998</v>
      </c>
      <c r="Y9" s="147">
        <v>1</v>
      </c>
      <c r="Z9" s="125">
        <v>1E-3</v>
      </c>
      <c r="AA9" s="146">
        <v>2.0424373437277699E-2</v>
      </c>
      <c r="AB9" s="146">
        <v>5.8792395883855201E-8</v>
      </c>
    </row>
  </sheetData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I2:I9" xr:uid="{00000000-0002-0000-1400-000000000000}">
      <formula1>israel_abroad</formula1>
    </dataValidation>
    <dataValidation type="list" allowBlank="1" showInputMessage="1" showErrorMessage="1" sqref="O2:O9" xr:uid="{00000000-0002-0000-1400-000001000000}">
      <formula1>Holding_interest</formula1>
    </dataValidation>
    <dataValidation type="list" allowBlank="1" showInputMessage="1" showErrorMessage="1" sqref="R2:R9" xr:uid="{00000000-0002-0000-1400-000002000000}">
      <formula1>Valuation</formula1>
    </dataValidation>
    <dataValidation type="list" allowBlank="1" showInputMessage="1" showErrorMessage="1" sqref="S2:S9" xr:uid="{00000000-0002-0000-1400-000003000000}">
      <formula1>Dependence_Independence</formula1>
    </dataValidation>
    <dataValidation type="list" allowBlank="1" showInputMessage="1" showErrorMessage="1" sqref="J2:J9" xr:uid="{00000000-0002-0000-1400-000004000000}">
      <formula1>Country_list</formula1>
    </dataValidation>
    <dataValidation type="list" allowBlank="1" showInputMessage="1" showErrorMessage="1" sqref="H2:H9" xr:uid="{00000000-0002-0000-1400-000005000000}">
      <formula1>Type_of_Security_ID</formula1>
    </dataValidation>
    <dataValidation type="list" allowBlank="1" showInputMessage="1" showErrorMessage="1" sqref="E2" xr:uid="{00000000-0002-0000-1400-000006000000}">
      <formula1>Issuer_Number_Type_3</formula1>
    </dataValidation>
    <dataValidation type="list" allowBlank="1" showInputMessage="1" showErrorMessage="1" sqref="E3:E9" xr:uid="{00000000-0002-0000-1400-000007000000}">
      <formula1>Issuer_Number_Type_2</formula1>
    </dataValidation>
    <dataValidation type="list" allowBlank="1" showInputMessage="1" showErrorMessage="1" sqref="M2:M9" xr:uid="{00000000-0002-0000-1400-000008000000}">
      <formula1>Industry_Sector</formula1>
    </dataValidation>
    <dataValidation type="list" allowBlank="1" showInputMessage="1" showErrorMessage="1" sqref="K2:K9" xr:uid="{00000000-0002-0000-1400-000009000000}">
      <formula1>tradeable_status_warrants_v2</formula1>
    </dataValidation>
  </dataValidation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2"/>
  <dimension ref="A1:AC1"/>
  <sheetViews>
    <sheetView rightToLeft="1" zoomScale="70" zoomScaleNormal="70" workbookViewId="0"/>
  </sheetViews>
  <sheetFormatPr defaultColWidth="0" defaultRowHeight="14.25" zeroHeight="1"/>
  <cols>
    <col min="1" max="28" width="11.625" customWidth="1"/>
    <col min="29" max="29" width="11.625" hidden="1" customWidth="1"/>
  </cols>
  <sheetData>
    <row r="1" spans="1:28" ht="66.75" customHeight="1">
      <c r="A1" s="12" t="s">
        <v>0</v>
      </c>
      <c r="B1" s="12" t="s">
        <v>1</v>
      </c>
      <c r="C1" s="12" t="s">
        <v>2</v>
      </c>
      <c r="D1" s="12" t="s">
        <v>167</v>
      </c>
      <c r="E1" s="12" t="s">
        <v>168</v>
      </c>
      <c r="F1" s="12" t="s">
        <v>3</v>
      </c>
      <c r="G1" s="12" t="s">
        <v>4</v>
      </c>
      <c r="H1" s="12" t="s">
        <v>169</v>
      </c>
      <c r="I1" s="12" t="s">
        <v>5</v>
      </c>
      <c r="J1" s="12" t="s">
        <v>6</v>
      </c>
      <c r="K1" s="12" t="s">
        <v>7</v>
      </c>
      <c r="L1" s="12" t="s">
        <v>170</v>
      </c>
      <c r="M1" s="12" t="s">
        <v>202</v>
      </c>
      <c r="N1" s="12" t="s">
        <v>1141</v>
      </c>
      <c r="O1" s="12" t="s">
        <v>146</v>
      </c>
      <c r="P1" s="12" t="s">
        <v>178</v>
      </c>
      <c r="Q1" s="12" t="s">
        <v>11</v>
      </c>
      <c r="R1" s="12" t="s">
        <v>171</v>
      </c>
      <c r="S1" s="12" t="s">
        <v>172</v>
      </c>
      <c r="T1" s="12" t="s">
        <v>155</v>
      </c>
      <c r="U1" s="12" t="s">
        <v>1142</v>
      </c>
      <c r="V1" s="12" t="s">
        <v>1143</v>
      </c>
      <c r="W1" s="12" t="s">
        <v>17</v>
      </c>
      <c r="X1" s="12" t="s">
        <v>19</v>
      </c>
      <c r="Y1" s="12" t="s">
        <v>18</v>
      </c>
      <c r="Z1" s="12" t="s">
        <v>1375</v>
      </c>
      <c r="AA1" s="12" t="s">
        <v>24</v>
      </c>
      <c r="AB1" s="12" t="s">
        <v>25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3"/>
  <dimension ref="A1:AO17"/>
  <sheetViews>
    <sheetView rightToLeft="1" zoomScale="70" zoomScaleNormal="70" workbookViewId="0">
      <selection activeCell="A3" sqref="A3"/>
    </sheetView>
  </sheetViews>
  <sheetFormatPr defaultColWidth="0" defaultRowHeight="14.25" zeroHeight="1"/>
  <cols>
    <col min="1" max="41" width="11.625" customWidth="1"/>
  </cols>
  <sheetData>
    <row r="1" spans="1:41" ht="66.75" customHeight="1">
      <c r="A1" s="12" t="s">
        <v>0</v>
      </c>
      <c r="B1" s="12" t="s">
        <v>1</v>
      </c>
      <c r="C1" s="12" t="s">
        <v>5</v>
      </c>
      <c r="D1" s="12" t="s">
        <v>1156</v>
      </c>
      <c r="E1" s="12" t="s">
        <v>1157</v>
      </c>
      <c r="F1" s="142" t="s">
        <v>18</v>
      </c>
      <c r="G1" s="12" t="s">
        <v>1158</v>
      </c>
      <c r="H1" s="12" t="s">
        <v>1159</v>
      </c>
      <c r="I1" s="133" t="s">
        <v>1160</v>
      </c>
      <c r="J1" s="133" t="s">
        <v>1161</v>
      </c>
      <c r="K1" s="12" t="s">
        <v>1162</v>
      </c>
      <c r="L1" s="12" t="s">
        <v>1163</v>
      </c>
      <c r="M1" s="142" t="s">
        <v>18</v>
      </c>
      <c r="N1" s="12" t="s">
        <v>1164</v>
      </c>
      <c r="O1" s="12" t="s">
        <v>1165</v>
      </c>
      <c r="P1" s="133" t="s">
        <v>1316</v>
      </c>
      <c r="Q1" s="133" t="s">
        <v>1317</v>
      </c>
      <c r="R1" s="12" t="s">
        <v>1318</v>
      </c>
      <c r="S1" s="12" t="s">
        <v>6</v>
      </c>
      <c r="T1" s="12" t="s">
        <v>7</v>
      </c>
      <c r="U1" s="12" t="s">
        <v>1169</v>
      </c>
      <c r="V1" s="12" t="s">
        <v>958</v>
      </c>
      <c r="W1" s="12" t="s">
        <v>965</v>
      </c>
      <c r="X1" s="12" t="s">
        <v>358</v>
      </c>
      <c r="Y1" s="12" t="s">
        <v>146</v>
      </c>
      <c r="Z1" s="12" t="s">
        <v>1170</v>
      </c>
      <c r="AA1" s="12" t="s">
        <v>1171</v>
      </c>
      <c r="AB1" s="12" t="s">
        <v>929</v>
      </c>
      <c r="AC1" s="12" t="s">
        <v>937</v>
      </c>
      <c r="AD1" s="12" t="s">
        <v>1172</v>
      </c>
      <c r="AE1" s="12" t="s">
        <v>955</v>
      </c>
      <c r="AF1" s="12" t="s">
        <v>940</v>
      </c>
      <c r="AG1" s="12" t="s">
        <v>951</v>
      </c>
      <c r="AH1" s="119" t="s">
        <v>1173</v>
      </c>
      <c r="AI1" s="12" t="s">
        <v>1174</v>
      </c>
      <c r="AJ1" s="12" t="s">
        <v>1175</v>
      </c>
      <c r="AK1" s="12" t="s">
        <v>980</v>
      </c>
      <c r="AL1" s="12" t="s">
        <v>1176</v>
      </c>
      <c r="AM1" s="12" t="s">
        <v>1177</v>
      </c>
      <c r="AN1" s="137" t="s">
        <v>24</v>
      </c>
      <c r="AO1" s="137" t="s">
        <v>25</v>
      </c>
    </row>
    <row r="2" spans="1:41">
      <c r="A2" s="5" t="s">
        <v>1319</v>
      </c>
      <c r="B2" s="5" t="s">
        <v>1320</v>
      </c>
      <c r="C2" s="5" t="s">
        <v>1076</v>
      </c>
      <c r="D2" s="1" t="s">
        <v>1321</v>
      </c>
      <c r="E2" s="5" t="s">
        <v>1200</v>
      </c>
      <c r="F2" s="163">
        <v>3.9552</v>
      </c>
      <c r="G2" s="129">
        <v>-125000</v>
      </c>
      <c r="H2" s="122">
        <v>-125.07784688511326</v>
      </c>
      <c r="I2" s="135">
        <v>-2.9399999999999999E-4</v>
      </c>
      <c r="J2" s="164">
        <v>-1.9999999999999999E-6</v>
      </c>
      <c r="K2" s="4" t="s">
        <v>1321</v>
      </c>
      <c r="L2" s="5" t="s">
        <v>34</v>
      </c>
      <c r="M2" s="165">
        <v>1</v>
      </c>
      <c r="N2" s="130">
        <v>501250</v>
      </c>
      <c r="O2" s="130">
        <v>501.25</v>
      </c>
      <c r="P2" s="135">
        <v>6.0000000000000002E-6</v>
      </c>
      <c r="Q2" s="135">
        <v>-3.2699999999999998E-4</v>
      </c>
      <c r="R2" s="129">
        <v>6.5420999999999996</v>
      </c>
      <c r="S2" s="4" t="s">
        <v>30</v>
      </c>
      <c r="T2" s="11" t="s">
        <v>30</v>
      </c>
      <c r="U2" s="5" t="s">
        <v>779</v>
      </c>
      <c r="V2" s="5" t="s">
        <v>960</v>
      </c>
      <c r="W2" s="175" t="s">
        <v>3301</v>
      </c>
      <c r="X2" s="5" t="s">
        <v>1322</v>
      </c>
      <c r="Y2" s="5" t="s">
        <v>160</v>
      </c>
      <c r="Z2" s="1" t="s">
        <v>1323</v>
      </c>
      <c r="AA2" s="17" t="s">
        <v>1324</v>
      </c>
      <c r="AB2" s="5" t="s">
        <v>936</v>
      </c>
      <c r="AC2" s="5" t="s">
        <v>938</v>
      </c>
      <c r="AD2" s="5" t="s">
        <v>374</v>
      </c>
      <c r="AE2" s="5" t="s">
        <v>956</v>
      </c>
      <c r="AF2" s="5" t="s">
        <v>936</v>
      </c>
      <c r="AG2" s="5" t="s">
        <v>936</v>
      </c>
      <c r="AH2" s="121" t="s">
        <v>936</v>
      </c>
      <c r="AI2" s="129">
        <v>4.01</v>
      </c>
      <c r="AJ2" s="4" t="s">
        <v>1325</v>
      </c>
      <c r="AK2" s="5" t="s">
        <v>160</v>
      </c>
      <c r="AL2" s="4" t="s">
        <v>1326</v>
      </c>
      <c r="AM2" s="4" t="s">
        <v>1327</v>
      </c>
      <c r="AN2" s="146">
        <v>-3.8000000000000002E-5</v>
      </c>
      <c r="AO2" s="146">
        <v>0</v>
      </c>
    </row>
    <row r="3" spans="1:41">
      <c r="A3" s="5" t="s">
        <v>1319</v>
      </c>
      <c r="B3" s="5" t="s">
        <v>1320</v>
      </c>
      <c r="C3" s="5" t="s">
        <v>1076</v>
      </c>
      <c r="D3" s="1" t="s">
        <v>1328</v>
      </c>
      <c r="E3" s="5" t="s">
        <v>90</v>
      </c>
      <c r="F3" s="163">
        <v>3.3719999999999999</v>
      </c>
      <c r="G3" s="129">
        <v>550000</v>
      </c>
      <c r="H3" s="122">
        <v>550.07262752075917</v>
      </c>
      <c r="I3" s="135">
        <v>1.294E-3</v>
      </c>
      <c r="J3" s="164">
        <v>6.9999999999999999E-6</v>
      </c>
      <c r="K3" s="4" t="s">
        <v>1328</v>
      </c>
      <c r="L3" s="5" t="s">
        <v>34</v>
      </c>
      <c r="M3" s="165">
        <v>1</v>
      </c>
      <c r="N3" s="130">
        <v>-2035000</v>
      </c>
      <c r="O3" s="130">
        <v>-2035</v>
      </c>
      <c r="P3" s="135">
        <v>-2.5999999999999998E-5</v>
      </c>
      <c r="Q3" s="135">
        <v>1.3270000000000001E-3</v>
      </c>
      <c r="R3" s="129">
        <v>-180.1551</v>
      </c>
      <c r="S3" s="4" t="s">
        <v>30</v>
      </c>
      <c r="T3" s="11" t="s">
        <v>30</v>
      </c>
      <c r="U3" s="5" t="s">
        <v>779</v>
      </c>
      <c r="V3" s="5" t="s">
        <v>960</v>
      </c>
      <c r="W3" s="175" t="s">
        <v>3301</v>
      </c>
      <c r="X3" s="5" t="s">
        <v>1329</v>
      </c>
      <c r="Y3" s="5" t="s">
        <v>160</v>
      </c>
      <c r="Z3" s="1" t="s">
        <v>1323</v>
      </c>
      <c r="AA3" s="17" t="s">
        <v>1324</v>
      </c>
      <c r="AB3" s="5" t="s">
        <v>936</v>
      </c>
      <c r="AC3" s="5" t="s">
        <v>938</v>
      </c>
      <c r="AD3" s="5" t="s">
        <v>374</v>
      </c>
      <c r="AE3" s="5" t="s">
        <v>956</v>
      </c>
      <c r="AF3" s="5" t="s">
        <v>936</v>
      </c>
      <c r="AG3" s="5" t="s">
        <v>936</v>
      </c>
      <c r="AH3" s="120" t="s">
        <v>936</v>
      </c>
      <c r="AI3" s="129">
        <v>3.7</v>
      </c>
      <c r="AJ3" s="5" t="s">
        <v>1325</v>
      </c>
      <c r="AK3" s="5" t="s">
        <v>160</v>
      </c>
      <c r="AL3" s="4" t="s">
        <v>1326</v>
      </c>
      <c r="AM3" s="4" t="s">
        <v>1327</v>
      </c>
      <c r="AN3" s="146">
        <v>1.0380000000000001E-3</v>
      </c>
      <c r="AO3" s="146">
        <v>-1.9999999999999999E-6</v>
      </c>
    </row>
    <row r="4" spans="1:41">
      <c r="A4" s="5" t="s">
        <v>1319</v>
      </c>
      <c r="B4" s="5" t="s">
        <v>1330</v>
      </c>
      <c r="C4" s="5" t="s">
        <v>1076</v>
      </c>
      <c r="D4" s="1" t="s">
        <v>1328</v>
      </c>
      <c r="E4" s="5" t="s">
        <v>90</v>
      </c>
      <c r="F4" s="163">
        <v>3.3719999999999999</v>
      </c>
      <c r="G4" s="129">
        <v>830000</v>
      </c>
      <c r="H4" s="122">
        <v>830.10957888493476</v>
      </c>
      <c r="I4" s="135">
        <v>1.1529999999999999E-3</v>
      </c>
      <c r="J4" s="164">
        <v>9.0000000000000002E-6</v>
      </c>
      <c r="K4" s="4" t="s">
        <v>1328</v>
      </c>
      <c r="L4" s="5" t="s">
        <v>34</v>
      </c>
      <c r="M4" s="165">
        <v>1</v>
      </c>
      <c r="N4" s="130">
        <v>-3071000</v>
      </c>
      <c r="O4" s="130">
        <v>-3071</v>
      </c>
      <c r="P4" s="135">
        <v>-3.3000000000000003E-5</v>
      </c>
      <c r="Q4" s="135">
        <v>1.168E-3</v>
      </c>
      <c r="R4" s="129">
        <v>-271.87049999999999</v>
      </c>
      <c r="S4" s="4" t="s">
        <v>30</v>
      </c>
      <c r="T4" s="11" t="s">
        <v>30</v>
      </c>
      <c r="U4" s="5" t="s">
        <v>779</v>
      </c>
      <c r="V4" s="5" t="s">
        <v>960</v>
      </c>
      <c r="W4" s="175" t="s">
        <v>3301</v>
      </c>
      <c r="X4" s="5" t="s">
        <v>1329</v>
      </c>
      <c r="Y4" s="5" t="s">
        <v>160</v>
      </c>
      <c r="Z4" s="1" t="s">
        <v>1323</v>
      </c>
      <c r="AA4" s="17" t="s">
        <v>1324</v>
      </c>
      <c r="AB4" s="5" t="s">
        <v>936</v>
      </c>
      <c r="AC4" s="5" t="s">
        <v>938</v>
      </c>
      <c r="AD4" s="5" t="s">
        <v>374</v>
      </c>
      <c r="AE4" s="5" t="s">
        <v>956</v>
      </c>
      <c r="AF4" s="5" t="s">
        <v>936</v>
      </c>
      <c r="AG4" s="5" t="s">
        <v>936</v>
      </c>
      <c r="AH4" s="120" t="s">
        <v>936</v>
      </c>
      <c r="AI4" s="129">
        <v>3.7</v>
      </c>
      <c r="AJ4" s="5" t="s">
        <v>1325</v>
      </c>
      <c r="AK4" s="5" t="s">
        <v>160</v>
      </c>
      <c r="AL4" s="4" t="s">
        <v>1326</v>
      </c>
      <c r="AM4" s="4" t="s">
        <v>1327</v>
      </c>
      <c r="AN4" s="146">
        <v>1.0219999999999999E-3</v>
      </c>
      <c r="AO4" s="146">
        <v>-3.0000000000000001E-6</v>
      </c>
    </row>
    <row r="5" spans="1:41">
      <c r="A5" s="5" t="s">
        <v>1319</v>
      </c>
      <c r="B5" s="5" t="s">
        <v>1330</v>
      </c>
      <c r="C5" s="5" t="s">
        <v>1076</v>
      </c>
      <c r="D5" s="1" t="s">
        <v>1321</v>
      </c>
      <c r="E5" s="5" t="s">
        <v>1200</v>
      </c>
      <c r="F5" s="163">
        <v>3.9552</v>
      </c>
      <c r="G5" s="129">
        <v>-110000</v>
      </c>
      <c r="H5" s="122">
        <v>-110.06850475323624</v>
      </c>
      <c r="I5" s="135">
        <v>-1.5300000000000001E-4</v>
      </c>
      <c r="J5" s="164">
        <v>-9.9999999999999995E-7</v>
      </c>
      <c r="K5" s="4" t="s">
        <v>1321</v>
      </c>
      <c r="L5" s="5" t="s">
        <v>34</v>
      </c>
      <c r="M5" s="165">
        <v>1</v>
      </c>
      <c r="N5" s="130">
        <v>441100</v>
      </c>
      <c r="O5" s="130">
        <v>441.1</v>
      </c>
      <c r="P5" s="135">
        <v>5.0000000000000004E-6</v>
      </c>
      <c r="Q5" s="135">
        <v>-1.6799999999999999E-4</v>
      </c>
      <c r="R5" s="129">
        <v>5.7570499999999996</v>
      </c>
      <c r="S5" s="4" t="s">
        <v>30</v>
      </c>
      <c r="T5" s="11" t="s">
        <v>30</v>
      </c>
      <c r="U5" s="5" t="s">
        <v>779</v>
      </c>
      <c r="V5" s="5" t="s">
        <v>960</v>
      </c>
      <c r="W5" s="175" t="s">
        <v>3301</v>
      </c>
      <c r="X5" s="5" t="s">
        <v>1322</v>
      </c>
      <c r="Y5" s="5" t="s">
        <v>160</v>
      </c>
      <c r="Z5" s="1" t="s">
        <v>1323</v>
      </c>
      <c r="AA5" s="17" t="s">
        <v>1324</v>
      </c>
      <c r="AB5" s="5" t="s">
        <v>936</v>
      </c>
      <c r="AC5" s="5" t="s">
        <v>938</v>
      </c>
      <c r="AD5" s="5" t="s">
        <v>374</v>
      </c>
      <c r="AE5" s="5" t="s">
        <v>956</v>
      </c>
      <c r="AF5" s="5" t="s">
        <v>936</v>
      </c>
      <c r="AG5" s="5" t="s">
        <v>936</v>
      </c>
      <c r="AH5" s="120" t="s">
        <v>936</v>
      </c>
      <c r="AI5" s="129">
        <v>4.01</v>
      </c>
      <c r="AJ5" s="5" t="s">
        <v>1325</v>
      </c>
      <c r="AK5" s="5" t="s">
        <v>160</v>
      </c>
      <c r="AL5" s="4" t="s">
        <v>1326</v>
      </c>
      <c r="AM5" s="4" t="s">
        <v>1327</v>
      </c>
      <c r="AN5" s="146">
        <v>-2.1999999999999999E-5</v>
      </c>
      <c r="AO5" s="146">
        <v>0</v>
      </c>
    </row>
    <row r="6" spans="1:41">
      <c r="A6" s="5" t="s">
        <v>1319</v>
      </c>
      <c r="B6" s="5" t="s">
        <v>1331</v>
      </c>
      <c r="C6" s="5" t="s">
        <v>1076</v>
      </c>
      <c r="D6" s="1" t="s">
        <v>1321</v>
      </c>
      <c r="E6" s="5" t="s">
        <v>1200</v>
      </c>
      <c r="F6" s="163">
        <v>3.9552</v>
      </c>
      <c r="G6" s="129">
        <v>-2250000</v>
      </c>
      <c r="H6" s="122">
        <v>-2251.4012464603557</v>
      </c>
      <c r="I6" s="135">
        <v>3.1999999999999999E-5</v>
      </c>
      <c r="J6" s="164">
        <v>-9.9999999999999995E-7</v>
      </c>
      <c r="K6" s="4" t="s">
        <v>1321</v>
      </c>
      <c r="L6" s="5" t="s">
        <v>34</v>
      </c>
      <c r="M6" s="165">
        <v>1</v>
      </c>
      <c r="N6" s="130">
        <v>9022500</v>
      </c>
      <c r="O6" s="130">
        <v>9022.5</v>
      </c>
      <c r="P6" s="135">
        <v>3.9999999999999998E-6</v>
      </c>
      <c r="Q6" s="135">
        <v>3.4999999999999997E-5</v>
      </c>
      <c r="R6" s="129">
        <v>117.75779</v>
      </c>
      <c r="S6" s="4" t="s">
        <v>30</v>
      </c>
      <c r="T6" s="11" t="s">
        <v>30</v>
      </c>
      <c r="U6" s="5" t="s">
        <v>779</v>
      </c>
      <c r="V6" s="5" t="s">
        <v>960</v>
      </c>
      <c r="W6" s="175" t="s">
        <v>3301</v>
      </c>
      <c r="X6" s="5" t="s">
        <v>1322</v>
      </c>
      <c r="Y6" s="5" t="s">
        <v>160</v>
      </c>
      <c r="Z6" s="1" t="s">
        <v>1323</v>
      </c>
      <c r="AA6" s="17" t="s">
        <v>1324</v>
      </c>
      <c r="AB6" s="5" t="s">
        <v>936</v>
      </c>
      <c r="AC6" s="5" t="s">
        <v>938</v>
      </c>
      <c r="AD6" s="5" t="s">
        <v>374</v>
      </c>
      <c r="AE6" s="5" t="s">
        <v>956</v>
      </c>
      <c r="AF6" s="5" t="s">
        <v>936</v>
      </c>
      <c r="AG6" s="5" t="s">
        <v>936</v>
      </c>
      <c r="AH6" s="120" t="s">
        <v>936</v>
      </c>
      <c r="AI6" s="129">
        <v>4.01</v>
      </c>
      <c r="AJ6" s="5" t="s">
        <v>1325</v>
      </c>
      <c r="AK6" s="5" t="s">
        <v>160</v>
      </c>
      <c r="AL6" s="4" t="s">
        <v>1326</v>
      </c>
      <c r="AM6" s="4" t="s">
        <v>1327</v>
      </c>
      <c r="AN6" s="146">
        <v>6.0000000000000002E-6</v>
      </c>
      <c r="AO6" s="146">
        <v>0</v>
      </c>
    </row>
    <row r="7" spans="1:41">
      <c r="A7" s="5" t="s">
        <v>1319</v>
      </c>
      <c r="B7" s="5" t="s">
        <v>1331</v>
      </c>
      <c r="C7" s="5" t="s">
        <v>1076</v>
      </c>
      <c r="D7" s="1" t="s">
        <v>1328</v>
      </c>
      <c r="E7" s="5" t="s">
        <v>90</v>
      </c>
      <c r="F7" s="163">
        <v>3.3719999999999999</v>
      </c>
      <c r="G7" s="129">
        <v>-17098500</v>
      </c>
      <c r="H7" s="122">
        <v>-17100.757081850534</v>
      </c>
      <c r="I7" s="135">
        <v>2.4499999999999999E-4</v>
      </c>
      <c r="J7" s="164">
        <v>-9.0000000000000002E-6</v>
      </c>
      <c r="K7" s="4" t="s">
        <v>1328</v>
      </c>
      <c r="L7" s="5" t="s">
        <v>34</v>
      </c>
      <c r="M7" s="165">
        <v>1</v>
      </c>
      <c r="N7" s="130">
        <v>63264450</v>
      </c>
      <c r="O7" s="130">
        <v>63264.45</v>
      </c>
      <c r="P7" s="135">
        <v>2.9E-5</v>
      </c>
      <c r="Q7" s="135">
        <v>2.4399999999999999E-4</v>
      </c>
      <c r="R7" s="129">
        <v>5600.6971199999998</v>
      </c>
      <c r="S7" s="4" t="s">
        <v>30</v>
      </c>
      <c r="T7" s="11" t="s">
        <v>30</v>
      </c>
      <c r="U7" s="5" t="s">
        <v>779</v>
      </c>
      <c r="V7" s="5" t="s">
        <v>960</v>
      </c>
      <c r="W7" s="175" t="s">
        <v>3301</v>
      </c>
      <c r="X7" s="5" t="s">
        <v>1329</v>
      </c>
      <c r="Y7" s="5" t="s">
        <v>160</v>
      </c>
      <c r="Z7" s="1" t="s">
        <v>1323</v>
      </c>
      <c r="AA7" s="17" t="s">
        <v>1324</v>
      </c>
      <c r="AB7" s="5" t="s">
        <v>936</v>
      </c>
      <c r="AC7" s="5" t="s">
        <v>938</v>
      </c>
      <c r="AD7" s="5" t="s">
        <v>374</v>
      </c>
      <c r="AE7" s="5" t="s">
        <v>956</v>
      </c>
      <c r="AF7" s="5" t="s">
        <v>936</v>
      </c>
      <c r="AG7" s="5" t="s">
        <v>936</v>
      </c>
      <c r="AH7" s="120" t="s">
        <v>936</v>
      </c>
      <c r="AI7" s="129">
        <v>3.7</v>
      </c>
      <c r="AJ7" s="5" t="s">
        <v>1325</v>
      </c>
      <c r="AK7" s="5" t="s">
        <v>160</v>
      </c>
      <c r="AL7" s="4" t="s">
        <v>1326</v>
      </c>
      <c r="AM7" s="4" t="s">
        <v>1327</v>
      </c>
      <c r="AN7" s="146">
        <v>2.6800000000000001E-4</v>
      </c>
      <c r="AO7" s="146">
        <v>3.0000000000000001E-6</v>
      </c>
    </row>
    <row r="8" spans="1:41">
      <c r="A8" s="5" t="s">
        <v>1319</v>
      </c>
      <c r="B8" s="5" t="s">
        <v>1331</v>
      </c>
      <c r="C8" s="5" t="s">
        <v>1076</v>
      </c>
      <c r="D8" s="1" t="s">
        <v>1332</v>
      </c>
      <c r="E8" s="5" t="s">
        <v>90</v>
      </c>
      <c r="F8" s="163">
        <v>3.3719999999999999</v>
      </c>
      <c r="G8" s="129">
        <v>-18338500</v>
      </c>
      <c r="H8" s="122">
        <v>-18340.482203440097</v>
      </c>
      <c r="I8" s="135">
        <v>2.63E-4</v>
      </c>
      <c r="J8" s="164">
        <v>-1.0000000000000001E-5</v>
      </c>
      <c r="K8" s="4" t="s">
        <v>1332</v>
      </c>
      <c r="L8" s="5" t="s">
        <v>34</v>
      </c>
      <c r="M8" s="165">
        <v>1</v>
      </c>
      <c r="N8" s="130">
        <v>68650174.700000003</v>
      </c>
      <c r="O8" s="130">
        <v>68650.174700000003</v>
      </c>
      <c r="P8" s="135">
        <v>3.1999999999999999E-5</v>
      </c>
      <c r="Q8" s="135">
        <v>2.6499999999999999E-4</v>
      </c>
      <c r="R8" s="129">
        <v>6806.0687099999996</v>
      </c>
      <c r="S8" s="4" t="s">
        <v>30</v>
      </c>
      <c r="T8" s="11" t="s">
        <v>30</v>
      </c>
      <c r="U8" s="5" t="s">
        <v>779</v>
      </c>
      <c r="V8" s="5" t="s">
        <v>960</v>
      </c>
      <c r="W8" s="175" t="s">
        <v>3301</v>
      </c>
      <c r="X8" s="5" t="s">
        <v>1329</v>
      </c>
      <c r="Y8" s="5" t="s">
        <v>160</v>
      </c>
      <c r="Z8" s="1" t="s">
        <v>1333</v>
      </c>
      <c r="AA8" s="17" t="s">
        <v>1334</v>
      </c>
      <c r="AB8" s="5" t="s">
        <v>936</v>
      </c>
      <c r="AC8" s="5" t="s">
        <v>938</v>
      </c>
      <c r="AD8" s="5" t="s">
        <v>374</v>
      </c>
      <c r="AE8" s="5" t="s">
        <v>956</v>
      </c>
      <c r="AF8" s="5" t="s">
        <v>936</v>
      </c>
      <c r="AG8" s="5" t="s">
        <v>936</v>
      </c>
      <c r="AH8" s="120" t="s">
        <v>936</v>
      </c>
      <c r="AI8" s="129">
        <v>3.7435</v>
      </c>
      <c r="AJ8" s="5" t="s">
        <v>1325</v>
      </c>
      <c r="AK8" s="5" t="s">
        <v>160</v>
      </c>
      <c r="AL8" s="4" t="s">
        <v>1326</v>
      </c>
      <c r="AM8" s="4" t="s">
        <v>1327</v>
      </c>
      <c r="AN8" s="146">
        <v>3.2600000000000001E-4</v>
      </c>
      <c r="AO8" s="146">
        <v>3.9999999999999998E-6</v>
      </c>
    </row>
    <row r="9" spans="1:41">
      <c r="A9" s="5" t="s">
        <v>1319</v>
      </c>
      <c r="B9" s="5" t="s">
        <v>1331</v>
      </c>
      <c r="C9" s="5" t="s">
        <v>1076</v>
      </c>
      <c r="D9" s="1" t="s">
        <v>1335</v>
      </c>
      <c r="E9" s="5" t="s">
        <v>90</v>
      </c>
      <c r="F9" s="163">
        <v>3.3719999999999999</v>
      </c>
      <c r="G9" s="129">
        <v>-1300000</v>
      </c>
      <c r="H9" s="122">
        <v>-1300.0434371293002</v>
      </c>
      <c r="I9" s="135">
        <v>1.9000000000000001E-5</v>
      </c>
      <c r="J9" s="164">
        <v>-9.9999999999999995E-7</v>
      </c>
      <c r="K9" s="4" t="s">
        <v>1335</v>
      </c>
      <c r="L9" s="5" t="s">
        <v>34</v>
      </c>
      <c r="M9" s="165">
        <v>1</v>
      </c>
      <c r="N9" s="130">
        <v>4418310</v>
      </c>
      <c r="O9" s="130">
        <v>4418.3100000000004</v>
      </c>
      <c r="P9" s="135">
        <v>1.9999999999999999E-6</v>
      </c>
      <c r="Q9" s="135">
        <v>1.7E-5</v>
      </c>
      <c r="R9" s="129">
        <v>34.56353</v>
      </c>
      <c r="S9" s="4" t="s">
        <v>30</v>
      </c>
      <c r="T9" s="11" t="s">
        <v>30</v>
      </c>
      <c r="U9" s="5" t="s">
        <v>779</v>
      </c>
      <c r="V9" s="5" t="s">
        <v>960</v>
      </c>
      <c r="W9" s="175" t="s">
        <v>3301</v>
      </c>
      <c r="X9" s="5" t="s">
        <v>1329</v>
      </c>
      <c r="Y9" s="5" t="s">
        <v>160</v>
      </c>
      <c r="Z9" s="1" t="s">
        <v>1336</v>
      </c>
      <c r="AA9" s="17" t="s">
        <v>1324</v>
      </c>
      <c r="AB9" s="5" t="s">
        <v>936</v>
      </c>
      <c r="AC9" s="5" t="s">
        <v>938</v>
      </c>
      <c r="AD9" s="5" t="s">
        <v>374</v>
      </c>
      <c r="AE9" s="5" t="s">
        <v>956</v>
      </c>
      <c r="AF9" s="5" t="s">
        <v>936</v>
      </c>
      <c r="AG9" s="5" t="s">
        <v>936</v>
      </c>
      <c r="AH9" s="120" t="s">
        <v>936</v>
      </c>
      <c r="AI9" s="129">
        <v>3.3986999999999998</v>
      </c>
      <c r="AJ9" s="5" t="s">
        <v>1325</v>
      </c>
      <c r="AK9" s="5" t="s">
        <v>160</v>
      </c>
      <c r="AL9" s="4" t="s">
        <v>1326</v>
      </c>
      <c r="AM9" s="4" t="s">
        <v>1327</v>
      </c>
      <c r="AN9" s="146">
        <v>1.9999999999999999E-6</v>
      </c>
      <c r="AO9" s="146">
        <v>0</v>
      </c>
    </row>
    <row r="10" spans="1:41">
      <c r="A10" s="5" t="s">
        <v>1319</v>
      </c>
      <c r="B10" s="5" t="s">
        <v>1331</v>
      </c>
      <c r="C10" s="5" t="s">
        <v>1076</v>
      </c>
      <c r="D10" s="1" t="s">
        <v>1337</v>
      </c>
      <c r="E10" s="5" t="s">
        <v>90</v>
      </c>
      <c r="F10" s="163">
        <v>3.3719999999999999</v>
      </c>
      <c r="G10" s="129">
        <v>3000000</v>
      </c>
      <c r="H10" s="122">
        <v>3000.3071767497036</v>
      </c>
      <c r="I10" s="135">
        <v>-4.3000000000000002E-5</v>
      </c>
      <c r="J10" s="164">
        <v>1.9999999999999999E-6</v>
      </c>
      <c r="K10" s="4" t="s">
        <v>1337</v>
      </c>
      <c r="L10" s="5" t="s">
        <v>34</v>
      </c>
      <c r="M10" s="165">
        <v>1</v>
      </c>
      <c r="N10" s="130">
        <v>-10828500</v>
      </c>
      <c r="O10" s="130">
        <v>-10828.5</v>
      </c>
      <c r="P10" s="135">
        <v>-5.0000000000000004E-6</v>
      </c>
      <c r="Q10" s="135">
        <v>-4.1999999999999998E-5</v>
      </c>
      <c r="R10" s="129">
        <v>-711.46420000000001</v>
      </c>
      <c r="S10" s="4" t="s">
        <v>30</v>
      </c>
      <c r="T10" s="11" t="s">
        <v>30</v>
      </c>
      <c r="U10" s="5" t="s">
        <v>779</v>
      </c>
      <c r="V10" s="5" t="s">
        <v>960</v>
      </c>
      <c r="W10" s="175" t="s">
        <v>3301</v>
      </c>
      <c r="X10" s="5" t="s">
        <v>1329</v>
      </c>
      <c r="Y10" s="5" t="s">
        <v>160</v>
      </c>
      <c r="Z10" s="1" t="s">
        <v>1338</v>
      </c>
      <c r="AA10" s="17" t="s">
        <v>1324</v>
      </c>
      <c r="AB10" s="5" t="s">
        <v>936</v>
      </c>
      <c r="AC10" s="5" t="s">
        <v>938</v>
      </c>
      <c r="AD10" s="5" t="s">
        <v>374</v>
      </c>
      <c r="AE10" s="5" t="s">
        <v>956</v>
      </c>
      <c r="AF10" s="5" t="s">
        <v>936</v>
      </c>
      <c r="AG10" s="5" t="s">
        <v>936</v>
      </c>
      <c r="AH10" s="120" t="s">
        <v>936</v>
      </c>
      <c r="AI10" s="129">
        <v>3.6095000000000002</v>
      </c>
      <c r="AJ10" s="5" t="s">
        <v>1325</v>
      </c>
      <c r="AK10" s="5" t="s">
        <v>160</v>
      </c>
      <c r="AL10" s="4" t="s">
        <v>1326</v>
      </c>
      <c r="AM10" s="4" t="s">
        <v>1327</v>
      </c>
      <c r="AN10" s="146">
        <v>-3.4E-5</v>
      </c>
      <c r="AO10" s="146">
        <v>0</v>
      </c>
    </row>
    <row r="11" spans="1:41">
      <c r="A11" s="5" t="s">
        <v>1319</v>
      </c>
      <c r="B11" s="5" t="s">
        <v>1331</v>
      </c>
      <c r="C11" s="5" t="s">
        <v>1076</v>
      </c>
      <c r="D11" s="1" t="s">
        <v>1339</v>
      </c>
      <c r="E11" s="5" t="s">
        <v>90</v>
      </c>
      <c r="F11" s="163">
        <v>3.3719999999999999</v>
      </c>
      <c r="G11" s="129">
        <v>-5100000</v>
      </c>
      <c r="H11" s="122">
        <v>-5099.3860023724792</v>
      </c>
      <c r="I11" s="135">
        <v>7.2999999999999999E-5</v>
      </c>
      <c r="J11" s="164">
        <v>-3.0000000000000001E-6</v>
      </c>
      <c r="K11" s="4" t="s">
        <v>1339</v>
      </c>
      <c r="L11" s="5" t="s">
        <v>34</v>
      </c>
      <c r="M11" s="165">
        <v>1</v>
      </c>
      <c r="N11" s="130">
        <v>17187000</v>
      </c>
      <c r="O11" s="130">
        <v>17187</v>
      </c>
      <c r="P11" s="135">
        <v>7.9999999999999996E-6</v>
      </c>
      <c r="Q11" s="135">
        <v>6.6000000000000005E-5</v>
      </c>
      <c r="R11" s="129">
        <v>-8.1295999999999999</v>
      </c>
      <c r="S11" s="4" t="s">
        <v>30</v>
      </c>
      <c r="T11" s="11" t="s">
        <v>30</v>
      </c>
      <c r="U11" s="5" t="s">
        <v>779</v>
      </c>
      <c r="V11" s="5" t="s">
        <v>960</v>
      </c>
      <c r="W11" s="175" t="s">
        <v>3301</v>
      </c>
      <c r="X11" s="5" t="s">
        <v>1329</v>
      </c>
      <c r="Y11" s="5" t="s">
        <v>160</v>
      </c>
      <c r="Z11" s="1" t="s">
        <v>161</v>
      </c>
      <c r="AA11" s="17" t="s">
        <v>1340</v>
      </c>
      <c r="AB11" s="5" t="s">
        <v>936</v>
      </c>
      <c r="AC11" s="5" t="s">
        <v>938</v>
      </c>
      <c r="AD11" s="5" t="s">
        <v>374</v>
      </c>
      <c r="AE11" s="5" t="s">
        <v>956</v>
      </c>
      <c r="AF11" s="5" t="s">
        <v>936</v>
      </c>
      <c r="AG11" s="5" t="s">
        <v>936</v>
      </c>
      <c r="AH11" s="120" t="s">
        <v>936</v>
      </c>
      <c r="AI11" s="129">
        <v>3.37</v>
      </c>
      <c r="AJ11" s="5" t="s">
        <v>1325</v>
      </c>
      <c r="AK11" s="5" t="s">
        <v>160</v>
      </c>
      <c r="AL11" s="4" t="s">
        <v>1326</v>
      </c>
      <c r="AM11" s="4" t="s">
        <v>1327</v>
      </c>
      <c r="AN11" s="146">
        <v>0</v>
      </c>
      <c r="AO11" s="146">
        <v>0</v>
      </c>
    </row>
    <row r="12" spans="1:41">
      <c r="A12" s="5" t="s">
        <v>1319</v>
      </c>
      <c r="B12" s="5" t="s">
        <v>1331</v>
      </c>
      <c r="C12" s="5" t="s">
        <v>1076</v>
      </c>
      <c r="D12" s="1" t="s">
        <v>1328</v>
      </c>
      <c r="E12" s="5" t="s">
        <v>90</v>
      </c>
      <c r="F12" s="163">
        <v>3.3719999999999999</v>
      </c>
      <c r="G12" s="129">
        <v>-12750000</v>
      </c>
      <c r="H12" s="122">
        <v>-12751.683057532622</v>
      </c>
      <c r="I12" s="135">
        <v>1.83E-4</v>
      </c>
      <c r="J12" s="164">
        <v>-6.9999999999999999E-6</v>
      </c>
      <c r="K12" s="4" t="s">
        <v>1328</v>
      </c>
      <c r="L12" s="5" t="s">
        <v>34</v>
      </c>
      <c r="M12" s="165">
        <v>1</v>
      </c>
      <c r="N12" s="130">
        <v>47175000</v>
      </c>
      <c r="O12" s="130">
        <v>47175</v>
      </c>
      <c r="P12" s="135">
        <v>2.1999999999999999E-5</v>
      </c>
      <c r="Q12" s="135">
        <v>1.8200000000000001E-4</v>
      </c>
      <c r="R12" s="129">
        <v>4176.3247300000003</v>
      </c>
      <c r="S12" s="4" t="s">
        <v>30</v>
      </c>
      <c r="T12" s="11" t="s">
        <v>30</v>
      </c>
      <c r="U12" s="5" t="s">
        <v>779</v>
      </c>
      <c r="V12" s="5" t="s">
        <v>960</v>
      </c>
      <c r="W12" s="175" t="s">
        <v>3301</v>
      </c>
      <c r="X12" s="5" t="s">
        <v>1329</v>
      </c>
      <c r="Y12" s="5" t="s">
        <v>160</v>
      </c>
      <c r="Z12" s="1" t="s">
        <v>1323</v>
      </c>
      <c r="AA12" s="17" t="s">
        <v>1324</v>
      </c>
      <c r="AB12" s="5" t="s">
        <v>936</v>
      </c>
      <c r="AC12" s="5" t="s">
        <v>938</v>
      </c>
      <c r="AD12" s="5" t="s">
        <v>374</v>
      </c>
      <c r="AE12" s="5" t="s">
        <v>956</v>
      </c>
      <c r="AF12" s="5" t="s">
        <v>936</v>
      </c>
      <c r="AG12" s="5" t="s">
        <v>936</v>
      </c>
      <c r="AH12" s="120" t="s">
        <v>936</v>
      </c>
      <c r="AI12" s="129">
        <v>3.7</v>
      </c>
      <c r="AJ12" s="5" t="s">
        <v>1325</v>
      </c>
      <c r="AK12" s="5" t="s">
        <v>160</v>
      </c>
      <c r="AL12" s="4" t="s">
        <v>1326</v>
      </c>
      <c r="AM12" s="4" t="s">
        <v>1327</v>
      </c>
      <c r="AN12" s="146">
        <v>2.0000000000000001E-4</v>
      </c>
      <c r="AO12" s="146">
        <v>1.9999999999999999E-6</v>
      </c>
    </row>
    <row r="13" spans="1:41">
      <c r="A13" s="5" t="s">
        <v>1319</v>
      </c>
      <c r="B13" s="5" t="s">
        <v>1331</v>
      </c>
      <c r="C13" s="5" t="s">
        <v>1076</v>
      </c>
      <c r="D13" s="1" t="s">
        <v>1321</v>
      </c>
      <c r="E13" s="5" t="s">
        <v>1200</v>
      </c>
      <c r="F13" s="163">
        <v>3.9552</v>
      </c>
      <c r="G13" s="129">
        <v>-3070000</v>
      </c>
      <c r="H13" s="122">
        <v>-3071.9119235436897</v>
      </c>
      <c r="I13" s="135">
        <v>4.3999999999999999E-5</v>
      </c>
      <c r="J13" s="164">
        <v>-1.9999999999999999E-6</v>
      </c>
      <c r="K13" s="4" t="s">
        <v>1321</v>
      </c>
      <c r="L13" s="5" t="s">
        <v>34</v>
      </c>
      <c r="M13" s="165">
        <v>1</v>
      </c>
      <c r="N13" s="130">
        <v>12310700</v>
      </c>
      <c r="O13" s="130">
        <v>12310.7</v>
      </c>
      <c r="P13" s="135">
        <v>6.0000000000000002E-6</v>
      </c>
      <c r="Q13" s="135">
        <v>4.8000000000000001E-5</v>
      </c>
      <c r="R13" s="129">
        <v>160.67395999999999</v>
      </c>
      <c r="S13" s="4" t="s">
        <v>30</v>
      </c>
      <c r="T13" s="11" t="s">
        <v>30</v>
      </c>
      <c r="U13" s="5" t="s">
        <v>779</v>
      </c>
      <c r="V13" s="5" t="s">
        <v>960</v>
      </c>
      <c r="W13" s="175" t="s">
        <v>3301</v>
      </c>
      <c r="X13" s="5" t="s">
        <v>1322</v>
      </c>
      <c r="Y13" s="5" t="s">
        <v>160</v>
      </c>
      <c r="Z13" s="1" t="s">
        <v>1323</v>
      </c>
      <c r="AA13" s="17" t="s">
        <v>1324</v>
      </c>
      <c r="AB13" s="5" t="s">
        <v>936</v>
      </c>
      <c r="AC13" s="5" t="s">
        <v>938</v>
      </c>
      <c r="AD13" s="5" t="s">
        <v>374</v>
      </c>
      <c r="AE13" s="5" t="s">
        <v>956</v>
      </c>
      <c r="AF13" s="5" t="s">
        <v>936</v>
      </c>
      <c r="AG13" s="5" t="s">
        <v>936</v>
      </c>
      <c r="AH13" s="120" t="s">
        <v>936</v>
      </c>
      <c r="AI13" s="129">
        <v>4.01</v>
      </c>
      <c r="AJ13" s="5" t="s">
        <v>1325</v>
      </c>
      <c r="AK13" s="5" t="s">
        <v>160</v>
      </c>
      <c r="AL13" s="4" t="s">
        <v>1326</v>
      </c>
      <c r="AM13" s="4" t="s">
        <v>1327</v>
      </c>
      <c r="AN13" s="146">
        <v>7.9999999999999996E-6</v>
      </c>
      <c r="AO13" s="146">
        <v>0</v>
      </c>
    </row>
    <row r="14" spans="1:41">
      <c r="A14" s="5" t="s">
        <v>1319</v>
      </c>
      <c r="B14" s="5" t="s">
        <v>1331</v>
      </c>
      <c r="C14" s="5" t="s">
        <v>1076</v>
      </c>
      <c r="D14" s="1" t="s">
        <v>1332</v>
      </c>
      <c r="E14" s="5" t="s">
        <v>90</v>
      </c>
      <c r="F14" s="163">
        <v>3.3719999999999999</v>
      </c>
      <c r="G14" s="129">
        <v>-12750000</v>
      </c>
      <c r="H14" s="122">
        <v>-12751.378152431791</v>
      </c>
      <c r="I14" s="135">
        <v>1.83E-4</v>
      </c>
      <c r="J14" s="164">
        <v>-6.9999999999999999E-6</v>
      </c>
      <c r="K14" s="4" t="s">
        <v>1332</v>
      </c>
      <c r="L14" s="5" t="s">
        <v>34</v>
      </c>
      <c r="M14" s="165">
        <v>1</v>
      </c>
      <c r="N14" s="130">
        <v>47729625</v>
      </c>
      <c r="O14" s="130">
        <v>47729.625</v>
      </c>
      <c r="P14" s="135">
        <v>2.1999999999999999E-5</v>
      </c>
      <c r="Q14" s="135">
        <v>1.84E-4</v>
      </c>
      <c r="R14" s="129">
        <v>4731.9778699999997</v>
      </c>
      <c r="S14" s="4" t="s">
        <v>30</v>
      </c>
      <c r="T14" s="11" t="s">
        <v>30</v>
      </c>
      <c r="U14" s="5" t="s">
        <v>779</v>
      </c>
      <c r="V14" s="5" t="s">
        <v>960</v>
      </c>
      <c r="W14" s="175" t="s">
        <v>3301</v>
      </c>
      <c r="X14" s="5" t="s">
        <v>1329</v>
      </c>
      <c r="Y14" s="5" t="s">
        <v>160</v>
      </c>
      <c r="Z14" s="1" t="s">
        <v>1333</v>
      </c>
      <c r="AA14" s="17" t="s">
        <v>1334</v>
      </c>
      <c r="AB14" s="5" t="s">
        <v>936</v>
      </c>
      <c r="AC14" s="5" t="s">
        <v>938</v>
      </c>
      <c r="AD14" s="5" t="s">
        <v>374</v>
      </c>
      <c r="AE14" s="5" t="s">
        <v>956</v>
      </c>
      <c r="AF14" s="5" t="s">
        <v>936</v>
      </c>
      <c r="AG14" s="5" t="s">
        <v>936</v>
      </c>
      <c r="AH14" s="120" t="s">
        <v>936</v>
      </c>
      <c r="AI14" s="129">
        <v>3.7435</v>
      </c>
      <c r="AJ14" s="5" t="s">
        <v>1325</v>
      </c>
      <c r="AK14" s="5" t="s">
        <v>160</v>
      </c>
      <c r="AL14" s="4" t="s">
        <v>1326</v>
      </c>
      <c r="AM14" s="4" t="s">
        <v>1327</v>
      </c>
      <c r="AN14" s="146">
        <v>2.2599999999999999E-4</v>
      </c>
      <c r="AO14" s="146">
        <v>1.9999999999999999E-6</v>
      </c>
    </row>
    <row r="15" spans="1:41">
      <c r="A15" s="5" t="s">
        <v>1319</v>
      </c>
      <c r="B15" s="5" t="s">
        <v>1341</v>
      </c>
      <c r="C15" s="5" t="s">
        <v>1076</v>
      </c>
      <c r="D15" s="1" t="s">
        <v>1328</v>
      </c>
      <c r="E15" s="5" t="s">
        <v>90</v>
      </c>
      <c r="F15" s="163">
        <v>3.3719999999999999</v>
      </c>
      <c r="G15" s="129">
        <v>110000</v>
      </c>
      <c r="H15" s="122">
        <v>110.01453143534995</v>
      </c>
      <c r="I15" s="135">
        <v>3.6740000000000002E-3</v>
      </c>
      <c r="J15" s="164">
        <v>5.0000000000000004E-6</v>
      </c>
      <c r="K15" s="4" t="s">
        <v>1328</v>
      </c>
      <c r="L15" s="5" t="s">
        <v>34</v>
      </c>
      <c r="M15" s="165">
        <v>1</v>
      </c>
      <c r="N15" s="130">
        <v>-407000</v>
      </c>
      <c r="O15" s="130">
        <v>-407</v>
      </c>
      <c r="P15" s="135">
        <v>-1.9000000000000001E-5</v>
      </c>
      <c r="Q15" s="135">
        <v>5.3119999999999999E-3</v>
      </c>
      <c r="R15" s="129">
        <v>-36.030999999999999</v>
      </c>
      <c r="S15" s="4" t="s">
        <v>30</v>
      </c>
      <c r="T15" s="11" t="s">
        <v>30</v>
      </c>
      <c r="U15" s="5" t="s">
        <v>779</v>
      </c>
      <c r="V15" s="5" t="s">
        <v>960</v>
      </c>
      <c r="W15" s="175" t="s">
        <v>3301</v>
      </c>
      <c r="X15" s="5" t="s">
        <v>1329</v>
      </c>
      <c r="Y15" s="5" t="s">
        <v>160</v>
      </c>
      <c r="Z15" s="1" t="s">
        <v>1323</v>
      </c>
      <c r="AA15" s="17" t="s">
        <v>1324</v>
      </c>
      <c r="AB15" s="5" t="s">
        <v>936</v>
      </c>
      <c r="AC15" s="5" t="s">
        <v>938</v>
      </c>
      <c r="AD15" s="5" t="s">
        <v>374</v>
      </c>
      <c r="AE15" s="5" t="s">
        <v>956</v>
      </c>
      <c r="AF15" s="5" t="s">
        <v>936</v>
      </c>
      <c r="AG15" s="5" t="s">
        <v>936</v>
      </c>
      <c r="AH15" s="120" t="s">
        <v>936</v>
      </c>
      <c r="AI15" s="129">
        <v>3.7</v>
      </c>
      <c r="AJ15" s="5" t="s">
        <v>1325</v>
      </c>
      <c r="AK15" s="5" t="s">
        <v>160</v>
      </c>
      <c r="AL15" s="4" t="s">
        <v>1326</v>
      </c>
      <c r="AM15" s="4" t="s">
        <v>1327</v>
      </c>
      <c r="AN15" s="146">
        <v>7.8899999999999999E-4</v>
      </c>
      <c r="AO15" s="146">
        <v>-1.9999999999999999E-6</v>
      </c>
    </row>
    <row r="16" spans="1:41">
      <c r="A16" s="5" t="s">
        <v>1319</v>
      </c>
      <c r="B16" s="5" t="s">
        <v>1341</v>
      </c>
      <c r="C16" s="5" t="s">
        <v>1076</v>
      </c>
      <c r="D16" s="1" t="s">
        <v>1321</v>
      </c>
      <c r="E16" s="5" t="s">
        <v>1200</v>
      </c>
      <c r="F16" s="163">
        <v>3.9552</v>
      </c>
      <c r="G16" s="129">
        <v>-120000</v>
      </c>
      <c r="H16" s="122">
        <v>-120.07473199838186</v>
      </c>
      <c r="I16" s="135">
        <v>-4.0099999999999997E-3</v>
      </c>
      <c r="J16" s="164">
        <v>-6.0000000000000002E-6</v>
      </c>
      <c r="K16" s="4" t="s">
        <v>1321</v>
      </c>
      <c r="L16" s="5" t="s">
        <v>34</v>
      </c>
      <c r="M16" s="165">
        <v>1</v>
      </c>
      <c r="N16" s="130">
        <v>481200</v>
      </c>
      <c r="O16" s="130">
        <v>481.2</v>
      </c>
      <c r="P16" s="135">
        <v>2.3E-5</v>
      </c>
      <c r="Q16" s="135">
        <v>-6.28E-3</v>
      </c>
      <c r="R16" s="129">
        <v>6.2804200000000003</v>
      </c>
      <c r="S16" s="4" t="s">
        <v>30</v>
      </c>
      <c r="T16" s="11" t="s">
        <v>30</v>
      </c>
      <c r="U16" s="5" t="s">
        <v>779</v>
      </c>
      <c r="V16" s="5" t="s">
        <v>960</v>
      </c>
      <c r="W16" s="175" t="s">
        <v>3301</v>
      </c>
      <c r="X16" s="5" t="s">
        <v>1322</v>
      </c>
      <c r="Y16" s="5" t="s">
        <v>160</v>
      </c>
      <c r="Z16" s="1" t="s">
        <v>1323</v>
      </c>
      <c r="AA16" s="17" t="s">
        <v>1324</v>
      </c>
      <c r="AB16" s="5" t="s">
        <v>936</v>
      </c>
      <c r="AC16" s="5" t="s">
        <v>938</v>
      </c>
      <c r="AD16" s="5" t="s">
        <v>374</v>
      </c>
      <c r="AE16" s="5" t="s">
        <v>956</v>
      </c>
      <c r="AF16" s="5" t="s">
        <v>936</v>
      </c>
      <c r="AG16" s="5" t="s">
        <v>936</v>
      </c>
      <c r="AH16" s="120" t="s">
        <v>936</v>
      </c>
      <c r="AI16" s="129">
        <v>4.01</v>
      </c>
      <c r="AJ16" s="5" t="s">
        <v>1325</v>
      </c>
      <c r="AK16" s="5" t="s">
        <v>160</v>
      </c>
      <c r="AL16" s="4" t="s">
        <v>1326</v>
      </c>
      <c r="AM16" s="4" t="s">
        <v>1327</v>
      </c>
      <c r="AN16" s="146">
        <v>-1.3799999999999999E-4</v>
      </c>
      <c r="AO16" s="146">
        <v>0</v>
      </c>
    </row>
    <row r="17" spans="1:41">
      <c r="A17" s="5" t="s">
        <v>1319</v>
      </c>
      <c r="B17" s="5" t="s">
        <v>1341</v>
      </c>
      <c r="C17" s="5" t="s">
        <v>1076</v>
      </c>
      <c r="D17" s="1" t="s">
        <v>1342</v>
      </c>
      <c r="E17" s="5" t="s">
        <v>90</v>
      </c>
      <c r="F17" s="163">
        <v>3.3719999999999999</v>
      </c>
      <c r="G17" s="129">
        <v>40000</v>
      </c>
      <c r="H17" s="122">
        <v>40.006227758007114</v>
      </c>
      <c r="I17" s="135">
        <v>1.3359999999999999E-3</v>
      </c>
      <c r="J17" s="164">
        <v>1.9999999999999999E-6</v>
      </c>
      <c r="K17" s="4" t="s">
        <v>1342</v>
      </c>
      <c r="L17" s="5" t="s">
        <v>34</v>
      </c>
      <c r="M17" s="165">
        <v>1</v>
      </c>
      <c r="N17" s="130">
        <v>-150820</v>
      </c>
      <c r="O17" s="130">
        <v>-150.82</v>
      </c>
      <c r="P17" s="135">
        <v>-6.9999999999999999E-6</v>
      </c>
      <c r="Q17" s="135">
        <v>1.9680000000000001E-3</v>
      </c>
      <c r="R17" s="129">
        <v>-15.919</v>
      </c>
      <c r="S17" s="4" t="s">
        <v>30</v>
      </c>
      <c r="T17" s="11" t="s">
        <v>30</v>
      </c>
      <c r="U17" s="5" t="s">
        <v>779</v>
      </c>
      <c r="V17" s="5" t="s">
        <v>960</v>
      </c>
      <c r="W17" s="175" t="s">
        <v>3301</v>
      </c>
      <c r="X17" s="5" t="s">
        <v>1329</v>
      </c>
      <c r="Y17" s="5" t="s">
        <v>160</v>
      </c>
      <c r="Z17" s="1" t="s">
        <v>1343</v>
      </c>
      <c r="AA17" s="17" t="s">
        <v>1324</v>
      </c>
      <c r="AB17" s="5" t="s">
        <v>936</v>
      </c>
      <c r="AC17" s="5" t="s">
        <v>938</v>
      </c>
      <c r="AD17" s="5" t="s">
        <v>374</v>
      </c>
      <c r="AE17" s="5" t="s">
        <v>956</v>
      </c>
      <c r="AF17" s="5" t="s">
        <v>936</v>
      </c>
      <c r="AG17" s="5" t="s">
        <v>936</v>
      </c>
      <c r="AH17" s="120" t="s">
        <v>936</v>
      </c>
      <c r="AI17" s="129">
        <v>3.7705000000000002</v>
      </c>
      <c r="AJ17" s="5" t="s">
        <v>1325</v>
      </c>
      <c r="AK17" s="5" t="s">
        <v>160</v>
      </c>
      <c r="AL17" s="4" t="s">
        <v>1326</v>
      </c>
      <c r="AM17" s="4" t="s">
        <v>1327</v>
      </c>
      <c r="AN17" s="146">
        <v>3.4900000000000003E-4</v>
      </c>
      <c r="AO17" s="146">
        <v>-9.9999999999999995E-7</v>
      </c>
    </row>
  </sheetData>
  <dataValidations count="11">
    <dataValidation type="list" allowBlank="1" showInputMessage="1" showErrorMessage="1" sqref="U2:U17" xr:uid="{00000000-0002-0000-1600-000000000000}">
      <formula1>Underlying_Asset</formula1>
    </dataValidation>
    <dataValidation type="list" allowBlank="1" showInputMessage="1" showErrorMessage="1" sqref="AG2:AG17 AB2:AB17" xr:uid="{00000000-0002-0000-1600-000001000000}">
      <formula1>Reset_frequency</formula1>
    </dataValidation>
    <dataValidation type="list" allowBlank="1" showInputMessage="1" showErrorMessage="1" sqref="S2:S17" xr:uid="{00000000-0002-0000-1600-000002000000}">
      <formula1>israel_abroad</formula1>
    </dataValidation>
    <dataValidation type="list" allowBlank="1" showInputMessage="1" showErrorMessage="1" sqref="Y2:Y17 AD2:AD17" xr:uid="{00000000-0002-0000-1600-000003000000}">
      <formula1>Holding_interest</formula1>
    </dataValidation>
    <dataValidation type="list" allowBlank="1" showInputMessage="1" showErrorMessage="1" sqref="AC2:AC17" xr:uid="{00000000-0002-0000-1600-000004000000}">
      <formula1>Delivery</formula1>
    </dataValidation>
    <dataValidation type="list" allowBlank="1" showInputMessage="1" showErrorMessage="1" sqref="V2:V17" xr:uid="{00000000-0002-0000-1600-000006000000}">
      <formula1>Leading_factor</formula1>
    </dataValidation>
    <dataValidation type="list" allowBlank="1" showInputMessage="1" showErrorMessage="1" sqref="T2:T17" xr:uid="{00000000-0002-0000-1600-000007000000}">
      <formula1>Country_list</formula1>
    </dataValidation>
    <dataValidation allowBlank="1" showInputMessage="1" showErrorMessage="1" sqref="M2:N17 P2:R17 I2:K17 D2:D17 Z2:Z17" xr:uid="{00000000-0002-0000-1600-000009000000}"/>
    <dataValidation type="list" allowBlank="1" showInputMessage="1" showErrorMessage="1" sqref="AF2:AF17" xr:uid="{00000000-0002-0000-1600-00000B000000}">
      <formula1>Underlying_Interest_Rates</formula1>
    </dataValidation>
    <dataValidation type="list" allowBlank="1" showInputMessage="1" showErrorMessage="1" sqref="AK2:AK17" xr:uid="{00000000-0002-0000-1600-00000C000000}">
      <formula1>Penalty</formula1>
    </dataValidation>
    <dataValidation type="list" allowBlank="1" showInputMessage="1" showErrorMessage="1" sqref="AE3:AE17" xr:uid="{00000000-0002-0000-1600-00000E000000}">
      <formula1>$C$535:$C$536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1600-000010000000}">
          <x14:formula1>
            <xm:f>'אפשרויות בחירה'!$C$690:$C$691</xm:f>
          </x14:formula1>
          <xm:sqref>AE2</xm:sqref>
        </x14:dataValidation>
        <x14:dataValidation type="list" allowBlank="1" showInputMessage="1" showErrorMessage="1" xr:uid="{00000000-0002-0000-1600-000011000000}">
          <x14:formula1>
            <xm:f>'אפשרויות בחירה'!$C$977:$C$985</xm:f>
          </x14:formula1>
          <xm:sqref>C2:C17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4"/>
  <dimension ref="A1:BA4"/>
  <sheetViews>
    <sheetView rightToLeft="1" topLeftCell="J1" zoomScale="70" zoomScaleNormal="70" workbookViewId="0">
      <selection activeCell="P2" sqref="P2"/>
    </sheetView>
  </sheetViews>
  <sheetFormatPr defaultColWidth="0" defaultRowHeight="14.25" zeroHeight="1"/>
  <cols>
    <col min="1" max="53" width="11.625" customWidth="1"/>
  </cols>
  <sheetData>
    <row r="1" spans="1:53" ht="66.75" customHeight="1">
      <c r="A1" s="12" t="s">
        <v>0</v>
      </c>
      <c r="B1" s="12" t="s">
        <v>1</v>
      </c>
      <c r="C1" s="12" t="s">
        <v>141</v>
      </c>
      <c r="D1" s="12" t="s">
        <v>142</v>
      </c>
      <c r="E1" s="12" t="s">
        <v>143</v>
      </c>
      <c r="F1" s="12" t="s">
        <v>144</v>
      </c>
      <c r="G1" s="12" t="s">
        <v>5</v>
      </c>
      <c r="H1" s="12" t="s">
        <v>1178</v>
      </c>
      <c r="I1" s="12" t="s">
        <v>6</v>
      </c>
      <c r="J1" s="12" t="s">
        <v>7</v>
      </c>
      <c r="K1" s="12" t="s">
        <v>170</v>
      </c>
      <c r="L1" s="12" t="s">
        <v>146</v>
      </c>
      <c r="M1" s="12" t="s">
        <v>1179</v>
      </c>
      <c r="N1" s="12" t="s">
        <v>1180</v>
      </c>
      <c r="O1" s="153" t="s">
        <v>1181</v>
      </c>
      <c r="P1" s="12" t="s">
        <v>9</v>
      </c>
      <c r="Q1" s="12" t="s">
        <v>10</v>
      </c>
      <c r="R1" s="12" t="s">
        <v>147</v>
      </c>
      <c r="S1" s="12" t="s">
        <v>11</v>
      </c>
      <c r="T1" s="12" t="s">
        <v>12</v>
      </c>
      <c r="U1" s="12" t="s">
        <v>148</v>
      </c>
      <c r="V1" s="133" t="s">
        <v>14</v>
      </c>
      <c r="W1" s="12" t="s">
        <v>786</v>
      </c>
      <c r="X1" s="12" t="s">
        <v>940</v>
      </c>
      <c r="Y1" s="160" t="s">
        <v>1183</v>
      </c>
      <c r="Z1" s="137" t="s">
        <v>15</v>
      </c>
      <c r="AA1" s="12" t="s">
        <v>13</v>
      </c>
      <c r="AB1" s="12" t="s">
        <v>443</v>
      </c>
      <c r="AC1" s="12" t="s">
        <v>791</v>
      </c>
      <c r="AD1" s="162" t="s">
        <v>1184</v>
      </c>
      <c r="AE1" s="137" t="s">
        <v>1185</v>
      </c>
      <c r="AF1" s="153" t="s">
        <v>1186</v>
      </c>
      <c r="AG1" s="12" t="s">
        <v>814</v>
      </c>
      <c r="AH1" s="12" t="s">
        <v>815</v>
      </c>
      <c r="AI1" s="12" t="s">
        <v>1187</v>
      </c>
      <c r="AJ1" s="12" t="s">
        <v>821</v>
      </c>
      <c r="AK1" s="12" t="s">
        <v>171</v>
      </c>
      <c r="AL1" s="12" t="s">
        <v>184</v>
      </c>
      <c r="AM1" s="12" t="s">
        <v>172</v>
      </c>
      <c r="AN1" s="153" t="s">
        <v>155</v>
      </c>
      <c r="AO1" s="153" t="s">
        <v>173</v>
      </c>
      <c r="AP1" s="133" t="s">
        <v>1188</v>
      </c>
      <c r="AQ1" s="12" t="s">
        <v>1189</v>
      </c>
      <c r="AR1" s="142" t="s">
        <v>1190</v>
      </c>
      <c r="AS1" s="131" t="s">
        <v>18</v>
      </c>
      <c r="AT1" s="12" t="s">
        <v>20</v>
      </c>
      <c r="AU1" s="12" t="s">
        <v>185</v>
      </c>
      <c r="AV1" s="12" t="s">
        <v>21</v>
      </c>
      <c r="AW1" s="12" t="s">
        <v>186</v>
      </c>
      <c r="AX1" s="12" t="s">
        <v>864</v>
      </c>
      <c r="AY1" s="12" t="s">
        <v>22</v>
      </c>
      <c r="AZ1" s="137" t="s">
        <v>24</v>
      </c>
      <c r="BA1" s="137" t="s">
        <v>25</v>
      </c>
    </row>
    <row r="2" spans="1:53">
      <c r="A2" s="2">
        <v>161</v>
      </c>
      <c r="B2" s="2">
        <v>9943</v>
      </c>
      <c r="C2" s="13" t="s">
        <v>1344</v>
      </c>
      <c r="D2" s="13" t="s">
        <v>33</v>
      </c>
      <c r="E2" s="13" t="s">
        <v>1345</v>
      </c>
      <c r="F2" s="13" t="s">
        <v>1346</v>
      </c>
      <c r="G2" s="13" t="s">
        <v>1070</v>
      </c>
      <c r="H2" s="2"/>
      <c r="I2" s="11" t="s">
        <v>30</v>
      </c>
      <c r="J2" s="11" t="s">
        <v>30</v>
      </c>
      <c r="K2" s="13" t="s">
        <v>510</v>
      </c>
      <c r="L2" s="13" t="s">
        <v>160</v>
      </c>
      <c r="M2" s="13" t="s">
        <v>160</v>
      </c>
      <c r="N2" s="13"/>
      <c r="O2" s="154" t="s">
        <v>1347</v>
      </c>
      <c r="P2" s="13" t="s">
        <v>211</v>
      </c>
      <c r="Q2" s="13" t="s">
        <v>211</v>
      </c>
      <c r="R2" s="13" t="s">
        <v>441</v>
      </c>
      <c r="S2" s="11" t="s">
        <v>34</v>
      </c>
      <c r="T2" s="125">
        <v>2.17</v>
      </c>
      <c r="U2" s="13" t="s">
        <v>862</v>
      </c>
      <c r="V2" s="145">
        <v>5.8375000000000003E-2</v>
      </c>
      <c r="W2" s="13" t="s">
        <v>790</v>
      </c>
      <c r="X2" s="13" t="s">
        <v>936</v>
      </c>
      <c r="Y2" s="161">
        <v>0</v>
      </c>
      <c r="Z2" s="146">
        <v>5.1200000000000002E-2</v>
      </c>
      <c r="AA2" s="13" t="s">
        <v>1348</v>
      </c>
      <c r="AB2" s="11" t="s">
        <v>445</v>
      </c>
      <c r="AC2" s="13"/>
      <c r="AD2" s="13"/>
      <c r="AE2" s="146">
        <v>0</v>
      </c>
      <c r="AF2" s="13"/>
      <c r="AG2" s="13" t="s">
        <v>160</v>
      </c>
      <c r="AH2" s="13" t="s">
        <v>816</v>
      </c>
      <c r="AI2" s="2" t="s">
        <v>1349</v>
      </c>
      <c r="AJ2" s="2" t="s">
        <v>160</v>
      </c>
      <c r="AK2" s="13" t="s">
        <v>135</v>
      </c>
      <c r="AL2" s="13" t="s">
        <v>135</v>
      </c>
      <c r="AM2" s="13" t="s">
        <v>194</v>
      </c>
      <c r="AN2" s="156" t="s">
        <v>161</v>
      </c>
      <c r="AO2" s="2"/>
      <c r="AP2" s="136">
        <v>0</v>
      </c>
      <c r="AQ2" s="123">
        <v>16789494.859999999</v>
      </c>
      <c r="AR2" s="148">
        <v>101.96</v>
      </c>
      <c r="AS2" s="147">
        <v>1</v>
      </c>
      <c r="AT2" s="125">
        <v>17118.611000000001</v>
      </c>
      <c r="AU2" s="128">
        <v>17118.611000000001</v>
      </c>
      <c r="AV2" s="18"/>
      <c r="AW2" s="18"/>
      <c r="AX2" s="11" t="s">
        <v>160</v>
      </c>
      <c r="AY2" s="13" t="s">
        <v>36</v>
      </c>
      <c r="AZ2" s="146">
        <v>0.59413974287716897</v>
      </c>
      <c r="BA2" s="146">
        <v>9.0782639618318308E-3</v>
      </c>
    </row>
    <row r="3" spans="1:53">
      <c r="A3" s="2">
        <v>161</v>
      </c>
      <c r="B3" s="2">
        <v>9943</v>
      </c>
      <c r="C3" s="13" t="s">
        <v>1350</v>
      </c>
      <c r="D3" s="13" t="s">
        <v>1351</v>
      </c>
      <c r="E3" s="13" t="s">
        <v>1352</v>
      </c>
      <c r="F3" s="13" t="s">
        <v>1353</v>
      </c>
      <c r="G3" s="13" t="s">
        <v>1071</v>
      </c>
      <c r="H3" s="2"/>
      <c r="I3" s="11" t="s">
        <v>30</v>
      </c>
      <c r="J3" s="11" t="s">
        <v>30</v>
      </c>
      <c r="K3" s="13" t="s">
        <v>509</v>
      </c>
      <c r="L3" s="13" t="s">
        <v>160</v>
      </c>
      <c r="M3" s="13" t="s">
        <v>374</v>
      </c>
      <c r="N3" s="13" t="s">
        <v>1350</v>
      </c>
      <c r="O3" s="154" t="s">
        <v>1354</v>
      </c>
      <c r="P3" s="13" t="s">
        <v>1355</v>
      </c>
      <c r="Q3" s="13" t="s">
        <v>448</v>
      </c>
      <c r="R3" s="13" t="s">
        <v>441</v>
      </c>
      <c r="S3" s="11" t="s">
        <v>34</v>
      </c>
      <c r="T3" s="125">
        <v>10.039999999999999</v>
      </c>
      <c r="U3" s="13" t="s">
        <v>1356</v>
      </c>
      <c r="V3" s="145">
        <v>0.03</v>
      </c>
      <c r="W3" s="13" t="s">
        <v>790</v>
      </c>
      <c r="X3" s="13" t="s">
        <v>936</v>
      </c>
      <c r="Y3" s="161">
        <v>0</v>
      </c>
      <c r="Z3" s="146">
        <v>3.4099999999999998E-2</v>
      </c>
      <c r="AA3" s="13" t="s">
        <v>1357</v>
      </c>
      <c r="AB3" s="11" t="s">
        <v>445</v>
      </c>
      <c r="AC3" s="13"/>
      <c r="AD3" s="13"/>
      <c r="AE3" s="146">
        <v>0</v>
      </c>
      <c r="AF3" s="13"/>
      <c r="AG3" s="13" t="s">
        <v>374</v>
      </c>
      <c r="AH3" s="13" t="s">
        <v>818</v>
      </c>
      <c r="AI3" s="2"/>
      <c r="AJ3" s="2" t="s">
        <v>374</v>
      </c>
      <c r="AK3" s="13" t="s">
        <v>926</v>
      </c>
      <c r="AL3" s="13" t="s">
        <v>1358</v>
      </c>
      <c r="AM3" s="13" t="s">
        <v>927</v>
      </c>
      <c r="AN3" s="156" t="s">
        <v>161</v>
      </c>
      <c r="AO3" s="2"/>
      <c r="AP3" s="136">
        <v>0</v>
      </c>
      <c r="AQ3" s="123">
        <v>631611.81000000006</v>
      </c>
      <c r="AR3" s="148">
        <v>112.62</v>
      </c>
      <c r="AS3" s="147">
        <v>1</v>
      </c>
      <c r="AT3" s="125">
        <v>711.32100000000003</v>
      </c>
      <c r="AU3" s="125">
        <v>711.32100000000003</v>
      </c>
      <c r="AV3" s="13"/>
      <c r="AW3" s="13"/>
      <c r="AX3" s="11" t="s">
        <v>160</v>
      </c>
      <c r="AY3" s="13" t="s">
        <v>36</v>
      </c>
      <c r="AZ3" s="146">
        <v>2.4687996996301E-2</v>
      </c>
      <c r="BA3" s="146">
        <v>3.7722464472077401E-4</v>
      </c>
    </row>
    <row r="4" spans="1:53">
      <c r="A4" s="2">
        <v>161</v>
      </c>
      <c r="B4" s="2">
        <v>9943</v>
      </c>
      <c r="C4" s="13" t="s">
        <v>1350</v>
      </c>
      <c r="D4" s="13" t="s">
        <v>1351</v>
      </c>
      <c r="E4" s="13" t="s">
        <v>1359</v>
      </c>
      <c r="F4" s="13" t="s">
        <v>1360</v>
      </c>
      <c r="G4" s="13" t="s">
        <v>1071</v>
      </c>
      <c r="H4" s="2"/>
      <c r="I4" s="11" t="s">
        <v>30</v>
      </c>
      <c r="J4" s="11" t="s">
        <v>30</v>
      </c>
      <c r="K4" s="13" t="s">
        <v>509</v>
      </c>
      <c r="L4" s="13" t="s">
        <v>160</v>
      </c>
      <c r="M4" s="13" t="s">
        <v>374</v>
      </c>
      <c r="N4" s="13" t="s">
        <v>1350</v>
      </c>
      <c r="O4" s="154" t="s">
        <v>1354</v>
      </c>
      <c r="P4" s="13" t="s">
        <v>1355</v>
      </c>
      <c r="Q4" s="13" t="s">
        <v>448</v>
      </c>
      <c r="R4" s="13" t="s">
        <v>441</v>
      </c>
      <c r="S4" s="11" t="s">
        <v>34</v>
      </c>
      <c r="T4" s="125">
        <v>10.039999999999999</v>
      </c>
      <c r="U4" s="13" t="s">
        <v>1356</v>
      </c>
      <c r="V4" s="145">
        <v>0.03</v>
      </c>
      <c r="W4" s="13" t="s">
        <v>790</v>
      </c>
      <c r="X4" s="13" t="s">
        <v>936</v>
      </c>
      <c r="Y4" s="161">
        <v>0</v>
      </c>
      <c r="Z4" s="146">
        <v>3.4099999999999998E-2</v>
      </c>
      <c r="AA4" s="13" t="s">
        <v>1357</v>
      </c>
      <c r="AB4" s="11" t="s">
        <v>445</v>
      </c>
      <c r="AC4" s="13"/>
      <c r="AD4" s="13"/>
      <c r="AE4" s="146">
        <v>0</v>
      </c>
      <c r="AF4" s="13"/>
      <c r="AG4" s="13" t="s">
        <v>374</v>
      </c>
      <c r="AH4" s="13" t="s">
        <v>818</v>
      </c>
      <c r="AI4" s="2"/>
      <c r="AJ4" s="2" t="s">
        <v>374</v>
      </c>
      <c r="AK4" s="13" t="s">
        <v>926</v>
      </c>
      <c r="AL4" s="13" t="s">
        <v>1358</v>
      </c>
      <c r="AM4" s="13" t="s">
        <v>927</v>
      </c>
      <c r="AN4" s="156" t="s">
        <v>161</v>
      </c>
      <c r="AO4" s="2"/>
      <c r="AP4" s="136">
        <v>0</v>
      </c>
      <c r="AQ4" s="123">
        <v>9751819.9299999997</v>
      </c>
      <c r="AR4" s="148">
        <v>112.62</v>
      </c>
      <c r="AS4" s="147">
        <v>1</v>
      </c>
      <c r="AT4" s="125">
        <v>10982.5</v>
      </c>
      <c r="AU4" s="128">
        <v>10982.5</v>
      </c>
      <c r="AV4" s="18"/>
      <c r="AW4" s="18"/>
      <c r="AX4" s="11" t="s">
        <v>160</v>
      </c>
      <c r="AY4" s="13" t="s">
        <v>36</v>
      </c>
      <c r="AZ4" s="146">
        <v>0.38117226012652999</v>
      </c>
      <c r="BA4" s="146">
        <v>5.8241893996174897E-3</v>
      </c>
    </row>
  </sheetData>
  <sheetProtection formatColumns="0"/>
  <customSheetViews>
    <customSheetView guid="{AE318230-F718-49FC-82EB-7CAC3DCD05F1}" showGridLines="0" topLeftCell="S1">
      <selection activeCell="AG2" sqref="AG2"/>
      <pageMargins left="0.7" right="0.7" top="0.75" bottom="0.75" header="0.3" footer="0.3"/>
    </customSheetView>
  </customSheetViews>
  <dataValidations count="21">
    <dataValidation type="list" allowBlank="1" showInputMessage="1" showErrorMessage="1" sqref="K2:K4" xr:uid="{00000000-0002-0000-1700-000000000000}">
      <formula1>Industry_sectors</formula1>
    </dataValidation>
    <dataValidation type="list" allowBlank="1" showInputMessage="1" showErrorMessage="1" sqref="L2:L4" xr:uid="{00000000-0002-0000-1700-000001000000}">
      <formula1>Holding_interest</formula1>
    </dataValidation>
    <dataValidation type="list" allowBlank="1" showInputMessage="1" showErrorMessage="1" sqref="P2 Q2:Q4" xr:uid="{00000000-0002-0000-1700-000002000000}">
      <formula1>Rating_Agency</formula1>
    </dataValidation>
    <dataValidation type="list" allowBlank="1" showInputMessage="1" showErrorMessage="1" sqref="M2:M4" xr:uid="{00000000-0002-0000-1700-000003000000}">
      <formula1>Consortium</formula1>
    </dataValidation>
    <dataValidation type="list" allowBlank="1" showInputMessage="1" showErrorMessage="1" sqref="W2:W4" xr:uid="{00000000-0002-0000-1700-000004000000}">
      <formula1>Linked_Type</formula1>
    </dataValidation>
    <dataValidation type="list" allowBlank="1" showInputMessage="1" showErrorMessage="1" sqref="AC2:AC4" xr:uid="{00000000-0002-0000-1700-000005000000}">
      <formula1>Type_of_Security</formula1>
    </dataValidation>
    <dataValidation type="list" allowBlank="1" showInputMessage="1" showErrorMessage="1" sqref="AM2:AM4" xr:uid="{00000000-0002-0000-1700-000006000000}">
      <formula1>Dependence_Independence</formula1>
    </dataValidation>
    <dataValidation type="list" allowBlank="1" showInputMessage="1" showErrorMessage="1" sqref="J2:J4" xr:uid="{00000000-0002-0000-1700-000007000000}">
      <formula1>Country_list</formula1>
    </dataValidation>
    <dataValidation type="list" allowBlank="1" showInputMessage="1" showErrorMessage="1" sqref="AH2:AH4" xr:uid="{00000000-0002-0000-1700-000008000000}">
      <formula1>Amoritization</formula1>
    </dataValidation>
    <dataValidation type="list" allowBlank="1" showInputMessage="1" showErrorMessage="1" sqref="U2:U4" xr:uid="{00000000-0002-0000-1700-000009000000}">
      <formula1>Type_of_Interest_Rate</formula1>
    </dataValidation>
    <dataValidation type="list" allowBlank="1" showInputMessage="1" showErrorMessage="1" sqref="AK2:AK4" xr:uid="{00000000-0002-0000-1700-00000A000000}">
      <formula1>Valuation_Loans</formula1>
    </dataValidation>
    <dataValidation type="list" allowBlank="1" showInputMessage="1" showErrorMessage="1" sqref="X2:X4" xr:uid="{00000000-0002-0000-1700-00000B000000}">
      <formula1>Underlying_Interest_Rates</formula1>
    </dataValidation>
    <dataValidation type="list" allowBlank="1" showInputMessage="1" showErrorMessage="1" sqref="AB2:AB4" xr:uid="{00000000-0002-0000-1700-00000C000000}">
      <formula1>Subordination_Risk</formula1>
    </dataValidation>
    <dataValidation type="list" allowBlank="1" showInputMessage="1" showErrorMessage="1" sqref="AX2:AX4" xr:uid="{00000000-0002-0000-1700-00000D000000}">
      <formula1>Yes_No_Bad_Debt</formula1>
    </dataValidation>
    <dataValidation type="list" allowBlank="1" showInputMessage="1" showErrorMessage="1" sqref="AG2:AG4" xr:uid="{00000000-0002-0000-1700-00000E000000}">
      <formula1>Recourse_Nonrecourse</formula1>
    </dataValidation>
    <dataValidation type="list" allowBlank="1" showInputMessage="1" showErrorMessage="1" sqref="AJ2:AJ4" xr:uid="{00000000-0002-0000-1700-00000F000000}">
      <formula1>Repayment_Rights</formula1>
    </dataValidation>
    <dataValidation type="list" allowBlank="1" showInputMessage="1" showErrorMessage="1" sqref="D2:D4" xr:uid="{00000000-0002-0000-1700-000010000000}">
      <formula1>issuer_number_loan</formula1>
    </dataValidation>
    <dataValidation type="list" allowBlank="1" showInputMessage="1" showErrorMessage="1" sqref="H2:H4" xr:uid="{00000000-0002-0000-1700-000011000000}">
      <formula1>real_estate_loans</formula1>
    </dataValidation>
    <dataValidation type="list" allowBlank="1" showInputMessage="1" showErrorMessage="1" sqref="I2:I4" xr:uid="{00000000-0002-0000-1700-000012000000}">
      <formula1>israel_abroad</formula1>
    </dataValidation>
    <dataValidation type="list" allowBlank="1" showInputMessage="1" showErrorMessage="1" sqref="AY2:AY4" xr:uid="{00000000-0002-0000-1700-000013000000}">
      <formula1 xml:space="preserve"> In_the_books</formula1>
    </dataValidation>
    <dataValidation type="list" allowBlank="1" showInputMessage="1" showErrorMessage="1" sqref="R2:R4" xr:uid="{00000000-0002-0000-1700-000014000000}">
      <formula1>what_is_rated_loans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15000000}">
          <x14:formula1>
            <xm:f>'אפשרויות בחירה'!$C$970:$C$976</xm:f>
          </x14:formula1>
          <xm:sqref>G2:G4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/>
  <dimension ref="A1:AD2"/>
  <sheetViews>
    <sheetView rightToLeft="1" zoomScale="70" zoomScaleNormal="70" workbookViewId="0">
      <selection activeCell="O2" sqref="O2"/>
    </sheetView>
  </sheetViews>
  <sheetFormatPr defaultColWidth="0" defaultRowHeight="14.25" zeroHeight="1"/>
  <cols>
    <col min="1" max="16" width="11.625" customWidth="1"/>
    <col min="17" max="17" width="13.375" customWidth="1"/>
    <col min="18" max="30" width="11.625" customWidth="1"/>
  </cols>
  <sheetData>
    <row r="1" spans="1:30" ht="66.75" customHeight="1">
      <c r="A1" s="12" t="s">
        <v>0</v>
      </c>
      <c r="B1" s="12" t="s">
        <v>1</v>
      </c>
      <c r="C1" s="12" t="s">
        <v>2</v>
      </c>
      <c r="D1" s="12" t="s">
        <v>167</v>
      </c>
      <c r="E1" s="12" t="s">
        <v>168</v>
      </c>
      <c r="F1" s="12" t="s">
        <v>3</v>
      </c>
      <c r="G1" s="12" t="s">
        <v>4</v>
      </c>
      <c r="H1" s="12" t="s">
        <v>169</v>
      </c>
      <c r="I1" s="12" t="s">
        <v>5</v>
      </c>
      <c r="J1" s="12" t="s">
        <v>6</v>
      </c>
      <c r="K1" s="12" t="s">
        <v>7</v>
      </c>
      <c r="L1" s="12" t="s">
        <v>146</v>
      </c>
      <c r="M1" s="12" t="s">
        <v>202</v>
      </c>
      <c r="N1" s="153" t="s">
        <v>178</v>
      </c>
      <c r="O1" s="12" t="s">
        <v>9</v>
      </c>
      <c r="P1" s="12" t="s">
        <v>10</v>
      </c>
      <c r="Q1" s="12" t="s">
        <v>203</v>
      </c>
      <c r="R1" s="12" t="s">
        <v>11</v>
      </c>
      <c r="S1" s="12" t="s">
        <v>12</v>
      </c>
      <c r="T1" s="133" t="s">
        <v>14</v>
      </c>
      <c r="U1" s="137" t="s">
        <v>15</v>
      </c>
      <c r="V1" s="12" t="s">
        <v>171</v>
      </c>
      <c r="W1" s="12" t="s">
        <v>172</v>
      </c>
      <c r="X1" s="153" t="s">
        <v>155</v>
      </c>
      <c r="Y1" s="12" t="s">
        <v>17</v>
      </c>
      <c r="Z1" s="131" t="s">
        <v>18</v>
      </c>
      <c r="AA1" s="142" t="s">
        <v>19</v>
      </c>
      <c r="AB1" s="12" t="s">
        <v>20</v>
      </c>
      <c r="AC1" s="137" t="s">
        <v>24</v>
      </c>
      <c r="AD1" s="137" t="s">
        <v>25</v>
      </c>
    </row>
    <row r="2" spans="1:30">
      <c r="A2" s="13">
        <v>161</v>
      </c>
      <c r="B2" s="13">
        <v>9943</v>
      </c>
      <c r="C2" s="13" t="s">
        <v>204</v>
      </c>
      <c r="D2" s="13" t="s">
        <v>205</v>
      </c>
      <c r="E2" s="11" t="s">
        <v>206</v>
      </c>
      <c r="F2" s="13" t="s">
        <v>207</v>
      </c>
      <c r="G2" s="13" t="s">
        <v>208</v>
      </c>
      <c r="H2" s="13" t="s">
        <v>209</v>
      </c>
      <c r="I2" s="13"/>
      <c r="J2" s="11" t="s">
        <v>85</v>
      </c>
      <c r="K2" s="11" t="s">
        <v>86</v>
      </c>
      <c r="L2" s="13" t="s">
        <v>160</v>
      </c>
      <c r="M2" s="13" t="s">
        <v>135</v>
      </c>
      <c r="N2" s="154" t="s">
        <v>210</v>
      </c>
      <c r="O2" s="13" t="s">
        <v>211</v>
      </c>
      <c r="P2" s="13" t="s">
        <v>211</v>
      </c>
      <c r="Q2" s="13" t="s">
        <v>211</v>
      </c>
      <c r="R2" s="11" t="s">
        <v>90</v>
      </c>
      <c r="S2" s="125">
        <v>0</v>
      </c>
      <c r="T2" s="145">
        <v>0</v>
      </c>
      <c r="U2" s="146">
        <v>0</v>
      </c>
      <c r="V2" s="13" t="s">
        <v>135</v>
      </c>
      <c r="W2" s="13" t="s">
        <v>194</v>
      </c>
      <c r="X2" s="156" t="s">
        <v>212</v>
      </c>
      <c r="Y2" s="125">
        <v>45</v>
      </c>
      <c r="Z2" s="147">
        <v>3.3719999999999999</v>
      </c>
      <c r="AA2" s="148">
        <v>0.03</v>
      </c>
      <c r="AB2" s="125">
        <v>0</v>
      </c>
      <c r="AC2" s="146">
        <v>1</v>
      </c>
      <c r="AD2" s="146">
        <v>2.3864195984992799E-11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J2" xr:uid="{00000000-0002-0000-1800-000000000000}">
      <formula1>israel_abroad</formula1>
    </dataValidation>
    <dataValidation type="list" allowBlank="1" showInputMessage="1" showErrorMessage="1" sqref="L2" xr:uid="{00000000-0002-0000-1800-000001000000}">
      <formula1>Holding_interest</formula1>
    </dataValidation>
    <dataValidation type="list" allowBlank="1" showInputMessage="1" showErrorMessage="1" sqref="O2 P2" xr:uid="{00000000-0002-0000-1800-000002000000}">
      <formula1>Rating_Agency</formula1>
    </dataValidation>
    <dataValidation type="list" allowBlank="1" showInputMessage="1" showErrorMessage="1" sqref="Q2" xr:uid="{00000000-0002-0000-1800-000003000000}">
      <formula1>What_is_rated</formula1>
    </dataValidation>
    <dataValidation type="list" allowBlank="1" showInputMessage="1" showErrorMessage="1" sqref="V2" xr:uid="{00000000-0002-0000-1800-000004000000}">
      <formula1>Valuation</formula1>
    </dataValidation>
    <dataValidation type="list" allowBlank="1" showInputMessage="1" showErrorMessage="1" sqref="W2" xr:uid="{00000000-0002-0000-1800-000005000000}">
      <formula1>Dependence_Independence</formula1>
    </dataValidation>
    <dataValidation type="list" allowBlank="1" showInputMessage="1" showErrorMessage="1" sqref="K2" xr:uid="{00000000-0002-0000-1800-000006000000}">
      <formula1>Country_list</formula1>
    </dataValidation>
    <dataValidation type="list" allowBlank="1" showInputMessage="1" showErrorMessage="1" sqref="H2" xr:uid="{00000000-0002-0000-1800-000007000000}">
      <formula1>Type_of_Security_ID_Fund</formula1>
    </dataValidation>
    <dataValidation type="list" allowBlank="1" showInputMessage="1" showErrorMessage="1" sqref="E2" xr:uid="{00000000-0002-0000-1800-000009000000}">
      <formula1>Issuer_Number_Type_3</formula1>
    </dataValidation>
    <dataValidation type="list" allowBlank="1" showInputMessage="1" showErrorMessage="1" sqref="M2" xr:uid="{00000000-0002-0000-1800-00000B000000}">
      <formula1>Underlying_Asset_Structured</formula1>
    </dataValidation>
  </dataValidations>
  <pageMargins left="0.7" right="0.7" top="0.75" bottom="0.75" header="0.3" footer="0.3"/>
  <pageSetup paperSize="0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C000000}">
          <x14:formula1>
            <xm:f>'אפשרויות בחירה'!$C$986:$C$991</xm:f>
          </x14:formula1>
          <xm:sqref>I2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/>
  <dimension ref="A1:V1"/>
  <sheetViews>
    <sheetView rightToLeft="1" zoomScale="70" zoomScaleNormal="70" workbookViewId="0">
      <selection activeCell="A2" sqref="A2"/>
    </sheetView>
  </sheetViews>
  <sheetFormatPr defaultColWidth="0" defaultRowHeight="14.25" zeroHeight="1"/>
  <cols>
    <col min="1" max="22" width="11.625" customWidth="1"/>
  </cols>
  <sheetData>
    <row r="1" spans="1:22" ht="66.75" customHeight="1">
      <c r="A1" s="12" t="s">
        <v>0</v>
      </c>
      <c r="B1" s="12" t="s">
        <v>1</v>
      </c>
      <c r="C1" s="12" t="s">
        <v>196</v>
      </c>
      <c r="D1" s="12" t="s">
        <v>197</v>
      </c>
      <c r="E1" s="12" t="s">
        <v>198</v>
      </c>
      <c r="F1" s="12" t="s">
        <v>5</v>
      </c>
      <c r="G1" s="12" t="s">
        <v>199</v>
      </c>
      <c r="H1" s="12" t="s">
        <v>6</v>
      </c>
      <c r="I1" s="12" t="s">
        <v>7</v>
      </c>
      <c r="J1" s="12" t="s">
        <v>146</v>
      </c>
      <c r="K1" s="12" t="s">
        <v>200</v>
      </c>
      <c r="L1" s="12" t="s">
        <v>10</v>
      </c>
      <c r="M1" s="12" t="s">
        <v>11</v>
      </c>
      <c r="N1" s="12" t="s">
        <v>12</v>
      </c>
      <c r="O1" s="119" t="s">
        <v>14</v>
      </c>
      <c r="P1" s="12" t="s">
        <v>15</v>
      </c>
      <c r="Q1" s="12" t="s">
        <v>156</v>
      </c>
      <c r="R1" s="12" t="s">
        <v>18</v>
      </c>
      <c r="S1" s="12" t="s">
        <v>201</v>
      </c>
      <c r="T1" s="12" t="s">
        <v>20</v>
      </c>
      <c r="U1" s="12" t="s">
        <v>24</v>
      </c>
      <c r="V1" s="12" t="s">
        <v>25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/>
    </customSheetView>
  </customSheetViews>
  <pageMargins left="0.7" right="0.7" top="0.75" bottom="0.75" header="0.3" footer="0.3"/>
  <pageSetup orientation="portrait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7"/>
  <dimension ref="A1:X2"/>
  <sheetViews>
    <sheetView rightToLeft="1" zoomScale="70" zoomScaleNormal="70" workbookViewId="0"/>
  </sheetViews>
  <sheetFormatPr defaultColWidth="0" defaultRowHeight="14.25" zeroHeight="1"/>
  <cols>
    <col min="1" max="24" width="11.625" customWidth="1"/>
  </cols>
  <sheetData>
    <row r="1" spans="1:24" ht="66.75" customHeight="1">
      <c r="A1" s="12" t="s">
        <v>0</v>
      </c>
      <c r="B1" s="12" t="s">
        <v>1</v>
      </c>
      <c r="C1" s="12" t="s">
        <v>176</v>
      </c>
      <c r="D1" s="12" t="s">
        <v>5</v>
      </c>
      <c r="E1" s="12" t="s">
        <v>177</v>
      </c>
      <c r="F1" s="12" t="s">
        <v>146</v>
      </c>
      <c r="G1" s="153" t="s">
        <v>178</v>
      </c>
      <c r="H1" s="12" t="s">
        <v>179</v>
      </c>
      <c r="I1" s="12" t="s">
        <v>180</v>
      </c>
      <c r="J1" s="12" t="s">
        <v>181</v>
      </c>
      <c r="K1" s="162" t="s">
        <v>182</v>
      </c>
      <c r="L1" s="12" t="s">
        <v>183</v>
      </c>
      <c r="M1" s="12" t="s">
        <v>171</v>
      </c>
      <c r="N1" s="12" t="s">
        <v>184</v>
      </c>
      <c r="O1" s="12" t="s">
        <v>172</v>
      </c>
      <c r="P1" s="153" t="s">
        <v>155</v>
      </c>
      <c r="Q1" s="12" t="s">
        <v>11</v>
      </c>
      <c r="R1" s="12" t="s">
        <v>185</v>
      </c>
      <c r="S1" s="12" t="s">
        <v>20</v>
      </c>
      <c r="T1" s="12" t="s">
        <v>21</v>
      </c>
      <c r="U1" s="12" t="s">
        <v>186</v>
      </c>
      <c r="V1" s="12" t="s">
        <v>22</v>
      </c>
      <c r="W1" s="137" t="s">
        <v>24</v>
      </c>
      <c r="X1" s="137" t="s">
        <v>25</v>
      </c>
    </row>
    <row r="2" spans="1:24">
      <c r="A2" s="13">
        <v>161</v>
      </c>
      <c r="B2" s="13">
        <v>9943</v>
      </c>
      <c r="C2" s="13" t="s">
        <v>187</v>
      </c>
      <c r="D2" s="13" t="s">
        <v>188</v>
      </c>
      <c r="E2" s="13" t="s">
        <v>30</v>
      </c>
      <c r="F2" s="13" t="s">
        <v>160</v>
      </c>
      <c r="G2" s="154" t="s">
        <v>189</v>
      </c>
      <c r="H2" s="13" t="s">
        <v>135</v>
      </c>
      <c r="I2" s="13" t="s">
        <v>135</v>
      </c>
      <c r="J2" s="13" t="s">
        <v>190</v>
      </c>
      <c r="K2" s="13"/>
      <c r="L2" s="13" t="s">
        <v>191</v>
      </c>
      <c r="M2" s="13" t="s">
        <v>192</v>
      </c>
      <c r="N2" s="13" t="s">
        <v>193</v>
      </c>
      <c r="O2" s="13" t="s">
        <v>194</v>
      </c>
      <c r="P2" s="154" t="s">
        <v>195</v>
      </c>
      <c r="Q2" s="11" t="s">
        <v>34</v>
      </c>
      <c r="R2" s="125">
        <v>567.50400000000002</v>
      </c>
      <c r="S2" s="125">
        <v>567.50400000000002</v>
      </c>
      <c r="T2" s="13"/>
      <c r="U2" s="13"/>
      <c r="V2" s="13" t="s">
        <v>36</v>
      </c>
      <c r="W2" s="146">
        <v>1</v>
      </c>
      <c r="X2" s="146">
        <v>3.00956148329321E-4</v>
      </c>
    </row>
  </sheetData>
  <sheetProtection formatColumns="0"/>
  <customSheetViews>
    <customSheetView guid="{AE318230-F718-49FC-82EB-7CAC3DCD05F1}" showGridLines="0" hiddenRows="1">
      <selection activeCell="A3" sqref="A3:XFD3"/>
      <pageMargins left="0.7" right="0.7" top="0.75" bottom="0.75" header="0.3" footer="0.3"/>
      <pageSetup orientation="portrait"/>
    </customSheetView>
  </customSheetViews>
  <dataValidations count="8">
    <dataValidation type="list" allowBlank="1" showInputMessage="1" showErrorMessage="1" sqref="F2" xr:uid="{00000000-0002-0000-1A00-000000000000}">
      <formula1>Holding_interest</formula1>
    </dataValidation>
    <dataValidation type="list" allowBlank="1" showInputMessage="1" showErrorMessage="1" sqref="V2" xr:uid="{00000000-0002-0000-1A00-000001000000}">
      <formula1>In_the_books</formula1>
    </dataValidation>
    <dataValidation type="list" allowBlank="1" showInputMessage="1" showErrorMessage="1" sqref="L2" xr:uid="{00000000-0002-0000-1A00-000002000000}">
      <formula1>Valuation_Method</formula1>
    </dataValidation>
    <dataValidation type="list" allowBlank="1" showInputMessage="1" showErrorMessage="1" sqref="O2" xr:uid="{00000000-0002-0000-1A00-000003000000}">
      <formula1>Dependence_Independence</formula1>
    </dataValidation>
    <dataValidation type="list" allowBlank="1" showInputMessage="1" showErrorMessage="1" sqref="E2" xr:uid="{00000000-0002-0000-1A00-000004000000}">
      <formula1>Country_list</formula1>
    </dataValidation>
    <dataValidation type="list" allowBlank="1" showInputMessage="1" showErrorMessage="1" sqref="I2" xr:uid="{00000000-0002-0000-1A00-000005000000}">
      <formula1>real_estate_lifestage</formula1>
    </dataValidation>
    <dataValidation type="list" allowBlank="1" showInputMessage="1" showErrorMessage="1" sqref="M2" xr:uid="{00000000-0002-0000-1A00-000006000000}">
      <formula1>Valuation_Realestate</formula1>
    </dataValidation>
    <dataValidation type="list" allowBlank="1" showInputMessage="1" showErrorMessage="1" sqref="H2" xr:uid="{00000000-0002-0000-1A00-000007000000}">
      <formula1>Real_Estate_Main_Use</formula1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8000000}">
          <x14:formula1>
            <xm:f>'אפשרויות בחירה'!$C$998:$C$999</xm:f>
          </x14:formula1>
          <xm:sqref>D2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8"/>
  <dimension ref="A1:W1"/>
  <sheetViews>
    <sheetView rightToLeft="1" zoomScale="70" zoomScaleNormal="70" workbookViewId="0"/>
  </sheetViews>
  <sheetFormatPr defaultColWidth="0" defaultRowHeight="14.25" zeroHeight="1"/>
  <cols>
    <col min="1" max="23" width="11.625" customWidth="1"/>
  </cols>
  <sheetData>
    <row r="1" spans="1:23" ht="66.75" customHeight="1">
      <c r="A1" s="12" t="s">
        <v>0</v>
      </c>
      <c r="B1" s="12" t="s">
        <v>1</v>
      </c>
      <c r="C1" s="12" t="s">
        <v>2</v>
      </c>
      <c r="D1" s="12" t="s">
        <v>167</v>
      </c>
      <c r="E1" s="12" t="s">
        <v>168</v>
      </c>
      <c r="F1" s="12" t="s">
        <v>3</v>
      </c>
      <c r="G1" s="12" t="s">
        <v>4</v>
      </c>
      <c r="H1" s="12" t="s">
        <v>169</v>
      </c>
      <c r="I1" s="12" t="s">
        <v>5</v>
      </c>
      <c r="J1" s="12" t="s">
        <v>6</v>
      </c>
      <c r="K1" s="12" t="s">
        <v>7</v>
      </c>
      <c r="L1" s="12" t="s">
        <v>170</v>
      </c>
      <c r="M1" s="12" t="s">
        <v>146</v>
      </c>
      <c r="N1" s="12" t="s">
        <v>11</v>
      </c>
      <c r="O1" s="12" t="s">
        <v>171</v>
      </c>
      <c r="P1" s="12" t="s">
        <v>172</v>
      </c>
      <c r="Q1" s="12" t="s">
        <v>155</v>
      </c>
      <c r="R1" s="12" t="s">
        <v>173</v>
      </c>
      <c r="S1" s="12" t="s">
        <v>174</v>
      </c>
      <c r="T1" s="12" t="s">
        <v>175</v>
      </c>
      <c r="U1" s="12" t="s">
        <v>20</v>
      </c>
      <c r="V1" s="12" t="s">
        <v>24</v>
      </c>
      <c r="W1" s="12" t="s">
        <v>25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  <pageSetup paperSize="9" orientation="portrait" verticalDpi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29"/>
  <dimension ref="A1:R26"/>
  <sheetViews>
    <sheetView rightToLeft="1" zoomScale="70" zoomScaleNormal="70" workbookViewId="0"/>
  </sheetViews>
  <sheetFormatPr defaultColWidth="0" defaultRowHeight="14.25" zeroHeight="1"/>
  <cols>
    <col min="1" max="18" width="11.625" customWidth="1"/>
  </cols>
  <sheetData>
    <row r="1" spans="1:18" ht="66.75" customHeight="1">
      <c r="A1" s="12" t="s">
        <v>0</v>
      </c>
      <c r="B1" s="12" t="s">
        <v>1</v>
      </c>
      <c r="C1" s="12" t="s">
        <v>152</v>
      </c>
      <c r="D1" s="12" t="s">
        <v>153</v>
      </c>
      <c r="E1" s="12" t="s">
        <v>5</v>
      </c>
      <c r="F1" s="12" t="s">
        <v>6</v>
      </c>
      <c r="G1" s="12" t="s">
        <v>7</v>
      </c>
      <c r="H1" s="12" t="s">
        <v>146</v>
      </c>
      <c r="I1" s="153" t="s">
        <v>154</v>
      </c>
      <c r="J1" s="12" t="s">
        <v>11</v>
      </c>
      <c r="K1" s="153" t="s">
        <v>155</v>
      </c>
      <c r="L1" s="12" t="s">
        <v>156</v>
      </c>
      <c r="M1" s="131" t="s">
        <v>18</v>
      </c>
      <c r="N1" s="12" t="s">
        <v>20</v>
      </c>
      <c r="O1" s="12" t="s">
        <v>21</v>
      </c>
      <c r="P1" s="12" t="s">
        <v>22</v>
      </c>
      <c r="Q1" s="137" t="s">
        <v>24</v>
      </c>
      <c r="R1" s="137" t="s">
        <v>25</v>
      </c>
    </row>
    <row r="2" spans="1:18">
      <c r="A2" s="13">
        <v>14076</v>
      </c>
      <c r="B2" s="13">
        <v>14077</v>
      </c>
      <c r="C2" s="18" t="s">
        <v>157</v>
      </c>
      <c r="D2" s="18" t="s">
        <v>158</v>
      </c>
      <c r="E2" s="18" t="s">
        <v>159</v>
      </c>
      <c r="F2" s="11" t="s">
        <v>30</v>
      </c>
      <c r="G2" s="11" t="s">
        <v>30</v>
      </c>
      <c r="H2" s="13" t="s">
        <v>160</v>
      </c>
      <c r="I2" s="13"/>
      <c r="J2" s="11" t="s">
        <v>34</v>
      </c>
      <c r="K2" s="154" t="s">
        <v>161</v>
      </c>
      <c r="L2" s="123">
        <v>-6.26</v>
      </c>
      <c r="M2" s="147">
        <v>1</v>
      </c>
      <c r="N2" s="125">
        <v>-6.26</v>
      </c>
      <c r="O2" s="13"/>
      <c r="P2" s="11" t="s">
        <v>36</v>
      </c>
      <c r="Q2" s="146">
        <v>0.75549244641522995</v>
      </c>
      <c r="R2" s="146">
        <v>-3.2727016136868198E-4</v>
      </c>
    </row>
    <row r="3" spans="1:18">
      <c r="A3" s="13">
        <v>14076</v>
      </c>
      <c r="B3" s="13">
        <v>14077</v>
      </c>
      <c r="C3" s="18" t="s">
        <v>162</v>
      </c>
      <c r="D3" s="13" t="s">
        <v>163</v>
      </c>
      <c r="E3" s="18" t="s">
        <v>164</v>
      </c>
      <c r="F3" s="11" t="s">
        <v>30</v>
      </c>
      <c r="G3" s="11" t="s">
        <v>30</v>
      </c>
      <c r="H3" s="13" t="s">
        <v>160</v>
      </c>
      <c r="I3" s="13"/>
      <c r="J3" s="11" t="s">
        <v>34</v>
      </c>
      <c r="K3" s="154" t="s">
        <v>161</v>
      </c>
      <c r="L3" s="123">
        <v>-2.0259999999999998</v>
      </c>
      <c r="M3" s="147">
        <v>1</v>
      </c>
      <c r="N3" s="125">
        <v>-2.0259999999999998</v>
      </c>
      <c r="O3" s="13"/>
      <c r="P3" s="11" t="s">
        <v>36</v>
      </c>
      <c r="Q3" s="146">
        <v>0.244507553584769</v>
      </c>
      <c r="R3" s="146">
        <v>-1.05917705593537E-4</v>
      </c>
    </row>
    <row r="4" spans="1:18">
      <c r="A4" s="13">
        <v>14076</v>
      </c>
      <c r="B4" s="13">
        <v>14078</v>
      </c>
      <c r="C4" s="18" t="s">
        <v>157</v>
      </c>
      <c r="D4" s="13" t="s">
        <v>158</v>
      </c>
      <c r="E4" s="18" t="s">
        <v>159</v>
      </c>
      <c r="F4" s="11" t="s">
        <v>30</v>
      </c>
      <c r="G4" s="11" t="s">
        <v>30</v>
      </c>
      <c r="H4" s="13" t="s">
        <v>160</v>
      </c>
      <c r="I4" s="13"/>
      <c r="J4" s="11" t="s">
        <v>34</v>
      </c>
      <c r="K4" s="154" t="s">
        <v>161</v>
      </c>
      <c r="L4" s="123">
        <v>-0.72499999999999998</v>
      </c>
      <c r="M4" s="147">
        <v>1</v>
      </c>
      <c r="N4" s="125">
        <v>-0.72499999999999998</v>
      </c>
      <c r="O4" s="13"/>
      <c r="P4" s="11" t="s">
        <v>36</v>
      </c>
      <c r="Q4" s="146">
        <v>0.44369352824505998</v>
      </c>
      <c r="R4" s="146">
        <v>-3.4788998600613898E-4</v>
      </c>
    </row>
    <row r="5" spans="1:18">
      <c r="A5" s="13">
        <v>14076</v>
      </c>
      <c r="B5" s="13">
        <v>14078</v>
      </c>
      <c r="C5" s="18" t="s">
        <v>165</v>
      </c>
      <c r="D5" s="13" t="s">
        <v>166</v>
      </c>
      <c r="E5" s="18" t="s">
        <v>159</v>
      </c>
      <c r="F5" s="11" t="s">
        <v>30</v>
      </c>
      <c r="G5" s="11" t="s">
        <v>30</v>
      </c>
      <c r="H5" s="13" t="s">
        <v>160</v>
      </c>
      <c r="I5" s="13"/>
      <c r="J5" s="11" t="s">
        <v>34</v>
      </c>
      <c r="K5" s="154" t="s">
        <v>161</v>
      </c>
      <c r="L5" s="123">
        <v>0</v>
      </c>
      <c r="M5" s="147">
        <v>1</v>
      </c>
      <c r="N5" s="125">
        <v>0</v>
      </c>
      <c r="O5" s="13"/>
      <c r="P5" s="11" t="s">
        <v>36</v>
      </c>
      <c r="Q5" s="146">
        <v>1.0406719067558E-4</v>
      </c>
      <c r="R5" s="146">
        <v>-8.1596713053316294E-8</v>
      </c>
    </row>
    <row r="6" spans="1:18">
      <c r="A6" s="13">
        <v>14076</v>
      </c>
      <c r="B6" s="13">
        <v>14078</v>
      </c>
      <c r="C6" s="18" t="s">
        <v>162</v>
      </c>
      <c r="D6" s="13" t="s">
        <v>163</v>
      </c>
      <c r="E6" s="18" t="s">
        <v>164</v>
      </c>
      <c r="F6" s="11" t="s">
        <v>30</v>
      </c>
      <c r="G6" s="11" t="s">
        <v>30</v>
      </c>
      <c r="H6" s="13" t="s">
        <v>160</v>
      </c>
      <c r="I6" s="13"/>
      <c r="J6" s="11" t="s">
        <v>34</v>
      </c>
      <c r="K6" s="154" t="s">
        <v>161</v>
      </c>
      <c r="L6" s="123">
        <v>-0.90900000000000003</v>
      </c>
      <c r="M6" s="147">
        <v>1</v>
      </c>
      <c r="N6" s="125">
        <v>-0.90900000000000003</v>
      </c>
      <c r="O6" s="13"/>
      <c r="P6" s="11" t="s">
        <v>36</v>
      </c>
      <c r="Q6" s="146">
        <v>0.55620240456426495</v>
      </c>
      <c r="R6" s="146">
        <v>-4.36105632430075E-4</v>
      </c>
    </row>
    <row r="7" spans="1:18">
      <c r="A7" s="13">
        <v>14076</v>
      </c>
      <c r="B7" s="13">
        <v>14079</v>
      </c>
      <c r="C7" s="18" t="s">
        <v>157</v>
      </c>
      <c r="D7" s="13" t="s">
        <v>158</v>
      </c>
      <c r="E7" s="18" t="s">
        <v>159</v>
      </c>
      <c r="F7" s="11" t="s">
        <v>30</v>
      </c>
      <c r="G7" s="11" t="s">
        <v>30</v>
      </c>
      <c r="H7" s="13" t="s">
        <v>160</v>
      </c>
      <c r="I7" s="13"/>
      <c r="J7" s="11" t="s">
        <v>34</v>
      </c>
      <c r="K7" s="154" t="s">
        <v>161</v>
      </c>
      <c r="L7" s="123">
        <v>-2.5640000000000001</v>
      </c>
      <c r="M7" s="147">
        <v>1</v>
      </c>
      <c r="N7" s="125">
        <v>-2.5640000000000001</v>
      </c>
      <c r="O7" s="13"/>
      <c r="P7" s="11" t="s">
        <v>36</v>
      </c>
      <c r="Q7" s="146">
        <v>0.35359262318934498</v>
      </c>
      <c r="R7" s="146">
        <v>-3.32583298221465E-4</v>
      </c>
    </row>
    <row r="8" spans="1:18">
      <c r="A8" s="13">
        <v>14076</v>
      </c>
      <c r="B8" s="13">
        <v>14079</v>
      </c>
      <c r="C8" s="18" t="s">
        <v>162</v>
      </c>
      <c r="D8" s="13" t="s">
        <v>163</v>
      </c>
      <c r="E8" s="18" t="s">
        <v>164</v>
      </c>
      <c r="F8" s="11" t="s">
        <v>30</v>
      </c>
      <c r="G8" s="11" t="s">
        <v>30</v>
      </c>
      <c r="H8" s="13" t="s">
        <v>160</v>
      </c>
      <c r="I8" s="13"/>
      <c r="J8" s="11" t="s">
        <v>34</v>
      </c>
      <c r="K8" s="154" t="s">
        <v>161</v>
      </c>
      <c r="L8" s="123">
        <v>-4.6870000000000003</v>
      </c>
      <c r="M8" s="147">
        <v>1</v>
      </c>
      <c r="N8" s="125">
        <v>-4.6870000000000003</v>
      </c>
      <c r="O8" s="13"/>
      <c r="P8" s="11" t="s">
        <v>36</v>
      </c>
      <c r="Q8" s="146">
        <v>0.64640737681065497</v>
      </c>
      <c r="R8" s="146">
        <v>-6.0799995043802398E-4</v>
      </c>
    </row>
    <row r="9" spans="1:18">
      <c r="A9" s="13">
        <v>14076</v>
      </c>
      <c r="B9" s="13">
        <v>15394</v>
      </c>
      <c r="C9" s="18" t="s">
        <v>157</v>
      </c>
      <c r="D9" s="13" t="s">
        <v>158</v>
      </c>
      <c r="E9" s="18" t="s">
        <v>159</v>
      </c>
      <c r="F9" s="11" t="s">
        <v>30</v>
      </c>
      <c r="G9" s="11" t="s">
        <v>30</v>
      </c>
      <c r="H9" s="13" t="s">
        <v>160</v>
      </c>
      <c r="I9" s="13"/>
      <c r="J9" s="11" t="s">
        <v>34</v>
      </c>
      <c r="K9" s="154" t="s">
        <v>161</v>
      </c>
      <c r="L9" s="123">
        <v>-1.8340000000000001</v>
      </c>
      <c r="M9" s="147">
        <v>1</v>
      </c>
      <c r="N9" s="125">
        <v>-1.8340000000000001</v>
      </c>
      <c r="O9" s="13"/>
      <c r="P9" s="11" t="s">
        <v>36</v>
      </c>
      <c r="Q9" s="146">
        <v>0.66217524142464002</v>
      </c>
      <c r="R9" s="146">
        <v>-3.3274755511621899E-4</v>
      </c>
    </row>
    <row r="10" spans="1:18">
      <c r="A10" s="13">
        <v>14076</v>
      </c>
      <c r="B10" s="13">
        <v>15394</v>
      </c>
      <c r="C10" s="18" t="s">
        <v>162</v>
      </c>
      <c r="D10" s="13" t="s">
        <v>163</v>
      </c>
      <c r="E10" s="18" t="s">
        <v>164</v>
      </c>
      <c r="F10" s="11" t="s">
        <v>30</v>
      </c>
      <c r="G10" s="11" t="s">
        <v>30</v>
      </c>
      <c r="H10" s="13" t="s">
        <v>160</v>
      </c>
      <c r="I10" s="13"/>
      <c r="J10" s="11" t="s">
        <v>34</v>
      </c>
      <c r="K10" s="154" t="s">
        <v>161</v>
      </c>
      <c r="L10" s="123">
        <v>-0.93500000000000005</v>
      </c>
      <c r="M10" s="147">
        <v>1</v>
      </c>
      <c r="N10" s="125">
        <v>-0.93500000000000005</v>
      </c>
      <c r="O10" s="13"/>
      <c r="P10" s="11" t="s">
        <v>36</v>
      </c>
      <c r="Q10" s="146">
        <v>0.33782475857535998</v>
      </c>
      <c r="R10" s="146">
        <v>-1.6975923508078E-4</v>
      </c>
    </row>
    <row r="11" spans="1:18">
      <c r="A11" s="13">
        <v>161</v>
      </c>
      <c r="B11" s="13">
        <v>1434</v>
      </c>
      <c r="C11" s="18" t="s">
        <v>157</v>
      </c>
      <c r="D11" s="13" t="s">
        <v>158</v>
      </c>
      <c r="E11" s="18" t="s">
        <v>159</v>
      </c>
      <c r="F11" s="11" t="s">
        <v>30</v>
      </c>
      <c r="G11" s="11" t="s">
        <v>30</v>
      </c>
      <c r="H11" s="13" t="s">
        <v>160</v>
      </c>
      <c r="I11" s="13"/>
      <c r="J11" s="11" t="s">
        <v>34</v>
      </c>
      <c r="K11" s="154" t="s">
        <v>161</v>
      </c>
      <c r="L11" s="123">
        <v>-7.27</v>
      </c>
      <c r="M11" s="147">
        <v>1</v>
      </c>
      <c r="N11" s="125">
        <v>-7.27</v>
      </c>
      <c r="O11" s="13"/>
      <c r="P11" s="11" t="s">
        <v>36</v>
      </c>
      <c r="Q11" s="146">
        <v>0.99983497555575396</v>
      </c>
      <c r="R11" s="146">
        <v>-3.2268154344004899E-4</v>
      </c>
    </row>
    <row r="12" spans="1:18">
      <c r="A12" s="13">
        <v>161</v>
      </c>
      <c r="B12" s="13">
        <v>1434</v>
      </c>
      <c r="C12" s="18" t="s">
        <v>162</v>
      </c>
      <c r="D12" s="13" t="s">
        <v>163</v>
      </c>
      <c r="E12" s="18" t="s">
        <v>164</v>
      </c>
      <c r="F12" s="11" t="s">
        <v>30</v>
      </c>
      <c r="G12" s="11" t="s">
        <v>30</v>
      </c>
      <c r="H12" s="13" t="s">
        <v>160</v>
      </c>
      <c r="I12" s="13"/>
      <c r="J12" s="11" t="s">
        <v>34</v>
      </c>
      <c r="K12" s="154" t="s">
        <v>161</v>
      </c>
      <c r="L12" s="123">
        <v>-1E-3</v>
      </c>
      <c r="M12" s="147">
        <v>1</v>
      </c>
      <c r="N12" s="125">
        <v>-1E-3</v>
      </c>
      <c r="O12" s="13"/>
      <c r="P12" s="11" t="s">
        <v>36</v>
      </c>
      <c r="Q12" s="146">
        <v>1.6502444424580401E-4</v>
      </c>
      <c r="R12" s="146">
        <v>-5.3259131433138099E-8</v>
      </c>
    </row>
    <row r="13" spans="1:18">
      <c r="A13" s="13">
        <v>161</v>
      </c>
      <c r="B13" s="13">
        <v>9938</v>
      </c>
      <c r="C13" s="18" t="s">
        <v>157</v>
      </c>
      <c r="D13" s="13" t="s">
        <v>158</v>
      </c>
      <c r="E13" s="18" t="s">
        <v>159</v>
      </c>
      <c r="F13" s="11" t="s">
        <v>30</v>
      </c>
      <c r="G13" s="11" t="s">
        <v>30</v>
      </c>
      <c r="H13" s="13" t="s">
        <v>160</v>
      </c>
      <c r="I13" s="13"/>
      <c r="J13" s="11" t="s">
        <v>34</v>
      </c>
      <c r="K13" s="154" t="s">
        <v>161</v>
      </c>
      <c r="L13" s="123">
        <v>-26.556000000000001</v>
      </c>
      <c r="M13" s="147">
        <v>1</v>
      </c>
      <c r="N13" s="125">
        <v>-26.556000000000001</v>
      </c>
      <c r="O13" s="13"/>
      <c r="P13" s="11" t="s">
        <v>36</v>
      </c>
      <c r="Q13" s="146">
        <v>0.74352333637212797</v>
      </c>
      <c r="R13" s="146">
        <v>-3.3113584240116503E-4</v>
      </c>
    </row>
    <row r="14" spans="1:18">
      <c r="A14" s="13">
        <v>161</v>
      </c>
      <c r="B14" s="13">
        <v>9938</v>
      </c>
      <c r="C14" s="18" t="s">
        <v>165</v>
      </c>
      <c r="D14" s="13" t="s">
        <v>166</v>
      </c>
      <c r="E14" s="18" t="s">
        <v>159</v>
      </c>
      <c r="F14" s="11" t="s">
        <v>30</v>
      </c>
      <c r="G14" s="11" t="s">
        <v>30</v>
      </c>
      <c r="H14" s="13" t="s">
        <v>160</v>
      </c>
      <c r="I14" s="13"/>
      <c r="J14" s="11" t="s">
        <v>34</v>
      </c>
      <c r="K14" s="154" t="s">
        <v>161</v>
      </c>
      <c r="L14" s="123">
        <v>1.361</v>
      </c>
      <c r="M14" s="147">
        <v>1</v>
      </c>
      <c r="N14" s="125">
        <v>1.361</v>
      </c>
      <c r="O14" s="13"/>
      <c r="P14" s="11" t="s">
        <v>36</v>
      </c>
      <c r="Q14" s="146">
        <v>-3.8103456385835802E-2</v>
      </c>
      <c r="R14" s="146">
        <v>1.6969770162539801E-5</v>
      </c>
    </row>
    <row r="15" spans="1:18">
      <c r="A15" s="13">
        <v>161</v>
      </c>
      <c r="B15" s="13">
        <v>9938</v>
      </c>
      <c r="C15" s="18" t="s">
        <v>162</v>
      </c>
      <c r="D15" s="13" t="s">
        <v>163</v>
      </c>
      <c r="E15" s="18" t="s">
        <v>164</v>
      </c>
      <c r="F15" s="11" t="s">
        <v>30</v>
      </c>
      <c r="G15" s="11" t="s">
        <v>30</v>
      </c>
      <c r="H15" s="13" t="s">
        <v>160</v>
      </c>
      <c r="I15" s="13"/>
      <c r="J15" s="11" t="s">
        <v>34</v>
      </c>
      <c r="K15" s="154" t="s">
        <v>161</v>
      </c>
      <c r="L15" s="123">
        <v>-10.521000000000001</v>
      </c>
      <c r="M15" s="147">
        <v>1</v>
      </c>
      <c r="N15" s="125">
        <v>-10.521000000000001</v>
      </c>
      <c r="O15" s="13"/>
      <c r="P15" s="11" t="s">
        <v>36</v>
      </c>
      <c r="Q15" s="146">
        <v>0.29458012001370798</v>
      </c>
      <c r="R15" s="146">
        <v>-1.3119431687421101E-4</v>
      </c>
    </row>
    <row r="16" spans="1:18">
      <c r="A16" s="13">
        <v>161</v>
      </c>
      <c r="B16" s="13">
        <v>9942</v>
      </c>
      <c r="C16" s="18" t="s">
        <v>157</v>
      </c>
      <c r="D16" s="13" t="s">
        <v>158</v>
      </c>
      <c r="E16" s="18" t="s">
        <v>159</v>
      </c>
      <c r="F16" s="11" t="s">
        <v>30</v>
      </c>
      <c r="G16" s="11" t="s">
        <v>30</v>
      </c>
      <c r="H16" s="13" t="s">
        <v>160</v>
      </c>
      <c r="I16" s="13"/>
      <c r="J16" s="11" t="s">
        <v>34</v>
      </c>
      <c r="K16" s="154" t="s">
        <v>161</v>
      </c>
      <c r="L16" s="123">
        <v>-31.504000000000001</v>
      </c>
      <c r="M16" s="147">
        <v>1</v>
      </c>
      <c r="N16" s="125">
        <v>-31.504000000000001</v>
      </c>
      <c r="O16" s="13"/>
      <c r="P16" s="11" t="s">
        <v>36</v>
      </c>
      <c r="Q16" s="146">
        <v>0.76054023558176398</v>
      </c>
      <c r="R16" s="146">
        <v>-3.3179106693312902E-4</v>
      </c>
    </row>
    <row r="17" spans="1:18">
      <c r="A17" s="13">
        <v>161</v>
      </c>
      <c r="B17" s="13">
        <v>9942</v>
      </c>
      <c r="C17" s="18" t="s">
        <v>165</v>
      </c>
      <c r="D17" s="13" t="s">
        <v>166</v>
      </c>
      <c r="E17" s="18" t="s">
        <v>159</v>
      </c>
      <c r="F17" s="11" t="s">
        <v>30</v>
      </c>
      <c r="G17" s="11" t="s">
        <v>30</v>
      </c>
      <c r="H17" s="13" t="s">
        <v>160</v>
      </c>
      <c r="I17" s="13"/>
      <c r="J17" s="11" t="s">
        <v>34</v>
      </c>
      <c r="K17" s="154" t="s">
        <v>161</v>
      </c>
      <c r="L17" s="123">
        <v>2.0219999999999998</v>
      </c>
      <c r="M17" s="147">
        <v>1</v>
      </c>
      <c r="N17" s="125">
        <v>2.0219999999999998</v>
      </c>
      <c r="O17" s="13"/>
      <c r="P17" s="11" t="s">
        <v>36</v>
      </c>
      <c r="Q17" s="146">
        <v>-4.8822875760349001E-2</v>
      </c>
      <c r="R17" s="146">
        <v>2.1299325507582901E-5</v>
      </c>
    </row>
    <row r="18" spans="1:18">
      <c r="A18" s="13">
        <v>161</v>
      </c>
      <c r="B18" s="13">
        <v>9942</v>
      </c>
      <c r="C18" s="18" t="s">
        <v>162</v>
      </c>
      <c r="D18" s="13" t="s">
        <v>163</v>
      </c>
      <c r="E18" s="18" t="s">
        <v>164</v>
      </c>
      <c r="F18" s="11" t="s">
        <v>30</v>
      </c>
      <c r="G18" s="11" t="s">
        <v>30</v>
      </c>
      <c r="H18" s="13" t="s">
        <v>160</v>
      </c>
      <c r="I18" s="13"/>
      <c r="J18" s="11" t="s">
        <v>34</v>
      </c>
      <c r="K18" s="154" t="s">
        <v>161</v>
      </c>
      <c r="L18" s="123">
        <v>-11.942</v>
      </c>
      <c r="M18" s="147">
        <v>1</v>
      </c>
      <c r="N18" s="125">
        <v>-11.942</v>
      </c>
      <c r="O18" s="13"/>
      <c r="P18" s="11" t="s">
        <v>36</v>
      </c>
      <c r="Q18" s="146">
        <v>0.28828264017858501</v>
      </c>
      <c r="R18" s="146">
        <v>-1.25765344538263E-4</v>
      </c>
    </row>
    <row r="19" spans="1:18">
      <c r="A19" s="13">
        <v>161</v>
      </c>
      <c r="B19" s="13">
        <v>9943</v>
      </c>
      <c r="C19" s="18" t="s">
        <v>157</v>
      </c>
      <c r="D19" s="13" t="s">
        <v>158</v>
      </c>
      <c r="E19" s="18" t="s">
        <v>159</v>
      </c>
      <c r="F19" s="11" t="s">
        <v>30</v>
      </c>
      <c r="G19" s="11" t="s">
        <v>30</v>
      </c>
      <c r="H19" s="13" t="s">
        <v>160</v>
      </c>
      <c r="I19" s="13"/>
      <c r="J19" s="11" t="s">
        <v>34</v>
      </c>
      <c r="K19" s="154" t="s">
        <v>161</v>
      </c>
      <c r="L19" s="123">
        <v>-631.66499999999996</v>
      </c>
      <c r="M19" s="147">
        <v>1</v>
      </c>
      <c r="N19" s="125">
        <v>-631.66499999999996</v>
      </c>
      <c r="O19" s="13"/>
      <c r="P19" s="11" t="s">
        <v>36</v>
      </c>
      <c r="Q19" s="146">
        <v>1.06897423322697</v>
      </c>
      <c r="R19" s="146">
        <v>-3.3498189404544698E-4</v>
      </c>
    </row>
    <row r="20" spans="1:18">
      <c r="A20" s="2">
        <v>161</v>
      </c>
      <c r="B20" s="2">
        <v>9943</v>
      </c>
      <c r="C20" s="2" t="s">
        <v>165</v>
      </c>
      <c r="D20" s="2" t="s">
        <v>166</v>
      </c>
      <c r="E20" s="18" t="s">
        <v>159</v>
      </c>
      <c r="F20" s="11" t="s">
        <v>30</v>
      </c>
      <c r="G20" s="11" t="s">
        <v>30</v>
      </c>
      <c r="H20" s="13" t="s">
        <v>160</v>
      </c>
      <c r="I20" s="2"/>
      <c r="J20" s="2" t="s">
        <v>34</v>
      </c>
      <c r="K20" s="156" t="s">
        <v>161</v>
      </c>
      <c r="L20" s="123">
        <v>123.375</v>
      </c>
      <c r="M20" s="132">
        <v>1</v>
      </c>
      <c r="N20" s="123">
        <v>123.375</v>
      </c>
      <c r="O20" s="2"/>
      <c r="P20" s="11" t="s">
        <v>36</v>
      </c>
      <c r="Q20" s="138">
        <v>-0.20878925110344199</v>
      </c>
      <c r="R20" s="138">
        <v>6.5427787328257707E-5</v>
      </c>
    </row>
    <row r="21" spans="1:18">
      <c r="A21" s="2">
        <v>161</v>
      </c>
      <c r="B21" s="2">
        <v>9943</v>
      </c>
      <c r="C21" s="2" t="s">
        <v>162</v>
      </c>
      <c r="D21" s="2" t="s">
        <v>163</v>
      </c>
      <c r="E21" s="2" t="s">
        <v>164</v>
      </c>
      <c r="F21" s="2" t="s">
        <v>30</v>
      </c>
      <c r="G21" s="2" t="s">
        <v>30</v>
      </c>
      <c r="H21" s="2" t="s">
        <v>160</v>
      </c>
      <c r="I21" s="2"/>
      <c r="J21" s="2" t="s">
        <v>34</v>
      </c>
      <c r="K21" s="156" t="s">
        <v>161</v>
      </c>
      <c r="L21" s="123">
        <v>-82.617999999999995</v>
      </c>
      <c r="M21" s="132">
        <v>1</v>
      </c>
      <c r="N21" s="123">
        <v>-82.617999999999995</v>
      </c>
      <c r="O21" s="2"/>
      <c r="P21" s="2" t="s">
        <v>36</v>
      </c>
      <c r="Q21" s="138">
        <v>0.13981501787647399</v>
      </c>
      <c r="R21" s="138">
        <v>-4.3813497134420803E-5</v>
      </c>
    </row>
    <row r="22" spans="1:18">
      <c r="A22" s="2">
        <v>161</v>
      </c>
      <c r="B22" s="2">
        <v>12468</v>
      </c>
      <c r="C22" s="2" t="s">
        <v>157</v>
      </c>
      <c r="D22" s="2" t="s">
        <v>158</v>
      </c>
      <c r="E22" s="2" t="s">
        <v>159</v>
      </c>
      <c r="F22" s="2" t="s">
        <v>30</v>
      </c>
      <c r="G22" s="2" t="s">
        <v>30</v>
      </c>
      <c r="H22" s="2" t="s">
        <v>160</v>
      </c>
      <c r="I22" s="2"/>
      <c r="J22" s="2" t="s">
        <v>34</v>
      </c>
      <c r="K22" s="156" t="s">
        <v>161</v>
      </c>
      <c r="L22" s="123">
        <v>-7.0609999999999999</v>
      </c>
      <c r="M22" s="132">
        <v>1</v>
      </c>
      <c r="N22" s="123">
        <v>-7.0609999999999999</v>
      </c>
      <c r="O22" s="2"/>
      <c r="P22" s="2" t="s">
        <v>36</v>
      </c>
      <c r="Q22" s="138">
        <v>1.0342751768977601</v>
      </c>
      <c r="R22" s="138">
        <v>-3.3369151392516301E-4</v>
      </c>
    </row>
    <row r="23" spans="1:18">
      <c r="A23" s="2">
        <v>161</v>
      </c>
      <c r="B23" s="2">
        <v>12468</v>
      </c>
      <c r="C23" s="2" t="s">
        <v>165</v>
      </c>
      <c r="D23" s="2" t="s">
        <v>166</v>
      </c>
      <c r="E23" s="2" t="s">
        <v>159</v>
      </c>
      <c r="F23" s="2" t="s">
        <v>30</v>
      </c>
      <c r="G23" s="2" t="s">
        <v>30</v>
      </c>
      <c r="H23" s="2" t="s">
        <v>160</v>
      </c>
      <c r="I23" s="2"/>
      <c r="J23" s="2" t="s">
        <v>34</v>
      </c>
      <c r="K23" s="156" t="s">
        <v>161</v>
      </c>
      <c r="L23" s="123">
        <v>0.23300000000000001</v>
      </c>
      <c r="M23" s="132">
        <v>1</v>
      </c>
      <c r="N23" s="123">
        <v>0.23300000000000001</v>
      </c>
      <c r="O23" s="2"/>
      <c r="P23" s="2" t="s">
        <v>36</v>
      </c>
      <c r="Q23" s="138">
        <v>-3.40950202053786E-2</v>
      </c>
      <c r="R23" s="138">
        <v>1.10001856022176E-5</v>
      </c>
    </row>
    <row r="24" spans="1:18">
      <c r="A24" s="2">
        <v>161</v>
      </c>
      <c r="B24" s="2">
        <v>12468</v>
      </c>
      <c r="C24" s="2" t="s">
        <v>162</v>
      </c>
      <c r="D24" s="2" t="s">
        <v>163</v>
      </c>
      <c r="E24" s="2" t="s">
        <v>164</v>
      </c>
      <c r="F24" s="2" t="s">
        <v>30</v>
      </c>
      <c r="G24" s="2" t="s">
        <v>30</v>
      </c>
      <c r="H24" s="2" t="s">
        <v>160</v>
      </c>
      <c r="I24" s="2"/>
      <c r="J24" s="2" t="s">
        <v>34</v>
      </c>
      <c r="K24" s="156" t="s">
        <v>161</v>
      </c>
      <c r="L24" s="123">
        <v>1E-3</v>
      </c>
      <c r="M24" s="132">
        <v>1</v>
      </c>
      <c r="N24" s="123">
        <v>1E-3</v>
      </c>
      <c r="O24" s="2"/>
      <c r="P24" s="2" t="s">
        <v>36</v>
      </c>
      <c r="Q24" s="138">
        <v>-1.8015669238171501E-4</v>
      </c>
      <c r="R24" s="138">
        <v>5.8124530847700298E-8</v>
      </c>
    </row>
    <row r="25" spans="1:18">
      <c r="A25" s="2">
        <v>161</v>
      </c>
      <c r="B25" s="2">
        <v>15391</v>
      </c>
      <c r="C25" s="2" t="s">
        <v>157</v>
      </c>
      <c r="D25" s="2" t="s">
        <v>158</v>
      </c>
      <c r="E25" s="2" t="s">
        <v>159</v>
      </c>
      <c r="F25" s="2" t="s">
        <v>30</v>
      </c>
      <c r="G25" s="2" t="s">
        <v>30</v>
      </c>
      <c r="H25" s="2" t="s">
        <v>160</v>
      </c>
      <c r="I25" s="2"/>
      <c r="J25" s="2" t="s">
        <v>34</v>
      </c>
      <c r="K25" s="156" t="s">
        <v>161</v>
      </c>
      <c r="L25" s="123">
        <v>-3.7679999999999998</v>
      </c>
      <c r="M25" s="132">
        <v>1</v>
      </c>
      <c r="N25" s="123">
        <v>-3.7679999999999998</v>
      </c>
      <c r="O25" s="2"/>
      <c r="P25" s="2" t="s">
        <v>36</v>
      </c>
      <c r="Q25" s="138">
        <v>1.00015660834112</v>
      </c>
      <c r="R25" s="138">
        <v>-3.3232618260002302E-4</v>
      </c>
    </row>
    <row r="26" spans="1:18">
      <c r="A26" s="2">
        <v>161</v>
      </c>
      <c r="B26" s="2">
        <v>15391</v>
      </c>
      <c r="C26" s="2" t="s">
        <v>162</v>
      </c>
      <c r="D26" s="2" t="s">
        <v>163</v>
      </c>
      <c r="E26" s="2" t="s">
        <v>164</v>
      </c>
      <c r="F26" s="2" t="s">
        <v>30</v>
      </c>
      <c r="G26" s="2" t="s">
        <v>30</v>
      </c>
      <c r="H26" s="2" t="s">
        <v>160</v>
      </c>
      <c r="I26" s="2"/>
      <c r="J26" s="2" t="s">
        <v>34</v>
      </c>
      <c r="K26" s="156" t="s">
        <v>161</v>
      </c>
      <c r="L26" s="123">
        <v>1E-3</v>
      </c>
      <c r="M26" s="132">
        <v>1</v>
      </c>
      <c r="N26" s="123">
        <v>1E-3</v>
      </c>
      <c r="O26" s="2"/>
      <c r="P26" s="2" t="s">
        <v>36</v>
      </c>
      <c r="Q26" s="138">
        <v>-1.56608341119511E-4</v>
      </c>
      <c r="R26" s="138">
        <v>5.2036902754551799E-8</v>
      </c>
    </row>
  </sheetData>
  <sheetProtection formatColumns="0"/>
  <customSheetViews>
    <customSheetView guid="{AE318230-F718-49FC-82EB-7CAC3DCD05F1}" showGridLines="0" hiddenRows="1">
      <selection activeCell="K2" sqref="K2"/>
      <pageMargins left="0.7" right="0.7" top="0.75" bottom="0.75" header="0.3" footer="0.3"/>
      <pageSetup orientation="portrait"/>
    </customSheetView>
  </customSheetViews>
  <dataValidations count="5">
    <dataValidation type="list" allowBlank="1" showInputMessage="1" showErrorMessage="1" sqref="F2:F20" xr:uid="{00000000-0002-0000-1C00-000000000000}">
      <formula1>israel_abroad</formula1>
    </dataValidation>
    <dataValidation type="list" allowBlank="1" showInputMessage="1" showErrorMessage="1" sqref="H2:H20" xr:uid="{00000000-0002-0000-1C00-000001000000}">
      <formula1>Holding_interest</formula1>
    </dataValidation>
    <dataValidation type="list" allowBlank="1" showInputMessage="1" showErrorMessage="1" sqref="P2:P20" xr:uid="{00000000-0002-0000-1C00-000002000000}">
      <formula1>In_the_books</formula1>
    </dataValidation>
    <dataValidation type="list" allowBlank="1" showInputMessage="1" showErrorMessage="1" sqref="G2:G20" xr:uid="{00000000-0002-0000-1C00-000003000000}">
      <formula1>Country_list</formula1>
    </dataValidation>
    <dataValidation type="list" allowBlank="1" showInputMessage="1" showErrorMessage="1" sqref="E2:E20" xr:uid="{00000000-0002-0000-1C00-000004000000}">
      <formula1>other_investments</formula1>
    </dataValidation>
  </dataValidations>
  <pageMargins left="0.7" right="0.7" top="0.75" bottom="0.75" header="0.3" footer="0.3"/>
  <pageSetup orientation="portrait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Sheet30"/>
  <dimension ref="A1:T11"/>
  <sheetViews>
    <sheetView rightToLeft="1" zoomScale="70" zoomScaleNormal="70" workbookViewId="0">
      <selection activeCell="A2" sqref="A2"/>
    </sheetView>
  </sheetViews>
  <sheetFormatPr defaultColWidth="0" defaultRowHeight="14.1" customHeight="1" zeroHeight="1"/>
  <cols>
    <col min="1" max="20" width="11.625" customWidth="1"/>
    <col min="21" max="22" width="0" hidden="1" customWidth="1"/>
  </cols>
  <sheetData>
    <row r="1" spans="1:20" ht="66.75" customHeight="1">
      <c r="A1" s="12" t="s">
        <v>0</v>
      </c>
      <c r="B1" s="12" t="s">
        <v>1</v>
      </c>
      <c r="C1" s="12" t="s">
        <v>141</v>
      </c>
      <c r="D1" s="12" t="s">
        <v>142</v>
      </c>
      <c r="E1" s="12" t="s">
        <v>143</v>
      </c>
      <c r="F1" s="12" t="s">
        <v>144</v>
      </c>
      <c r="G1" s="12" t="s">
        <v>145</v>
      </c>
      <c r="H1" s="12" t="s">
        <v>6</v>
      </c>
      <c r="I1" s="12" t="s">
        <v>7</v>
      </c>
      <c r="J1" s="12" t="s">
        <v>146</v>
      </c>
      <c r="K1" s="12" t="s">
        <v>9</v>
      </c>
      <c r="L1" s="12" t="s">
        <v>10</v>
      </c>
      <c r="M1" s="12" t="s">
        <v>147</v>
      </c>
      <c r="N1" s="12" t="s">
        <v>11</v>
      </c>
      <c r="O1" s="12" t="s">
        <v>18</v>
      </c>
      <c r="P1" s="119" t="s">
        <v>14</v>
      </c>
      <c r="Q1" s="12" t="s">
        <v>148</v>
      </c>
      <c r="R1" s="12" t="s">
        <v>149</v>
      </c>
      <c r="S1" s="12" t="s">
        <v>150</v>
      </c>
      <c r="T1" s="12" t="s">
        <v>151</v>
      </c>
    </row>
    <row r="10" spans="1:20" ht="13.5" hidden="1" customHeight="1"/>
    <row r="11" spans="1:20" ht="13.5" hidden="1" customHeight="1"/>
  </sheetData>
  <sheetProtection formatColumns="0"/>
  <dataConsolidate/>
  <customSheetViews>
    <customSheetView guid="{AE318230-F718-49FC-82EB-7CAC3DCD05F1}" showGridLines="0" hiddenRows="1">
      <selection activeCell="F2" sqref="F2"/>
      <pageMargins left="0.7" right="0.7" top="0.75" bottom="0.75" header="0.3" footer="0.3"/>
    </customSheetView>
  </customSheetViews>
  <pageMargins left="0.7" right="0.7" top="0.75" bottom="0.75" header="0.3" footer="0.3"/>
  <pageSetup paperSize="9" orientation="portrait" verticalDpi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Sheet34"/>
  <dimension ref="A1:V69"/>
  <sheetViews>
    <sheetView rightToLeft="1" topLeftCell="J1" zoomScale="90" zoomScaleNormal="90" workbookViewId="0">
      <selection activeCell="O62" sqref="O2:O62"/>
    </sheetView>
  </sheetViews>
  <sheetFormatPr defaultColWidth="0" defaultRowHeight="14.1" customHeight="1" zeroHeight="1"/>
  <cols>
    <col min="1" max="2" width="11.625" customWidth="1"/>
    <col min="3" max="3" width="15.375" customWidth="1"/>
    <col min="4" max="6" width="11.625" customWidth="1"/>
    <col min="7" max="7" width="14.25" customWidth="1"/>
    <col min="8" max="8" width="11.625" customWidth="1"/>
    <col min="9" max="9" width="12.625" customWidth="1"/>
    <col min="10" max="17" width="11.625" customWidth="1"/>
    <col min="18" max="22" width="11.625" hidden="1" customWidth="1"/>
  </cols>
  <sheetData>
    <row r="1" spans="1:17" ht="66.75" customHeight="1">
      <c r="A1" s="166" t="s">
        <v>0</v>
      </c>
      <c r="B1" s="166" t="s">
        <v>1</v>
      </c>
      <c r="C1" s="166" t="s">
        <v>5</v>
      </c>
      <c r="D1" s="166" t="s">
        <v>228</v>
      </c>
      <c r="E1" s="166" t="s">
        <v>229</v>
      </c>
      <c r="F1" s="166" t="s">
        <v>230</v>
      </c>
      <c r="G1" s="166" t="s">
        <v>231</v>
      </c>
      <c r="H1" s="166" t="s">
        <v>232</v>
      </c>
      <c r="I1" s="166" t="s">
        <v>233</v>
      </c>
      <c r="J1" s="166" t="s">
        <v>11</v>
      </c>
      <c r="K1" s="166" t="s">
        <v>234</v>
      </c>
      <c r="L1" s="166" t="s">
        <v>235</v>
      </c>
      <c r="M1" s="166" t="s">
        <v>236</v>
      </c>
      <c r="N1" s="166" t="s">
        <v>237</v>
      </c>
      <c r="O1" s="166" t="s">
        <v>238</v>
      </c>
      <c r="P1" s="166" t="s">
        <v>239</v>
      </c>
      <c r="Q1" s="166" t="s">
        <v>240</v>
      </c>
    </row>
    <row r="2" spans="1:17" ht="14.1" customHeight="1">
      <c r="A2" s="167">
        <v>161</v>
      </c>
      <c r="B2" s="167">
        <v>9943</v>
      </c>
      <c r="C2" s="167" t="s">
        <v>3091</v>
      </c>
      <c r="D2" s="167" t="s">
        <v>3092</v>
      </c>
      <c r="E2" s="167" t="s">
        <v>3093</v>
      </c>
      <c r="F2" s="168" t="s">
        <v>3094</v>
      </c>
      <c r="G2" s="167" t="s">
        <v>2752</v>
      </c>
      <c r="H2" s="167" t="s">
        <v>3095</v>
      </c>
      <c r="I2" s="168" t="s">
        <v>33</v>
      </c>
      <c r="J2" s="167" t="s">
        <v>90</v>
      </c>
      <c r="K2" s="169">
        <v>45716</v>
      </c>
      <c r="L2" s="170">
        <v>1000</v>
      </c>
      <c r="M2" s="170">
        <v>3372</v>
      </c>
      <c r="N2" s="170">
        <v>756.40800000000002</v>
      </c>
      <c r="O2" s="170">
        <v>2550.6077759999998</v>
      </c>
      <c r="P2" s="168" t="s">
        <v>3096</v>
      </c>
      <c r="Q2" s="171">
        <v>49096</v>
      </c>
    </row>
    <row r="3" spans="1:17" ht="14.1" customHeight="1">
      <c r="A3" s="167">
        <v>161</v>
      </c>
      <c r="B3" s="167">
        <v>9943</v>
      </c>
      <c r="C3" s="167" t="s">
        <v>517</v>
      </c>
      <c r="D3" s="167" t="s">
        <v>2763</v>
      </c>
      <c r="E3" s="167" t="s">
        <v>3097</v>
      </c>
      <c r="F3" s="168" t="s">
        <v>3094</v>
      </c>
      <c r="G3" s="167" t="s">
        <v>3098</v>
      </c>
      <c r="H3" s="167" t="s">
        <v>3099</v>
      </c>
      <c r="I3" s="168" t="s">
        <v>33</v>
      </c>
      <c r="J3" s="167" t="s">
        <v>1200</v>
      </c>
      <c r="K3" s="169">
        <v>44421</v>
      </c>
      <c r="L3" s="170">
        <v>1250</v>
      </c>
      <c r="M3" s="170">
        <v>4944</v>
      </c>
      <c r="N3" s="170">
        <v>242.25897000000001</v>
      </c>
      <c r="O3" s="170">
        <v>958.18267814399996</v>
      </c>
      <c r="P3" s="168" t="s">
        <v>3100</v>
      </c>
      <c r="Q3" s="171">
        <v>48061</v>
      </c>
    </row>
    <row r="4" spans="1:17" ht="13.5" customHeight="1">
      <c r="A4" s="167">
        <v>161</v>
      </c>
      <c r="B4" s="167">
        <v>9943</v>
      </c>
      <c r="C4" s="167" t="s">
        <v>3101</v>
      </c>
      <c r="D4" s="167" t="s">
        <v>3102</v>
      </c>
      <c r="E4" s="167" t="s">
        <v>2770</v>
      </c>
      <c r="F4" s="168" t="s">
        <v>3094</v>
      </c>
      <c r="G4" s="167" t="s">
        <v>2771</v>
      </c>
      <c r="H4" s="167" t="s">
        <v>3103</v>
      </c>
      <c r="I4" s="168" t="s">
        <v>33</v>
      </c>
      <c r="J4" s="167" t="s">
        <v>90</v>
      </c>
      <c r="K4" s="169">
        <v>45463</v>
      </c>
      <c r="L4" s="170">
        <v>1600</v>
      </c>
      <c r="M4" s="170">
        <v>5395.2</v>
      </c>
      <c r="N4" s="170">
        <v>79.959999999999994</v>
      </c>
      <c r="O4" s="170">
        <v>269.62511999999998</v>
      </c>
      <c r="P4" s="168" t="s">
        <v>3104</v>
      </c>
      <c r="Q4" s="171">
        <v>47757</v>
      </c>
    </row>
    <row r="5" spans="1:17" ht="13.5" customHeight="1">
      <c r="A5" s="167">
        <v>161</v>
      </c>
      <c r="B5" s="167">
        <v>9943</v>
      </c>
      <c r="C5" s="167" t="s">
        <v>3105</v>
      </c>
      <c r="D5" s="167" t="s">
        <v>2775</v>
      </c>
      <c r="E5" s="167" t="s">
        <v>2776</v>
      </c>
      <c r="F5" s="168" t="s">
        <v>3094</v>
      </c>
      <c r="G5" s="167" t="s">
        <v>3106</v>
      </c>
      <c r="H5" s="167" t="s">
        <v>3107</v>
      </c>
      <c r="I5" s="168" t="s">
        <v>33</v>
      </c>
      <c r="J5" s="167" t="s">
        <v>90</v>
      </c>
      <c r="K5" s="169">
        <v>44392</v>
      </c>
      <c r="L5" s="170">
        <v>1500</v>
      </c>
      <c r="M5" s="170">
        <v>5058</v>
      </c>
      <c r="N5" s="170">
        <v>96</v>
      </c>
      <c r="O5" s="170">
        <v>323.71199999999999</v>
      </c>
      <c r="P5" s="168" t="s">
        <v>3108</v>
      </c>
      <c r="Q5" s="171">
        <v>48030</v>
      </c>
    </row>
    <row r="6" spans="1:17" ht="14.1" customHeight="1">
      <c r="A6" s="167">
        <v>161</v>
      </c>
      <c r="B6" s="167">
        <v>9943</v>
      </c>
      <c r="C6" s="167" t="s">
        <v>3091</v>
      </c>
      <c r="D6" s="167" t="s">
        <v>2909</v>
      </c>
      <c r="E6" s="167" t="s">
        <v>3109</v>
      </c>
      <c r="F6" s="168" t="s">
        <v>3094</v>
      </c>
      <c r="G6" s="167" t="s">
        <v>3110</v>
      </c>
      <c r="H6" s="167" t="s">
        <v>3111</v>
      </c>
      <c r="I6" s="168" t="s">
        <v>33</v>
      </c>
      <c r="J6" s="167" t="s">
        <v>90</v>
      </c>
      <c r="K6" s="169">
        <v>45595</v>
      </c>
      <c r="L6" s="170">
        <v>2700</v>
      </c>
      <c r="M6" s="170">
        <v>9104.4</v>
      </c>
      <c r="N6" s="170">
        <v>2589.2183999999997</v>
      </c>
      <c r="O6" s="170">
        <v>8730.8444447999991</v>
      </c>
      <c r="P6" s="168" t="s">
        <v>3112</v>
      </c>
      <c r="Q6" s="171">
        <v>49218</v>
      </c>
    </row>
    <row r="7" spans="1:17" ht="14.1" customHeight="1">
      <c r="A7" s="167">
        <v>161</v>
      </c>
      <c r="B7" s="167">
        <v>9943</v>
      </c>
      <c r="C7" s="167" t="s">
        <v>3113</v>
      </c>
      <c r="D7" s="167" t="s">
        <v>3114</v>
      </c>
      <c r="E7" s="167" t="s">
        <v>3115</v>
      </c>
      <c r="F7" s="168" t="s">
        <v>3094</v>
      </c>
      <c r="G7" s="167" t="s">
        <v>2793</v>
      </c>
      <c r="H7" s="167" t="s">
        <v>3116</v>
      </c>
      <c r="I7" s="168" t="s">
        <v>33</v>
      </c>
      <c r="J7" s="167" t="s">
        <v>90</v>
      </c>
      <c r="K7" s="169">
        <v>45531</v>
      </c>
      <c r="L7" s="170">
        <v>1900</v>
      </c>
      <c r="M7" s="170">
        <v>6406.8</v>
      </c>
      <c r="N7" s="170">
        <v>0</v>
      </c>
      <c r="O7" s="170">
        <v>0</v>
      </c>
      <c r="P7" s="168" t="s">
        <v>3117</v>
      </c>
      <c r="Q7" s="171"/>
    </row>
    <row r="8" spans="1:17" ht="14.1" customHeight="1">
      <c r="A8" s="167">
        <v>161</v>
      </c>
      <c r="B8" s="167">
        <v>9943</v>
      </c>
      <c r="C8" s="167" t="s">
        <v>3091</v>
      </c>
      <c r="D8" s="167" t="s">
        <v>2671</v>
      </c>
      <c r="E8" s="167" t="s">
        <v>3118</v>
      </c>
      <c r="F8" s="168" t="s">
        <v>3094</v>
      </c>
      <c r="G8" s="167" t="s">
        <v>3119</v>
      </c>
      <c r="H8" s="167" t="s">
        <v>3120</v>
      </c>
      <c r="I8" s="168" t="s">
        <v>33</v>
      </c>
      <c r="J8" s="167" t="s">
        <v>90</v>
      </c>
      <c r="K8" s="169">
        <v>45224</v>
      </c>
      <c r="L8" s="170">
        <v>2600</v>
      </c>
      <c r="M8" s="170">
        <v>8767.2000000000007</v>
      </c>
      <c r="N8" s="170">
        <v>1469</v>
      </c>
      <c r="O8" s="170">
        <v>4953.4679999999998</v>
      </c>
      <c r="P8" s="168" t="s">
        <v>3121</v>
      </c>
      <c r="Q8" s="171">
        <v>48853</v>
      </c>
    </row>
    <row r="9" spans="1:17" ht="14.1" customHeight="1">
      <c r="A9" s="167">
        <v>161</v>
      </c>
      <c r="B9" s="167">
        <v>9943</v>
      </c>
      <c r="C9" s="167" t="s">
        <v>3091</v>
      </c>
      <c r="D9" s="167" t="s">
        <v>3122</v>
      </c>
      <c r="E9" s="167" t="s">
        <v>3123</v>
      </c>
      <c r="F9" s="168" t="s">
        <v>1351</v>
      </c>
      <c r="G9" s="167" t="s">
        <v>3124</v>
      </c>
      <c r="H9" s="167" t="s">
        <v>3125</v>
      </c>
      <c r="I9" s="168" t="s">
        <v>33</v>
      </c>
      <c r="J9" s="167" t="s">
        <v>90</v>
      </c>
      <c r="K9" s="169">
        <v>45600</v>
      </c>
      <c r="L9" s="170">
        <v>2000</v>
      </c>
      <c r="M9" s="170">
        <v>6744</v>
      </c>
      <c r="N9" s="170">
        <v>1615.3679999999999</v>
      </c>
      <c r="O9" s="170">
        <v>5447.020896</v>
      </c>
      <c r="P9" s="168" t="s">
        <v>3126</v>
      </c>
      <c r="Q9" s="171">
        <v>49218</v>
      </c>
    </row>
    <row r="10" spans="1:17" ht="14.1" customHeight="1">
      <c r="A10" s="167">
        <v>161</v>
      </c>
      <c r="B10" s="167">
        <v>9943</v>
      </c>
      <c r="C10" s="167" t="s">
        <v>3113</v>
      </c>
      <c r="D10" s="167" t="s">
        <v>2755</v>
      </c>
      <c r="E10" s="167" t="s">
        <v>2756</v>
      </c>
      <c r="F10" s="168" t="s">
        <v>3094</v>
      </c>
      <c r="G10" s="167" t="s">
        <v>2755</v>
      </c>
      <c r="H10" s="167" t="s">
        <v>3127</v>
      </c>
      <c r="I10" s="168" t="s">
        <v>33</v>
      </c>
      <c r="J10" s="167" t="s">
        <v>1200</v>
      </c>
      <c r="K10" s="169">
        <v>45643</v>
      </c>
      <c r="L10" s="170">
        <v>2250</v>
      </c>
      <c r="M10" s="170">
        <v>8899.2000000000007</v>
      </c>
      <c r="N10" s="170">
        <v>1687.5</v>
      </c>
      <c r="O10" s="170">
        <v>6674.4</v>
      </c>
      <c r="P10" s="168" t="s">
        <v>3128</v>
      </c>
      <c r="Q10" s="171">
        <v>47818</v>
      </c>
    </row>
    <row r="11" spans="1:17" ht="14.1" customHeight="1">
      <c r="A11" s="167">
        <v>161</v>
      </c>
      <c r="B11" s="167">
        <v>9943</v>
      </c>
      <c r="C11" s="167" t="s">
        <v>3113</v>
      </c>
      <c r="D11" s="167" t="s">
        <v>2745</v>
      </c>
      <c r="E11" s="167" t="s">
        <v>2746</v>
      </c>
      <c r="F11" s="168" t="s">
        <v>3094</v>
      </c>
      <c r="G11" s="167" t="s">
        <v>2747</v>
      </c>
      <c r="H11" s="167" t="s">
        <v>3129</v>
      </c>
      <c r="I11" s="168" t="s">
        <v>33</v>
      </c>
      <c r="J11" s="167" t="s">
        <v>1200</v>
      </c>
      <c r="K11" s="169">
        <v>44438</v>
      </c>
      <c r="L11" s="170">
        <v>1000</v>
      </c>
      <c r="M11" s="170">
        <v>3955.2</v>
      </c>
      <c r="N11" s="170">
        <v>247.14363</v>
      </c>
      <c r="O11" s="170">
        <v>977.5024853760001</v>
      </c>
      <c r="P11" s="167" t="s">
        <v>3130</v>
      </c>
      <c r="Q11" s="171">
        <v>46966</v>
      </c>
    </row>
    <row r="12" spans="1:17" ht="14.1" customHeight="1">
      <c r="A12" s="167">
        <v>161</v>
      </c>
      <c r="B12" s="167">
        <v>9943</v>
      </c>
      <c r="C12" s="167" t="s">
        <v>3113</v>
      </c>
      <c r="D12" s="167" t="s">
        <v>2872</v>
      </c>
      <c r="E12" s="167" t="s">
        <v>3131</v>
      </c>
      <c r="F12" s="168" t="s">
        <v>3094</v>
      </c>
      <c r="G12" s="167" t="s">
        <v>3132</v>
      </c>
      <c r="H12" s="167" t="s">
        <v>3133</v>
      </c>
      <c r="I12" s="168" t="s">
        <v>33</v>
      </c>
      <c r="J12" s="167" t="s">
        <v>90</v>
      </c>
      <c r="K12" s="169">
        <v>45061</v>
      </c>
      <c r="L12" s="170">
        <v>1250</v>
      </c>
      <c r="M12" s="170">
        <v>4215</v>
      </c>
      <c r="N12" s="170">
        <v>125</v>
      </c>
      <c r="O12" s="170">
        <v>421.5</v>
      </c>
      <c r="P12" s="167" t="s">
        <v>3134</v>
      </c>
      <c r="Q12" s="171">
        <v>47453</v>
      </c>
    </row>
    <row r="13" spans="1:17" ht="14.1" customHeight="1">
      <c r="A13" s="167">
        <v>161</v>
      </c>
      <c r="B13" s="167">
        <v>9943</v>
      </c>
      <c r="C13" s="167" t="s">
        <v>3113</v>
      </c>
      <c r="D13" s="167" t="s">
        <v>3135</v>
      </c>
      <c r="E13" s="167" t="s">
        <v>3136</v>
      </c>
      <c r="F13" s="168" t="s">
        <v>3094</v>
      </c>
      <c r="G13" s="167" t="s">
        <v>2638</v>
      </c>
      <c r="H13" s="167" t="s">
        <v>3137</v>
      </c>
      <c r="I13" s="168" t="s">
        <v>33</v>
      </c>
      <c r="J13" s="167" t="s">
        <v>34</v>
      </c>
      <c r="K13" s="169">
        <v>45046</v>
      </c>
      <c r="L13" s="170">
        <v>10500</v>
      </c>
      <c r="M13" s="170">
        <v>10500</v>
      </c>
      <c r="N13" s="170">
        <v>5217.1289999999999</v>
      </c>
      <c r="O13" s="170">
        <v>5217.1289999999999</v>
      </c>
      <c r="P13" s="167" t="s">
        <v>3138</v>
      </c>
      <c r="Q13" s="171">
        <v>47574</v>
      </c>
    </row>
    <row r="14" spans="1:17" ht="14.1" customHeight="1">
      <c r="A14" s="167">
        <v>161</v>
      </c>
      <c r="B14" s="167">
        <v>9943</v>
      </c>
      <c r="C14" s="167" t="s">
        <v>3113</v>
      </c>
      <c r="D14" s="167" t="s">
        <v>3139</v>
      </c>
      <c r="E14" s="167" t="s">
        <v>3140</v>
      </c>
      <c r="F14" s="168" t="s">
        <v>3094</v>
      </c>
      <c r="G14" s="167" t="s">
        <v>2782</v>
      </c>
      <c r="H14" s="167" t="s">
        <v>3141</v>
      </c>
      <c r="I14" s="168" t="s">
        <v>33</v>
      </c>
      <c r="J14" s="167" t="s">
        <v>90</v>
      </c>
      <c r="K14" s="169">
        <v>45392</v>
      </c>
      <c r="L14" s="170">
        <v>2400</v>
      </c>
      <c r="M14" s="170">
        <v>8092.8</v>
      </c>
      <c r="N14" s="170">
        <v>1613.453</v>
      </c>
      <c r="O14" s="170">
        <v>5440.5635160000002</v>
      </c>
      <c r="P14" s="167" t="s">
        <v>3142</v>
      </c>
      <c r="Q14" s="171">
        <v>47574</v>
      </c>
    </row>
    <row r="15" spans="1:17" ht="14.1" customHeight="1">
      <c r="A15" s="167">
        <v>161</v>
      </c>
      <c r="B15" s="167">
        <v>9943</v>
      </c>
      <c r="C15" s="167" t="s">
        <v>3113</v>
      </c>
      <c r="D15" s="167" t="s">
        <v>2680</v>
      </c>
      <c r="E15" s="167" t="s">
        <v>3143</v>
      </c>
      <c r="F15" s="168" t="s">
        <v>3094</v>
      </c>
      <c r="G15" s="167" t="s">
        <v>2785</v>
      </c>
      <c r="H15" s="167" t="s">
        <v>3144</v>
      </c>
      <c r="I15" s="168" t="s">
        <v>33</v>
      </c>
      <c r="J15" s="167" t="s">
        <v>34</v>
      </c>
      <c r="K15" s="169">
        <v>45040</v>
      </c>
      <c r="L15" s="170">
        <v>5000</v>
      </c>
      <c r="M15" s="170">
        <v>5000</v>
      </c>
      <c r="N15" s="170">
        <v>3000</v>
      </c>
      <c r="O15" s="170">
        <v>3000</v>
      </c>
      <c r="P15" s="167" t="s">
        <v>3145</v>
      </c>
      <c r="Q15" s="171">
        <v>47939</v>
      </c>
    </row>
    <row r="16" spans="1:17" ht="14.1" customHeight="1">
      <c r="A16" s="167">
        <v>161</v>
      </c>
      <c r="B16" s="167">
        <v>9943</v>
      </c>
      <c r="C16" s="167" t="s">
        <v>3113</v>
      </c>
      <c r="D16" s="167" t="s">
        <v>2786</v>
      </c>
      <c r="E16" s="167" t="s">
        <v>3146</v>
      </c>
      <c r="F16" s="168" t="s">
        <v>1351</v>
      </c>
      <c r="G16" s="167" t="s">
        <v>3147</v>
      </c>
      <c r="H16" s="167" t="s">
        <v>3148</v>
      </c>
      <c r="I16" s="168" t="s">
        <v>33</v>
      </c>
      <c r="J16" s="167" t="s">
        <v>90</v>
      </c>
      <c r="K16" s="169">
        <v>45137</v>
      </c>
      <c r="L16" s="170">
        <v>2500</v>
      </c>
      <c r="M16" s="170">
        <v>8430</v>
      </c>
      <c r="N16" s="170">
        <v>0</v>
      </c>
      <c r="O16" s="170">
        <v>0</v>
      </c>
      <c r="P16" s="167" t="s">
        <v>3117</v>
      </c>
      <c r="Q16" s="171"/>
    </row>
    <row r="17" spans="1:17" ht="14.1" customHeight="1">
      <c r="A17" s="167">
        <v>161</v>
      </c>
      <c r="B17" s="167">
        <v>9943</v>
      </c>
      <c r="C17" s="167" t="s">
        <v>3113</v>
      </c>
      <c r="D17" s="167" t="s">
        <v>3149</v>
      </c>
      <c r="E17" s="167" t="s">
        <v>3150</v>
      </c>
      <c r="F17" s="168" t="s">
        <v>3094</v>
      </c>
      <c r="G17" s="167" t="s">
        <v>2799</v>
      </c>
      <c r="H17" s="167" t="s">
        <v>3151</v>
      </c>
      <c r="I17" s="168" t="s">
        <v>33</v>
      </c>
      <c r="J17" s="167" t="s">
        <v>90</v>
      </c>
      <c r="K17" s="169">
        <v>45705</v>
      </c>
      <c r="L17" s="170">
        <v>2500</v>
      </c>
      <c r="M17" s="170">
        <v>8430</v>
      </c>
      <c r="N17" s="170">
        <v>1125</v>
      </c>
      <c r="O17" s="170">
        <v>3793.5</v>
      </c>
      <c r="P17" s="167" t="s">
        <v>3152</v>
      </c>
      <c r="Q17" s="171">
        <v>48245</v>
      </c>
    </row>
    <row r="18" spans="1:17" ht="14.1" customHeight="1">
      <c r="A18" s="167">
        <v>161</v>
      </c>
      <c r="B18" s="167">
        <v>9943</v>
      </c>
      <c r="C18" s="167" t="s">
        <v>3153</v>
      </c>
      <c r="D18" s="167" t="s">
        <v>2647</v>
      </c>
      <c r="E18" s="167" t="s">
        <v>3154</v>
      </c>
      <c r="F18" s="168" t="s">
        <v>1351</v>
      </c>
      <c r="G18" s="167" t="s">
        <v>3155</v>
      </c>
      <c r="H18" s="167" t="s">
        <v>3156</v>
      </c>
      <c r="I18" s="168" t="s">
        <v>33</v>
      </c>
      <c r="J18" s="167" t="s">
        <v>34</v>
      </c>
      <c r="K18" s="169">
        <v>44771</v>
      </c>
      <c r="L18" s="170">
        <v>2000</v>
      </c>
      <c r="M18" s="170">
        <v>2000</v>
      </c>
      <c r="N18" s="170">
        <v>0</v>
      </c>
      <c r="O18" s="170">
        <v>0</v>
      </c>
      <c r="P18" s="167" t="s">
        <v>3117</v>
      </c>
      <c r="Q18" s="171"/>
    </row>
    <row r="19" spans="1:17" ht="14.1" customHeight="1">
      <c r="A19" s="167">
        <v>161</v>
      </c>
      <c r="B19" s="167">
        <v>9943</v>
      </c>
      <c r="C19" s="167" t="s">
        <v>3153</v>
      </c>
      <c r="D19" s="167" t="s">
        <v>2647</v>
      </c>
      <c r="E19" s="167" t="s">
        <v>3154</v>
      </c>
      <c r="F19" s="168" t="s">
        <v>1351</v>
      </c>
      <c r="G19" s="167" t="s">
        <v>3157</v>
      </c>
      <c r="H19" s="167" t="s">
        <v>3158</v>
      </c>
      <c r="I19" s="168" t="s">
        <v>33</v>
      </c>
      <c r="J19" s="167" t="s">
        <v>34</v>
      </c>
      <c r="K19" s="169">
        <v>44771</v>
      </c>
      <c r="L19" s="170">
        <v>2000</v>
      </c>
      <c r="M19" s="170">
        <v>2000</v>
      </c>
      <c r="N19" s="170">
        <v>0</v>
      </c>
      <c r="O19" s="170">
        <v>0</v>
      </c>
      <c r="P19" s="167" t="s">
        <v>3117</v>
      </c>
      <c r="Q19" s="171"/>
    </row>
    <row r="20" spans="1:17" ht="14.1" customHeight="1">
      <c r="A20" s="167">
        <v>161</v>
      </c>
      <c r="B20" s="167">
        <v>9943</v>
      </c>
      <c r="C20" s="167" t="s">
        <v>3101</v>
      </c>
      <c r="D20" s="167" t="s">
        <v>2815</v>
      </c>
      <c r="E20" s="167" t="s">
        <v>2816</v>
      </c>
      <c r="F20" s="168" t="s">
        <v>3094</v>
      </c>
      <c r="G20" s="167" t="s">
        <v>2820</v>
      </c>
      <c r="H20" s="167" t="s">
        <v>3159</v>
      </c>
      <c r="I20" s="168" t="s">
        <v>33</v>
      </c>
      <c r="J20" s="167" t="s">
        <v>90</v>
      </c>
      <c r="K20" s="171">
        <v>42157</v>
      </c>
      <c r="L20" s="170">
        <v>1500</v>
      </c>
      <c r="M20" s="170">
        <v>5058</v>
      </c>
      <c r="N20" s="170">
        <v>0</v>
      </c>
      <c r="O20" s="170">
        <v>0</v>
      </c>
      <c r="P20" s="167" t="s">
        <v>3117</v>
      </c>
      <c r="Q20" s="171">
        <v>45544</v>
      </c>
    </row>
    <row r="21" spans="1:17" ht="14.1" customHeight="1">
      <c r="A21" s="167">
        <v>161</v>
      </c>
      <c r="B21" s="167">
        <v>9943</v>
      </c>
      <c r="C21" s="167" t="s">
        <v>3101</v>
      </c>
      <c r="D21" s="167" t="s">
        <v>2815</v>
      </c>
      <c r="E21" s="167" t="s">
        <v>2816</v>
      </c>
      <c r="F21" s="167" t="s">
        <v>3094</v>
      </c>
      <c r="G21" s="167" t="s">
        <v>3160</v>
      </c>
      <c r="H21" s="167" t="s">
        <v>3161</v>
      </c>
      <c r="I21" s="167" t="s">
        <v>33</v>
      </c>
      <c r="J21" s="167" t="s">
        <v>90</v>
      </c>
      <c r="K21" s="171">
        <v>42745</v>
      </c>
      <c r="L21" s="170">
        <v>1250</v>
      </c>
      <c r="M21" s="170">
        <v>4215</v>
      </c>
      <c r="N21" s="170">
        <v>0</v>
      </c>
      <c r="O21" s="170">
        <v>0</v>
      </c>
      <c r="P21" s="167" t="s">
        <v>3117</v>
      </c>
      <c r="Q21" s="171">
        <v>46020</v>
      </c>
    </row>
    <row r="22" spans="1:17" ht="14.1" customHeight="1">
      <c r="A22" s="167">
        <v>161</v>
      </c>
      <c r="B22" s="167">
        <v>9943</v>
      </c>
      <c r="C22" s="167" t="s">
        <v>3091</v>
      </c>
      <c r="D22" s="167" t="s">
        <v>2823</v>
      </c>
      <c r="E22" s="167" t="s">
        <v>3162</v>
      </c>
      <c r="F22" s="167" t="s">
        <v>3094</v>
      </c>
      <c r="G22" s="167" t="s">
        <v>2823</v>
      </c>
      <c r="H22" s="167" t="s">
        <v>3163</v>
      </c>
      <c r="I22" s="167" t="s">
        <v>33</v>
      </c>
      <c r="J22" s="167" t="s">
        <v>90</v>
      </c>
      <c r="K22" s="171">
        <v>42355</v>
      </c>
      <c r="L22" s="170">
        <v>2050</v>
      </c>
      <c r="M22" s="170">
        <v>6912.6</v>
      </c>
      <c r="N22" s="170">
        <v>525.70280000000025</v>
      </c>
      <c r="O22" s="170">
        <v>1772.6698416000011</v>
      </c>
      <c r="P22" s="167" t="s">
        <v>3164</v>
      </c>
      <c r="Q22" s="171">
        <v>46351</v>
      </c>
    </row>
    <row r="23" spans="1:17" ht="14.1" customHeight="1">
      <c r="A23" s="167">
        <v>161</v>
      </c>
      <c r="B23" s="167">
        <v>9943</v>
      </c>
      <c r="C23" s="167" t="s">
        <v>3091</v>
      </c>
      <c r="D23" s="167" t="s">
        <v>3165</v>
      </c>
      <c r="E23" s="167" t="s">
        <v>3166</v>
      </c>
      <c r="F23" s="167" t="s">
        <v>3094</v>
      </c>
      <c r="G23" s="167" t="s">
        <v>2830</v>
      </c>
      <c r="H23" s="167" t="s">
        <v>3167</v>
      </c>
      <c r="I23" s="167" t="s">
        <v>33</v>
      </c>
      <c r="J23" s="167" t="s">
        <v>90</v>
      </c>
      <c r="K23" s="171">
        <v>45685</v>
      </c>
      <c r="L23" s="170">
        <v>1000</v>
      </c>
      <c r="M23" s="170">
        <v>3372</v>
      </c>
      <c r="N23" s="170">
        <v>562.90499999999997</v>
      </c>
      <c r="O23" s="170">
        <v>1898.1156599999999</v>
      </c>
      <c r="P23" s="167" t="s">
        <v>3168</v>
      </c>
      <c r="Q23" s="171">
        <v>49310</v>
      </c>
    </row>
    <row r="24" spans="1:17" ht="14.1" customHeight="1">
      <c r="A24" s="167">
        <v>161</v>
      </c>
      <c r="B24" s="167">
        <v>9943</v>
      </c>
      <c r="C24" s="167" t="s">
        <v>3101</v>
      </c>
      <c r="D24" s="167" t="s">
        <v>3169</v>
      </c>
      <c r="E24" s="167" t="s">
        <v>3170</v>
      </c>
      <c r="F24" s="167" t="s">
        <v>3094</v>
      </c>
      <c r="G24" s="167" t="s">
        <v>3169</v>
      </c>
      <c r="H24" s="167" t="s">
        <v>3171</v>
      </c>
      <c r="I24" s="167" t="s">
        <v>33</v>
      </c>
      <c r="J24" s="167" t="s">
        <v>90</v>
      </c>
      <c r="K24" s="171">
        <v>42542</v>
      </c>
      <c r="L24" s="170">
        <v>4000</v>
      </c>
      <c r="M24" s="170">
        <v>13488</v>
      </c>
      <c r="N24" s="170">
        <v>0</v>
      </c>
      <c r="O24" s="170">
        <v>0</v>
      </c>
      <c r="P24" s="167" t="s">
        <v>3117</v>
      </c>
      <c r="Q24" s="171">
        <v>45809</v>
      </c>
    </row>
    <row r="25" spans="1:17" ht="14.1" customHeight="1">
      <c r="A25" s="167">
        <v>161</v>
      </c>
      <c r="B25" s="167">
        <v>9943</v>
      </c>
      <c r="C25" s="167" t="s">
        <v>3101</v>
      </c>
      <c r="D25" s="167" t="s">
        <v>3172</v>
      </c>
      <c r="E25" s="167" t="s">
        <v>2844</v>
      </c>
      <c r="F25" s="167" t="s">
        <v>3094</v>
      </c>
      <c r="G25" s="167" t="s">
        <v>2845</v>
      </c>
      <c r="H25" s="167" t="s">
        <v>3173</v>
      </c>
      <c r="I25" s="167" t="s">
        <v>33</v>
      </c>
      <c r="J25" s="167" t="s">
        <v>90</v>
      </c>
      <c r="K25" s="171">
        <v>45062</v>
      </c>
      <c r="L25" s="170">
        <v>1500</v>
      </c>
      <c r="M25" s="170">
        <v>5058</v>
      </c>
      <c r="N25" s="170">
        <v>885.70103000000006</v>
      </c>
      <c r="O25" s="170">
        <v>2986.5838731600002</v>
      </c>
      <c r="P25" s="167" t="s">
        <v>3174</v>
      </c>
      <c r="Q25" s="171">
        <v>48700</v>
      </c>
    </row>
    <row r="26" spans="1:17" ht="14.1" customHeight="1">
      <c r="A26" s="167">
        <v>161</v>
      </c>
      <c r="B26" s="167">
        <v>9943</v>
      </c>
      <c r="C26" s="167" t="s">
        <v>3101</v>
      </c>
      <c r="D26" s="167" t="s">
        <v>2848</v>
      </c>
      <c r="E26" s="167" t="s">
        <v>3175</v>
      </c>
      <c r="F26" s="167" t="s">
        <v>3094</v>
      </c>
      <c r="G26" s="167" t="s">
        <v>3176</v>
      </c>
      <c r="H26" s="167" t="s">
        <v>3177</v>
      </c>
      <c r="I26" s="167" t="s">
        <v>33</v>
      </c>
      <c r="J26" s="167" t="s">
        <v>90</v>
      </c>
      <c r="K26" s="171">
        <v>39349</v>
      </c>
      <c r="L26" s="170">
        <v>1500</v>
      </c>
      <c r="M26" s="170">
        <v>5058</v>
      </c>
      <c r="N26" s="170">
        <v>92.412000000000006</v>
      </c>
      <c r="O26" s="170">
        <v>311.61326400000002</v>
      </c>
      <c r="P26" s="167" t="s">
        <v>3178</v>
      </c>
      <c r="Q26" s="171">
        <v>45736</v>
      </c>
    </row>
    <row r="27" spans="1:17" ht="14.1" customHeight="1">
      <c r="A27" s="167">
        <v>161</v>
      </c>
      <c r="B27" s="167">
        <v>9943</v>
      </c>
      <c r="C27" s="167" t="s">
        <v>517</v>
      </c>
      <c r="D27" s="167" t="s">
        <v>2859</v>
      </c>
      <c r="E27" s="167" t="s">
        <v>2860</v>
      </c>
      <c r="F27" s="167" t="s">
        <v>3094</v>
      </c>
      <c r="G27" s="167" t="s">
        <v>2861</v>
      </c>
      <c r="H27" s="167" t="s">
        <v>3179</v>
      </c>
      <c r="I27" s="167" t="s">
        <v>33</v>
      </c>
      <c r="J27" s="167" t="s">
        <v>90</v>
      </c>
      <c r="K27" s="171">
        <v>45083</v>
      </c>
      <c r="L27" s="170">
        <v>850</v>
      </c>
      <c r="M27" s="170">
        <v>2866.2</v>
      </c>
      <c r="N27" s="170">
        <v>382.23700000000002</v>
      </c>
      <c r="O27" s="170">
        <v>1288.9031640000001</v>
      </c>
      <c r="P27" s="167" t="s">
        <v>3180</v>
      </c>
      <c r="Q27" s="172">
        <v>46934</v>
      </c>
    </row>
    <row r="28" spans="1:17" ht="14.1" customHeight="1">
      <c r="A28" s="167">
        <v>161</v>
      </c>
      <c r="B28" s="167">
        <v>9943</v>
      </c>
      <c r="C28" s="167" t="s">
        <v>3101</v>
      </c>
      <c r="D28" s="167" t="s">
        <v>2866</v>
      </c>
      <c r="E28" s="167" t="s">
        <v>3181</v>
      </c>
      <c r="F28" s="167" t="s">
        <v>3094</v>
      </c>
      <c r="G28" s="167" t="s">
        <v>2866</v>
      </c>
      <c r="H28" s="167" t="s">
        <v>3182</v>
      </c>
      <c r="I28" s="167" t="s">
        <v>33</v>
      </c>
      <c r="J28" s="167" t="s">
        <v>90</v>
      </c>
      <c r="K28" s="171">
        <v>44635</v>
      </c>
      <c r="L28" s="170">
        <v>3000</v>
      </c>
      <c r="M28" s="170">
        <v>10116</v>
      </c>
      <c r="N28" s="170">
        <v>1026.374</v>
      </c>
      <c r="O28" s="170">
        <v>3460.9331280000001</v>
      </c>
      <c r="P28" s="167" t="s">
        <v>3183</v>
      </c>
      <c r="Q28" s="171">
        <v>46813</v>
      </c>
    </row>
    <row r="29" spans="1:17" ht="14.1" customHeight="1">
      <c r="A29" s="167">
        <v>161</v>
      </c>
      <c r="B29" s="167">
        <v>9943</v>
      </c>
      <c r="C29" s="167" t="s">
        <v>3091</v>
      </c>
      <c r="D29" s="167" t="s">
        <v>2716</v>
      </c>
      <c r="E29" s="167" t="s">
        <v>2717</v>
      </c>
      <c r="F29" s="167" t="s">
        <v>1351</v>
      </c>
      <c r="G29" s="167" t="s">
        <v>3184</v>
      </c>
      <c r="H29" s="167" t="s">
        <v>3185</v>
      </c>
      <c r="I29" s="167" t="s">
        <v>33</v>
      </c>
      <c r="J29" s="167" t="s">
        <v>90</v>
      </c>
      <c r="K29" s="171">
        <v>42575</v>
      </c>
      <c r="L29" s="170">
        <v>1675</v>
      </c>
      <c r="M29" s="170">
        <v>5648.1</v>
      </c>
      <c r="N29" s="170">
        <v>179.685</v>
      </c>
      <c r="O29" s="170">
        <v>605.89781999999991</v>
      </c>
      <c r="P29" s="167" t="s">
        <v>3186</v>
      </c>
      <c r="Q29" s="171">
        <v>46949</v>
      </c>
    </row>
    <row r="30" spans="1:17" ht="14.1" customHeight="1">
      <c r="A30" s="167">
        <v>161</v>
      </c>
      <c r="B30" s="167">
        <v>9943</v>
      </c>
      <c r="C30" s="167" t="s">
        <v>3091</v>
      </c>
      <c r="D30" s="167" t="s">
        <v>2877</v>
      </c>
      <c r="E30" s="167" t="s">
        <v>2804</v>
      </c>
      <c r="F30" s="167" t="s">
        <v>3094</v>
      </c>
      <c r="G30" s="167" t="s">
        <v>3187</v>
      </c>
      <c r="H30" s="167" t="s">
        <v>3188</v>
      </c>
      <c r="I30" s="167" t="s">
        <v>33</v>
      </c>
      <c r="J30" s="167" t="s">
        <v>90</v>
      </c>
      <c r="K30" s="171">
        <v>43614</v>
      </c>
      <c r="L30" s="170">
        <v>2700</v>
      </c>
      <c r="M30" s="170">
        <v>9104.4</v>
      </c>
      <c r="N30" s="170">
        <v>577.61900000000003</v>
      </c>
      <c r="O30" s="170">
        <v>1947.731268</v>
      </c>
      <c r="P30" s="167" t="s">
        <v>3189</v>
      </c>
      <c r="Q30" s="171">
        <v>46188</v>
      </c>
    </row>
    <row r="31" spans="1:17" ht="14.1" customHeight="1">
      <c r="A31" s="167">
        <v>161</v>
      </c>
      <c r="B31" s="167">
        <v>9943</v>
      </c>
      <c r="C31" s="167" t="s">
        <v>3105</v>
      </c>
      <c r="D31" s="167" t="s">
        <v>3190</v>
      </c>
      <c r="E31" s="167" t="s">
        <v>3191</v>
      </c>
      <c r="F31" s="167" t="s">
        <v>3094</v>
      </c>
      <c r="G31" s="167" t="s">
        <v>3190</v>
      </c>
      <c r="H31" s="167" t="s">
        <v>3192</v>
      </c>
      <c r="I31" s="167" t="s">
        <v>33</v>
      </c>
      <c r="J31" s="167" t="s">
        <v>90</v>
      </c>
      <c r="K31" s="171">
        <v>44398</v>
      </c>
      <c r="L31" s="170">
        <v>300</v>
      </c>
      <c r="M31" s="170">
        <v>1011.6</v>
      </c>
      <c r="N31" s="170">
        <v>60</v>
      </c>
      <c r="O31" s="170">
        <v>202.32</v>
      </c>
      <c r="P31" s="167" t="s">
        <v>3193</v>
      </c>
      <c r="Q31" s="172">
        <v>46948</v>
      </c>
    </row>
    <row r="32" spans="1:17" ht="14.1" customHeight="1">
      <c r="A32" s="167">
        <v>161</v>
      </c>
      <c r="B32" s="167">
        <v>9943</v>
      </c>
      <c r="C32" s="167" t="s">
        <v>3091</v>
      </c>
      <c r="D32" s="167" t="s">
        <v>2886</v>
      </c>
      <c r="E32" s="167" t="s">
        <v>3194</v>
      </c>
      <c r="F32" s="167" t="s">
        <v>3094</v>
      </c>
      <c r="G32" s="167" t="s">
        <v>3195</v>
      </c>
      <c r="H32" s="167" t="s">
        <v>3196</v>
      </c>
      <c r="I32" s="167" t="s">
        <v>33</v>
      </c>
      <c r="J32" s="167" t="s">
        <v>90</v>
      </c>
      <c r="K32" s="171">
        <v>43843</v>
      </c>
      <c r="L32" s="170">
        <v>2700</v>
      </c>
      <c r="M32" s="170">
        <v>9104.4</v>
      </c>
      <c r="N32" s="170">
        <v>513</v>
      </c>
      <c r="O32" s="170">
        <v>1729.836</v>
      </c>
      <c r="P32" s="167" t="s">
        <v>3197</v>
      </c>
      <c r="Q32" s="171">
        <v>47484</v>
      </c>
    </row>
    <row r="33" spans="1:17" ht="14.1" customHeight="1">
      <c r="A33" s="167">
        <v>161</v>
      </c>
      <c r="B33" s="167">
        <v>9943</v>
      </c>
      <c r="C33" s="167" t="s">
        <v>3091</v>
      </c>
      <c r="D33" s="167" t="s">
        <v>2886</v>
      </c>
      <c r="E33" s="167" t="s">
        <v>3194</v>
      </c>
      <c r="F33" s="167" t="s">
        <v>3094</v>
      </c>
      <c r="G33" s="167" t="s">
        <v>3198</v>
      </c>
      <c r="H33" s="167" t="s">
        <v>3199</v>
      </c>
      <c r="I33" s="167" t="s">
        <v>33</v>
      </c>
      <c r="J33" s="167" t="s">
        <v>90</v>
      </c>
      <c r="K33" s="171">
        <v>45099</v>
      </c>
      <c r="L33" s="170">
        <v>1000</v>
      </c>
      <c r="M33" s="170">
        <v>3372</v>
      </c>
      <c r="N33" s="170">
        <v>640</v>
      </c>
      <c r="O33" s="170">
        <v>2158.08</v>
      </c>
      <c r="P33" s="167" t="s">
        <v>3200</v>
      </c>
      <c r="Q33" s="171">
        <v>48731</v>
      </c>
    </row>
    <row r="34" spans="1:17" ht="14.1" customHeight="1">
      <c r="A34" s="167">
        <v>161</v>
      </c>
      <c r="B34" s="167">
        <v>9943</v>
      </c>
      <c r="C34" s="167" t="s">
        <v>3113</v>
      </c>
      <c r="D34" s="167" t="s">
        <v>3201</v>
      </c>
      <c r="E34" s="167" t="s">
        <v>3202</v>
      </c>
      <c r="F34" s="167" t="s">
        <v>3094</v>
      </c>
      <c r="G34" s="167" t="s">
        <v>3201</v>
      </c>
      <c r="H34" s="167" t="s">
        <v>3203</v>
      </c>
      <c r="I34" s="167" t="s">
        <v>33</v>
      </c>
      <c r="J34" s="167" t="s">
        <v>90</v>
      </c>
      <c r="K34" s="171">
        <v>44887</v>
      </c>
      <c r="L34" s="170">
        <v>850</v>
      </c>
      <c r="M34" s="170">
        <v>2866.2</v>
      </c>
      <c r="N34" s="170">
        <v>444.86147</v>
      </c>
      <c r="O34" s="170">
        <v>1500.0728768399999</v>
      </c>
      <c r="P34" s="167" t="s">
        <v>3204</v>
      </c>
      <c r="Q34" s="171">
        <v>46608</v>
      </c>
    </row>
    <row r="35" spans="1:17" ht="14.1" customHeight="1">
      <c r="A35" s="167">
        <v>161</v>
      </c>
      <c r="B35" s="167">
        <v>9943</v>
      </c>
      <c r="C35" s="167" t="s">
        <v>3091</v>
      </c>
      <c r="D35" s="167" t="s">
        <v>2909</v>
      </c>
      <c r="E35" s="167" t="s">
        <v>3109</v>
      </c>
      <c r="F35" s="167" t="s">
        <v>3094</v>
      </c>
      <c r="G35" s="167" t="s">
        <v>3205</v>
      </c>
      <c r="H35" s="167" t="s">
        <v>3206</v>
      </c>
      <c r="I35" s="167" t="s">
        <v>33</v>
      </c>
      <c r="J35" s="167" t="s">
        <v>90</v>
      </c>
      <c r="K35" s="171">
        <v>45107</v>
      </c>
      <c r="L35" s="170">
        <v>1500</v>
      </c>
      <c r="M35" s="170">
        <v>5058</v>
      </c>
      <c r="N35" s="170">
        <v>456.76799999999997</v>
      </c>
      <c r="O35" s="170">
        <v>1540.2216960000001</v>
      </c>
      <c r="P35" s="167" t="s">
        <v>3207</v>
      </c>
      <c r="Q35" s="171">
        <v>48700</v>
      </c>
    </row>
    <row r="36" spans="1:17" ht="14.1" customHeight="1">
      <c r="A36" s="167">
        <v>161</v>
      </c>
      <c r="B36" s="167">
        <v>9943</v>
      </c>
      <c r="C36" s="167" t="s">
        <v>3101</v>
      </c>
      <c r="D36" s="167" t="s">
        <v>2906</v>
      </c>
      <c r="E36" s="167" t="s">
        <v>3208</v>
      </c>
      <c r="F36" s="167" t="s">
        <v>3094</v>
      </c>
      <c r="G36" s="167" t="s">
        <v>2906</v>
      </c>
      <c r="H36" s="167" t="s">
        <v>3209</v>
      </c>
      <c r="I36" s="167" t="s">
        <v>33</v>
      </c>
      <c r="J36" s="167" t="s">
        <v>90</v>
      </c>
      <c r="K36" s="171">
        <v>44378</v>
      </c>
      <c r="L36" s="170">
        <v>510</v>
      </c>
      <c r="M36" s="170">
        <v>1719.72</v>
      </c>
      <c r="N36" s="170">
        <v>0</v>
      </c>
      <c r="O36" s="170">
        <v>0</v>
      </c>
      <c r="P36" s="167" t="s">
        <v>3117</v>
      </c>
      <c r="Q36" s="171"/>
    </row>
    <row r="37" spans="1:17" ht="14.1" customHeight="1">
      <c r="A37" s="167">
        <v>161</v>
      </c>
      <c r="B37" s="167">
        <v>9943</v>
      </c>
      <c r="C37" s="167" t="s">
        <v>517</v>
      </c>
      <c r="D37" s="167" t="s">
        <v>2909</v>
      </c>
      <c r="E37" s="167" t="s">
        <v>3109</v>
      </c>
      <c r="F37" s="167" t="s">
        <v>3094</v>
      </c>
      <c r="G37" s="167" t="s">
        <v>3210</v>
      </c>
      <c r="H37" s="167" t="s">
        <v>3211</v>
      </c>
      <c r="I37" s="167" t="s">
        <v>33</v>
      </c>
      <c r="J37" s="167" t="s">
        <v>90</v>
      </c>
      <c r="K37" s="171">
        <v>43230</v>
      </c>
      <c r="L37" s="170">
        <v>4350</v>
      </c>
      <c r="M37" s="170">
        <v>14668.2</v>
      </c>
      <c r="N37" s="170">
        <v>650.32500000000005</v>
      </c>
      <c r="O37" s="170">
        <v>2192.8959</v>
      </c>
      <c r="P37" s="167" t="s">
        <v>3212</v>
      </c>
      <c r="Q37" s="171">
        <v>47969</v>
      </c>
    </row>
    <row r="38" spans="1:17" ht="14.1" customHeight="1">
      <c r="A38" s="167">
        <v>161</v>
      </c>
      <c r="B38" s="167">
        <v>9943</v>
      </c>
      <c r="C38" s="167" t="s">
        <v>3105</v>
      </c>
      <c r="D38" s="167" t="s">
        <v>3213</v>
      </c>
      <c r="E38" s="167" t="s">
        <v>3214</v>
      </c>
      <c r="F38" s="167" t="s">
        <v>3094</v>
      </c>
      <c r="G38" s="167" t="s">
        <v>3215</v>
      </c>
      <c r="H38" s="167" t="s">
        <v>3216</v>
      </c>
      <c r="I38" s="167" t="s">
        <v>33</v>
      </c>
      <c r="J38" s="167" t="s">
        <v>90</v>
      </c>
      <c r="K38" s="171">
        <v>44389</v>
      </c>
      <c r="L38" s="170">
        <v>300</v>
      </c>
      <c r="M38" s="170">
        <v>1011.6</v>
      </c>
      <c r="N38" s="170">
        <v>74.924999999999997</v>
      </c>
      <c r="O38" s="170">
        <v>252.64709999999999</v>
      </c>
      <c r="P38" s="167" t="s">
        <v>3217</v>
      </c>
      <c r="Q38" s="171">
        <v>45914</v>
      </c>
    </row>
    <row r="39" spans="1:17" ht="14.1" customHeight="1">
      <c r="A39" s="167">
        <v>161</v>
      </c>
      <c r="B39" s="167">
        <v>9943</v>
      </c>
      <c r="C39" s="167" t="s">
        <v>3101</v>
      </c>
      <c r="D39" s="167" t="s">
        <v>3218</v>
      </c>
      <c r="E39" s="167" t="s">
        <v>2923</v>
      </c>
      <c r="F39" s="167" t="s">
        <v>33</v>
      </c>
      <c r="G39" s="167" t="s">
        <v>3219</v>
      </c>
      <c r="H39" s="167" t="s">
        <v>3220</v>
      </c>
      <c r="I39" s="167" t="s">
        <v>33</v>
      </c>
      <c r="J39" s="167" t="s">
        <v>1204</v>
      </c>
      <c r="K39" s="171">
        <v>44949</v>
      </c>
      <c r="L39" s="170">
        <v>600</v>
      </c>
      <c r="M39" s="170">
        <v>2774.16</v>
      </c>
      <c r="N39" s="170">
        <v>482.07900000000001</v>
      </c>
      <c r="O39" s="170">
        <v>2228.9404644000001</v>
      </c>
      <c r="P39" s="167" t="s">
        <v>3221</v>
      </c>
      <c r="Q39" s="171">
        <v>48580</v>
      </c>
    </row>
    <row r="40" spans="1:17" ht="14.1" customHeight="1">
      <c r="A40" s="167">
        <v>161</v>
      </c>
      <c r="B40" s="167">
        <v>9943</v>
      </c>
      <c r="C40" s="167" t="s">
        <v>3105</v>
      </c>
      <c r="D40" s="167" t="s">
        <v>3222</v>
      </c>
      <c r="E40" s="167" t="s">
        <v>3223</v>
      </c>
      <c r="F40" s="167" t="s">
        <v>3094</v>
      </c>
      <c r="G40" s="167" t="s">
        <v>2929</v>
      </c>
      <c r="H40" s="167" t="s">
        <v>3224</v>
      </c>
      <c r="I40" s="167" t="s">
        <v>33</v>
      </c>
      <c r="J40" s="167" t="s">
        <v>1200</v>
      </c>
      <c r="K40" s="171">
        <v>44507</v>
      </c>
      <c r="L40" s="170">
        <v>200</v>
      </c>
      <c r="M40" s="170">
        <v>791.04</v>
      </c>
      <c r="N40" s="170">
        <v>38.97</v>
      </c>
      <c r="O40" s="170">
        <v>154.13414399999999</v>
      </c>
      <c r="P40" s="167" t="s">
        <v>3225</v>
      </c>
      <c r="Q40" s="171">
        <v>47066</v>
      </c>
    </row>
    <row r="41" spans="1:17" ht="14.1" customHeight="1">
      <c r="A41" s="167">
        <v>161</v>
      </c>
      <c r="B41" s="167">
        <v>9943</v>
      </c>
      <c r="C41" s="167" t="s">
        <v>3105</v>
      </c>
      <c r="D41" s="167" t="s">
        <v>3226</v>
      </c>
      <c r="E41" s="167" t="s">
        <v>3227</v>
      </c>
      <c r="F41" s="167" t="s">
        <v>3094</v>
      </c>
      <c r="G41" s="167" t="s">
        <v>3226</v>
      </c>
      <c r="H41" s="167" t="s">
        <v>3228</v>
      </c>
      <c r="I41" s="167" t="s">
        <v>33</v>
      </c>
      <c r="J41" s="167" t="s">
        <v>90</v>
      </c>
      <c r="K41" s="171">
        <v>44426</v>
      </c>
      <c r="L41" s="170">
        <v>300</v>
      </c>
      <c r="M41" s="170">
        <v>1011.6</v>
      </c>
      <c r="N41" s="170">
        <v>45</v>
      </c>
      <c r="O41" s="170">
        <v>151.74</v>
      </c>
      <c r="P41" s="167" t="s">
        <v>3229</v>
      </c>
      <c r="Q41" s="171">
        <v>46023</v>
      </c>
    </row>
    <row r="42" spans="1:17" ht="14.1" customHeight="1">
      <c r="A42" s="167">
        <v>161</v>
      </c>
      <c r="B42" s="167">
        <v>9943</v>
      </c>
      <c r="C42" s="167" t="s">
        <v>3105</v>
      </c>
      <c r="D42" s="167" t="s">
        <v>2696</v>
      </c>
      <c r="E42" s="167" t="s">
        <v>3230</v>
      </c>
      <c r="F42" s="167" t="s">
        <v>3094</v>
      </c>
      <c r="G42" s="167" t="s">
        <v>2931</v>
      </c>
      <c r="H42" s="167" t="s">
        <v>3231</v>
      </c>
      <c r="I42" s="167" t="s">
        <v>33</v>
      </c>
      <c r="J42" s="167" t="s">
        <v>90</v>
      </c>
      <c r="K42" s="171">
        <v>43840</v>
      </c>
      <c r="L42" s="170">
        <v>250</v>
      </c>
      <c r="M42" s="170">
        <v>843</v>
      </c>
      <c r="N42" s="170">
        <v>67.5</v>
      </c>
      <c r="O42" s="170">
        <v>227.61</v>
      </c>
      <c r="P42" s="167" t="s">
        <v>3232</v>
      </c>
      <c r="Q42" s="171">
        <v>47484</v>
      </c>
    </row>
    <row r="43" spans="1:17" ht="14.1" customHeight="1">
      <c r="A43" s="167">
        <v>161</v>
      </c>
      <c r="B43" s="167">
        <v>9943</v>
      </c>
      <c r="C43" s="167" t="s">
        <v>3105</v>
      </c>
      <c r="D43" s="167" t="s">
        <v>2696</v>
      </c>
      <c r="E43" s="167" t="s">
        <v>3230</v>
      </c>
      <c r="F43" s="167" t="s">
        <v>3094</v>
      </c>
      <c r="G43" s="167" t="s">
        <v>3233</v>
      </c>
      <c r="H43" s="167" t="s">
        <v>3234</v>
      </c>
      <c r="I43" s="167" t="s">
        <v>33</v>
      </c>
      <c r="J43" s="167" t="s">
        <v>90</v>
      </c>
      <c r="K43" s="171">
        <v>42506</v>
      </c>
      <c r="L43" s="170">
        <v>1500</v>
      </c>
      <c r="M43" s="170">
        <v>5058</v>
      </c>
      <c r="N43" s="170">
        <v>105</v>
      </c>
      <c r="O43" s="170">
        <v>354.06</v>
      </c>
      <c r="P43" s="167" t="s">
        <v>3235</v>
      </c>
      <c r="Q43" s="171">
        <v>46296</v>
      </c>
    </row>
    <row r="44" spans="1:17" ht="14.1" customHeight="1">
      <c r="A44" s="167">
        <v>161</v>
      </c>
      <c r="B44" s="167">
        <v>9943</v>
      </c>
      <c r="C44" s="167" t="s">
        <v>3105</v>
      </c>
      <c r="D44" s="167" t="s">
        <v>2696</v>
      </c>
      <c r="E44" s="167" t="s">
        <v>3230</v>
      </c>
      <c r="F44" s="167" t="s">
        <v>3094</v>
      </c>
      <c r="G44" s="167" t="s">
        <v>3236</v>
      </c>
      <c r="H44" s="167" t="s">
        <v>3237</v>
      </c>
      <c r="I44" s="167" t="s">
        <v>33</v>
      </c>
      <c r="J44" s="167" t="s">
        <v>90</v>
      </c>
      <c r="K44" s="171">
        <v>43250</v>
      </c>
      <c r="L44" s="170">
        <v>375</v>
      </c>
      <c r="M44" s="170">
        <v>1264.5</v>
      </c>
      <c r="N44" s="170">
        <v>37.5</v>
      </c>
      <c r="O44" s="170">
        <v>126.45</v>
      </c>
      <c r="P44" s="167" t="s">
        <v>3134</v>
      </c>
      <c r="Q44" s="171">
        <v>46874</v>
      </c>
    </row>
    <row r="45" spans="1:17" ht="14.1" customHeight="1">
      <c r="A45" s="167">
        <v>161</v>
      </c>
      <c r="B45" s="167">
        <v>9943</v>
      </c>
      <c r="C45" s="167" t="s">
        <v>3113</v>
      </c>
      <c r="D45" s="167" t="s">
        <v>3238</v>
      </c>
      <c r="E45" s="167" t="s">
        <v>2798</v>
      </c>
      <c r="F45" s="167" t="s">
        <v>3094</v>
      </c>
      <c r="G45" s="167" t="s">
        <v>3239</v>
      </c>
      <c r="H45" s="167" t="s">
        <v>3240</v>
      </c>
      <c r="I45" s="167" t="s">
        <v>33</v>
      </c>
      <c r="J45" s="167" t="s">
        <v>90</v>
      </c>
      <c r="K45" s="171">
        <v>44857</v>
      </c>
      <c r="L45" s="170">
        <v>192.602</v>
      </c>
      <c r="M45" s="170">
        <v>649.45394399999998</v>
      </c>
      <c r="N45" s="170">
        <v>102.08</v>
      </c>
      <c r="O45" s="170">
        <v>344.21375999999998</v>
      </c>
      <c r="P45" s="167" t="s">
        <v>3241</v>
      </c>
      <c r="Q45" s="171">
        <v>47757</v>
      </c>
    </row>
    <row r="46" spans="1:17" ht="14.1" customHeight="1">
      <c r="A46" s="167">
        <v>161</v>
      </c>
      <c r="B46" s="167">
        <v>9943</v>
      </c>
      <c r="C46" s="167" t="s">
        <v>3101</v>
      </c>
      <c r="D46" s="167" t="s">
        <v>2872</v>
      </c>
      <c r="E46" s="167" t="s">
        <v>2873</v>
      </c>
      <c r="F46" s="167" t="s">
        <v>1351</v>
      </c>
      <c r="G46" s="167" t="s">
        <v>3242</v>
      </c>
      <c r="H46" s="167" t="s">
        <v>3243</v>
      </c>
      <c r="I46" s="167" t="s">
        <v>33</v>
      </c>
      <c r="J46" s="167" t="s">
        <v>90</v>
      </c>
      <c r="K46" s="171">
        <v>43599</v>
      </c>
      <c r="L46" s="170">
        <v>2700</v>
      </c>
      <c r="M46" s="170">
        <v>9104.4</v>
      </c>
      <c r="N46" s="170">
        <v>0</v>
      </c>
      <c r="O46" s="170">
        <v>0</v>
      </c>
      <c r="P46" s="167" t="s">
        <v>3117</v>
      </c>
      <c r="Q46" s="171">
        <v>45962</v>
      </c>
    </row>
    <row r="47" spans="1:17" ht="14.1" customHeight="1">
      <c r="A47" s="167">
        <v>161</v>
      </c>
      <c r="B47" s="167">
        <v>9943</v>
      </c>
      <c r="C47" s="167" t="s">
        <v>517</v>
      </c>
      <c r="D47" s="167" t="s">
        <v>2737</v>
      </c>
      <c r="E47" s="167" t="s">
        <v>3244</v>
      </c>
      <c r="F47" s="167" t="s">
        <v>1351</v>
      </c>
      <c r="G47" s="167" t="s">
        <v>3245</v>
      </c>
      <c r="H47" s="167" t="s">
        <v>3246</v>
      </c>
      <c r="I47" s="167" t="s">
        <v>33</v>
      </c>
      <c r="J47" s="167" t="s">
        <v>34</v>
      </c>
      <c r="K47" s="171">
        <v>42304</v>
      </c>
      <c r="L47" s="170">
        <v>7439.5320000000002</v>
      </c>
      <c r="M47" s="170">
        <v>7439.5320000000002</v>
      </c>
      <c r="N47" s="170">
        <v>733.48</v>
      </c>
      <c r="O47" s="170">
        <v>733.48</v>
      </c>
      <c r="P47" s="167" t="s">
        <v>3247</v>
      </c>
      <c r="Q47" s="171">
        <v>45976</v>
      </c>
    </row>
    <row r="48" spans="1:17" ht="14.1" customHeight="1">
      <c r="A48" s="167">
        <v>161</v>
      </c>
      <c r="B48" s="167">
        <v>9943</v>
      </c>
      <c r="C48" s="167" t="s">
        <v>3091</v>
      </c>
      <c r="D48" s="167" t="s">
        <v>2671</v>
      </c>
      <c r="E48" s="167" t="s">
        <v>3118</v>
      </c>
      <c r="F48" s="167" t="s">
        <v>3094</v>
      </c>
      <c r="G48" s="167" t="s">
        <v>3248</v>
      </c>
      <c r="H48" s="167" t="s">
        <v>3249</v>
      </c>
      <c r="I48" s="167" t="s">
        <v>33</v>
      </c>
      <c r="J48" s="167" t="s">
        <v>90</v>
      </c>
      <c r="K48" s="171">
        <v>39758</v>
      </c>
      <c r="L48" s="170">
        <v>833</v>
      </c>
      <c r="M48" s="170">
        <v>2808.8760000000002</v>
      </c>
      <c r="N48" s="170">
        <v>49.97</v>
      </c>
      <c r="O48" s="170">
        <v>168.49884</v>
      </c>
      <c r="P48" s="167" t="s">
        <v>3250</v>
      </c>
      <c r="Q48" s="171">
        <v>45935</v>
      </c>
    </row>
    <row r="49" spans="1:17" ht="14.1" customHeight="1">
      <c r="A49" s="167">
        <v>161</v>
      </c>
      <c r="B49" s="167">
        <v>9943</v>
      </c>
      <c r="C49" s="167" t="s">
        <v>3091</v>
      </c>
      <c r="D49" s="167" t="s">
        <v>2671</v>
      </c>
      <c r="E49" s="167" t="s">
        <v>3118</v>
      </c>
      <c r="F49" s="167" t="s">
        <v>3094</v>
      </c>
      <c r="G49" s="167" t="s">
        <v>3251</v>
      </c>
      <c r="H49" s="167" t="s">
        <v>3252</v>
      </c>
      <c r="I49" s="167" t="s">
        <v>33</v>
      </c>
      <c r="J49" s="167" t="s">
        <v>90</v>
      </c>
      <c r="K49" s="171">
        <v>43937</v>
      </c>
      <c r="L49" s="170">
        <v>2800</v>
      </c>
      <c r="M49" s="170">
        <v>9441.6</v>
      </c>
      <c r="N49" s="170">
        <v>84</v>
      </c>
      <c r="O49" s="170">
        <v>283.24799999999999</v>
      </c>
      <c r="P49" s="167" t="s">
        <v>3253</v>
      </c>
      <c r="Q49" s="171">
        <v>47574</v>
      </c>
    </row>
    <row r="50" spans="1:17" ht="14.1" customHeight="1">
      <c r="A50" s="167">
        <v>161</v>
      </c>
      <c r="B50" s="167">
        <v>9943</v>
      </c>
      <c r="C50" s="167" t="s">
        <v>3101</v>
      </c>
      <c r="D50" s="167" t="s">
        <v>2665</v>
      </c>
      <c r="E50" s="167" t="s">
        <v>2666</v>
      </c>
      <c r="F50" s="167" t="s">
        <v>1351</v>
      </c>
      <c r="G50" s="167" t="s">
        <v>2665</v>
      </c>
      <c r="H50" s="167" t="s">
        <v>3254</v>
      </c>
      <c r="I50" s="167" t="s">
        <v>33</v>
      </c>
      <c r="J50" s="167" t="s">
        <v>1200</v>
      </c>
      <c r="K50" s="171">
        <v>42964</v>
      </c>
      <c r="L50" s="170">
        <v>2500</v>
      </c>
      <c r="M50" s="170">
        <v>9888</v>
      </c>
      <c r="N50" s="170">
        <v>38.561</v>
      </c>
      <c r="O50" s="170">
        <v>152.51646719999999</v>
      </c>
      <c r="P50" s="167" t="s">
        <v>3255</v>
      </c>
      <c r="Q50" s="171">
        <v>45814</v>
      </c>
    </row>
    <row r="51" spans="1:17" ht="14.1" customHeight="1">
      <c r="A51" s="167">
        <v>161</v>
      </c>
      <c r="B51" s="167">
        <v>9943</v>
      </c>
      <c r="C51" s="167" t="s">
        <v>3105</v>
      </c>
      <c r="D51" s="167" t="s">
        <v>2692</v>
      </c>
      <c r="E51" s="167" t="s">
        <v>3256</v>
      </c>
      <c r="F51" s="167" t="s">
        <v>3094</v>
      </c>
      <c r="G51" s="167" t="s">
        <v>3257</v>
      </c>
      <c r="H51" s="167" t="s">
        <v>3258</v>
      </c>
      <c r="I51" s="167" t="s">
        <v>33</v>
      </c>
      <c r="J51" s="167" t="s">
        <v>90</v>
      </c>
      <c r="K51" s="171">
        <v>44329</v>
      </c>
      <c r="L51" s="170">
        <v>300</v>
      </c>
      <c r="M51" s="170">
        <v>1011.6</v>
      </c>
      <c r="N51" s="170">
        <v>45</v>
      </c>
      <c r="O51" s="170">
        <v>151.74</v>
      </c>
      <c r="P51" s="167" t="s">
        <v>3229</v>
      </c>
      <c r="Q51" s="171">
        <v>45775</v>
      </c>
    </row>
    <row r="52" spans="1:17" ht="14.1" customHeight="1">
      <c r="A52" s="167">
        <v>161</v>
      </c>
      <c r="B52" s="167">
        <v>9943</v>
      </c>
      <c r="C52" s="167" t="s">
        <v>3113</v>
      </c>
      <c r="D52" s="167" t="s">
        <v>2833</v>
      </c>
      <c r="E52" s="167" t="s">
        <v>3259</v>
      </c>
      <c r="F52" s="167" t="s">
        <v>3094</v>
      </c>
      <c r="G52" s="167" t="s">
        <v>2835</v>
      </c>
      <c r="H52" s="167" t="s">
        <v>3260</v>
      </c>
      <c r="I52" s="167" t="s">
        <v>33</v>
      </c>
      <c r="J52" s="167" t="s">
        <v>1200</v>
      </c>
      <c r="K52" s="171">
        <v>42663</v>
      </c>
      <c r="L52" s="170">
        <v>1320.3</v>
      </c>
      <c r="M52" s="170">
        <v>5222.0505600000006</v>
      </c>
      <c r="N52" s="170">
        <v>0</v>
      </c>
      <c r="O52" s="170">
        <v>0</v>
      </c>
      <c r="P52" s="167" t="s">
        <v>3117</v>
      </c>
      <c r="Q52" s="171">
        <v>46296</v>
      </c>
    </row>
    <row r="53" spans="1:17" ht="14.1" customHeight="1">
      <c r="A53" s="167">
        <v>161</v>
      </c>
      <c r="B53" s="167">
        <v>9943</v>
      </c>
      <c r="C53" s="167" t="s">
        <v>3113</v>
      </c>
      <c r="D53" s="167" t="s">
        <v>2632</v>
      </c>
      <c r="E53" s="167" t="s">
        <v>3093</v>
      </c>
      <c r="F53" s="167" t="s">
        <v>3094</v>
      </c>
      <c r="G53" s="167" t="s">
        <v>3261</v>
      </c>
      <c r="H53" s="167" t="s">
        <v>3262</v>
      </c>
      <c r="I53" s="167" t="s">
        <v>33</v>
      </c>
      <c r="J53" s="167" t="s">
        <v>90</v>
      </c>
      <c r="K53" s="171">
        <v>44441</v>
      </c>
      <c r="L53" s="170">
        <v>800</v>
      </c>
      <c r="M53" s="170">
        <v>2697.6</v>
      </c>
      <c r="N53" s="170">
        <v>211.61568999999989</v>
      </c>
      <c r="O53" s="170">
        <v>713.56810667999969</v>
      </c>
      <c r="P53" s="167" t="s">
        <v>3263</v>
      </c>
      <c r="Q53" s="171">
        <v>47119</v>
      </c>
    </row>
    <row r="54" spans="1:17" ht="14.1" customHeight="1">
      <c r="A54" s="167">
        <v>161</v>
      </c>
      <c r="B54" s="167">
        <v>9943</v>
      </c>
      <c r="C54" s="167" t="s">
        <v>3113</v>
      </c>
      <c r="D54" s="167" t="s">
        <v>2872</v>
      </c>
      <c r="E54" s="167" t="s">
        <v>3264</v>
      </c>
      <c r="F54" s="167" t="s">
        <v>3094</v>
      </c>
      <c r="G54" s="167" t="s">
        <v>3265</v>
      </c>
      <c r="H54" s="167" t="s">
        <v>3266</v>
      </c>
      <c r="I54" s="167" t="s">
        <v>33</v>
      </c>
      <c r="J54" s="167" t="s">
        <v>90</v>
      </c>
      <c r="K54" s="171">
        <v>44355</v>
      </c>
      <c r="L54" s="170">
        <v>300</v>
      </c>
      <c r="M54" s="170">
        <v>1011.6</v>
      </c>
      <c r="N54" s="170">
        <v>0</v>
      </c>
      <c r="O54" s="170">
        <v>0</v>
      </c>
      <c r="P54" s="167" t="s">
        <v>3117</v>
      </c>
      <c r="Q54" s="171">
        <v>46539</v>
      </c>
    </row>
    <row r="55" spans="1:17" ht="14.1" customHeight="1">
      <c r="A55" s="167">
        <v>161</v>
      </c>
      <c r="B55" s="167">
        <v>9943</v>
      </c>
      <c r="C55" s="167" t="s">
        <v>3113</v>
      </c>
      <c r="D55" s="167" t="s">
        <v>2891</v>
      </c>
      <c r="E55" s="167" t="s">
        <v>2892</v>
      </c>
      <c r="F55" s="167" t="s">
        <v>3094</v>
      </c>
      <c r="G55" s="167" t="s">
        <v>3267</v>
      </c>
      <c r="H55" s="167" t="s">
        <v>3268</v>
      </c>
      <c r="I55" s="167" t="s">
        <v>33</v>
      </c>
      <c r="J55" s="167" t="s">
        <v>1200</v>
      </c>
      <c r="K55" s="171">
        <v>43335</v>
      </c>
      <c r="L55" s="170">
        <v>1350</v>
      </c>
      <c r="M55" s="170">
        <v>5339.52</v>
      </c>
      <c r="N55" s="170">
        <v>230.13483000000011</v>
      </c>
      <c r="O55" s="170">
        <v>910.22927961600033</v>
      </c>
      <c r="P55" s="167" t="s">
        <v>3269</v>
      </c>
      <c r="Q55" s="171">
        <v>46966</v>
      </c>
    </row>
    <row r="56" spans="1:17" ht="14.1" customHeight="1">
      <c r="A56" s="167">
        <v>161</v>
      </c>
      <c r="B56" s="167">
        <v>9943</v>
      </c>
      <c r="C56" s="167" t="s">
        <v>3113</v>
      </c>
      <c r="D56" s="167" t="s">
        <v>2896</v>
      </c>
      <c r="E56" s="167" t="s">
        <v>2892</v>
      </c>
      <c r="F56" s="167" t="s">
        <v>3094</v>
      </c>
      <c r="G56" s="167" t="s">
        <v>3270</v>
      </c>
      <c r="H56" s="167" t="s">
        <v>3271</v>
      </c>
      <c r="I56" s="167" t="s">
        <v>33</v>
      </c>
      <c r="J56" s="167" t="s">
        <v>90</v>
      </c>
      <c r="K56" s="171">
        <v>43543</v>
      </c>
      <c r="L56" s="170">
        <v>1350</v>
      </c>
      <c r="M56" s="170">
        <v>4552.2</v>
      </c>
      <c r="N56" s="170">
        <v>336.8020699999999</v>
      </c>
      <c r="O56" s="170">
        <v>1135.6965800400001</v>
      </c>
      <c r="P56" s="167" t="s">
        <v>3272</v>
      </c>
      <c r="Q56" s="171">
        <v>47178</v>
      </c>
    </row>
    <row r="57" spans="1:17" ht="14.1" customHeight="1">
      <c r="A57" s="167">
        <v>161</v>
      </c>
      <c r="B57" s="167">
        <v>9943</v>
      </c>
      <c r="C57" s="167" t="s">
        <v>3113</v>
      </c>
      <c r="D57" s="167" t="s">
        <v>2680</v>
      </c>
      <c r="E57" s="167" t="s">
        <v>3273</v>
      </c>
      <c r="F57" s="167" t="s">
        <v>3094</v>
      </c>
      <c r="G57" s="167" t="s">
        <v>3274</v>
      </c>
      <c r="H57" s="167" t="s">
        <v>3275</v>
      </c>
      <c r="I57" s="167" t="s">
        <v>33</v>
      </c>
      <c r="J57" s="167" t="s">
        <v>34</v>
      </c>
      <c r="K57" s="171">
        <v>43782</v>
      </c>
      <c r="L57" s="170">
        <v>5162.6080000000002</v>
      </c>
      <c r="M57" s="170">
        <v>5162.6080000000002</v>
      </c>
      <c r="N57" s="170">
        <v>962.60799999999995</v>
      </c>
      <c r="O57" s="170">
        <v>962.60799999999995</v>
      </c>
      <c r="P57" s="167" t="s">
        <v>3276</v>
      </c>
      <c r="Q57" s="171">
        <v>46692</v>
      </c>
    </row>
    <row r="58" spans="1:17" ht="14.1" customHeight="1">
      <c r="A58" s="167">
        <v>161</v>
      </c>
      <c r="B58" s="167">
        <v>9943</v>
      </c>
      <c r="C58" s="167" t="s">
        <v>3113</v>
      </c>
      <c r="D58" s="167" t="s">
        <v>2680</v>
      </c>
      <c r="E58" s="167" t="s">
        <v>3143</v>
      </c>
      <c r="F58" s="167" t="s">
        <v>3094</v>
      </c>
      <c r="G58" s="167" t="s">
        <v>2785</v>
      </c>
      <c r="H58" s="167" t="s">
        <v>3277</v>
      </c>
      <c r="I58" s="167" t="s">
        <v>33</v>
      </c>
      <c r="J58" s="167" t="s">
        <v>34</v>
      </c>
      <c r="K58" s="171">
        <v>45040</v>
      </c>
      <c r="L58" s="170">
        <v>2600</v>
      </c>
      <c r="M58" s="170">
        <v>2600</v>
      </c>
      <c r="N58" s="170">
        <v>1560</v>
      </c>
      <c r="O58" s="170">
        <v>1560</v>
      </c>
      <c r="P58" s="167" t="s">
        <v>3145</v>
      </c>
      <c r="Q58" s="171">
        <v>47939</v>
      </c>
    </row>
    <row r="59" spans="1:17" ht="14.1" customHeight="1">
      <c r="A59" s="167">
        <v>161</v>
      </c>
      <c r="B59" s="167">
        <v>9943</v>
      </c>
      <c r="C59" s="167" t="s">
        <v>3113</v>
      </c>
      <c r="D59" s="167" t="s">
        <v>2684</v>
      </c>
      <c r="E59" s="167" t="s">
        <v>3278</v>
      </c>
      <c r="F59" s="167" t="s">
        <v>1351</v>
      </c>
      <c r="G59" s="167" t="s">
        <v>3279</v>
      </c>
      <c r="H59" s="167" t="s">
        <v>3280</v>
      </c>
      <c r="I59" s="167" t="s">
        <v>33</v>
      </c>
      <c r="J59" s="167" t="s">
        <v>90</v>
      </c>
      <c r="K59" s="171">
        <v>44245</v>
      </c>
      <c r="L59" s="170">
        <v>1380</v>
      </c>
      <c r="M59" s="170">
        <v>4653.3599999999997</v>
      </c>
      <c r="N59" s="170">
        <v>800.93600000000004</v>
      </c>
      <c r="O59" s="170">
        <v>2700.7561919999998</v>
      </c>
      <c r="P59" s="167" t="s">
        <v>3281</v>
      </c>
      <c r="Q59" s="171">
        <v>46054</v>
      </c>
    </row>
    <row r="60" spans="1:17" ht="14.1" customHeight="1">
      <c r="A60" s="167">
        <v>161</v>
      </c>
      <c r="B60" s="167">
        <v>9943</v>
      </c>
      <c r="C60" s="167" t="s">
        <v>3113</v>
      </c>
      <c r="D60" s="167" t="s">
        <v>2705</v>
      </c>
      <c r="E60" s="167" t="s">
        <v>2710</v>
      </c>
      <c r="F60" s="167" t="s">
        <v>1351</v>
      </c>
      <c r="G60" s="167" t="s">
        <v>3282</v>
      </c>
      <c r="H60" s="167" t="s">
        <v>3283</v>
      </c>
      <c r="I60" s="167" t="s">
        <v>33</v>
      </c>
      <c r="J60" s="167" t="s">
        <v>34</v>
      </c>
      <c r="K60" s="171">
        <v>43131</v>
      </c>
      <c r="L60" s="170">
        <v>10000</v>
      </c>
      <c r="M60" s="170">
        <v>10000</v>
      </c>
      <c r="N60" s="170">
        <v>806.29300000000001</v>
      </c>
      <c r="O60" s="170">
        <v>806.29300000000001</v>
      </c>
      <c r="P60" s="167" t="s">
        <v>3284</v>
      </c>
      <c r="Q60" s="171">
        <v>46753</v>
      </c>
    </row>
    <row r="61" spans="1:17" ht="14.1" customHeight="1">
      <c r="A61" s="167">
        <v>161</v>
      </c>
      <c r="B61" s="167">
        <v>9943</v>
      </c>
      <c r="C61" s="167" t="s">
        <v>3113</v>
      </c>
      <c r="D61" s="167" t="s">
        <v>2705</v>
      </c>
      <c r="E61" s="167" t="s">
        <v>2710</v>
      </c>
      <c r="F61" s="167" t="s">
        <v>1351</v>
      </c>
      <c r="G61" s="167" t="s">
        <v>3285</v>
      </c>
      <c r="H61" s="167" t="s">
        <v>3286</v>
      </c>
      <c r="I61" s="167" t="s">
        <v>33</v>
      </c>
      <c r="J61" s="167" t="s">
        <v>34</v>
      </c>
      <c r="K61" s="171">
        <v>43803</v>
      </c>
      <c r="L61" s="170">
        <v>6000</v>
      </c>
      <c r="M61" s="170">
        <v>6000</v>
      </c>
      <c r="N61" s="170">
        <v>1779.39</v>
      </c>
      <c r="O61" s="170">
        <v>1779.39</v>
      </c>
      <c r="P61" s="167" t="s">
        <v>3287</v>
      </c>
      <c r="Q61" s="171">
        <v>46327</v>
      </c>
    </row>
    <row r="62" spans="1:17" ht="14.1" customHeight="1">
      <c r="A62" s="167">
        <v>161</v>
      </c>
      <c r="B62" s="167">
        <v>9943</v>
      </c>
      <c r="C62" s="167" t="s">
        <v>3113</v>
      </c>
      <c r="D62" s="167" t="s">
        <v>3288</v>
      </c>
      <c r="E62" s="167" t="s">
        <v>2722</v>
      </c>
      <c r="F62" s="167" t="s">
        <v>1351</v>
      </c>
      <c r="G62" s="167" t="s">
        <v>2723</v>
      </c>
      <c r="H62" s="167" t="s">
        <v>3289</v>
      </c>
      <c r="I62" s="167" t="s">
        <v>33</v>
      </c>
      <c r="J62" s="167" t="s">
        <v>34</v>
      </c>
      <c r="K62" s="171">
        <v>44598</v>
      </c>
      <c r="L62" s="170">
        <v>763.28899999999999</v>
      </c>
      <c r="M62" s="170">
        <v>763.28899999999999</v>
      </c>
      <c r="N62" s="170">
        <v>427.32299999999998</v>
      </c>
      <c r="O62" s="170">
        <v>427.32299999999998</v>
      </c>
      <c r="P62" s="167" t="s">
        <v>3290</v>
      </c>
      <c r="Q62" s="171">
        <v>48245</v>
      </c>
    </row>
    <row r="63" spans="1:17" ht="14.1" customHeight="1">
      <c r="A63" s="167">
        <v>161</v>
      </c>
      <c r="B63" s="167">
        <v>9943</v>
      </c>
      <c r="C63" s="167" t="s">
        <v>3153</v>
      </c>
      <c r="D63" s="167" t="s">
        <v>2654</v>
      </c>
      <c r="E63" s="167" t="s">
        <v>3291</v>
      </c>
      <c r="F63" s="167" t="s">
        <v>1351</v>
      </c>
      <c r="G63" s="167" t="s">
        <v>2654</v>
      </c>
      <c r="H63" s="167" t="s">
        <v>3292</v>
      </c>
      <c r="I63" s="167" t="s">
        <v>33</v>
      </c>
      <c r="J63" s="167" t="s">
        <v>34</v>
      </c>
      <c r="K63" s="171">
        <v>41364</v>
      </c>
      <c r="L63" s="170">
        <v>8501.9509999999991</v>
      </c>
      <c r="M63" s="170">
        <v>8501.9500000000007</v>
      </c>
      <c r="N63" s="170">
        <v>0</v>
      </c>
      <c r="O63" s="170">
        <v>0</v>
      </c>
      <c r="P63" s="167" t="s">
        <v>3117</v>
      </c>
      <c r="Q63" s="171"/>
    </row>
    <row r="64" spans="1:17" ht="14.1" customHeight="1">
      <c r="A64" s="167">
        <v>161</v>
      </c>
      <c r="B64" s="167">
        <v>9943</v>
      </c>
      <c r="C64" s="167" t="s">
        <v>3153</v>
      </c>
      <c r="D64" s="167" t="s">
        <v>2647</v>
      </c>
      <c r="E64" s="167" t="s">
        <v>3154</v>
      </c>
      <c r="F64" s="167" t="s">
        <v>1351</v>
      </c>
      <c r="G64" s="167" t="s">
        <v>3155</v>
      </c>
      <c r="H64" s="167" t="s">
        <v>3293</v>
      </c>
      <c r="I64" s="167" t="s">
        <v>33</v>
      </c>
      <c r="J64" s="167" t="s">
        <v>34</v>
      </c>
      <c r="K64" s="171">
        <v>43922</v>
      </c>
      <c r="L64" s="170">
        <v>4797.2550000000001</v>
      </c>
      <c r="M64" s="170">
        <v>4797.2550000000001</v>
      </c>
      <c r="N64" s="170">
        <v>0</v>
      </c>
      <c r="O64" s="170">
        <v>0</v>
      </c>
      <c r="P64" s="167" t="s">
        <v>3117</v>
      </c>
      <c r="Q64" s="171"/>
    </row>
    <row r="65" spans="1:17" ht="14.1" customHeight="1">
      <c r="A65" s="167">
        <v>161</v>
      </c>
      <c r="B65" s="167">
        <v>9943</v>
      </c>
      <c r="C65" s="167" t="s">
        <v>3153</v>
      </c>
      <c r="D65" s="167" t="s">
        <v>2647</v>
      </c>
      <c r="E65" s="167" t="s">
        <v>3154</v>
      </c>
      <c r="F65" s="167" t="s">
        <v>1351</v>
      </c>
      <c r="G65" s="167" t="s">
        <v>3157</v>
      </c>
      <c r="H65" s="167" t="s">
        <v>3294</v>
      </c>
      <c r="I65" s="167" t="s">
        <v>33</v>
      </c>
      <c r="J65" s="167" t="s">
        <v>34</v>
      </c>
      <c r="K65" s="171">
        <v>42306</v>
      </c>
      <c r="L65" s="170">
        <v>5000</v>
      </c>
      <c r="M65" s="170">
        <v>5000</v>
      </c>
      <c r="N65" s="170">
        <v>0</v>
      </c>
      <c r="O65" s="170">
        <v>0</v>
      </c>
      <c r="P65" s="167" t="s">
        <v>3117</v>
      </c>
      <c r="Q65" s="171"/>
    </row>
    <row r="66" spans="1:17" ht="14.1" customHeight="1">
      <c r="A66" s="167">
        <v>161</v>
      </c>
      <c r="B66" s="167">
        <v>9943</v>
      </c>
      <c r="C66" s="167" t="s">
        <v>3153</v>
      </c>
      <c r="D66" s="167" t="s">
        <v>2647</v>
      </c>
      <c r="E66" s="167" t="s">
        <v>3295</v>
      </c>
      <c r="F66" s="167" t="s">
        <v>1351</v>
      </c>
      <c r="G66" s="167" t="s">
        <v>3296</v>
      </c>
      <c r="H66" s="167" t="s">
        <v>3297</v>
      </c>
      <c r="I66" s="167" t="s">
        <v>33</v>
      </c>
      <c r="J66" s="167" t="s">
        <v>34</v>
      </c>
      <c r="K66" s="171">
        <v>45351</v>
      </c>
      <c r="L66" s="170">
        <v>5000</v>
      </c>
      <c r="M66" s="170">
        <v>5000</v>
      </c>
      <c r="N66" s="170">
        <v>0</v>
      </c>
      <c r="O66" s="170">
        <v>0</v>
      </c>
      <c r="P66" s="167" t="s">
        <v>3117</v>
      </c>
      <c r="Q66" s="171"/>
    </row>
    <row r="67" spans="1:17" ht="14.1" customHeight="1">
      <c r="A67" s="167">
        <v>161</v>
      </c>
      <c r="B67" s="167">
        <v>9938</v>
      </c>
      <c r="C67" s="167" t="s">
        <v>3105</v>
      </c>
      <c r="D67" s="167" t="s">
        <v>3226</v>
      </c>
      <c r="E67" s="167" t="s">
        <v>3227</v>
      </c>
      <c r="F67" s="167" t="s">
        <v>3094</v>
      </c>
      <c r="G67" s="167" t="s">
        <v>3226</v>
      </c>
      <c r="H67" s="167" t="s">
        <v>3228</v>
      </c>
      <c r="I67" s="167" t="s">
        <v>33</v>
      </c>
      <c r="J67" s="167" t="s">
        <v>90</v>
      </c>
      <c r="K67" s="171">
        <v>44426</v>
      </c>
      <c r="L67" s="170">
        <v>50</v>
      </c>
      <c r="M67" s="170">
        <v>168.6</v>
      </c>
      <c r="N67" s="170">
        <v>7.5</v>
      </c>
      <c r="O67" s="170">
        <v>25.29</v>
      </c>
      <c r="P67" s="167" t="s">
        <v>3229</v>
      </c>
      <c r="Q67" s="171">
        <v>46023</v>
      </c>
    </row>
    <row r="68" spans="1:17" ht="14.1" customHeight="1">
      <c r="A68" s="167">
        <v>161</v>
      </c>
      <c r="B68" s="167">
        <v>9938</v>
      </c>
      <c r="C68" s="167" t="s">
        <v>3113</v>
      </c>
      <c r="D68" s="167" t="s">
        <v>2632</v>
      </c>
      <c r="E68" s="167" t="s">
        <v>3093</v>
      </c>
      <c r="F68" s="167" t="s">
        <v>3094</v>
      </c>
      <c r="G68" s="167" t="s">
        <v>3261</v>
      </c>
      <c r="H68" s="167" t="s">
        <v>3262</v>
      </c>
      <c r="I68" s="167" t="s">
        <v>33</v>
      </c>
      <c r="J68" s="167" t="s">
        <v>90</v>
      </c>
      <c r="K68" s="171">
        <v>44441</v>
      </c>
      <c r="L68" s="170">
        <v>100</v>
      </c>
      <c r="M68" s="170">
        <v>337.2</v>
      </c>
      <c r="N68" s="170">
        <v>26.45196000000001</v>
      </c>
      <c r="O68" s="170">
        <v>89.196009120000014</v>
      </c>
      <c r="P68" s="167" t="s">
        <v>3263</v>
      </c>
      <c r="Q68" s="171">
        <v>47119</v>
      </c>
    </row>
    <row r="69" spans="1:17" ht="14.1" customHeight="1">
      <c r="A69" s="167">
        <v>161</v>
      </c>
      <c r="B69" s="167">
        <v>9942</v>
      </c>
      <c r="C69" s="167" t="s">
        <v>3113</v>
      </c>
      <c r="D69" s="167" t="s">
        <v>2632</v>
      </c>
      <c r="E69" s="167" t="s">
        <v>3093</v>
      </c>
      <c r="F69" s="167" t="s">
        <v>3094</v>
      </c>
      <c r="G69" s="167" t="s">
        <v>3261</v>
      </c>
      <c r="H69" s="167" t="s">
        <v>3262</v>
      </c>
      <c r="I69" s="167" t="s">
        <v>33</v>
      </c>
      <c r="J69" s="167" t="s">
        <v>90</v>
      </c>
      <c r="K69" s="171">
        <v>44441</v>
      </c>
      <c r="L69" s="170">
        <v>100</v>
      </c>
      <c r="M69" s="170">
        <v>337.2</v>
      </c>
      <c r="N69" s="170">
        <v>26.45196000000001</v>
      </c>
      <c r="O69" s="170">
        <v>89.196009120000014</v>
      </c>
      <c r="P69" s="167" t="s">
        <v>3263</v>
      </c>
      <c r="Q69" s="171">
        <v>47119</v>
      </c>
    </row>
  </sheetData>
  <sheetProtection formatColumns="0"/>
  <dataConsolidate/>
  <dataValidations count="2">
    <dataValidation type="list" allowBlank="1" showInputMessage="1" showErrorMessage="1" sqref="F2:F20" xr:uid="{09F04A3C-66B6-40BF-B038-7C53FB3BDBD2}">
      <formula1>Issuer_Number_Fund</formula1>
    </dataValidation>
    <dataValidation type="list" allowBlank="1" showInputMessage="1" showErrorMessage="1" sqref="I2:I20" xr:uid="{E74801B8-E42B-4D37-837E-A0B1FEE908E5}">
      <formula1>Type_of_Security_ID_Fund</formula1>
    </dataValidation>
  </dataValidations>
  <pageMargins left="0.7" right="0.7" top="0.75" bottom="0.75" header="0.3" footer="0.3"/>
  <pageSetup paperSize="9" orientation="portrait" verticalDpi="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Sheet36"/>
  <dimension ref="A1:H1163"/>
  <sheetViews>
    <sheetView showGridLines="0" rightToLeft="1" topLeftCell="B1" zoomScale="85" zoomScaleNormal="85" workbookViewId="0">
      <pane ySplit="1" topLeftCell="A360" activePane="bottomLeft" state="frozen"/>
      <selection pane="bottomLeft" activeCell="C328" sqref="C328"/>
    </sheetView>
  </sheetViews>
  <sheetFormatPr defaultColWidth="0" defaultRowHeight="14.25" zeroHeight="1"/>
  <cols>
    <col min="1" max="1" width="29.5" customWidth="1"/>
    <col min="2" max="2" width="30.375" customWidth="1"/>
    <col min="3" max="3" width="90.875" customWidth="1"/>
    <col min="4" max="4" width="68.875" customWidth="1"/>
    <col min="5" max="5" width="17.375" hidden="1" customWidth="1"/>
    <col min="6" max="6" width="59.625" hidden="1" customWidth="1"/>
    <col min="7" max="7" width="63.5" hidden="1" customWidth="1"/>
    <col min="8" max="8" width="38.75" hidden="1" customWidth="1"/>
  </cols>
  <sheetData>
    <row r="1" spans="1:4" ht="45">
      <c r="A1" s="37" t="s">
        <v>241</v>
      </c>
      <c r="B1" s="37" t="s">
        <v>242</v>
      </c>
      <c r="C1" s="37" t="s">
        <v>243</v>
      </c>
      <c r="D1" s="37" t="s">
        <v>244</v>
      </c>
    </row>
    <row r="2" spans="1:4">
      <c r="A2" s="70"/>
      <c r="B2" s="70" t="s">
        <v>245</v>
      </c>
      <c r="C2" s="14" t="s">
        <v>30</v>
      </c>
      <c r="D2" s="14"/>
    </row>
    <row r="3" spans="1:4">
      <c r="A3" s="71"/>
      <c r="B3" s="71"/>
      <c r="C3" s="14" t="s">
        <v>85</v>
      </c>
      <c r="D3" s="14"/>
    </row>
    <row r="4" spans="1:4" ht="42.75">
      <c r="A4" s="63"/>
      <c r="B4" s="84" t="s">
        <v>246</v>
      </c>
      <c r="C4" s="15" t="s">
        <v>30</v>
      </c>
      <c r="D4" s="15"/>
    </row>
    <row r="5" spans="1:4">
      <c r="A5" s="64"/>
      <c r="B5" s="85"/>
      <c r="C5" s="15" t="s">
        <v>247</v>
      </c>
      <c r="D5" s="15"/>
    </row>
    <row r="6" spans="1:4">
      <c r="A6" s="64"/>
      <c r="B6" s="85"/>
      <c r="C6" s="15" t="s">
        <v>248</v>
      </c>
      <c r="D6" s="15"/>
    </row>
    <row r="7" spans="1:4">
      <c r="A7" s="64"/>
      <c r="B7" s="85"/>
      <c r="C7" s="15" t="s">
        <v>249</v>
      </c>
      <c r="D7" s="15"/>
    </row>
    <row r="8" spans="1:4">
      <c r="A8" s="64"/>
      <c r="B8" s="85"/>
      <c r="C8" s="15" t="s">
        <v>250</v>
      </c>
      <c r="D8" s="15"/>
    </row>
    <row r="9" spans="1:4">
      <c r="A9" s="64"/>
      <c r="B9" s="85"/>
      <c r="C9" s="15" t="s">
        <v>251</v>
      </c>
      <c r="D9" s="15"/>
    </row>
    <row r="10" spans="1:4">
      <c r="A10" s="64"/>
      <c r="B10" s="85"/>
      <c r="C10" s="15" t="s">
        <v>252</v>
      </c>
      <c r="D10" s="15"/>
    </row>
    <row r="11" spans="1:4">
      <c r="A11" s="64"/>
      <c r="B11" s="85"/>
      <c r="C11" s="15" t="s">
        <v>253</v>
      </c>
      <c r="D11" s="15"/>
    </row>
    <row r="12" spans="1:4">
      <c r="A12" s="64"/>
      <c r="B12" s="85"/>
      <c r="C12" s="15" t="s">
        <v>254</v>
      </c>
      <c r="D12" s="15"/>
    </row>
    <row r="13" spans="1:4">
      <c r="A13" s="64"/>
      <c r="B13" s="85"/>
      <c r="C13" s="15" t="s">
        <v>255</v>
      </c>
      <c r="D13" s="15"/>
    </row>
    <row r="14" spans="1:4">
      <c r="A14" s="64"/>
      <c r="B14" s="85"/>
      <c r="C14" s="15" t="s">
        <v>256</v>
      </c>
      <c r="D14" s="15"/>
    </row>
    <row r="15" spans="1:4">
      <c r="A15" s="64"/>
      <c r="B15" s="85"/>
      <c r="C15" s="15" t="s">
        <v>257</v>
      </c>
      <c r="D15" s="15"/>
    </row>
    <row r="16" spans="1:4">
      <c r="A16" s="64"/>
      <c r="B16" s="85"/>
      <c r="C16" s="15" t="s">
        <v>258</v>
      </c>
      <c r="D16" s="15"/>
    </row>
    <row r="17" spans="1:4">
      <c r="A17" s="64"/>
      <c r="B17" s="85"/>
      <c r="C17" s="15" t="s">
        <v>259</v>
      </c>
      <c r="D17" s="15"/>
    </row>
    <row r="18" spans="1:4">
      <c r="A18" s="64"/>
      <c r="B18" s="85"/>
      <c r="C18" s="15" t="s">
        <v>260</v>
      </c>
      <c r="D18" s="15"/>
    </row>
    <row r="19" spans="1:4">
      <c r="A19" s="64"/>
      <c r="B19" s="85"/>
      <c r="C19" s="15" t="s">
        <v>261</v>
      </c>
      <c r="D19" s="15"/>
    </row>
    <row r="20" spans="1:4">
      <c r="A20" s="64"/>
      <c r="B20" s="85"/>
      <c r="C20" s="15" t="s">
        <v>262</v>
      </c>
      <c r="D20" s="15"/>
    </row>
    <row r="21" spans="1:4">
      <c r="A21" s="64"/>
      <c r="B21" s="85"/>
      <c r="C21" s="15" t="s">
        <v>86</v>
      </c>
      <c r="D21" s="15"/>
    </row>
    <row r="22" spans="1:4">
      <c r="A22" s="64"/>
      <c r="B22" s="85"/>
      <c r="C22" s="15" t="s">
        <v>263</v>
      </c>
      <c r="D22" s="15"/>
    </row>
    <row r="23" spans="1:4">
      <c r="A23" s="64"/>
      <c r="B23" s="85"/>
      <c r="C23" s="15" t="s">
        <v>264</v>
      </c>
      <c r="D23" s="15"/>
    </row>
    <row r="24" spans="1:4">
      <c r="A24" s="64"/>
      <c r="B24" s="85"/>
      <c r="C24" s="15" t="s">
        <v>265</v>
      </c>
      <c r="D24" s="15"/>
    </row>
    <row r="25" spans="1:4">
      <c r="A25" s="64"/>
      <c r="B25" s="85"/>
      <c r="C25" s="15" t="s">
        <v>266</v>
      </c>
      <c r="D25" s="15"/>
    </row>
    <row r="26" spans="1:4">
      <c r="A26" s="64"/>
      <c r="B26" s="85"/>
      <c r="C26" s="15" t="s">
        <v>267</v>
      </c>
      <c r="D26" s="15"/>
    </row>
    <row r="27" spans="1:4">
      <c r="A27" s="64"/>
      <c r="B27" s="85"/>
      <c r="C27" s="15" t="s">
        <v>268</v>
      </c>
      <c r="D27" s="15"/>
    </row>
    <row r="28" spans="1:4">
      <c r="A28" s="64"/>
      <c r="B28" s="85"/>
      <c r="C28" s="15" t="s">
        <v>269</v>
      </c>
      <c r="D28" s="15"/>
    </row>
    <row r="29" spans="1:4">
      <c r="A29" s="64"/>
      <c r="B29" s="85"/>
      <c r="C29" s="15" t="s">
        <v>270</v>
      </c>
      <c r="D29" s="15"/>
    </row>
    <row r="30" spans="1:4">
      <c r="A30" s="64"/>
      <c r="B30" s="85"/>
      <c r="C30" s="15" t="s">
        <v>271</v>
      </c>
      <c r="D30" s="15"/>
    </row>
    <row r="31" spans="1:4">
      <c r="A31" s="64"/>
      <c r="B31" s="85"/>
      <c r="C31" s="15" t="s">
        <v>272</v>
      </c>
      <c r="D31" s="15"/>
    </row>
    <row r="32" spans="1:4">
      <c r="A32" s="64"/>
      <c r="B32" s="85"/>
      <c r="C32" s="15" t="s">
        <v>273</v>
      </c>
      <c r="D32" s="15"/>
    </row>
    <row r="33" spans="1:4">
      <c r="A33" s="64"/>
      <c r="B33" s="85"/>
      <c r="C33" s="15" t="s">
        <v>274</v>
      </c>
      <c r="D33" s="15"/>
    </row>
    <row r="34" spans="1:4">
      <c r="A34" s="64"/>
      <c r="B34" s="85"/>
      <c r="C34" s="15" t="s">
        <v>275</v>
      </c>
      <c r="D34" s="15"/>
    </row>
    <row r="35" spans="1:4">
      <c r="A35" s="64"/>
      <c r="B35" s="85"/>
      <c r="C35" s="15" t="s">
        <v>276</v>
      </c>
      <c r="D35" s="15"/>
    </row>
    <row r="36" spans="1:4">
      <c r="A36" s="64"/>
      <c r="B36" s="85"/>
      <c r="C36" s="15" t="s">
        <v>277</v>
      </c>
      <c r="D36" s="15"/>
    </row>
    <row r="37" spans="1:4">
      <c r="A37" s="64"/>
      <c r="B37" s="85"/>
      <c r="C37" s="4" t="s">
        <v>278</v>
      </c>
      <c r="D37" s="15"/>
    </row>
    <row r="38" spans="1:4">
      <c r="A38" s="64"/>
      <c r="B38" s="85"/>
      <c r="C38" s="15" t="s">
        <v>279</v>
      </c>
      <c r="D38" s="15"/>
    </row>
    <row r="39" spans="1:4">
      <c r="A39" s="64"/>
      <c r="B39" s="85"/>
      <c r="C39" s="15" t="s">
        <v>280</v>
      </c>
      <c r="D39" s="15"/>
    </row>
    <row r="40" spans="1:4">
      <c r="A40" s="64"/>
      <c r="B40" s="85"/>
      <c r="C40" s="15" t="s">
        <v>281</v>
      </c>
      <c r="D40" s="15"/>
    </row>
    <row r="41" spans="1:4">
      <c r="A41" s="64"/>
      <c r="B41" s="85"/>
      <c r="C41" s="15" t="s">
        <v>282</v>
      </c>
      <c r="D41" s="15"/>
    </row>
    <row r="42" spans="1:4">
      <c r="A42" s="64"/>
      <c r="B42" s="85"/>
      <c r="C42" s="15" t="s">
        <v>283</v>
      </c>
      <c r="D42" s="15"/>
    </row>
    <row r="43" spans="1:4">
      <c r="A43" s="64"/>
      <c r="B43" s="85"/>
      <c r="C43" s="15" t="s">
        <v>284</v>
      </c>
      <c r="D43" s="15"/>
    </row>
    <row r="44" spans="1:4">
      <c r="A44" s="64"/>
      <c r="B44" s="85"/>
      <c r="C44" s="15" t="s">
        <v>285</v>
      </c>
      <c r="D44" s="15"/>
    </row>
    <row r="45" spans="1:4">
      <c r="A45" s="64"/>
      <c r="B45" s="85"/>
      <c r="C45" s="15" t="s">
        <v>286</v>
      </c>
      <c r="D45" s="15"/>
    </row>
    <row r="46" spans="1:4">
      <c r="A46" s="64"/>
      <c r="B46" s="85"/>
      <c r="C46" s="15" t="s">
        <v>287</v>
      </c>
      <c r="D46" s="15"/>
    </row>
    <row r="47" spans="1:4">
      <c r="A47" s="64"/>
      <c r="B47" s="85"/>
      <c r="C47" s="15" t="s">
        <v>288</v>
      </c>
      <c r="D47" s="15"/>
    </row>
    <row r="48" spans="1:4">
      <c r="A48" s="64"/>
      <c r="B48" s="85"/>
      <c r="C48" s="15" t="s">
        <v>289</v>
      </c>
      <c r="D48" s="15"/>
    </row>
    <row r="49" spans="1:4">
      <c r="A49" s="64"/>
      <c r="B49" s="85"/>
      <c r="C49" s="15" t="s">
        <v>290</v>
      </c>
      <c r="D49" s="15"/>
    </row>
    <row r="50" spans="1:4">
      <c r="A50" s="64"/>
      <c r="B50" s="85"/>
      <c r="C50" s="15" t="s">
        <v>291</v>
      </c>
      <c r="D50" s="15"/>
    </row>
    <row r="51" spans="1:4">
      <c r="A51" s="64"/>
      <c r="B51" s="85"/>
      <c r="C51" s="15" t="s">
        <v>292</v>
      </c>
      <c r="D51" s="15"/>
    </row>
    <row r="52" spans="1:4">
      <c r="A52" s="64"/>
      <c r="B52" s="85"/>
      <c r="C52" s="15" t="s">
        <v>293</v>
      </c>
      <c r="D52" s="15"/>
    </row>
    <row r="53" spans="1:4">
      <c r="A53" s="64"/>
      <c r="B53" s="85"/>
      <c r="C53" s="15" t="s">
        <v>294</v>
      </c>
      <c r="D53" s="15"/>
    </row>
    <row r="54" spans="1:4">
      <c r="A54" s="64"/>
      <c r="B54" s="85"/>
      <c r="C54" s="15" t="s">
        <v>295</v>
      </c>
      <c r="D54" s="15"/>
    </row>
    <row r="55" spans="1:4">
      <c r="A55" s="64"/>
      <c r="B55" s="85"/>
      <c r="C55" s="15" t="s">
        <v>296</v>
      </c>
      <c r="D55" s="15"/>
    </row>
    <row r="56" spans="1:4">
      <c r="A56" s="64"/>
      <c r="B56" s="85"/>
      <c r="C56" s="15" t="s">
        <v>297</v>
      </c>
      <c r="D56" s="15"/>
    </row>
    <row r="57" spans="1:4">
      <c r="A57" s="64"/>
      <c r="B57" s="85"/>
      <c r="C57" s="15" t="s">
        <v>298</v>
      </c>
      <c r="D57" s="15"/>
    </row>
    <row r="58" spans="1:4">
      <c r="A58" s="64"/>
      <c r="B58" s="85"/>
      <c r="C58" s="15" t="s">
        <v>299</v>
      </c>
      <c r="D58" s="15"/>
    </row>
    <row r="59" spans="1:4">
      <c r="A59" s="64"/>
      <c r="B59" s="85"/>
      <c r="C59" s="15" t="s">
        <v>300</v>
      </c>
      <c r="D59" s="15"/>
    </row>
    <row r="60" spans="1:4">
      <c r="A60" s="64"/>
      <c r="B60" s="85"/>
      <c r="C60" s="15" t="s">
        <v>301</v>
      </c>
      <c r="D60" s="15"/>
    </row>
    <row r="61" spans="1:4">
      <c r="A61" s="64"/>
      <c r="B61" s="85"/>
      <c r="C61" s="15" t="s">
        <v>302</v>
      </c>
      <c r="D61" s="15"/>
    </row>
    <row r="62" spans="1:4">
      <c r="A62" s="64"/>
      <c r="B62" s="85"/>
      <c r="C62" s="15" t="s">
        <v>303</v>
      </c>
      <c r="D62" s="15"/>
    </row>
    <row r="63" spans="1:4">
      <c r="A63" s="64"/>
      <c r="B63" s="85"/>
      <c r="C63" s="15" t="s">
        <v>304</v>
      </c>
      <c r="D63" s="15"/>
    </row>
    <row r="64" spans="1:4">
      <c r="A64" s="64"/>
      <c r="B64" s="85"/>
      <c r="C64" s="15" t="s">
        <v>305</v>
      </c>
      <c r="D64" s="15"/>
    </row>
    <row r="65" spans="1:4">
      <c r="A65" s="64"/>
      <c r="B65" s="85"/>
      <c r="C65" s="15" t="s">
        <v>306</v>
      </c>
      <c r="D65" s="15"/>
    </row>
    <row r="66" spans="1:4">
      <c r="A66" s="64"/>
      <c r="B66" s="85"/>
      <c r="C66" s="15" t="s">
        <v>307</v>
      </c>
      <c r="D66" s="15"/>
    </row>
    <row r="67" spans="1:4">
      <c r="A67" s="64"/>
      <c r="B67" s="85"/>
      <c r="C67" s="15" t="s">
        <v>308</v>
      </c>
      <c r="D67" s="15"/>
    </row>
    <row r="68" spans="1:4">
      <c r="A68" s="64"/>
      <c r="B68" s="85"/>
      <c r="C68" s="15" t="s">
        <v>309</v>
      </c>
      <c r="D68" s="15"/>
    </row>
    <row r="69" spans="1:4">
      <c r="A69" s="64"/>
      <c r="B69" s="85"/>
      <c r="C69" s="15" t="s">
        <v>310</v>
      </c>
      <c r="D69" s="15"/>
    </row>
    <row r="70" spans="1:4">
      <c r="A70" s="64"/>
      <c r="B70" s="85"/>
      <c r="C70" s="15" t="s">
        <v>311</v>
      </c>
      <c r="D70" s="15"/>
    </row>
    <row r="71" spans="1:4">
      <c r="A71" s="64"/>
      <c r="B71" s="85"/>
      <c r="C71" s="15" t="s">
        <v>312</v>
      </c>
      <c r="D71" s="15"/>
    </row>
    <row r="72" spans="1:4">
      <c r="A72" s="64"/>
      <c r="B72" s="85"/>
      <c r="C72" s="15" t="s">
        <v>313</v>
      </c>
      <c r="D72" s="15"/>
    </row>
    <row r="73" spans="1:4">
      <c r="A73" s="64"/>
      <c r="B73" s="85"/>
      <c r="C73" s="15" t="s">
        <v>314</v>
      </c>
      <c r="D73" s="15"/>
    </row>
    <row r="74" spans="1:4">
      <c r="A74" s="64"/>
      <c r="B74" s="85"/>
      <c r="C74" s="15" t="s">
        <v>315</v>
      </c>
      <c r="D74" s="15"/>
    </row>
    <row r="75" spans="1:4">
      <c r="A75" s="64"/>
      <c r="B75" s="85"/>
      <c r="C75" s="15" t="s">
        <v>316</v>
      </c>
      <c r="D75" s="15"/>
    </row>
    <row r="76" spans="1:4">
      <c r="A76" s="64"/>
      <c r="B76" s="85"/>
      <c r="C76" s="15" t="s">
        <v>317</v>
      </c>
      <c r="D76" s="15"/>
    </row>
    <row r="77" spans="1:4">
      <c r="A77" s="64"/>
      <c r="B77" s="85"/>
      <c r="C77" s="15" t="s">
        <v>318</v>
      </c>
      <c r="D77" s="15"/>
    </row>
    <row r="78" spans="1:4">
      <c r="A78" s="64"/>
      <c r="B78" s="85"/>
      <c r="C78" s="15" t="s">
        <v>319</v>
      </c>
      <c r="D78" s="15"/>
    </row>
    <row r="79" spans="1:4">
      <c r="A79" s="64"/>
      <c r="B79" s="85"/>
      <c r="C79" s="15" t="s">
        <v>320</v>
      </c>
      <c r="D79" s="15"/>
    </row>
    <row r="80" spans="1:4">
      <c r="A80" s="64"/>
      <c r="B80" s="85"/>
      <c r="C80" s="15" t="s">
        <v>321</v>
      </c>
      <c r="D80" s="15"/>
    </row>
    <row r="81" spans="1:4">
      <c r="A81" s="64"/>
      <c r="B81" s="85"/>
      <c r="C81" s="15" t="s">
        <v>322</v>
      </c>
      <c r="D81" s="15"/>
    </row>
    <row r="82" spans="1:4">
      <c r="A82" s="64"/>
      <c r="B82" s="85"/>
      <c r="C82" s="15" t="s">
        <v>323</v>
      </c>
      <c r="D82" s="15"/>
    </row>
    <row r="83" spans="1:4">
      <c r="A83" s="64"/>
      <c r="B83" s="85"/>
      <c r="C83" s="15" t="s">
        <v>324</v>
      </c>
      <c r="D83" s="15"/>
    </row>
    <row r="84" spans="1:4">
      <c r="A84" s="64"/>
      <c r="B84" s="85"/>
      <c r="C84" s="15" t="s">
        <v>325</v>
      </c>
      <c r="D84" s="15"/>
    </row>
    <row r="85" spans="1:4">
      <c r="A85" s="64"/>
      <c r="B85" s="85"/>
      <c r="C85" s="15" t="s">
        <v>326</v>
      </c>
      <c r="D85" s="15"/>
    </row>
    <row r="86" spans="1:4">
      <c r="A86" s="64"/>
      <c r="B86" s="85"/>
      <c r="C86" s="15" t="s">
        <v>327</v>
      </c>
      <c r="D86" s="15"/>
    </row>
    <row r="87" spans="1:4">
      <c r="A87" s="64"/>
      <c r="B87" s="85"/>
      <c r="C87" s="15" t="s">
        <v>328</v>
      </c>
      <c r="D87" s="15"/>
    </row>
    <row r="88" spans="1:4">
      <c r="A88" s="64"/>
      <c r="B88" s="85"/>
      <c r="C88" s="15" t="s">
        <v>329</v>
      </c>
      <c r="D88" s="15"/>
    </row>
    <row r="89" spans="1:4">
      <c r="A89" s="64"/>
      <c r="B89" s="85"/>
      <c r="C89" s="15" t="s">
        <v>330</v>
      </c>
      <c r="D89" s="15"/>
    </row>
    <row r="90" spans="1:4">
      <c r="A90" s="64"/>
      <c r="B90" s="85"/>
      <c r="C90" s="15" t="s">
        <v>331</v>
      </c>
      <c r="D90" s="15"/>
    </row>
    <row r="91" spans="1:4">
      <c r="A91" s="64"/>
      <c r="B91" s="85"/>
      <c r="C91" s="15" t="s">
        <v>332</v>
      </c>
      <c r="D91" s="15"/>
    </row>
    <row r="92" spans="1:4">
      <c r="A92" s="64"/>
      <c r="B92" s="85"/>
      <c r="C92" s="15" t="s">
        <v>333</v>
      </c>
      <c r="D92" s="15"/>
    </row>
    <row r="93" spans="1:4">
      <c r="A93" s="64"/>
      <c r="B93" s="85"/>
      <c r="C93" s="15" t="s">
        <v>334</v>
      </c>
      <c r="D93" s="15"/>
    </row>
    <row r="94" spans="1:4">
      <c r="A94" s="64"/>
      <c r="B94" s="85"/>
      <c r="C94" s="15" t="s">
        <v>335</v>
      </c>
      <c r="D94" s="15" t="s">
        <v>336</v>
      </c>
    </row>
    <row r="95" spans="1:4">
      <c r="A95" s="64"/>
      <c r="B95" s="85"/>
      <c r="C95" s="15" t="s">
        <v>337</v>
      </c>
      <c r="D95" s="15" t="s">
        <v>338</v>
      </c>
    </row>
    <row r="96" spans="1:4">
      <c r="A96" s="64"/>
      <c r="B96" s="85"/>
      <c r="C96" s="15" t="s">
        <v>339</v>
      </c>
      <c r="D96" s="15" t="s">
        <v>338</v>
      </c>
    </row>
    <row r="97" spans="1:4">
      <c r="A97" s="64"/>
      <c r="B97" s="85"/>
      <c r="C97" s="15" t="s">
        <v>340</v>
      </c>
      <c r="D97" s="15" t="s">
        <v>338</v>
      </c>
    </row>
    <row r="98" spans="1:4">
      <c r="A98" s="64"/>
      <c r="B98" s="85"/>
      <c r="C98" s="15" t="s">
        <v>341</v>
      </c>
      <c r="D98" s="15" t="s">
        <v>338</v>
      </c>
    </row>
    <row r="99" spans="1:4">
      <c r="A99" s="64"/>
      <c r="B99" s="85"/>
      <c r="C99" s="15" t="s">
        <v>342</v>
      </c>
      <c r="D99" s="15" t="s">
        <v>338</v>
      </c>
    </row>
    <row r="100" spans="1:4">
      <c r="A100" s="64"/>
      <c r="B100" s="85"/>
      <c r="C100" s="15" t="s">
        <v>343</v>
      </c>
      <c r="D100" s="15" t="s">
        <v>338</v>
      </c>
    </row>
    <row r="101" spans="1:4">
      <c r="A101" s="64"/>
      <c r="B101" s="85"/>
      <c r="C101" s="15" t="s">
        <v>344</v>
      </c>
      <c r="D101" s="15" t="s">
        <v>338</v>
      </c>
    </row>
    <row r="102" spans="1:4">
      <c r="A102" s="64"/>
      <c r="B102" s="85"/>
      <c r="C102" s="15" t="s">
        <v>345</v>
      </c>
      <c r="D102" s="15" t="s">
        <v>338</v>
      </c>
    </row>
    <row r="103" spans="1:4">
      <c r="A103" s="64"/>
      <c r="B103" s="85"/>
      <c r="C103" s="15" t="s">
        <v>346</v>
      </c>
      <c r="D103" s="15" t="s">
        <v>338</v>
      </c>
    </row>
    <row r="104" spans="1:4">
      <c r="A104" s="59"/>
      <c r="B104" s="59" t="s">
        <v>168</v>
      </c>
      <c r="C104" s="14" t="s">
        <v>347</v>
      </c>
      <c r="D104" s="14"/>
    </row>
    <row r="105" spans="1:4">
      <c r="A105" s="60"/>
      <c r="B105" s="60"/>
      <c r="C105" s="14" t="s">
        <v>167</v>
      </c>
      <c r="D105" s="14"/>
    </row>
    <row r="106" spans="1:4">
      <c r="A106" s="60"/>
      <c r="B106" s="60"/>
      <c r="C106" s="14" t="s">
        <v>348</v>
      </c>
      <c r="D106" s="14"/>
    </row>
    <row r="107" spans="1:4">
      <c r="A107" s="60"/>
      <c r="B107" s="60"/>
      <c r="C107" s="14" t="s">
        <v>349</v>
      </c>
      <c r="D107" s="14"/>
    </row>
    <row r="108" spans="1:4">
      <c r="A108" s="60"/>
      <c r="B108" s="60"/>
      <c r="C108" s="14" t="s">
        <v>33</v>
      </c>
      <c r="D108" s="14"/>
    </row>
    <row r="109" spans="1:4">
      <c r="A109" s="60"/>
      <c r="B109" s="60"/>
      <c r="C109" s="14" t="s">
        <v>206</v>
      </c>
      <c r="D109" s="14"/>
    </row>
    <row r="110" spans="1:4">
      <c r="A110" s="61"/>
      <c r="B110" s="61"/>
      <c r="C110" s="14" t="s">
        <v>135</v>
      </c>
      <c r="D110" s="14"/>
    </row>
    <row r="111" spans="1:4">
      <c r="A111" s="64"/>
      <c r="B111" s="50" t="s">
        <v>198</v>
      </c>
      <c r="C111" s="15" t="s">
        <v>347</v>
      </c>
      <c r="D111" s="15"/>
    </row>
    <row r="112" spans="1:4">
      <c r="A112" s="64"/>
      <c r="B112" s="51"/>
      <c r="C112" s="15" t="s">
        <v>350</v>
      </c>
      <c r="D112" s="15"/>
    </row>
    <row r="113" spans="1:4">
      <c r="A113" s="64"/>
      <c r="B113" s="52"/>
      <c r="C113" s="15" t="s">
        <v>351</v>
      </c>
      <c r="D113" s="15"/>
    </row>
    <row r="114" spans="1:4">
      <c r="A114" s="77"/>
      <c r="B114" s="77" t="s">
        <v>352</v>
      </c>
      <c r="C114" s="14" t="s">
        <v>347</v>
      </c>
      <c r="D114" s="14"/>
    </row>
    <row r="115" spans="1:4">
      <c r="A115" s="77"/>
      <c r="B115" s="77"/>
      <c r="C115" s="14" t="s">
        <v>348</v>
      </c>
      <c r="D115" s="14"/>
    </row>
    <row r="116" spans="1:4">
      <c r="A116" s="77"/>
      <c r="B116" s="77"/>
      <c r="C116" s="14" t="s">
        <v>349</v>
      </c>
      <c r="D116" s="14"/>
    </row>
    <row r="117" spans="1:4">
      <c r="A117" s="77"/>
      <c r="B117" s="77"/>
      <c r="C117" s="14" t="s">
        <v>206</v>
      </c>
      <c r="D117" s="14"/>
    </row>
    <row r="118" spans="1:4">
      <c r="A118" s="63"/>
      <c r="B118" s="78" t="s">
        <v>142</v>
      </c>
      <c r="C118" s="15" t="s">
        <v>347</v>
      </c>
      <c r="D118" s="15"/>
    </row>
    <row r="119" spans="1:4">
      <c r="A119" s="5"/>
      <c r="B119" s="97"/>
      <c r="C119" s="15" t="s">
        <v>353</v>
      </c>
      <c r="D119" s="15"/>
    </row>
    <row r="120" spans="1:4">
      <c r="A120" s="5"/>
      <c r="B120" s="97"/>
      <c r="C120" s="15" t="s">
        <v>349</v>
      </c>
      <c r="D120" s="15"/>
    </row>
    <row r="121" spans="1:4">
      <c r="A121" s="5"/>
      <c r="B121" s="97"/>
      <c r="C121" s="15" t="s">
        <v>33</v>
      </c>
      <c r="D121" s="15"/>
    </row>
    <row r="122" spans="1:4">
      <c r="A122" s="5"/>
      <c r="B122" s="97"/>
      <c r="C122" s="15" t="s">
        <v>348</v>
      </c>
      <c r="D122" s="15"/>
    </row>
    <row r="123" spans="1:4">
      <c r="A123" s="5"/>
      <c r="B123" s="97"/>
      <c r="C123" s="15" t="s">
        <v>354</v>
      </c>
      <c r="D123" s="15"/>
    </row>
    <row r="124" spans="1:4">
      <c r="A124" s="5"/>
      <c r="B124" s="97"/>
      <c r="C124" s="15" t="s">
        <v>355</v>
      </c>
      <c r="D124" s="15"/>
    </row>
    <row r="125" spans="1:4">
      <c r="A125" s="5"/>
      <c r="B125" s="97"/>
      <c r="C125" s="15" t="s">
        <v>206</v>
      </c>
      <c r="D125" s="15"/>
    </row>
    <row r="126" spans="1:4">
      <c r="A126" s="64"/>
      <c r="B126" s="79"/>
      <c r="C126" s="15" t="s">
        <v>135</v>
      </c>
      <c r="D126" s="15"/>
    </row>
    <row r="127" spans="1:4">
      <c r="A127" s="59"/>
      <c r="B127" s="59" t="s">
        <v>169</v>
      </c>
      <c r="C127" s="14" t="s">
        <v>209</v>
      </c>
      <c r="D127" s="14"/>
    </row>
    <row r="128" spans="1:4">
      <c r="A128" s="60"/>
      <c r="B128" s="60"/>
      <c r="C128" s="14" t="s">
        <v>356</v>
      </c>
      <c r="D128" s="14"/>
    </row>
    <row r="129" spans="1:4">
      <c r="A129" s="60"/>
      <c r="B129" s="60"/>
      <c r="C129" s="14" t="s">
        <v>357</v>
      </c>
      <c r="D129" s="14"/>
    </row>
    <row r="130" spans="1:4">
      <c r="A130" s="60"/>
      <c r="B130" s="60"/>
      <c r="C130" s="14" t="s">
        <v>358</v>
      </c>
      <c r="D130" s="14"/>
    </row>
    <row r="131" spans="1:4">
      <c r="A131" s="60"/>
      <c r="B131" s="60"/>
      <c r="C131" s="14" t="s">
        <v>33</v>
      </c>
      <c r="D131" s="14"/>
    </row>
    <row r="132" spans="1:4">
      <c r="A132" s="64"/>
      <c r="B132" s="51" t="s">
        <v>359</v>
      </c>
      <c r="C132" s="15" t="s">
        <v>209</v>
      </c>
      <c r="D132" s="15"/>
    </row>
    <row r="133" spans="1:4">
      <c r="A133" s="64"/>
      <c r="B133" s="51"/>
      <c r="C133" s="15" t="s">
        <v>33</v>
      </c>
      <c r="D133" s="15"/>
    </row>
    <row r="134" spans="1:4">
      <c r="A134" s="65"/>
      <c r="B134" s="52"/>
      <c r="C134" s="15" t="s">
        <v>135</v>
      </c>
      <c r="D134" s="15"/>
    </row>
    <row r="135" spans="1:4">
      <c r="A135" s="66"/>
      <c r="B135" s="66" t="s">
        <v>360</v>
      </c>
      <c r="C135" s="14" t="s">
        <v>361</v>
      </c>
      <c r="D135" s="14"/>
    </row>
    <row r="136" spans="1:4">
      <c r="A136" s="67"/>
      <c r="B136" s="67"/>
      <c r="C136" s="14" t="s">
        <v>362</v>
      </c>
      <c r="D136" s="14"/>
    </row>
    <row r="137" spans="1:4">
      <c r="A137" s="67"/>
      <c r="B137" s="67"/>
      <c r="C137" s="14" t="s">
        <v>363</v>
      </c>
      <c r="D137" s="14" t="s">
        <v>364</v>
      </c>
    </row>
    <row r="138" spans="1:4">
      <c r="A138" s="67"/>
      <c r="B138" s="67"/>
      <c r="C138" s="14" t="s">
        <v>365</v>
      </c>
      <c r="D138" s="14" t="s">
        <v>366</v>
      </c>
    </row>
    <row r="139" spans="1:4">
      <c r="A139" s="67"/>
      <c r="B139" s="67"/>
      <c r="C139" s="14" t="s">
        <v>367</v>
      </c>
      <c r="D139" s="14"/>
    </row>
    <row r="140" spans="1:4">
      <c r="A140" s="67"/>
      <c r="B140" s="67"/>
      <c r="C140" s="14" t="s">
        <v>368</v>
      </c>
      <c r="D140" s="14"/>
    </row>
    <row r="141" spans="1:4">
      <c r="A141" s="67"/>
      <c r="B141" s="67"/>
      <c r="C141" s="14" t="s">
        <v>369</v>
      </c>
      <c r="D141" s="14"/>
    </row>
    <row r="142" spans="1:4">
      <c r="A142" s="67"/>
      <c r="B142" s="67"/>
      <c r="C142" s="14" t="s">
        <v>370</v>
      </c>
      <c r="D142" s="14"/>
    </row>
    <row r="143" spans="1:4">
      <c r="A143" s="67"/>
      <c r="B143" s="67"/>
      <c r="C143" s="14" t="s">
        <v>371</v>
      </c>
      <c r="D143" s="14"/>
    </row>
    <row r="144" spans="1:4">
      <c r="A144" s="67"/>
      <c r="B144" s="67"/>
      <c r="C144" s="14" t="s">
        <v>372</v>
      </c>
      <c r="D144" s="14"/>
    </row>
    <row r="145" spans="1:4">
      <c r="A145" s="67"/>
      <c r="B145" s="67"/>
      <c r="C145" s="14" t="s">
        <v>135</v>
      </c>
      <c r="D145" s="14"/>
    </row>
    <row r="146" spans="1:4">
      <c r="A146" s="63"/>
      <c r="B146" s="56" t="s">
        <v>373</v>
      </c>
      <c r="C146" s="15" t="s">
        <v>374</v>
      </c>
      <c r="D146" s="15"/>
    </row>
    <row r="147" spans="1:4">
      <c r="A147" s="65"/>
      <c r="B147" s="58"/>
      <c r="C147" s="15" t="s">
        <v>160</v>
      </c>
      <c r="D147" s="15"/>
    </row>
    <row r="148" spans="1:4">
      <c r="A148" s="45"/>
      <c r="B148" s="96" t="s">
        <v>8</v>
      </c>
      <c r="C148" s="14" t="s">
        <v>31</v>
      </c>
      <c r="D148" s="14" t="s">
        <v>375</v>
      </c>
    </row>
    <row r="149" spans="1:4">
      <c r="A149" s="46"/>
      <c r="B149" s="46"/>
      <c r="C149" s="14" t="s">
        <v>376</v>
      </c>
      <c r="D149" s="14" t="s">
        <v>377</v>
      </c>
    </row>
    <row r="150" spans="1:4">
      <c r="A150" s="46"/>
      <c r="B150" s="46"/>
      <c r="C150" s="14" t="s">
        <v>378</v>
      </c>
      <c r="D150" s="14" t="s">
        <v>379</v>
      </c>
    </row>
    <row r="151" spans="1:4">
      <c r="A151" s="46"/>
      <c r="B151" s="46"/>
      <c r="C151" s="14" t="s">
        <v>380</v>
      </c>
      <c r="D151" s="14" t="s">
        <v>381</v>
      </c>
    </row>
    <row r="152" spans="1:4">
      <c r="A152" s="46"/>
      <c r="B152" s="46"/>
      <c r="C152" s="14" t="s">
        <v>382</v>
      </c>
      <c r="D152" s="14" t="s">
        <v>383</v>
      </c>
    </row>
    <row r="153" spans="1:4">
      <c r="A153" s="46"/>
      <c r="B153" s="46"/>
      <c r="C153" s="14" t="s">
        <v>384</v>
      </c>
      <c r="D153" s="14" t="s">
        <v>385</v>
      </c>
    </row>
    <row r="154" spans="1:4">
      <c r="A154" s="46"/>
      <c r="B154" s="46"/>
      <c r="C154" s="14" t="s">
        <v>386</v>
      </c>
      <c r="D154" s="14" t="s">
        <v>387</v>
      </c>
    </row>
    <row r="155" spans="1:4">
      <c r="A155" s="46"/>
      <c r="B155" s="46"/>
      <c r="C155" s="14" t="s">
        <v>388</v>
      </c>
      <c r="D155" s="14" t="s">
        <v>389</v>
      </c>
    </row>
    <row r="156" spans="1:4">
      <c r="A156" s="46"/>
      <c r="B156" s="46"/>
      <c r="C156" s="14" t="s">
        <v>390</v>
      </c>
      <c r="D156" s="14" t="s">
        <v>391</v>
      </c>
    </row>
    <row r="157" spans="1:4">
      <c r="A157" s="46"/>
      <c r="B157" s="46"/>
      <c r="C157" s="14" t="s">
        <v>392</v>
      </c>
      <c r="D157" s="14" t="s">
        <v>393</v>
      </c>
    </row>
    <row r="158" spans="1:4">
      <c r="A158" s="46"/>
      <c r="B158" s="46"/>
      <c r="C158" s="14" t="s">
        <v>394</v>
      </c>
      <c r="D158" s="14" t="s">
        <v>395</v>
      </c>
    </row>
    <row r="159" spans="1:4">
      <c r="A159" s="46"/>
      <c r="B159" s="46"/>
      <c r="C159" s="14" t="s">
        <v>396</v>
      </c>
      <c r="D159" s="14" t="s">
        <v>397</v>
      </c>
    </row>
    <row r="160" spans="1:4">
      <c r="A160" s="46"/>
      <c r="B160" s="46"/>
      <c r="C160" s="14" t="s">
        <v>398</v>
      </c>
      <c r="D160" s="14" t="s">
        <v>399</v>
      </c>
    </row>
    <row r="161" spans="1:4">
      <c r="A161" s="46"/>
      <c r="B161" s="46"/>
      <c r="C161" s="14" t="s">
        <v>400</v>
      </c>
      <c r="D161" s="14" t="s">
        <v>401</v>
      </c>
    </row>
    <row r="162" spans="1:4">
      <c r="A162" s="46"/>
      <c r="B162" s="46"/>
      <c r="C162" s="14" t="s">
        <v>402</v>
      </c>
      <c r="D162" s="14" t="s">
        <v>403</v>
      </c>
    </row>
    <row r="163" spans="1:4">
      <c r="A163" s="46"/>
      <c r="B163" s="46"/>
      <c r="C163" s="14" t="s">
        <v>404</v>
      </c>
      <c r="D163" s="14" t="s">
        <v>405</v>
      </c>
    </row>
    <row r="164" spans="1:4">
      <c r="A164" s="46"/>
      <c r="B164" s="46"/>
      <c r="C164" s="14" t="s">
        <v>406</v>
      </c>
      <c r="D164" s="14" t="s">
        <v>407</v>
      </c>
    </row>
    <row r="165" spans="1:4">
      <c r="A165" s="46"/>
      <c r="B165" s="46"/>
      <c r="C165" s="14" t="s">
        <v>408</v>
      </c>
      <c r="D165" s="14" t="s">
        <v>409</v>
      </c>
    </row>
    <row r="166" spans="1:4">
      <c r="A166" s="46"/>
      <c r="B166" s="46"/>
      <c r="C166" s="14" t="s">
        <v>410</v>
      </c>
      <c r="D166" s="14" t="s">
        <v>411</v>
      </c>
    </row>
    <row r="167" spans="1:4">
      <c r="A167" s="46"/>
      <c r="B167" s="46"/>
      <c r="C167" s="14" t="s">
        <v>412</v>
      </c>
      <c r="D167" s="14" t="s">
        <v>413</v>
      </c>
    </row>
    <row r="168" spans="1:4">
      <c r="A168" s="46"/>
      <c r="B168" s="46"/>
      <c r="C168" s="14" t="s">
        <v>414</v>
      </c>
      <c r="D168" s="14" t="s">
        <v>415</v>
      </c>
    </row>
    <row r="169" spans="1:4">
      <c r="A169" s="46"/>
      <c r="B169" s="46"/>
      <c r="C169" s="14" t="s">
        <v>416</v>
      </c>
      <c r="D169" s="14" t="s">
        <v>417</v>
      </c>
    </row>
    <row r="170" spans="1:4">
      <c r="A170" s="46"/>
      <c r="B170" s="46"/>
      <c r="C170" s="14" t="s">
        <v>418</v>
      </c>
      <c r="D170" s="14" t="s">
        <v>419</v>
      </c>
    </row>
    <row r="171" spans="1:4">
      <c r="A171" s="46"/>
      <c r="B171" s="46"/>
      <c r="C171" s="14" t="s">
        <v>420</v>
      </c>
      <c r="D171" s="14" t="s">
        <v>421</v>
      </c>
    </row>
    <row r="172" spans="1:4">
      <c r="A172" s="46"/>
      <c r="B172" s="46"/>
      <c r="C172" s="14" t="s">
        <v>422</v>
      </c>
      <c r="D172" s="14" t="s">
        <v>423</v>
      </c>
    </row>
    <row r="173" spans="1:4">
      <c r="A173" s="46"/>
      <c r="B173" s="46"/>
      <c r="C173" s="14" t="s">
        <v>424</v>
      </c>
      <c r="D173" s="14" t="s">
        <v>425</v>
      </c>
    </row>
    <row r="174" spans="1:4">
      <c r="A174" s="46"/>
      <c r="B174" s="46"/>
      <c r="C174" s="14" t="s">
        <v>426</v>
      </c>
      <c r="D174" s="14" t="s">
        <v>427</v>
      </c>
    </row>
    <row r="175" spans="1:4">
      <c r="A175" s="46"/>
      <c r="B175" s="46"/>
      <c r="C175" s="14" t="s">
        <v>428</v>
      </c>
      <c r="D175" s="14" t="s">
        <v>429</v>
      </c>
    </row>
    <row r="176" spans="1:4">
      <c r="A176" s="46"/>
      <c r="B176" s="46"/>
      <c r="C176" s="14" t="s">
        <v>430</v>
      </c>
      <c r="D176" s="14" t="s">
        <v>431</v>
      </c>
    </row>
    <row r="177" spans="1:4">
      <c r="A177" s="46"/>
      <c r="B177" s="46"/>
      <c r="C177" s="14" t="s">
        <v>432</v>
      </c>
      <c r="D177" s="14" t="s">
        <v>433</v>
      </c>
    </row>
    <row r="178" spans="1:4">
      <c r="A178" s="46"/>
      <c r="B178" s="46"/>
      <c r="C178" s="14" t="s">
        <v>434</v>
      </c>
      <c r="D178" s="14" t="s">
        <v>435</v>
      </c>
    </row>
    <row r="179" spans="1:4">
      <c r="A179" s="46"/>
      <c r="B179" s="46"/>
      <c r="C179" s="14" t="s">
        <v>436</v>
      </c>
      <c r="D179" s="14" t="s">
        <v>437</v>
      </c>
    </row>
    <row r="180" spans="1:4">
      <c r="A180" s="46"/>
      <c r="B180" s="46"/>
      <c r="C180" s="14" t="s">
        <v>87</v>
      </c>
      <c r="D180" s="14" t="s">
        <v>438</v>
      </c>
    </row>
    <row r="181" spans="1:4">
      <c r="A181" s="46"/>
      <c r="B181" s="46"/>
      <c r="C181" s="14" t="s">
        <v>135</v>
      </c>
      <c r="D181" s="14" t="s">
        <v>135</v>
      </c>
    </row>
    <row r="182" spans="1:4">
      <c r="A182" s="63"/>
      <c r="B182" s="56" t="s">
        <v>439</v>
      </c>
      <c r="C182" s="39" t="s">
        <v>440</v>
      </c>
      <c r="D182" s="39"/>
    </row>
    <row r="183" spans="1:4">
      <c r="A183" s="64"/>
      <c r="B183" s="57"/>
      <c r="C183" s="39" t="s">
        <v>441</v>
      </c>
      <c r="D183" s="39"/>
    </row>
    <row r="184" spans="1:4">
      <c r="A184" s="64"/>
      <c r="B184" s="57"/>
      <c r="C184" s="39" t="s">
        <v>442</v>
      </c>
      <c r="D184" s="39"/>
    </row>
    <row r="185" spans="1:4">
      <c r="A185" s="65"/>
      <c r="B185" s="58"/>
      <c r="C185" s="40" t="s">
        <v>211</v>
      </c>
      <c r="D185" s="40"/>
    </row>
    <row r="186" spans="1:4">
      <c r="A186" s="59"/>
      <c r="B186" s="59" t="s">
        <v>443</v>
      </c>
      <c r="C186" s="38" t="s">
        <v>444</v>
      </c>
      <c r="D186" s="38"/>
    </row>
    <row r="187" spans="1:4">
      <c r="A187" s="60"/>
      <c r="B187" s="60"/>
      <c r="C187" s="38" t="s">
        <v>445</v>
      </c>
      <c r="D187" s="38"/>
    </row>
    <row r="188" spans="1:4">
      <c r="A188" s="63"/>
      <c r="B188" s="56" t="s">
        <v>10</v>
      </c>
      <c r="C188" s="40" t="s">
        <v>446</v>
      </c>
      <c r="D188" s="40" t="s">
        <v>447</v>
      </c>
    </row>
    <row r="189" spans="1:4">
      <c r="A189" s="64"/>
      <c r="B189" s="57"/>
      <c r="C189" s="40" t="s">
        <v>448</v>
      </c>
      <c r="D189" s="40" t="s">
        <v>449</v>
      </c>
    </row>
    <row r="190" spans="1:4">
      <c r="A190" s="64"/>
      <c r="B190" s="57"/>
      <c r="C190" s="40" t="s">
        <v>33</v>
      </c>
      <c r="D190" s="40" t="s">
        <v>33</v>
      </c>
    </row>
    <row r="191" spans="1:4">
      <c r="A191" s="64"/>
      <c r="B191" s="57"/>
      <c r="C191" s="40" t="s">
        <v>450</v>
      </c>
      <c r="D191" s="40" t="s">
        <v>451</v>
      </c>
    </row>
    <row r="192" spans="1:4">
      <c r="A192" s="64"/>
      <c r="B192" s="57"/>
      <c r="C192" s="40" t="s">
        <v>452</v>
      </c>
      <c r="D192" s="40" t="s">
        <v>453</v>
      </c>
    </row>
    <row r="193" spans="1:4">
      <c r="A193" s="64"/>
      <c r="B193" s="57"/>
      <c r="C193" s="40" t="s">
        <v>454</v>
      </c>
      <c r="D193" s="40" t="s">
        <v>455</v>
      </c>
    </row>
    <row r="194" spans="1:4">
      <c r="A194" s="64"/>
      <c r="B194" s="57"/>
      <c r="C194" s="40" t="s">
        <v>89</v>
      </c>
      <c r="D194" s="40" t="s">
        <v>456</v>
      </c>
    </row>
    <row r="195" spans="1:4">
      <c r="A195" s="64"/>
      <c r="B195" s="57"/>
      <c r="C195" s="40" t="s">
        <v>457</v>
      </c>
      <c r="D195" s="40" t="s">
        <v>458</v>
      </c>
    </row>
    <row r="196" spans="1:4">
      <c r="A196" s="64"/>
      <c r="B196" s="57"/>
      <c r="C196" s="40" t="s">
        <v>459</v>
      </c>
      <c r="D196" s="40" t="s">
        <v>460</v>
      </c>
    </row>
    <row r="197" spans="1:4">
      <c r="A197" s="64"/>
      <c r="B197" s="57"/>
      <c r="C197" s="40" t="s">
        <v>461</v>
      </c>
      <c r="D197" s="40" t="s">
        <v>462</v>
      </c>
    </row>
    <row r="198" spans="1:4">
      <c r="A198" s="64"/>
      <c r="B198" s="57"/>
      <c r="C198" s="40" t="s">
        <v>137</v>
      </c>
      <c r="D198" s="40" t="s">
        <v>463</v>
      </c>
    </row>
    <row r="199" spans="1:4">
      <c r="A199" s="64"/>
      <c r="B199" s="57"/>
      <c r="C199" s="40" t="s">
        <v>464</v>
      </c>
      <c r="D199" s="40" t="s">
        <v>465</v>
      </c>
    </row>
    <row r="200" spans="1:4">
      <c r="A200" s="64"/>
      <c r="B200" s="57"/>
      <c r="C200" s="40" t="s">
        <v>135</v>
      </c>
      <c r="D200" s="40" t="s">
        <v>135</v>
      </c>
    </row>
    <row r="201" spans="1:4">
      <c r="A201" s="65"/>
      <c r="B201" s="58"/>
      <c r="C201" s="40" t="s">
        <v>211</v>
      </c>
      <c r="D201" s="40" t="s">
        <v>466</v>
      </c>
    </row>
    <row r="202" spans="1:4">
      <c r="A202" s="96"/>
      <c r="B202" s="96" t="s">
        <v>170</v>
      </c>
      <c r="C202" s="14" t="s">
        <v>467</v>
      </c>
      <c r="D202" s="14"/>
    </row>
    <row r="203" spans="1:4">
      <c r="A203" s="46"/>
      <c r="B203" s="46"/>
      <c r="C203" s="14" t="s">
        <v>468</v>
      </c>
      <c r="D203" s="14"/>
    </row>
    <row r="204" spans="1:4">
      <c r="A204" s="46"/>
      <c r="B204" s="46"/>
      <c r="C204" s="14" t="s">
        <v>469</v>
      </c>
      <c r="D204" s="14"/>
    </row>
    <row r="205" spans="1:4">
      <c r="A205" s="46"/>
      <c r="B205" s="46"/>
      <c r="C205" s="14" t="s">
        <v>470</v>
      </c>
      <c r="D205" s="14"/>
    </row>
    <row r="206" spans="1:4">
      <c r="A206" s="46"/>
      <c r="B206" s="46"/>
      <c r="C206" s="14" t="s">
        <v>471</v>
      </c>
      <c r="D206" s="14"/>
    </row>
    <row r="207" spans="1:4">
      <c r="A207" s="46"/>
      <c r="B207" s="46"/>
      <c r="C207" s="14" t="s">
        <v>472</v>
      </c>
      <c r="D207" s="14"/>
    </row>
    <row r="208" spans="1:4">
      <c r="A208" s="46"/>
      <c r="B208" s="46"/>
      <c r="C208" s="14" t="s">
        <v>473</v>
      </c>
      <c r="D208" s="14"/>
    </row>
    <row r="209" spans="1:4">
      <c r="A209" s="46"/>
      <c r="B209" s="46"/>
      <c r="C209" s="14" t="s">
        <v>474</v>
      </c>
      <c r="D209" s="14"/>
    </row>
    <row r="210" spans="1:4">
      <c r="A210" s="46"/>
      <c r="B210" s="46"/>
      <c r="C210" s="14" t="s">
        <v>475</v>
      </c>
      <c r="D210" s="14"/>
    </row>
    <row r="211" spans="1:4">
      <c r="A211" s="46"/>
      <c r="B211" s="46"/>
      <c r="C211" s="14" t="s">
        <v>476</v>
      </c>
      <c r="D211" s="14"/>
    </row>
    <row r="212" spans="1:4">
      <c r="A212" s="46"/>
      <c r="B212" s="46"/>
      <c r="C212" s="14" t="s">
        <v>477</v>
      </c>
      <c r="D212" s="14"/>
    </row>
    <row r="213" spans="1:4">
      <c r="A213" s="46"/>
      <c r="B213" s="46"/>
      <c r="C213" s="14" t="s">
        <v>478</v>
      </c>
      <c r="D213" s="14"/>
    </row>
    <row r="214" spans="1:4">
      <c r="A214" s="46"/>
      <c r="B214" s="46"/>
      <c r="C214" s="14" t="s">
        <v>479</v>
      </c>
      <c r="D214" s="14"/>
    </row>
    <row r="215" spans="1:4">
      <c r="A215" s="46"/>
      <c r="B215" s="46"/>
      <c r="C215" s="14" t="s">
        <v>480</v>
      </c>
      <c r="D215" s="14"/>
    </row>
    <row r="216" spans="1:4">
      <c r="A216" s="46"/>
      <c r="B216" s="46"/>
      <c r="C216" s="14" t="s">
        <v>481</v>
      </c>
      <c r="D216" s="14"/>
    </row>
    <row r="217" spans="1:4">
      <c r="A217" s="46"/>
      <c r="B217" s="46"/>
      <c r="C217" s="14" t="s">
        <v>482</v>
      </c>
      <c r="D217" s="14"/>
    </row>
    <row r="218" spans="1:4">
      <c r="A218" s="46"/>
      <c r="B218" s="46"/>
      <c r="C218" s="14" t="s">
        <v>483</v>
      </c>
      <c r="D218" s="14" t="s">
        <v>484</v>
      </c>
    </row>
    <row r="219" spans="1:4">
      <c r="A219" s="46"/>
      <c r="B219" s="46"/>
      <c r="C219" s="14" t="s">
        <v>485</v>
      </c>
      <c r="D219" s="14"/>
    </row>
    <row r="220" spans="1:4">
      <c r="A220" s="46"/>
      <c r="B220" s="46"/>
      <c r="C220" s="14" t="s">
        <v>486</v>
      </c>
      <c r="D220" s="14"/>
    </row>
    <row r="221" spans="1:4">
      <c r="A221" s="46"/>
      <c r="B221" s="46"/>
      <c r="C221" s="14" t="s">
        <v>487</v>
      </c>
      <c r="D221" s="14"/>
    </row>
    <row r="222" spans="1:4">
      <c r="A222" s="46"/>
      <c r="B222" s="46"/>
      <c r="C222" s="14" t="s">
        <v>488</v>
      </c>
      <c r="D222" s="14"/>
    </row>
    <row r="223" spans="1:4">
      <c r="A223" s="46"/>
      <c r="B223" s="46"/>
      <c r="C223" s="14" t="s">
        <v>489</v>
      </c>
      <c r="D223" s="14"/>
    </row>
    <row r="224" spans="1:4">
      <c r="A224" s="46"/>
      <c r="B224" s="46"/>
      <c r="C224" s="14" t="s">
        <v>490</v>
      </c>
      <c r="D224" s="14"/>
    </row>
    <row r="225" spans="1:4">
      <c r="A225" s="46"/>
      <c r="B225" s="46"/>
      <c r="C225" s="14" t="s">
        <v>491</v>
      </c>
      <c r="D225" s="14"/>
    </row>
    <row r="226" spans="1:4">
      <c r="A226" s="46"/>
      <c r="B226" s="46"/>
      <c r="C226" s="14" t="s">
        <v>492</v>
      </c>
      <c r="D226" s="14"/>
    </row>
    <row r="227" spans="1:4">
      <c r="A227" s="46"/>
      <c r="B227" s="46"/>
      <c r="C227" s="14" t="s">
        <v>493</v>
      </c>
      <c r="D227" s="14"/>
    </row>
    <row r="228" spans="1:4">
      <c r="A228" s="46"/>
      <c r="B228" s="46"/>
      <c r="C228" s="14" t="s">
        <v>494</v>
      </c>
      <c r="D228" s="14"/>
    </row>
    <row r="229" spans="1:4">
      <c r="A229" s="46"/>
      <c r="B229" s="46"/>
      <c r="C229" s="14" t="s">
        <v>495</v>
      </c>
      <c r="D229" s="14"/>
    </row>
    <row r="230" spans="1:4">
      <c r="A230" s="46"/>
      <c r="B230" s="46"/>
      <c r="C230" s="14" t="s">
        <v>496</v>
      </c>
      <c r="D230" s="14"/>
    </row>
    <row r="231" spans="1:4">
      <c r="A231" s="46"/>
      <c r="B231" s="46"/>
      <c r="C231" s="14" t="s">
        <v>497</v>
      </c>
      <c r="D231" s="14"/>
    </row>
    <row r="232" spans="1:4">
      <c r="A232" s="46"/>
      <c r="B232" s="46"/>
      <c r="C232" s="14" t="s">
        <v>498</v>
      </c>
      <c r="D232" s="14"/>
    </row>
    <row r="233" spans="1:4">
      <c r="A233" s="46"/>
      <c r="B233" s="46"/>
      <c r="C233" s="14" t="s">
        <v>499</v>
      </c>
      <c r="D233" s="14"/>
    </row>
    <row r="234" spans="1:4">
      <c r="A234" s="46"/>
      <c r="B234" s="46"/>
      <c r="C234" s="14" t="s">
        <v>500</v>
      </c>
      <c r="D234" s="14"/>
    </row>
    <row r="235" spans="1:4">
      <c r="A235" s="46"/>
      <c r="B235" s="46"/>
      <c r="C235" s="14" t="s">
        <v>501</v>
      </c>
      <c r="D235" s="14"/>
    </row>
    <row r="236" spans="1:4">
      <c r="A236" s="46"/>
      <c r="B236" s="46"/>
      <c r="C236" s="14" t="s">
        <v>502</v>
      </c>
      <c r="D236" s="14"/>
    </row>
    <row r="237" spans="1:4">
      <c r="A237" s="46"/>
      <c r="B237" s="46"/>
      <c r="C237" s="14" t="s">
        <v>503</v>
      </c>
      <c r="D237" s="14"/>
    </row>
    <row r="238" spans="1:4">
      <c r="A238" s="46"/>
      <c r="B238" s="46"/>
      <c r="C238" s="14" t="s">
        <v>504</v>
      </c>
      <c r="D238" s="14"/>
    </row>
    <row r="239" spans="1:4">
      <c r="A239" s="46"/>
      <c r="B239" s="46"/>
      <c r="C239" s="14" t="s">
        <v>505</v>
      </c>
      <c r="D239" s="14"/>
    </row>
    <row r="240" spans="1:4">
      <c r="A240" s="46"/>
      <c r="B240" s="46"/>
      <c r="C240" s="14" t="s">
        <v>506</v>
      </c>
      <c r="D240" s="14"/>
    </row>
    <row r="241" spans="1:4">
      <c r="A241" s="46"/>
      <c r="B241" s="46"/>
      <c r="C241" s="14" t="s">
        <v>507</v>
      </c>
      <c r="D241" s="14"/>
    </row>
    <row r="242" spans="1:4">
      <c r="A242" s="46"/>
      <c r="B242" s="46"/>
      <c r="C242" s="14" t="s">
        <v>508</v>
      </c>
      <c r="D242" s="14"/>
    </row>
    <row r="243" spans="1:4">
      <c r="A243" s="46"/>
      <c r="B243" s="46"/>
      <c r="C243" s="14" t="s">
        <v>509</v>
      </c>
      <c r="D243" s="14"/>
    </row>
    <row r="244" spans="1:4">
      <c r="A244" s="46"/>
      <c r="B244" s="46"/>
      <c r="C244" s="14" t="s">
        <v>510</v>
      </c>
      <c r="D244" s="14"/>
    </row>
    <row r="245" spans="1:4">
      <c r="A245" s="46"/>
      <c r="B245" s="46"/>
      <c r="C245" s="14" t="s">
        <v>511</v>
      </c>
      <c r="D245" s="14"/>
    </row>
    <row r="246" spans="1:4">
      <c r="A246" s="46"/>
      <c r="B246" s="46"/>
      <c r="C246" s="14" t="s">
        <v>512</v>
      </c>
      <c r="D246" s="14"/>
    </row>
    <row r="247" spans="1:4">
      <c r="A247" s="46"/>
      <c r="B247" s="46"/>
      <c r="C247" s="14" t="s">
        <v>513</v>
      </c>
      <c r="D247" s="14"/>
    </row>
    <row r="248" spans="1:4">
      <c r="A248" s="46"/>
      <c r="B248" s="46"/>
      <c r="C248" s="14" t="s">
        <v>514</v>
      </c>
      <c r="D248" s="14"/>
    </row>
    <row r="249" spans="1:4">
      <c r="A249" s="46"/>
      <c r="B249" s="46"/>
      <c r="C249" s="14" t="s">
        <v>515</v>
      </c>
      <c r="D249" s="14"/>
    </row>
    <row r="250" spans="1:4">
      <c r="A250" s="46"/>
      <c r="B250" s="46"/>
      <c r="C250" s="14" t="s">
        <v>516</v>
      </c>
      <c r="D250" s="14"/>
    </row>
    <row r="251" spans="1:4">
      <c r="A251" s="46"/>
      <c r="B251" s="46"/>
      <c r="C251" s="14" t="s">
        <v>517</v>
      </c>
      <c r="D251" s="14"/>
    </row>
    <row r="252" spans="1:4">
      <c r="A252" s="46"/>
      <c r="B252" s="46"/>
      <c r="C252" s="14" t="s">
        <v>135</v>
      </c>
      <c r="D252" s="14"/>
    </row>
    <row r="253" spans="1:4">
      <c r="A253" s="46"/>
      <c r="B253" s="46"/>
      <c r="C253" s="14" t="s">
        <v>518</v>
      </c>
      <c r="D253" s="14"/>
    </row>
    <row r="254" spans="1:4">
      <c r="A254" s="46"/>
      <c r="B254" s="46"/>
      <c r="C254" s="14" t="s">
        <v>519</v>
      </c>
      <c r="D254" s="14"/>
    </row>
    <row r="255" spans="1:4">
      <c r="A255" s="46"/>
      <c r="B255" s="46"/>
      <c r="C255" s="14" t="s">
        <v>520</v>
      </c>
      <c r="D255" s="14"/>
    </row>
    <row r="256" spans="1:4">
      <c r="A256" s="46"/>
      <c r="B256" s="46"/>
      <c r="C256" s="14" t="s">
        <v>521</v>
      </c>
      <c r="D256" s="14"/>
    </row>
    <row r="257" spans="1:4">
      <c r="A257" s="46"/>
      <c r="B257" s="46"/>
      <c r="C257" s="14" t="s">
        <v>522</v>
      </c>
      <c r="D257" s="14"/>
    </row>
    <row r="258" spans="1:4">
      <c r="A258" s="46"/>
      <c r="B258" s="46"/>
      <c r="C258" s="14" t="s">
        <v>523</v>
      </c>
      <c r="D258" s="14"/>
    </row>
    <row r="259" spans="1:4">
      <c r="A259" s="46"/>
      <c r="B259" s="46"/>
      <c r="C259" s="14" t="s">
        <v>524</v>
      </c>
      <c r="D259" s="14"/>
    </row>
    <row r="260" spans="1:4">
      <c r="A260" s="46"/>
      <c r="B260" s="46"/>
      <c r="C260" s="14" t="s">
        <v>525</v>
      </c>
      <c r="D260" s="14"/>
    </row>
    <row r="261" spans="1:4">
      <c r="A261" s="46"/>
      <c r="B261" s="46"/>
      <c r="C261" s="14" t="s">
        <v>526</v>
      </c>
      <c r="D261" s="14"/>
    </row>
    <row r="262" spans="1:4">
      <c r="A262" s="46"/>
      <c r="B262" s="46"/>
      <c r="C262" s="14" t="s">
        <v>527</v>
      </c>
      <c r="D262" s="14"/>
    </row>
    <row r="263" spans="1:4">
      <c r="A263" s="46"/>
      <c r="B263" s="46"/>
      <c r="C263" s="14" t="s">
        <v>528</v>
      </c>
      <c r="D263" s="14"/>
    </row>
    <row r="264" spans="1:4">
      <c r="A264" s="46"/>
      <c r="B264" s="46"/>
      <c r="C264" s="14" t="s">
        <v>529</v>
      </c>
      <c r="D264" s="14"/>
    </row>
    <row r="265" spans="1:4">
      <c r="A265" s="46"/>
      <c r="B265" s="46"/>
      <c r="C265" s="14" t="s">
        <v>530</v>
      </c>
      <c r="D265" s="14"/>
    </row>
    <row r="266" spans="1:4">
      <c r="A266" s="46"/>
      <c r="B266" s="46"/>
      <c r="C266" s="14" t="s">
        <v>531</v>
      </c>
      <c r="D266" s="14"/>
    </row>
    <row r="267" spans="1:4">
      <c r="A267" s="46"/>
      <c r="B267" s="46"/>
      <c r="C267" s="14" t="s">
        <v>532</v>
      </c>
      <c r="D267" s="14"/>
    </row>
    <row r="268" spans="1:4">
      <c r="A268" s="46"/>
      <c r="B268" s="46"/>
      <c r="C268" s="14" t="s">
        <v>533</v>
      </c>
      <c r="D268" s="14"/>
    </row>
    <row r="269" spans="1:4">
      <c r="A269" s="46"/>
      <c r="B269" s="46"/>
      <c r="C269" s="14" t="s">
        <v>534</v>
      </c>
      <c r="D269" s="14"/>
    </row>
    <row r="270" spans="1:4">
      <c r="A270" s="46"/>
      <c r="B270" s="46"/>
      <c r="C270" s="14" t="s">
        <v>535</v>
      </c>
      <c r="D270" s="14" t="s">
        <v>536</v>
      </c>
    </row>
    <row r="271" spans="1:4">
      <c r="A271" s="46"/>
      <c r="B271" s="46"/>
      <c r="C271" s="14" t="s">
        <v>537</v>
      </c>
      <c r="D271" s="14" t="s">
        <v>538</v>
      </c>
    </row>
    <row r="272" spans="1:4">
      <c r="A272" s="46"/>
      <c r="B272" s="46"/>
      <c r="C272" s="14" t="s">
        <v>539</v>
      </c>
      <c r="D272" s="14" t="s">
        <v>540</v>
      </c>
    </row>
    <row r="273" spans="1:4">
      <c r="A273" s="46"/>
      <c r="B273" s="46"/>
      <c r="C273" s="14" t="s">
        <v>541</v>
      </c>
      <c r="D273" s="14"/>
    </row>
    <row r="274" spans="1:4">
      <c r="A274" s="46"/>
      <c r="B274" s="46"/>
      <c r="C274" s="14" t="s">
        <v>542</v>
      </c>
      <c r="D274" s="14" t="s">
        <v>543</v>
      </c>
    </row>
    <row r="275" spans="1:4">
      <c r="A275" s="46"/>
      <c r="B275" s="46"/>
      <c r="C275" s="14" t="s">
        <v>544</v>
      </c>
      <c r="D275" s="14"/>
    </row>
    <row r="276" spans="1:4">
      <c r="A276" s="46"/>
      <c r="B276" s="46"/>
      <c r="C276" s="14" t="s">
        <v>545</v>
      </c>
      <c r="D276" s="14"/>
    </row>
    <row r="277" spans="1:4">
      <c r="A277" s="46"/>
      <c r="B277" s="46"/>
      <c r="C277" s="14" t="s">
        <v>546</v>
      </c>
      <c r="D277" s="14"/>
    </row>
    <row r="278" spans="1:4">
      <c r="A278" s="46"/>
      <c r="B278" s="46"/>
      <c r="C278" s="14" t="s">
        <v>547</v>
      </c>
      <c r="D278" s="14"/>
    </row>
    <row r="279" spans="1:4">
      <c r="A279" s="46"/>
      <c r="B279" s="46"/>
      <c r="C279" s="14" t="s">
        <v>548</v>
      </c>
      <c r="D279" s="14"/>
    </row>
    <row r="280" spans="1:4">
      <c r="A280" s="46"/>
      <c r="B280" s="46"/>
      <c r="C280" s="14" t="s">
        <v>549</v>
      </c>
      <c r="D280" s="14"/>
    </row>
    <row r="281" spans="1:4">
      <c r="A281" s="46"/>
      <c r="B281" s="46"/>
      <c r="C281" s="14" t="s">
        <v>550</v>
      </c>
      <c r="D281" s="14"/>
    </row>
    <row r="282" spans="1:4">
      <c r="A282" s="46"/>
      <c r="B282" s="46"/>
      <c r="C282" s="14" t="s">
        <v>551</v>
      </c>
      <c r="D282" s="14" t="s">
        <v>552</v>
      </c>
    </row>
    <row r="283" spans="1:4">
      <c r="A283" s="46"/>
      <c r="B283" s="46"/>
      <c r="C283" s="14" t="s">
        <v>553</v>
      </c>
      <c r="D283" s="14"/>
    </row>
    <row r="284" spans="1:4">
      <c r="A284" s="46"/>
      <c r="B284" s="46"/>
      <c r="C284" s="14" t="s">
        <v>554</v>
      </c>
      <c r="D284" s="14" t="s">
        <v>555</v>
      </c>
    </row>
    <row r="285" spans="1:4">
      <c r="A285" s="46"/>
      <c r="B285" s="46"/>
      <c r="C285" s="14" t="s">
        <v>556</v>
      </c>
      <c r="D285" s="14"/>
    </row>
    <row r="286" spans="1:4">
      <c r="A286" s="46"/>
      <c r="B286" s="46"/>
      <c r="C286" s="14" t="s">
        <v>557</v>
      </c>
      <c r="D286" s="14"/>
    </row>
    <row r="287" spans="1:4">
      <c r="A287" s="46"/>
      <c r="B287" s="46"/>
      <c r="C287" s="14" t="s">
        <v>558</v>
      </c>
      <c r="D287" s="14"/>
    </row>
    <row r="288" spans="1:4">
      <c r="A288" s="46"/>
      <c r="B288" s="46"/>
      <c r="C288" s="14" t="s">
        <v>559</v>
      </c>
      <c r="D288" s="14"/>
    </row>
    <row r="289" spans="1:4">
      <c r="A289" s="46"/>
      <c r="B289" s="46"/>
      <c r="C289" s="14" t="s">
        <v>560</v>
      </c>
      <c r="D289" s="14" t="s">
        <v>561</v>
      </c>
    </row>
    <row r="290" spans="1:4">
      <c r="A290" s="46"/>
      <c r="B290" s="46"/>
      <c r="C290" s="14" t="s">
        <v>562</v>
      </c>
      <c r="D290" s="14"/>
    </row>
    <row r="291" spans="1:4">
      <c r="A291" s="46"/>
      <c r="B291" s="46"/>
      <c r="C291" s="14" t="s">
        <v>563</v>
      </c>
      <c r="D291" s="14"/>
    </row>
    <row r="292" spans="1:4">
      <c r="A292" s="46"/>
      <c r="B292" s="46"/>
      <c r="C292" s="14" t="s">
        <v>564</v>
      </c>
      <c r="D292" s="14"/>
    </row>
    <row r="293" spans="1:4">
      <c r="A293" s="46"/>
      <c r="B293" s="46"/>
      <c r="C293" s="14" t="s">
        <v>565</v>
      </c>
      <c r="D293" s="14"/>
    </row>
    <row r="294" spans="1:4">
      <c r="A294" s="46"/>
      <c r="B294" s="46"/>
      <c r="C294" s="14" t="s">
        <v>566</v>
      </c>
      <c r="D294" s="14"/>
    </row>
    <row r="295" spans="1:4">
      <c r="A295" s="46"/>
      <c r="B295" s="46"/>
      <c r="C295" s="14" t="s">
        <v>567</v>
      </c>
      <c r="D295" s="14"/>
    </row>
    <row r="296" spans="1:4">
      <c r="A296" s="46"/>
      <c r="B296" s="46"/>
      <c r="C296" s="14" t="s">
        <v>568</v>
      </c>
      <c r="D296" s="14"/>
    </row>
    <row r="297" spans="1:4">
      <c r="A297" s="46"/>
      <c r="B297" s="46"/>
      <c r="C297" s="14" t="s">
        <v>569</v>
      </c>
      <c r="D297" s="14" t="s">
        <v>570</v>
      </c>
    </row>
    <row r="298" spans="1:4">
      <c r="A298" s="46"/>
      <c r="B298" s="46"/>
      <c r="C298" s="14" t="s">
        <v>571</v>
      </c>
      <c r="D298" s="14"/>
    </row>
    <row r="299" spans="1:4">
      <c r="A299" s="46"/>
      <c r="B299" s="46"/>
      <c r="C299" s="14" t="s">
        <v>572</v>
      </c>
      <c r="D299" s="14"/>
    </row>
    <row r="300" spans="1:4">
      <c r="A300" s="46"/>
      <c r="B300" s="46"/>
      <c r="C300" s="112" t="s">
        <v>573</v>
      </c>
      <c r="D300" s="14"/>
    </row>
    <row r="301" spans="1:4">
      <c r="A301" s="46"/>
      <c r="B301" s="46"/>
      <c r="C301" s="14" t="s">
        <v>574</v>
      </c>
      <c r="D301" s="14"/>
    </row>
    <row r="302" spans="1:4">
      <c r="A302" s="46"/>
      <c r="B302" s="46"/>
      <c r="C302" s="14" t="s">
        <v>575</v>
      </c>
      <c r="D302" s="14"/>
    </row>
    <row r="303" spans="1:4">
      <c r="A303" s="46"/>
      <c r="B303" s="46"/>
      <c r="C303" s="14" t="s">
        <v>576</v>
      </c>
      <c r="D303" s="14"/>
    </row>
    <row r="304" spans="1:4">
      <c r="A304" s="46"/>
      <c r="B304" s="46"/>
      <c r="C304" s="14" t="s">
        <v>577</v>
      </c>
      <c r="D304" s="14"/>
    </row>
    <row r="305" spans="1:4">
      <c r="A305" s="46"/>
      <c r="B305" s="46"/>
      <c r="C305" s="14" t="s">
        <v>578</v>
      </c>
      <c r="D305" s="14"/>
    </row>
    <row r="306" spans="1:4">
      <c r="A306" s="46"/>
      <c r="B306" s="46"/>
      <c r="C306" s="14" t="s">
        <v>579</v>
      </c>
      <c r="D306" s="14"/>
    </row>
    <row r="307" spans="1:4">
      <c r="A307" s="46"/>
      <c r="B307" s="46"/>
      <c r="C307" s="14" t="s">
        <v>580</v>
      </c>
      <c r="D307" s="14"/>
    </row>
    <row r="308" spans="1:4">
      <c r="A308" s="46"/>
      <c r="B308" s="46"/>
      <c r="C308" s="14" t="s">
        <v>581</v>
      </c>
      <c r="D308" s="14"/>
    </row>
    <row r="309" spans="1:4">
      <c r="A309" s="46"/>
      <c r="B309" s="46"/>
      <c r="C309" s="14" t="s">
        <v>582</v>
      </c>
      <c r="D309" s="14"/>
    </row>
    <row r="310" spans="1:4">
      <c r="A310" s="46"/>
      <c r="B310" s="46"/>
      <c r="C310" s="112" t="s">
        <v>583</v>
      </c>
      <c r="D310" s="14"/>
    </row>
    <row r="311" spans="1:4">
      <c r="A311" s="46"/>
      <c r="B311" s="46"/>
      <c r="C311" s="112" t="s">
        <v>584</v>
      </c>
      <c r="D311" s="14"/>
    </row>
    <row r="312" spans="1:4">
      <c r="A312" s="46"/>
      <c r="B312" s="46"/>
      <c r="C312" s="112" t="s">
        <v>585</v>
      </c>
      <c r="D312" s="14"/>
    </row>
    <row r="313" spans="1:4">
      <c r="A313" s="46"/>
      <c r="B313" s="46"/>
      <c r="C313" s="14" t="s">
        <v>586</v>
      </c>
      <c r="D313" s="14"/>
    </row>
    <row r="314" spans="1:4">
      <c r="A314" s="46"/>
      <c r="B314" s="46"/>
      <c r="C314" s="14" t="s">
        <v>587</v>
      </c>
      <c r="D314" s="14"/>
    </row>
    <row r="315" spans="1:4">
      <c r="A315" s="46"/>
      <c r="B315" s="46"/>
      <c r="C315" s="14" t="s">
        <v>588</v>
      </c>
      <c r="D315" s="14"/>
    </row>
    <row r="316" spans="1:4">
      <c r="A316" s="46"/>
      <c r="B316" s="46"/>
      <c r="C316" s="14" t="s">
        <v>589</v>
      </c>
      <c r="D316" s="14"/>
    </row>
    <row r="317" spans="1:4">
      <c r="A317" s="46"/>
      <c r="B317" s="46"/>
      <c r="C317" s="14" t="s">
        <v>590</v>
      </c>
      <c r="D317" s="14"/>
    </row>
    <row r="318" spans="1:4">
      <c r="A318" s="46"/>
      <c r="B318" s="46"/>
      <c r="C318" s="14" t="s">
        <v>591</v>
      </c>
      <c r="D318" s="108" t="s">
        <v>592</v>
      </c>
    </row>
    <row r="319" spans="1:4">
      <c r="A319" s="46"/>
      <c r="B319" s="46"/>
      <c r="C319" s="14" t="s">
        <v>593</v>
      </c>
      <c r="D319" s="14"/>
    </row>
    <row r="320" spans="1:4">
      <c r="A320" s="46"/>
      <c r="B320" s="46"/>
      <c r="C320" s="14" t="s">
        <v>594</v>
      </c>
      <c r="D320" s="14"/>
    </row>
    <row r="321" spans="1:4">
      <c r="A321" s="46"/>
      <c r="B321" s="46"/>
      <c r="C321" s="14" t="s">
        <v>595</v>
      </c>
      <c r="D321" s="14"/>
    </row>
    <row r="322" spans="1:4">
      <c r="A322" s="46"/>
      <c r="B322" s="46"/>
      <c r="C322" s="14" t="s">
        <v>596</v>
      </c>
      <c r="D322" s="14"/>
    </row>
    <row r="323" spans="1:4">
      <c r="A323" s="46"/>
      <c r="B323" s="46"/>
      <c r="C323" s="14" t="s">
        <v>597</v>
      </c>
      <c r="D323" s="14"/>
    </row>
    <row r="324" spans="1:4">
      <c r="A324" s="46"/>
      <c r="B324" s="46"/>
      <c r="C324" s="14" t="s">
        <v>598</v>
      </c>
      <c r="D324" s="14"/>
    </row>
    <row r="325" spans="1:4">
      <c r="A325" s="46"/>
      <c r="B325" s="46"/>
      <c r="C325" s="14" t="s">
        <v>599</v>
      </c>
      <c r="D325" s="14"/>
    </row>
    <row r="326" spans="1:4">
      <c r="A326" s="46"/>
      <c r="B326" s="46"/>
      <c r="C326" s="14" t="s">
        <v>600</v>
      </c>
      <c r="D326" s="14"/>
    </row>
    <row r="327" spans="1:4">
      <c r="A327" s="46"/>
      <c r="B327" s="46"/>
      <c r="C327" s="14" t="s">
        <v>601</v>
      </c>
      <c r="D327" s="14"/>
    </row>
    <row r="328" spans="1:4">
      <c r="A328" s="63"/>
      <c r="B328" s="53" t="s">
        <v>602</v>
      </c>
      <c r="C328" s="40" t="s">
        <v>603</v>
      </c>
      <c r="D328" s="40"/>
    </row>
    <row r="329" spans="1:4">
      <c r="A329" s="64"/>
      <c r="B329" s="54"/>
      <c r="C329" s="40" t="s">
        <v>604</v>
      </c>
      <c r="D329" s="40"/>
    </row>
    <row r="330" spans="1:4">
      <c r="A330" s="64"/>
      <c r="B330" s="54"/>
      <c r="C330" s="110" t="s">
        <v>605</v>
      </c>
      <c r="D330" s="40"/>
    </row>
    <row r="331" spans="1:4">
      <c r="A331" s="64"/>
      <c r="B331" s="54"/>
      <c r="C331" s="109" t="s">
        <v>606</v>
      </c>
      <c r="D331" s="40"/>
    </row>
    <row r="332" spans="1:4">
      <c r="A332" s="64"/>
      <c r="B332" s="54"/>
      <c r="C332" s="109" t="s">
        <v>607</v>
      </c>
      <c r="D332" s="40"/>
    </row>
    <row r="333" spans="1:4">
      <c r="A333" s="64"/>
      <c r="B333" s="54"/>
      <c r="C333" s="109" t="s">
        <v>608</v>
      </c>
      <c r="D333" s="40"/>
    </row>
    <row r="334" spans="1:4">
      <c r="A334" s="64"/>
      <c r="B334" s="54"/>
      <c r="C334" s="109" t="s">
        <v>609</v>
      </c>
      <c r="D334" s="40"/>
    </row>
    <row r="335" spans="1:4">
      <c r="A335" s="64"/>
      <c r="B335" s="54"/>
      <c r="C335" s="40" t="s">
        <v>610</v>
      </c>
      <c r="D335" s="40"/>
    </row>
    <row r="336" spans="1:4">
      <c r="A336" s="64"/>
      <c r="B336" s="54"/>
      <c r="C336" s="40" t="s">
        <v>611</v>
      </c>
      <c r="D336" s="40"/>
    </row>
    <row r="337" spans="1:4">
      <c r="A337" s="64"/>
      <c r="B337" s="54"/>
      <c r="C337" s="40" t="s">
        <v>612</v>
      </c>
      <c r="D337" s="40"/>
    </row>
    <row r="338" spans="1:4">
      <c r="A338" s="64"/>
      <c r="B338" s="54"/>
      <c r="C338" s="40" t="s">
        <v>613</v>
      </c>
      <c r="D338" s="40"/>
    </row>
    <row r="339" spans="1:4">
      <c r="A339" s="64"/>
      <c r="B339" s="54"/>
      <c r="C339" s="40" t="s">
        <v>614</v>
      </c>
      <c r="D339" s="40"/>
    </row>
    <row r="340" spans="1:4">
      <c r="A340" s="64"/>
      <c r="B340" s="54"/>
      <c r="C340" s="40" t="s">
        <v>615</v>
      </c>
      <c r="D340" s="40"/>
    </row>
    <row r="341" spans="1:4">
      <c r="A341" s="64"/>
      <c r="B341" s="54"/>
      <c r="C341" s="40" t="s">
        <v>616</v>
      </c>
      <c r="D341" s="40"/>
    </row>
    <row r="342" spans="1:4">
      <c r="A342" s="64"/>
      <c r="B342" s="54"/>
      <c r="C342" s="40" t="s">
        <v>617</v>
      </c>
      <c r="D342" s="40"/>
    </row>
    <row r="343" spans="1:4">
      <c r="A343" s="64"/>
      <c r="B343" s="54"/>
      <c r="C343" s="40" t="s">
        <v>618</v>
      </c>
      <c r="D343" s="40"/>
    </row>
    <row r="344" spans="1:4">
      <c r="A344" s="64"/>
      <c r="B344" s="54"/>
      <c r="C344" s="40" t="s">
        <v>619</v>
      </c>
      <c r="D344" s="40"/>
    </row>
    <row r="345" spans="1:4">
      <c r="A345" s="64"/>
      <c r="B345" s="54"/>
      <c r="C345" s="40" t="s">
        <v>620</v>
      </c>
      <c r="D345" s="40"/>
    </row>
    <row r="346" spans="1:4">
      <c r="A346" s="64"/>
      <c r="B346" s="54"/>
      <c r="C346" s="40" t="s">
        <v>621</v>
      </c>
      <c r="D346" s="40"/>
    </row>
    <row r="347" spans="1:4">
      <c r="A347" s="64"/>
      <c r="B347" s="54"/>
      <c r="C347" s="40" t="s">
        <v>622</v>
      </c>
      <c r="D347" s="40"/>
    </row>
    <row r="348" spans="1:4">
      <c r="A348" s="64"/>
      <c r="B348" s="54"/>
      <c r="C348" s="40" t="s">
        <v>623</v>
      </c>
      <c r="D348" s="40"/>
    </row>
    <row r="349" spans="1:4">
      <c r="A349" s="64"/>
      <c r="B349" s="54"/>
      <c r="C349" s="40" t="s">
        <v>624</v>
      </c>
      <c r="D349" s="40"/>
    </row>
    <row r="350" spans="1:4">
      <c r="A350" s="64"/>
      <c r="B350" s="54"/>
      <c r="C350" s="40" t="s">
        <v>625</v>
      </c>
      <c r="D350" s="40"/>
    </row>
    <row r="351" spans="1:4">
      <c r="A351" s="64"/>
      <c r="B351" s="54"/>
      <c r="C351" s="40" t="s">
        <v>626</v>
      </c>
      <c r="D351" s="40"/>
    </row>
    <row r="352" spans="1:4">
      <c r="A352" s="64"/>
      <c r="B352" s="54"/>
      <c r="C352" s="40" t="s">
        <v>627</v>
      </c>
      <c r="D352" s="40"/>
    </row>
    <row r="353" spans="1:4">
      <c r="A353" s="64"/>
      <c r="B353" s="54"/>
      <c r="C353" s="40" t="s">
        <v>628</v>
      </c>
      <c r="D353" s="40"/>
    </row>
    <row r="354" spans="1:4">
      <c r="A354" s="64"/>
      <c r="B354" s="54"/>
      <c r="C354" s="40" t="s">
        <v>629</v>
      </c>
      <c r="D354" s="40"/>
    </row>
    <row r="355" spans="1:4">
      <c r="A355" s="64"/>
      <c r="B355" s="54"/>
      <c r="C355" s="40" t="s">
        <v>630</v>
      </c>
      <c r="D355" s="40"/>
    </row>
    <row r="356" spans="1:4">
      <c r="A356" s="64"/>
      <c r="B356" s="54"/>
      <c r="C356" s="40" t="s">
        <v>631</v>
      </c>
      <c r="D356" s="40"/>
    </row>
    <row r="357" spans="1:4">
      <c r="A357" s="64"/>
      <c r="B357" s="54"/>
      <c r="C357" s="40" t="s">
        <v>632</v>
      </c>
      <c r="D357" s="40"/>
    </row>
    <row r="358" spans="1:4">
      <c r="A358" s="64"/>
      <c r="B358" s="54"/>
      <c r="C358" s="40" t="s">
        <v>633</v>
      </c>
      <c r="D358" s="40"/>
    </row>
    <row r="359" spans="1:4">
      <c r="A359" s="64"/>
      <c r="B359" s="54"/>
      <c r="C359" s="40" t="s">
        <v>634</v>
      </c>
      <c r="D359" s="40"/>
    </row>
    <row r="360" spans="1:4">
      <c r="A360" s="64"/>
      <c r="B360" s="54"/>
      <c r="C360" s="40" t="s">
        <v>635</v>
      </c>
      <c r="D360" s="40"/>
    </row>
    <row r="361" spans="1:4">
      <c r="A361" s="64"/>
      <c r="B361" s="54"/>
      <c r="C361" s="40" t="s">
        <v>636</v>
      </c>
      <c r="D361" s="40"/>
    </row>
    <row r="362" spans="1:4">
      <c r="A362" s="64"/>
      <c r="B362" s="54"/>
      <c r="C362" s="40" t="s">
        <v>637</v>
      </c>
      <c r="D362" s="40"/>
    </row>
    <row r="363" spans="1:4">
      <c r="A363" s="64"/>
      <c r="B363" s="54"/>
      <c r="C363" s="40" t="s">
        <v>638</v>
      </c>
      <c r="D363" s="40"/>
    </row>
    <row r="364" spans="1:4">
      <c r="A364" s="64"/>
      <c r="B364" s="54"/>
      <c r="C364" s="40" t="s">
        <v>639</v>
      </c>
      <c r="D364" s="40"/>
    </row>
    <row r="365" spans="1:4">
      <c r="A365" s="64"/>
      <c r="B365" s="54"/>
      <c r="C365" s="40" t="s">
        <v>640</v>
      </c>
      <c r="D365" s="40"/>
    </row>
    <row r="366" spans="1:4">
      <c r="A366" s="64"/>
      <c r="B366" s="54"/>
      <c r="C366" s="40" t="s">
        <v>641</v>
      </c>
      <c r="D366" s="40"/>
    </row>
    <row r="367" spans="1:4">
      <c r="A367" s="64"/>
      <c r="B367" s="54"/>
      <c r="C367" s="40" t="s">
        <v>642</v>
      </c>
      <c r="D367" s="40"/>
    </row>
    <row r="368" spans="1:4">
      <c r="A368" s="64"/>
      <c r="B368" s="54"/>
      <c r="C368" s="40" t="s">
        <v>643</v>
      </c>
      <c r="D368" s="40"/>
    </row>
    <row r="369" spans="1:4">
      <c r="A369" s="64"/>
      <c r="B369" s="54"/>
      <c r="C369" s="40" t="s">
        <v>644</v>
      </c>
      <c r="D369" s="40"/>
    </row>
    <row r="370" spans="1:4">
      <c r="A370" s="64"/>
      <c r="B370" s="54"/>
      <c r="C370" s="40" t="s">
        <v>645</v>
      </c>
      <c r="D370" s="40"/>
    </row>
    <row r="371" spans="1:4">
      <c r="A371" s="64"/>
      <c r="B371" s="54"/>
      <c r="C371" s="40" t="s">
        <v>646</v>
      </c>
      <c r="D371" s="40"/>
    </row>
    <row r="372" spans="1:4">
      <c r="A372" s="64"/>
      <c r="B372" s="54"/>
      <c r="C372" s="40" t="s">
        <v>647</v>
      </c>
      <c r="D372" s="40"/>
    </row>
    <row r="373" spans="1:4">
      <c r="A373" s="64"/>
      <c r="B373" s="54"/>
      <c r="C373" s="40" t="s">
        <v>648</v>
      </c>
      <c r="D373" s="40"/>
    </row>
    <row r="374" spans="1:4">
      <c r="A374" s="64"/>
      <c r="B374" s="54"/>
      <c r="C374" s="40" t="s">
        <v>649</v>
      </c>
      <c r="D374" s="40"/>
    </row>
    <row r="375" spans="1:4">
      <c r="A375" s="64"/>
      <c r="B375" s="54"/>
      <c r="C375" s="40" t="s">
        <v>650</v>
      </c>
      <c r="D375" s="40"/>
    </row>
    <row r="376" spans="1:4">
      <c r="A376" s="64"/>
      <c r="B376" s="54"/>
      <c r="C376" s="40" t="s">
        <v>651</v>
      </c>
      <c r="D376" s="40"/>
    </row>
    <row r="377" spans="1:4">
      <c r="A377" s="64"/>
      <c r="B377" s="54"/>
      <c r="C377" s="40" t="s">
        <v>652</v>
      </c>
      <c r="D377" s="40"/>
    </row>
    <row r="378" spans="1:4">
      <c r="A378" s="64"/>
      <c r="B378" s="54"/>
      <c r="C378" s="40" t="s">
        <v>653</v>
      </c>
      <c r="D378" s="40"/>
    </row>
    <row r="379" spans="1:4">
      <c r="A379" s="64"/>
      <c r="B379" s="54"/>
      <c r="C379" s="40" t="s">
        <v>654</v>
      </c>
      <c r="D379" s="40"/>
    </row>
    <row r="380" spans="1:4">
      <c r="A380" s="64"/>
      <c r="B380" s="54"/>
      <c r="C380" s="40" t="s">
        <v>655</v>
      </c>
      <c r="D380" s="40"/>
    </row>
    <row r="381" spans="1:4">
      <c r="A381" s="64"/>
      <c r="B381" s="54"/>
      <c r="C381" s="40" t="s">
        <v>656</v>
      </c>
      <c r="D381" s="40"/>
    </row>
    <row r="382" spans="1:4">
      <c r="A382" s="64"/>
      <c r="B382" s="54"/>
      <c r="C382" s="40" t="s">
        <v>657</v>
      </c>
      <c r="D382" s="40"/>
    </row>
    <row r="383" spans="1:4">
      <c r="A383" s="64"/>
      <c r="B383" s="54"/>
      <c r="C383" s="40" t="s">
        <v>658</v>
      </c>
      <c r="D383" s="40"/>
    </row>
    <row r="384" spans="1:4">
      <c r="A384" s="64"/>
      <c r="B384" s="54"/>
      <c r="C384" s="40" t="s">
        <v>659</v>
      </c>
      <c r="D384" s="40"/>
    </row>
    <row r="385" spans="1:4">
      <c r="A385" s="64"/>
      <c r="B385" s="54"/>
      <c r="C385" s="40" t="s">
        <v>660</v>
      </c>
      <c r="D385" s="40"/>
    </row>
    <row r="386" spans="1:4">
      <c r="A386" s="64"/>
      <c r="B386" s="54"/>
      <c r="C386" s="40" t="s">
        <v>661</v>
      </c>
      <c r="D386" s="40"/>
    </row>
    <row r="387" spans="1:4">
      <c r="A387" s="64"/>
      <c r="B387" s="54"/>
      <c r="C387" s="40" t="s">
        <v>662</v>
      </c>
      <c r="D387" s="40"/>
    </row>
    <row r="388" spans="1:4">
      <c r="A388" s="64"/>
      <c r="B388" s="54"/>
      <c r="C388" s="40" t="s">
        <v>663</v>
      </c>
      <c r="D388" s="40"/>
    </row>
    <row r="389" spans="1:4">
      <c r="A389" s="64"/>
      <c r="B389" s="54"/>
      <c r="C389" s="40" t="s">
        <v>664</v>
      </c>
      <c r="D389" s="40"/>
    </row>
    <row r="390" spans="1:4">
      <c r="A390" s="64"/>
      <c r="B390" s="54"/>
      <c r="C390" s="40" t="s">
        <v>665</v>
      </c>
      <c r="D390" s="40"/>
    </row>
    <row r="391" spans="1:4">
      <c r="A391" s="64"/>
      <c r="B391" s="54"/>
      <c r="C391" s="40" t="s">
        <v>666</v>
      </c>
      <c r="D391" s="40"/>
    </row>
    <row r="392" spans="1:4">
      <c r="A392" s="64"/>
      <c r="B392" s="54"/>
      <c r="C392" s="40" t="s">
        <v>667</v>
      </c>
      <c r="D392" s="40"/>
    </row>
    <row r="393" spans="1:4">
      <c r="A393" s="64"/>
      <c r="B393" s="54"/>
      <c r="C393" s="40" t="s">
        <v>668</v>
      </c>
      <c r="D393" s="40"/>
    </row>
    <row r="394" spans="1:4">
      <c r="A394" s="64"/>
      <c r="B394" s="54"/>
      <c r="C394" s="40" t="s">
        <v>669</v>
      </c>
      <c r="D394" s="40"/>
    </row>
    <row r="395" spans="1:4">
      <c r="A395" s="64"/>
      <c r="B395" s="54"/>
      <c r="C395" s="40" t="s">
        <v>670</v>
      </c>
      <c r="D395" s="40"/>
    </row>
    <row r="396" spans="1:4">
      <c r="A396" s="64"/>
      <c r="B396" s="54"/>
      <c r="C396" s="40" t="s">
        <v>671</v>
      </c>
      <c r="D396" s="40"/>
    </row>
    <row r="397" spans="1:4">
      <c r="A397" s="64"/>
      <c r="B397" s="54"/>
      <c r="C397" s="40" t="s">
        <v>672</v>
      </c>
      <c r="D397" s="40"/>
    </row>
    <row r="398" spans="1:4">
      <c r="A398" s="64"/>
      <c r="B398" s="54"/>
      <c r="C398" s="40" t="s">
        <v>673</v>
      </c>
      <c r="D398" s="40"/>
    </row>
    <row r="399" spans="1:4">
      <c r="A399" s="64"/>
      <c r="B399" s="54"/>
      <c r="C399" s="40" t="s">
        <v>674</v>
      </c>
      <c r="D399" s="40"/>
    </row>
    <row r="400" spans="1:4">
      <c r="A400" s="64"/>
      <c r="B400" s="54"/>
      <c r="C400" s="40" t="s">
        <v>675</v>
      </c>
      <c r="D400" s="40"/>
    </row>
    <row r="401" spans="1:4">
      <c r="A401" s="64"/>
      <c r="B401" s="54"/>
      <c r="C401" s="40" t="s">
        <v>676</v>
      </c>
      <c r="D401" s="40"/>
    </row>
    <row r="402" spans="1:4">
      <c r="A402" s="64"/>
      <c r="B402" s="54"/>
      <c r="C402" s="40" t="s">
        <v>677</v>
      </c>
      <c r="D402" s="40"/>
    </row>
    <row r="403" spans="1:4">
      <c r="A403" s="64"/>
      <c r="B403" s="54"/>
      <c r="C403" s="40" t="s">
        <v>678</v>
      </c>
      <c r="D403" s="40"/>
    </row>
    <row r="404" spans="1:4">
      <c r="A404" s="64"/>
      <c r="B404" s="54"/>
      <c r="C404" s="40" t="s">
        <v>679</v>
      </c>
      <c r="D404" s="40"/>
    </row>
    <row r="405" spans="1:4">
      <c r="A405" s="64"/>
      <c r="B405" s="54"/>
      <c r="C405" s="40" t="s">
        <v>680</v>
      </c>
      <c r="D405" s="40"/>
    </row>
    <row r="406" spans="1:4">
      <c r="A406" s="64"/>
      <c r="B406" s="54"/>
      <c r="C406" s="40" t="s">
        <v>681</v>
      </c>
      <c r="D406" s="40"/>
    </row>
    <row r="407" spans="1:4">
      <c r="A407" s="64"/>
      <c r="B407" s="54"/>
      <c r="C407" s="40" t="s">
        <v>682</v>
      </c>
      <c r="D407" s="40"/>
    </row>
    <row r="408" spans="1:4">
      <c r="A408" s="64"/>
      <c r="B408" s="54"/>
      <c r="C408" s="40" t="s">
        <v>683</v>
      </c>
      <c r="D408" s="40"/>
    </row>
    <row r="409" spans="1:4">
      <c r="A409" s="64"/>
      <c r="B409" s="54"/>
      <c r="C409" s="40" t="s">
        <v>684</v>
      </c>
      <c r="D409" s="40"/>
    </row>
    <row r="410" spans="1:4">
      <c r="A410" s="64"/>
      <c r="B410" s="54"/>
      <c r="C410" s="40" t="s">
        <v>685</v>
      </c>
      <c r="D410" s="40"/>
    </row>
    <row r="411" spans="1:4">
      <c r="A411" s="64"/>
      <c r="B411" s="54"/>
      <c r="C411" s="40" t="s">
        <v>686</v>
      </c>
      <c r="D411" s="40"/>
    </row>
    <row r="412" spans="1:4">
      <c r="A412" s="64"/>
      <c r="B412" s="54"/>
      <c r="C412" s="40" t="s">
        <v>687</v>
      </c>
      <c r="D412" s="40"/>
    </row>
    <row r="413" spans="1:4">
      <c r="A413" s="64"/>
      <c r="B413" s="54"/>
      <c r="C413" s="40" t="s">
        <v>688</v>
      </c>
      <c r="D413" s="40"/>
    </row>
    <row r="414" spans="1:4">
      <c r="A414" s="64"/>
      <c r="B414" s="54"/>
      <c r="C414" s="40" t="s">
        <v>689</v>
      </c>
      <c r="D414" s="40"/>
    </row>
    <row r="415" spans="1:4">
      <c r="A415" s="64"/>
      <c r="B415" s="54"/>
      <c r="C415" s="40" t="s">
        <v>690</v>
      </c>
      <c r="D415" s="40"/>
    </row>
    <row r="416" spans="1:4">
      <c r="A416" s="64"/>
      <c r="B416" s="54"/>
      <c r="C416" s="40" t="s">
        <v>691</v>
      </c>
      <c r="D416" s="40"/>
    </row>
    <row r="417" spans="1:4">
      <c r="A417" s="64"/>
      <c r="B417" s="54"/>
      <c r="C417" s="40" t="s">
        <v>692</v>
      </c>
      <c r="D417" s="40"/>
    </row>
    <row r="418" spans="1:4">
      <c r="A418" s="64"/>
      <c r="B418" s="54"/>
      <c r="C418" s="40" t="s">
        <v>693</v>
      </c>
      <c r="D418" s="40"/>
    </row>
    <row r="419" spans="1:4">
      <c r="A419" s="64"/>
      <c r="B419" s="54"/>
      <c r="C419" s="40" t="s">
        <v>694</v>
      </c>
      <c r="D419" s="40"/>
    </row>
    <row r="420" spans="1:4">
      <c r="A420" s="64"/>
      <c r="B420" s="54"/>
      <c r="C420" s="40" t="s">
        <v>695</v>
      </c>
      <c r="D420" s="40"/>
    </row>
    <row r="421" spans="1:4">
      <c r="A421" s="64"/>
      <c r="B421" s="54"/>
      <c r="C421" s="40" t="s">
        <v>696</v>
      </c>
      <c r="D421" s="40"/>
    </row>
    <row r="422" spans="1:4">
      <c r="A422" s="64"/>
      <c r="B422" s="54"/>
      <c r="C422" s="40" t="s">
        <v>697</v>
      </c>
      <c r="D422" s="40"/>
    </row>
    <row r="423" spans="1:4">
      <c r="A423" s="64"/>
      <c r="B423" s="54"/>
      <c r="C423" s="40" t="s">
        <v>698</v>
      </c>
      <c r="D423" s="40"/>
    </row>
    <row r="424" spans="1:4">
      <c r="A424" s="64"/>
      <c r="B424" s="54"/>
      <c r="C424" s="40" t="s">
        <v>699</v>
      </c>
      <c r="D424" s="40"/>
    </row>
    <row r="425" spans="1:4">
      <c r="A425" s="64"/>
      <c r="B425" s="54"/>
      <c r="C425" s="40" t="s">
        <v>700</v>
      </c>
      <c r="D425" s="40"/>
    </row>
    <row r="426" spans="1:4">
      <c r="A426" s="64"/>
      <c r="B426" s="54"/>
      <c r="C426" s="40" t="s">
        <v>701</v>
      </c>
      <c r="D426" s="40"/>
    </row>
    <row r="427" spans="1:4">
      <c r="A427" s="64"/>
      <c r="B427" s="54"/>
      <c r="C427" s="40" t="s">
        <v>702</v>
      </c>
      <c r="D427" s="40"/>
    </row>
    <row r="428" spans="1:4">
      <c r="A428" s="64"/>
      <c r="B428" s="54"/>
      <c r="C428" s="40" t="s">
        <v>703</v>
      </c>
      <c r="D428" s="40"/>
    </row>
    <row r="429" spans="1:4">
      <c r="A429" s="64"/>
      <c r="B429" s="54"/>
      <c r="C429" s="40" t="s">
        <v>704</v>
      </c>
      <c r="D429" s="40"/>
    </row>
    <row r="430" spans="1:4">
      <c r="A430" s="64"/>
      <c r="B430" s="54"/>
      <c r="C430" s="40" t="s">
        <v>705</v>
      </c>
      <c r="D430" s="40"/>
    </row>
    <row r="431" spans="1:4">
      <c r="A431" s="64"/>
      <c r="B431" s="54"/>
      <c r="C431" s="40" t="s">
        <v>706</v>
      </c>
      <c r="D431" s="40"/>
    </row>
    <row r="432" spans="1:4">
      <c r="A432" s="64"/>
      <c r="B432" s="54"/>
      <c r="C432" s="40" t="s">
        <v>707</v>
      </c>
      <c r="D432" s="40"/>
    </row>
    <row r="433" spans="1:4">
      <c r="A433" s="64"/>
      <c r="B433" s="54"/>
      <c r="C433" s="40" t="s">
        <v>708</v>
      </c>
      <c r="D433" s="40"/>
    </row>
    <row r="434" spans="1:4">
      <c r="A434" s="64"/>
      <c r="B434" s="54"/>
      <c r="C434" s="40" t="s">
        <v>709</v>
      </c>
      <c r="D434" s="40"/>
    </row>
    <row r="435" spans="1:4">
      <c r="A435" s="64"/>
      <c r="B435" s="54"/>
      <c r="C435" s="40" t="s">
        <v>710</v>
      </c>
      <c r="D435" s="40"/>
    </row>
    <row r="436" spans="1:4">
      <c r="A436" s="64"/>
      <c r="B436" s="54"/>
      <c r="C436" s="40" t="s">
        <v>711</v>
      </c>
      <c r="D436" s="40"/>
    </row>
    <row r="437" spans="1:4">
      <c r="A437" s="64"/>
      <c r="B437" s="54"/>
      <c r="C437" s="40" t="s">
        <v>712</v>
      </c>
      <c r="D437" s="40"/>
    </row>
    <row r="438" spans="1:4">
      <c r="A438" s="64"/>
      <c r="B438" s="54"/>
      <c r="C438" s="40" t="s">
        <v>713</v>
      </c>
      <c r="D438" s="40"/>
    </row>
    <row r="439" spans="1:4">
      <c r="A439" s="64"/>
      <c r="B439" s="54"/>
      <c r="C439" s="40" t="s">
        <v>714</v>
      </c>
      <c r="D439" s="40"/>
    </row>
    <row r="440" spans="1:4">
      <c r="A440" s="64"/>
      <c r="B440" s="54"/>
      <c r="C440" s="40" t="s">
        <v>715</v>
      </c>
      <c r="D440" s="40"/>
    </row>
    <row r="441" spans="1:4">
      <c r="A441" s="64"/>
      <c r="B441" s="54"/>
      <c r="C441" s="40" t="s">
        <v>716</v>
      </c>
      <c r="D441" s="40"/>
    </row>
    <row r="442" spans="1:4">
      <c r="A442" s="64"/>
      <c r="B442" s="54"/>
      <c r="C442" s="40" t="s">
        <v>717</v>
      </c>
      <c r="D442" s="40"/>
    </row>
    <row r="443" spans="1:4">
      <c r="A443" s="64"/>
      <c r="B443" s="54"/>
      <c r="C443" s="40" t="s">
        <v>718</v>
      </c>
      <c r="D443" s="40"/>
    </row>
    <row r="444" spans="1:4">
      <c r="A444" s="64"/>
      <c r="B444" s="54"/>
      <c r="C444" s="40" t="s">
        <v>719</v>
      </c>
      <c r="D444" s="40"/>
    </row>
    <row r="445" spans="1:4">
      <c r="A445" s="64"/>
      <c r="B445" s="54"/>
      <c r="C445" s="40" t="s">
        <v>720</v>
      </c>
      <c r="D445" s="40"/>
    </row>
    <row r="446" spans="1:4">
      <c r="A446" s="64"/>
      <c r="B446" s="54"/>
      <c r="C446" s="40" t="s">
        <v>721</v>
      </c>
      <c r="D446" s="40"/>
    </row>
    <row r="447" spans="1:4">
      <c r="A447" s="64"/>
      <c r="B447" s="54"/>
      <c r="C447" s="40" t="s">
        <v>722</v>
      </c>
      <c r="D447" s="40"/>
    </row>
    <row r="448" spans="1:4">
      <c r="A448" s="64"/>
      <c r="B448" s="54"/>
      <c r="C448" s="40" t="s">
        <v>723</v>
      </c>
      <c r="D448" s="40"/>
    </row>
    <row r="449" spans="1:4">
      <c r="A449" s="64"/>
      <c r="B449" s="54"/>
      <c r="C449" s="40" t="s">
        <v>724</v>
      </c>
      <c r="D449" s="40"/>
    </row>
    <row r="450" spans="1:4">
      <c r="A450" s="64"/>
      <c r="B450" s="54"/>
      <c r="C450" s="40" t="s">
        <v>725</v>
      </c>
      <c r="D450" s="40"/>
    </row>
    <row r="451" spans="1:4">
      <c r="A451" s="64"/>
      <c r="B451" s="54"/>
      <c r="C451" s="40" t="s">
        <v>726</v>
      </c>
      <c r="D451" s="40"/>
    </row>
    <row r="452" spans="1:4">
      <c r="A452" s="64"/>
      <c r="B452" s="54"/>
      <c r="C452" s="40" t="s">
        <v>727</v>
      </c>
      <c r="D452" s="40"/>
    </row>
    <row r="453" spans="1:4">
      <c r="A453" s="64"/>
      <c r="B453" s="54"/>
      <c r="C453" s="40" t="s">
        <v>728</v>
      </c>
      <c r="D453" s="40"/>
    </row>
    <row r="454" spans="1:4">
      <c r="A454" s="64"/>
      <c r="B454" s="54"/>
      <c r="C454" s="40" t="s">
        <v>729</v>
      </c>
      <c r="D454" s="40"/>
    </row>
    <row r="455" spans="1:4">
      <c r="A455" s="64"/>
      <c r="B455" s="54"/>
      <c r="C455" s="40" t="s">
        <v>730</v>
      </c>
      <c r="D455" s="40"/>
    </row>
    <row r="456" spans="1:4">
      <c r="A456" s="64"/>
      <c r="B456" s="54"/>
      <c r="C456" s="40" t="s">
        <v>731</v>
      </c>
      <c r="D456" s="40"/>
    </row>
    <row r="457" spans="1:4">
      <c r="A457" s="64"/>
      <c r="B457" s="54"/>
      <c r="C457" s="40" t="s">
        <v>732</v>
      </c>
      <c r="D457" s="40"/>
    </row>
    <row r="458" spans="1:4">
      <c r="A458" s="64"/>
      <c r="B458" s="54"/>
      <c r="C458" s="40" t="s">
        <v>733</v>
      </c>
      <c r="D458" s="40"/>
    </row>
    <row r="459" spans="1:4">
      <c r="A459" s="64"/>
      <c r="B459" s="54"/>
      <c r="C459" s="40" t="s">
        <v>734</v>
      </c>
      <c r="D459" s="40"/>
    </row>
    <row r="460" spans="1:4">
      <c r="A460" s="64"/>
      <c r="B460" s="54"/>
      <c r="C460" s="40" t="s">
        <v>735</v>
      </c>
      <c r="D460" s="40"/>
    </row>
    <row r="461" spans="1:4">
      <c r="A461" s="64"/>
      <c r="B461" s="54"/>
      <c r="C461" s="40" t="s">
        <v>736</v>
      </c>
      <c r="D461" s="40"/>
    </row>
    <row r="462" spans="1:4">
      <c r="A462" s="64"/>
      <c r="B462" s="54"/>
      <c r="C462" s="40" t="s">
        <v>737</v>
      </c>
      <c r="D462" s="40"/>
    </row>
    <row r="463" spans="1:4">
      <c r="A463" s="64"/>
      <c r="B463" s="54"/>
      <c r="C463" s="40" t="s">
        <v>738</v>
      </c>
      <c r="D463" s="40"/>
    </row>
    <row r="464" spans="1:4">
      <c r="A464" s="64"/>
      <c r="B464" s="54"/>
      <c r="C464" s="40" t="s">
        <v>739</v>
      </c>
      <c r="D464" s="40"/>
    </row>
    <row r="465" spans="1:4">
      <c r="A465" s="64"/>
      <c r="B465" s="54"/>
      <c r="C465" s="40" t="s">
        <v>740</v>
      </c>
      <c r="D465" s="40"/>
    </row>
    <row r="466" spans="1:4">
      <c r="A466" s="64"/>
      <c r="B466" s="54"/>
      <c r="C466" s="40" t="s">
        <v>741</v>
      </c>
      <c r="D466" s="40"/>
    </row>
    <row r="467" spans="1:4">
      <c r="A467" s="64"/>
      <c r="B467" s="54"/>
      <c r="C467" s="40" t="s">
        <v>742</v>
      </c>
      <c r="D467" s="40"/>
    </row>
    <row r="468" spans="1:4">
      <c r="A468" s="64"/>
      <c r="B468" s="54"/>
      <c r="C468" s="40" t="s">
        <v>743</v>
      </c>
      <c r="D468" s="40"/>
    </row>
    <row r="469" spans="1:4">
      <c r="A469" s="64"/>
      <c r="B469" s="54"/>
      <c r="C469" s="40" t="s">
        <v>744</v>
      </c>
      <c r="D469" s="40"/>
    </row>
    <row r="470" spans="1:4">
      <c r="A470" s="64"/>
      <c r="B470" s="54"/>
      <c r="C470" s="40" t="s">
        <v>745</v>
      </c>
      <c r="D470" s="40"/>
    </row>
    <row r="471" spans="1:4">
      <c r="A471" s="64"/>
      <c r="B471" s="54"/>
      <c r="C471" s="40" t="s">
        <v>746</v>
      </c>
      <c r="D471" s="40"/>
    </row>
    <row r="472" spans="1:4">
      <c r="A472" s="64"/>
      <c r="B472" s="54"/>
      <c r="C472" s="40" t="s">
        <v>747</v>
      </c>
      <c r="D472" s="40"/>
    </row>
    <row r="473" spans="1:4">
      <c r="A473" s="64"/>
      <c r="B473" s="54"/>
      <c r="C473" s="40" t="s">
        <v>748</v>
      </c>
      <c r="D473" s="40"/>
    </row>
    <row r="474" spans="1:4">
      <c r="A474" s="64"/>
      <c r="B474" s="54"/>
      <c r="C474" s="40" t="s">
        <v>749</v>
      </c>
      <c r="D474" s="40"/>
    </row>
    <row r="475" spans="1:4">
      <c r="A475" s="64"/>
      <c r="B475" s="54"/>
      <c r="C475" s="40" t="s">
        <v>750</v>
      </c>
      <c r="D475" s="40"/>
    </row>
    <row r="476" spans="1:4">
      <c r="A476" s="64"/>
      <c r="B476" s="54"/>
      <c r="C476" s="40" t="s">
        <v>751</v>
      </c>
      <c r="D476" s="40"/>
    </row>
    <row r="477" spans="1:4">
      <c r="A477" s="64"/>
      <c r="B477" s="54"/>
      <c r="C477" s="40" t="s">
        <v>752</v>
      </c>
      <c r="D477" s="40"/>
    </row>
    <row r="478" spans="1:4">
      <c r="A478" s="64"/>
      <c r="B478" s="54"/>
      <c r="C478" s="40" t="s">
        <v>753</v>
      </c>
      <c r="D478" s="40"/>
    </row>
    <row r="479" spans="1:4">
      <c r="A479" s="64"/>
      <c r="B479" s="54"/>
      <c r="C479" s="40" t="s">
        <v>754</v>
      </c>
      <c r="D479" s="40"/>
    </row>
    <row r="480" spans="1:4">
      <c r="A480" s="64"/>
      <c r="B480" s="54"/>
      <c r="C480" s="40" t="s">
        <v>755</v>
      </c>
      <c r="D480" s="40"/>
    </row>
    <row r="481" spans="1:4">
      <c r="A481" s="64"/>
      <c r="B481" s="54"/>
      <c r="C481" s="40" t="s">
        <v>756</v>
      </c>
      <c r="D481" s="40"/>
    </row>
    <row r="482" spans="1:4">
      <c r="A482" s="64"/>
      <c r="B482" s="54"/>
      <c r="C482" s="40" t="s">
        <v>757</v>
      </c>
      <c r="D482" s="40"/>
    </row>
    <row r="483" spans="1:4">
      <c r="A483" s="64"/>
      <c r="B483" s="54"/>
      <c r="C483" s="40" t="s">
        <v>758</v>
      </c>
      <c r="D483" s="40"/>
    </row>
    <row r="484" spans="1:4">
      <c r="A484" s="64"/>
      <c r="B484" s="54"/>
      <c r="C484" s="40" t="s">
        <v>759</v>
      </c>
      <c r="D484" s="40"/>
    </row>
    <row r="485" spans="1:4">
      <c r="A485" s="64"/>
      <c r="B485" s="54"/>
      <c r="C485" s="40" t="s">
        <v>760</v>
      </c>
      <c r="D485" s="40"/>
    </row>
    <row r="486" spans="1:4">
      <c r="A486" s="64"/>
      <c r="B486" s="54"/>
      <c r="C486" s="40" t="s">
        <v>761</v>
      </c>
      <c r="D486" s="40"/>
    </row>
    <row r="487" spans="1:4">
      <c r="A487" s="64"/>
      <c r="B487" s="54"/>
      <c r="C487" s="40" t="s">
        <v>762</v>
      </c>
      <c r="D487" s="40"/>
    </row>
    <row r="488" spans="1:4">
      <c r="A488" s="64"/>
      <c r="B488" s="54"/>
      <c r="C488" s="40" t="s">
        <v>763</v>
      </c>
      <c r="D488" s="40"/>
    </row>
    <row r="489" spans="1:4">
      <c r="A489" s="64"/>
      <c r="B489" s="54"/>
      <c r="C489" s="40" t="s">
        <v>135</v>
      </c>
      <c r="D489" s="40"/>
    </row>
    <row r="490" spans="1:4">
      <c r="A490" s="64"/>
      <c r="B490" s="54"/>
      <c r="C490" s="40" t="s">
        <v>764</v>
      </c>
      <c r="D490" s="40"/>
    </row>
    <row r="491" spans="1:4">
      <c r="A491" s="64"/>
      <c r="B491" s="54"/>
      <c r="C491" s="40" t="s">
        <v>765</v>
      </c>
      <c r="D491" s="40"/>
    </row>
    <row r="492" spans="1:4">
      <c r="A492" s="64"/>
      <c r="B492" s="54"/>
      <c r="C492" s="40" t="s">
        <v>766</v>
      </c>
      <c r="D492" s="40"/>
    </row>
    <row r="493" spans="1:4">
      <c r="A493" s="64"/>
      <c r="B493" s="54"/>
      <c r="C493" s="40" t="s">
        <v>767</v>
      </c>
      <c r="D493" s="40"/>
    </row>
    <row r="494" spans="1:4">
      <c r="A494" s="64"/>
      <c r="B494" s="54"/>
      <c r="C494" s="40" t="s">
        <v>768</v>
      </c>
      <c r="D494" s="40"/>
    </row>
    <row r="495" spans="1:4">
      <c r="A495" s="64"/>
      <c r="B495" s="54"/>
      <c r="C495" s="40" t="s">
        <v>769</v>
      </c>
      <c r="D495" s="40"/>
    </row>
    <row r="496" spans="1:4">
      <c r="A496" s="64"/>
      <c r="B496" s="54"/>
      <c r="C496" s="40" t="s">
        <v>770</v>
      </c>
      <c r="D496" s="40"/>
    </row>
    <row r="497" spans="1:4">
      <c r="A497" s="64"/>
      <c r="B497" s="54"/>
      <c r="C497" s="40" t="s">
        <v>771</v>
      </c>
      <c r="D497" s="40"/>
    </row>
    <row r="498" spans="1:4">
      <c r="A498" s="65"/>
      <c r="B498" s="55"/>
      <c r="C498" s="40" t="s">
        <v>601</v>
      </c>
      <c r="D498" s="40"/>
    </row>
    <row r="499" spans="1:4">
      <c r="A499" s="96"/>
      <c r="B499" s="100" t="s">
        <v>772</v>
      </c>
      <c r="C499" s="38" t="s">
        <v>471</v>
      </c>
      <c r="D499" s="38"/>
    </row>
    <row r="500" spans="1:4">
      <c r="A500" s="46"/>
      <c r="B500" s="100"/>
      <c r="C500" s="38" t="s">
        <v>773</v>
      </c>
      <c r="D500" s="38"/>
    </row>
    <row r="501" spans="1:4">
      <c r="A501" s="46"/>
      <c r="B501" s="100"/>
      <c r="C501" s="38" t="s">
        <v>774</v>
      </c>
      <c r="D501" s="38"/>
    </row>
    <row r="502" spans="1:4">
      <c r="A502" s="46"/>
      <c r="B502" s="100"/>
      <c r="C502" s="38" t="s">
        <v>775</v>
      </c>
      <c r="D502" s="38"/>
    </row>
    <row r="503" spans="1:4">
      <c r="A503" s="46"/>
      <c r="B503" s="100"/>
      <c r="C503" s="38" t="s">
        <v>776</v>
      </c>
      <c r="D503" s="38"/>
    </row>
    <row r="504" spans="1:4">
      <c r="A504" s="46"/>
      <c r="B504" s="100"/>
      <c r="C504" s="38" t="s">
        <v>777</v>
      </c>
      <c r="D504" s="38"/>
    </row>
    <row r="505" spans="1:4">
      <c r="A505" s="46"/>
      <c r="B505" s="100"/>
      <c r="C505" s="38" t="s">
        <v>778</v>
      </c>
      <c r="D505" s="38"/>
    </row>
    <row r="506" spans="1:4">
      <c r="A506" s="46"/>
      <c r="B506" s="100"/>
      <c r="C506" s="38" t="s">
        <v>779</v>
      </c>
      <c r="D506" s="38"/>
    </row>
    <row r="507" spans="1:4">
      <c r="A507" s="46"/>
      <c r="B507" s="100"/>
      <c r="C507" s="38" t="s">
        <v>780</v>
      </c>
      <c r="D507" s="38"/>
    </row>
    <row r="508" spans="1:4">
      <c r="A508" s="46"/>
      <c r="B508" s="100"/>
      <c r="C508" s="38" t="s">
        <v>781</v>
      </c>
      <c r="D508" s="38"/>
    </row>
    <row r="509" spans="1:4">
      <c r="A509" s="46"/>
      <c r="B509" s="100"/>
      <c r="C509" s="38" t="s">
        <v>782</v>
      </c>
      <c r="D509" s="38"/>
    </row>
    <row r="510" spans="1:4">
      <c r="A510" s="46"/>
      <c r="B510" s="100"/>
      <c r="C510" s="38" t="s">
        <v>783</v>
      </c>
      <c r="D510" s="38"/>
    </row>
    <row r="511" spans="1:4">
      <c r="A511" s="46"/>
      <c r="B511" s="100"/>
      <c r="C511" s="38" t="s">
        <v>784</v>
      </c>
      <c r="D511" s="38"/>
    </row>
    <row r="512" spans="1:4">
      <c r="A512" s="46"/>
      <c r="B512" s="100"/>
      <c r="C512" s="38" t="s">
        <v>517</v>
      </c>
      <c r="D512" s="38"/>
    </row>
    <row r="513" spans="1:4">
      <c r="A513" s="46"/>
      <c r="B513" s="100"/>
      <c r="C513" s="38" t="s">
        <v>135</v>
      </c>
      <c r="D513" s="38"/>
    </row>
    <row r="514" spans="1:4">
      <c r="A514" s="64"/>
      <c r="B514" s="50" t="s">
        <v>785</v>
      </c>
      <c r="C514" s="40" t="s">
        <v>374</v>
      </c>
      <c r="D514" s="40"/>
    </row>
    <row r="515" spans="1:4">
      <c r="A515" s="65"/>
      <c r="B515" s="52"/>
      <c r="C515" s="40" t="s">
        <v>160</v>
      </c>
      <c r="D515" s="40"/>
    </row>
    <row r="516" spans="1:4">
      <c r="A516" s="46"/>
      <c r="B516" s="100" t="s">
        <v>786</v>
      </c>
      <c r="C516" s="38" t="s">
        <v>787</v>
      </c>
      <c r="D516" s="38"/>
    </row>
    <row r="517" spans="1:4">
      <c r="A517" s="46"/>
      <c r="B517" s="100"/>
      <c r="C517" s="38" t="s">
        <v>788</v>
      </c>
      <c r="D517" s="38"/>
    </row>
    <row r="518" spans="1:4">
      <c r="A518" s="46"/>
      <c r="B518" s="100"/>
      <c r="C518" s="38" t="s">
        <v>789</v>
      </c>
      <c r="D518" s="38"/>
    </row>
    <row r="519" spans="1:4">
      <c r="A519" s="46"/>
      <c r="B519" s="100"/>
      <c r="C519" s="38" t="s">
        <v>790</v>
      </c>
      <c r="D519" s="38"/>
    </row>
    <row r="520" spans="1:4">
      <c r="A520" s="98"/>
      <c r="B520" s="50" t="s">
        <v>791</v>
      </c>
      <c r="C520" s="40" t="s">
        <v>792</v>
      </c>
      <c r="D520" s="40"/>
    </row>
    <row r="521" spans="1:4">
      <c r="A521" s="62"/>
      <c r="B521" s="51"/>
      <c r="C521" s="40" t="s">
        <v>793</v>
      </c>
      <c r="D521" s="40"/>
    </row>
    <row r="522" spans="1:4">
      <c r="A522" s="62"/>
      <c r="B522" s="51"/>
      <c r="C522" s="40" t="s">
        <v>794</v>
      </c>
      <c r="D522" s="40"/>
    </row>
    <row r="523" spans="1:4">
      <c r="A523" s="62"/>
      <c r="B523" s="51"/>
      <c r="C523" s="40" t="s">
        <v>795</v>
      </c>
      <c r="D523" s="40"/>
    </row>
    <row r="524" spans="1:4">
      <c r="A524" s="62"/>
      <c r="B524" s="51"/>
      <c r="C524" s="40" t="s">
        <v>796</v>
      </c>
      <c r="D524" s="40"/>
    </row>
    <row r="525" spans="1:4">
      <c r="A525" s="62"/>
      <c r="B525" s="51"/>
      <c r="C525" s="40" t="s">
        <v>797</v>
      </c>
      <c r="D525" s="40"/>
    </row>
    <row r="526" spans="1:4">
      <c r="A526" s="62"/>
      <c r="B526" s="51"/>
      <c r="C526" s="40" t="s">
        <v>798</v>
      </c>
      <c r="D526" s="40"/>
    </row>
    <row r="527" spans="1:4">
      <c r="A527" s="62"/>
      <c r="B527" s="51"/>
      <c r="C527" s="40" t="s">
        <v>799</v>
      </c>
      <c r="D527" s="40"/>
    </row>
    <row r="528" spans="1:4">
      <c r="A528" s="62"/>
      <c r="B528" s="51"/>
      <c r="C528" s="40" t="s">
        <v>800</v>
      </c>
      <c r="D528" s="40"/>
    </row>
    <row r="529" spans="1:4">
      <c r="A529" s="62"/>
      <c r="B529" s="51"/>
      <c r="C529" s="40" t="s">
        <v>781</v>
      </c>
      <c r="D529" s="40"/>
    </row>
    <row r="530" spans="1:4">
      <c r="A530" s="4"/>
      <c r="B530" s="51"/>
      <c r="C530" s="40" t="s">
        <v>801</v>
      </c>
      <c r="D530" s="40"/>
    </row>
    <row r="531" spans="1:4" ht="15">
      <c r="A531" s="62"/>
      <c r="B531" s="51"/>
      <c r="C531" s="40" t="s">
        <v>802</v>
      </c>
      <c r="D531" s="40" t="s">
        <v>803</v>
      </c>
    </row>
    <row r="532" spans="1:4" ht="15">
      <c r="A532" s="62"/>
      <c r="B532" s="51"/>
      <c r="C532" s="40" t="s">
        <v>804</v>
      </c>
      <c r="D532" s="40" t="s">
        <v>803</v>
      </c>
    </row>
    <row r="533" spans="1:4" ht="15">
      <c r="A533" s="62"/>
      <c r="B533" s="51"/>
      <c r="C533" s="40" t="s">
        <v>805</v>
      </c>
      <c r="D533" s="40" t="s">
        <v>803</v>
      </c>
    </row>
    <row r="534" spans="1:4">
      <c r="A534" s="62"/>
      <c r="B534" s="51"/>
      <c r="C534" s="40" t="s">
        <v>806</v>
      </c>
      <c r="D534" s="40"/>
    </row>
    <row r="535" spans="1:4">
      <c r="A535" s="62"/>
      <c r="B535" s="51"/>
      <c r="C535" s="40" t="s">
        <v>807</v>
      </c>
      <c r="D535" s="40"/>
    </row>
    <row r="536" spans="1:4">
      <c r="A536" s="62"/>
      <c r="B536" s="51"/>
      <c r="C536" s="40" t="s">
        <v>808</v>
      </c>
      <c r="D536" s="40"/>
    </row>
    <row r="537" spans="1:4">
      <c r="A537" s="62"/>
      <c r="B537" s="51"/>
      <c r="C537" s="40" t="s">
        <v>809</v>
      </c>
      <c r="D537" s="40"/>
    </row>
    <row r="538" spans="1:4">
      <c r="A538" s="62"/>
      <c r="B538" s="51"/>
      <c r="C538" s="40" t="s">
        <v>810</v>
      </c>
      <c r="D538" s="40"/>
    </row>
    <row r="539" spans="1:4">
      <c r="A539" s="62"/>
      <c r="B539" s="51"/>
      <c r="C539" s="40" t="s">
        <v>811</v>
      </c>
      <c r="D539" s="40"/>
    </row>
    <row r="540" spans="1:4">
      <c r="A540" s="62"/>
      <c r="B540" s="51"/>
      <c r="C540" s="40" t="s">
        <v>812</v>
      </c>
      <c r="D540" s="40"/>
    </row>
    <row r="541" spans="1:4">
      <c r="A541" s="62"/>
      <c r="B541" s="51"/>
      <c r="C541" s="40" t="s">
        <v>813</v>
      </c>
      <c r="D541" s="40"/>
    </row>
    <row r="542" spans="1:4">
      <c r="A542" s="62"/>
      <c r="B542" s="51"/>
      <c r="C542" s="40" t="s">
        <v>517</v>
      </c>
      <c r="D542" s="40"/>
    </row>
    <row r="543" spans="1:4">
      <c r="A543" s="62"/>
      <c r="B543" s="51"/>
      <c r="C543" s="40" t="s">
        <v>135</v>
      </c>
      <c r="D543" s="41"/>
    </row>
    <row r="544" spans="1:4">
      <c r="A544" s="68"/>
      <c r="B544" s="42" t="s">
        <v>814</v>
      </c>
      <c r="C544" s="38" t="s">
        <v>374</v>
      </c>
      <c r="D544" s="38"/>
    </row>
    <row r="545" spans="1:4">
      <c r="A545" s="69"/>
      <c r="B545" s="99"/>
      <c r="C545" s="38" t="s">
        <v>160</v>
      </c>
      <c r="D545" s="38"/>
    </row>
    <row r="546" spans="1:4">
      <c r="A546" s="62"/>
      <c r="B546" s="50" t="s">
        <v>815</v>
      </c>
      <c r="C546" s="40" t="s">
        <v>816</v>
      </c>
      <c r="D546" s="40"/>
    </row>
    <row r="547" spans="1:4">
      <c r="A547" s="62"/>
      <c r="B547" s="51"/>
      <c r="C547" s="40" t="s">
        <v>817</v>
      </c>
      <c r="D547" s="40"/>
    </row>
    <row r="548" spans="1:4">
      <c r="A548" s="62"/>
      <c r="B548" s="51"/>
      <c r="C548" s="40" t="s">
        <v>818</v>
      </c>
      <c r="D548" s="40"/>
    </row>
    <row r="549" spans="1:4">
      <c r="A549" s="62"/>
      <c r="B549" s="51"/>
      <c r="C549" s="40" t="s">
        <v>819</v>
      </c>
      <c r="D549" s="40"/>
    </row>
    <row r="550" spans="1:4">
      <c r="A550" s="62"/>
      <c r="B550" s="51"/>
      <c r="C550" s="40" t="s">
        <v>820</v>
      </c>
      <c r="D550" s="40"/>
    </row>
    <row r="551" spans="1:4">
      <c r="A551" s="68"/>
      <c r="B551" s="42" t="s">
        <v>821</v>
      </c>
      <c r="C551" s="38" t="s">
        <v>374</v>
      </c>
      <c r="D551" s="38"/>
    </row>
    <row r="552" spans="1:4">
      <c r="A552" s="69"/>
      <c r="B552" s="99"/>
      <c r="C552" s="38" t="s">
        <v>160</v>
      </c>
      <c r="D552" s="38"/>
    </row>
    <row r="553" spans="1:4">
      <c r="A553" s="47"/>
      <c r="B553" s="50" t="s">
        <v>822</v>
      </c>
      <c r="C553" s="40" t="s">
        <v>823</v>
      </c>
      <c r="D553" s="40"/>
    </row>
    <row r="554" spans="1:4">
      <c r="A554" s="48"/>
      <c r="B554" s="48"/>
      <c r="C554" s="40" t="s">
        <v>824</v>
      </c>
      <c r="D554" s="40"/>
    </row>
    <row r="555" spans="1:4">
      <c r="A555" s="48"/>
      <c r="B555" s="48"/>
      <c r="C555" s="40" t="s">
        <v>825</v>
      </c>
      <c r="D555" s="40"/>
    </row>
    <row r="556" spans="1:4">
      <c r="A556" s="48"/>
      <c r="B556" s="48"/>
      <c r="C556" s="40" t="s">
        <v>826</v>
      </c>
      <c r="D556" s="40"/>
    </row>
    <row r="557" spans="1:4">
      <c r="A557" s="48"/>
      <c r="B557" s="48"/>
      <c r="C557" s="40" t="s">
        <v>827</v>
      </c>
      <c r="D557" s="40"/>
    </row>
    <row r="558" spans="1:4">
      <c r="A558" s="48"/>
      <c r="B558" s="48"/>
      <c r="C558" s="40" t="s">
        <v>828</v>
      </c>
      <c r="D558" s="40"/>
    </row>
    <row r="559" spans="1:4">
      <c r="A559" s="48"/>
      <c r="B559" s="48"/>
      <c r="C559" s="40" t="s">
        <v>829</v>
      </c>
      <c r="D559" s="40"/>
    </row>
    <row r="560" spans="1:4">
      <c r="A560" s="48"/>
      <c r="B560" s="48"/>
      <c r="C560" s="40" t="s">
        <v>830</v>
      </c>
      <c r="D560" s="40"/>
    </row>
    <row r="561" spans="1:4">
      <c r="A561" s="48"/>
      <c r="B561" s="48"/>
      <c r="C561" s="40" t="s">
        <v>831</v>
      </c>
      <c r="D561" s="40"/>
    </row>
    <row r="562" spans="1:4">
      <c r="A562" s="48"/>
      <c r="B562" s="48"/>
      <c r="C562" s="40" t="s">
        <v>832</v>
      </c>
      <c r="D562" s="40"/>
    </row>
    <row r="563" spans="1:4">
      <c r="A563" s="48"/>
      <c r="B563" s="48"/>
      <c r="C563" s="40" t="s">
        <v>833</v>
      </c>
      <c r="D563" s="40"/>
    </row>
    <row r="564" spans="1:4">
      <c r="A564" s="48"/>
      <c r="B564" s="48"/>
      <c r="C564" s="40" t="s">
        <v>834</v>
      </c>
      <c r="D564" s="40"/>
    </row>
    <row r="565" spans="1:4">
      <c r="A565" s="48"/>
      <c r="B565" s="48"/>
      <c r="C565" s="40" t="s">
        <v>835</v>
      </c>
      <c r="D565" s="40"/>
    </row>
    <row r="566" spans="1:4">
      <c r="A566" s="48"/>
      <c r="B566" s="48"/>
      <c r="C566" s="40" t="s">
        <v>836</v>
      </c>
      <c r="D566" s="40"/>
    </row>
    <row r="567" spans="1:4">
      <c r="A567" s="48"/>
      <c r="B567" s="48"/>
      <c r="C567" s="40" t="s">
        <v>837</v>
      </c>
      <c r="D567" s="40"/>
    </row>
    <row r="568" spans="1:4">
      <c r="A568" s="48"/>
      <c r="B568" s="48"/>
      <c r="C568" s="40" t="s">
        <v>838</v>
      </c>
      <c r="D568" s="40"/>
    </row>
    <row r="569" spans="1:4">
      <c r="A569" s="48"/>
      <c r="B569" s="48"/>
      <c r="C569" s="40" t="s">
        <v>839</v>
      </c>
      <c r="D569" s="40"/>
    </row>
    <row r="570" spans="1:4">
      <c r="A570" s="48"/>
      <c r="B570" s="48"/>
      <c r="C570" s="40" t="s">
        <v>840</v>
      </c>
      <c r="D570" s="40"/>
    </row>
    <row r="571" spans="1:4">
      <c r="A571" s="48"/>
      <c r="B571" s="48"/>
      <c r="C571" s="40" t="s">
        <v>841</v>
      </c>
      <c r="D571" s="40"/>
    </row>
    <row r="572" spans="1:4">
      <c r="A572" s="48"/>
      <c r="B572" s="48"/>
      <c r="C572" s="40" t="s">
        <v>842</v>
      </c>
      <c r="D572" s="40"/>
    </row>
    <row r="573" spans="1:4">
      <c r="A573" s="48"/>
      <c r="B573" s="48"/>
      <c r="C573" s="40" t="s">
        <v>843</v>
      </c>
      <c r="D573" s="40"/>
    </row>
    <row r="574" spans="1:4">
      <c r="A574" s="48"/>
      <c r="B574" s="48"/>
      <c r="C574" s="40" t="s">
        <v>844</v>
      </c>
      <c r="D574" s="40"/>
    </row>
    <row r="575" spans="1:4">
      <c r="A575" s="48"/>
      <c r="B575" s="48"/>
      <c r="C575" s="40" t="s">
        <v>845</v>
      </c>
      <c r="D575" s="40"/>
    </row>
    <row r="576" spans="1:4">
      <c r="A576" s="48"/>
      <c r="B576" s="48"/>
      <c r="C576" s="40" t="s">
        <v>846</v>
      </c>
      <c r="D576" s="40"/>
    </row>
    <row r="577" spans="1:4">
      <c r="A577" s="48"/>
      <c r="B577" s="48"/>
      <c r="C577" s="40" t="s">
        <v>847</v>
      </c>
      <c r="D577" s="40"/>
    </row>
    <row r="578" spans="1:4">
      <c r="A578" s="48"/>
      <c r="B578" s="48"/>
      <c r="C578" s="40" t="s">
        <v>848</v>
      </c>
      <c r="D578" s="40"/>
    </row>
    <row r="579" spans="1:4">
      <c r="A579" s="48"/>
      <c r="B579" s="48"/>
      <c r="C579" s="40" t="s">
        <v>849</v>
      </c>
      <c r="D579" s="40"/>
    </row>
    <row r="580" spans="1:4">
      <c r="A580" s="48"/>
      <c r="B580" s="48"/>
      <c r="C580" s="40" t="s">
        <v>850</v>
      </c>
      <c r="D580" s="40"/>
    </row>
    <row r="581" spans="1:4">
      <c r="A581" s="48"/>
      <c r="B581" s="48"/>
      <c r="C581" s="40" t="s">
        <v>851</v>
      </c>
      <c r="D581" s="40"/>
    </row>
    <row r="582" spans="1:4">
      <c r="A582" s="48"/>
      <c r="B582" s="48"/>
      <c r="C582" s="40" t="s">
        <v>852</v>
      </c>
      <c r="D582" s="40"/>
    </row>
    <row r="583" spans="1:4">
      <c r="A583" s="48"/>
      <c r="B583" s="48"/>
      <c r="C583" s="40" t="s">
        <v>853</v>
      </c>
      <c r="D583" s="40"/>
    </row>
    <row r="584" spans="1:4">
      <c r="A584" s="48"/>
      <c r="B584" s="48"/>
      <c r="C584" s="40" t="s">
        <v>854</v>
      </c>
      <c r="D584" s="40"/>
    </row>
    <row r="585" spans="1:4">
      <c r="A585" s="48"/>
      <c r="B585" s="48"/>
      <c r="C585" s="40" t="s">
        <v>855</v>
      </c>
      <c r="D585" s="40"/>
    </row>
    <row r="586" spans="1:4">
      <c r="A586" s="48"/>
      <c r="B586" s="48"/>
      <c r="C586" s="40" t="s">
        <v>856</v>
      </c>
      <c r="D586" s="40"/>
    </row>
    <row r="587" spans="1:4">
      <c r="A587" s="48"/>
      <c r="B587" s="48"/>
      <c r="C587" s="40" t="s">
        <v>857</v>
      </c>
      <c r="D587" s="40"/>
    </row>
    <row r="588" spans="1:4">
      <c r="A588" s="48"/>
      <c r="B588" s="48"/>
      <c r="C588" s="40" t="s">
        <v>858</v>
      </c>
      <c r="D588" s="40"/>
    </row>
    <row r="589" spans="1:4">
      <c r="A589" s="48"/>
      <c r="B589" s="48"/>
      <c r="C589" s="40" t="s">
        <v>859</v>
      </c>
      <c r="D589" s="40"/>
    </row>
    <row r="590" spans="1:4">
      <c r="A590" s="48"/>
      <c r="B590" s="48"/>
      <c r="C590" s="40" t="s">
        <v>860</v>
      </c>
      <c r="D590" s="40"/>
    </row>
    <row r="591" spans="1:4">
      <c r="A591" s="49"/>
      <c r="B591" s="49"/>
      <c r="C591" s="40" t="s">
        <v>861</v>
      </c>
      <c r="D591" s="40"/>
    </row>
    <row r="592" spans="1:4">
      <c r="A592" s="46"/>
      <c r="B592" s="100" t="s">
        <v>148</v>
      </c>
      <c r="C592" s="38" t="s">
        <v>862</v>
      </c>
      <c r="D592" s="38"/>
    </row>
    <row r="593" spans="1:4">
      <c r="A593" s="46"/>
      <c r="B593" s="100"/>
      <c r="C593" s="38" t="s">
        <v>863</v>
      </c>
      <c r="D593" s="38"/>
    </row>
    <row r="594" spans="1:4">
      <c r="A594" s="46"/>
      <c r="B594" s="100"/>
      <c r="C594" s="38" t="s">
        <v>135</v>
      </c>
      <c r="D594" s="38"/>
    </row>
    <row r="595" spans="1:4">
      <c r="A595" s="50"/>
      <c r="B595" s="56" t="s">
        <v>864</v>
      </c>
      <c r="C595" s="40" t="s">
        <v>374</v>
      </c>
      <c r="D595" s="40"/>
    </row>
    <row r="596" spans="1:4">
      <c r="A596" s="101"/>
      <c r="B596" s="103"/>
      <c r="C596" s="102" t="s">
        <v>160</v>
      </c>
      <c r="D596" s="40"/>
    </row>
    <row r="597" spans="1:4">
      <c r="A597" s="96"/>
      <c r="B597" s="96" t="s">
        <v>865</v>
      </c>
      <c r="C597" s="38" t="s">
        <v>866</v>
      </c>
      <c r="D597" s="38"/>
    </row>
    <row r="598" spans="1:4">
      <c r="A598" s="46"/>
      <c r="B598" s="46"/>
      <c r="C598" s="38" t="s">
        <v>867</v>
      </c>
      <c r="D598" s="38"/>
    </row>
    <row r="599" spans="1:4">
      <c r="A599" s="46"/>
      <c r="B599" s="46"/>
      <c r="C599" s="38" t="s">
        <v>868</v>
      </c>
      <c r="D599" s="38"/>
    </row>
    <row r="600" spans="1:4">
      <c r="A600" s="46"/>
      <c r="B600" s="46"/>
      <c r="C600" s="38" t="s">
        <v>869</v>
      </c>
      <c r="D600" s="38"/>
    </row>
    <row r="601" spans="1:4">
      <c r="A601" s="46"/>
      <c r="B601" s="46"/>
      <c r="C601" s="38" t="s">
        <v>870</v>
      </c>
      <c r="D601" s="38"/>
    </row>
    <row r="602" spans="1:4">
      <c r="A602" s="46"/>
      <c r="B602" s="46"/>
      <c r="C602" s="38" t="s">
        <v>871</v>
      </c>
      <c r="D602" s="38"/>
    </row>
    <row r="603" spans="1:4">
      <c r="A603" s="46"/>
      <c r="B603" s="46"/>
      <c r="C603" s="38" t="s">
        <v>872</v>
      </c>
      <c r="D603" s="38"/>
    </row>
    <row r="604" spans="1:4">
      <c r="A604" s="46"/>
      <c r="B604" s="46"/>
      <c r="C604" s="38" t="s">
        <v>873</v>
      </c>
      <c r="D604" s="38"/>
    </row>
    <row r="605" spans="1:4">
      <c r="A605" s="46"/>
      <c r="B605" s="46"/>
      <c r="C605" s="38" t="s">
        <v>874</v>
      </c>
      <c r="D605" s="38"/>
    </row>
    <row r="606" spans="1:4">
      <c r="A606" s="46"/>
      <c r="B606" s="46"/>
      <c r="C606" s="38" t="s">
        <v>875</v>
      </c>
      <c r="D606" s="38"/>
    </row>
    <row r="607" spans="1:4">
      <c r="A607" s="46"/>
      <c r="B607" s="46"/>
      <c r="C607" s="38" t="s">
        <v>876</v>
      </c>
      <c r="D607" s="38"/>
    </row>
    <row r="608" spans="1:4">
      <c r="A608" s="46"/>
      <c r="B608" s="46"/>
      <c r="C608" s="38" t="s">
        <v>877</v>
      </c>
      <c r="D608" s="38"/>
    </row>
    <row r="609" spans="1:4">
      <c r="A609" s="46"/>
      <c r="B609" s="46"/>
      <c r="C609" s="38" t="s">
        <v>878</v>
      </c>
      <c r="D609" s="38"/>
    </row>
    <row r="610" spans="1:4">
      <c r="A610" s="46"/>
      <c r="B610" s="46"/>
      <c r="C610" s="38" t="s">
        <v>879</v>
      </c>
      <c r="D610" s="38"/>
    </row>
    <row r="611" spans="1:4">
      <c r="A611" s="46"/>
      <c r="B611" s="46"/>
      <c r="C611" s="38" t="s">
        <v>880</v>
      </c>
      <c r="D611" s="38"/>
    </row>
    <row r="612" spans="1:4">
      <c r="A612" s="46"/>
      <c r="B612" s="46"/>
      <c r="C612" s="38" t="s">
        <v>881</v>
      </c>
      <c r="D612" s="38"/>
    </row>
    <row r="613" spans="1:4">
      <c r="A613" s="46"/>
      <c r="B613" s="46"/>
      <c r="C613" s="38" t="s">
        <v>882</v>
      </c>
      <c r="D613" s="38"/>
    </row>
    <row r="614" spans="1:4">
      <c r="A614" s="46"/>
      <c r="B614" s="46"/>
      <c r="C614" s="38" t="s">
        <v>883</v>
      </c>
      <c r="D614" s="38"/>
    </row>
    <row r="615" spans="1:4">
      <c r="A615" s="46"/>
      <c r="B615" s="46"/>
      <c r="C615" s="38" t="s">
        <v>884</v>
      </c>
      <c r="D615" s="38"/>
    </row>
    <row r="616" spans="1:4">
      <c r="A616" s="46"/>
      <c r="B616" s="46"/>
      <c r="C616" s="38" t="s">
        <v>885</v>
      </c>
      <c r="D616" s="38"/>
    </row>
    <row r="617" spans="1:4">
      <c r="A617" s="46"/>
      <c r="B617" s="46"/>
      <c r="C617" s="38" t="s">
        <v>886</v>
      </c>
      <c r="D617" s="38"/>
    </row>
    <row r="618" spans="1:4">
      <c r="A618" s="46"/>
      <c r="B618" s="46"/>
      <c r="C618" s="38" t="s">
        <v>887</v>
      </c>
      <c r="D618" s="38"/>
    </row>
    <row r="619" spans="1:4">
      <c r="A619" s="46"/>
      <c r="B619" s="46"/>
      <c r="C619" s="38" t="s">
        <v>888</v>
      </c>
      <c r="D619" s="38"/>
    </row>
    <row r="620" spans="1:4">
      <c r="A620" s="46"/>
      <c r="B620" s="46"/>
      <c r="C620" s="38" t="s">
        <v>601</v>
      </c>
      <c r="D620" s="38"/>
    </row>
    <row r="621" spans="1:4">
      <c r="A621" s="46"/>
      <c r="B621" s="46"/>
      <c r="C621" s="38" t="s">
        <v>889</v>
      </c>
      <c r="D621" s="38"/>
    </row>
    <row r="622" spans="1:4">
      <c r="A622" s="50"/>
      <c r="B622" s="50" t="s">
        <v>179</v>
      </c>
      <c r="C622" s="40" t="s">
        <v>890</v>
      </c>
      <c r="D622" s="40"/>
    </row>
    <row r="623" spans="1:4">
      <c r="A623" s="51"/>
      <c r="B623" s="51"/>
      <c r="C623" s="40" t="s">
        <v>891</v>
      </c>
      <c r="D623" s="40"/>
    </row>
    <row r="624" spans="1:4">
      <c r="A624" s="51"/>
      <c r="B624" s="51"/>
      <c r="C624" s="40" t="s">
        <v>892</v>
      </c>
      <c r="D624" s="40"/>
    </row>
    <row r="625" spans="1:4">
      <c r="A625" s="51"/>
      <c r="B625" s="51"/>
      <c r="C625" s="40" t="s">
        <v>893</v>
      </c>
      <c r="D625" s="40"/>
    </row>
    <row r="626" spans="1:4">
      <c r="A626" s="51"/>
      <c r="B626" s="51"/>
      <c r="C626" s="40" t="s">
        <v>894</v>
      </c>
      <c r="D626" s="40"/>
    </row>
    <row r="627" spans="1:4">
      <c r="A627" s="51"/>
      <c r="B627" s="51"/>
      <c r="C627" s="40" t="s">
        <v>895</v>
      </c>
      <c r="D627" s="40"/>
    </row>
    <row r="628" spans="1:4">
      <c r="A628" s="51"/>
      <c r="B628" s="51"/>
      <c r="C628" s="40" t="s">
        <v>896</v>
      </c>
      <c r="D628" s="40"/>
    </row>
    <row r="629" spans="1:4">
      <c r="A629" s="51"/>
      <c r="B629" s="51"/>
      <c r="C629" s="40" t="s">
        <v>493</v>
      </c>
      <c r="D629" s="40"/>
    </row>
    <row r="630" spans="1:4">
      <c r="A630" s="51"/>
      <c r="B630" s="51"/>
      <c r="C630" s="40" t="s">
        <v>897</v>
      </c>
      <c r="D630" s="40"/>
    </row>
    <row r="631" spans="1:4">
      <c r="A631" s="51"/>
      <c r="B631" s="51"/>
      <c r="C631" s="40" t="s">
        <v>898</v>
      </c>
      <c r="D631" s="40"/>
    </row>
    <row r="632" spans="1:4">
      <c r="A632" s="51"/>
      <c r="B632" s="51"/>
      <c r="C632" s="40" t="s">
        <v>899</v>
      </c>
      <c r="D632" s="40"/>
    </row>
    <row r="633" spans="1:4">
      <c r="A633" s="52"/>
      <c r="B633" s="52"/>
      <c r="C633" s="40" t="s">
        <v>135</v>
      </c>
      <c r="D633" s="40"/>
    </row>
    <row r="634" spans="1:4">
      <c r="A634" s="46"/>
      <c r="B634" s="100" t="s">
        <v>180</v>
      </c>
      <c r="C634" s="38" t="s">
        <v>900</v>
      </c>
      <c r="D634" s="38" t="s">
        <v>901</v>
      </c>
    </row>
    <row r="635" spans="1:4">
      <c r="A635" s="46"/>
      <c r="B635" s="100"/>
      <c r="C635" s="38" t="s">
        <v>902</v>
      </c>
      <c r="D635" s="38" t="s">
        <v>903</v>
      </c>
    </row>
    <row r="636" spans="1:4">
      <c r="A636" s="46"/>
      <c r="B636" s="100"/>
      <c r="C636" s="38" t="s">
        <v>904</v>
      </c>
      <c r="D636" s="38" t="s">
        <v>905</v>
      </c>
    </row>
    <row r="637" spans="1:4">
      <c r="A637" s="46"/>
      <c r="B637" s="100"/>
      <c r="C637" s="38" t="s">
        <v>906</v>
      </c>
      <c r="D637" s="38" t="s">
        <v>907</v>
      </c>
    </row>
    <row r="638" spans="1:4">
      <c r="A638" s="46"/>
      <c r="B638" s="100"/>
      <c r="C638" s="38" t="s">
        <v>908</v>
      </c>
      <c r="D638" s="38" t="s">
        <v>909</v>
      </c>
    </row>
    <row r="639" spans="1:4">
      <c r="A639" s="46"/>
      <c r="B639" s="100"/>
      <c r="C639" s="38" t="s">
        <v>910</v>
      </c>
      <c r="D639" s="38" t="s">
        <v>911</v>
      </c>
    </row>
    <row r="640" spans="1:4">
      <c r="A640" s="46"/>
      <c r="B640" s="100"/>
      <c r="C640" s="38" t="s">
        <v>912</v>
      </c>
      <c r="D640" s="38" t="s">
        <v>913</v>
      </c>
    </row>
    <row r="641" spans="1:4">
      <c r="A641" s="46"/>
      <c r="B641" s="100"/>
      <c r="C641" s="38" t="s">
        <v>914</v>
      </c>
      <c r="D641" s="38" t="s">
        <v>914</v>
      </c>
    </row>
    <row r="642" spans="1:4">
      <c r="A642" s="46"/>
      <c r="B642" s="100"/>
      <c r="C642" s="38" t="s">
        <v>135</v>
      </c>
      <c r="D642" s="38"/>
    </row>
    <row r="643" spans="1:4">
      <c r="A643" s="53"/>
      <c r="B643" s="53" t="s">
        <v>915</v>
      </c>
      <c r="C643" s="40" t="s">
        <v>916</v>
      </c>
      <c r="D643" s="40" t="s">
        <v>917</v>
      </c>
    </row>
    <row r="644" spans="1:4">
      <c r="A644" s="54"/>
      <c r="B644" s="54"/>
      <c r="C644" s="40" t="s">
        <v>191</v>
      </c>
      <c r="D644" s="40" t="s">
        <v>918</v>
      </c>
    </row>
    <row r="645" spans="1:4">
      <c r="A645" s="54"/>
      <c r="B645" s="54"/>
      <c r="C645" s="40" t="s">
        <v>919</v>
      </c>
      <c r="D645" s="40" t="s">
        <v>920</v>
      </c>
    </row>
    <row r="646" spans="1:4">
      <c r="A646" s="54"/>
      <c r="B646" s="54"/>
      <c r="C646" s="40" t="s">
        <v>921</v>
      </c>
      <c r="D646" s="40" t="s">
        <v>922</v>
      </c>
    </row>
    <row r="647" spans="1:4">
      <c r="A647" s="54"/>
      <c r="B647" s="54"/>
      <c r="C647" s="40" t="s">
        <v>923</v>
      </c>
      <c r="D647" s="40"/>
    </row>
    <row r="648" spans="1:4">
      <c r="A648" s="55"/>
      <c r="B648" s="55"/>
      <c r="C648" s="40" t="s">
        <v>135</v>
      </c>
      <c r="D648" s="40"/>
    </row>
    <row r="649" spans="1:4">
      <c r="A649" s="46"/>
      <c r="B649" s="100" t="s">
        <v>171</v>
      </c>
      <c r="C649" s="38" t="s">
        <v>924</v>
      </c>
      <c r="D649" s="38"/>
    </row>
    <row r="650" spans="1:4">
      <c r="A650" s="46"/>
      <c r="B650" s="100"/>
      <c r="C650" s="38" t="s">
        <v>925</v>
      </c>
      <c r="D650" s="38"/>
    </row>
    <row r="651" spans="1:4">
      <c r="A651" s="46"/>
      <c r="B651" s="100"/>
      <c r="C651" s="38" t="s">
        <v>926</v>
      </c>
      <c r="D651" s="38"/>
    </row>
    <row r="652" spans="1:4">
      <c r="A652" s="46"/>
      <c r="B652" s="100"/>
      <c r="C652" s="38" t="s">
        <v>192</v>
      </c>
      <c r="D652" s="38"/>
    </row>
    <row r="653" spans="1:4">
      <c r="A653" s="46"/>
      <c r="B653" s="100"/>
      <c r="C653" s="38" t="s">
        <v>135</v>
      </c>
      <c r="D653" s="38"/>
    </row>
    <row r="654" spans="1:4">
      <c r="A654" s="53"/>
      <c r="B654" s="53" t="s">
        <v>172</v>
      </c>
      <c r="C654" s="40" t="s">
        <v>927</v>
      </c>
      <c r="D654" s="40"/>
    </row>
    <row r="655" spans="1:4">
      <c r="A655" s="54"/>
      <c r="B655" s="54"/>
      <c r="C655" s="40" t="s">
        <v>194</v>
      </c>
      <c r="D655" s="40"/>
    </row>
    <row r="656" spans="1:4">
      <c r="A656" s="46"/>
      <c r="B656" s="100" t="s">
        <v>22</v>
      </c>
      <c r="C656" s="38" t="s">
        <v>36</v>
      </c>
      <c r="D656" s="38"/>
    </row>
    <row r="657" spans="1:4">
      <c r="A657" s="46"/>
      <c r="B657" s="100"/>
      <c r="C657" s="38" t="s">
        <v>928</v>
      </c>
      <c r="D657" s="38"/>
    </row>
    <row r="658" spans="1:4">
      <c r="A658" s="53"/>
      <c r="B658" s="53" t="s">
        <v>929</v>
      </c>
      <c r="C658" s="40" t="s">
        <v>930</v>
      </c>
      <c r="D658" s="40"/>
    </row>
    <row r="659" spans="1:4">
      <c r="A659" s="54"/>
      <c r="B659" s="54"/>
      <c r="C659" s="40" t="s">
        <v>931</v>
      </c>
      <c r="D659" s="40"/>
    </row>
    <row r="660" spans="1:4">
      <c r="A660" s="54"/>
      <c r="B660" s="54"/>
      <c r="C660" s="40" t="s">
        <v>932</v>
      </c>
      <c r="D660" s="40"/>
    </row>
    <row r="661" spans="1:4">
      <c r="A661" s="54"/>
      <c r="B661" s="54"/>
      <c r="C661" s="40" t="s">
        <v>933</v>
      </c>
      <c r="D661" s="40"/>
    </row>
    <row r="662" spans="1:4">
      <c r="A662" s="54"/>
      <c r="B662" s="54"/>
      <c r="C662" s="40" t="s">
        <v>934</v>
      </c>
      <c r="D662" s="40"/>
    </row>
    <row r="663" spans="1:4">
      <c r="A663" s="54"/>
      <c r="B663" s="54"/>
      <c r="C663" s="40" t="s">
        <v>935</v>
      </c>
      <c r="D663" s="40"/>
    </row>
    <row r="664" spans="1:4">
      <c r="A664" s="54"/>
      <c r="B664" s="54"/>
      <c r="C664" s="40" t="s">
        <v>135</v>
      </c>
      <c r="D664" s="40"/>
    </row>
    <row r="665" spans="1:4">
      <c r="A665" s="55"/>
      <c r="B665" s="55"/>
      <c r="C665" s="40" t="s">
        <v>936</v>
      </c>
      <c r="D665" s="40"/>
    </row>
    <row r="666" spans="1:4">
      <c r="A666" s="46"/>
      <c r="B666" s="100" t="s">
        <v>937</v>
      </c>
      <c r="C666" s="38" t="s">
        <v>938</v>
      </c>
      <c r="D666" s="38"/>
    </row>
    <row r="667" spans="1:4">
      <c r="A667" s="46"/>
      <c r="B667" s="100"/>
      <c r="C667" s="38" t="s">
        <v>939</v>
      </c>
      <c r="D667" s="38"/>
    </row>
    <row r="668" spans="1:4">
      <c r="A668" s="53"/>
      <c r="B668" s="53" t="s">
        <v>940</v>
      </c>
      <c r="C668" s="40" t="s">
        <v>941</v>
      </c>
      <c r="D668" s="40"/>
    </row>
    <row r="669" spans="1:4">
      <c r="A669" s="54"/>
      <c r="B669" s="54"/>
      <c r="C669" s="40" t="s">
        <v>942</v>
      </c>
      <c r="D669" s="40"/>
    </row>
    <row r="670" spans="1:4">
      <c r="A670" s="54"/>
      <c r="B670" s="54"/>
      <c r="C670" s="40" t="s">
        <v>943</v>
      </c>
      <c r="D670" s="40"/>
    </row>
    <row r="671" spans="1:4">
      <c r="A671" s="54"/>
      <c r="B671" s="54"/>
      <c r="C671" s="40" t="s">
        <v>944</v>
      </c>
      <c r="D671" s="40"/>
    </row>
    <row r="672" spans="1:4">
      <c r="A672" s="54"/>
      <c r="B672" s="54"/>
      <c r="C672" s="40" t="s">
        <v>945</v>
      </c>
      <c r="D672" s="40"/>
    </row>
    <row r="673" spans="1:4">
      <c r="A673" s="54"/>
      <c r="B673" s="54"/>
      <c r="C673" s="40" t="s">
        <v>946</v>
      </c>
      <c r="D673" s="40"/>
    </row>
    <row r="674" spans="1:4">
      <c r="A674" s="54"/>
      <c r="B674" s="54"/>
      <c r="C674" s="40" t="s">
        <v>947</v>
      </c>
      <c r="D674" s="40"/>
    </row>
    <row r="675" spans="1:4">
      <c r="A675" s="54"/>
      <c r="B675" s="54"/>
      <c r="C675" s="40" t="s">
        <v>948</v>
      </c>
      <c r="D675" s="40"/>
    </row>
    <row r="676" spans="1:4">
      <c r="A676" s="54"/>
      <c r="B676" s="54"/>
      <c r="C676" s="40" t="s">
        <v>949</v>
      </c>
      <c r="D676" s="40"/>
    </row>
    <row r="677" spans="1:4">
      <c r="A677" s="54"/>
      <c r="B677" s="54"/>
      <c r="C677" s="40" t="s">
        <v>950</v>
      </c>
      <c r="D677" s="40"/>
    </row>
    <row r="678" spans="1:4">
      <c r="A678" s="54"/>
      <c r="B678" s="54"/>
      <c r="C678" s="40" t="s">
        <v>601</v>
      </c>
      <c r="D678" s="40"/>
    </row>
    <row r="679" spans="1:4">
      <c r="A679" s="55"/>
      <c r="B679" s="55"/>
      <c r="C679" s="40" t="s">
        <v>936</v>
      </c>
      <c r="D679" s="40"/>
    </row>
    <row r="680" spans="1:4">
      <c r="A680" s="75"/>
      <c r="B680" s="75" t="s">
        <v>951</v>
      </c>
      <c r="C680" s="38" t="s">
        <v>930</v>
      </c>
      <c r="D680" s="38"/>
    </row>
    <row r="681" spans="1:4">
      <c r="A681" s="77"/>
      <c r="B681" s="77"/>
      <c r="C681" s="38" t="s">
        <v>931</v>
      </c>
      <c r="D681" s="38"/>
    </row>
    <row r="682" spans="1:4">
      <c r="A682" s="77"/>
      <c r="B682" s="77"/>
      <c r="C682" s="38" t="s">
        <v>932</v>
      </c>
      <c r="D682" s="38"/>
    </row>
    <row r="683" spans="1:4">
      <c r="A683" s="77"/>
      <c r="B683" s="77"/>
      <c r="C683" s="38" t="s">
        <v>933</v>
      </c>
      <c r="D683" s="38"/>
    </row>
    <row r="684" spans="1:4">
      <c r="A684" s="77"/>
      <c r="B684" s="77"/>
      <c r="C684" s="38" t="s">
        <v>934</v>
      </c>
      <c r="D684" s="38"/>
    </row>
    <row r="685" spans="1:4">
      <c r="A685" s="77"/>
      <c r="B685" s="77"/>
      <c r="C685" s="38" t="s">
        <v>935</v>
      </c>
      <c r="D685" s="38"/>
    </row>
    <row r="686" spans="1:4">
      <c r="A686" s="77"/>
      <c r="B686" s="77"/>
      <c r="C686" s="38" t="s">
        <v>135</v>
      </c>
      <c r="D686" s="38"/>
    </row>
    <row r="687" spans="1:4">
      <c r="A687" s="77"/>
      <c r="B687" s="77"/>
      <c r="C687" s="38" t="s">
        <v>936</v>
      </c>
      <c r="D687" s="38"/>
    </row>
    <row r="688" spans="1:4">
      <c r="A688" s="53"/>
      <c r="B688" s="50" t="s">
        <v>952</v>
      </c>
      <c r="C688" s="40" t="s">
        <v>953</v>
      </c>
      <c r="D688" s="40"/>
    </row>
    <row r="689" spans="1:4">
      <c r="A689" s="54"/>
      <c r="B689" s="52"/>
      <c r="C689" s="40" t="s">
        <v>954</v>
      </c>
      <c r="D689" s="40"/>
    </row>
    <row r="690" spans="1:4">
      <c r="A690" s="75"/>
      <c r="B690" s="75" t="s">
        <v>955</v>
      </c>
      <c r="C690" s="38" t="s">
        <v>956</v>
      </c>
      <c r="D690" s="38"/>
    </row>
    <row r="691" spans="1:4">
      <c r="A691" s="77"/>
      <c r="B691" s="77"/>
      <c r="C691" s="38" t="s">
        <v>957</v>
      </c>
      <c r="D691" s="38"/>
    </row>
    <row r="692" spans="1:4">
      <c r="A692" s="53"/>
      <c r="B692" s="53" t="s">
        <v>958</v>
      </c>
      <c r="C692" s="40" t="s">
        <v>959</v>
      </c>
      <c r="D692" s="40"/>
    </row>
    <row r="693" spans="1:4">
      <c r="A693" s="54"/>
      <c r="B693" s="54"/>
      <c r="C693" s="40" t="s">
        <v>778</v>
      </c>
      <c r="D693" s="40"/>
    </row>
    <row r="694" spans="1:4">
      <c r="A694" s="54"/>
      <c r="B694" s="54"/>
      <c r="C694" s="40" t="s">
        <v>960</v>
      </c>
      <c r="D694" s="40"/>
    </row>
    <row r="695" spans="1:4">
      <c r="A695" s="54"/>
      <c r="B695" s="54"/>
      <c r="C695" s="40" t="s">
        <v>961</v>
      </c>
      <c r="D695" s="40"/>
    </row>
    <row r="696" spans="1:4">
      <c r="A696" s="54"/>
      <c r="B696" s="54"/>
      <c r="C696" s="40" t="s">
        <v>962</v>
      </c>
      <c r="D696" s="40"/>
    </row>
    <row r="697" spans="1:4">
      <c r="A697" s="54"/>
      <c r="B697" s="54"/>
      <c r="C697" s="40" t="s">
        <v>170</v>
      </c>
      <c r="D697" s="40"/>
    </row>
    <row r="698" spans="1:4">
      <c r="A698" s="54"/>
      <c r="B698" s="54"/>
      <c r="C698" s="40" t="s">
        <v>963</v>
      </c>
      <c r="D698" s="40"/>
    </row>
    <row r="699" spans="1:4">
      <c r="A699" s="54"/>
      <c r="B699" s="54"/>
      <c r="C699" s="40" t="s">
        <v>964</v>
      </c>
      <c r="D699" s="40"/>
    </row>
    <row r="700" spans="1:4">
      <c r="A700" s="54"/>
      <c r="B700" s="54"/>
      <c r="C700" s="40" t="s">
        <v>135</v>
      </c>
      <c r="D700" s="40"/>
    </row>
    <row r="701" spans="1:4">
      <c r="A701" s="75"/>
      <c r="B701" s="75" t="s">
        <v>965</v>
      </c>
      <c r="C701" s="38" t="s">
        <v>467</v>
      </c>
      <c r="D701" s="38"/>
    </row>
    <row r="702" spans="1:4">
      <c r="A702" s="77"/>
      <c r="B702" s="77"/>
      <c r="C702" s="38" t="s">
        <v>468</v>
      </c>
      <c r="D702" s="38"/>
    </row>
    <row r="703" spans="1:4">
      <c r="A703" s="77"/>
      <c r="B703" s="77"/>
      <c r="C703" s="38" t="s">
        <v>469</v>
      </c>
      <c r="D703" s="38"/>
    </row>
    <row r="704" spans="1:4">
      <c r="A704" s="77"/>
      <c r="B704" s="77"/>
      <c r="C704" s="38" t="s">
        <v>470</v>
      </c>
      <c r="D704" s="38"/>
    </row>
    <row r="705" spans="1:4">
      <c r="A705" s="77"/>
      <c r="B705" s="77"/>
      <c r="C705" s="38" t="s">
        <v>471</v>
      </c>
      <c r="D705" s="38"/>
    </row>
    <row r="706" spans="1:4">
      <c r="A706" s="77"/>
      <c r="B706" s="77"/>
      <c r="C706" s="38" t="s">
        <v>472</v>
      </c>
      <c r="D706" s="38"/>
    </row>
    <row r="707" spans="1:4">
      <c r="A707" s="77"/>
      <c r="B707" s="77"/>
      <c r="C707" s="38" t="s">
        <v>474</v>
      </c>
      <c r="D707" s="38"/>
    </row>
    <row r="708" spans="1:4">
      <c r="A708" s="77"/>
      <c r="B708" s="77"/>
      <c r="C708" s="38" t="s">
        <v>475</v>
      </c>
      <c r="D708" s="38"/>
    </row>
    <row r="709" spans="1:4">
      <c r="A709" s="77"/>
      <c r="B709" s="77"/>
      <c r="C709" s="38" t="s">
        <v>476</v>
      </c>
      <c r="D709" s="38"/>
    </row>
    <row r="710" spans="1:4">
      <c r="A710" s="77"/>
      <c r="B710" s="77"/>
      <c r="C710" s="38" t="s">
        <v>477</v>
      </c>
      <c r="D710" s="38"/>
    </row>
    <row r="711" spans="1:4">
      <c r="A711" s="77"/>
      <c r="B711" s="77"/>
      <c r="C711" s="38" t="s">
        <v>478</v>
      </c>
      <c r="D711" s="38"/>
    </row>
    <row r="712" spans="1:4">
      <c r="A712" s="77"/>
      <c r="B712" s="77"/>
      <c r="C712" s="38" t="s">
        <v>479</v>
      </c>
      <c r="D712" s="38"/>
    </row>
    <row r="713" spans="1:4">
      <c r="A713" s="77"/>
      <c r="B713" s="77"/>
      <c r="C713" s="38" t="s">
        <v>480</v>
      </c>
      <c r="D713" s="38"/>
    </row>
    <row r="714" spans="1:4">
      <c r="A714" s="77"/>
      <c r="B714" s="77"/>
      <c r="C714" s="38" t="s">
        <v>481</v>
      </c>
      <c r="D714" s="38"/>
    </row>
    <row r="715" spans="1:4">
      <c r="A715" s="77"/>
      <c r="B715" s="77"/>
      <c r="C715" s="38" t="s">
        <v>482</v>
      </c>
      <c r="D715" s="38"/>
    </row>
    <row r="716" spans="1:4">
      <c r="A716" s="77"/>
      <c r="B716" s="77"/>
      <c r="C716" s="38" t="s">
        <v>483</v>
      </c>
      <c r="D716" s="38" t="s">
        <v>484</v>
      </c>
    </row>
    <row r="717" spans="1:4">
      <c r="A717" s="77"/>
      <c r="B717" s="77"/>
      <c r="C717" s="38" t="s">
        <v>485</v>
      </c>
      <c r="D717" s="38"/>
    </row>
    <row r="718" spans="1:4">
      <c r="A718" s="77"/>
      <c r="B718" s="77"/>
      <c r="C718" s="38" t="s">
        <v>486</v>
      </c>
      <c r="D718" s="38"/>
    </row>
    <row r="719" spans="1:4">
      <c r="A719" s="77"/>
      <c r="B719" s="77"/>
      <c r="C719" s="38" t="s">
        <v>487</v>
      </c>
      <c r="D719" s="38"/>
    </row>
    <row r="720" spans="1:4">
      <c r="A720" s="77"/>
      <c r="B720" s="77"/>
      <c r="C720" s="38" t="s">
        <v>488</v>
      </c>
      <c r="D720" s="38"/>
    </row>
    <row r="721" spans="1:4">
      <c r="A721" s="77"/>
      <c r="B721" s="77"/>
      <c r="C721" s="38" t="s">
        <v>489</v>
      </c>
      <c r="D721" s="38"/>
    </row>
    <row r="722" spans="1:4">
      <c r="A722" s="77"/>
      <c r="B722" s="77"/>
      <c r="C722" s="38" t="s">
        <v>490</v>
      </c>
      <c r="D722" s="38"/>
    </row>
    <row r="723" spans="1:4">
      <c r="A723" s="77"/>
      <c r="B723" s="77"/>
      <c r="C723" s="38" t="s">
        <v>491</v>
      </c>
      <c r="D723" s="38"/>
    </row>
    <row r="724" spans="1:4">
      <c r="A724" s="77"/>
      <c r="B724" s="77"/>
      <c r="C724" s="38" t="s">
        <v>492</v>
      </c>
      <c r="D724" s="38"/>
    </row>
    <row r="725" spans="1:4">
      <c r="A725" s="77"/>
      <c r="B725" s="77"/>
      <c r="C725" s="38" t="s">
        <v>493</v>
      </c>
      <c r="D725" s="38"/>
    </row>
    <row r="726" spans="1:4">
      <c r="A726" s="77"/>
      <c r="B726" s="77"/>
      <c r="C726" s="38" t="s">
        <v>494</v>
      </c>
      <c r="D726" s="38"/>
    </row>
    <row r="727" spans="1:4">
      <c r="A727" s="77"/>
      <c r="B727" s="77"/>
      <c r="C727" s="38" t="s">
        <v>495</v>
      </c>
      <c r="D727" s="38"/>
    </row>
    <row r="728" spans="1:4">
      <c r="A728" s="77"/>
      <c r="B728" s="77"/>
      <c r="C728" s="38" t="s">
        <v>496</v>
      </c>
      <c r="D728" s="38"/>
    </row>
    <row r="729" spans="1:4">
      <c r="A729" s="77"/>
      <c r="B729" s="77"/>
      <c r="C729" s="38" t="s">
        <v>497</v>
      </c>
      <c r="D729" s="38"/>
    </row>
    <row r="730" spans="1:4">
      <c r="A730" s="77"/>
      <c r="B730" s="77"/>
      <c r="C730" s="38" t="s">
        <v>498</v>
      </c>
      <c r="D730" s="38"/>
    </row>
    <row r="731" spans="1:4">
      <c r="A731" s="77"/>
      <c r="B731" s="77"/>
      <c r="C731" s="38" t="s">
        <v>499</v>
      </c>
      <c r="D731" s="38"/>
    </row>
    <row r="732" spans="1:4">
      <c r="A732" s="77"/>
      <c r="B732" s="77"/>
      <c r="C732" s="38" t="s">
        <v>500</v>
      </c>
      <c r="D732" s="38"/>
    </row>
    <row r="733" spans="1:4">
      <c r="A733" s="77"/>
      <c r="B733" s="77"/>
      <c r="C733" s="38" t="s">
        <v>501</v>
      </c>
      <c r="D733" s="38"/>
    </row>
    <row r="734" spans="1:4">
      <c r="A734" s="77"/>
      <c r="B734" s="77"/>
      <c r="C734" s="38" t="s">
        <v>502</v>
      </c>
      <c r="D734" s="38"/>
    </row>
    <row r="735" spans="1:4">
      <c r="A735" s="77"/>
      <c r="B735" s="77"/>
      <c r="C735" s="38" t="s">
        <v>503</v>
      </c>
      <c r="D735" s="38"/>
    </row>
    <row r="736" spans="1:4">
      <c r="A736" s="77"/>
      <c r="B736" s="77"/>
      <c r="C736" s="38" t="s">
        <v>504</v>
      </c>
      <c r="D736" s="38"/>
    </row>
    <row r="737" spans="1:4">
      <c r="A737" s="77"/>
      <c r="B737" s="77"/>
      <c r="C737" s="38" t="s">
        <v>505</v>
      </c>
      <c r="D737" s="38"/>
    </row>
    <row r="738" spans="1:4">
      <c r="A738" s="77"/>
      <c r="B738" s="77"/>
      <c r="C738" s="38" t="s">
        <v>506</v>
      </c>
      <c r="D738" s="38"/>
    </row>
    <row r="739" spans="1:4">
      <c r="A739" s="77"/>
      <c r="B739" s="77"/>
      <c r="C739" s="38" t="s">
        <v>507</v>
      </c>
      <c r="D739" s="38"/>
    </row>
    <row r="740" spans="1:4">
      <c r="A740" s="77"/>
      <c r="B740" s="77"/>
      <c r="C740" s="38" t="s">
        <v>508</v>
      </c>
      <c r="D740" s="38"/>
    </row>
    <row r="741" spans="1:4">
      <c r="A741" s="77"/>
      <c r="B741" s="77"/>
      <c r="C741" s="38" t="s">
        <v>509</v>
      </c>
      <c r="D741" s="38"/>
    </row>
    <row r="742" spans="1:4">
      <c r="A742" s="77"/>
      <c r="B742" s="77"/>
      <c r="C742" s="38" t="s">
        <v>510</v>
      </c>
      <c r="D742" s="38"/>
    </row>
    <row r="743" spans="1:4">
      <c r="A743" s="77"/>
      <c r="B743" s="77"/>
      <c r="C743" s="38" t="s">
        <v>511</v>
      </c>
      <c r="D743" s="38"/>
    </row>
    <row r="744" spans="1:4">
      <c r="A744" s="77"/>
      <c r="B744" s="77"/>
      <c r="C744" s="38" t="s">
        <v>512</v>
      </c>
      <c r="D744" s="38"/>
    </row>
    <row r="745" spans="1:4">
      <c r="A745" s="77"/>
      <c r="B745" s="77"/>
      <c r="C745" s="38" t="s">
        <v>513</v>
      </c>
      <c r="D745" s="38"/>
    </row>
    <row r="746" spans="1:4">
      <c r="A746" s="77"/>
      <c r="B746" s="77"/>
      <c r="C746" s="38" t="s">
        <v>514</v>
      </c>
      <c r="D746" s="38"/>
    </row>
    <row r="747" spans="1:4">
      <c r="A747" s="77"/>
      <c r="B747" s="77"/>
      <c r="C747" s="38" t="s">
        <v>515</v>
      </c>
      <c r="D747" s="38"/>
    </row>
    <row r="748" spans="1:4">
      <c r="A748" s="77"/>
      <c r="B748" s="77"/>
      <c r="C748" s="38" t="s">
        <v>516</v>
      </c>
      <c r="D748" s="38"/>
    </row>
    <row r="749" spans="1:4">
      <c r="A749" s="77"/>
      <c r="B749" s="77"/>
      <c r="C749" s="38" t="s">
        <v>517</v>
      </c>
      <c r="D749" s="38"/>
    </row>
    <row r="750" spans="1:4">
      <c r="A750" s="77"/>
      <c r="B750" s="77"/>
      <c r="C750" s="38" t="s">
        <v>30</v>
      </c>
      <c r="D750" s="38"/>
    </row>
    <row r="751" spans="1:4">
      <c r="A751" s="77"/>
      <c r="B751" s="77"/>
      <c r="C751" s="38" t="s">
        <v>247</v>
      </c>
      <c r="D751" s="38"/>
    </row>
    <row r="752" spans="1:4">
      <c r="A752" s="77"/>
      <c r="B752" s="77"/>
      <c r="C752" s="38" t="s">
        <v>248</v>
      </c>
      <c r="D752" s="38"/>
    </row>
    <row r="753" spans="1:4">
      <c r="A753" s="77"/>
      <c r="B753" s="77"/>
      <c r="C753" s="38" t="s">
        <v>249</v>
      </c>
      <c r="D753" s="38"/>
    </row>
    <row r="754" spans="1:4">
      <c r="A754" s="77"/>
      <c r="B754" s="77"/>
      <c r="C754" s="38" t="s">
        <v>250</v>
      </c>
      <c r="D754" s="38"/>
    </row>
    <row r="755" spans="1:4">
      <c r="A755" s="77"/>
      <c r="B755" s="77"/>
      <c r="C755" s="38" t="s">
        <v>251</v>
      </c>
      <c r="D755" s="38"/>
    </row>
    <row r="756" spans="1:4">
      <c r="A756" s="77"/>
      <c r="B756" s="77"/>
      <c r="C756" s="38" t="s">
        <v>252</v>
      </c>
      <c r="D756" s="38"/>
    </row>
    <row r="757" spans="1:4">
      <c r="A757" s="77"/>
      <c r="B757" s="77"/>
      <c r="C757" s="38" t="s">
        <v>253</v>
      </c>
      <c r="D757" s="38"/>
    </row>
    <row r="758" spans="1:4">
      <c r="A758" s="77"/>
      <c r="B758" s="77"/>
      <c r="C758" s="38" t="s">
        <v>254</v>
      </c>
      <c r="D758" s="38"/>
    </row>
    <row r="759" spans="1:4">
      <c r="A759" s="77"/>
      <c r="B759" s="77"/>
      <c r="C759" s="38" t="s">
        <v>255</v>
      </c>
      <c r="D759" s="38"/>
    </row>
    <row r="760" spans="1:4">
      <c r="A760" s="77"/>
      <c r="B760" s="77"/>
      <c r="C760" s="38" t="s">
        <v>256</v>
      </c>
      <c r="D760" s="38"/>
    </row>
    <row r="761" spans="1:4">
      <c r="A761" s="77"/>
      <c r="B761" s="77"/>
      <c r="C761" s="38" t="s">
        <v>257</v>
      </c>
      <c r="D761" s="38"/>
    </row>
    <row r="762" spans="1:4">
      <c r="A762" s="77"/>
      <c r="B762" s="77"/>
      <c r="C762" s="38" t="s">
        <v>258</v>
      </c>
      <c r="D762" s="38"/>
    </row>
    <row r="763" spans="1:4">
      <c r="A763" s="77"/>
      <c r="B763" s="77"/>
      <c r="C763" s="38" t="s">
        <v>259</v>
      </c>
      <c r="D763" s="38"/>
    </row>
    <row r="764" spans="1:4">
      <c r="A764" s="77"/>
      <c r="B764" s="77"/>
      <c r="C764" s="38" t="s">
        <v>260</v>
      </c>
      <c r="D764" s="38"/>
    </row>
    <row r="765" spans="1:4">
      <c r="A765" s="77"/>
      <c r="B765" s="77"/>
      <c r="C765" s="38" t="s">
        <v>261</v>
      </c>
      <c r="D765" s="38"/>
    </row>
    <row r="766" spans="1:4">
      <c r="A766" s="77"/>
      <c r="B766" s="77"/>
      <c r="C766" s="38" t="s">
        <v>262</v>
      </c>
      <c r="D766" s="38"/>
    </row>
    <row r="767" spans="1:4">
      <c r="A767" s="77"/>
      <c r="B767" s="77"/>
      <c r="C767" s="38" t="s">
        <v>86</v>
      </c>
      <c r="D767" s="38"/>
    </row>
    <row r="768" spans="1:4">
      <c r="A768" s="77"/>
      <c r="B768" s="77"/>
      <c r="C768" s="38" t="s">
        <v>263</v>
      </c>
      <c r="D768" s="38"/>
    </row>
    <row r="769" spans="1:4">
      <c r="A769" s="77"/>
      <c r="B769" s="77"/>
      <c r="C769" s="38" t="s">
        <v>264</v>
      </c>
      <c r="D769" s="38"/>
    </row>
    <row r="770" spans="1:4">
      <c r="A770" s="77"/>
      <c r="B770" s="77"/>
      <c r="C770" s="38" t="s">
        <v>265</v>
      </c>
      <c r="D770" s="38"/>
    </row>
    <row r="771" spans="1:4">
      <c r="A771" s="77"/>
      <c r="B771" s="77"/>
      <c r="C771" s="38" t="s">
        <v>266</v>
      </c>
      <c r="D771" s="38"/>
    </row>
    <row r="772" spans="1:4">
      <c r="A772" s="77"/>
      <c r="B772" s="77"/>
      <c r="C772" s="38" t="s">
        <v>267</v>
      </c>
      <c r="D772" s="38"/>
    </row>
    <row r="773" spans="1:4">
      <c r="A773" s="77"/>
      <c r="B773" s="77"/>
      <c r="C773" s="38" t="s">
        <v>268</v>
      </c>
      <c r="D773" s="38"/>
    </row>
    <row r="774" spans="1:4">
      <c r="A774" s="77"/>
      <c r="B774" s="77"/>
      <c r="C774" s="38" t="s">
        <v>269</v>
      </c>
      <c r="D774" s="38"/>
    </row>
    <row r="775" spans="1:4">
      <c r="A775" s="77"/>
      <c r="B775" s="77"/>
      <c r="C775" s="38" t="s">
        <v>270</v>
      </c>
      <c r="D775" s="38"/>
    </row>
    <row r="776" spans="1:4">
      <c r="A776" s="77"/>
      <c r="B776" s="77"/>
      <c r="C776" s="38" t="s">
        <v>271</v>
      </c>
      <c r="D776" s="38"/>
    </row>
    <row r="777" spans="1:4">
      <c r="A777" s="77"/>
      <c r="B777" s="77"/>
      <c r="C777" s="38" t="s">
        <v>272</v>
      </c>
      <c r="D777" s="38"/>
    </row>
    <row r="778" spans="1:4">
      <c r="A778" s="77"/>
      <c r="B778" s="77"/>
      <c r="C778" s="38" t="s">
        <v>273</v>
      </c>
      <c r="D778" s="38"/>
    </row>
    <row r="779" spans="1:4">
      <c r="A779" s="77"/>
      <c r="B779" s="77"/>
      <c r="C779" s="38" t="s">
        <v>274</v>
      </c>
      <c r="D779" s="38"/>
    </row>
    <row r="780" spans="1:4">
      <c r="A780" s="77"/>
      <c r="B780" s="77"/>
      <c r="C780" s="38" t="s">
        <v>275</v>
      </c>
      <c r="D780" s="38"/>
    </row>
    <row r="781" spans="1:4">
      <c r="A781" s="77"/>
      <c r="B781" s="77"/>
      <c r="C781" s="38" t="s">
        <v>276</v>
      </c>
      <c r="D781" s="38"/>
    </row>
    <row r="782" spans="1:4">
      <c r="A782" s="77"/>
      <c r="B782" s="77"/>
      <c r="C782" s="38" t="s">
        <v>277</v>
      </c>
      <c r="D782" s="38"/>
    </row>
    <row r="783" spans="1:4">
      <c r="A783" s="77"/>
      <c r="B783" s="77"/>
      <c r="C783" s="38" t="s">
        <v>278</v>
      </c>
      <c r="D783" s="38"/>
    </row>
    <row r="784" spans="1:4">
      <c r="A784" s="77"/>
      <c r="B784" s="77"/>
      <c r="C784" s="38" t="s">
        <v>281</v>
      </c>
      <c r="D784" s="38"/>
    </row>
    <row r="785" spans="1:4">
      <c r="A785" s="77"/>
      <c r="B785" s="77"/>
      <c r="C785" s="38" t="s">
        <v>282</v>
      </c>
      <c r="D785" s="38"/>
    </row>
    <row r="786" spans="1:4">
      <c r="A786" s="77"/>
      <c r="B786" s="77"/>
      <c r="C786" s="38" t="s">
        <v>283</v>
      </c>
      <c r="D786" s="38"/>
    </row>
    <row r="787" spans="1:4">
      <c r="A787" s="77"/>
      <c r="B787" s="77"/>
      <c r="C787" s="38" t="s">
        <v>284</v>
      </c>
      <c r="D787" s="38"/>
    </row>
    <row r="788" spans="1:4">
      <c r="A788" s="77"/>
      <c r="B788" s="77"/>
      <c r="C788" s="38" t="s">
        <v>285</v>
      </c>
      <c r="D788" s="38"/>
    </row>
    <row r="789" spans="1:4">
      <c r="A789" s="77"/>
      <c r="B789" s="77"/>
      <c r="C789" s="38" t="s">
        <v>286</v>
      </c>
      <c r="D789" s="38"/>
    </row>
    <row r="790" spans="1:4">
      <c r="A790" s="77"/>
      <c r="B790" s="77"/>
      <c r="C790" s="38" t="s">
        <v>287</v>
      </c>
      <c r="D790" s="38"/>
    </row>
    <row r="791" spans="1:4">
      <c r="A791" s="77"/>
      <c r="B791" s="77"/>
      <c r="C791" s="38" t="s">
        <v>288</v>
      </c>
      <c r="D791" s="38"/>
    </row>
    <row r="792" spans="1:4">
      <c r="A792" s="77"/>
      <c r="B792" s="77"/>
      <c r="C792" s="38" t="s">
        <v>289</v>
      </c>
      <c r="D792" s="38"/>
    </row>
    <row r="793" spans="1:4">
      <c r="A793" s="77"/>
      <c r="B793" s="77"/>
      <c r="C793" s="38" t="s">
        <v>290</v>
      </c>
      <c r="D793" s="38"/>
    </row>
    <row r="794" spans="1:4">
      <c r="A794" s="77"/>
      <c r="B794" s="77"/>
      <c r="C794" s="38" t="s">
        <v>966</v>
      </c>
      <c r="D794" s="38"/>
    </row>
    <row r="795" spans="1:4">
      <c r="A795" s="77"/>
      <c r="B795" s="77"/>
      <c r="C795" s="38" t="s">
        <v>291</v>
      </c>
      <c r="D795" s="38"/>
    </row>
    <row r="796" spans="1:4">
      <c r="A796" s="77"/>
      <c r="B796" s="77"/>
      <c r="C796" s="38" t="s">
        <v>292</v>
      </c>
      <c r="D796" s="38"/>
    </row>
    <row r="797" spans="1:4">
      <c r="A797" s="77"/>
      <c r="B797" s="77"/>
      <c r="C797" s="38" t="s">
        <v>293</v>
      </c>
      <c r="D797" s="38"/>
    </row>
    <row r="798" spans="1:4">
      <c r="A798" s="77"/>
      <c r="B798" s="77"/>
      <c r="C798" s="38" t="s">
        <v>294</v>
      </c>
      <c r="D798" s="38"/>
    </row>
    <row r="799" spans="1:4">
      <c r="A799" s="77"/>
      <c r="B799" s="77"/>
      <c r="C799" s="38" t="s">
        <v>295</v>
      </c>
      <c r="D799" s="38"/>
    </row>
    <row r="800" spans="1:4">
      <c r="A800" s="77"/>
      <c r="B800" s="77"/>
      <c r="C800" s="38" t="s">
        <v>296</v>
      </c>
      <c r="D800" s="38"/>
    </row>
    <row r="801" spans="1:4">
      <c r="A801" s="77"/>
      <c r="B801" s="77"/>
      <c r="C801" s="38" t="s">
        <v>297</v>
      </c>
      <c r="D801" s="38"/>
    </row>
    <row r="802" spans="1:4">
      <c r="A802" s="77"/>
      <c r="B802" s="77"/>
      <c r="C802" s="38" t="s">
        <v>298</v>
      </c>
      <c r="D802" s="38"/>
    </row>
    <row r="803" spans="1:4">
      <c r="A803" s="77"/>
      <c r="B803" s="77"/>
      <c r="C803" s="38" t="s">
        <v>299</v>
      </c>
      <c r="D803" s="38"/>
    </row>
    <row r="804" spans="1:4">
      <c r="A804" s="77"/>
      <c r="B804" s="77"/>
      <c r="C804" s="38" t="s">
        <v>300</v>
      </c>
      <c r="D804" s="38"/>
    </row>
    <row r="805" spans="1:4">
      <c r="A805" s="77"/>
      <c r="B805" s="77"/>
      <c r="C805" s="38" t="s">
        <v>301</v>
      </c>
      <c r="D805" s="38"/>
    </row>
    <row r="806" spans="1:4">
      <c r="A806" s="77"/>
      <c r="B806" s="77"/>
      <c r="C806" s="38" t="s">
        <v>302</v>
      </c>
      <c r="D806" s="38"/>
    </row>
    <row r="807" spans="1:4">
      <c r="A807" s="77"/>
      <c r="B807" s="77"/>
      <c r="C807" s="38" t="s">
        <v>303</v>
      </c>
      <c r="D807" s="38"/>
    </row>
    <row r="808" spans="1:4">
      <c r="A808" s="77"/>
      <c r="B808" s="77"/>
      <c r="C808" s="38" t="s">
        <v>305</v>
      </c>
      <c r="D808" s="38"/>
    </row>
    <row r="809" spans="1:4">
      <c r="A809" s="77"/>
      <c r="B809" s="77"/>
      <c r="C809" s="38" t="s">
        <v>304</v>
      </c>
      <c r="D809" s="38"/>
    </row>
    <row r="810" spans="1:4">
      <c r="A810" s="77"/>
      <c r="B810" s="77"/>
      <c r="C810" s="38" t="s">
        <v>306</v>
      </c>
      <c r="D810" s="38"/>
    </row>
    <row r="811" spans="1:4">
      <c r="A811" s="77"/>
      <c r="B811" s="77"/>
      <c r="C811" s="38" t="s">
        <v>307</v>
      </c>
      <c r="D811" s="38"/>
    </row>
    <row r="812" spans="1:4">
      <c r="A812" s="77"/>
      <c r="B812" s="77"/>
      <c r="C812" s="38" t="s">
        <v>308</v>
      </c>
      <c r="D812" s="38"/>
    </row>
    <row r="813" spans="1:4">
      <c r="A813" s="77"/>
      <c r="B813" s="77"/>
      <c r="C813" s="38" t="s">
        <v>309</v>
      </c>
      <c r="D813" s="38"/>
    </row>
    <row r="814" spans="1:4">
      <c r="A814" s="77"/>
      <c r="B814" s="77"/>
      <c r="C814" s="38" t="s">
        <v>310</v>
      </c>
      <c r="D814" s="38"/>
    </row>
    <row r="815" spans="1:4">
      <c r="A815" s="77"/>
      <c r="B815" s="77"/>
      <c r="C815" s="38" t="s">
        <v>311</v>
      </c>
      <c r="D815" s="38"/>
    </row>
    <row r="816" spans="1:4">
      <c r="A816" s="77"/>
      <c r="B816" s="77"/>
      <c r="C816" s="38" t="s">
        <v>312</v>
      </c>
      <c r="D816" s="38"/>
    </row>
    <row r="817" spans="1:4">
      <c r="A817" s="77"/>
      <c r="B817" s="77"/>
      <c r="C817" s="38" t="s">
        <v>313</v>
      </c>
      <c r="D817" s="38"/>
    </row>
    <row r="818" spans="1:4">
      <c r="A818" s="77"/>
      <c r="B818" s="77"/>
      <c r="C818" s="38" t="s">
        <v>314</v>
      </c>
      <c r="D818" s="38"/>
    </row>
    <row r="819" spans="1:4">
      <c r="A819" s="77"/>
      <c r="B819" s="77"/>
      <c r="C819" s="38" t="s">
        <v>315</v>
      </c>
      <c r="D819" s="38"/>
    </row>
    <row r="820" spans="1:4">
      <c r="A820" s="77"/>
      <c r="B820" s="77"/>
      <c r="C820" s="38" t="s">
        <v>316</v>
      </c>
      <c r="D820" s="38"/>
    </row>
    <row r="821" spans="1:4">
      <c r="A821" s="77"/>
      <c r="B821" s="77"/>
      <c r="C821" s="38" t="s">
        <v>317</v>
      </c>
      <c r="D821" s="38"/>
    </row>
    <row r="822" spans="1:4">
      <c r="A822" s="77"/>
      <c r="B822" s="77"/>
      <c r="C822" s="38" t="s">
        <v>318</v>
      </c>
      <c r="D822" s="38"/>
    </row>
    <row r="823" spans="1:4">
      <c r="A823" s="77"/>
      <c r="B823" s="77"/>
      <c r="C823" s="38" t="s">
        <v>319</v>
      </c>
      <c r="D823" s="38"/>
    </row>
    <row r="824" spans="1:4">
      <c r="A824" s="77"/>
      <c r="B824" s="77"/>
      <c r="C824" s="38" t="s">
        <v>320</v>
      </c>
      <c r="D824" s="38"/>
    </row>
    <row r="825" spans="1:4">
      <c r="A825" s="77"/>
      <c r="B825" s="77"/>
      <c r="C825" s="38" t="s">
        <v>321</v>
      </c>
      <c r="D825" s="38"/>
    </row>
    <row r="826" spans="1:4">
      <c r="A826" s="77"/>
      <c r="B826" s="77"/>
      <c r="C826" s="38" t="s">
        <v>322</v>
      </c>
      <c r="D826" s="38"/>
    </row>
    <row r="827" spans="1:4">
      <c r="A827" s="77"/>
      <c r="B827" s="77"/>
      <c r="C827" s="38" t="s">
        <v>323</v>
      </c>
      <c r="D827" s="38"/>
    </row>
    <row r="828" spans="1:4">
      <c r="A828" s="77"/>
      <c r="B828" s="77"/>
      <c r="C828" s="38" t="s">
        <v>324</v>
      </c>
      <c r="D828" s="38"/>
    </row>
    <row r="829" spans="1:4">
      <c r="A829" s="77"/>
      <c r="B829" s="77"/>
      <c r="C829" s="38" t="s">
        <v>325</v>
      </c>
      <c r="D829" s="38"/>
    </row>
    <row r="830" spans="1:4">
      <c r="A830" s="77"/>
      <c r="B830" s="77"/>
      <c r="C830" s="38" t="s">
        <v>326</v>
      </c>
      <c r="D830" s="38"/>
    </row>
    <row r="831" spans="1:4">
      <c r="A831" s="77"/>
      <c r="B831" s="77"/>
      <c r="C831" s="38" t="s">
        <v>967</v>
      </c>
      <c r="D831" s="107" t="s">
        <v>968</v>
      </c>
    </row>
    <row r="832" spans="1:4">
      <c r="A832" s="77"/>
      <c r="B832" s="77"/>
      <c r="C832" s="38" t="s">
        <v>969</v>
      </c>
      <c r="D832" s="107" t="s">
        <v>338</v>
      </c>
    </row>
    <row r="833" spans="1:4">
      <c r="A833" s="77"/>
      <c r="B833" s="77"/>
      <c r="C833" s="38" t="s">
        <v>970</v>
      </c>
      <c r="D833" s="107" t="s">
        <v>338</v>
      </c>
    </row>
    <row r="834" spans="1:4" ht="15">
      <c r="A834" s="77"/>
      <c r="B834" s="77"/>
      <c r="C834" s="38" t="s">
        <v>971</v>
      </c>
      <c r="D834" s="106"/>
    </row>
    <row r="835" spans="1:4">
      <c r="A835" s="77"/>
      <c r="B835" s="77"/>
      <c r="C835" s="38" t="s">
        <v>334</v>
      </c>
      <c r="D835" s="38"/>
    </row>
    <row r="836" spans="1:4">
      <c r="A836" s="77"/>
      <c r="B836" s="77"/>
      <c r="C836" s="38" t="s">
        <v>329</v>
      </c>
      <c r="D836" s="38"/>
    </row>
    <row r="837" spans="1:4">
      <c r="A837" s="77"/>
      <c r="B837" s="77"/>
      <c r="C837" s="38" t="s">
        <v>330</v>
      </c>
      <c r="D837" s="38"/>
    </row>
    <row r="838" spans="1:4">
      <c r="A838" s="77"/>
      <c r="B838" s="77"/>
      <c r="C838" s="38" t="s">
        <v>327</v>
      </c>
      <c r="D838" s="38"/>
    </row>
    <row r="839" spans="1:4">
      <c r="A839" s="77"/>
      <c r="B839" s="77"/>
      <c r="C839" s="38" t="s">
        <v>331</v>
      </c>
      <c r="D839" s="38"/>
    </row>
    <row r="840" spans="1:4">
      <c r="A840" s="77"/>
      <c r="B840" s="77"/>
      <c r="C840" s="38" t="s">
        <v>328</v>
      </c>
      <c r="D840" s="38"/>
    </row>
    <row r="841" spans="1:4">
      <c r="A841" s="77"/>
      <c r="B841" s="77"/>
      <c r="C841" s="38" t="s">
        <v>332</v>
      </c>
      <c r="D841" s="38"/>
    </row>
    <row r="842" spans="1:4">
      <c r="A842" s="77"/>
      <c r="B842" s="77"/>
      <c r="C842" s="38" t="s">
        <v>972</v>
      </c>
      <c r="D842" s="38"/>
    </row>
    <row r="843" spans="1:4">
      <c r="A843" s="77"/>
      <c r="B843" s="77"/>
      <c r="C843" s="38" t="s">
        <v>973</v>
      </c>
      <c r="D843" s="38"/>
    </row>
    <row r="844" spans="1:4">
      <c r="A844" s="77"/>
      <c r="B844" s="77"/>
      <c r="C844" s="38" t="s">
        <v>974</v>
      </c>
      <c r="D844" s="38"/>
    </row>
    <row r="845" spans="1:4">
      <c r="A845" s="77"/>
      <c r="B845" s="77"/>
      <c r="C845" s="38" t="s">
        <v>975</v>
      </c>
      <c r="D845" s="38"/>
    </row>
    <row r="846" spans="1:4">
      <c r="A846" s="77"/>
      <c r="B846" s="77"/>
      <c r="C846" s="38" t="s">
        <v>976</v>
      </c>
      <c r="D846" s="38"/>
    </row>
    <row r="847" spans="1:4">
      <c r="A847" s="77"/>
      <c r="B847" s="77"/>
      <c r="C847" s="38" t="s">
        <v>977</v>
      </c>
      <c r="D847" s="38"/>
    </row>
    <row r="848" spans="1:4">
      <c r="A848" s="77"/>
      <c r="B848" s="77"/>
      <c r="C848" s="38" t="s">
        <v>978</v>
      </c>
      <c r="D848" s="38"/>
    </row>
    <row r="849" spans="1:4">
      <c r="A849" s="77"/>
      <c r="B849" s="77"/>
      <c r="C849" s="38" t="s">
        <v>979</v>
      </c>
      <c r="D849" s="38"/>
    </row>
    <row r="850" spans="1:4">
      <c r="A850" s="77"/>
      <c r="B850" s="77"/>
      <c r="C850" s="38" t="s">
        <v>135</v>
      </c>
      <c r="D850" s="38"/>
    </row>
    <row r="851" spans="1:4">
      <c r="A851" s="50" t="s">
        <v>980</v>
      </c>
      <c r="B851" s="50"/>
      <c r="C851" s="40" t="s">
        <v>374</v>
      </c>
      <c r="D851" s="40"/>
    </row>
    <row r="852" spans="1:4">
      <c r="A852" s="51"/>
      <c r="B852" s="51"/>
      <c r="C852" s="40" t="s">
        <v>160</v>
      </c>
      <c r="D852" s="40"/>
    </row>
    <row r="853" spans="1:4">
      <c r="A853" s="77" t="s">
        <v>981</v>
      </c>
      <c r="B853" s="77" t="s">
        <v>5</v>
      </c>
      <c r="C853" s="38" t="s">
        <v>982</v>
      </c>
      <c r="D853" s="38"/>
    </row>
    <row r="854" spans="1:4">
      <c r="A854" s="77"/>
      <c r="B854" s="77"/>
      <c r="C854" s="38" t="s">
        <v>983</v>
      </c>
      <c r="D854" s="38"/>
    </row>
    <row r="855" spans="1:4">
      <c r="A855" s="77"/>
      <c r="B855" s="77"/>
      <c r="C855" s="38" t="s">
        <v>984</v>
      </c>
      <c r="D855" s="38"/>
    </row>
    <row r="856" spans="1:4">
      <c r="A856" s="77"/>
      <c r="B856" s="77"/>
      <c r="C856" s="38" t="s">
        <v>985</v>
      </c>
      <c r="D856" s="38"/>
    </row>
    <row r="857" spans="1:4">
      <c r="A857" s="77"/>
      <c r="B857" s="77"/>
      <c r="C857" s="38" t="s">
        <v>986</v>
      </c>
      <c r="D857" s="38"/>
    </row>
    <row r="858" spans="1:4">
      <c r="A858" s="77"/>
      <c r="B858" s="77"/>
      <c r="C858" s="38" t="s">
        <v>987</v>
      </c>
      <c r="D858" s="38"/>
    </row>
    <row r="859" spans="1:4">
      <c r="A859" s="77"/>
      <c r="B859" s="77"/>
      <c r="C859" s="38" t="s">
        <v>988</v>
      </c>
      <c r="D859" s="38"/>
    </row>
    <row r="860" spans="1:4">
      <c r="A860" s="77"/>
      <c r="B860" s="77"/>
      <c r="C860" s="38" t="s">
        <v>989</v>
      </c>
      <c r="D860" s="38"/>
    </row>
    <row r="861" spans="1:4">
      <c r="A861" s="77"/>
      <c r="B861" s="77"/>
      <c r="C861" s="38" t="s">
        <v>990</v>
      </c>
      <c r="D861" s="38"/>
    </row>
    <row r="862" spans="1:4">
      <c r="A862" s="50" t="s">
        <v>991</v>
      </c>
      <c r="B862" s="50" t="s">
        <v>5</v>
      </c>
      <c r="C862" s="40" t="s">
        <v>29</v>
      </c>
      <c r="D862" s="40"/>
    </row>
    <row r="863" spans="1:4">
      <c r="A863" s="51"/>
      <c r="B863" s="51"/>
      <c r="C863" s="40" t="s">
        <v>992</v>
      </c>
      <c r="D863" s="40"/>
    </row>
    <row r="864" spans="1:4">
      <c r="A864" s="51"/>
      <c r="B864" s="51"/>
      <c r="C864" s="40" t="s">
        <v>46</v>
      </c>
      <c r="D864" s="40"/>
    </row>
    <row r="865" spans="1:4">
      <c r="A865" s="51"/>
      <c r="B865" s="51"/>
      <c r="C865" s="40" t="s">
        <v>993</v>
      </c>
      <c r="D865" s="40"/>
    </row>
    <row r="866" spans="1:4">
      <c r="A866" s="51"/>
      <c r="B866" s="51"/>
      <c r="C866" s="40" t="s">
        <v>84</v>
      </c>
      <c r="D866" s="40"/>
    </row>
    <row r="867" spans="1:4">
      <c r="A867" s="51"/>
      <c r="B867" s="51"/>
      <c r="C867" s="40" t="s">
        <v>994</v>
      </c>
      <c r="D867" s="40"/>
    </row>
    <row r="868" spans="1:4">
      <c r="A868" s="51"/>
      <c r="B868" s="51"/>
      <c r="C868" s="40" t="s">
        <v>57</v>
      </c>
      <c r="D868" s="40"/>
    </row>
    <row r="869" spans="1:4">
      <c r="A869" s="51"/>
      <c r="B869" s="51"/>
      <c r="C869" s="40" t="s">
        <v>995</v>
      </c>
      <c r="D869" s="40"/>
    </row>
    <row r="870" spans="1:4">
      <c r="A870" s="77" t="s">
        <v>996</v>
      </c>
      <c r="B870" s="77" t="s">
        <v>5</v>
      </c>
      <c r="C870" s="38" t="s">
        <v>29</v>
      </c>
      <c r="D870" s="38"/>
    </row>
    <row r="871" spans="1:4">
      <c r="A871" s="77"/>
      <c r="B871" s="77"/>
      <c r="C871" s="38" t="s">
        <v>46</v>
      </c>
      <c r="D871" s="38"/>
    </row>
    <row r="872" spans="1:4">
      <c r="A872" s="77"/>
      <c r="B872" s="77"/>
      <c r="C872" s="38" t="s">
        <v>84</v>
      </c>
      <c r="D872" s="38"/>
    </row>
    <row r="873" spans="1:4">
      <c r="A873" s="77"/>
      <c r="B873" s="77"/>
      <c r="C873" s="38" t="s">
        <v>135</v>
      </c>
      <c r="D873" s="38"/>
    </row>
    <row r="874" spans="1:4">
      <c r="A874" s="50" t="s">
        <v>997</v>
      </c>
      <c r="B874" s="50" t="s">
        <v>5</v>
      </c>
      <c r="C874" s="40" t="s">
        <v>998</v>
      </c>
      <c r="D874" s="40"/>
    </row>
    <row r="875" spans="1:4">
      <c r="A875" s="51"/>
      <c r="B875" s="51"/>
      <c r="C875" s="40" t="s">
        <v>788</v>
      </c>
      <c r="D875" s="40"/>
    </row>
    <row r="876" spans="1:4">
      <c r="A876" s="51"/>
      <c r="B876" s="51"/>
      <c r="C876" s="40" t="s">
        <v>789</v>
      </c>
      <c r="D876" s="40"/>
    </row>
    <row r="877" spans="1:4">
      <c r="A877" s="51"/>
      <c r="B877" s="51"/>
      <c r="C877" s="40" t="s">
        <v>790</v>
      </c>
      <c r="D877" s="40"/>
    </row>
    <row r="878" spans="1:4">
      <c r="A878" s="51"/>
      <c r="B878" s="51"/>
      <c r="C878" s="40" t="s">
        <v>999</v>
      </c>
      <c r="D878" s="40"/>
    </row>
    <row r="879" spans="1:4">
      <c r="A879" s="51"/>
      <c r="B879" s="51"/>
      <c r="C879" s="40" t="s">
        <v>1000</v>
      </c>
      <c r="D879" s="40"/>
    </row>
    <row r="880" spans="1:4">
      <c r="A880" s="51"/>
      <c r="B880" s="51"/>
      <c r="C880" s="40" t="s">
        <v>1001</v>
      </c>
      <c r="D880" s="40"/>
    </row>
    <row r="881" spans="1:4">
      <c r="A881" s="51"/>
      <c r="B881" s="51"/>
      <c r="C881" s="40" t="s">
        <v>1002</v>
      </c>
      <c r="D881" s="40"/>
    </row>
    <row r="882" spans="1:4">
      <c r="A882" s="51"/>
      <c r="B882" s="51"/>
      <c r="C882" s="40" t="s">
        <v>1003</v>
      </c>
      <c r="D882" s="40" t="s">
        <v>1003</v>
      </c>
    </row>
    <row r="883" spans="1:4">
      <c r="A883" s="52"/>
      <c r="B883" s="52"/>
      <c r="C883" s="40" t="s">
        <v>135</v>
      </c>
      <c r="D883" s="40"/>
    </row>
    <row r="884" spans="1:4">
      <c r="A884" s="66" t="s">
        <v>1004</v>
      </c>
      <c r="B884" s="66" t="s">
        <v>5</v>
      </c>
      <c r="C884" s="38" t="s">
        <v>962</v>
      </c>
      <c r="D884" s="38"/>
    </row>
    <row r="885" spans="1:4">
      <c r="A885" s="67"/>
      <c r="B885" s="67"/>
      <c r="C885" s="38" t="s">
        <v>1005</v>
      </c>
      <c r="D885" s="38"/>
    </row>
    <row r="886" spans="1:4">
      <c r="A886" s="67"/>
      <c r="B886" s="67"/>
      <c r="C886" s="38" t="s">
        <v>1006</v>
      </c>
      <c r="D886" s="38"/>
    </row>
    <row r="887" spans="1:4">
      <c r="A887" s="67"/>
      <c r="B887" s="67"/>
      <c r="C887" s="38" t="s">
        <v>1007</v>
      </c>
      <c r="D887" s="38"/>
    </row>
    <row r="888" spans="1:4">
      <c r="A888" s="67"/>
      <c r="B888" s="67"/>
      <c r="C888" s="38" t="s">
        <v>1008</v>
      </c>
      <c r="D888" s="38"/>
    </row>
    <row r="889" spans="1:4">
      <c r="A889" s="67"/>
      <c r="B889" s="67"/>
      <c r="C889" s="38" t="s">
        <v>1009</v>
      </c>
      <c r="D889" s="38" t="s">
        <v>1010</v>
      </c>
    </row>
    <row r="890" spans="1:4">
      <c r="A890" s="67"/>
      <c r="B890" s="67"/>
      <c r="C890" s="38" t="s">
        <v>1011</v>
      </c>
      <c r="D890" s="38"/>
    </row>
    <row r="891" spans="1:4">
      <c r="A891" s="50" t="s">
        <v>504</v>
      </c>
      <c r="B891" s="50" t="s">
        <v>5</v>
      </c>
      <c r="C891" s="40" t="s">
        <v>1012</v>
      </c>
      <c r="D891" s="40"/>
    </row>
    <row r="892" spans="1:4">
      <c r="A892" s="51"/>
      <c r="B892" s="51"/>
      <c r="C892" s="40" t="s">
        <v>1013</v>
      </c>
      <c r="D892" s="40"/>
    </row>
    <row r="893" spans="1:4">
      <c r="A893" s="51"/>
      <c r="B893" s="51"/>
      <c r="C893" s="40" t="s">
        <v>1014</v>
      </c>
      <c r="D893" s="40"/>
    </row>
    <row r="894" spans="1:4">
      <c r="A894" s="51"/>
      <c r="B894" s="51"/>
      <c r="C894" s="40" t="s">
        <v>1015</v>
      </c>
      <c r="D894" s="40"/>
    </row>
    <row r="895" spans="1:4">
      <c r="A895" s="51"/>
      <c r="B895" s="51"/>
      <c r="C895" s="40" t="s">
        <v>1016</v>
      </c>
      <c r="D895" s="40"/>
    </row>
    <row r="896" spans="1:4">
      <c r="A896" s="51"/>
      <c r="B896" s="51"/>
      <c r="C896" s="40" t="s">
        <v>135</v>
      </c>
      <c r="D896" s="40"/>
    </row>
    <row r="897" spans="1:4">
      <c r="A897" s="66" t="s">
        <v>1017</v>
      </c>
      <c r="B897" s="66" t="s">
        <v>5</v>
      </c>
      <c r="C897" s="38" t="s">
        <v>1018</v>
      </c>
      <c r="D897" s="38"/>
    </row>
    <row r="898" spans="1:4">
      <c r="A898" s="67"/>
      <c r="B898" s="67"/>
      <c r="C898" s="38" t="s">
        <v>1019</v>
      </c>
      <c r="D898" s="38"/>
    </row>
    <row r="899" spans="1:4">
      <c r="A899" s="67"/>
      <c r="B899" s="67"/>
      <c r="C899" s="38" t="s">
        <v>962</v>
      </c>
      <c r="D899" s="38"/>
    </row>
    <row r="900" spans="1:4">
      <c r="A900" s="67"/>
      <c r="B900" s="67"/>
      <c r="C900" s="38" t="s">
        <v>135</v>
      </c>
      <c r="D900" s="38"/>
    </row>
    <row r="901" spans="1:4">
      <c r="A901" s="50" t="s">
        <v>1020</v>
      </c>
      <c r="B901" s="50" t="s">
        <v>5</v>
      </c>
      <c r="C901" s="40" t="s">
        <v>1021</v>
      </c>
      <c r="D901" s="40"/>
    </row>
    <row r="902" spans="1:4">
      <c r="A902" s="51"/>
      <c r="B902" s="51"/>
      <c r="C902" s="40" t="s">
        <v>1022</v>
      </c>
      <c r="D902" s="40"/>
    </row>
    <row r="903" spans="1:4">
      <c r="A903" s="51"/>
      <c r="B903" s="51"/>
      <c r="C903" s="40" t="s">
        <v>779</v>
      </c>
      <c r="D903" s="40"/>
    </row>
    <row r="904" spans="1:4">
      <c r="A904" s="51"/>
      <c r="B904" s="51"/>
      <c r="C904" s="40" t="s">
        <v>1023</v>
      </c>
      <c r="D904" s="40"/>
    </row>
    <row r="905" spans="1:4">
      <c r="A905" s="51"/>
      <c r="B905" s="51"/>
      <c r="C905" s="40" t="s">
        <v>1024</v>
      </c>
      <c r="D905" s="40"/>
    </row>
    <row r="906" spans="1:4">
      <c r="A906" s="76" t="s">
        <v>1025</v>
      </c>
      <c r="B906" s="76" t="s">
        <v>5</v>
      </c>
      <c r="C906" s="43" t="s">
        <v>1026</v>
      </c>
      <c r="D906" s="43"/>
    </row>
    <row r="907" spans="1:4">
      <c r="A907" s="77"/>
      <c r="B907" s="77"/>
      <c r="C907" s="43" t="s">
        <v>1027</v>
      </c>
      <c r="D907" s="43"/>
    </row>
    <row r="908" spans="1:4">
      <c r="A908" s="77"/>
      <c r="B908" s="77"/>
      <c r="C908" s="38" t="s">
        <v>1028</v>
      </c>
      <c r="D908" s="38"/>
    </row>
    <row r="909" spans="1:4">
      <c r="A909" s="77"/>
      <c r="B909" s="77"/>
      <c r="C909" s="38" t="s">
        <v>1029</v>
      </c>
      <c r="D909" s="38"/>
    </row>
    <row r="910" spans="1:4">
      <c r="A910" s="77"/>
      <c r="B910" s="77"/>
      <c r="C910" s="38" t="s">
        <v>1030</v>
      </c>
      <c r="D910" s="38"/>
    </row>
    <row r="911" spans="1:4">
      <c r="A911" s="77"/>
      <c r="B911" s="77"/>
      <c r="C911" s="38" t="s">
        <v>1031</v>
      </c>
      <c r="D911" s="38"/>
    </row>
    <row r="912" spans="1:4">
      <c r="A912" s="72" t="s">
        <v>1032</v>
      </c>
      <c r="B912" s="72" t="s">
        <v>5</v>
      </c>
      <c r="C912" s="44" t="s">
        <v>29</v>
      </c>
      <c r="D912" s="44"/>
    </row>
    <row r="913" spans="1:4">
      <c r="A913" s="54"/>
      <c r="B913" s="54"/>
      <c r="C913" s="44" t="s">
        <v>992</v>
      </c>
      <c r="D913" s="44"/>
    </row>
    <row r="914" spans="1:4">
      <c r="A914" s="54"/>
      <c r="B914" s="54"/>
      <c r="C914" s="40" t="s">
        <v>46</v>
      </c>
      <c r="D914" s="40"/>
    </row>
    <row r="915" spans="1:4">
      <c r="A915" s="54"/>
      <c r="B915" s="54"/>
      <c r="C915" s="40" t="s">
        <v>993</v>
      </c>
      <c r="D915" s="40"/>
    </row>
    <row r="916" spans="1:4">
      <c r="A916" s="54"/>
      <c r="B916" s="54"/>
      <c r="C916" s="40" t="s">
        <v>84</v>
      </c>
      <c r="D916" s="40"/>
    </row>
    <row r="917" spans="1:4">
      <c r="A917" s="54"/>
      <c r="B917" s="54"/>
      <c r="C917" s="40" t="s">
        <v>994</v>
      </c>
      <c r="D917" s="40"/>
    </row>
    <row r="918" spans="1:4">
      <c r="A918" s="54"/>
      <c r="B918" s="54"/>
      <c r="C918" s="44" t="s">
        <v>57</v>
      </c>
      <c r="D918" s="44"/>
    </row>
    <row r="919" spans="1:4">
      <c r="A919" s="54"/>
      <c r="B919" s="54"/>
      <c r="C919" s="44" t="s">
        <v>995</v>
      </c>
      <c r="D919" s="44"/>
    </row>
    <row r="920" spans="1:4">
      <c r="A920" s="76" t="s">
        <v>1033</v>
      </c>
      <c r="B920" s="76" t="s">
        <v>5</v>
      </c>
      <c r="C920" s="43" t="s">
        <v>1034</v>
      </c>
      <c r="D920" s="43"/>
    </row>
    <row r="921" spans="1:4">
      <c r="A921" s="77"/>
      <c r="B921" s="77"/>
      <c r="C921" s="43" t="s">
        <v>1035</v>
      </c>
      <c r="D921" s="43"/>
    </row>
    <row r="922" spans="1:4">
      <c r="A922" s="77"/>
      <c r="B922" s="77"/>
      <c r="C922" s="38" t="s">
        <v>1036</v>
      </c>
      <c r="D922" s="38"/>
    </row>
    <row r="923" spans="1:4">
      <c r="A923" s="77"/>
      <c r="B923" s="77"/>
      <c r="C923" s="38" t="s">
        <v>1037</v>
      </c>
      <c r="D923" s="38"/>
    </row>
    <row r="924" spans="1:4">
      <c r="A924" s="77"/>
      <c r="B924" s="77"/>
      <c r="C924" s="38" t="s">
        <v>1038</v>
      </c>
      <c r="D924" s="38"/>
    </row>
    <row r="925" spans="1:4">
      <c r="A925" s="77"/>
      <c r="B925" s="77"/>
      <c r="C925" s="38" t="s">
        <v>135</v>
      </c>
      <c r="D925" s="38"/>
    </row>
    <row r="926" spans="1:4">
      <c r="A926" s="72" t="s">
        <v>1039</v>
      </c>
      <c r="B926" s="72" t="s">
        <v>5</v>
      </c>
      <c r="C926" s="40" t="s">
        <v>1040</v>
      </c>
      <c r="D926" s="40"/>
    </row>
    <row r="927" spans="1:4">
      <c r="A927" s="54"/>
      <c r="B927" s="54"/>
      <c r="C927" s="40" t="s">
        <v>1041</v>
      </c>
      <c r="D927" s="40"/>
    </row>
    <row r="928" spans="1:4">
      <c r="A928" s="54"/>
      <c r="B928" s="54"/>
      <c r="C928" s="40" t="s">
        <v>1042</v>
      </c>
      <c r="D928" s="40"/>
    </row>
    <row r="929" spans="1:4">
      <c r="A929" s="73" t="s">
        <v>1043</v>
      </c>
      <c r="B929" s="73" t="s">
        <v>5</v>
      </c>
      <c r="C929" s="43" t="s">
        <v>1044</v>
      </c>
      <c r="D929" s="43"/>
    </row>
    <row r="930" spans="1:4">
      <c r="A930" s="74"/>
      <c r="B930" s="74"/>
      <c r="C930" s="43" t="s">
        <v>788</v>
      </c>
      <c r="D930" s="43"/>
    </row>
    <row r="931" spans="1:4">
      <c r="A931" s="74"/>
      <c r="B931" s="74"/>
      <c r="C931" s="38" t="s">
        <v>998</v>
      </c>
      <c r="D931" s="38"/>
    </row>
    <row r="932" spans="1:4">
      <c r="A932" s="74"/>
      <c r="B932" s="74"/>
      <c r="C932" s="38" t="s">
        <v>789</v>
      </c>
      <c r="D932" s="38"/>
    </row>
    <row r="933" spans="1:4">
      <c r="A933" s="74"/>
      <c r="B933" s="74"/>
      <c r="C933" s="38" t="s">
        <v>135</v>
      </c>
      <c r="D933" s="38"/>
    </row>
    <row r="934" spans="1:4">
      <c r="A934" s="80" t="s">
        <v>1045</v>
      </c>
      <c r="B934" s="80" t="s">
        <v>5</v>
      </c>
      <c r="C934" s="44" t="s">
        <v>998</v>
      </c>
      <c r="D934" s="44"/>
    </row>
    <row r="935" spans="1:4">
      <c r="A935" s="81"/>
      <c r="B935" s="81"/>
      <c r="C935" s="44" t="s">
        <v>788</v>
      </c>
      <c r="D935" s="44"/>
    </row>
    <row r="936" spans="1:4">
      <c r="A936" s="81"/>
      <c r="B936" s="81"/>
      <c r="C936" s="40" t="s">
        <v>789</v>
      </c>
      <c r="D936" s="40"/>
    </row>
    <row r="937" spans="1:4">
      <c r="A937" s="81"/>
      <c r="B937" s="81"/>
      <c r="C937" s="40" t="s">
        <v>790</v>
      </c>
      <c r="D937" s="40"/>
    </row>
    <row r="938" spans="1:4">
      <c r="A938" s="81"/>
      <c r="B938" s="81"/>
      <c r="C938" s="40" t="s">
        <v>1046</v>
      </c>
      <c r="D938" s="40"/>
    </row>
    <row r="939" spans="1:4">
      <c r="A939" s="81"/>
      <c r="B939" s="81"/>
      <c r="C939" s="44" t="s">
        <v>1046</v>
      </c>
      <c r="D939" s="44"/>
    </row>
    <row r="940" spans="1:4">
      <c r="A940" s="81"/>
      <c r="B940" s="81"/>
      <c r="C940" s="44" t="s">
        <v>1000</v>
      </c>
      <c r="D940" s="44"/>
    </row>
    <row r="941" spans="1:4">
      <c r="A941" s="81"/>
      <c r="B941" s="81"/>
      <c r="C941" s="40" t="s">
        <v>1001</v>
      </c>
      <c r="D941" s="40"/>
    </row>
    <row r="942" spans="1:4">
      <c r="A942" s="81"/>
      <c r="B942" s="81"/>
      <c r="C942" s="44" t="s">
        <v>1002</v>
      </c>
      <c r="D942" s="44"/>
    </row>
    <row r="943" spans="1:4">
      <c r="A943" s="81"/>
      <c r="B943" s="81"/>
      <c r="C943" s="44" t="s">
        <v>1044</v>
      </c>
      <c r="D943" s="44"/>
    </row>
    <row r="944" spans="1:4">
      <c r="A944" s="81"/>
      <c r="B944" s="81"/>
      <c r="C944" s="40" t="s">
        <v>1047</v>
      </c>
      <c r="D944" s="40" t="s">
        <v>1047</v>
      </c>
    </row>
    <row r="945" spans="1:4">
      <c r="A945" s="104"/>
      <c r="B945" s="104"/>
      <c r="C945" s="40" t="s">
        <v>135</v>
      </c>
      <c r="D945" s="40"/>
    </row>
    <row r="946" spans="1:4" ht="14.25" customHeight="1">
      <c r="A946" s="73" t="s">
        <v>1048</v>
      </c>
      <c r="B946" s="73" t="s">
        <v>5</v>
      </c>
      <c r="C946" s="43" t="s">
        <v>1049</v>
      </c>
      <c r="D946" s="43"/>
    </row>
    <row r="947" spans="1:4">
      <c r="A947" s="74"/>
      <c r="B947" s="74"/>
      <c r="C947" s="43" t="s">
        <v>1050</v>
      </c>
      <c r="D947" s="43"/>
    </row>
    <row r="948" spans="1:4">
      <c r="A948" s="74"/>
      <c r="B948" s="74"/>
      <c r="C948" s="38" t="s">
        <v>1051</v>
      </c>
      <c r="D948" s="38"/>
    </row>
    <row r="949" spans="1:4">
      <c r="A949" s="74"/>
      <c r="B949" s="74"/>
      <c r="C949" s="38" t="s">
        <v>1052</v>
      </c>
      <c r="D949" s="38"/>
    </row>
    <row r="950" spans="1:4">
      <c r="A950" s="74"/>
      <c r="B950" s="74"/>
      <c r="C950" s="38" t="s">
        <v>1053</v>
      </c>
      <c r="D950" s="38"/>
    </row>
    <row r="951" spans="1:4">
      <c r="A951" s="74"/>
      <c r="B951" s="74"/>
      <c r="C951" s="43" t="s">
        <v>800</v>
      </c>
      <c r="D951" s="43"/>
    </row>
    <row r="952" spans="1:4">
      <c r="A952" s="74"/>
      <c r="B952" s="74"/>
      <c r="C952" s="43" t="s">
        <v>1044</v>
      </c>
      <c r="D952" s="43"/>
    </row>
    <row r="953" spans="1:4">
      <c r="A953" s="74"/>
      <c r="B953" s="74"/>
      <c r="C953" s="38" t="s">
        <v>1054</v>
      </c>
      <c r="D953" s="38" t="s">
        <v>1055</v>
      </c>
    </row>
    <row r="954" spans="1:4">
      <c r="A954" s="74"/>
      <c r="B954" s="74"/>
      <c r="C954" s="38" t="s">
        <v>1009</v>
      </c>
      <c r="D954" s="38" t="s">
        <v>1010</v>
      </c>
    </row>
    <row r="955" spans="1:4">
      <c r="A955" s="74"/>
      <c r="B955" s="74"/>
      <c r="C955" s="38" t="s">
        <v>135</v>
      </c>
      <c r="D955" s="38"/>
    </row>
    <row r="956" spans="1:4">
      <c r="A956" s="80" t="s">
        <v>808</v>
      </c>
      <c r="B956" s="80" t="s">
        <v>5</v>
      </c>
      <c r="C956" s="40" t="s">
        <v>1056</v>
      </c>
      <c r="D956" s="40"/>
    </row>
    <row r="957" spans="1:4">
      <c r="A957" s="81"/>
      <c r="B957" s="81"/>
      <c r="C957" s="40" t="s">
        <v>1057</v>
      </c>
      <c r="D957" s="40"/>
    </row>
    <row r="958" spans="1:4">
      <c r="A958" s="81"/>
      <c r="B958" s="81"/>
      <c r="C958" s="40" t="s">
        <v>1058</v>
      </c>
      <c r="D958" s="40"/>
    </row>
    <row r="959" spans="1:4">
      <c r="A959" s="81"/>
      <c r="B959" s="81"/>
      <c r="C959" s="40" t="s">
        <v>1059</v>
      </c>
      <c r="D959" s="40"/>
    </row>
    <row r="960" spans="1:4">
      <c r="A960" s="81"/>
      <c r="B960" s="81"/>
      <c r="C960" s="40" t="s">
        <v>1060</v>
      </c>
      <c r="D960" s="40"/>
    </row>
    <row r="961" spans="1:4">
      <c r="A961" s="81"/>
      <c r="B961" s="81"/>
      <c r="C961" s="40" t="s">
        <v>1061</v>
      </c>
      <c r="D961" s="40"/>
    </row>
    <row r="962" spans="1:4">
      <c r="A962" s="81"/>
      <c r="B962" s="81"/>
      <c r="C962" s="40" t="s">
        <v>1062</v>
      </c>
      <c r="D962" s="40"/>
    </row>
    <row r="963" spans="1:4">
      <c r="A963" s="81"/>
      <c r="B963" s="81"/>
      <c r="C963" s="40" t="s">
        <v>889</v>
      </c>
      <c r="D963" s="40"/>
    </row>
    <row r="964" spans="1:4">
      <c r="A964" s="82" t="s">
        <v>1063</v>
      </c>
      <c r="B964" s="73" t="s">
        <v>5</v>
      </c>
      <c r="C964" s="38" t="s">
        <v>1021</v>
      </c>
      <c r="D964" s="38"/>
    </row>
    <row r="965" spans="1:4">
      <c r="A965" s="83"/>
      <c r="B965" s="74"/>
      <c r="C965" s="38" t="s">
        <v>1022</v>
      </c>
      <c r="D965" s="38"/>
    </row>
    <row r="966" spans="1:4">
      <c r="A966" s="83"/>
      <c r="B966" s="74"/>
      <c r="C966" s="38" t="s">
        <v>779</v>
      </c>
      <c r="D966" s="38"/>
    </row>
    <row r="967" spans="1:4">
      <c r="A967" s="83"/>
      <c r="B967" s="74"/>
      <c r="C967" s="38" t="s">
        <v>1023</v>
      </c>
      <c r="D967" s="38"/>
    </row>
    <row r="968" spans="1:4">
      <c r="A968" s="83"/>
      <c r="B968" s="74"/>
      <c r="C968" s="38" t="s">
        <v>1024</v>
      </c>
      <c r="D968" s="38"/>
    </row>
    <row r="969" spans="1:4">
      <c r="A969" s="83"/>
      <c r="B969" s="74"/>
      <c r="C969" s="38" t="s">
        <v>1064</v>
      </c>
      <c r="D969" s="38"/>
    </row>
    <row r="970" spans="1:4">
      <c r="A970" s="84" t="s">
        <v>1065</v>
      </c>
      <c r="B970" s="80" t="s">
        <v>5</v>
      </c>
      <c r="C970" s="40" t="s">
        <v>1066</v>
      </c>
      <c r="D970" s="40"/>
    </row>
    <row r="971" spans="1:4">
      <c r="A971" s="85"/>
      <c r="B971" s="81"/>
      <c r="C971" s="40" t="s">
        <v>1067</v>
      </c>
      <c r="D971" s="40"/>
    </row>
    <row r="972" spans="1:4">
      <c r="A972" s="85"/>
      <c r="B972" s="81"/>
      <c r="C972" s="40" t="s">
        <v>1068</v>
      </c>
      <c r="D972" s="40"/>
    </row>
    <row r="973" spans="1:4">
      <c r="A973" s="85"/>
      <c r="B973" s="81"/>
      <c r="C973" s="40" t="s">
        <v>1069</v>
      </c>
      <c r="D973" s="40"/>
    </row>
    <row r="974" spans="1:4">
      <c r="A974" s="85"/>
      <c r="B974" s="81"/>
      <c r="C974" s="40" t="s">
        <v>1070</v>
      </c>
      <c r="D974" s="40"/>
    </row>
    <row r="975" spans="1:4">
      <c r="A975" s="85"/>
      <c r="B975" s="81"/>
      <c r="C975" s="40" t="s">
        <v>1071</v>
      </c>
      <c r="D975" s="40"/>
    </row>
    <row r="976" spans="1:4">
      <c r="A976" s="105"/>
      <c r="B976" s="104"/>
      <c r="C976" s="40" t="s">
        <v>135</v>
      </c>
      <c r="D976" s="40"/>
    </row>
    <row r="977" spans="1:4">
      <c r="A977" s="73" t="s">
        <v>1072</v>
      </c>
      <c r="B977" s="73" t="s">
        <v>5</v>
      </c>
      <c r="C977" s="38" t="s">
        <v>1073</v>
      </c>
      <c r="D977" s="38"/>
    </row>
    <row r="978" spans="1:4">
      <c r="A978" s="74"/>
      <c r="B978" s="74"/>
      <c r="C978" s="38" t="s">
        <v>1074</v>
      </c>
      <c r="D978" s="38"/>
    </row>
    <row r="979" spans="1:4">
      <c r="A979" s="74"/>
      <c r="B979" s="74"/>
      <c r="C979" s="38" t="s">
        <v>1075</v>
      </c>
      <c r="D979" s="38"/>
    </row>
    <row r="980" spans="1:4">
      <c r="A980" s="74"/>
      <c r="B980" s="74"/>
      <c r="C980" s="38" t="s">
        <v>1076</v>
      </c>
      <c r="D980" s="38"/>
    </row>
    <row r="981" spans="1:4">
      <c r="A981" s="74"/>
      <c r="B981" s="74"/>
      <c r="C981" s="38" t="s">
        <v>1077</v>
      </c>
      <c r="D981" s="38"/>
    </row>
    <row r="982" spans="1:4">
      <c r="A982" s="74"/>
      <c r="B982" s="74"/>
      <c r="C982" s="38" t="s">
        <v>1078</v>
      </c>
      <c r="D982" s="38"/>
    </row>
    <row r="983" spans="1:4">
      <c r="A983" s="74"/>
      <c r="B983" s="74"/>
      <c r="C983" s="38" t="s">
        <v>1079</v>
      </c>
      <c r="D983" s="38"/>
    </row>
    <row r="984" spans="1:4">
      <c r="A984" s="74"/>
      <c r="B984" s="74"/>
      <c r="C984" s="38" t="s">
        <v>1080</v>
      </c>
      <c r="D984" s="38"/>
    </row>
    <row r="985" spans="1:4">
      <c r="A985" s="74"/>
      <c r="B985" s="74"/>
      <c r="C985" s="38" t="s">
        <v>1081</v>
      </c>
      <c r="D985" s="38" t="s">
        <v>1082</v>
      </c>
    </row>
    <row r="986" spans="1:4">
      <c r="A986" s="84" t="s">
        <v>1083</v>
      </c>
      <c r="B986" s="80" t="s">
        <v>5</v>
      </c>
      <c r="C986" s="40" t="s">
        <v>1026</v>
      </c>
      <c r="D986" s="40"/>
    </row>
    <row r="987" spans="1:4">
      <c r="A987" s="85"/>
      <c r="B987" s="81"/>
      <c r="C987" s="40" t="s">
        <v>1027</v>
      </c>
      <c r="D987" s="40"/>
    </row>
    <row r="988" spans="1:4">
      <c r="A988" s="85"/>
      <c r="B988" s="81"/>
      <c r="C988" s="40" t="s">
        <v>1084</v>
      </c>
      <c r="D988" s="40"/>
    </row>
    <row r="989" spans="1:4">
      <c r="A989" s="85"/>
      <c r="B989" s="81"/>
      <c r="C989" s="40" t="s">
        <v>1085</v>
      </c>
      <c r="D989" s="40"/>
    </row>
    <row r="990" spans="1:4">
      <c r="A990" s="85"/>
      <c r="B990" s="81"/>
      <c r="C990" s="40" t="s">
        <v>1086</v>
      </c>
      <c r="D990" s="40"/>
    </row>
    <row r="991" spans="1:4">
      <c r="A991" s="85"/>
      <c r="B991" s="81"/>
      <c r="C991" s="40" t="s">
        <v>1087</v>
      </c>
      <c r="D991" s="40"/>
    </row>
    <row r="992" spans="1:4">
      <c r="A992" s="73" t="s">
        <v>1088</v>
      </c>
      <c r="B992" s="73" t="s">
        <v>5</v>
      </c>
      <c r="C992" s="38" t="s">
        <v>788</v>
      </c>
      <c r="D992" s="38"/>
    </row>
    <row r="993" spans="1:4">
      <c r="A993" s="74"/>
      <c r="B993" s="74"/>
      <c r="C993" s="38" t="s">
        <v>998</v>
      </c>
      <c r="D993" s="38"/>
    </row>
    <row r="994" spans="1:4">
      <c r="A994" s="74"/>
      <c r="B994" s="74"/>
      <c r="C994" s="38" t="s">
        <v>995</v>
      </c>
      <c r="D994" s="38"/>
    </row>
    <row r="995" spans="1:4">
      <c r="A995" s="74"/>
      <c r="B995" s="74"/>
      <c r="C995" s="38" t="s">
        <v>789</v>
      </c>
      <c r="D995" s="38"/>
    </row>
    <row r="996" spans="1:4">
      <c r="A996" s="74"/>
      <c r="B996" s="74"/>
      <c r="C996" s="38" t="s">
        <v>1089</v>
      </c>
      <c r="D996" s="38" t="s">
        <v>1090</v>
      </c>
    </row>
    <row r="997" spans="1:4">
      <c r="A997" s="74"/>
      <c r="B997" s="74"/>
      <c r="C997" s="38" t="s">
        <v>135</v>
      </c>
      <c r="D997" s="38"/>
    </row>
    <row r="998" spans="1:4">
      <c r="A998" s="80" t="s">
        <v>1091</v>
      </c>
      <c r="B998" s="80" t="s">
        <v>5</v>
      </c>
      <c r="C998" s="40" t="s">
        <v>188</v>
      </c>
      <c r="D998" s="40"/>
    </row>
    <row r="999" spans="1:4">
      <c r="A999" s="81"/>
      <c r="B999" s="81"/>
      <c r="C999" s="40" t="s">
        <v>1092</v>
      </c>
      <c r="D999" s="40"/>
    </row>
    <row r="1000" spans="1:4">
      <c r="A1000" s="73" t="s">
        <v>1093</v>
      </c>
      <c r="B1000" s="73" t="s">
        <v>5</v>
      </c>
      <c r="C1000" s="38" t="s">
        <v>1094</v>
      </c>
      <c r="D1000" s="38"/>
    </row>
    <row r="1001" spans="1:4">
      <c r="A1001" s="74"/>
      <c r="B1001" s="74"/>
      <c r="C1001" s="38" t="s">
        <v>1095</v>
      </c>
      <c r="D1001" s="38"/>
    </row>
    <row r="1002" spans="1:4">
      <c r="A1002" s="74"/>
      <c r="B1002" s="74"/>
      <c r="C1002" s="38" t="s">
        <v>1096</v>
      </c>
      <c r="D1002" s="38"/>
    </row>
    <row r="1003" spans="1:4">
      <c r="A1003" s="74"/>
      <c r="B1003" s="74"/>
      <c r="C1003" s="38" t="s">
        <v>1097</v>
      </c>
      <c r="D1003" s="38"/>
    </row>
    <row r="1004" spans="1:4">
      <c r="A1004" s="74"/>
      <c r="B1004" s="74"/>
      <c r="C1004" s="38" t="s">
        <v>1098</v>
      </c>
      <c r="D1004" s="38"/>
    </row>
    <row r="1005" spans="1:4">
      <c r="A1005" s="74"/>
      <c r="B1005" s="74"/>
      <c r="C1005" s="38" t="s">
        <v>1099</v>
      </c>
      <c r="D1005" s="38"/>
    </row>
    <row r="1006" spans="1:4">
      <c r="A1006" s="74"/>
      <c r="B1006" s="74"/>
      <c r="C1006" s="38" t="s">
        <v>1100</v>
      </c>
      <c r="D1006" s="38"/>
    </row>
    <row r="1007" spans="1:4">
      <c r="A1007" s="74"/>
      <c r="B1007" s="74"/>
      <c r="C1007" s="38" t="s">
        <v>1101</v>
      </c>
      <c r="D1007" s="38"/>
    </row>
    <row r="1008" spans="1:4">
      <c r="A1008" s="74"/>
      <c r="B1008" s="74"/>
      <c r="C1008" s="38" t="s">
        <v>1102</v>
      </c>
      <c r="D1008" s="38"/>
    </row>
    <row r="1009" spans="1:4">
      <c r="A1009" s="74"/>
      <c r="B1009" s="74"/>
      <c r="C1009" s="38" t="s">
        <v>1103</v>
      </c>
      <c r="D1009" s="38"/>
    </row>
    <row r="1010" spans="1:4">
      <c r="A1010" s="74"/>
      <c r="B1010" s="74"/>
      <c r="C1010" s="38" t="s">
        <v>1104</v>
      </c>
      <c r="D1010" s="38"/>
    </row>
    <row r="1011" spans="1:4">
      <c r="A1011" s="74"/>
      <c r="B1011" s="74"/>
      <c r="C1011" s="38" t="s">
        <v>1105</v>
      </c>
      <c r="D1011" s="38"/>
    </row>
    <row r="1012" spans="1:4">
      <c r="A1012" s="74"/>
      <c r="B1012" s="74"/>
      <c r="C1012" s="38" t="s">
        <v>1106</v>
      </c>
      <c r="D1012" s="38"/>
    </row>
    <row r="1013" spans="1:4">
      <c r="A1013" s="74"/>
      <c r="B1013" s="74"/>
      <c r="C1013" s="38" t="s">
        <v>1107</v>
      </c>
      <c r="D1013" s="38"/>
    </row>
    <row r="1014" spans="1:4">
      <c r="A1014" s="74"/>
      <c r="B1014" s="74"/>
      <c r="C1014" s="38" t="s">
        <v>1108</v>
      </c>
      <c r="D1014" s="38"/>
    </row>
    <row r="1015" spans="1:4">
      <c r="A1015" s="74"/>
      <c r="B1015" s="74"/>
      <c r="C1015" s="38" t="s">
        <v>159</v>
      </c>
      <c r="D1015" s="38"/>
    </row>
    <row r="1016" spans="1:4">
      <c r="A1016" s="74"/>
      <c r="B1016" s="74"/>
      <c r="C1016" s="38" t="s">
        <v>1109</v>
      </c>
      <c r="D1016" s="38"/>
    </row>
    <row r="1017" spans="1:4">
      <c r="A1017" s="74"/>
      <c r="B1017" s="74"/>
      <c r="C1017" s="38" t="s">
        <v>164</v>
      </c>
      <c r="D1017" s="38"/>
    </row>
    <row r="1018" spans="1:4">
      <c r="A1018" s="74"/>
      <c r="B1018" s="74"/>
      <c r="C1018" s="38" t="s">
        <v>1110</v>
      </c>
      <c r="D1018" s="38"/>
    </row>
    <row r="1019" spans="1:4">
      <c r="A1019" s="74"/>
      <c r="B1019" s="74"/>
      <c r="C1019" s="38" t="s">
        <v>1111</v>
      </c>
      <c r="D1019" s="38"/>
    </row>
    <row r="1020" spans="1:4">
      <c r="A1020" s="74"/>
      <c r="B1020" s="74"/>
      <c r="C1020" s="38" t="s">
        <v>1112</v>
      </c>
      <c r="D1020" s="38"/>
    </row>
    <row r="1021" spans="1:4">
      <c r="A1021" s="74"/>
      <c r="B1021" s="74"/>
      <c r="C1021" s="38" t="s">
        <v>1113</v>
      </c>
      <c r="D1021" s="38"/>
    </row>
    <row r="1022" spans="1:4">
      <c r="A1022" s="74"/>
      <c r="B1022" s="74"/>
      <c r="C1022" s="38" t="s">
        <v>1114</v>
      </c>
      <c r="D1022" s="38"/>
    </row>
    <row r="1023" spans="1:4">
      <c r="A1023" s="74"/>
      <c r="B1023" s="74"/>
      <c r="C1023" s="38" t="s">
        <v>1115</v>
      </c>
      <c r="D1023" s="38"/>
    </row>
    <row r="1024" spans="1:4">
      <c r="A1024" s="74"/>
      <c r="B1024" s="74"/>
      <c r="C1024" s="38" t="s">
        <v>1116</v>
      </c>
      <c r="D1024" s="38"/>
    </row>
    <row r="1025" spans="1:4">
      <c r="A1025" s="74"/>
      <c r="B1025" s="74"/>
      <c r="C1025" s="38" t="s">
        <v>1117</v>
      </c>
      <c r="D1025" s="38"/>
    </row>
    <row r="1026" spans="1:4">
      <c r="A1026" s="74"/>
      <c r="B1026" s="74"/>
      <c r="C1026" s="38" t="s">
        <v>1118</v>
      </c>
      <c r="D1026" s="38"/>
    </row>
    <row r="1027" spans="1:4">
      <c r="A1027" s="74"/>
      <c r="B1027" s="74"/>
      <c r="C1027" s="38" t="s">
        <v>1119</v>
      </c>
      <c r="D1027" s="38"/>
    </row>
    <row r="1028" spans="1:4">
      <c r="A1028" s="74"/>
      <c r="B1028" s="74"/>
      <c r="C1028" s="38" t="s">
        <v>1120</v>
      </c>
      <c r="D1028" s="38"/>
    </row>
    <row r="1029" spans="1:4">
      <c r="A1029" s="74"/>
      <c r="B1029" s="74"/>
      <c r="C1029" s="38" t="s">
        <v>1121</v>
      </c>
      <c r="D1029" s="38"/>
    </row>
    <row r="1030" spans="1:4">
      <c r="A1030" s="74"/>
      <c r="B1030" s="74"/>
      <c r="C1030" s="38" t="s">
        <v>1122</v>
      </c>
      <c r="D1030" s="38"/>
    </row>
    <row r="1031" spans="1:4">
      <c r="A1031" s="74"/>
      <c r="B1031" s="74"/>
      <c r="C1031" s="111" t="s">
        <v>1123</v>
      </c>
      <c r="D1031" s="38"/>
    </row>
    <row r="1032" spans="1:4">
      <c r="A1032" s="74"/>
      <c r="B1032" s="74"/>
      <c r="C1032" s="38" t="s">
        <v>1124</v>
      </c>
      <c r="D1032" s="38"/>
    </row>
    <row r="1033" spans="1:4">
      <c r="A1033" s="74"/>
      <c r="B1033" s="74"/>
      <c r="C1033" s="38" t="s">
        <v>135</v>
      </c>
      <c r="D1033" s="38"/>
    </row>
    <row r="1034" spans="1:4">
      <c r="A1034" s="50" t="s">
        <v>1125</v>
      </c>
      <c r="B1034" s="50" t="s">
        <v>5</v>
      </c>
      <c r="C1034" s="40" t="s">
        <v>1126</v>
      </c>
      <c r="D1034" s="40"/>
    </row>
    <row r="1035" spans="1:4">
      <c r="A1035" s="51"/>
      <c r="B1035" s="51"/>
      <c r="C1035" s="40" t="s">
        <v>1127</v>
      </c>
      <c r="D1035" s="40"/>
    </row>
    <row r="1036" spans="1:4">
      <c r="A1036" s="51"/>
      <c r="B1036" s="51"/>
      <c r="C1036" s="40" t="s">
        <v>135</v>
      </c>
      <c r="D1036" s="40"/>
    </row>
    <row r="1037" spans="1:4">
      <c r="A1037" s="73" t="s">
        <v>1128</v>
      </c>
      <c r="B1037" s="73" t="s">
        <v>5</v>
      </c>
      <c r="C1037" s="38" t="s">
        <v>1129</v>
      </c>
      <c r="D1037" s="38"/>
    </row>
    <row r="1163" ht="14.45" hidden="1" customHeight="1"/>
  </sheetData>
  <autoFilter ref="A1:D1040" xr:uid="{00000000-0009-0000-0000-00001F000000}"/>
  <sortState xmlns:xlrd2="http://schemas.microsoft.com/office/spreadsheetml/2017/richdata2" ref="C81:C84">
    <sortCondition ref="C81"/>
  </sortState>
  <pageMargins left="0.70866141732283472" right="0.70866141732283472" top="0.74803149606299213" bottom="0.74803149606299213" header="0.31496062992125984" footer="0.31496062992125984"/>
  <pageSetup paperSize="9" scale="60" orientation="landscape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Sheet32"/>
  <dimension ref="A1:E795"/>
  <sheetViews>
    <sheetView showGridLines="0" rightToLeft="1" workbookViewId="0">
      <pane ySplit="1" topLeftCell="A2" activePane="bottomLeft" state="frozen"/>
      <selection pane="bottomLeft" activeCell="B19" sqref="B19"/>
    </sheetView>
  </sheetViews>
  <sheetFormatPr defaultColWidth="0" defaultRowHeight="14.25" zeroHeight="1" outlineLevelRow="1"/>
  <cols>
    <col min="1" max="1" width="25.625" customWidth="1"/>
    <col min="2" max="2" width="48.75" customWidth="1"/>
    <col min="3" max="3" width="12" customWidth="1"/>
    <col min="4" max="4" width="23.5" customWidth="1"/>
    <col min="5" max="5" width="14.25" hidden="1" customWidth="1"/>
  </cols>
  <sheetData>
    <row r="1" spans="1:4" ht="15.75">
      <c r="A1" s="91" t="s">
        <v>1130</v>
      </c>
      <c r="B1" s="92" t="s">
        <v>1131</v>
      </c>
      <c r="C1" s="92" t="s">
        <v>1132</v>
      </c>
      <c r="D1" s="93" t="s">
        <v>1133</v>
      </c>
    </row>
    <row r="2" spans="1:4" ht="15.75" outlineLevel="1">
      <c r="A2" s="25" t="s">
        <v>981</v>
      </c>
      <c r="B2" s="26" t="s">
        <v>0</v>
      </c>
      <c r="C2" s="25">
        <v>5.0999999999999996</v>
      </c>
      <c r="D2" s="95"/>
    </row>
    <row r="3" spans="1:4" ht="15.75" outlineLevel="1">
      <c r="A3" s="25" t="s">
        <v>981</v>
      </c>
      <c r="B3" s="26" t="s">
        <v>1</v>
      </c>
      <c r="C3" s="25">
        <v>5.2</v>
      </c>
      <c r="D3" s="95"/>
    </row>
    <row r="4" spans="1:4" ht="15.75" outlineLevel="1">
      <c r="A4" s="25" t="s">
        <v>981</v>
      </c>
      <c r="B4" s="26" t="s">
        <v>196</v>
      </c>
      <c r="C4" s="25">
        <v>5.4</v>
      </c>
      <c r="D4" s="95"/>
    </row>
    <row r="5" spans="1:4" ht="15.75" outlineLevel="1">
      <c r="A5" s="25" t="s">
        <v>981</v>
      </c>
      <c r="B5" s="26" t="s">
        <v>197</v>
      </c>
      <c r="C5" s="25">
        <v>5.7</v>
      </c>
      <c r="D5" s="95"/>
    </row>
    <row r="6" spans="1:4" ht="15.75" outlineLevel="1">
      <c r="A6" s="25" t="s">
        <v>981</v>
      </c>
      <c r="B6" s="26" t="s">
        <v>198</v>
      </c>
      <c r="C6" s="25">
        <v>5.1100000000000003</v>
      </c>
      <c r="D6" s="95"/>
    </row>
    <row r="7" spans="1:4" ht="15.75" outlineLevel="1">
      <c r="A7" s="25" t="s">
        <v>981</v>
      </c>
      <c r="B7" s="26" t="s">
        <v>5</v>
      </c>
      <c r="C7" s="25">
        <v>5.26</v>
      </c>
      <c r="D7" s="95"/>
    </row>
    <row r="8" spans="1:4" ht="15.75" outlineLevel="1">
      <c r="A8" s="25" t="s">
        <v>981</v>
      </c>
      <c r="B8" s="26" t="s">
        <v>6</v>
      </c>
      <c r="C8" s="25">
        <v>5.27</v>
      </c>
      <c r="D8" s="95"/>
    </row>
    <row r="9" spans="1:4" ht="15.75" outlineLevel="1">
      <c r="A9" s="25" t="s">
        <v>981</v>
      </c>
      <c r="B9" s="26" t="s">
        <v>146</v>
      </c>
      <c r="C9" s="25">
        <v>5.36</v>
      </c>
      <c r="D9" s="95"/>
    </row>
    <row r="10" spans="1:4" ht="15.75" outlineLevel="1">
      <c r="A10" s="25" t="s">
        <v>981</v>
      </c>
      <c r="B10" s="26" t="s">
        <v>200</v>
      </c>
      <c r="C10" s="27">
        <v>5.5</v>
      </c>
      <c r="D10" s="95"/>
    </row>
    <row r="11" spans="1:4" ht="15.75" outlineLevel="1">
      <c r="A11" s="25" t="s">
        <v>981</v>
      </c>
      <c r="B11" s="26" t="s">
        <v>10</v>
      </c>
      <c r="C11" s="25">
        <v>5.51</v>
      </c>
      <c r="D11" s="95"/>
    </row>
    <row r="12" spans="1:4" ht="15.75" outlineLevel="1">
      <c r="A12" s="25" t="s">
        <v>981</v>
      </c>
      <c r="B12" s="26" t="s">
        <v>11</v>
      </c>
      <c r="C12" s="25">
        <v>5.53</v>
      </c>
      <c r="D12" s="95"/>
    </row>
    <row r="13" spans="1:4" ht="15.75" outlineLevel="1">
      <c r="A13" s="25" t="s">
        <v>981</v>
      </c>
      <c r="B13" s="26" t="s">
        <v>156</v>
      </c>
      <c r="C13" s="25">
        <v>5.59</v>
      </c>
      <c r="D13" s="95"/>
    </row>
    <row r="14" spans="1:4" ht="15.75" outlineLevel="1">
      <c r="A14" s="25" t="s">
        <v>981</v>
      </c>
      <c r="B14" s="26" t="s">
        <v>18</v>
      </c>
      <c r="C14" s="25">
        <v>5.54</v>
      </c>
      <c r="D14" s="95"/>
    </row>
    <row r="15" spans="1:4" ht="15.75" outlineLevel="1">
      <c r="A15" s="25" t="s">
        <v>981</v>
      </c>
      <c r="B15" s="26" t="s">
        <v>14</v>
      </c>
      <c r="C15" s="27">
        <v>5.7</v>
      </c>
      <c r="D15" s="94" t="s">
        <v>1134</v>
      </c>
    </row>
    <row r="16" spans="1:4" ht="15.75" outlineLevel="1">
      <c r="A16" s="25" t="s">
        <v>981</v>
      </c>
      <c r="B16" s="26" t="s">
        <v>20</v>
      </c>
      <c r="C16" s="25">
        <v>5.63</v>
      </c>
      <c r="D16" s="95"/>
    </row>
    <row r="17" spans="1:4" ht="15.75" outlineLevel="1">
      <c r="A17" s="25" t="s">
        <v>981</v>
      </c>
      <c r="B17" s="26" t="s">
        <v>24</v>
      </c>
      <c r="C17" s="25">
        <v>5.47</v>
      </c>
      <c r="D17" s="95"/>
    </row>
    <row r="18" spans="1:4" ht="15.75" outlineLevel="1">
      <c r="A18" s="25" t="s">
        <v>981</v>
      </c>
      <c r="B18" s="26" t="s">
        <v>25</v>
      </c>
      <c r="C18" s="25">
        <v>5.48</v>
      </c>
      <c r="D18" s="95"/>
    </row>
    <row r="19" spans="1:4" ht="15.75">
      <c r="A19" s="30" t="s">
        <v>981</v>
      </c>
      <c r="B19" s="26"/>
      <c r="C19" s="25"/>
      <c r="D19" s="95"/>
    </row>
    <row r="20" spans="1:4" ht="15.75" outlineLevel="1">
      <c r="A20" s="25" t="s">
        <v>991</v>
      </c>
      <c r="B20" s="26" t="s">
        <v>0</v>
      </c>
      <c r="C20" s="25">
        <v>5.0999999999999996</v>
      </c>
      <c r="D20" s="95"/>
    </row>
    <row r="21" spans="1:4" ht="15.75" outlineLevel="1">
      <c r="A21" s="25" t="s">
        <v>991</v>
      </c>
      <c r="B21" s="26" t="s">
        <v>1</v>
      </c>
      <c r="C21" s="25">
        <v>5.2</v>
      </c>
      <c r="D21" s="95"/>
    </row>
    <row r="22" spans="1:4" ht="15.75" outlineLevel="1">
      <c r="A22" s="25" t="s">
        <v>991</v>
      </c>
      <c r="B22" s="26" t="s">
        <v>2</v>
      </c>
      <c r="C22" s="25">
        <v>5.3</v>
      </c>
      <c r="D22" s="95"/>
    </row>
    <row r="23" spans="1:4" ht="15.75" outlineLevel="1">
      <c r="A23" s="25" t="s">
        <v>991</v>
      </c>
      <c r="B23" s="26" t="s">
        <v>1135</v>
      </c>
      <c r="C23" s="25">
        <v>5.14</v>
      </c>
      <c r="D23" s="95"/>
    </row>
    <row r="24" spans="1:4" ht="15.75" outlineLevel="1">
      <c r="A24" s="25" t="s">
        <v>991</v>
      </c>
      <c r="B24" s="26" t="s">
        <v>4</v>
      </c>
      <c r="C24" s="25">
        <v>5.19</v>
      </c>
      <c r="D24" s="95"/>
    </row>
    <row r="25" spans="1:4" ht="15.75" outlineLevel="1">
      <c r="A25" s="25" t="s">
        <v>991</v>
      </c>
      <c r="B25" s="26" t="s">
        <v>5</v>
      </c>
      <c r="C25" s="25">
        <v>5.26</v>
      </c>
      <c r="D25" s="95"/>
    </row>
    <row r="26" spans="1:4" ht="15.75" outlineLevel="1">
      <c r="A26" s="25" t="s">
        <v>991</v>
      </c>
      <c r="B26" s="26" t="s">
        <v>6</v>
      </c>
      <c r="C26" s="25">
        <v>5.27</v>
      </c>
      <c r="D26" s="95"/>
    </row>
    <row r="27" spans="1:4" ht="15.75" outlineLevel="1">
      <c r="A27" s="25" t="s">
        <v>991</v>
      </c>
      <c r="B27" s="26" t="s">
        <v>7</v>
      </c>
      <c r="C27" s="25">
        <v>5.28</v>
      </c>
      <c r="D27" s="95"/>
    </row>
    <row r="28" spans="1:4" ht="15.75" outlineLevel="1">
      <c r="A28" s="25" t="s">
        <v>991</v>
      </c>
      <c r="B28" s="26" t="s">
        <v>8</v>
      </c>
      <c r="C28" s="27">
        <v>5.3</v>
      </c>
      <c r="D28" s="95"/>
    </row>
    <row r="29" spans="1:4" ht="15.75" outlineLevel="1">
      <c r="A29" s="25" t="s">
        <v>991</v>
      </c>
      <c r="B29" s="26" t="s">
        <v>9</v>
      </c>
      <c r="C29" s="25">
        <v>5.49</v>
      </c>
      <c r="D29" s="95"/>
    </row>
    <row r="30" spans="1:4" ht="15.75" outlineLevel="1">
      <c r="A30" s="25" t="s">
        <v>991</v>
      </c>
      <c r="B30" s="26" t="s">
        <v>10</v>
      </c>
      <c r="C30" s="25">
        <v>5.51</v>
      </c>
      <c r="D30" s="95"/>
    </row>
    <row r="31" spans="1:4" ht="15.75" outlineLevel="1">
      <c r="A31" s="25" t="s">
        <v>991</v>
      </c>
      <c r="B31" s="26" t="s">
        <v>11</v>
      </c>
      <c r="C31" s="25">
        <v>5.53</v>
      </c>
      <c r="D31" s="95"/>
    </row>
    <row r="32" spans="1:4" ht="15.75" outlineLevel="1">
      <c r="A32" s="25" t="s">
        <v>991</v>
      </c>
      <c r="B32" s="26" t="s">
        <v>12</v>
      </c>
      <c r="C32" s="25">
        <v>5.69</v>
      </c>
      <c r="D32" s="95"/>
    </row>
    <row r="33" spans="1:4" ht="15.75" outlineLevel="1">
      <c r="A33" s="25" t="s">
        <v>991</v>
      </c>
      <c r="B33" s="26" t="s">
        <v>13</v>
      </c>
      <c r="C33" s="25">
        <v>5.75</v>
      </c>
      <c r="D33" s="95"/>
    </row>
    <row r="34" spans="1:4" ht="15.75" outlineLevel="1">
      <c r="A34" s="25" t="s">
        <v>991</v>
      </c>
      <c r="B34" s="26" t="s">
        <v>14</v>
      </c>
      <c r="C34" s="27">
        <v>5.7</v>
      </c>
      <c r="D34" s="95"/>
    </row>
    <row r="35" spans="1:4" ht="15.75" outlineLevel="1">
      <c r="A35" s="25" t="s">
        <v>991</v>
      </c>
      <c r="B35" s="26" t="s">
        <v>15</v>
      </c>
      <c r="C35" s="25">
        <v>5.74</v>
      </c>
      <c r="D35" s="95"/>
    </row>
    <row r="36" spans="1:4" ht="15.75" outlineLevel="1">
      <c r="A36" s="25" t="s">
        <v>991</v>
      </c>
      <c r="B36" s="26" t="s">
        <v>16</v>
      </c>
      <c r="C36" s="25">
        <v>5.62</v>
      </c>
      <c r="D36" s="95"/>
    </row>
    <row r="37" spans="1:4" ht="15.75" outlineLevel="1">
      <c r="A37" s="25" t="s">
        <v>991</v>
      </c>
      <c r="B37" s="26" t="s">
        <v>17</v>
      </c>
      <c r="C37" s="25">
        <v>5.58</v>
      </c>
      <c r="D37" s="95"/>
    </row>
    <row r="38" spans="1:4" ht="15.75" outlineLevel="1">
      <c r="A38" s="25" t="s">
        <v>991</v>
      </c>
      <c r="B38" s="26" t="s">
        <v>18</v>
      </c>
      <c r="C38" s="25">
        <v>5.54</v>
      </c>
      <c r="D38" s="95"/>
    </row>
    <row r="39" spans="1:4" ht="15.75" outlineLevel="1">
      <c r="A39" s="25" t="s">
        <v>991</v>
      </c>
      <c r="B39" s="26" t="s">
        <v>19</v>
      </c>
      <c r="C39" s="25">
        <v>5.55</v>
      </c>
      <c r="D39" s="95"/>
    </row>
    <row r="40" spans="1:4" ht="15.75" outlineLevel="1">
      <c r="A40" s="25" t="s">
        <v>991</v>
      </c>
      <c r="B40" s="26" t="s">
        <v>20</v>
      </c>
      <c r="C40" s="25">
        <v>5.63</v>
      </c>
      <c r="D40" s="95"/>
    </row>
    <row r="41" spans="1:4" ht="15.75" outlineLevel="1">
      <c r="A41" s="25" t="s">
        <v>991</v>
      </c>
      <c r="B41" s="26" t="s">
        <v>21</v>
      </c>
      <c r="C41" s="25">
        <v>5.65</v>
      </c>
      <c r="D41" s="95"/>
    </row>
    <row r="42" spans="1:4" ht="15.75" outlineLevel="1">
      <c r="A42" s="25" t="s">
        <v>991</v>
      </c>
      <c r="B42" s="26" t="s">
        <v>22</v>
      </c>
      <c r="C42" s="25">
        <v>5.68</v>
      </c>
      <c r="D42" s="95"/>
    </row>
    <row r="43" spans="1:4" ht="15.75" outlineLevel="1">
      <c r="A43" s="25" t="s">
        <v>991</v>
      </c>
      <c r="B43" s="26" t="s">
        <v>23</v>
      </c>
      <c r="C43" s="25">
        <v>5.45</v>
      </c>
      <c r="D43" s="95"/>
    </row>
    <row r="44" spans="1:4" ht="15.75" outlineLevel="1">
      <c r="A44" s="25" t="s">
        <v>991</v>
      </c>
      <c r="B44" s="26" t="s">
        <v>24</v>
      </c>
      <c r="C44" s="25">
        <v>5.47</v>
      </c>
      <c r="D44" s="95"/>
    </row>
    <row r="45" spans="1:4" ht="15.75" outlineLevel="1">
      <c r="A45" s="25" t="s">
        <v>991</v>
      </c>
      <c r="B45" s="26" t="s">
        <v>25</v>
      </c>
      <c r="C45" s="25">
        <v>5.48</v>
      </c>
      <c r="D45" s="95"/>
    </row>
    <row r="46" spans="1:4" ht="15.75">
      <c r="A46" s="30" t="s">
        <v>991</v>
      </c>
      <c r="B46" s="26"/>
      <c r="C46" s="25"/>
      <c r="D46" s="95"/>
    </row>
    <row r="47" spans="1:4" ht="15.75" outlineLevel="1">
      <c r="A47" s="25" t="s">
        <v>996</v>
      </c>
      <c r="B47" s="26" t="s">
        <v>0</v>
      </c>
      <c r="C47" s="25">
        <v>5.0999999999999996</v>
      </c>
      <c r="D47" s="95"/>
    </row>
    <row r="48" spans="1:4" ht="15.75" outlineLevel="1">
      <c r="A48" s="25" t="s">
        <v>996</v>
      </c>
      <c r="B48" s="26" t="s">
        <v>1</v>
      </c>
      <c r="C48" s="25">
        <v>5.2</v>
      </c>
      <c r="D48" s="95"/>
    </row>
    <row r="49" spans="1:4" ht="15.75" outlineLevel="1">
      <c r="A49" s="25" t="s">
        <v>996</v>
      </c>
      <c r="B49" s="26" t="s">
        <v>2</v>
      </c>
      <c r="C49" s="25">
        <v>5.3</v>
      </c>
      <c r="D49" s="95"/>
    </row>
    <row r="50" spans="1:4" ht="15.75" outlineLevel="1">
      <c r="A50" s="25" t="s">
        <v>996</v>
      </c>
      <c r="B50" s="26" t="s">
        <v>167</v>
      </c>
      <c r="C50" s="25">
        <v>5.6</v>
      </c>
      <c r="D50" s="95"/>
    </row>
    <row r="51" spans="1:4" ht="15.75" outlineLevel="1">
      <c r="A51" s="25" t="s">
        <v>996</v>
      </c>
      <c r="B51" s="26" t="s">
        <v>1136</v>
      </c>
      <c r="C51" s="27">
        <v>5.0999999999999996</v>
      </c>
      <c r="D51" s="95"/>
    </row>
    <row r="52" spans="1:4" ht="15.75" outlineLevel="1">
      <c r="A52" s="25" t="s">
        <v>996</v>
      </c>
      <c r="B52" s="26" t="s">
        <v>1135</v>
      </c>
      <c r="C52" s="25">
        <v>5.14</v>
      </c>
      <c r="D52" s="95"/>
    </row>
    <row r="53" spans="1:4" ht="15.75" outlineLevel="1">
      <c r="A53" s="25" t="s">
        <v>996</v>
      </c>
      <c r="B53" s="26" t="s">
        <v>4</v>
      </c>
      <c r="C53" s="25">
        <v>5.19</v>
      </c>
      <c r="D53" s="95"/>
    </row>
    <row r="54" spans="1:4" ht="15.75" outlineLevel="1">
      <c r="A54" s="25" t="s">
        <v>996</v>
      </c>
      <c r="B54" s="26" t="s">
        <v>169</v>
      </c>
      <c r="C54" s="25">
        <v>5.24</v>
      </c>
      <c r="D54" s="95"/>
    </row>
    <row r="55" spans="1:4" ht="15.75" outlineLevel="1">
      <c r="A55" s="25" t="s">
        <v>996</v>
      </c>
      <c r="B55" s="26" t="s">
        <v>5</v>
      </c>
      <c r="C55" s="25">
        <v>5.26</v>
      </c>
      <c r="D55" s="95"/>
    </row>
    <row r="56" spans="1:4" ht="15.75" outlineLevel="1">
      <c r="A56" s="25" t="s">
        <v>996</v>
      </c>
      <c r="B56" s="26" t="s">
        <v>6</v>
      </c>
      <c r="C56" s="25">
        <v>5.27</v>
      </c>
      <c r="D56" s="95"/>
    </row>
    <row r="57" spans="1:4" ht="15.75" outlineLevel="1">
      <c r="A57" s="25" t="s">
        <v>996</v>
      </c>
      <c r="B57" s="26" t="s">
        <v>7</v>
      </c>
      <c r="C57" s="25">
        <v>5.28</v>
      </c>
      <c r="D57" s="95"/>
    </row>
    <row r="58" spans="1:4" ht="15.75" outlineLevel="1">
      <c r="A58" s="25" t="s">
        <v>996</v>
      </c>
      <c r="B58" s="26" t="s">
        <v>8</v>
      </c>
      <c r="C58" s="27">
        <v>5.3</v>
      </c>
      <c r="D58" s="95"/>
    </row>
    <row r="59" spans="1:4" ht="15.75" outlineLevel="1">
      <c r="A59" s="25" t="s">
        <v>996</v>
      </c>
      <c r="B59" s="26" t="s">
        <v>170</v>
      </c>
      <c r="C59" s="25">
        <v>5.31</v>
      </c>
      <c r="D59" s="95"/>
    </row>
    <row r="60" spans="1:4" ht="15.75" outlineLevel="1">
      <c r="A60" s="25" t="s">
        <v>996</v>
      </c>
      <c r="B60" s="26" t="s">
        <v>146</v>
      </c>
      <c r="C60" s="25">
        <v>5.36</v>
      </c>
      <c r="D60" s="95"/>
    </row>
    <row r="61" spans="1:4" ht="15.75" outlineLevel="1">
      <c r="A61" s="25" t="s">
        <v>996</v>
      </c>
      <c r="B61" s="26" t="s">
        <v>9</v>
      </c>
      <c r="C61" s="25">
        <v>5.49</v>
      </c>
      <c r="D61" s="95"/>
    </row>
    <row r="62" spans="1:4" ht="15.75" outlineLevel="1">
      <c r="A62" s="25" t="s">
        <v>996</v>
      </c>
      <c r="B62" s="26" t="s">
        <v>10</v>
      </c>
      <c r="C62" s="25">
        <v>5.51</v>
      </c>
      <c r="D62" s="95"/>
    </row>
    <row r="63" spans="1:4" ht="15.75" outlineLevel="1">
      <c r="A63" s="25" t="s">
        <v>996</v>
      </c>
      <c r="B63" s="26" t="s">
        <v>1137</v>
      </c>
      <c r="C63" s="25">
        <v>5.52</v>
      </c>
      <c r="D63" s="95"/>
    </row>
    <row r="64" spans="1:4" ht="15.75" outlineLevel="1">
      <c r="A64" s="25" t="s">
        <v>996</v>
      </c>
      <c r="B64" s="26" t="s">
        <v>11</v>
      </c>
      <c r="C64" s="25">
        <v>5.53</v>
      </c>
      <c r="D64" s="95"/>
    </row>
    <row r="65" spans="1:4" ht="15.75" outlineLevel="1">
      <c r="A65" s="25" t="s">
        <v>996</v>
      </c>
      <c r="B65" s="26" t="s">
        <v>12</v>
      </c>
      <c r="C65" s="25">
        <v>5.69</v>
      </c>
      <c r="D65" s="95"/>
    </row>
    <row r="66" spans="1:4" ht="15.75" outlineLevel="1">
      <c r="A66" s="25" t="s">
        <v>996</v>
      </c>
      <c r="B66" s="26" t="s">
        <v>940</v>
      </c>
      <c r="C66" s="27">
        <v>5.72</v>
      </c>
      <c r="D66" s="95"/>
    </row>
    <row r="67" spans="1:4" ht="15.75" outlineLevel="1">
      <c r="A67" s="25" t="s">
        <v>996</v>
      </c>
      <c r="B67" s="26" t="s">
        <v>13</v>
      </c>
      <c r="C67" s="25">
        <v>5.75</v>
      </c>
      <c r="D67" s="95"/>
    </row>
    <row r="68" spans="1:4" ht="15.75" outlineLevel="1">
      <c r="A68" s="25" t="s">
        <v>996</v>
      </c>
      <c r="B68" s="26" t="s">
        <v>14</v>
      </c>
      <c r="C68" s="27">
        <v>5.7</v>
      </c>
      <c r="D68" s="95"/>
    </row>
    <row r="69" spans="1:4" ht="15.75" outlineLevel="1">
      <c r="A69" s="25" t="s">
        <v>996</v>
      </c>
      <c r="B69" s="26" t="s">
        <v>15</v>
      </c>
      <c r="C69" s="25">
        <v>5.74</v>
      </c>
      <c r="D69" s="95"/>
    </row>
    <row r="70" spans="1:4" ht="15.75" outlineLevel="1">
      <c r="A70" s="25" t="s">
        <v>996</v>
      </c>
      <c r="B70" s="26" t="s">
        <v>443</v>
      </c>
      <c r="C70" s="25">
        <v>5.76</v>
      </c>
      <c r="D70" s="95"/>
    </row>
    <row r="71" spans="1:4" ht="15.75" outlineLevel="1">
      <c r="A71" s="25" t="s">
        <v>996</v>
      </c>
      <c r="B71" s="26" t="s">
        <v>864</v>
      </c>
      <c r="C71" s="25">
        <v>5.89</v>
      </c>
      <c r="D71" s="94" t="s">
        <v>1134</v>
      </c>
    </row>
    <row r="72" spans="1:4" ht="15.75" outlineLevel="1">
      <c r="A72" s="25" t="s">
        <v>996</v>
      </c>
      <c r="B72" s="26" t="s">
        <v>17</v>
      </c>
      <c r="C72" s="25">
        <v>5.58</v>
      </c>
      <c r="D72" s="95"/>
    </row>
    <row r="73" spans="1:4" ht="15.75" outlineLevel="1">
      <c r="A73" s="25" t="s">
        <v>996</v>
      </c>
      <c r="B73" s="26" t="s">
        <v>16</v>
      </c>
      <c r="C73" s="25">
        <v>5.62</v>
      </c>
      <c r="D73" s="95"/>
    </row>
    <row r="74" spans="1:4" ht="15.75" outlineLevel="1">
      <c r="A74" s="25" t="s">
        <v>996</v>
      </c>
      <c r="B74" s="26" t="s">
        <v>18</v>
      </c>
      <c r="C74" s="25">
        <v>5.54</v>
      </c>
      <c r="D74" s="95"/>
    </row>
    <row r="75" spans="1:4" ht="15.75" outlineLevel="1">
      <c r="A75" s="25" t="s">
        <v>996</v>
      </c>
      <c r="B75" s="26" t="s">
        <v>19</v>
      </c>
      <c r="C75" s="25">
        <v>5.55</v>
      </c>
      <c r="D75" s="95"/>
    </row>
    <row r="76" spans="1:4" ht="15.75" outlineLevel="1">
      <c r="A76" s="25" t="s">
        <v>996</v>
      </c>
      <c r="B76" s="26" t="s">
        <v>20</v>
      </c>
      <c r="C76" s="25">
        <v>5.63</v>
      </c>
      <c r="D76" s="95"/>
    </row>
    <row r="77" spans="1:4" ht="15.75" outlineLevel="1">
      <c r="A77" s="25" t="s">
        <v>996</v>
      </c>
      <c r="B77" s="26" t="s">
        <v>21</v>
      </c>
      <c r="C77" s="25">
        <v>5.65</v>
      </c>
      <c r="D77" s="95"/>
    </row>
    <row r="78" spans="1:4" ht="15.75" outlineLevel="1">
      <c r="A78" s="25" t="s">
        <v>996</v>
      </c>
      <c r="B78" s="26" t="s">
        <v>186</v>
      </c>
      <c r="C78" s="25">
        <v>5.66</v>
      </c>
      <c r="D78" s="95"/>
    </row>
    <row r="79" spans="1:4" ht="15.75" outlineLevel="1">
      <c r="A79" s="25" t="s">
        <v>996</v>
      </c>
      <c r="B79" s="26" t="s">
        <v>22</v>
      </c>
      <c r="C79" s="25">
        <v>5.68</v>
      </c>
      <c r="D79" s="95"/>
    </row>
    <row r="80" spans="1:4" ht="15.75" outlineLevel="1">
      <c r="A80" s="25" t="s">
        <v>996</v>
      </c>
      <c r="B80" s="26" t="s">
        <v>23</v>
      </c>
      <c r="C80" s="25">
        <v>5.45</v>
      </c>
      <c r="D80" s="95"/>
    </row>
    <row r="81" spans="1:4" ht="15.75" outlineLevel="1">
      <c r="A81" s="25" t="s">
        <v>996</v>
      </c>
      <c r="B81" s="26" t="s">
        <v>24</v>
      </c>
      <c r="C81" s="25">
        <v>5.47</v>
      </c>
      <c r="D81" s="95"/>
    </row>
    <row r="82" spans="1:4" ht="15.75" outlineLevel="1">
      <c r="A82" s="25" t="s">
        <v>996</v>
      </c>
      <c r="B82" s="26" t="s">
        <v>25</v>
      </c>
      <c r="C82" s="25">
        <v>5.48</v>
      </c>
      <c r="D82" s="95"/>
    </row>
    <row r="83" spans="1:4" ht="15.75">
      <c r="A83" s="30" t="s">
        <v>996</v>
      </c>
      <c r="B83" s="26"/>
      <c r="C83" s="25"/>
      <c r="D83" s="95"/>
    </row>
    <row r="84" spans="1:4" ht="15.75" outlineLevel="1">
      <c r="A84" s="25" t="s">
        <v>997</v>
      </c>
      <c r="B84" s="26" t="s">
        <v>0</v>
      </c>
      <c r="C84" s="25">
        <v>5.0999999999999996</v>
      </c>
      <c r="D84" s="95"/>
    </row>
    <row r="85" spans="1:4" ht="15.75" outlineLevel="1">
      <c r="A85" s="25" t="s">
        <v>997</v>
      </c>
      <c r="B85" s="26" t="s">
        <v>1</v>
      </c>
      <c r="C85" s="25">
        <v>5.2</v>
      </c>
      <c r="D85" s="95"/>
    </row>
    <row r="86" spans="1:4" ht="15.75" outlineLevel="1">
      <c r="A86" s="25" t="s">
        <v>997</v>
      </c>
      <c r="B86" s="26" t="s">
        <v>2</v>
      </c>
      <c r="C86" s="25">
        <v>5.3</v>
      </c>
      <c r="D86" s="95"/>
    </row>
    <row r="87" spans="1:4" ht="15.75" outlineLevel="1">
      <c r="A87" s="25" t="s">
        <v>997</v>
      </c>
      <c r="B87" s="26" t="s">
        <v>167</v>
      </c>
      <c r="C87" s="25">
        <v>5.6</v>
      </c>
      <c r="D87" s="95"/>
    </row>
    <row r="88" spans="1:4" ht="15.75" outlineLevel="1">
      <c r="A88" s="25" t="s">
        <v>997</v>
      </c>
      <c r="B88" s="26" t="s">
        <v>1136</v>
      </c>
      <c r="C88" s="27">
        <v>5.0999999999999996</v>
      </c>
      <c r="D88" s="95"/>
    </row>
    <row r="89" spans="1:4" ht="15.75" outlineLevel="1">
      <c r="A89" s="25" t="s">
        <v>997</v>
      </c>
      <c r="B89" s="26" t="s">
        <v>1135</v>
      </c>
      <c r="C89" s="25">
        <v>5.14</v>
      </c>
      <c r="D89" s="95"/>
    </row>
    <row r="90" spans="1:4" ht="15.75" outlineLevel="1">
      <c r="A90" s="25" t="s">
        <v>997</v>
      </c>
      <c r="B90" s="26" t="s">
        <v>4</v>
      </c>
      <c r="C90" s="25">
        <v>5.19</v>
      </c>
      <c r="D90" s="95"/>
    </row>
    <row r="91" spans="1:4" ht="15.75" outlineLevel="1">
      <c r="A91" s="25" t="s">
        <v>997</v>
      </c>
      <c r="B91" s="26" t="s">
        <v>169</v>
      </c>
      <c r="C91" s="25">
        <v>5.24</v>
      </c>
      <c r="D91" s="95"/>
    </row>
    <row r="92" spans="1:4" ht="15.75" outlineLevel="1">
      <c r="A92" s="25" t="s">
        <v>997</v>
      </c>
      <c r="B92" s="26" t="s">
        <v>5</v>
      </c>
      <c r="C92" s="25">
        <v>5.26</v>
      </c>
      <c r="D92" s="95"/>
    </row>
    <row r="93" spans="1:4" ht="15.75" outlineLevel="1">
      <c r="A93" s="25" t="s">
        <v>997</v>
      </c>
      <c r="B93" s="26" t="s">
        <v>6</v>
      </c>
      <c r="C93" s="25">
        <v>5.27</v>
      </c>
      <c r="D93" s="95"/>
    </row>
    <row r="94" spans="1:4" ht="15.75" outlineLevel="1">
      <c r="A94" s="25" t="s">
        <v>997</v>
      </c>
      <c r="B94" s="26" t="s">
        <v>7</v>
      </c>
      <c r="C94" s="25">
        <v>5.28</v>
      </c>
      <c r="D94" s="95"/>
    </row>
    <row r="95" spans="1:4" ht="15.75" outlineLevel="1">
      <c r="A95" s="25" t="s">
        <v>997</v>
      </c>
      <c r="B95" s="26" t="s">
        <v>360</v>
      </c>
      <c r="C95" s="25">
        <v>5.29</v>
      </c>
      <c r="D95" s="95"/>
    </row>
    <row r="96" spans="1:4" ht="15.75" outlineLevel="1">
      <c r="A96" s="25" t="s">
        <v>997</v>
      </c>
      <c r="B96" s="26" t="s">
        <v>8</v>
      </c>
      <c r="C96" s="27">
        <v>5.3</v>
      </c>
      <c r="D96" s="95"/>
    </row>
    <row r="97" spans="1:4" ht="15.75" outlineLevel="1">
      <c r="A97" s="25" t="s">
        <v>997</v>
      </c>
      <c r="B97" s="26" t="s">
        <v>170</v>
      </c>
      <c r="C97" s="25">
        <v>5.31</v>
      </c>
      <c r="D97" s="95"/>
    </row>
    <row r="98" spans="1:4" ht="15.75" outlineLevel="1">
      <c r="A98" s="25" t="s">
        <v>997</v>
      </c>
      <c r="B98" s="26" t="s">
        <v>146</v>
      </c>
      <c r="C98" s="25">
        <v>5.36</v>
      </c>
      <c r="D98" s="95"/>
    </row>
    <row r="99" spans="1:4" ht="15.75" outlineLevel="1">
      <c r="A99" s="25" t="s">
        <v>997</v>
      </c>
      <c r="B99" s="26" t="s">
        <v>9</v>
      </c>
      <c r="C99" s="25">
        <v>5.49</v>
      </c>
      <c r="D99" s="95"/>
    </row>
    <row r="100" spans="1:4" ht="15.75" outlineLevel="1">
      <c r="A100" s="25" t="s">
        <v>997</v>
      </c>
      <c r="B100" s="26" t="s">
        <v>10</v>
      </c>
      <c r="C100" s="25">
        <v>5.51</v>
      </c>
      <c r="D100" s="95"/>
    </row>
    <row r="101" spans="1:4" ht="15.75" outlineLevel="1">
      <c r="A101" s="25" t="s">
        <v>997</v>
      </c>
      <c r="B101" s="26" t="s">
        <v>1137</v>
      </c>
      <c r="C101" s="25">
        <v>5.52</v>
      </c>
      <c r="D101" s="95"/>
    </row>
    <row r="102" spans="1:4" ht="15.75" outlineLevel="1">
      <c r="A102" s="25" t="s">
        <v>997</v>
      </c>
      <c r="B102" s="26" t="s">
        <v>11</v>
      </c>
      <c r="C102" s="25">
        <v>5.53</v>
      </c>
      <c r="D102" s="95"/>
    </row>
    <row r="103" spans="1:4" ht="15.75" outlineLevel="1">
      <c r="A103" s="25" t="s">
        <v>997</v>
      </c>
      <c r="B103" s="26" t="s">
        <v>12</v>
      </c>
      <c r="C103" s="25">
        <v>5.69</v>
      </c>
      <c r="D103" s="95"/>
    </row>
    <row r="104" spans="1:4" ht="15.75" outlineLevel="1">
      <c r="A104" s="25" t="s">
        <v>997</v>
      </c>
      <c r="B104" s="26" t="s">
        <v>13</v>
      </c>
      <c r="C104" s="25">
        <v>5.75</v>
      </c>
      <c r="D104" s="95"/>
    </row>
    <row r="105" spans="1:4" ht="15.75" outlineLevel="1">
      <c r="A105" s="25" t="s">
        <v>997</v>
      </c>
      <c r="B105" s="26" t="s">
        <v>14</v>
      </c>
      <c r="C105" s="27">
        <v>5.7</v>
      </c>
      <c r="D105" s="95"/>
    </row>
    <row r="106" spans="1:4" ht="15.75" outlineLevel="1">
      <c r="A106" s="25" t="s">
        <v>997</v>
      </c>
      <c r="B106" s="26" t="s">
        <v>15</v>
      </c>
      <c r="C106" s="25">
        <v>5.74</v>
      </c>
      <c r="D106" s="95"/>
    </row>
    <row r="107" spans="1:4" ht="15.75" outlineLevel="1">
      <c r="A107" s="25" t="s">
        <v>997</v>
      </c>
      <c r="B107" s="26" t="s">
        <v>443</v>
      </c>
      <c r="C107" s="25">
        <v>5.76</v>
      </c>
      <c r="D107" s="95"/>
    </row>
    <row r="108" spans="1:4" ht="15.75" outlineLevel="1">
      <c r="A108" s="25" t="s">
        <v>997</v>
      </c>
      <c r="B108" s="26" t="s">
        <v>864</v>
      </c>
      <c r="C108" s="25">
        <v>5.89</v>
      </c>
      <c r="D108" s="94" t="s">
        <v>1134</v>
      </c>
    </row>
    <row r="109" spans="1:4" ht="15.75" outlineLevel="1">
      <c r="A109" s="25" t="s">
        <v>997</v>
      </c>
      <c r="B109" s="26" t="s">
        <v>17</v>
      </c>
      <c r="C109" s="25">
        <v>5.58</v>
      </c>
      <c r="D109" s="95"/>
    </row>
    <row r="110" spans="1:4" ht="15.75" outlineLevel="1">
      <c r="A110" s="25" t="s">
        <v>997</v>
      </c>
      <c r="B110" s="26" t="s">
        <v>16</v>
      </c>
      <c r="C110" s="25">
        <v>5.62</v>
      </c>
      <c r="D110" s="95"/>
    </row>
    <row r="111" spans="1:4" ht="15.75" outlineLevel="1">
      <c r="A111" s="25" t="s">
        <v>997</v>
      </c>
      <c r="B111" s="26" t="s">
        <v>18</v>
      </c>
      <c r="C111" s="25">
        <v>5.54</v>
      </c>
      <c r="D111" s="95"/>
    </row>
    <row r="112" spans="1:4" ht="15.75" outlineLevel="1">
      <c r="A112" s="25" t="s">
        <v>997</v>
      </c>
      <c r="B112" s="26" t="s">
        <v>19</v>
      </c>
      <c r="C112" s="25">
        <v>5.55</v>
      </c>
      <c r="D112" s="95"/>
    </row>
    <row r="113" spans="1:4" ht="15.75" outlineLevel="1">
      <c r="A113" s="25" t="s">
        <v>997</v>
      </c>
      <c r="B113" s="26" t="s">
        <v>21</v>
      </c>
      <c r="C113" s="25">
        <v>5.65</v>
      </c>
      <c r="D113" s="95"/>
    </row>
    <row r="114" spans="1:4" ht="15.75" outlineLevel="1">
      <c r="A114" s="25" t="s">
        <v>997</v>
      </c>
      <c r="B114" s="26" t="s">
        <v>186</v>
      </c>
      <c r="C114" s="25">
        <v>5.66</v>
      </c>
      <c r="D114" s="95"/>
    </row>
    <row r="115" spans="1:4" ht="15.75" outlineLevel="1">
      <c r="A115" s="25" t="s">
        <v>997</v>
      </c>
      <c r="B115" s="26" t="s">
        <v>22</v>
      </c>
      <c r="C115" s="25">
        <v>5.68</v>
      </c>
      <c r="D115" s="95"/>
    </row>
    <row r="116" spans="1:4" ht="15.75" outlineLevel="1">
      <c r="A116" s="25" t="s">
        <v>997</v>
      </c>
      <c r="B116" s="26" t="s">
        <v>23</v>
      </c>
      <c r="C116" s="25">
        <v>5.45</v>
      </c>
      <c r="D116" s="95"/>
    </row>
    <row r="117" spans="1:4" ht="15.75" outlineLevel="1">
      <c r="A117" s="25" t="s">
        <v>997</v>
      </c>
      <c r="B117" s="26" t="s">
        <v>24</v>
      </c>
      <c r="C117" s="25">
        <v>5.47</v>
      </c>
      <c r="D117" s="95"/>
    </row>
    <row r="118" spans="1:4" ht="15.75" outlineLevel="1">
      <c r="A118" s="25" t="s">
        <v>997</v>
      </c>
      <c r="B118" s="26" t="s">
        <v>25</v>
      </c>
      <c r="C118" s="25">
        <v>5.48</v>
      </c>
      <c r="D118" s="95"/>
    </row>
    <row r="119" spans="1:4" ht="15.75">
      <c r="A119" s="30" t="s">
        <v>997</v>
      </c>
      <c r="B119" s="26"/>
      <c r="C119" s="25"/>
      <c r="D119" s="95"/>
    </row>
    <row r="120" spans="1:4" ht="15.75" outlineLevel="1">
      <c r="A120" s="25" t="s">
        <v>1138</v>
      </c>
      <c r="B120" s="26" t="s">
        <v>0</v>
      </c>
      <c r="C120" s="25">
        <v>5.0999999999999996</v>
      </c>
      <c r="D120" s="95"/>
    </row>
    <row r="121" spans="1:4" ht="15.75" outlineLevel="1">
      <c r="A121" s="25" t="s">
        <v>1138</v>
      </c>
      <c r="B121" s="26" t="s">
        <v>1</v>
      </c>
      <c r="C121" s="25">
        <v>5.2</v>
      </c>
      <c r="D121" s="95"/>
    </row>
    <row r="122" spans="1:4" ht="15.75" outlineLevel="1">
      <c r="A122" s="25" t="s">
        <v>1138</v>
      </c>
      <c r="B122" s="26" t="s">
        <v>2</v>
      </c>
      <c r="C122" s="25">
        <v>5.3</v>
      </c>
      <c r="D122" s="95"/>
    </row>
    <row r="123" spans="1:4" ht="15.75" outlineLevel="1">
      <c r="A123" s="25" t="s">
        <v>1138</v>
      </c>
      <c r="B123" s="26" t="s">
        <v>167</v>
      </c>
      <c r="C123" s="25">
        <v>5.6</v>
      </c>
      <c r="D123" s="95"/>
    </row>
    <row r="124" spans="1:4" ht="15.75" outlineLevel="1">
      <c r="A124" s="25" t="s">
        <v>1138</v>
      </c>
      <c r="B124" s="26" t="s">
        <v>1136</v>
      </c>
      <c r="C124" s="27">
        <v>5.0999999999999996</v>
      </c>
      <c r="D124" s="95"/>
    </row>
    <row r="125" spans="1:4" ht="15.75" outlineLevel="1">
      <c r="A125" s="25" t="s">
        <v>1138</v>
      </c>
      <c r="B125" s="26" t="s">
        <v>1135</v>
      </c>
      <c r="C125" s="25">
        <v>5.14</v>
      </c>
      <c r="D125" s="95"/>
    </row>
    <row r="126" spans="1:4" ht="15.75" outlineLevel="1">
      <c r="A126" s="25" t="s">
        <v>1138</v>
      </c>
      <c r="B126" s="26" t="s">
        <v>4</v>
      </c>
      <c r="C126" s="25">
        <v>5.19</v>
      </c>
      <c r="D126" s="95"/>
    </row>
    <row r="127" spans="1:4" ht="15.75" outlineLevel="1">
      <c r="A127" s="25" t="s">
        <v>1138</v>
      </c>
      <c r="B127" s="26" t="s">
        <v>169</v>
      </c>
      <c r="C127" s="25">
        <v>5.24</v>
      </c>
      <c r="D127" s="95"/>
    </row>
    <row r="128" spans="1:4" ht="15.75" outlineLevel="1">
      <c r="A128" s="25" t="s">
        <v>1138</v>
      </c>
      <c r="B128" s="26" t="s">
        <v>5</v>
      </c>
      <c r="C128" s="25">
        <v>5.26</v>
      </c>
      <c r="D128" s="95"/>
    </row>
    <row r="129" spans="1:4" ht="15.75" outlineLevel="1">
      <c r="A129" s="25" t="s">
        <v>1138</v>
      </c>
      <c r="B129" s="26" t="s">
        <v>6</v>
      </c>
      <c r="C129" s="25">
        <v>5.27</v>
      </c>
      <c r="D129" s="95"/>
    </row>
    <row r="130" spans="1:4" ht="15.75" outlineLevel="1">
      <c r="A130" s="25" t="s">
        <v>1138</v>
      </c>
      <c r="B130" s="26" t="s">
        <v>7</v>
      </c>
      <c r="C130" s="25">
        <v>5.28</v>
      </c>
      <c r="D130" s="95"/>
    </row>
    <row r="131" spans="1:4" ht="15.75" outlineLevel="1">
      <c r="A131" s="25" t="s">
        <v>1138</v>
      </c>
      <c r="B131" s="26" t="s">
        <v>360</v>
      </c>
      <c r="C131" s="25">
        <v>5.29</v>
      </c>
      <c r="D131" s="95"/>
    </row>
    <row r="132" spans="1:4" ht="15.75" outlineLevel="1">
      <c r="A132" s="25" t="s">
        <v>1138</v>
      </c>
      <c r="B132" s="26" t="s">
        <v>8</v>
      </c>
      <c r="C132" s="27">
        <v>5.3</v>
      </c>
      <c r="D132" s="95"/>
    </row>
    <row r="133" spans="1:4" ht="15.75" outlineLevel="1">
      <c r="A133" s="25" t="s">
        <v>1138</v>
      </c>
      <c r="B133" s="26" t="s">
        <v>170</v>
      </c>
      <c r="C133" s="25">
        <v>5.31</v>
      </c>
      <c r="D133" s="95"/>
    </row>
    <row r="134" spans="1:4" ht="15.75" outlineLevel="1">
      <c r="A134" s="25" t="s">
        <v>1138</v>
      </c>
      <c r="B134" s="26" t="s">
        <v>146</v>
      </c>
      <c r="C134" s="25">
        <v>5.36</v>
      </c>
      <c r="D134" s="95"/>
    </row>
    <row r="135" spans="1:4" ht="15.75" outlineLevel="1">
      <c r="A135" s="25" t="s">
        <v>1138</v>
      </c>
      <c r="B135" s="26" t="s">
        <v>11</v>
      </c>
      <c r="C135" s="25">
        <v>5.53</v>
      </c>
      <c r="D135" s="95"/>
    </row>
    <row r="136" spans="1:4" ht="15.75" outlineLevel="1">
      <c r="A136" s="25" t="s">
        <v>1138</v>
      </c>
      <c r="B136" s="26" t="s">
        <v>17</v>
      </c>
      <c r="C136" s="25">
        <v>5.58</v>
      </c>
      <c r="D136" s="95"/>
    </row>
    <row r="137" spans="1:4" ht="15.75" outlineLevel="1">
      <c r="A137" s="25" t="s">
        <v>1138</v>
      </c>
      <c r="B137" s="26" t="s">
        <v>16</v>
      </c>
      <c r="C137" s="25">
        <v>5.62</v>
      </c>
      <c r="D137" s="95"/>
    </row>
    <row r="138" spans="1:4" ht="15.75" outlineLevel="1">
      <c r="A138" s="25" t="s">
        <v>1138</v>
      </c>
      <c r="B138" s="26" t="s">
        <v>18</v>
      </c>
      <c r="C138" s="25">
        <v>5.54</v>
      </c>
      <c r="D138" s="95"/>
    </row>
    <row r="139" spans="1:4" ht="15.75" outlineLevel="1">
      <c r="A139" s="25" t="s">
        <v>1138</v>
      </c>
      <c r="B139" s="26" t="s">
        <v>19</v>
      </c>
      <c r="C139" s="25">
        <v>5.55</v>
      </c>
      <c r="D139" s="95"/>
    </row>
    <row r="140" spans="1:4" ht="15.75" outlineLevel="1">
      <c r="A140" s="25" t="s">
        <v>1138</v>
      </c>
      <c r="B140" s="26" t="s">
        <v>20</v>
      </c>
      <c r="C140" s="25">
        <v>5.63</v>
      </c>
      <c r="D140" s="95"/>
    </row>
    <row r="141" spans="1:4" ht="15.75" outlineLevel="1">
      <c r="A141" s="25" t="s">
        <v>1138</v>
      </c>
      <c r="B141" s="26" t="s">
        <v>23</v>
      </c>
      <c r="C141" s="25">
        <v>5.45</v>
      </c>
      <c r="D141" s="95"/>
    </row>
    <row r="142" spans="1:4" ht="15.75" outlineLevel="1">
      <c r="A142" s="25" t="s">
        <v>1138</v>
      </c>
      <c r="B142" s="26" t="s">
        <v>24</v>
      </c>
      <c r="C142" s="25">
        <v>5.47</v>
      </c>
      <c r="D142" s="95"/>
    </row>
    <row r="143" spans="1:4" ht="15.75" outlineLevel="1">
      <c r="A143" s="25" t="s">
        <v>1138</v>
      </c>
      <c r="B143" s="26" t="s">
        <v>25</v>
      </c>
      <c r="C143" s="25">
        <v>5.48</v>
      </c>
      <c r="D143" s="95"/>
    </row>
    <row r="144" spans="1:4" ht="15.75">
      <c r="A144" s="30" t="s">
        <v>1138</v>
      </c>
      <c r="B144" s="26"/>
      <c r="C144" s="25"/>
      <c r="D144" s="95"/>
    </row>
    <row r="145" spans="1:4" ht="15.75" outlineLevel="1">
      <c r="A145" s="25" t="s">
        <v>504</v>
      </c>
      <c r="B145" s="26" t="s">
        <v>0</v>
      </c>
      <c r="C145" s="25">
        <v>5.0999999999999996</v>
      </c>
      <c r="D145" s="95"/>
    </row>
    <row r="146" spans="1:4" ht="15.75" outlineLevel="1">
      <c r="A146" s="25" t="s">
        <v>504</v>
      </c>
      <c r="B146" s="26" t="s">
        <v>1</v>
      </c>
      <c r="C146" s="25">
        <v>5.2</v>
      </c>
      <c r="D146" s="95"/>
    </row>
    <row r="147" spans="1:4" ht="15.75" outlineLevel="1">
      <c r="A147" s="25" t="s">
        <v>504</v>
      </c>
      <c r="B147" s="26" t="s">
        <v>2</v>
      </c>
      <c r="C147" s="25">
        <v>5.3</v>
      </c>
      <c r="D147" s="95"/>
    </row>
    <row r="148" spans="1:4" ht="15.75" outlineLevel="1">
      <c r="A148" s="25" t="s">
        <v>504</v>
      </c>
      <c r="B148" s="26" t="s">
        <v>167</v>
      </c>
      <c r="C148" s="25">
        <v>5.6</v>
      </c>
      <c r="D148" s="95"/>
    </row>
    <row r="149" spans="1:4" ht="15.75" outlineLevel="1">
      <c r="A149" s="25" t="s">
        <v>504</v>
      </c>
      <c r="B149" s="26" t="s">
        <v>1136</v>
      </c>
      <c r="C149" s="27">
        <v>5.0999999999999996</v>
      </c>
      <c r="D149" s="95"/>
    </row>
    <row r="150" spans="1:4" ht="15.75" outlineLevel="1">
      <c r="A150" s="25" t="s">
        <v>504</v>
      </c>
      <c r="B150" s="26" t="s">
        <v>1135</v>
      </c>
      <c r="C150" s="25">
        <v>5.14</v>
      </c>
      <c r="D150" s="95"/>
    </row>
    <row r="151" spans="1:4" ht="15.75" outlineLevel="1">
      <c r="A151" s="25" t="s">
        <v>504</v>
      </c>
      <c r="B151" s="26" t="s">
        <v>4</v>
      </c>
      <c r="C151" s="25">
        <v>5.19</v>
      </c>
      <c r="D151" s="95"/>
    </row>
    <row r="152" spans="1:4" ht="15.75" outlineLevel="1">
      <c r="A152" s="25" t="s">
        <v>504</v>
      </c>
      <c r="B152" s="26" t="s">
        <v>169</v>
      </c>
      <c r="C152" s="25">
        <v>5.24</v>
      </c>
      <c r="D152" s="95"/>
    </row>
    <row r="153" spans="1:4" ht="15.75" outlineLevel="1">
      <c r="A153" s="25" t="s">
        <v>504</v>
      </c>
      <c r="B153" s="26" t="s">
        <v>5</v>
      </c>
      <c r="C153" s="25">
        <v>5.26</v>
      </c>
      <c r="D153" s="95"/>
    </row>
    <row r="154" spans="1:4" ht="15.75" outlineLevel="1">
      <c r="A154" s="25" t="s">
        <v>504</v>
      </c>
      <c r="B154" s="26" t="s">
        <v>6</v>
      </c>
      <c r="C154" s="25">
        <v>5.27</v>
      </c>
      <c r="D154" s="95"/>
    </row>
    <row r="155" spans="1:4" ht="15.75" outlineLevel="1">
      <c r="A155" s="25" t="s">
        <v>504</v>
      </c>
      <c r="B155" s="26" t="s">
        <v>7</v>
      </c>
      <c r="C155" s="25">
        <v>5.28</v>
      </c>
      <c r="D155" s="95"/>
    </row>
    <row r="156" spans="1:4" ht="15.75" outlineLevel="1">
      <c r="A156" s="25" t="s">
        <v>504</v>
      </c>
      <c r="B156" s="26" t="s">
        <v>8</v>
      </c>
      <c r="C156" s="27">
        <v>5.3</v>
      </c>
      <c r="D156" s="95"/>
    </row>
    <row r="157" spans="1:4" ht="15.75" outlineLevel="1">
      <c r="A157" s="25" t="s">
        <v>504</v>
      </c>
      <c r="B157" s="26" t="s">
        <v>602</v>
      </c>
      <c r="C157" s="25">
        <v>5.32</v>
      </c>
      <c r="D157" s="95"/>
    </row>
    <row r="158" spans="1:4" ht="15.75" outlineLevel="1">
      <c r="A158" s="25" t="s">
        <v>504</v>
      </c>
      <c r="B158" s="26" t="s">
        <v>146</v>
      </c>
      <c r="C158" s="25">
        <v>5.36</v>
      </c>
      <c r="D158" s="95"/>
    </row>
    <row r="159" spans="1:4" ht="15.75" outlineLevel="1">
      <c r="A159" s="25" t="s">
        <v>504</v>
      </c>
      <c r="B159" s="26" t="s">
        <v>11</v>
      </c>
      <c r="C159" s="25">
        <v>5.53</v>
      </c>
      <c r="D159" s="95"/>
    </row>
    <row r="160" spans="1:4" ht="15.75" outlineLevel="1">
      <c r="A160" s="25" t="s">
        <v>504</v>
      </c>
      <c r="B160" s="26" t="s">
        <v>17</v>
      </c>
      <c r="C160" s="25">
        <v>5.58</v>
      </c>
      <c r="D160" s="95"/>
    </row>
    <row r="161" spans="1:4" ht="15.75" outlineLevel="1">
      <c r="A161" s="25" t="s">
        <v>504</v>
      </c>
      <c r="B161" s="26" t="s">
        <v>18</v>
      </c>
      <c r="C161" s="25">
        <v>5.54</v>
      </c>
      <c r="D161" s="95"/>
    </row>
    <row r="162" spans="1:4" ht="15.75" outlineLevel="1">
      <c r="A162" s="25" t="s">
        <v>504</v>
      </c>
      <c r="B162" s="26" t="s">
        <v>19</v>
      </c>
      <c r="C162" s="25">
        <v>5.55</v>
      </c>
      <c r="D162" s="95"/>
    </row>
    <row r="163" spans="1:4" ht="15.75" outlineLevel="1">
      <c r="A163" s="25" t="s">
        <v>504</v>
      </c>
      <c r="B163" s="26" t="s">
        <v>16</v>
      </c>
      <c r="C163" s="25">
        <v>5.62</v>
      </c>
      <c r="D163" s="95"/>
    </row>
    <row r="164" spans="1:4" ht="15.75" outlineLevel="1">
      <c r="A164" s="25" t="s">
        <v>504</v>
      </c>
      <c r="B164" s="26" t="s">
        <v>20</v>
      </c>
      <c r="C164" s="25">
        <v>5.63</v>
      </c>
      <c r="D164" s="95"/>
    </row>
    <row r="165" spans="1:4" ht="15.75" outlineLevel="1">
      <c r="A165" s="25" t="s">
        <v>504</v>
      </c>
      <c r="B165" s="26" t="s">
        <v>23</v>
      </c>
      <c r="C165" s="25">
        <v>5.45</v>
      </c>
      <c r="D165" s="95"/>
    </row>
    <row r="166" spans="1:4" ht="15.75" outlineLevel="1">
      <c r="A166" s="25" t="s">
        <v>504</v>
      </c>
      <c r="B166" s="26" t="s">
        <v>24</v>
      </c>
      <c r="C166" s="25">
        <v>5.47</v>
      </c>
      <c r="D166" s="95"/>
    </row>
    <row r="167" spans="1:4" ht="15.75" outlineLevel="1">
      <c r="A167" s="25" t="s">
        <v>504</v>
      </c>
      <c r="B167" s="26" t="s">
        <v>25</v>
      </c>
      <c r="C167" s="25">
        <v>5.48</v>
      </c>
      <c r="D167" s="95"/>
    </row>
    <row r="168" spans="1:4" ht="15.75">
      <c r="A168" s="30" t="s">
        <v>504</v>
      </c>
      <c r="B168" s="26"/>
      <c r="C168" s="25"/>
      <c r="D168" s="95"/>
    </row>
    <row r="169" spans="1:4" ht="15.75" outlineLevel="1">
      <c r="A169" s="25" t="s">
        <v>1017</v>
      </c>
      <c r="B169" s="26" t="s">
        <v>0</v>
      </c>
      <c r="C169" s="25">
        <v>5.0999999999999996</v>
      </c>
      <c r="D169" s="95"/>
    </row>
    <row r="170" spans="1:4" ht="15.75" outlineLevel="1">
      <c r="A170" s="25" t="s">
        <v>1017</v>
      </c>
      <c r="B170" s="26" t="s">
        <v>1</v>
      </c>
      <c r="C170" s="25">
        <v>5.2</v>
      </c>
      <c r="D170" s="95"/>
    </row>
    <row r="171" spans="1:4" ht="15.75" outlineLevel="1">
      <c r="A171" s="25" t="s">
        <v>1017</v>
      </c>
      <c r="B171" s="26" t="s">
        <v>2</v>
      </c>
      <c r="C171" s="25">
        <v>5.3</v>
      </c>
      <c r="D171" s="95"/>
    </row>
    <row r="172" spans="1:4" ht="15.75" outlineLevel="1">
      <c r="A172" s="25" t="s">
        <v>1017</v>
      </c>
      <c r="B172" s="26" t="s">
        <v>167</v>
      </c>
      <c r="C172" s="25">
        <v>5.6</v>
      </c>
      <c r="D172" s="95"/>
    </row>
    <row r="173" spans="1:4" ht="15.75" outlineLevel="1">
      <c r="A173" s="25" t="s">
        <v>1017</v>
      </c>
      <c r="B173" s="26" t="s">
        <v>1136</v>
      </c>
      <c r="C173" s="27">
        <v>5.0999999999999996</v>
      </c>
      <c r="D173" s="95"/>
    </row>
    <row r="174" spans="1:4" ht="15.75" outlineLevel="1">
      <c r="A174" s="25" t="s">
        <v>1017</v>
      </c>
      <c r="B174" s="26" t="s">
        <v>1135</v>
      </c>
      <c r="C174" s="25">
        <v>5.14</v>
      </c>
      <c r="D174" s="95"/>
    </row>
    <row r="175" spans="1:4" ht="15.75" outlineLevel="1">
      <c r="A175" s="25" t="s">
        <v>1017</v>
      </c>
      <c r="B175" s="26" t="s">
        <v>4</v>
      </c>
      <c r="C175" s="25">
        <v>5.19</v>
      </c>
      <c r="D175" s="95"/>
    </row>
    <row r="176" spans="1:4" ht="15.75" outlineLevel="1">
      <c r="A176" s="25" t="s">
        <v>1017</v>
      </c>
      <c r="B176" s="26" t="s">
        <v>169</v>
      </c>
      <c r="C176" s="25">
        <v>5.24</v>
      </c>
      <c r="D176" s="95"/>
    </row>
    <row r="177" spans="1:4" ht="15.75" outlineLevel="1">
      <c r="A177" s="25" t="s">
        <v>1017</v>
      </c>
      <c r="B177" s="26" t="s">
        <v>5</v>
      </c>
      <c r="C177" s="25">
        <v>5.26</v>
      </c>
      <c r="D177" s="95"/>
    </row>
    <row r="178" spans="1:4" ht="15.75" outlineLevel="1">
      <c r="A178" s="25" t="s">
        <v>1017</v>
      </c>
      <c r="B178" s="26" t="s">
        <v>6</v>
      </c>
      <c r="C178" s="25">
        <v>5.27</v>
      </c>
      <c r="D178" s="95"/>
    </row>
    <row r="179" spans="1:4" ht="15.75" outlineLevel="1">
      <c r="A179" s="25" t="s">
        <v>1017</v>
      </c>
      <c r="B179" s="26" t="s">
        <v>7</v>
      </c>
      <c r="C179" s="25">
        <v>5.28</v>
      </c>
      <c r="D179" s="95"/>
    </row>
    <row r="180" spans="1:4" ht="15.75" outlineLevel="1">
      <c r="A180" s="25" t="s">
        <v>1017</v>
      </c>
      <c r="B180" s="26" t="s">
        <v>360</v>
      </c>
      <c r="C180" s="25">
        <v>5.29</v>
      </c>
      <c r="D180" s="95"/>
    </row>
    <row r="181" spans="1:4" ht="15.75" outlineLevel="1">
      <c r="A181" s="25" t="s">
        <v>1017</v>
      </c>
      <c r="B181" s="26" t="s">
        <v>8</v>
      </c>
      <c r="C181" s="27">
        <v>5.3</v>
      </c>
      <c r="D181" s="95"/>
    </row>
    <row r="182" spans="1:4" ht="15.75" outlineLevel="1">
      <c r="A182" s="25" t="s">
        <v>1017</v>
      </c>
      <c r="B182" s="26" t="s">
        <v>602</v>
      </c>
      <c r="C182" s="25">
        <v>5.32</v>
      </c>
      <c r="D182" s="95"/>
    </row>
    <row r="183" spans="1:4" ht="15.75" outlineLevel="1">
      <c r="A183" s="25" t="s">
        <v>1017</v>
      </c>
      <c r="B183" s="26" t="s">
        <v>146</v>
      </c>
      <c r="C183" s="25">
        <v>5.36</v>
      </c>
      <c r="D183" s="95"/>
    </row>
    <row r="184" spans="1:4" ht="15.75" outlineLevel="1">
      <c r="A184" s="25" t="s">
        <v>1017</v>
      </c>
      <c r="B184" s="26" t="s">
        <v>11</v>
      </c>
      <c r="C184" s="25">
        <v>5.53</v>
      </c>
      <c r="D184" s="95"/>
    </row>
    <row r="185" spans="1:4" ht="15.75" outlineLevel="1">
      <c r="A185" s="25" t="s">
        <v>1017</v>
      </c>
      <c r="B185" s="26" t="s">
        <v>17</v>
      </c>
      <c r="C185" s="25">
        <v>5.58</v>
      </c>
      <c r="D185" s="95"/>
    </row>
    <row r="186" spans="1:4" ht="15.75" outlineLevel="1">
      <c r="A186" s="25" t="s">
        <v>1017</v>
      </c>
      <c r="B186" s="26" t="s">
        <v>18</v>
      </c>
      <c r="C186" s="25">
        <v>5.54</v>
      </c>
      <c r="D186" s="95"/>
    </row>
    <row r="187" spans="1:4" ht="15.75" outlineLevel="1">
      <c r="A187" s="25" t="s">
        <v>1017</v>
      </c>
      <c r="B187" s="26" t="s">
        <v>19</v>
      </c>
      <c r="C187" s="25">
        <v>5.55</v>
      </c>
      <c r="D187" s="95"/>
    </row>
    <row r="188" spans="1:4" ht="15.75" outlineLevel="1">
      <c r="A188" s="25" t="s">
        <v>1017</v>
      </c>
      <c r="B188" s="26" t="s">
        <v>20</v>
      </c>
      <c r="C188" s="25">
        <v>5.63</v>
      </c>
      <c r="D188" s="95"/>
    </row>
    <row r="189" spans="1:4" ht="15.75" outlineLevel="1">
      <c r="A189" s="25" t="s">
        <v>1017</v>
      </c>
      <c r="B189" s="26" t="s">
        <v>23</v>
      </c>
      <c r="C189" s="25">
        <v>5.45</v>
      </c>
      <c r="D189" s="95"/>
    </row>
    <row r="190" spans="1:4" ht="15.75" outlineLevel="1">
      <c r="A190" s="25" t="s">
        <v>1017</v>
      </c>
      <c r="B190" s="26" t="s">
        <v>24</v>
      </c>
      <c r="C190" s="25">
        <v>5.47</v>
      </c>
      <c r="D190" s="95"/>
    </row>
    <row r="191" spans="1:4" ht="15.75" outlineLevel="1">
      <c r="A191" s="25" t="s">
        <v>1017</v>
      </c>
      <c r="B191" s="26" t="s">
        <v>25</v>
      </c>
      <c r="C191" s="25">
        <v>5.48</v>
      </c>
      <c r="D191" s="95"/>
    </row>
    <row r="192" spans="1:4" ht="15.75">
      <c r="A192" s="30" t="s">
        <v>1017</v>
      </c>
      <c r="B192" s="26"/>
      <c r="C192" s="25"/>
      <c r="D192" s="95"/>
    </row>
    <row r="193" spans="1:4" ht="15.75" outlineLevel="1">
      <c r="A193" s="25" t="s">
        <v>1139</v>
      </c>
      <c r="B193" s="26" t="s">
        <v>0</v>
      </c>
      <c r="C193" s="25">
        <v>5.0999999999999996</v>
      </c>
      <c r="D193" s="95"/>
    </row>
    <row r="194" spans="1:4" ht="15.75" outlineLevel="1">
      <c r="A194" s="25" t="s">
        <v>1139</v>
      </c>
      <c r="B194" s="26" t="s">
        <v>1</v>
      </c>
      <c r="C194" s="25">
        <v>5.2</v>
      </c>
      <c r="D194" s="95"/>
    </row>
    <row r="195" spans="1:4" ht="15.75" outlineLevel="1">
      <c r="A195" s="25" t="s">
        <v>1139</v>
      </c>
      <c r="B195" s="26" t="s">
        <v>2</v>
      </c>
      <c r="C195" s="25">
        <v>5.3</v>
      </c>
      <c r="D195" s="95"/>
    </row>
    <row r="196" spans="1:4" ht="15.75" outlineLevel="1">
      <c r="A196" s="25" t="s">
        <v>1139</v>
      </c>
      <c r="B196" s="26" t="s">
        <v>167</v>
      </c>
      <c r="C196" s="25">
        <v>5.6</v>
      </c>
      <c r="D196" s="95"/>
    </row>
    <row r="197" spans="1:4" ht="15.75" outlineLevel="1">
      <c r="A197" s="25" t="s">
        <v>1139</v>
      </c>
      <c r="B197" s="26" t="s">
        <v>1136</v>
      </c>
      <c r="C197" s="27">
        <v>5.0999999999999996</v>
      </c>
      <c r="D197" s="95"/>
    </row>
    <row r="198" spans="1:4" ht="15.75" outlineLevel="1">
      <c r="A198" s="25" t="s">
        <v>1139</v>
      </c>
      <c r="B198" s="26" t="s">
        <v>1135</v>
      </c>
      <c r="C198" s="25">
        <v>5.14</v>
      </c>
      <c r="D198" s="95"/>
    </row>
    <row r="199" spans="1:4" ht="15.75" outlineLevel="1">
      <c r="A199" s="25" t="s">
        <v>1139</v>
      </c>
      <c r="B199" s="26" t="s">
        <v>4</v>
      </c>
      <c r="C199" s="25">
        <v>5.19</v>
      </c>
      <c r="D199" s="95"/>
    </row>
    <row r="200" spans="1:4" ht="15.75" outlineLevel="1">
      <c r="A200" s="25" t="s">
        <v>1139</v>
      </c>
      <c r="B200" s="26" t="s">
        <v>169</v>
      </c>
      <c r="C200" s="25">
        <v>5.24</v>
      </c>
      <c r="D200" s="95"/>
    </row>
    <row r="201" spans="1:4" ht="15.75" outlineLevel="1">
      <c r="A201" s="25" t="s">
        <v>1139</v>
      </c>
      <c r="B201" s="26" t="s">
        <v>6</v>
      </c>
      <c r="C201" s="25">
        <v>5.27</v>
      </c>
      <c r="D201" s="95"/>
    </row>
    <row r="202" spans="1:4" ht="15.75" outlineLevel="1">
      <c r="A202" s="25" t="s">
        <v>1139</v>
      </c>
      <c r="B202" s="26" t="s">
        <v>7</v>
      </c>
      <c r="C202" s="25">
        <v>5.28</v>
      </c>
      <c r="D202" s="95"/>
    </row>
    <row r="203" spans="1:4" ht="15.75" outlineLevel="1">
      <c r="A203" s="25" t="s">
        <v>1139</v>
      </c>
      <c r="B203" s="26" t="s">
        <v>360</v>
      </c>
      <c r="C203" s="25">
        <v>5.29</v>
      </c>
      <c r="D203" s="95"/>
    </row>
    <row r="204" spans="1:4" ht="15.75" outlineLevel="1">
      <c r="A204" s="25" t="s">
        <v>1139</v>
      </c>
      <c r="B204" s="26" t="s">
        <v>8</v>
      </c>
      <c r="C204" s="27">
        <v>5.3</v>
      </c>
      <c r="D204" s="95"/>
    </row>
    <row r="205" spans="1:4" ht="15.75" outlineLevel="1">
      <c r="A205" s="25" t="s">
        <v>1139</v>
      </c>
      <c r="B205" s="26" t="s">
        <v>1140</v>
      </c>
      <c r="C205" s="25">
        <v>5.34</v>
      </c>
      <c r="D205" s="95"/>
    </row>
    <row r="206" spans="1:4" ht="15.75" outlineLevel="1">
      <c r="A206" s="25" t="s">
        <v>1139</v>
      </c>
      <c r="B206" s="26" t="s">
        <v>170</v>
      </c>
      <c r="C206" s="25">
        <v>5.31</v>
      </c>
      <c r="D206" s="95"/>
    </row>
    <row r="207" spans="1:4" ht="15.75" outlineLevel="1">
      <c r="A207" s="25" t="s">
        <v>1139</v>
      </c>
      <c r="B207" s="26" t="s">
        <v>1141</v>
      </c>
      <c r="C207" s="25">
        <v>5.101</v>
      </c>
      <c r="D207" s="95"/>
    </row>
    <row r="208" spans="1:4" ht="15.75" outlineLevel="1">
      <c r="A208" s="25" t="s">
        <v>1139</v>
      </c>
      <c r="B208" s="26" t="s">
        <v>146</v>
      </c>
      <c r="C208" s="25">
        <v>5.36</v>
      </c>
      <c r="D208" s="95"/>
    </row>
    <row r="209" spans="1:4" ht="15.75" outlineLevel="1">
      <c r="A209" s="25" t="s">
        <v>1139</v>
      </c>
      <c r="B209" s="26" t="s">
        <v>11</v>
      </c>
      <c r="C209" s="25">
        <v>5.53</v>
      </c>
      <c r="D209" s="95"/>
    </row>
    <row r="210" spans="1:4" ht="15.75" outlineLevel="1">
      <c r="A210" s="25" t="s">
        <v>1139</v>
      </c>
      <c r="B210" s="26" t="s">
        <v>1142</v>
      </c>
      <c r="C210" s="25">
        <v>5.1020000000000003</v>
      </c>
      <c r="D210" s="95"/>
    </row>
    <row r="211" spans="1:4" ht="15.75" outlineLevel="1">
      <c r="A211" s="25" t="s">
        <v>1139</v>
      </c>
      <c r="B211" s="26" t="s">
        <v>1143</v>
      </c>
      <c r="C211" s="28">
        <v>5.0999999999999996</v>
      </c>
      <c r="D211" s="95"/>
    </row>
    <row r="212" spans="1:4" ht="15.75" outlineLevel="1">
      <c r="A212" s="25" t="s">
        <v>1139</v>
      </c>
      <c r="B212" s="26" t="s">
        <v>17</v>
      </c>
      <c r="C212" s="25">
        <v>5.58</v>
      </c>
      <c r="D212" s="95"/>
    </row>
    <row r="213" spans="1:4" ht="15.75" outlineLevel="1">
      <c r="A213" s="25" t="s">
        <v>1139</v>
      </c>
      <c r="B213" s="26" t="s">
        <v>18</v>
      </c>
      <c r="C213" s="25">
        <v>5.54</v>
      </c>
      <c r="D213" s="95"/>
    </row>
    <row r="214" spans="1:4" ht="15.75" outlineLevel="1">
      <c r="A214" s="25" t="s">
        <v>1139</v>
      </c>
      <c r="B214" s="26" t="s">
        <v>19</v>
      </c>
      <c r="C214" s="25">
        <v>5.55</v>
      </c>
      <c r="D214" s="95"/>
    </row>
    <row r="215" spans="1:4" ht="15.75" outlineLevel="1">
      <c r="A215" s="25" t="s">
        <v>1139</v>
      </c>
      <c r="B215" s="26" t="s">
        <v>20</v>
      </c>
      <c r="C215" s="25">
        <v>5.63</v>
      </c>
      <c r="D215" s="95"/>
    </row>
    <row r="216" spans="1:4" ht="15.75" outlineLevel="1">
      <c r="A216" s="25" t="s">
        <v>1139</v>
      </c>
      <c r="B216" s="26" t="s">
        <v>24</v>
      </c>
      <c r="C216" s="25">
        <v>5.47</v>
      </c>
      <c r="D216" s="95"/>
    </row>
    <row r="217" spans="1:4" ht="15.75" outlineLevel="1">
      <c r="A217" s="25" t="s">
        <v>1139</v>
      </c>
      <c r="B217" s="26" t="s">
        <v>25</v>
      </c>
      <c r="C217" s="25">
        <v>5.48</v>
      </c>
      <c r="D217" s="95"/>
    </row>
    <row r="218" spans="1:4" ht="15.75">
      <c r="A218" s="30" t="s">
        <v>1139</v>
      </c>
      <c r="B218" s="26"/>
      <c r="C218" s="25"/>
      <c r="D218" s="95"/>
    </row>
    <row r="219" spans="1:4" ht="15.75" outlineLevel="1">
      <c r="A219" s="25" t="s">
        <v>1020</v>
      </c>
      <c r="B219" s="26" t="s">
        <v>0</v>
      </c>
      <c r="C219" s="25">
        <v>5.0999999999999996</v>
      </c>
      <c r="D219" s="95"/>
    </row>
    <row r="220" spans="1:4" ht="15.75" outlineLevel="1">
      <c r="A220" s="25" t="s">
        <v>1020</v>
      </c>
      <c r="B220" s="26" t="s">
        <v>1</v>
      </c>
      <c r="C220" s="25">
        <v>5.2</v>
      </c>
      <c r="D220" s="95"/>
    </row>
    <row r="221" spans="1:4" ht="15.75" outlineLevel="1">
      <c r="A221" s="25" t="s">
        <v>1020</v>
      </c>
      <c r="B221" s="26" t="s">
        <v>2</v>
      </c>
      <c r="C221" s="25">
        <v>5.3</v>
      </c>
      <c r="D221" s="95"/>
    </row>
    <row r="222" spans="1:4" ht="15.75" outlineLevel="1">
      <c r="A222" s="25" t="s">
        <v>1020</v>
      </c>
      <c r="B222" s="26" t="s">
        <v>167</v>
      </c>
      <c r="C222" s="25">
        <v>5.6</v>
      </c>
      <c r="D222" s="95"/>
    </row>
    <row r="223" spans="1:4" ht="15.75" outlineLevel="1">
      <c r="A223" s="25" t="s">
        <v>1020</v>
      </c>
      <c r="B223" s="26" t="s">
        <v>1136</v>
      </c>
      <c r="C223" s="27">
        <v>5.0999999999999996</v>
      </c>
      <c r="D223" s="95"/>
    </row>
    <row r="224" spans="1:4" ht="15.75" outlineLevel="1">
      <c r="A224" s="25" t="s">
        <v>1020</v>
      </c>
      <c r="B224" s="26" t="s">
        <v>1135</v>
      </c>
      <c r="C224" s="25">
        <v>5.14</v>
      </c>
      <c r="D224" s="95"/>
    </row>
    <row r="225" spans="1:4" ht="15.75" outlineLevel="1">
      <c r="A225" s="25" t="s">
        <v>1020</v>
      </c>
      <c r="B225" s="26" t="s">
        <v>4</v>
      </c>
      <c r="C225" s="25">
        <v>5.19</v>
      </c>
      <c r="D225" s="95"/>
    </row>
    <row r="226" spans="1:4" ht="15.75" outlineLevel="1">
      <c r="A226" s="25" t="s">
        <v>1020</v>
      </c>
      <c r="B226" s="26" t="s">
        <v>169</v>
      </c>
      <c r="C226" s="25">
        <v>5.24</v>
      </c>
      <c r="D226" s="95"/>
    </row>
    <row r="227" spans="1:4" ht="15.75" outlineLevel="1">
      <c r="A227" s="25" t="s">
        <v>1020</v>
      </c>
      <c r="B227" s="26" t="s">
        <v>5</v>
      </c>
      <c r="C227" s="25">
        <v>5.26</v>
      </c>
      <c r="D227" s="95"/>
    </row>
    <row r="228" spans="1:4" ht="15.75" outlineLevel="1">
      <c r="A228" s="25" t="s">
        <v>1020</v>
      </c>
      <c r="B228" s="26" t="s">
        <v>6</v>
      </c>
      <c r="C228" s="25">
        <v>5.27</v>
      </c>
      <c r="D228" s="95"/>
    </row>
    <row r="229" spans="1:4" ht="15.75" outlineLevel="1">
      <c r="A229" s="25" t="s">
        <v>1020</v>
      </c>
      <c r="B229" s="26" t="s">
        <v>7</v>
      </c>
      <c r="C229" s="25">
        <v>5.28</v>
      </c>
      <c r="D229" s="95"/>
    </row>
    <row r="230" spans="1:4" ht="15.75" outlineLevel="1">
      <c r="A230" s="25" t="s">
        <v>1020</v>
      </c>
      <c r="B230" s="26" t="s">
        <v>360</v>
      </c>
      <c r="C230" s="25">
        <v>5.29</v>
      </c>
      <c r="D230" s="95"/>
    </row>
    <row r="231" spans="1:4" ht="15.75" outlineLevel="1">
      <c r="A231" s="25" t="s">
        <v>1020</v>
      </c>
      <c r="B231" s="26" t="s">
        <v>8</v>
      </c>
      <c r="C231" s="27">
        <v>5.3</v>
      </c>
      <c r="D231" s="95"/>
    </row>
    <row r="232" spans="1:4" ht="15.75" outlineLevel="1">
      <c r="A232" s="25" t="s">
        <v>1020</v>
      </c>
      <c r="B232" s="26" t="s">
        <v>170</v>
      </c>
      <c r="C232" s="25">
        <v>5.31</v>
      </c>
      <c r="D232" s="95"/>
    </row>
    <row r="233" spans="1:4" ht="15.75" outlineLevel="1">
      <c r="A233" s="25" t="s">
        <v>1020</v>
      </c>
      <c r="B233" s="26" t="s">
        <v>202</v>
      </c>
      <c r="C233" s="25">
        <v>5.33</v>
      </c>
      <c r="D233" s="95"/>
    </row>
    <row r="234" spans="1:4" ht="15.75" outlineLevel="1">
      <c r="A234" s="25" t="s">
        <v>1020</v>
      </c>
      <c r="B234" s="26" t="s">
        <v>1141</v>
      </c>
      <c r="C234" s="25">
        <v>5.101</v>
      </c>
      <c r="D234" s="95"/>
    </row>
    <row r="235" spans="1:4" ht="15.75" outlineLevel="1">
      <c r="A235" s="25" t="s">
        <v>1020</v>
      </c>
      <c r="B235" s="26" t="s">
        <v>146</v>
      </c>
      <c r="C235" s="25">
        <v>5.36</v>
      </c>
      <c r="D235" s="95"/>
    </row>
    <row r="236" spans="1:4" ht="15.75" outlineLevel="1">
      <c r="A236" s="25" t="s">
        <v>1020</v>
      </c>
      <c r="B236" s="26" t="s">
        <v>11</v>
      </c>
      <c r="C236" s="25">
        <v>5.53</v>
      </c>
      <c r="D236" s="95"/>
    </row>
    <row r="237" spans="1:4" ht="15.75" outlineLevel="1">
      <c r="A237" s="25" t="s">
        <v>1020</v>
      </c>
      <c r="B237" s="26" t="s">
        <v>1142</v>
      </c>
      <c r="C237" s="25">
        <v>5.1020000000000003</v>
      </c>
      <c r="D237" s="95"/>
    </row>
    <row r="238" spans="1:4" ht="15.75" outlineLevel="1">
      <c r="A238" s="25" t="s">
        <v>1020</v>
      </c>
      <c r="B238" s="26" t="s">
        <v>17</v>
      </c>
      <c r="C238" s="25">
        <v>5.58</v>
      </c>
      <c r="D238" s="95"/>
    </row>
    <row r="239" spans="1:4" ht="15.75" outlineLevel="1">
      <c r="A239" s="25" t="s">
        <v>1020</v>
      </c>
      <c r="B239" s="26" t="s">
        <v>18</v>
      </c>
      <c r="C239" s="25">
        <v>5.54</v>
      </c>
      <c r="D239" s="95"/>
    </row>
    <row r="240" spans="1:4" ht="15.75" outlineLevel="1">
      <c r="A240" s="25" t="s">
        <v>1020</v>
      </c>
      <c r="B240" s="26" t="s">
        <v>19</v>
      </c>
      <c r="C240" s="25">
        <v>5.55</v>
      </c>
      <c r="D240" s="95"/>
    </row>
    <row r="241" spans="1:4" ht="15.75" outlineLevel="1">
      <c r="A241" s="25" t="s">
        <v>1020</v>
      </c>
      <c r="B241" s="26" t="s">
        <v>20</v>
      </c>
      <c r="C241" s="25">
        <v>5.63</v>
      </c>
      <c r="D241" s="95"/>
    </row>
    <row r="242" spans="1:4" ht="15.75" outlineLevel="1">
      <c r="A242" s="25" t="s">
        <v>1020</v>
      </c>
      <c r="B242" s="26" t="s">
        <v>24</v>
      </c>
      <c r="C242" s="25">
        <v>5.47</v>
      </c>
      <c r="D242" s="95"/>
    </row>
    <row r="243" spans="1:4" ht="15.75" outlineLevel="1">
      <c r="A243" s="25" t="s">
        <v>1020</v>
      </c>
      <c r="B243" s="26" t="s">
        <v>25</v>
      </c>
      <c r="C243" s="25">
        <v>5.48</v>
      </c>
      <c r="D243" s="95"/>
    </row>
    <row r="244" spans="1:4" ht="15.75">
      <c r="A244" s="30" t="s">
        <v>1020</v>
      </c>
      <c r="B244" s="26"/>
      <c r="C244" s="25"/>
      <c r="D244" s="95"/>
    </row>
    <row r="245" spans="1:4" ht="15.75" outlineLevel="1">
      <c r="A245" s="25" t="s">
        <v>1144</v>
      </c>
      <c r="B245" s="26" t="s">
        <v>0</v>
      </c>
      <c r="C245" s="25">
        <v>5.0999999999999996</v>
      </c>
      <c r="D245" s="95"/>
    </row>
    <row r="246" spans="1:4" ht="15.75" outlineLevel="1">
      <c r="A246" s="25" t="s">
        <v>1144</v>
      </c>
      <c r="B246" s="26" t="s">
        <v>1</v>
      </c>
      <c r="C246" s="25">
        <v>5.2</v>
      </c>
      <c r="D246" s="95"/>
    </row>
    <row r="247" spans="1:4" ht="15.75" outlineLevel="1">
      <c r="A247" s="25" t="s">
        <v>1144</v>
      </c>
      <c r="B247" s="26" t="s">
        <v>2</v>
      </c>
      <c r="C247" s="25">
        <v>5.3</v>
      </c>
      <c r="D247" s="95"/>
    </row>
    <row r="248" spans="1:4" ht="15.75" outlineLevel="1">
      <c r="A248" s="25" t="s">
        <v>1144</v>
      </c>
      <c r="B248" s="26" t="s">
        <v>167</v>
      </c>
      <c r="C248" s="25">
        <v>5.6</v>
      </c>
      <c r="D248" s="95"/>
    </row>
    <row r="249" spans="1:4" ht="15.75" outlineLevel="1">
      <c r="A249" s="25" t="s">
        <v>1144</v>
      </c>
      <c r="B249" s="26" t="s">
        <v>1136</v>
      </c>
      <c r="C249" s="27">
        <v>5.0999999999999996</v>
      </c>
      <c r="D249" s="95"/>
    </row>
    <row r="250" spans="1:4" ht="15.75" outlineLevel="1">
      <c r="A250" s="25" t="s">
        <v>1144</v>
      </c>
      <c r="B250" s="26" t="s">
        <v>1135</v>
      </c>
      <c r="C250" s="25">
        <v>5.14</v>
      </c>
      <c r="D250" s="95"/>
    </row>
    <row r="251" spans="1:4" ht="15.75" outlineLevel="1">
      <c r="A251" s="25" t="s">
        <v>1144</v>
      </c>
      <c r="B251" s="26" t="s">
        <v>4</v>
      </c>
      <c r="C251" s="25">
        <v>5.19</v>
      </c>
      <c r="D251" s="95"/>
    </row>
    <row r="252" spans="1:4" ht="15.75" outlineLevel="1">
      <c r="A252" s="25" t="s">
        <v>1144</v>
      </c>
      <c r="B252" s="26" t="s">
        <v>169</v>
      </c>
      <c r="C252" s="25">
        <v>5.24</v>
      </c>
      <c r="D252" s="95"/>
    </row>
    <row r="253" spans="1:4" ht="15.75" outlineLevel="1">
      <c r="A253" s="25" t="s">
        <v>1144</v>
      </c>
      <c r="B253" s="26" t="s">
        <v>6</v>
      </c>
      <c r="C253" s="25">
        <v>5.27</v>
      </c>
      <c r="D253" s="95"/>
    </row>
    <row r="254" spans="1:4" ht="15.75" outlineLevel="1">
      <c r="A254" s="25" t="s">
        <v>1144</v>
      </c>
      <c r="B254" s="26" t="s">
        <v>7</v>
      </c>
      <c r="C254" s="25">
        <v>5.28</v>
      </c>
      <c r="D254" s="95"/>
    </row>
    <row r="255" spans="1:4" ht="15.75" outlineLevel="1">
      <c r="A255" s="25" t="s">
        <v>1144</v>
      </c>
      <c r="B255" s="26" t="s">
        <v>8</v>
      </c>
      <c r="C255" s="27">
        <v>5.3</v>
      </c>
      <c r="D255" s="95"/>
    </row>
    <row r="256" spans="1:4" ht="15.75" outlineLevel="1">
      <c r="A256" s="25" t="s">
        <v>1144</v>
      </c>
      <c r="B256" s="26" t="s">
        <v>202</v>
      </c>
      <c r="C256" s="25">
        <v>5.33</v>
      </c>
      <c r="D256" s="95"/>
    </row>
    <row r="257" spans="1:4" ht="15.75" outlineLevel="1">
      <c r="A257" s="25" t="s">
        <v>1144</v>
      </c>
      <c r="B257" s="26" t="s">
        <v>146</v>
      </c>
      <c r="C257" s="25">
        <v>5.36</v>
      </c>
      <c r="D257" s="95"/>
    </row>
    <row r="258" spans="1:4" ht="15.75" outlineLevel="1">
      <c r="A258" s="25" t="s">
        <v>1144</v>
      </c>
      <c r="B258" s="26" t="s">
        <v>11</v>
      </c>
      <c r="C258" s="25">
        <v>5.53</v>
      </c>
      <c r="D258" s="95"/>
    </row>
    <row r="259" spans="1:4" ht="15.75" outlineLevel="1">
      <c r="A259" s="25" t="s">
        <v>1144</v>
      </c>
      <c r="B259" s="26" t="s">
        <v>17</v>
      </c>
      <c r="C259" s="25">
        <v>5.58</v>
      </c>
      <c r="D259" s="95"/>
    </row>
    <row r="260" spans="1:4" ht="15.75" outlineLevel="1">
      <c r="A260" s="25" t="s">
        <v>1144</v>
      </c>
      <c r="B260" s="26" t="s">
        <v>18</v>
      </c>
      <c r="C260" s="25">
        <v>5.54</v>
      </c>
      <c r="D260" s="95"/>
    </row>
    <row r="261" spans="1:4" ht="15.75" outlineLevel="1">
      <c r="A261" s="25" t="s">
        <v>1144</v>
      </c>
      <c r="B261" s="26" t="s">
        <v>19</v>
      </c>
      <c r="C261" s="25">
        <v>5.55</v>
      </c>
      <c r="D261" s="95"/>
    </row>
    <row r="262" spans="1:4" ht="15.75" outlineLevel="1">
      <c r="A262" s="25" t="s">
        <v>1144</v>
      </c>
      <c r="B262" s="26" t="s">
        <v>20</v>
      </c>
      <c r="C262" s="25">
        <v>5.63</v>
      </c>
      <c r="D262" s="95"/>
    </row>
    <row r="263" spans="1:4" ht="15.75" outlineLevel="1">
      <c r="A263" s="25" t="s">
        <v>1144</v>
      </c>
      <c r="B263" s="26" t="s">
        <v>24</v>
      </c>
      <c r="C263" s="25">
        <v>5.47</v>
      </c>
      <c r="D263" s="95"/>
    </row>
    <row r="264" spans="1:4" ht="15.75" outlineLevel="1">
      <c r="A264" s="25" t="s">
        <v>1144</v>
      </c>
      <c r="B264" s="26" t="s">
        <v>25</v>
      </c>
      <c r="C264" s="25">
        <v>5.48</v>
      </c>
      <c r="D264" s="95"/>
    </row>
    <row r="265" spans="1:4" ht="15.75">
      <c r="A265" s="30" t="s">
        <v>1144</v>
      </c>
      <c r="B265" s="26"/>
      <c r="C265" s="25"/>
      <c r="D265" s="95"/>
    </row>
    <row r="266" spans="1:4" ht="15.75" outlineLevel="1">
      <c r="A266" s="25" t="s">
        <v>1025</v>
      </c>
      <c r="B266" s="26" t="s">
        <v>0</v>
      </c>
      <c r="C266" s="25">
        <v>5.0999999999999996</v>
      </c>
      <c r="D266" s="95"/>
    </row>
    <row r="267" spans="1:4" ht="15.75" outlineLevel="1">
      <c r="A267" s="25" t="s">
        <v>1025</v>
      </c>
      <c r="B267" s="26" t="s">
        <v>1</v>
      </c>
      <c r="C267" s="25">
        <v>5.2</v>
      </c>
      <c r="D267" s="95"/>
    </row>
    <row r="268" spans="1:4" ht="15.75" outlineLevel="1">
      <c r="A268" s="25" t="s">
        <v>1025</v>
      </c>
      <c r="B268" s="26" t="s">
        <v>2</v>
      </c>
      <c r="C268" s="25">
        <v>5.3</v>
      </c>
      <c r="D268" s="95"/>
    </row>
    <row r="269" spans="1:4" ht="15.75" outlineLevel="1">
      <c r="A269" s="25" t="s">
        <v>1025</v>
      </c>
      <c r="B269" s="26" t="s">
        <v>167</v>
      </c>
      <c r="C269" s="25">
        <v>5.6</v>
      </c>
      <c r="D269" s="95"/>
    </row>
    <row r="270" spans="1:4" ht="15.75" outlineLevel="1">
      <c r="A270" s="25" t="s">
        <v>1025</v>
      </c>
      <c r="B270" s="26" t="s">
        <v>1136</v>
      </c>
      <c r="C270" s="27">
        <v>5.0999999999999996</v>
      </c>
      <c r="D270" s="95"/>
    </row>
    <row r="271" spans="1:4" ht="15.75" outlineLevel="1">
      <c r="A271" s="25" t="s">
        <v>1025</v>
      </c>
      <c r="B271" s="26" t="s">
        <v>1135</v>
      </c>
      <c r="C271" s="25">
        <v>5.14</v>
      </c>
      <c r="D271" s="95"/>
    </row>
    <row r="272" spans="1:4" ht="15.75" outlineLevel="1">
      <c r="A272" s="25" t="s">
        <v>1025</v>
      </c>
      <c r="B272" s="26" t="s">
        <v>4</v>
      </c>
      <c r="C272" s="25">
        <v>5.19</v>
      </c>
      <c r="D272" s="95"/>
    </row>
    <row r="273" spans="1:4" ht="15.75" outlineLevel="1">
      <c r="A273" s="25" t="s">
        <v>1025</v>
      </c>
      <c r="B273" s="26" t="s">
        <v>169</v>
      </c>
      <c r="C273" s="25">
        <v>5.24</v>
      </c>
      <c r="D273" s="95"/>
    </row>
    <row r="274" spans="1:4" ht="15.75" outlineLevel="1">
      <c r="A274" s="25" t="s">
        <v>1025</v>
      </c>
      <c r="B274" s="26" t="s">
        <v>5</v>
      </c>
      <c r="C274" s="25">
        <v>5.26</v>
      </c>
      <c r="D274" s="95"/>
    </row>
    <row r="275" spans="1:4" ht="15.75" outlineLevel="1">
      <c r="A275" s="25" t="s">
        <v>1025</v>
      </c>
      <c r="B275" s="26" t="s">
        <v>6</v>
      </c>
      <c r="C275" s="25">
        <v>5.27</v>
      </c>
      <c r="D275" s="95"/>
    </row>
    <row r="276" spans="1:4" ht="15.75" outlineLevel="1">
      <c r="A276" s="25" t="s">
        <v>1025</v>
      </c>
      <c r="B276" s="26" t="s">
        <v>7</v>
      </c>
      <c r="C276" s="25">
        <v>5.28</v>
      </c>
      <c r="D276" s="95"/>
    </row>
    <row r="277" spans="1:4" ht="15.75" outlineLevel="1">
      <c r="A277" s="25" t="s">
        <v>1025</v>
      </c>
      <c r="B277" s="26" t="s">
        <v>360</v>
      </c>
      <c r="C277" s="25">
        <v>5.29</v>
      </c>
      <c r="D277" s="95"/>
    </row>
    <row r="278" spans="1:4" ht="15.75" outlineLevel="1">
      <c r="A278" s="25" t="s">
        <v>1025</v>
      </c>
      <c r="B278" s="26" t="s">
        <v>8</v>
      </c>
      <c r="C278" s="27">
        <v>5.3</v>
      </c>
      <c r="D278" s="95"/>
    </row>
    <row r="279" spans="1:4" ht="15.75" outlineLevel="1">
      <c r="A279" s="25" t="s">
        <v>1025</v>
      </c>
      <c r="B279" s="26" t="s">
        <v>202</v>
      </c>
      <c r="C279" s="25">
        <v>5.33</v>
      </c>
      <c r="D279" s="95"/>
    </row>
    <row r="280" spans="1:4" ht="15.75" outlineLevel="1">
      <c r="A280" s="25" t="s">
        <v>1025</v>
      </c>
      <c r="B280" s="26" t="s">
        <v>146</v>
      </c>
      <c r="C280" s="25">
        <v>5.36</v>
      </c>
      <c r="D280" s="95"/>
    </row>
    <row r="281" spans="1:4" ht="15.75" outlineLevel="1">
      <c r="A281" s="25" t="s">
        <v>1025</v>
      </c>
      <c r="B281" s="26" t="s">
        <v>12</v>
      </c>
      <c r="C281" s="25">
        <v>5.69</v>
      </c>
      <c r="D281" s="95"/>
    </row>
    <row r="282" spans="1:4" ht="15.75" outlineLevel="1">
      <c r="A282" s="25" t="s">
        <v>1025</v>
      </c>
      <c r="B282" s="26" t="s">
        <v>14</v>
      </c>
      <c r="C282" s="27">
        <v>5.7</v>
      </c>
      <c r="D282" s="95"/>
    </row>
    <row r="283" spans="1:4" ht="15.75" outlineLevel="1">
      <c r="A283" s="25" t="s">
        <v>1025</v>
      </c>
      <c r="B283" s="26" t="s">
        <v>15</v>
      </c>
      <c r="C283" s="25">
        <v>5.74</v>
      </c>
      <c r="D283" s="95"/>
    </row>
    <row r="284" spans="1:4" ht="15.75" outlineLevel="1">
      <c r="A284" s="25" t="s">
        <v>1025</v>
      </c>
      <c r="B284" s="26" t="s">
        <v>9</v>
      </c>
      <c r="C284" s="25">
        <v>5.49</v>
      </c>
      <c r="D284" s="95"/>
    </row>
    <row r="285" spans="1:4" ht="15.75" outlineLevel="1">
      <c r="A285" s="25" t="s">
        <v>1025</v>
      </c>
      <c r="B285" s="26" t="s">
        <v>10</v>
      </c>
      <c r="C285" s="25">
        <v>5.51</v>
      </c>
      <c r="D285" s="95"/>
    </row>
    <row r="286" spans="1:4" ht="15.75" outlineLevel="1">
      <c r="A286" s="25" t="s">
        <v>1025</v>
      </c>
      <c r="B286" s="26" t="s">
        <v>1137</v>
      </c>
      <c r="C286" s="25">
        <v>5.52</v>
      </c>
      <c r="D286" s="95"/>
    </row>
    <row r="287" spans="1:4" ht="15.75" outlineLevel="1">
      <c r="A287" s="25" t="s">
        <v>1025</v>
      </c>
      <c r="B287" s="26" t="s">
        <v>11</v>
      </c>
      <c r="C287" s="25">
        <v>5.53</v>
      </c>
      <c r="D287" s="95"/>
    </row>
    <row r="288" spans="1:4" ht="15.75" outlineLevel="1">
      <c r="A288" s="25" t="s">
        <v>1025</v>
      </c>
      <c r="B288" s="26" t="s">
        <v>17</v>
      </c>
      <c r="C288" s="25">
        <v>5.58</v>
      </c>
      <c r="D288" s="95"/>
    </row>
    <row r="289" spans="1:4" ht="15.75" outlineLevel="1">
      <c r="A289" s="25" t="s">
        <v>1025</v>
      </c>
      <c r="B289" s="26" t="s">
        <v>18</v>
      </c>
      <c r="C289" s="25">
        <v>5.54</v>
      </c>
      <c r="D289" s="95"/>
    </row>
    <row r="290" spans="1:4" ht="15.75" outlineLevel="1">
      <c r="A290" s="25" t="s">
        <v>1025</v>
      </c>
      <c r="B290" s="26" t="s">
        <v>19</v>
      </c>
      <c r="C290" s="25">
        <v>5.55</v>
      </c>
      <c r="D290" s="95"/>
    </row>
    <row r="291" spans="1:4" ht="15.75" outlineLevel="1">
      <c r="A291" s="25" t="s">
        <v>1025</v>
      </c>
      <c r="B291" s="26" t="s">
        <v>20</v>
      </c>
      <c r="C291" s="25">
        <v>5.63</v>
      </c>
      <c r="D291" s="95"/>
    </row>
    <row r="292" spans="1:4" ht="15.75" outlineLevel="1">
      <c r="A292" s="25" t="s">
        <v>1025</v>
      </c>
      <c r="B292" s="26" t="s">
        <v>24</v>
      </c>
      <c r="C292" s="25">
        <v>5.47</v>
      </c>
      <c r="D292" s="95"/>
    </row>
    <row r="293" spans="1:4" ht="15.75" outlineLevel="1">
      <c r="A293" s="25" t="s">
        <v>1025</v>
      </c>
      <c r="B293" s="26" t="s">
        <v>25</v>
      </c>
      <c r="C293" s="25">
        <v>5.48</v>
      </c>
      <c r="D293" s="95"/>
    </row>
    <row r="294" spans="1:4" ht="15.75">
      <c r="A294" s="30" t="s">
        <v>1025</v>
      </c>
      <c r="B294" s="26"/>
      <c r="C294" s="25"/>
      <c r="D294" s="95"/>
    </row>
    <row r="295" spans="1:4" ht="31.5" outlineLevel="1">
      <c r="A295" s="25" t="s">
        <v>1032</v>
      </c>
      <c r="B295" s="26" t="s">
        <v>0</v>
      </c>
      <c r="C295" s="25">
        <v>5.0999999999999996</v>
      </c>
      <c r="D295" s="95"/>
    </row>
    <row r="296" spans="1:4" ht="31.5" outlineLevel="1">
      <c r="A296" s="25" t="s">
        <v>1032</v>
      </c>
      <c r="B296" s="26" t="s">
        <v>1</v>
      </c>
      <c r="C296" s="25">
        <v>5.2</v>
      </c>
      <c r="D296" s="95"/>
    </row>
    <row r="297" spans="1:4" ht="31.5" outlineLevel="1">
      <c r="A297" s="25" t="s">
        <v>1032</v>
      </c>
      <c r="B297" s="26" t="s">
        <v>2</v>
      </c>
      <c r="C297" s="25">
        <v>5.3</v>
      </c>
      <c r="D297" s="95"/>
    </row>
    <row r="298" spans="1:4" ht="31.5" outlineLevel="1">
      <c r="A298" s="25" t="s">
        <v>1032</v>
      </c>
      <c r="B298" s="26" t="s">
        <v>1135</v>
      </c>
      <c r="C298" s="25">
        <v>5.14</v>
      </c>
      <c r="D298" s="95"/>
    </row>
    <row r="299" spans="1:4" ht="31.5" outlineLevel="1">
      <c r="A299" s="25" t="s">
        <v>1032</v>
      </c>
      <c r="B299" s="26" t="s">
        <v>4</v>
      </c>
      <c r="C299" s="25">
        <v>5.19</v>
      </c>
      <c r="D299" s="95"/>
    </row>
    <row r="300" spans="1:4" ht="31.5" outlineLevel="1">
      <c r="A300" s="25" t="s">
        <v>1032</v>
      </c>
      <c r="B300" s="26" t="s">
        <v>169</v>
      </c>
      <c r="C300" s="25">
        <v>5.24</v>
      </c>
      <c r="D300" s="95"/>
    </row>
    <row r="301" spans="1:4" ht="31.5" outlineLevel="1">
      <c r="A301" s="25" t="s">
        <v>1032</v>
      </c>
      <c r="B301" s="26" t="s">
        <v>5</v>
      </c>
      <c r="C301" s="25">
        <v>5.26</v>
      </c>
      <c r="D301" s="95"/>
    </row>
    <row r="302" spans="1:4" ht="31.5" outlineLevel="1">
      <c r="A302" s="25" t="s">
        <v>1032</v>
      </c>
      <c r="B302" s="26" t="s">
        <v>6</v>
      </c>
      <c r="C302" s="25">
        <v>5.27</v>
      </c>
      <c r="D302" s="95"/>
    </row>
    <row r="303" spans="1:4" ht="31.5" outlineLevel="1">
      <c r="A303" s="25" t="s">
        <v>1032</v>
      </c>
      <c r="B303" s="26" t="s">
        <v>7</v>
      </c>
      <c r="C303" s="25">
        <v>5.28</v>
      </c>
      <c r="D303" s="95"/>
    </row>
    <row r="304" spans="1:4" ht="31.5" outlineLevel="1">
      <c r="A304" s="25" t="s">
        <v>1032</v>
      </c>
      <c r="B304" s="26" t="s">
        <v>178</v>
      </c>
      <c r="C304" s="25">
        <v>5.37</v>
      </c>
      <c r="D304" s="95"/>
    </row>
    <row r="305" spans="1:4" ht="31.5" outlineLevel="1">
      <c r="A305" s="25" t="s">
        <v>1032</v>
      </c>
      <c r="B305" s="26" t="s">
        <v>9</v>
      </c>
      <c r="C305" s="25">
        <v>5.49</v>
      </c>
      <c r="D305" s="95"/>
    </row>
    <row r="306" spans="1:4" ht="31.5" outlineLevel="1">
      <c r="A306" s="25" t="s">
        <v>1032</v>
      </c>
      <c r="B306" s="26" t="s">
        <v>10</v>
      </c>
      <c r="C306" s="25">
        <v>5.51</v>
      </c>
      <c r="D306" s="95"/>
    </row>
    <row r="307" spans="1:4" ht="31.5" outlineLevel="1">
      <c r="A307" s="25" t="s">
        <v>1032</v>
      </c>
      <c r="B307" s="26" t="s">
        <v>11</v>
      </c>
      <c r="C307" s="25">
        <v>5.53</v>
      </c>
      <c r="D307" s="95"/>
    </row>
    <row r="308" spans="1:4" ht="31.5" outlineLevel="1">
      <c r="A308" s="25" t="s">
        <v>1032</v>
      </c>
      <c r="B308" s="26" t="s">
        <v>12</v>
      </c>
      <c r="C308" s="25">
        <v>5.69</v>
      </c>
      <c r="D308" s="95"/>
    </row>
    <row r="309" spans="1:4" ht="31.5" outlineLevel="1">
      <c r="A309" s="25" t="s">
        <v>1032</v>
      </c>
      <c r="B309" s="26" t="s">
        <v>13</v>
      </c>
      <c r="C309" s="25">
        <v>5.75</v>
      </c>
      <c r="D309" s="95"/>
    </row>
    <row r="310" spans="1:4" ht="31.5" outlineLevel="1">
      <c r="A310" s="25" t="s">
        <v>1032</v>
      </c>
      <c r="B310" s="26" t="s">
        <v>14</v>
      </c>
      <c r="C310" s="27">
        <v>5.7</v>
      </c>
      <c r="D310" s="95"/>
    </row>
    <row r="311" spans="1:4" ht="31.5" outlineLevel="1">
      <c r="A311" s="25" t="s">
        <v>1032</v>
      </c>
      <c r="B311" s="26" t="s">
        <v>15</v>
      </c>
      <c r="C311" s="25">
        <v>5.74</v>
      </c>
      <c r="D311" s="95"/>
    </row>
    <row r="312" spans="1:4" ht="31.5" outlineLevel="1">
      <c r="A312" s="25" t="s">
        <v>1032</v>
      </c>
      <c r="B312" s="26" t="s">
        <v>17</v>
      </c>
      <c r="C312" s="25">
        <v>5.58</v>
      </c>
      <c r="D312" s="95"/>
    </row>
    <row r="313" spans="1:4" ht="31.5" outlineLevel="1">
      <c r="A313" s="25" t="s">
        <v>1032</v>
      </c>
      <c r="B313" s="26" t="s">
        <v>18</v>
      </c>
      <c r="C313" s="25">
        <v>5.54</v>
      </c>
      <c r="D313" s="95"/>
    </row>
    <row r="314" spans="1:4" ht="31.5" outlineLevel="1">
      <c r="A314" s="25" t="s">
        <v>1032</v>
      </c>
      <c r="B314" s="26" t="s">
        <v>19</v>
      </c>
      <c r="C314" s="25">
        <v>5.55</v>
      </c>
      <c r="D314" s="95"/>
    </row>
    <row r="315" spans="1:4" ht="31.5" outlineLevel="1">
      <c r="A315" s="25" t="s">
        <v>1032</v>
      </c>
      <c r="B315" s="26" t="s">
        <v>20</v>
      </c>
      <c r="C315" s="25">
        <v>5.63</v>
      </c>
      <c r="D315" s="95"/>
    </row>
    <row r="316" spans="1:4" ht="31.5" outlineLevel="1">
      <c r="A316" s="25" t="s">
        <v>1032</v>
      </c>
      <c r="B316" s="26" t="s">
        <v>21</v>
      </c>
      <c r="C316" s="25">
        <v>5.65</v>
      </c>
      <c r="D316" s="95"/>
    </row>
    <row r="317" spans="1:4" ht="31.5" outlineLevel="1">
      <c r="A317" s="25" t="s">
        <v>1032</v>
      </c>
      <c r="B317" s="26" t="s">
        <v>22</v>
      </c>
      <c r="C317" s="25">
        <v>5.68</v>
      </c>
      <c r="D317" s="95"/>
    </row>
    <row r="318" spans="1:4" ht="31.5" outlineLevel="1">
      <c r="A318" s="25" t="s">
        <v>1032</v>
      </c>
      <c r="B318" s="26" t="s">
        <v>24</v>
      </c>
      <c r="C318" s="25">
        <v>5.47</v>
      </c>
      <c r="D318" s="95"/>
    </row>
    <row r="319" spans="1:4" ht="31.5" outlineLevel="1">
      <c r="A319" s="25" t="s">
        <v>1032</v>
      </c>
      <c r="B319" s="26" t="s">
        <v>25</v>
      </c>
      <c r="C319" s="25">
        <v>5.48</v>
      </c>
      <c r="D319" s="95"/>
    </row>
    <row r="320" spans="1:4" ht="31.5">
      <c r="A320" s="30" t="s">
        <v>1032</v>
      </c>
      <c r="B320" s="26"/>
      <c r="C320" s="25"/>
      <c r="D320" s="95"/>
    </row>
    <row r="321" spans="1:4" ht="31.5" outlineLevel="1">
      <c r="A321" s="25" t="s">
        <v>1033</v>
      </c>
      <c r="B321" s="26" t="s">
        <v>0</v>
      </c>
      <c r="C321" s="25">
        <v>5.0999999999999996</v>
      </c>
      <c r="D321" s="95"/>
    </row>
    <row r="322" spans="1:4" ht="31.5" outlineLevel="1">
      <c r="A322" s="25" t="s">
        <v>1033</v>
      </c>
      <c r="B322" s="26" t="s">
        <v>1</v>
      </c>
      <c r="C322" s="25">
        <v>5.2</v>
      </c>
      <c r="D322" s="95"/>
    </row>
    <row r="323" spans="1:4" ht="31.5" outlineLevel="1">
      <c r="A323" s="25" t="s">
        <v>1033</v>
      </c>
      <c r="B323" s="26" t="s">
        <v>5</v>
      </c>
      <c r="C323" s="25">
        <v>5.26</v>
      </c>
      <c r="D323" s="95"/>
    </row>
    <row r="324" spans="1:4" ht="31.5" outlineLevel="1">
      <c r="A324" s="25" t="s">
        <v>1033</v>
      </c>
      <c r="B324" s="26" t="s">
        <v>1135</v>
      </c>
      <c r="C324" s="25">
        <v>5.14</v>
      </c>
      <c r="D324" s="95"/>
    </row>
    <row r="325" spans="1:4" ht="31.5" outlineLevel="1">
      <c r="A325" s="25" t="s">
        <v>1033</v>
      </c>
      <c r="B325" s="26" t="s">
        <v>4</v>
      </c>
      <c r="C325" s="25">
        <v>5.19</v>
      </c>
      <c r="D325" s="95"/>
    </row>
    <row r="326" spans="1:4" ht="31.5" outlineLevel="1">
      <c r="A326" s="25" t="s">
        <v>1033</v>
      </c>
      <c r="B326" s="26" t="s">
        <v>178</v>
      </c>
      <c r="C326" s="25">
        <v>5.37</v>
      </c>
      <c r="D326" s="95"/>
    </row>
    <row r="327" spans="1:4" ht="31.5" outlineLevel="1">
      <c r="A327" s="25" t="s">
        <v>1033</v>
      </c>
      <c r="B327" s="26" t="s">
        <v>12</v>
      </c>
      <c r="C327" s="25">
        <v>5.69</v>
      </c>
      <c r="D327" s="95"/>
    </row>
    <row r="328" spans="1:4" ht="31.5" outlineLevel="1">
      <c r="A328" s="25" t="s">
        <v>1033</v>
      </c>
      <c r="B328" s="26" t="s">
        <v>786</v>
      </c>
      <c r="C328" s="27">
        <v>5.8</v>
      </c>
      <c r="D328" s="95"/>
    </row>
    <row r="329" spans="1:4" ht="31.5" outlineLevel="1">
      <c r="A329" s="25" t="s">
        <v>1033</v>
      </c>
      <c r="B329" s="26" t="s">
        <v>13</v>
      </c>
      <c r="C329" s="25">
        <v>5.75</v>
      </c>
      <c r="D329" s="95"/>
    </row>
    <row r="330" spans="1:4" ht="31.5" outlineLevel="1">
      <c r="A330" s="25" t="s">
        <v>1033</v>
      </c>
      <c r="B330" s="26" t="s">
        <v>14</v>
      </c>
      <c r="C330" s="27">
        <v>5.7</v>
      </c>
      <c r="D330" s="95"/>
    </row>
    <row r="331" spans="1:4" ht="31.5" outlineLevel="1">
      <c r="A331" s="25" t="s">
        <v>1033</v>
      </c>
      <c r="B331" s="26" t="s">
        <v>15</v>
      </c>
      <c r="C331" s="25">
        <v>5.74</v>
      </c>
      <c r="D331" s="95"/>
    </row>
    <row r="332" spans="1:4" ht="31.5" outlineLevel="1">
      <c r="A332" s="25" t="s">
        <v>1033</v>
      </c>
      <c r="B332" s="26" t="s">
        <v>17</v>
      </c>
      <c r="C332" s="25">
        <v>5.58</v>
      </c>
      <c r="D332" s="95"/>
    </row>
    <row r="333" spans="1:4" ht="31.5" outlineLevel="1">
      <c r="A333" s="25" t="s">
        <v>1033</v>
      </c>
      <c r="B333" s="26" t="s">
        <v>19</v>
      </c>
      <c r="C333" s="25">
        <v>5.55</v>
      </c>
      <c r="D333" s="95"/>
    </row>
    <row r="334" spans="1:4" ht="31.5" outlineLevel="1">
      <c r="A334" s="25" t="s">
        <v>1033</v>
      </c>
      <c r="B334" s="26" t="s">
        <v>20</v>
      </c>
      <c r="C334" s="25">
        <v>5.63</v>
      </c>
      <c r="D334" s="95"/>
    </row>
    <row r="335" spans="1:4" ht="31.5" outlineLevel="1">
      <c r="A335" s="25" t="s">
        <v>1033</v>
      </c>
      <c r="B335" s="26" t="s">
        <v>21</v>
      </c>
      <c r="C335" s="25">
        <v>5.65</v>
      </c>
      <c r="D335" s="95"/>
    </row>
    <row r="336" spans="1:4" ht="31.5" outlineLevel="1">
      <c r="A336" s="25" t="s">
        <v>1033</v>
      </c>
      <c r="B336" s="26" t="s">
        <v>22</v>
      </c>
      <c r="C336" s="25">
        <v>5.68</v>
      </c>
      <c r="D336" s="95"/>
    </row>
    <row r="337" spans="1:4" ht="31.5" outlineLevel="1">
      <c r="A337" s="25" t="s">
        <v>1033</v>
      </c>
      <c r="B337" s="26" t="s">
        <v>24</v>
      </c>
      <c r="C337" s="25">
        <v>5.47</v>
      </c>
      <c r="D337" s="95"/>
    </row>
    <row r="338" spans="1:4" ht="31.5" outlineLevel="1">
      <c r="A338" s="25" t="s">
        <v>1033</v>
      </c>
      <c r="B338" s="26" t="s">
        <v>25</v>
      </c>
      <c r="C338" s="25">
        <v>5.48</v>
      </c>
      <c r="D338" s="95"/>
    </row>
    <row r="339" spans="1:4" ht="31.5">
      <c r="A339" s="30" t="s">
        <v>1033</v>
      </c>
      <c r="B339" s="26"/>
      <c r="C339" s="25"/>
      <c r="D339" s="95"/>
    </row>
    <row r="340" spans="1:4" ht="31.5" outlineLevel="1">
      <c r="A340" s="25" t="s">
        <v>1039</v>
      </c>
      <c r="B340" s="26" t="s">
        <v>1145</v>
      </c>
      <c r="C340" s="25">
        <v>5.0999999999999996</v>
      </c>
      <c r="D340" s="95"/>
    </row>
    <row r="341" spans="1:4" ht="31.5" outlineLevel="1">
      <c r="A341" s="25" t="s">
        <v>1039</v>
      </c>
      <c r="B341" s="26" t="s">
        <v>1</v>
      </c>
      <c r="C341" s="25">
        <v>5.2</v>
      </c>
      <c r="D341" s="95"/>
    </row>
    <row r="342" spans="1:4" ht="31.5" outlineLevel="1">
      <c r="A342" s="25" t="s">
        <v>1039</v>
      </c>
      <c r="B342" s="26" t="s">
        <v>5</v>
      </c>
      <c r="C342" s="25">
        <v>5.26</v>
      </c>
      <c r="D342" s="95"/>
    </row>
    <row r="343" spans="1:4" ht="31.5" outlineLevel="1">
      <c r="A343" s="25" t="s">
        <v>1039</v>
      </c>
      <c r="B343" s="26" t="s">
        <v>1146</v>
      </c>
      <c r="C343" s="25">
        <v>5.38</v>
      </c>
      <c r="D343" s="95"/>
    </row>
    <row r="344" spans="1:4" ht="31.5" outlineLevel="1">
      <c r="A344" s="25" t="s">
        <v>1039</v>
      </c>
      <c r="B344" s="26" t="s">
        <v>1147</v>
      </c>
      <c r="C344" s="25">
        <v>5.39</v>
      </c>
      <c r="D344" s="95"/>
    </row>
    <row r="345" spans="1:4" ht="31.5" outlineLevel="1">
      <c r="A345" s="25" t="s">
        <v>1039</v>
      </c>
      <c r="B345" s="26" t="s">
        <v>1148</v>
      </c>
      <c r="C345" s="27">
        <v>5.6</v>
      </c>
      <c r="D345" s="95"/>
    </row>
    <row r="346" spans="1:4" ht="31.5" outlineLevel="1">
      <c r="A346" s="25" t="s">
        <v>1039</v>
      </c>
      <c r="B346" s="26" t="s">
        <v>25</v>
      </c>
      <c r="C346" s="25">
        <v>5.48</v>
      </c>
      <c r="D346" s="95"/>
    </row>
    <row r="347" spans="1:4" ht="31.5">
      <c r="A347" s="30" t="s">
        <v>1039</v>
      </c>
      <c r="B347" s="26"/>
      <c r="C347" s="25"/>
      <c r="D347" s="95"/>
    </row>
    <row r="348" spans="1:4" ht="31.5" outlineLevel="1">
      <c r="A348" s="25" t="s">
        <v>1043</v>
      </c>
      <c r="B348" s="26" t="s">
        <v>0</v>
      </c>
      <c r="C348" s="25">
        <v>5.0999999999999996</v>
      </c>
      <c r="D348" s="95"/>
    </row>
    <row r="349" spans="1:4" ht="31.5" outlineLevel="1">
      <c r="A349" s="25" t="s">
        <v>1043</v>
      </c>
      <c r="B349" s="26" t="s">
        <v>1</v>
      </c>
      <c r="C349" s="25">
        <v>5.2</v>
      </c>
      <c r="D349" s="95"/>
    </row>
    <row r="350" spans="1:4" ht="31.5" outlineLevel="1">
      <c r="A350" s="25" t="s">
        <v>1043</v>
      </c>
      <c r="B350" s="26" t="s">
        <v>2</v>
      </c>
      <c r="C350" s="25">
        <v>5.3</v>
      </c>
      <c r="D350" s="95"/>
    </row>
    <row r="351" spans="1:4" ht="31.5" outlineLevel="1">
      <c r="A351" s="25" t="s">
        <v>1043</v>
      </c>
      <c r="B351" s="26" t="s">
        <v>167</v>
      </c>
      <c r="C351" s="25">
        <v>5.6</v>
      </c>
      <c r="D351" s="95"/>
    </row>
    <row r="352" spans="1:4" ht="31.5" outlineLevel="1">
      <c r="A352" s="25" t="s">
        <v>1043</v>
      </c>
      <c r="B352" s="26" t="s">
        <v>1136</v>
      </c>
      <c r="C352" s="27">
        <v>5.0999999999999996</v>
      </c>
      <c r="D352" s="95"/>
    </row>
    <row r="353" spans="1:4" ht="31.5" outlineLevel="1">
      <c r="A353" s="25" t="s">
        <v>1043</v>
      </c>
      <c r="B353" s="26" t="s">
        <v>1135</v>
      </c>
      <c r="C353" s="25">
        <v>5.14</v>
      </c>
      <c r="D353" s="95"/>
    </row>
    <row r="354" spans="1:4" ht="31.5" outlineLevel="1">
      <c r="A354" s="25" t="s">
        <v>1043</v>
      </c>
      <c r="B354" s="26" t="s">
        <v>4</v>
      </c>
      <c r="C354" s="25">
        <v>5.19</v>
      </c>
      <c r="D354" s="95"/>
    </row>
    <row r="355" spans="1:4" ht="31.5" outlineLevel="1">
      <c r="A355" s="25" t="s">
        <v>1043</v>
      </c>
      <c r="B355" s="26" t="s">
        <v>169</v>
      </c>
      <c r="C355" s="25">
        <v>5.24</v>
      </c>
      <c r="D355" s="95"/>
    </row>
    <row r="356" spans="1:4" ht="31.5" outlineLevel="1">
      <c r="A356" s="25" t="s">
        <v>1043</v>
      </c>
      <c r="B356" s="26" t="s">
        <v>5</v>
      </c>
      <c r="C356" s="25">
        <v>5.26</v>
      </c>
      <c r="D356" s="95"/>
    </row>
    <row r="357" spans="1:4" ht="31.5" outlineLevel="1">
      <c r="A357" s="25" t="s">
        <v>1043</v>
      </c>
      <c r="B357" s="26" t="s">
        <v>6</v>
      </c>
      <c r="C357" s="25">
        <v>5.27</v>
      </c>
      <c r="D357" s="95"/>
    </row>
    <row r="358" spans="1:4" ht="31.5" outlineLevel="1">
      <c r="A358" s="25" t="s">
        <v>1043</v>
      </c>
      <c r="B358" s="26" t="s">
        <v>7</v>
      </c>
      <c r="C358" s="25">
        <v>5.28</v>
      </c>
      <c r="D358" s="95"/>
    </row>
    <row r="359" spans="1:4" ht="31.5" outlineLevel="1">
      <c r="A359" s="25" t="s">
        <v>1043</v>
      </c>
      <c r="B359" s="26" t="s">
        <v>170</v>
      </c>
      <c r="C359" s="25">
        <v>5.31</v>
      </c>
      <c r="D359" s="95"/>
    </row>
    <row r="360" spans="1:4" ht="31.5" outlineLevel="1">
      <c r="A360" s="25" t="s">
        <v>1043</v>
      </c>
      <c r="B360" s="26" t="s">
        <v>146</v>
      </c>
      <c r="C360" s="25">
        <v>5.36</v>
      </c>
      <c r="D360" s="95"/>
    </row>
    <row r="361" spans="1:4" ht="31.5" outlineLevel="1">
      <c r="A361" s="25" t="s">
        <v>1043</v>
      </c>
      <c r="B361" s="26" t="s">
        <v>178</v>
      </c>
      <c r="C361" s="25">
        <v>5.37</v>
      </c>
      <c r="D361" s="95"/>
    </row>
    <row r="362" spans="1:4" ht="31.5" outlineLevel="1">
      <c r="A362" s="25" t="s">
        <v>1043</v>
      </c>
      <c r="B362" s="26" t="s">
        <v>9</v>
      </c>
      <c r="C362" s="25">
        <v>5.49</v>
      </c>
      <c r="D362" s="95"/>
    </row>
    <row r="363" spans="1:4" ht="31.5" outlineLevel="1">
      <c r="A363" s="25" t="s">
        <v>1043</v>
      </c>
      <c r="B363" s="26" t="s">
        <v>10</v>
      </c>
      <c r="C363" s="25">
        <v>5.51</v>
      </c>
      <c r="D363" s="95"/>
    </row>
    <row r="364" spans="1:4" ht="31.5" outlineLevel="1">
      <c r="A364" s="25" t="s">
        <v>1043</v>
      </c>
      <c r="B364" s="26" t="s">
        <v>1137</v>
      </c>
      <c r="C364" s="25">
        <v>5.52</v>
      </c>
      <c r="D364" s="95"/>
    </row>
    <row r="365" spans="1:4" ht="31.5" outlineLevel="1">
      <c r="A365" s="25" t="s">
        <v>1043</v>
      </c>
      <c r="B365" s="26" t="s">
        <v>11</v>
      </c>
      <c r="C365" s="25">
        <v>5.53</v>
      </c>
      <c r="D365" s="95"/>
    </row>
    <row r="366" spans="1:4" ht="31.5" outlineLevel="1">
      <c r="A366" s="25" t="s">
        <v>1043</v>
      </c>
      <c r="B366" s="26" t="s">
        <v>12</v>
      </c>
      <c r="C366" s="25">
        <v>5.69</v>
      </c>
      <c r="D366" s="95"/>
    </row>
    <row r="367" spans="1:4" ht="31.5" outlineLevel="1">
      <c r="A367" s="25" t="s">
        <v>1043</v>
      </c>
      <c r="B367" s="26" t="s">
        <v>786</v>
      </c>
      <c r="C367" s="27">
        <v>5.8</v>
      </c>
      <c r="D367" s="95"/>
    </row>
    <row r="368" spans="1:4" ht="31.5" outlineLevel="1">
      <c r="A368" s="25" t="s">
        <v>1043</v>
      </c>
      <c r="B368" s="26" t="s">
        <v>940</v>
      </c>
      <c r="C368" s="27">
        <v>5.72</v>
      </c>
      <c r="D368" s="95"/>
    </row>
    <row r="369" spans="1:4" ht="31.5" outlineLevel="1">
      <c r="A369" s="25" t="s">
        <v>1043</v>
      </c>
      <c r="B369" s="26" t="s">
        <v>13</v>
      </c>
      <c r="C369" s="25">
        <v>5.75</v>
      </c>
      <c r="D369" s="95"/>
    </row>
    <row r="370" spans="1:4" ht="31.5" outlineLevel="1">
      <c r="A370" s="25" t="s">
        <v>1043</v>
      </c>
      <c r="B370" s="26" t="s">
        <v>14</v>
      </c>
      <c r="C370" s="27">
        <v>5.7</v>
      </c>
      <c r="D370" s="95"/>
    </row>
    <row r="371" spans="1:4" ht="31.5" outlineLevel="1">
      <c r="A371" s="25" t="s">
        <v>1043</v>
      </c>
      <c r="B371" s="26" t="s">
        <v>15</v>
      </c>
      <c r="C371" s="25">
        <v>5.74</v>
      </c>
      <c r="D371" s="95"/>
    </row>
    <row r="372" spans="1:4" ht="31.5" outlineLevel="1">
      <c r="A372" s="25" t="s">
        <v>1043</v>
      </c>
      <c r="B372" s="26" t="s">
        <v>443</v>
      </c>
      <c r="C372" s="25">
        <v>5.76</v>
      </c>
      <c r="D372" s="95"/>
    </row>
    <row r="373" spans="1:4" ht="31.5" outlineLevel="1">
      <c r="A373" s="25" t="s">
        <v>1043</v>
      </c>
      <c r="B373" s="26" t="s">
        <v>864</v>
      </c>
      <c r="C373" s="25">
        <v>5.89</v>
      </c>
      <c r="D373" s="94" t="s">
        <v>1134</v>
      </c>
    </row>
    <row r="374" spans="1:4" ht="31.5" outlineLevel="1">
      <c r="A374" s="25" t="s">
        <v>1043</v>
      </c>
      <c r="B374" s="26" t="s">
        <v>171</v>
      </c>
      <c r="C374" s="25">
        <v>5.109</v>
      </c>
      <c r="D374" s="94"/>
    </row>
    <row r="375" spans="1:4" ht="31.5" outlineLevel="1">
      <c r="A375" s="25" t="s">
        <v>1043</v>
      </c>
      <c r="B375" s="26" t="s">
        <v>172</v>
      </c>
      <c r="C375" s="25">
        <v>5.1109999999999998</v>
      </c>
      <c r="D375" s="95"/>
    </row>
    <row r="376" spans="1:4" ht="31.5" outlineLevel="1">
      <c r="A376" s="25" t="s">
        <v>1043</v>
      </c>
      <c r="B376" s="26" t="s">
        <v>155</v>
      </c>
      <c r="C376" s="25">
        <v>5.1120000000000001</v>
      </c>
      <c r="D376" s="95"/>
    </row>
    <row r="377" spans="1:4" ht="31.5" outlineLevel="1">
      <c r="A377" s="25" t="s">
        <v>1043</v>
      </c>
      <c r="B377" s="26" t="s">
        <v>1149</v>
      </c>
      <c r="C377" s="25">
        <v>5.1130000000000004</v>
      </c>
      <c r="D377" s="95"/>
    </row>
    <row r="378" spans="1:4" ht="31.5" outlineLevel="1">
      <c r="A378" s="25" t="s">
        <v>1043</v>
      </c>
      <c r="B378" s="26" t="s">
        <v>17</v>
      </c>
      <c r="C378" s="25">
        <v>5.58</v>
      </c>
      <c r="D378" s="95"/>
    </row>
    <row r="379" spans="1:4" ht="31.5" outlineLevel="1">
      <c r="A379" s="25" t="s">
        <v>1043</v>
      </c>
      <c r="B379" s="26" t="s">
        <v>18</v>
      </c>
      <c r="C379" s="25">
        <v>5.54</v>
      </c>
      <c r="D379" s="95"/>
    </row>
    <row r="380" spans="1:4" ht="31.5" outlineLevel="1">
      <c r="A380" s="25" t="s">
        <v>1043</v>
      </c>
      <c r="B380" s="26" t="s">
        <v>19</v>
      </c>
      <c r="C380" s="25">
        <v>5.55</v>
      </c>
      <c r="D380" s="95"/>
    </row>
    <row r="381" spans="1:4" ht="31.5" outlineLevel="1">
      <c r="A381" s="25" t="s">
        <v>1043</v>
      </c>
      <c r="B381" s="26" t="s">
        <v>20</v>
      </c>
      <c r="C381" s="25">
        <v>5.63</v>
      </c>
      <c r="D381" s="95"/>
    </row>
    <row r="382" spans="1:4" ht="31.5" outlineLevel="1">
      <c r="A382" s="25" t="s">
        <v>1043</v>
      </c>
      <c r="B382" s="26" t="s">
        <v>21</v>
      </c>
      <c r="C382" s="25">
        <v>5.65</v>
      </c>
      <c r="D382" s="95"/>
    </row>
    <row r="383" spans="1:4" ht="31.5" outlineLevel="1">
      <c r="A383" s="25" t="s">
        <v>1043</v>
      </c>
      <c r="B383" s="26" t="s">
        <v>186</v>
      </c>
      <c r="C383" s="25">
        <v>5.66</v>
      </c>
      <c r="D383" s="95"/>
    </row>
    <row r="384" spans="1:4" ht="31.5" outlineLevel="1">
      <c r="A384" s="25" t="s">
        <v>1043</v>
      </c>
      <c r="B384" s="26" t="s">
        <v>22</v>
      </c>
      <c r="C384" s="25">
        <v>5.68</v>
      </c>
      <c r="D384" s="95"/>
    </row>
    <row r="385" spans="1:4" ht="31.5" outlineLevel="1">
      <c r="A385" s="25" t="s">
        <v>1043</v>
      </c>
      <c r="B385" s="26" t="s">
        <v>24</v>
      </c>
      <c r="C385" s="25">
        <v>5.47</v>
      </c>
      <c r="D385" s="95"/>
    </row>
    <row r="386" spans="1:4" ht="31.5" outlineLevel="1">
      <c r="A386" s="25" t="s">
        <v>1043</v>
      </c>
      <c r="B386" s="26" t="s">
        <v>25</v>
      </c>
      <c r="C386" s="25">
        <v>5.48</v>
      </c>
      <c r="D386" s="95"/>
    </row>
    <row r="387" spans="1:4" ht="31.5">
      <c r="A387" s="30" t="s">
        <v>1043</v>
      </c>
      <c r="B387" s="26"/>
      <c r="C387" s="25"/>
      <c r="D387" s="95"/>
    </row>
    <row r="388" spans="1:4" ht="15.75" outlineLevel="1">
      <c r="A388" s="25" t="s">
        <v>1045</v>
      </c>
      <c r="B388" s="26" t="s">
        <v>0</v>
      </c>
      <c r="C388" s="25">
        <v>5.0999999999999996</v>
      </c>
      <c r="D388" s="95"/>
    </row>
    <row r="389" spans="1:4" ht="15.75" outlineLevel="1">
      <c r="A389" s="25" t="s">
        <v>1045</v>
      </c>
      <c r="B389" s="26" t="s">
        <v>1</v>
      </c>
      <c r="C389" s="25">
        <v>5.2</v>
      </c>
      <c r="D389" s="95"/>
    </row>
    <row r="390" spans="1:4" ht="15.75" outlineLevel="1">
      <c r="A390" s="25" t="s">
        <v>1045</v>
      </c>
      <c r="B390" s="26" t="s">
        <v>2</v>
      </c>
      <c r="C390" s="25">
        <v>5.3</v>
      </c>
      <c r="D390" s="95"/>
    </row>
    <row r="391" spans="1:4" ht="15.75" outlineLevel="1">
      <c r="A391" s="25" t="s">
        <v>1045</v>
      </c>
      <c r="B391" s="26" t="s">
        <v>167</v>
      </c>
      <c r="C391" s="25">
        <v>5.6</v>
      </c>
      <c r="D391" s="95"/>
    </row>
    <row r="392" spans="1:4" ht="15.75" outlineLevel="1">
      <c r="A392" s="25" t="s">
        <v>1045</v>
      </c>
      <c r="B392" s="26" t="s">
        <v>1136</v>
      </c>
      <c r="C392" s="27">
        <v>5.0999999999999996</v>
      </c>
      <c r="D392" s="95"/>
    </row>
    <row r="393" spans="1:4" ht="15.75" outlineLevel="1">
      <c r="A393" s="25" t="s">
        <v>1045</v>
      </c>
      <c r="B393" s="26" t="s">
        <v>1135</v>
      </c>
      <c r="C393" s="25">
        <v>5.14</v>
      </c>
      <c r="D393" s="95"/>
    </row>
    <row r="394" spans="1:4" ht="15.75" outlineLevel="1">
      <c r="A394" s="25" t="s">
        <v>1045</v>
      </c>
      <c r="B394" s="26" t="s">
        <v>4</v>
      </c>
      <c r="C394" s="25">
        <v>5.19</v>
      </c>
      <c r="D394" s="95"/>
    </row>
    <row r="395" spans="1:4" ht="15.75" outlineLevel="1">
      <c r="A395" s="25" t="s">
        <v>1045</v>
      </c>
      <c r="B395" s="26" t="s">
        <v>169</v>
      </c>
      <c r="C395" s="25">
        <v>5.24</v>
      </c>
      <c r="D395" s="95"/>
    </row>
    <row r="396" spans="1:4" ht="15.75" outlineLevel="1">
      <c r="A396" s="25" t="s">
        <v>1045</v>
      </c>
      <c r="B396" s="26" t="s">
        <v>5</v>
      </c>
      <c r="C396" s="25">
        <v>5.26</v>
      </c>
      <c r="D396" s="95"/>
    </row>
    <row r="397" spans="1:4" ht="15.75" outlineLevel="1">
      <c r="A397" s="25" t="s">
        <v>1045</v>
      </c>
      <c r="B397" s="26" t="s">
        <v>6</v>
      </c>
      <c r="C397" s="25">
        <v>5.27</v>
      </c>
      <c r="D397" s="95"/>
    </row>
    <row r="398" spans="1:4" ht="15.75" outlineLevel="1">
      <c r="A398" s="25" t="s">
        <v>1045</v>
      </c>
      <c r="B398" s="26" t="s">
        <v>7</v>
      </c>
      <c r="C398" s="25">
        <v>5.28</v>
      </c>
      <c r="D398" s="95"/>
    </row>
    <row r="399" spans="1:4" ht="15.75" outlineLevel="1">
      <c r="A399" s="25" t="s">
        <v>1045</v>
      </c>
      <c r="B399" s="26" t="s">
        <v>360</v>
      </c>
      <c r="C399" s="25">
        <v>5.29</v>
      </c>
      <c r="D399" s="95"/>
    </row>
    <row r="400" spans="1:4" ht="15.75" outlineLevel="1">
      <c r="A400" s="25" t="s">
        <v>1045</v>
      </c>
      <c r="B400" s="26" t="s">
        <v>170</v>
      </c>
      <c r="C400" s="25">
        <v>5.31</v>
      </c>
      <c r="D400" s="95"/>
    </row>
    <row r="401" spans="1:4" ht="15.75" outlineLevel="1">
      <c r="A401" s="25" t="s">
        <v>1045</v>
      </c>
      <c r="B401" s="26" t="s">
        <v>146</v>
      </c>
      <c r="C401" s="25">
        <v>5.36</v>
      </c>
      <c r="D401" s="95"/>
    </row>
    <row r="402" spans="1:4" ht="15.75" outlineLevel="1">
      <c r="A402" s="25" t="s">
        <v>1045</v>
      </c>
      <c r="B402" s="26" t="s">
        <v>178</v>
      </c>
      <c r="C402" s="25">
        <v>5.37</v>
      </c>
      <c r="D402" s="95"/>
    </row>
    <row r="403" spans="1:4" ht="15.75" outlineLevel="1">
      <c r="A403" s="25" t="s">
        <v>1045</v>
      </c>
      <c r="B403" s="26" t="s">
        <v>9</v>
      </c>
      <c r="C403" s="25">
        <v>5.49</v>
      </c>
      <c r="D403" s="95"/>
    </row>
    <row r="404" spans="1:4" ht="15.75" outlineLevel="1">
      <c r="A404" s="25" t="s">
        <v>1045</v>
      </c>
      <c r="B404" s="26" t="s">
        <v>10</v>
      </c>
      <c r="C404" s="25">
        <v>5.51</v>
      </c>
      <c r="D404" s="95"/>
    </row>
    <row r="405" spans="1:4" ht="15.75" outlineLevel="1">
      <c r="A405" s="25" t="s">
        <v>1045</v>
      </c>
      <c r="B405" s="26" t="s">
        <v>1137</v>
      </c>
      <c r="C405" s="25">
        <v>5.52</v>
      </c>
      <c r="D405" s="95"/>
    </row>
    <row r="406" spans="1:4" ht="15.75" outlineLevel="1">
      <c r="A406" s="25" t="s">
        <v>1045</v>
      </c>
      <c r="B406" s="26" t="s">
        <v>11</v>
      </c>
      <c r="C406" s="25">
        <v>5.53</v>
      </c>
      <c r="D406" s="95"/>
    </row>
    <row r="407" spans="1:4" ht="15.75" outlineLevel="1">
      <c r="A407" s="25" t="s">
        <v>1045</v>
      </c>
      <c r="B407" s="26" t="s">
        <v>12</v>
      </c>
      <c r="C407" s="25">
        <v>5.69</v>
      </c>
      <c r="D407" s="95"/>
    </row>
    <row r="408" spans="1:4" ht="15.75" outlineLevel="1">
      <c r="A408" s="25" t="s">
        <v>1045</v>
      </c>
      <c r="B408" s="26" t="s">
        <v>13</v>
      </c>
      <c r="C408" s="25">
        <v>5.75</v>
      </c>
      <c r="D408" s="95"/>
    </row>
    <row r="409" spans="1:4" ht="15.75" outlineLevel="1">
      <c r="A409" s="25" t="s">
        <v>1045</v>
      </c>
      <c r="B409" s="26" t="s">
        <v>15</v>
      </c>
      <c r="C409" s="25">
        <v>5.74</v>
      </c>
      <c r="D409" s="95"/>
    </row>
    <row r="410" spans="1:4" ht="15.75" outlineLevel="1">
      <c r="A410" s="25" t="s">
        <v>1045</v>
      </c>
      <c r="B410" s="26" t="s">
        <v>14</v>
      </c>
      <c r="C410" s="27">
        <v>5.7</v>
      </c>
      <c r="D410" s="95"/>
    </row>
    <row r="411" spans="1:4" ht="15.75" outlineLevel="1">
      <c r="A411" s="25" t="s">
        <v>1045</v>
      </c>
      <c r="B411" s="26" t="s">
        <v>443</v>
      </c>
      <c r="C411" s="25">
        <v>5.76</v>
      </c>
      <c r="D411" s="95"/>
    </row>
    <row r="412" spans="1:4" ht="15.75" outlineLevel="1">
      <c r="A412" s="25" t="s">
        <v>1045</v>
      </c>
      <c r="B412" s="26" t="s">
        <v>864</v>
      </c>
      <c r="C412" s="25">
        <v>5.89</v>
      </c>
      <c r="D412" s="94" t="s">
        <v>1134</v>
      </c>
    </row>
    <row r="413" spans="1:4" ht="15.75" outlineLevel="1">
      <c r="A413" s="25" t="s">
        <v>1045</v>
      </c>
      <c r="B413" s="26" t="s">
        <v>171</v>
      </c>
      <c r="C413" s="25">
        <v>5.109</v>
      </c>
      <c r="D413" s="95"/>
    </row>
    <row r="414" spans="1:4" ht="15.75" outlineLevel="1">
      <c r="A414" s="25" t="s">
        <v>1045</v>
      </c>
      <c r="B414" s="26" t="s">
        <v>172</v>
      </c>
      <c r="C414" s="25">
        <v>5.1109999999999998</v>
      </c>
      <c r="D414" s="95"/>
    </row>
    <row r="415" spans="1:4" ht="15.75" outlineLevel="1">
      <c r="A415" s="25" t="s">
        <v>1045</v>
      </c>
      <c r="B415" s="26" t="s">
        <v>155</v>
      </c>
      <c r="C415" s="25">
        <v>5.1120000000000001</v>
      </c>
      <c r="D415" s="95"/>
    </row>
    <row r="416" spans="1:4" ht="15.75" outlineLevel="1">
      <c r="A416" s="25" t="s">
        <v>1045</v>
      </c>
      <c r="B416" s="26" t="s">
        <v>1149</v>
      </c>
      <c r="C416" s="25">
        <v>5.1130000000000004</v>
      </c>
      <c r="D416" s="95"/>
    </row>
    <row r="417" spans="1:4" ht="15.75" outlineLevel="1">
      <c r="A417" s="25" t="s">
        <v>1045</v>
      </c>
      <c r="B417" s="26" t="s">
        <v>17</v>
      </c>
      <c r="C417" s="25">
        <v>5.58</v>
      </c>
      <c r="D417" s="95"/>
    </row>
    <row r="418" spans="1:4" ht="15.75" outlineLevel="1">
      <c r="A418" s="25" t="s">
        <v>1045</v>
      </c>
      <c r="B418" s="26" t="s">
        <v>18</v>
      </c>
      <c r="C418" s="25">
        <v>5.54</v>
      </c>
      <c r="D418" s="95"/>
    </row>
    <row r="419" spans="1:4" ht="15.75" outlineLevel="1">
      <c r="A419" s="25" t="s">
        <v>1045</v>
      </c>
      <c r="B419" s="26" t="s">
        <v>19</v>
      </c>
      <c r="C419" s="25">
        <v>5.55</v>
      </c>
      <c r="D419" s="95"/>
    </row>
    <row r="420" spans="1:4" ht="15.75" outlineLevel="1">
      <c r="A420" s="25" t="s">
        <v>1045</v>
      </c>
      <c r="B420" s="26" t="s">
        <v>20</v>
      </c>
      <c r="C420" s="25">
        <v>5.63</v>
      </c>
      <c r="D420" s="95"/>
    </row>
    <row r="421" spans="1:4" ht="15.75" outlineLevel="1">
      <c r="A421" s="25" t="s">
        <v>1045</v>
      </c>
      <c r="B421" s="26" t="s">
        <v>21</v>
      </c>
      <c r="C421" s="25">
        <v>5.65</v>
      </c>
      <c r="D421" s="95"/>
    </row>
    <row r="422" spans="1:4" ht="15.75" outlineLevel="1">
      <c r="A422" s="25" t="s">
        <v>1045</v>
      </c>
      <c r="B422" s="26" t="s">
        <v>186</v>
      </c>
      <c r="C422" s="25">
        <v>5.66</v>
      </c>
      <c r="D422" s="95"/>
    </row>
    <row r="423" spans="1:4" ht="15.75" outlineLevel="1">
      <c r="A423" s="25" t="s">
        <v>1045</v>
      </c>
      <c r="B423" s="26" t="s">
        <v>22</v>
      </c>
      <c r="C423" s="25">
        <v>5.68</v>
      </c>
      <c r="D423" s="95"/>
    </row>
    <row r="424" spans="1:4" ht="15.75" outlineLevel="1">
      <c r="A424" s="25" t="s">
        <v>1045</v>
      </c>
      <c r="B424" s="26" t="s">
        <v>24</v>
      </c>
      <c r="C424" s="25">
        <v>5.47</v>
      </c>
      <c r="D424" s="95"/>
    </row>
    <row r="425" spans="1:4" ht="15.75" outlineLevel="1">
      <c r="A425" s="25" t="s">
        <v>1045</v>
      </c>
      <c r="B425" s="26" t="s">
        <v>25</v>
      </c>
      <c r="C425" s="25">
        <v>5.48</v>
      </c>
      <c r="D425" s="95"/>
    </row>
    <row r="426" spans="1:4" ht="15.75">
      <c r="A426" s="30" t="s">
        <v>1045</v>
      </c>
      <c r="B426" s="26"/>
      <c r="C426" s="25"/>
      <c r="D426" s="95"/>
    </row>
    <row r="427" spans="1:4" ht="31.5" outlineLevel="1">
      <c r="A427" s="25" t="s">
        <v>1150</v>
      </c>
      <c r="B427" s="26" t="s">
        <v>0</v>
      </c>
      <c r="C427" s="25">
        <v>5.0999999999999996</v>
      </c>
      <c r="D427" s="95"/>
    </row>
    <row r="428" spans="1:4" ht="31.5" outlineLevel="1">
      <c r="A428" s="25" t="s">
        <v>1150</v>
      </c>
      <c r="B428" s="26" t="s">
        <v>1</v>
      </c>
      <c r="C428" s="25">
        <v>5.2</v>
      </c>
      <c r="D428" s="95"/>
    </row>
    <row r="429" spans="1:4" ht="31.5" outlineLevel="1">
      <c r="A429" s="25" t="s">
        <v>1150</v>
      </c>
      <c r="B429" s="26" t="s">
        <v>2</v>
      </c>
      <c r="C429" s="25">
        <v>5.3</v>
      </c>
      <c r="D429" s="95"/>
    </row>
    <row r="430" spans="1:4" ht="31.5" outlineLevel="1">
      <c r="A430" s="25" t="s">
        <v>1150</v>
      </c>
      <c r="B430" s="26" t="s">
        <v>167</v>
      </c>
      <c r="C430" s="25">
        <v>5.6</v>
      </c>
      <c r="D430" s="95"/>
    </row>
    <row r="431" spans="1:4" ht="31.5" outlineLevel="1">
      <c r="A431" s="25" t="s">
        <v>1150</v>
      </c>
      <c r="B431" s="26" t="s">
        <v>1136</v>
      </c>
      <c r="C431" s="27">
        <v>5.0999999999999996</v>
      </c>
      <c r="D431" s="95"/>
    </row>
    <row r="432" spans="1:4" ht="31.5" outlineLevel="1">
      <c r="A432" s="25" t="s">
        <v>1150</v>
      </c>
      <c r="B432" s="26" t="s">
        <v>1135</v>
      </c>
      <c r="C432" s="25">
        <v>5.14</v>
      </c>
      <c r="D432" s="95"/>
    </row>
    <row r="433" spans="1:4" ht="31.5" outlineLevel="1">
      <c r="A433" s="25" t="s">
        <v>1150</v>
      </c>
      <c r="B433" s="26" t="s">
        <v>4</v>
      </c>
      <c r="C433" s="25">
        <v>5.19</v>
      </c>
      <c r="D433" s="95"/>
    </row>
    <row r="434" spans="1:4" ht="31.5" outlineLevel="1">
      <c r="A434" s="25" t="s">
        <v>1150</v>
      </c>
      <c r="B434" s="26" t="s">
        <v>169</v>
      </c>
      <c r="C434" s="25">
        <v>5.24</v>
      </c>
      <c r="D434" s="95"/>
    </row>
    <row r="435" spans="1:4" ht="31.5" outlineLevel="1">
      <c r="A435" s="25" t="s">
        <v>1150</v>
      </c>
      <c r="B435" s="26" t="s">
        <v>5</v>
      </c>
      <c r="C435" s="25">
        <v>5.26</v>
      </c>
      <c r="D435" s="95"/>
    </row>
    <row r="436" spans="1:4" ht="31.5" outlineLevel="1">
      <c r="A436" s="25" t="s">
        <v>1150</v>
      </c>
      <c r="B436" s="26" t="s">
        <v>6</v>
      </c>
      <c r="C436" s="25">
        <v>5.27</v>
      </c>
      <c r="D436" s="95"/>
    </row>
    <row r="437" spans="1:4" ht="31.5" outlineLevel="1">
      <c r="A437" s="25" t="s">
        <v>1150</v>
      </c>
      <c r="B437" s="26" t="s">
        <v>7</v>
      </c>
      <c r="C437" s="25">
        <v>5.28</v>
      </c>
      <c r="D437" s="95"/>
    </row>
    <row r="438" spans="1:4" ht="31.5" outlineLevel="1">
      <c r="A438" s="25" t="s">
        <v>1150</v>
      </c>
      <c r="B438" s="26" t="s">
        <v>360</v>
      </c>
      <c r="C438" s="25">
        <v>5.29</v>
      </c>
      <c r="D438" s="95"/>
    </row>
    <row r="439" spans="1:4" ht="31.5" outlineLevel="1">
      <c r="A439" s="25" t="s">
        <v>1150</v>
      </c>
      <c r="B439" s="26" t="s">
        <v>170</v>
      </c>
      <c r="C439" s="25">
        <v>5.31</v>
      </c>
      <c r="D439" s="95"/>
    </row>
    <row r="440" spans="1:4" ht="31.5" outlineLevel="1">
      <c r="A440" s="25" t="s">
        <v>1150</v>
      </c>
      <c r="B440" s="26" t="s">
        <v>146</v>
      </c>
      <c r="C440" s="25">
        <v>5.36</v>
      </c>
      <c r="D440" s="95"/>
    </row>
    <row r="441" spans="1:4" ht="31.5" outlineLevel="1">
      <c r="A441" s="25" t="s">
        <v>1150</v>
      </c>
      <c r="B441" s="26" t="s">
        <v>178</v>
      </c>
      <c r="C441" s="25">
        <v>5.37</v>
      </c>
      <c r="D441" s="95"/>
    </row>
    <row r="442" spans="1:4" ht="31.5" outlineLevel="1">
      <c r="A442" s="25" t="s">
        <v>1150</v>
      </c>
      <c r="B442" s="26" t="s">
        <v>11</v>
      </c>
      <c r="C442" s="25">
        <v>5.53</v>
      </c>
      <c r="D442" s="95"/>
    </row>
    <row r="443" spans="1:4" ht="31.5" outlineLevel="1">
      <c r="A443" s="25" t="s">
        <v>1150</v>
      </c>
      <c r="B443" s="26" t="s">
        <v>171</v>
      </c>
      <c r="C443" s="25">
        <v>5.109</v>
      </c>
      <c r="D443" s="95"/>
    </row>
    <row r="444" spans="1:4" ht="31.5" outlineLevel="1">
      <c r="A444" s="25" t="s">
        <v>1150</v>
      </c>
      <c r="B444" s="26" t="s">
        <v>172</v>
      </c>
      <c r="C444" s="25">
        <v>5.1109999999999998</v>
      </c>
      <c r="D444" s="95"/>
    </row>
    <row r="445" spans="1:4" ht="31.5" outlineLevel="1">
      <c r="A445" s="25" t="s">
        <v>1150</v>
      </c>
      <c r="B445" s="26" t="s">
        <v>155</v>
      </c>
      <c r="C445" s="25">
        <v>5.1120000000000001</v>
      </c>
      <c r="D445" s="95"/>
    </row>
    <row r="446" spans="1:4" ht="31.5" outlineLevel="1">
      <c r="A446" s="25" t="s">
        <v>1150</v>
      </c>
      <c r="B446" s="26" t="s">
        <v>1149</v>
      </c>
      <c r="C446" s="25">
        <v>5.1130000000000004</v>
      </c>
      <c r="D446" s="95"/>
    </row>
    <row r="447" spans="1:4" ht="31.5" outlineLevel="1">
      <c r="A447" s="25" t="s">
        <v>1150</v>
      </c>
      <c r="B447" s="26" t="s">
        <v>17</v>
      </c>
      <c r="C447" s="25">
        <v>5.58</v>
      </c>
      <c r="D447" s="95"/>
    </row>
    <row r="448" spans="1:4" ht="31.5" outlineLevel="1">
      <c r="A448" s="25" t="s">
        <v>1150</v>
      </c>
      <c r="B448" s="26" t="s">
        <v>18</v>
      </c>
      <c r="C448" s="25">
        <v>5.54</v>
      </c>
      <c r="D448" s="95"/>
    </row>
    <row r="449" spans="1:4" ht="31.5" outlineLevel="1">
      <c r="A449" s="25" t="s">
        <v>1150</v>
      </c>
      <c r="B449" s="26" t="s">
        <v>19</v>
      </c>
      <c r="C449" s="25">
        <v>5.55</v>
      </c>
      <c r="D449" s="95"/>
    </row>
    <row r="450" spans="1:4" ht="31.5" outlineLevel="1">
      <c r="A450" s="25" t="s">
        <v>1150</v>
      </c>
      <c r="B450" s="26" t="s">
        <v>20</v>
      </c>
      <c r="C450" s="25">
        <v>5.63</v>
      </c>
      <c r="D450" s="95"/>
    </row>
    <row r="451" spans="1:4" ht="31.5" outlineLevel="1">
      <c r="A451" s="25" t="s">
        <v>1150</v>
      </c>
      <c r="B451" s="26" t="s">
        <v>24</v>
      </c>
      <c r="C451" s="25">
        <v>5.47</v>
      </c>
      <c r="D451" s="95"/>
    </row>
    <row r="452" spans="1:4" ht="31.5" outlineLevel="1">
      <c r="A452" s="25" t="s">
        <v>1150</v>
      </c>
      <c r="B452" s="26" t="s">
        <v>25</v>
      </c>
      <c r="C452" s="25">
        <v>5.48</v>
      </c>
      <c r="D452" s="95"/>
    </row>
    <row r="453" spans="1:4" ht="31.5">
      <c r="A453" s="30" t="s">
        <v>1150</v>
      </c>
      <c r="B453" s="26"/>
      <c r="C453" s="25"/>
      <c r="D453" s="95"/>
    </row>
    <row r="454" spans="1:4" ht="15.75" outlineLevel="1">
      <c r="A454" s="25" t="s">
        <v>808</v>
      </c>
      <c r="B454" s="26" t="s">
        <v>0</v>
      </c>
      <c r="C454" s="25">
        <v>5.0999999999999996</v>
      </c>
      <c r="D454" s="95"/>
    </row>
    <row r="455" spans="1:4" ht="15.75" outlineLevel="1">
      <c r="A455" s="25" t="s">
        <v>808</v>
      </c>
      <c r="B455" s="26" t="s">
        <v>1</v>
      </c>
      <c r="C455" s="25">
        <v>5.2</v>
      </c>
      <c r="D455" s="95"/>
    </row>
    <row r="456" spans="1:4" ht="15.75" outlineLevel="1">
      <c r="A456" s="25" t="s">
        <v>808</v>
      </c>
      <c r="B456" s="26" t="s">
        <v>228</v>
      </c>
      <c r="C456" s="25">
        <v>5.5</v>
      </c>
      <c r="D456" s="95"/>
    </row>
    <row r="457" spans="1:4" ht="15.75" outlineLevel="1">
      <c r="A457" s="25" t="s">
        <v>808</v>
      </c>
      <c r="B457" s="26" t="s">
        <v>229</v>
      </c>
      <c r="C457" s="25">
        <v>5.8</v>
      </c>
      <c r="D457" s="94" t="s">
        <v>1134</v>
      </c>
    </row>
    <row r="458" spans="1:4" ht="15.75" outlineLevel="1">
      <c r="A458" s="25" t="s">
        <v>808</v>
      </c>
      <c r="B458" s="26" t="s">
        <v>230</v>
      </c>
      <c r="C458" s="25">
        <v>5.12</v>
      </c>
      <c r="D458" s="94" t="s">
        <v>1134</v>
      </c>
    </row>
    <row r="459" spans="1:4" ht="15.75" outlineLevel="1">
      <c r="A459" s="25" t="s">
        <v>808</v>
      </c>
      <c r="B459" s="26" t="s">
        <v>231</v>
      </c>
      <c r="C459" s="25">
        <v>5.15</v>
      </c>
      <c r="D459" s="95"/>
    </row>
    <row r="460" spans="1:4" ht="15.75" outlineLevel="1">
      <c r="A460" s="25" t="s">
        <v>808</v>
      </c>
      <c r="B460" s="26" t="s">
        <v>232</v>
      </c>
      <c r="C460" s="27">
        <v>5.2</v>
      </c>
      <c r="D460" s="94"/>
    </row>
    <row r="461" spans="1:4" ht="15.75" outlineLevel="1">
      <c r="A461" s="25" t="s">
        <v>808</v>
      </c>
      <c r="B461" s="26" t="s">
        <v>233</v>
      </c>
      <c r="C461" s="25">
        <v>5.25</v>
      </c>
      <c r="D461" s="95"/>
    </row>
    <row r="462" spans="1:4" ht="15.75" outlineLevel="1">
      <c r="A462" s="25" t="s">
        <v>808</v>
      </c>
      <c r="B462" s="26" t="s">
        <v>5</v>
      </c>
      <c r="C462" s="25">
        <v>5.26</v>
      </c>
      <c r="D462" s="95"/>
    </row>
    <row r="463" spans="1:4" ht="15.75" outlineLevel="1">
      <c r="A463" s="25" t="s">
        <v>808</v>
      </c>
      <c r="B463" s="26" t="s">
        <v>865</v>
      </c>
      <c r="C463" s="25">
        <v>5.1139999999999999</v>
      </c>
      <c r="D463" s="94" t="s">
        <v>1134</v>
      </c>
    </row>
    <row r="464" spans="1:4" ht="15.75" outlineLevel="1">
      <c r="A464" s="25" t="s">
        <v>808</v>
      </c>
      <c r="B464" s="26" t="s">
        <v>6</v>
      </c>
      <c r="C464" s="25">
        <v>5.27</v>
      </c>
      <c r="D464" s="95"/>
    </row>
    <row r="465" spans="1:4" ht="15.75" outlineLevel="1">
      <c r="A465" s="25" t="s">
        <v>808</v>
      </c>
      <c r="B465" s="26" t="s">
        <v>1151</v>
      </c>
      <c r="C465" s="25">
        <v>5.1150000000000002</v>
      </c>
      <c r="D465" s="94" t="s">
        <v>1134</v>
      </c>
    </row>
    <row r="466" spans="1:4" ht="15.75" outlineLevel="1">
      <c r="A466" s="25" t="s">
        <v>808</v>
      </c>
      <c r="B466" s="26" t="s">
        <v>1152</v>
      </c>
      <c r="C466" s="25">
        <v>5.1159999999999997</v>
      </c>
      <c r="D466" s="94" t="s">
        <v>1134</v>
      </c>
    </row>
    <row r="467" spans="1:4" ht="15.75" outlineLevel="1">
      <c r="A467" s="25" t="s">
        <v>808</v>
      </c>
      <c r="B467" s="26" t="s">
        <v>7</v>
      </c>
      <c r="C467" s="25">
        <v>5.28</v>
      </c>
      <c r="D467" s="95"/>
    </row>
    <row r="468" spans="1:4" ht="15.75" outlineLevel="1">
      <c r="A468" s="25" t="s">
        <v>808</v>
      </c>
      <c r="B468" s="26" t="s">
        <v>146</v>
      </c>
      <c r="C468" s="25">
        <v>5.36</v>
      </c>
      <c r="D468" s="95"/>
    </row>
    <row r="469" spans="1:4" ht="15.75" outlineLevel="1">
      <c r="A469" s="25" t="s">
        <v>808</v>
      </c>
      <c r="B469" s="26" t="s">
        <v>178</v>
      </c>
      <c r="C469" s="25">
        <v>5.37</v>
      </c>
      <c r="D469" s="95"/>
    </row>
    <row r="470" spans="1:4" ht="15.75" outlineLevel="1">
      <c r="A470" s="25" t="s">
        <v>808</v>
      </c>
      <c r="B470" s="26" t="s">
        <v>11</v>
      </c>
      <c r="C470" s="25">
        <v>5.53</v>
      </c>
      <c r="D470" s="95"/>
    </row>
    <row r="471" spans="1:4" ht="15.75" outlineLevel="1">
      <c r="A471" s="25" t="s">
        <v>808</v>
      </c>
      <c r="B471" s="26" t="s">
        <v>171</v>
      </c>
      <c r="C471" s="25">
        <v>5.109</v>
      </c>
      <c r="D471" s="95"/>
    </row>
    <row r="472" spans="1:4" ht="15.75" outlineLevel="1">
      <c r="A472" s="25" t="s">
        <v>808</v>
      </c>
      <c r="B472" s="26" t="s">
        <v>172</v>
      </c>
      <c r="C472" s="25">
        <v>5.1109999999999998</v>
      </c>
      <c r="D472" s="95"/>
    </row>
    <row r="473" spans="1:4" ht="15.75" outlineLevel="1">
      <c r="A473" s="25" t="s">
        <v>808</v>
      </c>
      <c r="B473" s="26" t="s">
        <v>155</v>
      </c>
      <c r="C473" s="25">
        <v>5.1120000000000001</v>
      </c>
      <c r="D473" s="95"/>
    </row>
    <row r="474" spans="1:4" ht="15.75" outlineLevel="1">
      <c r="A474" s="25" t="s">
        <v>808</v>
      </c>
      <c r="B474" s="26" t="s">
        <v>18</v>
      </c>
      <c r="C474" s="25">
        <v>5.54</v>
      </c>
      <c r="D474" s="95"/>
    </row>
    <row r="475" spans="1:4" ht="15.75" outlineLevel="1">
      <c r="A475" s="25" t="s">
        <v>808</v>
      </c>
      <c r="B475" s="26" t="s">
        <v>1153</v>
      </c>
      <c r="C475" s="25">
        <v>5.61</v>
      </c>
      <c r="D475" s="95"/>
    </row>
    <row r="476" spans="1:4" ht="15.75" outlineLevel="1">
      <c r="A476" s="25" t="s">
        <v>808</v>
      </c>
      <c r="B476" s="26" t="s">
        <v>20</v>
      </c>
      <c r="C476" s="25">
        <v>5.63</v>
      </c>
      <c r="D476" s="95"/>
    </row>
    <row r="477" spans="1:4" ht="15.75" outlineLevel="1">
      <c r="A477" s="25" t="s">
        <v>808</v>
      </c>
      <c r="B477" s="26" t="s">
        <v>1154</v>
      </c>
      <c r="C477" s="25">
        <v>5.46</v>
      </c>
      <c r="D477" s="95"/>
    </row>
    <row r="478" spans="1:4" ht="15.75" outlineLevel="1">
      <c r="A478" s="25" t="s">
        <v>808</v>
      </c>
      <c r="B478" s="26" t="s">
        <v>24</v>
      </c>
      <c r="C478" s="25">
        <v>5.47</v>
      </c>
      <c r="D478" s="95"/>
    </row>
    <row r="479" spans="1:4" ht="15.75" outlineLevel="1">
      <c r="A479" s="25" t="s">
        <v>808</v>
      </c>
      <c r="B479" s="26" t="s">
        <v>25</v>
      </c>
      <c r="C479" s="25">
        <v>5.48</v>
      </c>
      <c r="D479" s="95"/>
    </row>
    <row r="480" spans="1:4" ht="15.75">
      <c r="A480" s="30" t="s">
        <v>808</v>
      </c>
      <c r="B480" s="26"/>
      <c r="C480" s="25"/>
      <c r="D480" s="95"/>
    </row>
    <row r="481" spans="1:4" ht="15.75" outlineLevel="1">
      <c r="A481" s="25" t="s">
        <v>1155</v>
      </c>
      <c r="B481" s="26" t="s">
        <v>0</v>
      </c>
      <c r="C481" s="25">
        <v>5.0999999999999996</v>
      </c>
      <c r="D481" s="95"/>
    </row>
    <row r="482" spans="1:4" ht="15.75" outlineLevel="1">
      <c r="A482" s="25" t="s">
        <v>1155</v>
      </c>
      <c r="B482" s="26" t="s">
        <v>1</v>
      </c>
      <c r="C482" s="25">
        <v>5.2</v>
      </c>
      <c r="D482" s="95"/>
    </row>
    <row r="483" spans="1:4" ht="15.75" outlineLevel="1">
      <c r="A483" s="25" t="s">
        <v>1155</v>
      </c>
      <c r="B483" s="26" t="s">
        <v>2</v>
      </c>
      <c r="C483" s="25">
        <v>5.3</v>
      </c>
      <c r="D483" s="95"/>
    </row>
    <row r="484" spans="1:4" ht="15.75" outlineLevel="1">
      <c r="A484" s="25" t="s">
        <v>1155</v>
      </c>
      <c r="B484" s="26" t="s">
        <v>167</v>
      </c>
      <c r="C484" s="25">
        <v>5.6</v>
      </c>
      <c r="D484" s="95"/>
    </row>
    <row r="485" spans="1:4" ht="15.75" outlineLevel="1">
      <c r="A485" s="25" t="s">
        <v>1155</v>
      </c>
      <c r="B485" s="26" t="s">
        <v>1136</v>
      </c>
      <c r="C485" s="27">
        <v>5.0999999999999996</v>
      </c>
      <c r="D485" s="95"/>
    </row>
    <row r="486" spans="1:4" ht="15.75" outlineLevel="1">
      <c r="A486" s="25" t="s">
        <v>1155</v>
      </c>
      <c r="B486" s="26" t="s">
        <v>1135</v>
      </c>
      <c r="C486" s="25">
        <v>5.14</v>
      </c>
      <c r="D486" s="95"/>
    </row>
    <row r="487" spans="1:4" ht="15.75" outlineLevel="1">
      <c r="A487" s="25" t="s">
        <v>1155</v>
      </c>
      <c r="B487" s="26" t="s">
        <v>4</v>
      </c>
      <c r="C487" s="25">
        <v>5.19</v>
      </c>
      <c r="D487" s="95"/>
    </row>
    <row r="488" spans="1:4" ht="15.75" outlineLevel="1">
      <c r="A488" s="25" t="s">
        <v>1155</v>
      </c>
      <c r="B488" s="26" t="s">
        <v>169</v>
      </c>
      <c r="C488" s="25">
        <v>5.24</v>
      </c>
      <c r="D488" s="95"/>
    </row>
    <row r="489" spans="1:4" ht="15.75" outlineLevel="1">
      <c r="A489" s="25" t="s">
        <v>1155</v>
      </c>
      <c r="B489" s="26" t="s">
        <v>6</v>
      </c>
      <c r="C489" s="25">
        <v>5.27</v>
      </c>
      <c r="D489" s="95"/>
    </row>
    <row r="490" spans="1:4" ht="15.75" outlineLevel="1">
      <c r="A490" s="25" t="s">
        <v>1155</v>
      </c>
      <c r="B490" s="26" t="s">
        <v>7</v>
      </c>
      <c r="C490" s="25">
        <v>5.28</v>
      </c>
      <c r="D490" s="95"/>
    </row>
    <row r="491" spans="1:4" ht="15.75" outlineLevel="1">
      <c r="A491" s="25" t="s">
        <v>1155</v>
      </c>
      <c r="B491" s="26" t="s">
        <v>360</v>
      </c>
      <c r="C491" s="25">
        <v>5.29</v>
      </c>
      <c r="D491" s="95"/>
    </row>
    <row r="492" spans="1:4" ht="15.75" outlineLevel="1">
      <c r="A492" s="25" t="s">
        <v>1155</v>
      </c>
      <c r="B492" s="26" t="s">
        <v>1140</v>
      </c>
      <c r="C492" s="25">
        <v>5.34</v>
      </c>
      <c r="D492" s="95"/>
    </row>
    <row r="493" spans="1:4" ht="15.75" outlineLevel="1">
      <c r="A493" s="25" t="s">
        <v>1155</v>
      </c>
      <c r="B493" s="26" t="s">
        <v>170</v>
      </c>
      <c r="C493" s="25">
        <v>5.31</v>
      </c>
      <c r="D493" s="95"/>
    </row>
    <row r="494" spans="1:4" ht="15.75" outlineLevel="1">
      <c r="A494" s="25" t="s">
        <v>1155</v>
      </c>
      <c r="B494" s="26" t="s">
        <v>1141</v>
      </c>
      <c r="C494" s="25">
        <v>5.101</v>
      </c>
      <c r="D494" s="95"/>
    </row>
    <row r="495" spans="1:4" ht="15.75" outlineLevel="1">
      <c r="A495" s="25" t="s">
        <v>1155</v>
      </c>
      <c r="B495" s="26" t="s">
        <v>146</v>
      </c>
      <c r="C495" s="25">
        <v>5.36</v>
      </c>
      <c r="D495" s="95"/>
    </row>
    <row r="496" spans="1:4" ht="15.75" outlineLevel="1">
      <c r="A496" s="25" t="s">
        <v>1155</v>
      </c>
      <c r="B496" s="26" t="s">
        <v>178</v>
      </c>
      <c r="C496" s="25">
        <v>5.37</v>
      </c>
      <c r="D496" s="95"/>
    </row>
    <row r="497" spans="1:4" ht="15.75" outlineLevel="1">
      <c r="A497" s="25" t="s">
        <v>1155</v>
      </c>
      <c r="B497" s="26" t="s">
        <v>11</v>
      </c>
      <c r="C497" s="25">
        <v>5.53</v>
      </c>
      <c r="D497" s="95"/>
    </row>
    <row r="498" spans="1:4" ht="15.75" outlineLevel="1">
      <c r="A498" s="25" t="s">
        <v>1155</v>
      </c>
      <c r="B498" s="26" t="s">
        <v>171</v>
      </c>
      <c r="C498" s="25">
        <v>5.109</v>
      </c>
      <c r="D498" s="95"/>
    </row>
    <row r="499" spans="1:4" ht="15.75" outlineLevel="1">
      <c r="A499" s="25" t="s">
        <v>1155</v>
      </c>
      <c r="B499" s="26" t="s">
        <v>172</v>
      </c>
      <c r="C499" s="25">
        <v>5.1109999999999998</v>
      </c>
      <c r="D499" s="95"/>
    </row>
    <row r="500" spans="1:4" ht="15.75" outlineLevel="1">
      <c r="A500" s="25" t="s">
        <v>1155</v>
      </c>
      <c r="B500" s="26" t="s">
        <v>155</v>
      </c>
      <c r="C500" s="25">
        <v>5.1120000000000001</v>
      </c>
      <c r="D500" s="95"/>
    </row>
    <row r="501" spans="1:4" ht="15.75" outlineLevel="1">
      <c r="A501" s="25" t="s">
        <v>1155</v>
      </c>
      <c r="B501" s="26" t="s">
        <v>1142</v>
      </c>
      <c r="C501" s="25">
        <v>5.1020000000000003</v>
      </c>
      <c r="D501" s="95"/>
    </row>
    <row r="502" spans="1:4" ht="15.75" outlineLevel="1">
      <c r="A502" s="25" t="s">
        <v>1155</v>
      </c>
      <c r="B502" s="26" t="s">
        <v>1143</v>
      </c>
      <c r="C502" s="28">
        <v>5.0999999999999996</v>
      </c>
      <c r="D502" s="95"/>
    </row>
    <row r="503" spans="1:4" ht="15.75" outlineLevel="1">
      <c r="A503" s="25" t="s">
        <v>1155</v>
      </c>
      <c r="B503" s="26" t="s">
        <v>17</v>
      </c>
      <c r="C503" s="25">
        <v>5.58</v>
      </c>
      <c r="D503" s="95"/>
    </row>
    <row r="504" spans="1:4" ht="15.75" outlineLevel="1">
      <c r="A504" s="25" t="s">
        <v>1155</v>
      </c>
      <c r="B504" s="26" t="s">
        <v>19</v>
      </c>
      <c r="C504" s="25">
        <v>5.55</v>
      </c>
      <c r="D504" s="95"/>
    </row>
    <row r="505" spans="1:4" ht="15.75" outlineLevel="1">
      <c r="A505" s="25" t="s">
        <v>1155</v>
      </c>
      <c r="B505" s="26" t="s">
        <v>18</v>
      </c>
      <c r="C505" s="25">
        <v>5.54</v>
      </c>
      <c r="D505" s="95"/>
    </row>
    <row r="506" spans="1:4" ht="15.75" outlineLevel="1">
      <c r="A506" s="25" t="s">
        <v>1155</v>
      </c>
      <c r="B506" s="26" t="s">
        <v>20</v>
      </c>
      <c r="C506" s="25">
        <v>5.63</v>
      </c>
      <c r="D506" s="95"/>
    </row>
    <row r="507" spans="1:4" ht="15.75" outlineLevel="1">
      <c r="A507" s="25" t="s">
        <v>1155</v>
      </c>
      <c r="B507" s="26" t="s">
        <v>24</v>
      </c>
      <c r="C507" s="25">
        <v>5.47</v>
      </c>
      <c r="D507" s="95"/>
    </row>
    <row r="508" spans="1:4" ht="15.75" outlineLevel="1">
      <c r="A508" s="25" t="s">
        <v>1155</v>
      </c>
      <c r="B508" s="26" t="s">
        <v>25</v>
      </c>
      <c r="C508" s="25">
        <v>5.48</v>
      </c>
      <c r="D508" s="95"/>
    </row>
    <row r="509" spans="1:4" ht="15.75">
      <c r="A509" s="30" t="s">
        <v>1155</v>
      </c>
      <c r="B509" s="26"/>
      <c r="C509" s="25"/>
      <c r="D509" s="95"/>
    </row>
    <row r="510" spans="1:4" ht="15.75" outlineLevel="1">
      <c r="A510" s="25" t="s">
        <v>1063</v>
      </c>
      <c r="B510" s="26" t="s">
        <v>0</v>
      </c>
      <c r="C510" s="25">
        <v>5.0999999999999996</v>
      </c>
      <c r="D510" s="95"/>
    </row>
    <row r="511" spans="1:4" ht="15.75" outlineLevel="1">
      <c r="A511" s="25" t="s">
        <v>1063</v>
      </c>
      <c r="B511" s="26" t="s">
        <v>1</v>
      </c>
      <c r="C511" s="25">
        <v>5.2</v>
      </c>
      <c r="D511" s="95"/>
    </row>
    <row r="512" spans="1:4" ht="15.75" outlineLevel="1">
      <c r="A512" s="25" t="s">
        <v>1063</v>
      </c>
      <c r="B512" s="26" t="s">
        <v>2</v>
      </c>
      <c r="C512" s="25">
        <v>5.3</v>
      </c>
      <c r="D512" s="95"/>
    </row>
    <row r="513" spans="1:4" ht="15.75" outlineLevel="1">
      <c r="A513" s="25" t="s">
        <v>1063</v>
      </c>
      <c r="B513" s="26" t="s">
        <v>167</v>
      </c>
      <c r="C513" s="25">
        <v>5.6</v>
      </c>
      <c r="D513" s="95"/>
    </row>
    <row r="514" spans="1:4" ht="15.75" outlineLevel="1">
      <c r="A514" s="25" t="s">
        <v>1063</v>
      </c>
      <c r="B514" s="26" t="s">
        <v>1136</v>
      </c>
      <c r="C514" s="27">
        <v>5.0999999999999996</v>
      </c>
      <c r="D514" s="95"/>
    </row>
    <row r="515" spans="1:4" ht="15.75" outlineLevel="1">
      <c r="A515" s="25" t="s">
        <v>1063</v>
      </c>
      <c r="B515" s="26" t="s">
        <v>1135</v>
      </c>
      <c r="C515" s="25">
        <v>5.14</v>
      </c>
      <c r="D515" s="95"/>
    </row>
    <row r="516" spans="1:4" ht="15.75" outlineLevel="1">
      <c r="A516" s="25" t="s">
        <v>1063</v>
      </c>
      <c r="B516" s="26" t="s">
        <v>4</v>
      </c>
      <c r="C516" s="25">
        <v>5.19</v>
      </c>
      <c r="D516" s="95"/>
    </row>
    <row r="517" spans="1:4" ht="15.75" outlineLevel="1">
      <c r="A517" s="25" t="s">
        <v>1063</v>
      </c>
      <c r="B517" s="26" t="s">
        <v>169</v>
      </c>
      <c r="C517" s="25">
        <v>5.24</v>
      </c>
      <c r="D517" s="95"/>
    </row>
    <row r="518" spans="1:4" ht="15.75" outlineLevel="1">
      <c r="A518" s="25" t="s">
        <v>1063</v>
      </c>
      <c r="B518" s="26" t="s">
        <v>5</v>
      </c>
      <c r="C518" s="25">
        <v>5.26</v>
      </c>
      <c r="D518" s="95"/>
    </row>
    <row r="519" spans="1:4" ht="15.75" outlineLevel="1">
      <c r="A519" s="25" t="s">
        <v>1063</v>
      </c>
      <c r="B519" s="26" t="s">
        <v>6</v>
      </c>
      <c r="C519" s="25">
        <v>5.27</v>
      </c>
      <c r="D519" s="95"/>
    </row>
    <row r="520" spans="1:4" ht="15.75" outlineLevel="1">
      <c r="A520" s="25" t="s">
        <v>1063</v>
      </c>
      <c r="B520" s="26" t="s">
        <v>7</v>
      </c>
      <c r="C520" s="25">
        <v>5.28</v>
      </c>
      <c r="D520" s="95"/>
    </row>
    <row r="521" spans="1:4" ht="15.75" outlineLevel="1">
      <c r="A521" s="25" t="s">
        <v>1063</v>
      </c>
      <c r="B521" s="26" t="s">
        <v>170</v>
      </c>
      <c r="C521" s="25">
        <v>5.31</v>
      </c>
      <c r="D521" s="95"/>
    </row>
    <row r="522" spans="1:4" ht="15.75" outlineLevel="1">
      <c r="A522" s="25" t="s">
        <v>1063</v>
      </c>
      <c r="B522" s="26" t="s">
        <v>202</v>
      </c>
      <c r="C522" s="25">
        <v>5.33</v>
      </c>
      <c r="D522" s="95"/>
    </row>
    <row r="523" spans="1:4" ht="15.75" outlineLevel="1">
      <c r="A523" s="25" t="s">
        <v>1063</v>
      </c>
      <c r="B523" s="26" t="s">
        <v>1141</v>
      </c>
      <c r="C523" s="25">
        <v>5.101</v>
      </c>
      <c r="D523" s="95"/>
    </row>
    <row r="524" spans="1:4" ht="15.75" outlineLevel="1">
      <c r="A524" s="25" t="s">
        <v>1063</v>
      </c>
      <c r="B524" s="26" t="s">
        <v>146</v>
      </c>
      <c r="C524" s="25">
        <v>5.36</v>
      </c>
      <c r="D524" s="95"/>
    </row>
    <row r="525" spans="1:4" ht="15.75" outlineLevel="1">
      <c r="A525" s="25" t="s">
        <v>1063</v>
      </c>
      <c r="B525" s="26" t="s">
        <v>178</v>
      </c>
      <c r="C525" s="25">
        <v>5.37</v>
      </c>
      <c r="D525" s="95"/>
    </row>
    <row r="526" spans="1:4" ht="15.75" outlineLevel="1">
      <c r="A526" s="25" t="s">
        <v>1063</v>
      </c>
      <c r="B526" s="26" t="s">
        <v>11</v>
      </c>
      <c r="C526" s="25">
        <v>5.53</v>
      </c>
      <c r="D526" s="95"/>
    </row>
    <row r="527" spans="1:4" ht="15.75" outlineLevel="1">
      <c r="A527" s="25" t="s">
        <v>1063</v>
      </c>
      <c r="B527" s="26" t="s">
        <v>171</v>
      </c>
      <c r="C527" s="25">
        <v>5.109</v>
      </c>
      <c r="D527" s="95"/>
    </row>
    <row r="528" spans="1:4" ht="15.75" outlineLevel="1">
      <c r="A528" s="25" t="s">
        <v>1063</v>
      </c>
      <c r="B528" s="26" t="s">
        <v>172</v>
      </c>
      <c r="C528" s="25">
        <v>5.1109999999999998</v>
      </c>
      <c r="D528" s="95"/>
    </row>
    <row r="529" spans="1:4" ht="15.75" outlineLevel="1">
      <c r="A529" s="25" t="s">
        <v>1063</v>
      </c>
      <c r="B529" s="26" t="s">
        <v>155</v>
      </c>
      <c r="C529" s="25">
        <v>5.1120000000000001</v>
      </c>
      <c r="D529" s="95"/>
    </row>
    <row r="530" spans="1:4" ht="15.75" outlineLevel="1">
      <c r="A530" s="25" t="s">
        <v>1063</v>
      </c>
      <c r="B530" s="26" t="s">
        <v>1142</v>
      </c>
      <c r="C530" s="25">
        <v>5.1020000000000003</v>
      </c>
      <c r="D530" s="95"/>
    </row>
    <row r="531" spans="1:4" ht="15.75" outlineLevel="1">
      <c r="A531" s="25" t="s">
        <v>1063</v>
      </c>
      <c r="B531" s="26" t="s">
        <v>1143</v>
      </c>
      <c r="C531" s="28">
        <v>5.0999999999999996</v>
      </c>
      <c r="D531" s="95"/>
    </row>
    <row r="532" spans="1:4" ht="15.75" outlineLevel="1">
      <c r="A532" s="25" t="s">
        <v>1063</v>
      </c>
      <c r="B532" s="26" t="s">
        <v>17</v>
      </c>
      <c r="C532" s="25">
        <v>5.58</v>
      </c>
      <c r="D532" s="95"/>
    </row>
    <row r="533" spans="1:4" ht="15.75" outlineLevel="1">
      <c r="A533" s="25" t="s">
        <v>1063</v>
      </c>
      <c r="B533" s="26" t="s">
        <v>19</v>
      </c>
      <c r="C533" s="25">
        <v>5.55</v>
      </c>
      <c r="D533" s="95"/>
    </row>
    <row r="534" spans="1:4" ht="15.75" outlineLevel="1">
      <c r="A534" s="25" t="s">
        <v>1063</v>
      </c>
      <c r="B534" s="26" t="s">
        <v>18</v>
      </c>
      <c r="C534" s="25">
        <v>5.54</v>
      </c>
      <c r="D534" s="95"/>
    </row>
    <row r="535" spans="1:4" ht="15.75" outlineLevel="1">
      <c r="A535" s="25" t="s">
        <v>1063</v>
      </c>
      <c r="B535" s="26" t="s">
        <v>20</v>
      </c>
      <c r="C535" s="25">
        <v>5.63</v>
      </c>
      <c r="D535" s="95"/>
    </row>
    <row r="536" spans="1:4" ht="15.75" outlineLevel="1">
      <c r="A536" s="25" t="s">
        <v>1063</v>
      </c>
      <c r="B536" s="26" t="s">
        <v>24</v>
      </c>
      <c r="C536" s="25">
        <v>5.47</v>
      </c>
      <c r="D536" s="95"/>
    </row>
    <row r="537" spans="1:4" ht="15.75" outlineLevel="1">
      <c r="A537" s="25" t="s">
        <v>1063</v>
      </c>
      <c r="B537" s="26" t="s">
        <v>25</v>
      </c>
      <c r="C537" s="25">
        <v>5.48</v>
      </c>
      <c r="D537" s="95"/>
    </row>
    <row r="538" spans="1:4" ht="15.75">
      <c r="A538" s="30" t="s">
        <v>1063</v>
      </c>
      <c r="B538" s="26"/>
      <c r="C538" s="25"/>
      <c r="D538" s="95"/>
    </row>
    <row r="539" spans="1:4" ht="15.75" outlineLevel="1">
      <c r="A539" s="25" t="s">
        <v>1072</v>
      </c>
      <c r="B539" s="26" t="s">
        <v>0</v>
      </c>
      <c r="C539" s="25">
        <v>5.0999999999999996</v>
      </c>
      <c r="D539" s="95"/>
    </row>
    <row r="540" spans="1:4" ht="15.75" outlineLevel="1">
      <c r="A540" s="25" t="s">
        <v>1072</v>
      </c>
      <c r="B540" s="26" t="s">
        <v>1</v>
      </c>
      <c r="C540" s="25">
        <v>5.2</v>
      </c>
      <c r="D540" s="95"/>
    </row>
    <row r="541" spans="1:4" ht="15.75" outlineLevel="1">
      <c r="A541" s="25" t="s">
        <v>1072</v>
      </c>
      <c r="B541" s="26" t="s">
        <v>5</v>
      </c>
      <c r="C541" s="25">
        <v>5.26</v>
      </c>
      <c r="D541" s="95"/>
    </row>
    <row r="542" spans="1:4" ht="15.75" outlineLevel="1">
      <c r="A542" s="25" t="s">
        <v>1072</v>
      </c>
      <c r="B542" s="26" t="s">
        <v>1156</v>
      </c>
      <c r="C542" s="25">
        <v>5.21</v>
      </c>
      <c r="D542" s="95"/>
    </row>
    <row r="543" spans="1:4" ht="15.75" outlineLevel="1">
      <c r="A543" s="25" t="s">
        <v>1072</v>
      </c>
      <c r="B543" s="26" t="s">
        <v>1157</v>
      </c>
      <c r="C543" s="25">
        <v>5.53</v>
      </c>
      <c r="D543" s="95"/>
    </row>
    <row r="544" spans="1:4" ht="15.75" outlineLevel="1">
      <c r="A544" s="25" t="s">
        <v>1072</v>
      </c>
      <c r="B544" s="26" t="s">
        <v>18</v>
      </c>
      <c r="C544" s="25">
        <v>5.54</v>
      </c>
      <c r="D544" s="95"/>
    </row>
    <row r="545" spans="1:4" ht="15.75" outlineLevel="1">
      <c r="A545" s="25" t="s">
        <v>1072</v>
      </c>
      <c r="B545" s="26" t="s">
        <v>1158</v>
      </c>
      <c r="C545" s="25">
        <v>5.58</v>
      </c>
      <c r="D545" s="95"/>
    </row>
    <row r="546" spans="1:4" ht="15.75" outlineLevel="1">
      <c r="A546" s="25" t="s">
        <v>1072</v>
      </c>
      <c r="B546" s="26" t="s">
        <v>1159</v>
      </c>
      <c r="C546" s="25">
        <v>5.1180000000000003</v>
      </c>
      <c r="D546" s="95"/>
    </row>
    <row r="547" spans="1:4" ht="15.75" outlineLevel="1">
      <c r="A547" s="25" t="s">
        <v>1072</v>
      </c>
      <c r="B547" s="26" t="s">
        <v>1160</v>
      </c>
      <c r="C547" s="25">
        <v>5.47</v>
      </c>
      <c r="D547" s="95"/>
    </row>
    <row r="548" spans="1:4" ht="15.75" outlineLevel="1">
      <c r="A548" s="25" t="s">
        <v>1072</v>
      </c>
      <c r="B548" s="26" t="s">
        <v>1161</v>
      </c>
      <c r="C548" s="25">
        <v>5.48</v>
      </c>
      <c r="D548" s="95"/>
    </row>
    <row r="549" spans="1:4" ht="15.75" outlineLevel="1">
      <c r="A549" s="25" t="s">
        <v>1072</v>
      </c>
      <c r="B549" s="26" t="s">
        <v>1162</v>
      </c>
      <c r="C549" s="25">
        <v>5.21</v>
      </c>
      <c r="D549" s="95"/>
    </row>
    <row r="550" spans="1:4" ht="15.75" outlineLevel="1">
      <c r="A550" s="25" t="s">
        <v>1072</v>
      </c>
      <c r="B550" s="26" t="s">
        <v>1163</v>
      </c>
      <c r="C550" s="25">
        <v>5.53</v>
      </c>
      <c r="D550" s="95"/>
    </row>
    <row r="551" spans="1:4" ht="15.75" outlineLevel="1">
      <c r="A551" s="25" t="s">
        <v>1072</v>
      </c>
      <c r="B551" s="26" t="s">
        <v>18</v>
      </c>
      <c r="C551" s="25">
        <v>5.54</v>
      </c>
      <c r="D551" s="95"/>
    </row>
    <row r="552" spans="1:4" ht="15.75" outlineLevel="1">
      <c r="A552" s="25" t="s">
        <v>1072</v>
      </c>
      <c r="B552" s="26" t="s">
        <v>1164</v>
      </c>
      <c r="C552" s="25">
        <v>5.58</v>
      </c>
      <c r="D552" s="95"/>
    </row>
    <row r="553" spans="1:4" ht="15.75" outlineLevel="1">
      <c r="A553" s="25" t="s">
        <v>1072</v>
      </c>
      <c r="B553" s="26" t="s">
        <v>1165</v>
      </c>
      <c r="C553" s="25">
        <v>5.1180000000000003</v>
      </c>
      <c r="D553" s="95"/>
    </row>
    <row r="554" spans="1:4" ht="15.75" outlineLevel="1">
      <c r="A554" s="25" t="s">
        <v>1072</v>
      </c>
      <c r="B554" s="26" t="s">
        <v>1166</v>
      </c>
      <c r="C554" s="25">
        <v>5.47</v>
      </c>
      <c r="D554" s="95"/>
    </row>
    <row r="555" spans="1:4" ht="15.75" outlineLevel="1">
      <c r="A555" s="25" t="s">
        <v>1072</v>
      </c>
      <c r="B555" s="26" t="s">
        <v>1167</v>
      </c>
      <c r="C555" s="25">
        <v>5.48</v>
      </c>
      <c r="D555" s="95"/>
    </row>
    <row r="556" spans="1:4" ht="15.75" outlineLevel="1">
      <c r="A556" s="25" t="s">
        <v>1072</v>
      </c>
      <c r="B556" s="26" t="s">
        <v>1168</v>
      </c>
      <c r="C556" s="25">
        <v>5.63</v>
      </c>
      <c r="D556" s="95"/>
    </row>
    <row r="557" spans="1:4" ht="15.75" outlineLevel="1">
      <c r="A557" s="25" t="s">
        <v>1072</v>
      </c>
      <c r="B557" s="26" t="s">
        <v>6</v>
      </c>
      <c r="C557" s="25">
        <v>5.27</v>
      </c>
      <c r="D557" s="95"/>
    </row>
    <row r="558" spans="1:4" ht="15.75" outlineLevel="1">
      <c r="A558" s="25" t="s">
        <v>1072</v>
      </c>
      <c r="B558" s="26" t="s">
        <v>7</v>
      </c>
      <c r="C558" s="25">
        <v>5.28</v>
      </c>
      <c r="D558" s="95"/>
    </row>
    <row r="559" spans="1:4" ht="15.75" outlineLevel="1">
      <c r="A559" s="25" t="s">
        <v>1072</v>
      </c>
      <c r="B559" s="26" t="s">
        <v>1169</v>
      </c>
      <c r="C559" s="25">
        <v>5.35</v>
      </c>
      <c r="D559" s="95"/>
    </row>
    <row r="560" spans="1:4" ht="15.75" outlineLevel="1">
      <c r="A560" s="25" t="s">
        <v>1072</v>
      </c>
      <c r="B560" s="26" t="s">
        <v>958</v>
      </c>
      <c r="C560" s="25">
        <v>5.1189999999999998</v>
      </c>
      <c r="D560" s="95"/>
    </row>
    <row r="561" spans="1:4" ht="15.75" outlineLevel="1">
      <c r="A561" s="25" t="s">
        <v>1072</v>
      </c>
      <c r="B561" s="26" t="s">
        <v>965</v>
      </c>
      <c r="C561" s="28">
        <v>5.12</v>
      </c>
      <c r="D561" s="95"/>
    </row>
    <row r="562" spans="1:4" ht="15.75" outlineLevel="1">
      <c r="A562" s="25" t="s">
        <v>1072</v>
      </c>
      <c r="B562" s="26" t="s">
        <v>358</v>
      </c>
      <c r="C562" s="25">
        <v>5.1210000000000004</v>
      </c>
      <c r="D562" s="95"/>
    </row>
    <row r="563" spans="1:4" ht="15.75" outlineLevel="1">
      <c r="A563" s="25" t="s">
        <v>1072</v>
      </c>
      <c r="B563" s="26" t="s">
        <v>146</v>
      </c>
      <c r="C563" s="25">
        <v>5.36</v>
      </c>
      <c r="D563" s="95"/>
    </row>
    <row r="564" spans="1:4" ht="15.75" outlineLevel="1">
      <c r="A564" s="25" t="s">
        <v>1072</v>
      </c>
      <c r="B564" s="26" t="s">
        <v>1170</v>
      </c>
      <c r="C564" s="25">
        <v>5.1219999999999999</v>
      </c>
      <c r="D564" s="95"/>
    </row>
    <row r="565" spans="1:4" ht="15.75" outlineLevel="1">
      <c r="A565" s="25" t="s">
        <v>1072</v>
      </c>
      <c r="B565" s="26" t="s">
        <v>1171</v>
      </c>
      <c r="C565" s="25">
        <v>5.1230000000000002</v>
      </c>
      <c r="D565" s="95"/>
    </row>
    <row r="566" spans="1:4" ht="15.75" outlineLevel="1">
      <c r="A566" s="25" t="s">
        <v>1072</v>
      </c>
      <c r="B566" s="26" t="s">
        <v>929</v>
      </c>
      <c r="C566" s="25">
        <v>5.1239999999999997</v>
      </c>
      <c r="D566" s="95"/>
    </row>
    <row r="567" spans="1:4" ht="15.75" outlineLevel="1">
      <c r="A567" s="25" t="s">
        <v>1072</v>
      </c>
      <c r="B567" s="26" t="s">
        <v>937</v>
      </c>
      <c r="C567" s="25">
        <v>5.125</v>
      </c>
      <c r="D567" s="95"/>
    </row>
    <row r="568" spans="1:4" ht="15.75" outlineLevel="1">
      <c r="A568" s="25" t="s">
        <v>1072</v>
      </c>
      <c r="B568" s="26" t="s">
        <v>1172</v>
      </c>
      <c r="C568" s="25">
        <v>5.1260000000000003</v>
      </c>
      <c r="D568" s="95"/>
    </row>
    <row r="569" spans="1:4" ht="15.75" outlineLevel="1">
      <c r="A569" s="25" t="s">
        <v>1072</v>
      </c>
      <c r="B569" s="26" t="s">
        <v>955</v>
      </c>
      <c r="C569" s="25">
        <v>5.1269999999999998</v>
      </c>
      <c r="D569" s="95"/>
    </row>
    <row r="570" spans="1:4" ht="15.75" outlineLevel="1">
      <c r="A570" s="25" t="s">
        <v>1072</v>
      </c>
      <c r="B570" s="26" t="s">
        <v>940</v>
      </c>
      <c r="C570" s="27">
        <v>5.72</v>
      </c>
      <c r="D570" s="95"/>
    </row>
    <row r="571" spans="1:4" ht="15.75" outlineLevel="1">
      <c r="A571" s="25" t="s">
        <v>1072</v>
      </c>
      <c r="B571" s="26" t="s">
        <v>951</v>
      </c>
      <c r="C571" s="25">
        <v>5.1280000000000001</v>
      </c>
      <c r="D571" s="95"/>
    </row>
    <row r="572" spans="1:4" ht="15.75" outlineLevel="1">
      <c r="A572" s="25" t="s">
        <v>1072</v>
      </c>
      <c r="B572" s="26" t="s">
        <v>1173</v>
      </c>
      <c r="C572" s="25">
        <v>5.1289999999999996</v>
      </c>
      <c r="D572" s="94" t="s">
        <v>1134</v>
      </c>
    </row>
    <row r="573" spans="1:4" ht="15.75" outlineLevel="1">
      <c r="A573" s="25" t="s">
        <v>1072</v>
      </c>
      <c r="B573" s="26" t="s">
        <v>1174</v>
      </c>
      <c r="C573" s="25">
        <v>5.1310000000000002</v>
      </c>
      <c r="D573" s="95"/>
    </row>
    <row r="574" spans="1:4" ht="15.75" outlineLevel="1">
      <c r="A574" s="25" t="s">
        <v>1072</v>
      </c>
      <c r="B574" s="26" t="s">
        <v>1175</v>
      </c>
      <c r="C574" s="25">
        <v>5.1319999999999997</v>
      </c>
      <c r="D574" s="94" t="s">
        <v>1134</v>
      </c>
    </row>
    <row r="575" spans="1:4" ht="15.75" outlineLevel="1">
      <c r="A575" s="25" t="s">
        <v>1072</v>
      </c>
      <c r="B575" s="26" t="s">
        <v>980</v>
      </c>
      <c r="C575" s="25">
        <v>5.133</v>
      </c>
      <c r="D575" s="94" t="s">
        <v>1134</v>
      </c>
    </row>
    <row r="576" spans="1:4" ht="15.75" outlineLevel="1">
      <c r="A576" s="25" t="s">
        <v>1072</v>
      </c>
      <c r="B576" s="26" t="s">
        <v>1176</v>
      </c>
      <c r="C576" s="25">
        <v>5.1340000000000003</v>
      </c>
      <c r="D576" s="94" t="s">
        <v>1134</v>
      </c>
    </row>
    <row r="577" spans="1:4" ht="15.75" outlineLevel="1">
      <c r="A577" s="25" t="s">
        <v>1072</v>
      </c>
      <c r="B577" s="26" t="s">
        <v>1177</v>
      </c>
      <c r="C577" s="28">
        <v>5.13</v>
      </c>
      <c r="D577" s="95"/>
    </row>
    <row r="578" spans="1:4" ht="15.75" outlineLevel="1">
      <c r="A578" s="25" t="s">
        <v>1072</v>
      </c>
      <c r="B578" s="26" t="s">
        <v>24</v>
      </c>
      <c r="C578" s="25">
        <v>5.47</v>
      </c>
      <c r="D578" s="95"/>
    </row>
    <row r="579" spans="1:4" ht="15.75" outlineLevel="1">
      <c r="A579" s="25" t="s">
        <v>1072</v>
      </c>
      <c r="B579" s="26" t="s">
        <v>25</v>
      </c>
      <c r="C579" s="25">
        <v>5.48</v>
      </c>
      <c r="D579" s="95"/>
    </row>
    <row r="580" spans="1:4" ht="15.75">
      <c r="A580" s="30" t="s">
        <v>1072</v>
      </c>
      <c r="B580" s="26"/>
      <c r="C580" s="25"/>
      <c r="D580" s="95"/>
    </row>
    <row r="581" spans="1:4" ht="15.75" outlineLevel="1">
      <c r="A581" s="25" t="s">
        <v>1065</v>
      </c>
      <c r="B581" s="26" t="s">
        <v>0</v>
      </c>
      <c r="C581" s="25">
        <v>5.0999999999999996</v>
      </c>
      <c r="D581" s="95"/>
    </row>
    <row r="582" spans="1:4" ht="15.75" outlineLevel="1">
      <c r="A582" s="25" t="s">
        <v>1065</v>
      </c>
      <c r="B582" s="26" t="s">
        <v>1</v>
      </c>
      <c r="C582" s="25">
        <v>5.2</v>
      </c>
      <c r="D582" s="95"/>
    </row>
    <row r="583" spans="1:4" ht="15.75" outlineLevel="1">
      <c r="A583" s="25" t="s">
        <v>1065</v>
      </c>
      <c r="B583" s="26" t="s">
        <v>141</v>
      </c>
      <c r="C583" s="25">
        <v>5.9</v>
      </c>
      <c r="D583" s="94" t="s">
        <v>1134</v>
      </c>
    </row>
    <row r="584" spans="1:4" ht="15.75" outlineLevel="1">
      <c r="A584" s="25" t="s">
        <v>1065</v>
      </c>
      <c r="B584" s="26" t="s">
        <v>142</v>
      </c>
      <c r="C584" s="25">
        <v>5.13</v>
      </c>
      <c r="D584" s="94" t="s">
        <v>1134</v>
      </c>
    </row>
    <row r="585" spans="1:4" ht="15.75" outlineLevel="1">
      <c r="A585" s="25" t="s">
        <v>1065</v>
      </c>
      <c r="B585" s="26" t="s">
        <v>143</v>
      </c>
      <c r="C585" s="25">
        <v>5.16</v>
      </c>
      <c r="D585" s="94" t="s">
        <v>1134</v>
      </c>
    </row>
    <row r="586" spans="1:4" ht="15.75" outlineLevel="1">
      <c r="A586" s="25" t="s">
        <v>1065</v>
      </c>
      <c r="B586" s="26" t="s">
        <v>144</v>
      </c>
      <c r="C586" s="25">
        <v>5.22</v>
      </c>
      <c r="D586" s="94"/>
    </row>
    <row r="587" spans="1:4" ht="15.75" outlineLevel="1">
      <c r="A587" s="25" t="s">
        <v>1065</v>
      </c>
      <c r="B587" s="26" t="s">
        <v>5</v>
      </c>
      <c r="C587" s="25">
        <v>5.26</v>
      </c>
      <c r="D587" s="95"/>
    </row>
    <row r="588" spans="1:4" ht="15.75" outlineLevel="1">
      <c r="A588" s="25" t="s">
        <v>1065</v>
      </c>
      <c r="B588" s="26" t="s">
        <v>1178</v>
      </c>
      <c r="C588" s="25">
        <v>5.77</v>
      </c>
      <c r="D588" s="95"/>
    </row>
    <row r="589" spans="1:4" ht="15.75" outlineLevel="1">
      <c r="A589" s="25" t="s">
        <v>1065</v>
      </c>
      <c r="B589" s="26" t="s">
        <v>6</v>
      </c>
      <c r="C589" s="25">
        <v>5.27</v>
      </c>
      <c r="D589" s="95"/>
    </row>
    <row r="590" spans="1:4" ht="15.75" outlineLevel="1">
      <c r="A590" s="25" t="s">
        <v>1065</v>
      </c>
      <c r="B590" s="26" t="s">
        <v>7</v>
      </c>
      <c r="C590" s="25">
        <v>5.28</v>
      </c>
      <c r="D590" s="94" t="s">
        <v>1134</v>
      </c>
    </row>
    <row r="591" spans="1:4" ht="15.75" outlineLevel="1">
      <c r="A591" s="25" t="s">
        <v>1065</v>
      </c>
      <c r="B591" s="26" t="s">
        <v>170</v>
      </c>
      <c r="C591" s="25">
        <v>5.31</v>
      </c>
      <c r="D591" s="95"/>
    </row>
    <row r="592" spans="1:4" ht="15.75" outlineLevel="1">
      <c r="A592" s="25" t="s">
        <v>1065</v>
      </c>
      <c r="B592" s="26" t="s">
        <v>146</v>
      </c>
      <c r="C592" s="25">
        <v>5.36</v>
      </c>
      <c r="D592" s="95"/>
    </row>
    <row r="593" spans="1:4" ht="15.75" outlineLevel="1">
      <c r="A593" s="25" t="s">
        <v>1065</v>
      </c>
      <c r="B593" s="26" t="s">
        <v>1179</v>
      </c>
      <c r="C593" s="25">
        <v>5.78</v>
      </c>
      <c r="D593" s="95"/>
    </row>
    <row r="594" spans="1:4" ht="15.75" outlineLevel="1">
      <c r="A594" s="25" t="s">
        <v>1065</v>
      </c>
      <c r="B594" s="26" t="s">
        <v>1180</v>
      </c>
      <c r="C594" s="25">
        <v>5.79</v>
      </c>
      <c r="D594" s="94" t="s">
        <v>1134</v>
      </c>
    </row>
    <row r="595" spans="1:4" ht="15.75" outlineLevel="1">
      <c r="A595" s="25" t="s">
        <v>1065</v>
      </c>
      <c r="B595" s="26" t="s">
        <v>1181</v>
      </c>
      <c r="C595" s="25">
        <v>5.41</v>
      </c>
      <c r="D595" s="95"/>
    </row>
    <row r="596" spans="1:4" ht="15.75" outlineLevel="1">
      <c r="A596" s="25" t="s">
        <v>1065</v>
      </c>
      <c r="B596" s="26" t="s">
        <v>9</v>
      </c>
      <c r="C596" s="25">
        <v>5.49</v>
      </c>
      <c r="D596" s="95"/>
    </row>
    <row r="597" spans="1:4" ht="15.75" outlineLevel="1">
      <c r="A597" s="25" t="s">
        <v>1065</v>
      </c>
      <c r="B597" s="26" t="s">
        <v>10</v>
      </c>
      <c r="C597" s="25">
        <v>5.51</v>
      </c>
      <c r="D597" s="95"/>
    </row>
    <row r="598" spans="1:4" ht="15.75" outlineLevel="1">
      <c r="A598" s="25" t="s">
        <v>1065</v>
      </c>
      <c r="B598" s="26" t="s">
        <v>1182</v>
      </c>
      <c r="C598" s="25">
        <v>5.52</v>
      </c>
      <c r="D598" s="95"/>
    </row>
    <row r="599" spans="1:4" ht="15.75" outlineLevel="1">
      <c r="A599" s="25" t="s">
        <v>1065</v>
      </c>
      <c r="B599" s="26" t="s">
        <v>11</v>
      </c>
      <c r="C599" s="25">
        <v>5.53</v>
      </c>
      <c r="D599" s="95"/>
    </row>
    <row r="600" spans="1:4" ht="15.75" outlineLevel="1">
      <c r="A600" s="25" t="s">
        <v>1065</v>
      </c>
      <c r="B600" s="26" t="s">
        <v>12</v>
      </c>
      <c r="C600" s="25">
        <v>5.69</v>
      </c>
      <c r="D600" s="95"/>
    </row>
    <row r="601" spans="1:4" ht="15.75" outlineLevel="1">
      <c r="A601" s="25" t="s">
        <v>1065</v>
      </c>
      <c r="B601" s="26" t="s">
        <v>148</v>
      </c>
      <c r="C601" s="25">
        <v>5.71</v>
      </c>
      <c r="D601" s="95"/>
    </row>
    <row r="602" spans="1:4" ht="15.75" outlineLevel="1">
      <c r="A602" s="25" t="s">
        <v>1065</v>
      </c>
      <c r="B602" s="26" t="s">
        <v>14</v>
      </c>
      <c r="C602" s="27">
        <v>5.7</v>
      </c>
      <c r="D602" s="95"/>
    </row>
    <row r="603" spans="1:4" ht="15.75" outlineLevel="1">
      <c r="A603" s="25" t="s">
        <v>1065</v>
      </c>
      <c r="B603" s="26" t="s">
        <v>786</v>
      </c>
      <c r="C603" s="27">
        <v>5.8</v>
      </c>
      <c r="D603" s="94" t="s">
        <v>1134</v>
      </c>
    </row>
    <row r="604" spans="1:4" ht="15.75" outlineLevel="1">
      <c r="A604" s="25" t="s">
        <v>1065</v>
      </c>
      <c r="B604" s="26" t="s">
        <v>940</v>
      </c>
      <c r="C604" s="27">
        <v>5.72</v>
      </c>
      <c r="D604" s="94" t="s">
        <v>1134</v>
      </c>
    </row>
    <row r="605" spans="1:4" ht="15.75" outlineLevel="1">
      <c r="A605" s="25" t="s">
        <v>1065</v>
      </c>
      <c r="B605" s="26" t="s">
        <v>1183</v>
      </c>
      <c r="C605" s="25">
        <v>5.73</v>
      </c>
      <c r="D605" s="94" t="s">
        <v>1134</v>
      </c>
    </row>
    <row r="606" spans="1:4" ht="15.75" outlineLevel="1">
      <c r="A606" s="25" t="s">
        <v>1065</v>
      </c>
      <c r="B606" s="26" t="s">
        <v>15</v>
      </c>
      <c r="C606" s="25">
        <v>5.74</v>
      </c>
      <c r="D606" s="95"/>
    </row>
    <row r="607" spans="1:4" ht="15.75" outlineLevel="1">
      <c r="A607" s="25" t="s">
        <v>1065</v>
      </c>
      <c r="B607" s="26" t="s">
        <v>13</v>
      </c>
      <c r="C607" s="25">
        <v>5.75</v>
      </c>
      <c r="D607" s="95"/>
    </row>
    <row r="608" spans="1:4" ht="15.75" outlineLevel="1">
      <c r="A608" s="25" t="s">
        <v>1065</v>
      </c>
      <c r="B608" s="26" t="s">
        <v>443</v>
      </c>
      <c r="C608" s="25">
        <v>5.76</v>
      </c>
      <c r="D608" s="95"/>
    </row>
    <row r="609" spans="1:4" ht="15.75" outlineLevel="1">
      <c r="A609" s="25" t="s">
        <v>1065</v>
      </c>
      <c r="B609" s="26" t="s">
        <v>791</v>
      </c>
      <c r="C609" s="25">
        <v>5.81</v>
      </c>
      <c r="D609" s="94" t="s">
        <v>1134</v>
      </c>
    </row>
    <row r="610" spans="1:4" ht="15.75" outlineLevel="1">
      <c r="A610" s="25" t="s">
        <v>1065</v>
      </c>
      <c r="B610" s="26" t="s">
        <v>1184</v>
      </c>
      <c r="C610" s="25">
        <v>5.82</v>
      </c>
      <c r="D610" s="94" t="s">
        <v>1134</v>
      </c>
    </row>
    <row r="611" spans="1:4" ht="15.75" outlineLevel="1">
      <c r="A611" s="25" t="s">
        <v>1065</v>
      </c>
      <c r="B611" s="26" t="s">
        <v>1185</v>
      </c>
      <c r="C611" s="25">
        <v>5.83</v>
      </c>
      <c r="D611" s="94" t="s">
        <v>1134</v>
      </c>
    </row>
    <row r="612" spans="1:4" ht="15.75" outlineLevel="1">
      <c r="A612" s="25" t="s">
        <v>1065</v>
      </c>
      <c r="B612" s="26" t="s">
        <v>1186</v>
      </c>
      <c r="C612" s="25">
        <v>5.84</v>
      </c>
      <c r="D612" s="95"/>
    </row>
    <row r="613" spans="1:4" ht="15.75" outlineLevel="1">
      <c r="A613" s="25" t="s">
        <v>1065</v>
      </c>
      <c r="B613" s="26" t="s">
        <v>814</v>
      </c>
      <c r="C613" s="25">
        <v>5.85</v>
      </c>
      <c r="D613" s="94" t="s">
        <v>1134</v>
      </c>
    </row>
    <row r="614" spans="1:4" ht="15.75" outlineLevel="1">
      <c r="A614" s="25" t="s">
        <v>1065</v>
      </c>
      <c r="B614" s="26" t="s">
        <v>815</v>
      </c>
      <c r="C614" s="25">
        <v>5.86</v>
      </c>
      <c r="D614" s="94" t="s">
        <v>1134</v>
      </c>
    </row>
    <row r="615" spans="1:4" ht="15.75" outlineLevel="1">
      <c r="A615" s="25" t="s">
        <v>1065</v>
      </c>
      <c r="B615" s="26" t="s">
        <v>1187</v>
      </c>
      <c r="C615" s="25">
        <v>5.88</v>
      </c>
      <c r="D615" s="94" t="s">
        <v>1134</v>
      </c>
    </row>
    <row r="616" spans="1:4" ht="15.75" outlineLevel="1">
      <c r="A616" s="25" t="s">
        <v>1065</v>
      </c>
      <c r="B616" s="26" t="s">
        <v>821</v>
      </c>
      <c r="C616" s="25">
        <v>5.87</v>
      </c>
      <c r="D616" s="95"/>
    </row>
    <row r="617" spans="1:4" ht="15.75" outlineLevel="1">
      <c r="A617" s="25" t="s">
        <v>1065</v>
      </c>
      <c r="B617" s="26" t="s">
        <v>171</v>
      </c>
      <c r="C617" s="25">
        <v>5.109</v>
      </c>
      <c r="D617" s="95"/>
    </row>
    <row r="618" spans="1:4" ht="15.75" outlineLevel="1">
      <c r="A618" s="25" t="s">
        <v>1065</v>
      </c>
      <c r="B618" s="26" t="s">
        <v>184</v>
      </c>
      <c r="C618" s="28">
        <v>5.1100000000000003</v>
      </c>
      <c r="D618" s="94" t="s">
        <v>1134</v>
      </c>
    </row>
    <row r="619" spans="1:4" ht="15.75" outlineLevel="1">
      <c r="A619" s="25" t="s">
        <v>1065</v>
      </c>
      <c r="B619" s="26" t="s">
        <v>172</v>
      </c>
      <c r="C619" s="25">
        <v>5.1109999999999998</v>
      </c>
      <c r="D619" s="95"/>
    </row>
    <row r="620" spans="1:4" ht="15.75" outlineLevel="1">
      <c r="A620" s="25" t="s">
        <v>1065</v>
      </c>
      <c r="B620" s="26" t="s">
        <v>155</v>
      </c>
      <c r="C620" s="25">
        <v>5.1120000000000001</v>
      </c>
      <c r="D620" s="95"/>
    </row>
    <row r="621" spans="1:4" ht="15.75" outlineLevel="1">
      <c r="A621" s="25" t="s">
        <v>1065</v>
      </c>
      <c r="B621" s="26" t="s">
        <v>1149</v>
      </c>
      <c r="C621" s="25">
        <v>5.1130000000000004</v>
      </c>
      <c r="D621" s="95"/>
    </row>
    <row r="622" spans="1:4" ht="15.75" outlineLevel="1">
      <c r="A622" s="25" t="s">
        <v>1065</v>
      </c>
      <c r="B622" s="26" t="s">
        <v>1188</v>
      </c>
      <c r="C622" s="25">
        <v>5.99</v>
      </c>
      <c r="D622" s="94" t="s">
        <v>1134</v>
      </c>
    </row>
    <row r="623" spans="1:4" ht="15.75" outlineLevel="1">
      <c r="A623" s="25" t="s">
        <v>1065</v>
      </c>
      <c r="B623" s="26" t="s">
        <v>1189</v>
      </c>
      <c r="C623" s="25">
        <v>5.58</v>
      </c>
      <c r="D623" s="94"/>
    </row>
    <row r="624" spans="1:4" ht="15.75" outlineLevel="1">
      <c r="A624" s="25" t="s">
        <v>1065</v>
      </c>
      <c r="B624" s="26" t="s">
        <v>18</v>
      </c>
      <c r="C624" s="25">
        <v>5.54</v>
      </c>
      <c r="D624" s="95"/>
    </row>
    <row r="625" spans="1:4" ht="15.75" outlineLevel="1">
      <c r="A625" s="25" t="s">
        <v>1065</v>
      </c>
      <c r="B625" s="26" t="s">
        <v>1190</v>
      </c>
      <c r="C625" s="25">
        <v>5.56</v>
      </c>
      <c r="D625" s="95"/>
    </row>
    <row r="626" spans="1:4" ht="15.75" outlineLevel="1">
      <c r="A626" s="25" t="s">
        <v>1065</v>
      </c>
      <c r="B626" s="26" t="s">
        <v>20</v>
      </c>
      <c r="C626" s="25">
        <v>5.63</v>
      </c>
      <c r="D626" s="95"/>
    </row>
    <row r="627" spans="1:4" ht="15.75" outlineLevel="1">
      <c r="A627" s="25" t="s">
        <v>1065</v>
      </c>
      <c r="B627" s="26" t="s">
        <v>185</v>
      </c>
      <c r="C627" s="25">
        <v>5.64</v>
      </c>
      <c r="D627" s="95"/>
    </row>
    <row r="628" spans="1:4" ht="15.75" outlineLevel="1">
      <c r="A628" s="25" t="s">
        <v>1065</v>
      </c>
      <c r="B628" s="26" t="s">
        <v>21</v>
      </c>
      <c r="C628" s="25">
        <v>5.65</v>
      </c>
      <c r="D628" s="95"/>
    </row>
    <row r="629" spans="1:4" ht="15.75" outlineLevel="1">
      <c r="A629" s="25" t="s">
        <v>1065</v>
      </c>
      <c r="B629" s="26" t="s">
        <v>186</v>
      </c>
      <c r="C629" s="25">
        <v>5.66</v>
      </c>
      <c r="D629" s="95"/>
    </row>
    <row r="630" spans="1:4" ht="15.75" outlineLevel="1">
      <c r="A630" s="25" t="s">
        <v>1065</v>
      </c>
      <c r="B630" s="26" t="s">
        <v>864</v>
      </c>
      <c r="C630" s="25">
        <v>5.89</v>
      </c>
      <c r="D630" s="94" t="s">
        <v>1134</v>
      </c>
    </row>
    <row r="631" spans="1:4" ht="15.75" outlineLevel="1">
      <c r="A631" s="25" t="s">
        <v>1065</v>
      </c>
      <c r="B631" s="26" t="s">
        <v>22</v>
      </c>
      <c r="C631" s="25">
        <v>5.68</v>
      </c>
      <c r="D631" s="95"/>
    </row>
    <row r="632" spans="1:4" ht="15.75" outlineLevel="1">
      <c r="A632" s="25" t="s">
        <v>1065</v>
      </c>
      <c r="B632" s="26" t="s">
        <v>24</v>
      </c>
      <c r="C632" s="25">
        <v>5.47</v>
      </c>
      <c r="D632" s="95"/>
    </row>
    <row r="633" spans="1:4" ht="15.75" outlineLevel="1">
      <c r="A633" s="25" t="s">
        <v>1065</v>
      </c>
      <c r="B633" s="26" t="s">
        <v>25</v>
      </c>
      <c r="C633" s="25">
        <v>5.48</v>
      </c>
      <c r="D633" s="95"/>
    </row>
    <row r="634" spans="1:4" ht="15.75">
      <c r="A634" s="30" t="s">
        <v>1065</v>
      </c>
      <c r="B634" s="26"/>
      <c r="C634" s="25"/>
      <c r="D634" s="95"/>
    </row>
    <row r="635" spans="1:4" ht="15.75" outlineLevel="1">
      <c r="A635" s="25" t="s">
        <v>1083</v>
      </c>
      <c r="B635" s="26" t="s">
        <v>0</v>
      </c>
      <c r="C635" s="25">
        <v>5.0999999999999996</v>
      </c>
      <c r="D635" s="95"/>
    </row>
    <row r="636" spans="1:4" ht="15.75" outlineLevel="1">
      <c r="A636" s="25" t="s">
        <v>1083</v>
      </c>
      <c r="B636" s="26" t="s">
        <v>1</v>
      </c>
      <c r="C636" s="25">
        <v>5.2</v>
      </c>
      <c r="D636" s="95"/>
    </row>
    <row r="637" spans="1:4" ht="15.75" outlineLevel="1">
      <c r="A637" s="25" t="s">
        <v>1083</v>
      </c>
      <c r="B637" s="26" t="s">
        <v>2</v>
      </c>
      <c r="C637" s="25">
        <v>5.3</v>
      </c>
      <c r="D637" s="95"/>
    </row>
    <row r="638" spans="1:4" ht="15.75" outlineLevel="1">
      <c r="A638" s="25" t="s">
        <v>1083</v>
      </c>
      <c r="B638" s="26" t="s">
        <v>167</v>
      </c>
      <c r="C638" s="25">
        <v>5.6</v>
      </c>
      <c r="D638" s="95"/>
    </row>
    <row r="639" spans="1:4" ht="15.75" outlineLevel="1">
      <c r="A639" s="25" t="s">
        <v>1083</v>
      </c>
      <c r="B639" s="26" t="s">
        <v>1136</v>
      </c>
      <c r="C639" s="27">
        <v>5.0999999999999996</v>
      </c>
      <c r="D639" s="95"/>
    </row>
    <row r="640" spans="1:4" ht="15.75" outlineLevel="1">
      <c r="A640" s="25" t="s">
        <v>1083</v>
      </c>
      <c r="B640" s="26" t="s">
        <v>1135</v>
      </c>
      <c r="C640" s="25">
        <v>5.14</v>
      </c>
      <c r="D640" s="95"/>
    </row>
    <row r="641" spans="1:4" ht="15.75" outlineLevel="1">
      <c r="A641" s="25" t="s">
        <v>1083</v>
      </c>
      <c r="B641" s="26" t="s">
        <v>4</v>
      </c>
      <c r="C641" s="25">
        <v>5.19</v>
      </c>
      <c r="D641" s="95"/>
    </row>
    <row r="642" spans="1:4" ht="15.75" outlineLevel="1">
      <c r="A642" s="25" t="s">
        <v>1083</v>
      </c>
      <c r="B642" s="26" t="s">
        <v>169</v>
      </c>
      <c r="C642" s="25">
        <v>5.24</v>
      </c>
      <c r="D642" s="95"/>
    </row>
    <row r="643" spans="1:4" ht="15.75" outlineLevel="1">
      <c r="A643" s="25" t="s">
        <v>1083</v>
      </c>
      <c r="B643" s="26" t="s">
        <v>5</v>
      </c>
      <c r="C643" s="25">
        <v>5.26</v>
      </c>
      <c r="D643" s="95"/>
    </row>
    <row r="644" spans="1:4" ht="15.75" outlineLevel="1">
      <c r="A644" s="25" t="s">
        <v>1083</v>
      </c>
      <c r="B644" s="26" t="s">
        <v>6</v>
      </c>
      <c r="C644" s="25">
        <v>5.27</v>
      </c>
      <c r="D644" s="95"/>
    </row>
    <row r="645" spans="1:4" ht="15.75" outlineLevel="1">
      <c r="A645" s="25" t="s">
        <v>1083</v>
      </c>
      <c r="B645" s="26" t="s">
        <v>7</v>
      </c>
      <c r="C645" s="25">
        <v>5.28</v>
      </c>
      <c r="D645" s="95"/>
    </row>
    <row r="646" spans="1:4" ht="15.75" outlineLevel="1">
      <c r="A646" s="25" t="s">
        <v>1083</v>
      </c>
      <c r="B646" s="26" t="s">
        <v>146</v>
      </c>
      <c r="C646" s="25">
        <v>5.36</v>
      </c>
      <c r="D646" s="95"/>
    </row>
    <row r="647" spans="1:4" ht="15.75" outlineLevel="1">
      <c r="A647" s="25" t="s">
        <v>1083</v>
      </c>
      <c r="B647" s="26" t="s">
        <v>202</v>
      </c>
      <c r="C647" s="25">
        <v>5.33</v>
      </c>
      <c r="D647" s="95"/>
    </row>
    <row r="648" spans="1:4" ht="15.75" outlineLevel="1">
      <c r="A648" s="25" t="s">
        <v>1083</v>
      </c>
      <c r="B648" s="26" t="s">
        <v>178</v>
      </c>
      <c r="C648" s="25">
        <v>5.37</v>
      </c>
      <c r="D648" s="95"/>
    </row>
    <row r="649" spans="1:4" ht="15.75" outlineLevel="1">
      <c r="A649" s="25" t="s">
        <v>1083</v>
      </c>
      <c r="B649" s="26" t="s">
        <v>9</v>
      </c>
      <c r="C649" s="25">
        <v>5.49</v>
      </c>
      <c r="D649" s="95"/>
    </row>
    <row r="650" spans="1:4" ht="15.75" outlineLevel="1">
      <c r="A650" s="25" t="s">
        <v>1083</v>
      </c>
      <c r="B650" s="26" t="s">
        <v>10</v>
      </c>
      <c r="C650" s="25">
        <v>5.51</v>
      </c>
      <c r="D650" s="95"/>
    </row>
    <row r="651" spans="1:4" ht="15.75" outlineLevel="1">
      <c r="A651" s="25" t="s">
        <v>1083</v>
      </c>
      <c r="B651" s="26" t="s">
        <v>1137</v>
      </c>
      <c r="C651" s="25">
        <v>5.52</v>
      </c>
      <c r="D651" s="95"/>
    </row>
    <row r="652" spans="1:4" ht="15.75" outlineLevel="1">
      <c r="A652" s="25" t="s">
        <v>1083</v>
      </c>
      <c r="B652" s="26" t="s">
        <v>11</v>
      </c>
      <c r="C652" s="25">
        <v>5.53</v>
      </c>
      <c r="D652" s="95"/>
    </row>
    <row r="653" spans="1:4" ht="15.75" outlineLevel="1">
      <c r="A653" s="25" t="s">
        <v>1083</v>
      </c>
      <c r="B653" s="26" t="s">
        <v>12</v>
      </c>
      <c r="C653" s="25">
        <v>5.69</v>
      </c>
      <c r="D653" s="95"/>
    </row>
    <row r="654" spans="1:4" ht="15.75" outlineLevel="1">
      <c r="A654" s="25" t="s">
        <v>1083</v>
      </c>
      <c r="B654" s="26" t="s">
        <v>14</v>
      </c>
      <c r="C654" s="27">
        <v>5.7</v>
      </c>
      <c r="D654" s="95"/>
    </row>
    <row r="655" spans="1:4" ht="15.75" outlineLevel="1">
      <c r="A655" s="25" t="s">
        <v>1083</v>
      </c>
      <c r="B655" s="26" t="s">
        <v>15</v>
      </c>
      <c r="C655" s="25">
        <v>5.74</v>
      </c>
      <c r="D655" s="95"/>
    </row>
    <row r="656" spans="1:4" ht="15.75" outlineLevel="1">
      <c r="A656" s="25" t="s">
        <v>1083</v>
      </c>
      <c r="B656" s="26" t="s">
        <v>171</v>
      </c>
      <c r="C656" s="25">
        <v>5.109</v>
      </c>
      <c r="D656" s="95"/>
    </row>
    <row r="657" spans="1:4" ht="15.75" outlineLevel="1">
      <c r="A657" s="25" t="s">
        <v>1083</v>
      </c>
      <c r="B657" s="26" t="s">
        <v>172</v>
      </c>
      <c r="C657" s="25">
        <v>5.1109999999999998</v>
      </c>
      <c r="D657" s="95"/>
    </row>
    <row r="658" spans="1:4" ht="15.75" outlineLevel="1">
      <c r="A658" s="25" t="s">
        <v>1083</v>
      </c>
      <c r="B658" s="26" t="s">
        <v>155</v>
      </c>
      <c r="C658" s="25">
        <v>5.1120000000000001</v>
      </c>
      <c r="D658" s="95"/>
    </row>
    <row r="659" spans="1:4" ht="15.75" outlineLevel="1">
      <c r="A659" s="25" t="s">
        <v>1083</v>
      </c>
      <c r="B659" s="26" t="s">
        <v>17</v>
      </c>
      <c r="C659" s="25">
        <v>5.58</v>
      </c>
      <c r="D659" s="95"/>
    </row>
    <row r="660" spans="1:4" ht="15.75" outlineLevel="1">
      <c r="A660" s="25" t="s">
        <v>1083</v>
      </c>
      <c r="B660" s="26" t="s">
        <v>18</v>
      </c>
      <c r="C660" s="25">
        <v>5.54</v>
      </c>
      <c r="D660" s="95"/>
    </row>
    <row r="661" spans="1:4" ht="15.75" outlineLevel="1">
      <c r="A661" s="25" t="s">
        <v>1083</v>
      </c>
      <c r="B661" s="26" t="s">
        <v>19</v>
      </c>
      <c r="C661" s="25">
        <v>5.55</v>
      </c>
      <c r="D661" s="95"/>
    </row>
    <row r="662" spans="1:4" ht="15.75" outlineLevel="1">
      <c r="A662" s="25" t="s">
        <v>1083</v>
      </c>
      <c r="B662" s="26" t="s">
        <v>20</v>
      </c>
      <c r="C662" s="25">
        <v>5.63</v>
      </c>
      <c r="D662" s="95"/>
    </row>
    <row r="663" spans="1:4" ht="15.75" outlineLevel="1">
      <c r="A663" s="25" t="s">
        <v>1083</v>
      </c>
      <c r="B663" s="26" t="s">
        <v>24</v>
      </c>
      <c r="C663" s="25">
        <v>5.47</v>
      </c>
      <c r="D663" s="95"/>
    </row>
    <row r="664" spans="1:4" ht="15.75" outlineLevel="1">
      <c r="A664" s="25" t="s">
        <v>1083</v>
      </c>
      <c r="B664" s="26" t="s">
        <v>25</v>
      </c>
      <c r="C664" s="25">
        <v>5.48</v>
      </c>
      <c r="D664" s="95"/>
    </row>
    <row r="665" spans="1:4" ht="15.75">
      <c r="A665" s="30" t="s">
        <v>1083</v>
      </c>
      <c r="B665" s="26"/>
      <c r="C665" s="25"/>
      <c r="D665" s="95"/>
    </row>
    <row r="666" spans="1:4" ht="15.75" outlineLevel="1">
      <c r="A666" s="25" t="s">
        <v>1088</v>
      </c>
      <c r="B666" s="26" t="s">
        <v>0</v>
      </c>
      <c r="C666" s="25">
        <v>5.0999999999999996</v>
      </c>
      <c r="D666" s="95"/>
    </row>
    <row r="667" spans="1:4" ht="15.75" outlineLevel="1">
      <c r="A667" s="25" t="s">
        <v>1088</v>
      </c>
      <c r="B667" s="26" t="s">
        <v>1</v>
      </c>
      <c r="C667" s="25">
        <v>5.2</v>
      </c>
      <c r="D667" s="95"/>
    </row>
    <row r="668" spans="1:4" ht="15.75" outlineLevel="1">
      <c r="A668" s="25" t="s">
        <v>1088</v>
      </c>
      <c r="B668" s="26" t="s">
        <v>196</v>
      </c>
      <c r="C668" s="25">
        <v>5.4</v>
      </c>
      <c r="D668" s="95"/>
    </row>
    <row r="669" spans="1:4" ht="15.75" outlineLevel="1">
      <c r="A669" s="25" t="s">
        <v>1088</v>
      </c>
      <c r="B669" s="26" t="s">
        <v>197</v>
      </c>
      <c r="C669" s="25">
        <v>5.7</v>
      </c>
      <c r="D669" s="95"/>
    </row>
    <row r="670" spans="1:4" ht="15.75" outlineLevel="1">
      <c r="A670" s="25" t="s">
        <v>1088</v>
      </c>
      <c r="B670" s="26" t="s">
        <v>198</v>
      </c>
      <c r="C670" s="25">
        <v>5.1100000000000003</v>
      </c>
      <c r="D670" s="95"/>
    </row>
    <row r="671" spans="1:4" ht="15.75" outlineLevel="1">
      <c r="A671" s="25" t="s">
        <v>1088</v>
      </c>
      <c r="B671" s="26" t="s">
        <v>5</v>
      </c>
      <c r="C671" s="25">
        <v>5.26</v>
      </c>
      <c r="D671" s="95"/>
    </row>
    <row r="672" spans="1:4" ht="15.75" outlineLevel="1">
      <c r="A672" s="25" t="s">
        <v>1088</v>
      </c>
      <c r="B672" s="26" t="s">
        <v>199</v>
      </c>
      <c r="C672" s="25">
        <v>5.43</v>
      </c>
      <c r="D672" s="95"/>
    </row>
    <row r="673" spans="1:4" ht="15.75" outlineLevel="1">
      <c r="A673" s="25" t="s">
        <v>1088</v>
      </c>
      <c r="B673" s="26" t="s">
        <v>6</v>
      </c>
      <c r="C673" s="25">
        <v>5.27</v>
      </c>
      <c r="D673" s="95"/>
    </row>
    <row r="674" spans="1:4" ht="15.75" outlineLevel="1">
      <c r="A674" s="25" t="s">
        <v>1088</v>
      </c>
      <c r="B674" s="26" t="s">
        <v>7</v>
      </c>
      <c r="C674" s="25">
        <v>5.28</v>
      </c>
      <c r="D674" s="95"/>
    </row>
    <row r="675" spans="1:4" ht="15.75" outlineLevel="1">
      <c r="A675" s="25" t="s">
        <v>1088</v>
      </c>
      <c r="B675" s="26" t="s">
        <v>146</v>
      </c>
      <c r="C675" s="25">
        <v>5.36</v>
      </c>
      <c r="D675" s="95"/>
    </row>
    <row r="676" spans="1:4" ht="15.75" outlineLevel="1">
      <c r="A676" s="25" t="s">
        <v>1088</v>
      </c>
      <c r="B676" s="26" t="s">
        <v>200</v>
      </c>
      <c r="C676" s="27">
        <v>5.5</v>
      </c>
      <c r="D676" s="95"/>
    </row>
    <row r="677" spans="1:4" ht="15.75" outlineLevel="1">
      <c r="A677" s="25" t="s">
        <v>1088</v>
      </c>
      <c r="B677" s="26" t="s">
        <v>10</v>
      </c>
      <c r="C677" s="25">
        <v>5.51</v>
      </c>
      <c r="D677" s="95"/>
    </row>
    <row r="678" spans="1:4" ht="15.75" outlineLevel="1">
      <c r="A678" s="25" t="s">
        <v>1088</v>
      </c>
      <c r="B678" s="26" t="s">
        <v>11</v>
      </c>
      <c r="C678" s="25">
        <v>5.53</v>
      </c>
      <c r="D678" s="95"/>
    </row>
    <row r="679" spans="1:4" ht="15.75" outlineLevel="1">
      <c r="A679" s="25" t="s">
        <v>1088</v>
      </c>
      <c r="B679" s="26" t="s">
        <v>12</v>
      </c>
      <c r="C679" s="25">
        <v>5.69</v>
      </c>
      <c r="D679" s="95"/>
    </row>
    <row r="680" spans="1:4" ht="15.75" outlineLevel="1">
      <c r="A680" s="25" t="s">
        <v>1088</v>
      </c>
      <c r="B680" s="26" t="s">
        <v>14</v>
      </c>
      <c r="C680" s="27">
        <v>5.7</v>
      </c>
      <c r="D680" s="94" t="s">
        <v>1134</v>
      </c>
    </row>
    <row r="681" spans="1:4" ht="15.75" outlineLevel="1">
      <c r="A681" s="25" t="s">
        <v>1088</v>
      </c>
      <c r="B681" s="26" t="s">
        <v>15</v>
      </c>
      <c r="C681" s="25">
        <v>5.74</v>
      </c>
      <c r="D681" s="95"/>
    </row>
    <row r="682" spans="1:4" ht="15.75" outlineLevel="1">
      <c r="A682" s="25" t="s">
        <v>1088</v>
      </c>
      <c r="B682" s="26" t="s">
        <v>156</v>
      </c>
      <c r="C682" s="25">
        <v>5.59</v>
      </c>
      <c r="D682" s="95"/>
    </row>
    <row r="683" spans="1:4" ht="15.75" outlineLevel="1">
      <c r="A683" s="25" t="s">
        <v>1088</v>
      </c>
      <c r="B683" s="26" t="s">
        <v>18</v>
      </c>
      <c r="C683" s="25">
        <v>5.54</v>
      </c>
      <c r="D683" s="95"/>
    </row>
    <row r="684" spans="1:4" ht="15.75" outlineLevel="1">
      <c r="A684" s="25" t="s">
        <v>1088</v>
      </c>
      <c r="B684" s="26" t="s">
        <v>201</v>
      </c>
      <c r="C684" s="25">
        <v>5.57</v>
      </c>
      <c r="D684" s="95"/>
    </row>
    <row r="685" spans="1:4" ht="15.75" outlineLevel="1">
      <c r="A685" s="25" t="s">
        <v>1088</v>
      </c>
      <c r="B685" s="26" t="s">
        <v>20</v>
      </c>
      <c r="C685" s="25">
        <v>5.63</v>
      </c>
      <c r="D685" s="95"/>
    </row>
    <row r="686" spans="1:4" ht="15.75" outlineLevel="1">
      <c r="A686" s="25" t="s">
        <v>1088</v>
      </c>
      <c r="B686" s="26" t="s">
        <v>24</v>
      </c>
      <c r="C686" s="25">
        <v>5.47</v>
      </c>
      <c r="D686" s="95"/>
    </row>
    <row r="687" spans="1:4" ht="15.75" outlineLevel="1">
      <c r="A687" s="25" t="s">
        <v>1088</v>
      </c>
      <c r="B687" s="26" t="s">
        <v>25</v>
      </c>
      <c r="C687" s="25">
        <v>5.48</v>
      </c>
      <c r="D687" s="95"/>
    </row>
    <row r="688" spans="1:4" ht="15.75">
      <c r="A688" s="30" t="s">
        <v>1088</v>
      </c>
      <c r="B688" s="26"/>
      <c r="C688" s="25"/>
      <c r="D688" s="95"/>
    </row>
    <row r="689" spans="1:4" ht="15.75" outlineLevel="1">
      <c r="A689" s="25" t="s">
        <v>1091</v>
      </c>
      <c r="B689" s="26" t="s">
        <v>0</v>
      </c>
      <c r="C689" s="25">
        <v>5.0999999999999996</v>
      </c>
      <c r="D689" s="95"/>
    </row>
    <row r="690" spans="1:4" ht="15.75" outlineLevel="1">
      <c r="A690" s="25" t="s">
        <v>1091</v>
      </c>
      <c r="B690" s="26" t="s">
        <v>1</v>
      </c>
      <c r="C690" s="25">
        <v>5.2</v>
      </c>
      <c r="D690" s="95"/>
    </row>
    <row r="691" spans="1:4" ht="15.75" outlineLevel="1">
      <c r="A691" s="25" t="s">
        <v>1091</v>
      </c>
      <c r="B691" s="26" t="s">
        <v>176</v>
      </c>
      <c r="C691" s="25">
        <v>5.17</v>
      </c>
      <c r="D691" s="95"/>
    </row>
    <row r="692" spans="1:4" ht="15.75" outlineLevel="1">
      <c r="A692" s="25" t="s">
        <v>1091</v>
      </c>
      <c r="B692" s="26" t="s">
        <v>5</v>
      </c>
      <c r="C692" s="25">
        <v>5.26</v>
      </c>
      <c r="D692" s="95"/>
    </row>
    <row r="693" spans="1:4" ht="15.75" outlineLevel="1">
      <c r="A693" s="25" t="s">
        <v>1091</v>
      </c>
      <c r="B693" s="26" t="s">
        <v>177</v>
      </c>
      <c r="C693" s="25">
        <v>5.1029999999999998</v>
      </c>
      <c r="D693" s="95"/>
    </row>
    <row r="694" spans="1:4" ht="15.75" outlineLevel="1">
      <c r="A694" s="25" t="s">
        <v>1091</v>
      </c>
      <c r="B694" s="26" t="s">
        <v>146</v>
      </c>
      <c r="C694" s="25">
        <v>5.36</v>
      </c>
      <c r="D694" s="95"/>
    </row>
    <row r="695" spans="1:4" ht="15.75" outlineLevel="1">
      <c r="A695" s="25" t="s">
        <v>1091</v>
      </c>
      <c r="B695" s="26" t="s">
        <v>178</v>
      </c>
      <c r="C695" s="25">
        <v>5.37</v>
      </c>
      <c r="D695" s="95"/>
    </row>
    <row r="696" spans="1:4" ht="15.75" outlineLevel="1">
      <c r="A696" s="25" t="s">
        <v>1091</v>
      </c>
      <c r="B696" s="26" t="s">
        <v>179</v>
      </c>
      <c r="C696" s="25">
        <v>5.1040000000000001</v>
      </c>
      <c r="D696" s="95"/>
    </row>
    <row r="697" spans="1:4" ht="15.75" outlineLevel="1">
      <c r="A697" s="25" t="s">
        <v>1091</v>
      </c>
      <c r="B697" s="26" t="s">
        <v>180</v>
      </c>
      <c r="C697" s="25">
        <v>5.1050000000000004</v>
      </c>
      <c r="D697" s="95"/>
    </row>
    <row r="698" spans="1:4" ht="15.75" outlineLevel="1">
      <c r="A698" s="25" t="s">
        <v>1091</v>
      </c>
      <c r="B698" s="26" t="s">
        <v>181</v>
      </c>
      <c r="C698" s="25">
        <v>5.1059999999999999</v>
      </c>
      <c r="D698" s="95"/>
    </row>
    <row r="699" spans="1:4" ht="15.75" outlineLevel="1">
      <c r="A699" s="25" t="s">
        <v>1091</v>
      </c>
      <c r="B699" s="26" t="s">
        <v>182</v>
      </c>
      <c r="C699" s="25">
        <v>5.1070000000000002</v>
      </c>
      <c r="D699" s="95"/>
    </row>
    <row r="700" spans="1:4" ht="15.75" outlineLevel="1">
      <c r="A700" s="25" t="s">
        <v>1091</v>
      </c>
      <c r="B700" s="26" t="s">
        <v>915</v>
      </c>
      <c r="C700" s="25">
        <v>5.1079999999999997</v>
      </c>
      <c r="D700" s="94" t="s">
        <v>1134</v>
      </c>
    </row>
    <row r="701" spans="1:4" ht="15.75" outlineLevel="1">
      <c r="A701" s="25" t="s">
        <v>1091</v>
      </c>
      <c r="B701" s="26" t="s">
        <v>171</v>
      </c>
      <c r="C701" s="25">
        <v>5.109</v>
      </c>
      <c r="D701" s="95"/>
    </row>
    <row r="702" spans="1:4" ht="15.75" outlineLevel="1">
      <c r="A702" s="25" t="s">
        <v>1091</v>
      </c>
      <c r="B702" s="26" t="s">
        <v>184</v>
      </c>
      <c r="C702" s="28">
        <v>5.1100000000000003</v>
      </c>
      <c r="D702" s="94" t="s">
        <v>1134</v>
      </c>
    </row>
    <row r="703" spans="1:4" ht="15.75" outlineLevel="1">
      <c r="A703" s="25" t="s">
        <v>1091</v>
      </c>
      <c r="B703" s="26" t="s">
        <v>172</v>
      </c>
      <c r="C703" s="25">
        <v>5.1109999999999998</v>
      </c>
      <c r="D703" s="95"/>
    </row>
    <row r="704" spans="1:4" ht="15.75" outlineLevel="1">
      <c r="A704" s="25" t="s">
        <v>1091</v>
      </c>
      <c r="B704" s="26" t="s">
        <v>155</v>
      </c>
      <c r="C704" s="25">
        <v>5.1120000000000001</v>
      </c>
      <c r="D704" s="95"/>
    </row>
    <row r="705" spans="1:4" ht="15.75" outlineLevel="1">
      <c r="A705" s="25" t="s">
        <v>1091</v>
      </c>
      <c r="B705" s="26" t="s">
        <v>11</v>
      </c>
      <c r="C705" s="25">
        <v>5.53</v>
      </c>
      <c r="D705" s="95"/>
    </row>
    <row r="706" spans="1:4" ht="15.75" outlineLevel="1">
      <c r="A706" s="25" t="s">
        <v>1091</v>
      </c>
      <c r="B706" s="26" t="s">
        <v>185</v>
      </c>
      <c r="C706" s="25">
        <v>5.64</v>
      </c>
      <c r="D706" s="95"/>
    </row>
    <row r="707" spans="1:4" ht="15.75" outlineLevel="1">
      <c r="A707" s="25" t="s">
        <v>1091</v>
      </c>
      <c r="B707" s="26" t="s">
        <v>20</v>
      </c>
      <c r="C707" s="25">
        <v>5.63</v>
      </c>
      <c r="D707" s="95"/>
    </row>
    <row r="708" spans="1:4" ht="15.75" outlineLevel="1">
      <c r="A708" s="25" t="s">
        <v>1091</v>
      </c>
      <c r="B708" s="26" t="s">
        <v>21</v>
      </c>
      <c r="C708" s="25">
        <v>5.65</v>
      </c>
      <c r="D708" s="95"/>
    </row>
    <row r="709" spans="1:4" ht="15.75" outlineLevel="1">
      <c r="A709" s="25" t="s">
        <v>1091</v>
      </c>
      <c r="B709" s="26" t="s">
        <v>186</v>
      </c>
      <c r="C709" s="25">
        <v>5.66</v>
      </c>
      <c r="D709" s="95"/>
    </row>
    <row r="710" spans="1:4" ht="15.75" outlineLevel="1">
      <c r="A710" s="25" t="s">
        <v>1091</v>
      </c>
      <c r="B710" s="26" t="s">
        <v>22</v>
      </c>
      <c r="C710" s="25">
        <v>5.68</v>
      </c>
      <c r="D710" s="95"/>
    </row>
    <row r="711" spans="1:4" ht="15.75" outlineLevel="1">
      <c r="A711" s="25" t="s">
        <v>1091</v>
      </c>
      <c r="B711" s="26" t="s">
        <v>24</v>
      </c>
      <c r="C711" s="25">
        <v>5.47</v>
      </c>
      <c r="D711" s="95"/>
    </row>
    <row r="712" spans="1:4" ht="15.75" outlineLevel="1">
      <c r="A712" s="25" t="s">
        <v>1091</v>
      </c>
      <c r="B712" s="26" t="s">
        <v>25</v>
      </c>
      <c r="C712" s="25">
        <v>5.48</v>
      </c>
      <c r="D712" s="95"/>
    </row>
    <row r="713" spans="1:4" ht="15.75">
      <c r="A713" s="30" t="s">
        <v>1091</v>
      </c>
      <c r="B713" s="26"/>
      <c r="C713" s="25"/>
      <c r="D713" s="95"/>
    </row>
    <row r="714" spans="1:4" ht="15.75" outlineLevel="1">
      <c r="A714" s="25" t="s">
        <v>1191</v>
      </c>
      <c r="B714" s="26" t="s">
        <v>0</v>
      </c>
      <c r="C714" s="25">
        <v>5.0999999999999996</v>
      </c>
      <c r="D714" s="95"/>
    </row>
    <row r="715" spans="1:4" ht="15.75" outlineLevel="1">
      <c r="A715" s="25" t="s">
        <v>1191</v>
      </c>
      <c r="B715" s="26" t="s">
        <v>1</v>
      </c>
      <c r="C715" s="25">
        <v>5.2</v>
      </c>
      <c r="D715" s="95"/>
    </row>
    <row r="716" spans="1:4" ht="15.75" outlineLevel="1">
      <c r="A716" s="25" t="s">
        <v>1191</v>
      </c>
      <c r="B716" s="26" t="s">
        <v>2</v>
      </c>
      <c r="C716" s="25">
        <v>5.3</v>
      </c>
      <c r="D716" s="95"/>
    </row>
    <row r="717" spans="1:4" ht="15.75" outlineLevel="1">
      <c r="A717" s="25" t="s">
        <v>1191</v>
      </c>
      <c r="B717" s="26" t="s">
        <v>167</v>
      </c>
      <c r="C717" s="25">
        <v>5.6</v>
      </c>
      <c r="D717" s="95"/>
    </row>
    <row r="718" spans="1:4" ht="15.75" outlineLevel="1">
      <c r="A718" s="25" t="s">
        <v>1191</v>
      </c>
      <c r="B718" s="26" t="s">
        <v>1136</v>
      </c>
      <c r="C718" s="27">
        <v>5.0999999999999996</v>
      </c>
      <c r="D718" s="95"/>
    </row>
    <row r="719" spans="1:4" ht="15.75" outlineLevel="1">
      <c r="A719" s="25" t="s">
        <v>1191</v>
      </c>
      <c r="B719" s="26" t="s">
        <v>1135</v>
      </c>
      <c r="C719" s="25">
        <v>5.14</v>
      </c>
      <c r="D719" s="95"/>
    </row>
    <row r="720" spans="1:4" ht="15.75" outlineLevel="1">
      <c r="A720" s="25" t="s">
        <v>1191</v>
      </c>
      <c r="B720" s="26" t="s">
        <v>4</v>
      </c>
      <c r="C720" s="25">
        <v>5.19</v>
      </c>
      <c r="D720" s="95"/>
    </row>
    <row r="721" spans="1:4" ht="15.75" outlineLevel="1">
      <c r="A721" s="25" t="s">
        <v>1191</v>
      </c>
      <c r="B721" s="26" t="s">
        <v>169</v>
      </c>
      <c r="C721" s="25">
        <v>5.24</v>
      </c>
      <c r="D721" s="95"/>
    </row>
    <row r="722" spans="1:4" ht="15.75" outlineLevel="1">
      <c r="A722" s="25" t="s">
        <v>1191</v>
      </c>
      <c r="B722" s="26" t="s">
        <v>5</v>
      </c>
      <c r="C722" s="25">
        <v>5.26</v>
      </c>
      <c r="D722" s="95"/>
    </row>
    <row r="723" spans="1:4" ht="15.75" outlineLevel="1">
      <c r="A723" s="25" t="s">
        <v>1191</v>
      </c>
      <c r="B723" s="26" t="s">
        <v>6</v>
      </c>
      <c r="C723" s="25">
        <v>5.27</v>
      </c>
      <c r="D723" s="95"/>
    </row>
    <row r="724" spans="1:4" ht="15.75" outlineLevel="1">
      <c r="A724" s="25" t="s">
        <v>1191</v>
      </c>
      <c r="B724" s="26" t="s">
        <v>7</v>
      </c>
      <c r="C724" s="25">
        <v>5.28</v>
      </c>
      <c r="D724" s="95"/>
    </row>
    <row r="725" spans="1:4" ht="15.75" outlineLevel="1">
      <c r="A725" s="25" t="s">
        <v>1191</v>
      </c>
      <c r="B725" s="26" t="s">
        <v>170</v>
      </c>
      <c r="C725" s="25">
        <v>5.31</v>
      </c>
      <c r="D725" s="95"/>
    </row>
    <row r="726" spans="1:4" ht="15.75" outlineLevel="1">
      <c r="A726" s="25" t="s">
        <v>1191</v>
      </c>
      <c r="B726" s="26" t="s">
        <v>146</v>
      </c>
      <c r="C726" s="25">
        <v>5.36</v>
      </c>
      <c r="D726" s="95"/>
    </row>
    <row r="727" spans="1:4" ht="15.75" outlineLevel="1">
      <c r="A727" s="25" t="s">
        <v>1191</v>
      </c>
      <c r="B727" s="26" t="s">
        <v>11</v>
      </c>
      <c r="C727" s="25">
        <v>5.53</v>
      </c>
      <c r="D727" s="95"/>
    </row>
    <row r="728" spans="1:4" ht="15.75" outlineLevel="1">
      <c r="A728" s="25" t="s">
        <v>1191</v>
      </c>
      <c r="B728" s="26" t="s">
        <v>171</v>
      </c>
      <c r="C728" s="25">
        <v>5.109</v>
      </c>
      <c r="D728" s="95"/>
    </row>
    <row r="729" spans="1:4" ht="15.75" outlineLevel="1">
      <c r="A729" s="25" t="s">
        <v>1191</v>
      </c>
      <c r="B729" s="26" t="s">
        <v>172</v>
      </c>
      <c r="C729" s="25">
        <v>5.1109999999999998</v>
      </c>
      <c r="D729" s="95"/>
    </row>
    <row r="730" spans="1:4" ht="15.75" outlineLevel="1">
      <c r="A730" s="25" t="s">
        <v>1191</v>
      </c>
      <c r="B730" s="26" t="s">
        <v>155</v>
      </c>
      <c r="C730" s="25">
        <v>5.1120000000000001</v>
      </c>
      <c r="D730" s="95"/>
    </row>
    <row r="731" spans="1:4" ht="15.75" outlineLevel="1">
      <c r="A731" s="25" t="s">
        <v>1191</v>
      </c>
      <c r="B731" s="26" t="s">
        <v>1149</v>
      </c>
      <c r="C731" s="25">
        <v>5.1130000000000004</v>
      </c>
      <c r="D731" s="95"/>
    </row>
    <row r="732" spans="1:4" ht="15.75" outlineLevel="1">
      <c r="A732" s="25" t="s">
        <v>1191</v>
      </c>
      <c r="B732" s="26" t="s">
        <v>174</v>
      </c>
      <c r="C732" s="25">
        <v>5.117</v>
      </c>
      <c r="D732" s="95"/>
    </row>
    <row r="733" spans="1:4" ht="15.75" outlineLevel="1">
      <c r="A733" s="25" t="s">
        <v>1191</v>
      </c>
      <c r="B733" s="26" t="s">
        <v>175</v>
      </c>
      <c r="C733" s="25">
        <v>5.67</v>
      </c>
      <c r="D733" s="95"/>
    </row>
    <row r="734" spans="1:4" ht="15.75" outlineLevel="1">
      <c r="A734" s="25" t="s">
        <v>1191</v>
      </c>
      <c r="B734" s="26" t="s">
        <v>20</v>
      </c>
      <c r="C734" s="25">
        <v>5.63</v>
      </c>
      <c r="D734" s="95"/>
    </row>
    <row r="735" spans="1:4" ht="15.75" outlineLevel="1">
      <c r="A735" s="25" t="s">
        <v>1191</v>
      </c>
      <c r="B735" s="26" t="s">
        <v>24</v>
      </c>
      <c r="C735" s="25">
        <v>5.47</v>
      </c>
      <c r="D735" s="95"/>
    </row>
    <row r="736" spans="1:4" ht="15.75" outlineLevel="1">
      <c r="A736" s="25" t="s">
        <v>1191</v>
      </c>
      <c r="B736" s="26" t="s">
        <v>25</v>
      </c>
      <c r="C736" s="25">
        <v>5.48</v>
      </c>
      <c r="D736" s="95"/>
    </row>
    <row r="737" spans="1:4" ht="15.75">
      <c r="A737" s="30" t="s">
        <v>1192</v>
      </c>
      <c r="B737" s="26"/>
      <c r="C737" s="25"/>
      <c r="D737" s="95"/>
    </row>
    <row r="738" spans="1:4" ht="15.75" outlineLevel="1">
      <c r="A738" s="25" t="s">
        <v>1093</v>
      </c>
      <c r="B738" s="26" t="s">
        <v>0</v>
      </c>
      <c r="C738" s="25">
        <v>5.0999999999999996</v>
      </c>
      <c r="D738" s="95"/>
    </row>
    <row r="739" spans="1:4" ht="15.75" outlineLevel="1">
      <c r="A739" s="25" t="s">
        <v>1093</v>
      </c>
      <c r="B739" s="26" t="s">
        <v>1</v>
      </c>
      <c r="C739" s="25">
        <v>5.2</v>
      </c>
      <c r="D739" s="95"/>
    </row>
    <row r="740" spans="1:4" ht="15.75" outlineLevel="1">
      <c r="A740" s="25" t="s">
        <v>1093</v>
      </c>
      <c r="B740" s="26" t="s">
        <v>152</v>
      </c>
      <c r="C740" s="25">
        <v>5.18</v>
      </c>
      <c r="D740" s="95"/>
    </row>
    <row r="741" spans="1:4" ht="15.75" outlineLevel="1">
      <c r="A741" s="25" t="s">
        <v>1093</v>
      </c>
      <c r="B741" s="26" t="s">
        <v>153</v>
      </c>
      <c r="C741" s="25">
        <v>5.23</v>
      </c>
      <c r="D741" s="95"/>
    </row>
    <row r="742" spans="1:4" ht="15.75" outlineLevel="1">
      <c r="A742" s="25" t="s">
        <v>1093</v>
      </c>
      <c r="B742" s="26" t="s">
        <v>5</v>
      </c>
      <c r="C742" s="25">
        <v>5.26</v>
      </c>
      <c r="D742" s="95"/>
    </row>
    <row r="743" spans="1:4" ht="15.75" outlineLevel="1">
      <c r="A743" s="25" t="s">
        <v>1093</v>
      </c>
      <c r="B743" s="26" t="s">
        <v>6</v>
      </c>
      <c r="C743" s="25">
        <v>5.27</v>
      </c>
      <c r="D743" s="95"/>
    </row>
    <row r="744" spans="1:4" ht="15.75" outlineLevel="1">
      <c r="A744" s="25" t="s">
        <v>1093</v>
      </c>
      <c r="B744" s="26" t="s">
        <v>7</v>
      </c>
      <c r="C744" s="25">
        <v>5.28</v>
      </c>
      <c r="D744" s="95"/>
    </row>
    <row r="745" spans="1:4" ht="15.75" outlineLevel="1">
      <c r="A745" s="25" t="s">
        <v>1093</v>
      </c>
      <c r="B745" s="26" t="s">
        <v>146</v>
      </c>
      <c r="C745" s="25">
        <v>5.36</v>
      </c>
      <c r="D745" s="95"/>
    </row>
    <row r="746" spans="1:4" ht="15.75" outlineLevel="1">
      <c r="A746" s="25" t="s">
        <v>1093</v>
      </c>
      <c r="B746" s="26" t="s">
        <v>154</v>
      </c>
      <c r="C746" s="25">
        <v>5.44</v>
      </c>
      <c r="D746" s="95"/>
    </row>
    <row r="747" spans="1:4" ht="15.75" outlineLevel="1">
      <c r="A747" s="25" t="s">
        <v>1093</v>
      </c>
      <c r="B747" s="26" t="s">
        <v>11</v>
      </c>
      <c r="C747" s="25">
        <v>5.53</v>
      </c>
      <c r="D747" s="95"/>
    </row>
    <row r="748" spans="1:4" ht="15.75" outlineLevel="1">
      <c r="A748" s="25" t="s">
        <v>1093</v>
      </c>
      <c r="B748" s="26" t="s">
        <v>155</v>
      </c>
      <c r="C748" s="25">
        <v>5.1120000000000001</v>
      </c>
      <c r="D748" s="95"/>
    </row>
    <row r="749" spans="1:4" ht="15.75" outlineLevel="1">
      <c r="A749" s="25" t="s">
        <v>1093</v>
      </c>
      <c r="B749" s="26" t="s">
        <v>156</v>
      </c>
      <c r="C749" s="25">
        <v>5.59</v>
      </c>
      <c r="D749" s="95"/>
    </row>
    <row r="750" spans="1:4" ht="15.75" outlineLevel="1">
      <c r="A750" s="25" t="s">
        <v>1093</v>
      </c>
      <c r="B750" s="26" t="s">
        <v>18</v>
      </c>
      <c r="C750" s="25">
        <v>5.54</v>
      </c>
      <c r="D750" s="95"/>
    </row>
    <row r="751" spans="1:4" ht="15.75" outlineLevel="1">
      <c r="A751" s="25" t="s">
        <v>1093</v>
      </c>
      <c r="B751" s="26" t="s">
        <v>20</v>
      </c>
      <c r="C751" s="25">
        <v>5.63</v>
      </c>
      <c r="D751" s="95"/>
    </row>
    <row r="752" spans="1:4" ht="15.75" outlineLevel="1">
      <c r="A752" s="25" t="s">
        <v>1093</v>
      </c>
      <c r="B752" s="26" t="s">
        <v>21</v>
      </c>
      <c r="C752" s="25">
        <v>5.65</v>
      </c>
      <c r="D752" s="95"/>
    </row>
    <row r="753" spans="1:4" ht="15.75" outlineLevel="1">
      <c r="A753" s="25" t="s">
        <v>1093</v>
      </c>
      <c r="B753" s="26" t="s">
        <v>22</v>
      </c>
      <c r="C753" s="25">
        <v>5.68</v>
      </c>
      <c r="D753" s="95"/>
    </row>
    <row r="754" spans="1:4" ht="15.75" outlineLevel="1">
      <c r="A754" s="25" t="s">
        <v>1093</v>
      </c>
      <c r="B754" s="26" t="s">
        <v>24</v>
      </c>
      <c r="C754" s="25">
        <v>5.47</v>
      </c>
      <c r="D754" s="95"/>
    </row>
    <row r="755" spans="1:4" ht="15.75" outlineLevel="1">
      <c r="A755" s="25" t="s">
        <v>1093</v>
      </c>
      <c r="B755" s="26" t="s">
        <v>25</v>
      </c>
      <c r="C755" s="25">
        <v>5.48</v>
      </c>
      <c r="D755" s="95"/>
    </row>
    <row r="756" spans="1:4" ht="15.75">
      <c r="A756" s="30" t="s">
        <v>1093</v>
      </c>
      <c r="B756" s="26"/>
      <c r="C756" s="25"/>
      <c r="D756" s="95"/>
    </row>
    <row r="757" spans="1:4" ht="15.75" outlineLevel="1">
      <c r="A757" s="25" t="s">
        <v>1193</v>
      </c>
      <c r="B757" s="26" t="s">
        <v>0</v>
      </c>
      <c r="C757" s="25">
        <v>5.0999999999999996</v>
      </c>
      <c r="D757" s="95"/>
    </row>
    <row r="758" spans="1:4" ht="15.75" outlineLevel="1">
      <c r="A758" s="25" t="s">
        <v>1193</v>
      </c>
      <c r="B758" s="26" t="s">
        <v>1</v>
      </c>
      <c r="C758" s="25">
        <v>5.2</v>
      </c>
      <c r="D758" s="95"/>
    </row>
    <row r="759" spans="1:4" ht="15.75" outlineLevel="1">
      <c r="A759" s="25" t="s">
        <v>1193</v>
      </c>
      <c r="B759" s="26" t="s">
        <v>141</v>
      </c>
      <c r="C759" s="25">
        <v>5.9</v>
      </c>
      <c r="D759" s="94" t="s">
        <v>1134</v>
      </c>
    </row>
    <row r="760" spans="1:4" ht="15.75" outlineLevel="1">
      <c r="A760" s="25" t="s">
        <v>1193</v>
      </c>
      <c r="B760" s="26" t="s">
        <v>142</v>
      </c>
      <c r="C760" s="25">
        <v>5.13</v>
      </c>
      <c r="D760" s="95"/>
    </row>
    <row r="761" spans="1:4" ht="15.75" outlineLevel="1">
      <c r="A761" s="25" t="s">
        <v>1193</v>
      </c>
      <c r="B761" s="26" t="s">
        <v>143</v>
      </c>
      <c r="C761" s="25">
        <v>5.16</v>
      </c>
      <c r="D761" s="94" t="s">
        <v>1134</v>
      </c>
    </row>
    <row r="762" spans="1:4" ht="15.75" outlineLevel="1">
      <c r="A762" s="25" t="s">
        <v>1193</v>
      </c>
      <c r="B762" s="26" t="s">
        <v>144</v>
      </c>
      <c r="C762" s="25">
        <v>5.22</v>
      </c>
      <c r="D762" s="94"/>
    </row>
    <row r="763" spans="1:4" ht="15.75" outlineLevel="1">
      <c r="A763" s="25" t="s">
        <v>1193</v>
      </c>
      <c r="B763" s="26" t="s">
        <v>145</v>
      </c>
      <c r="C763" s="25">
        <v>5.42</v>
      </c>
      <c r="D763" s="95"/>
    </row>
    <row r="764" spans="1:4" ht="15.75" outlineLevel="1">
      <c r="A764" s="25" t="s">
        <v>1193</v>
      </c>
      <c r="B764" s="26" t="s">
        <v>6</v>
      </c>
      <c r="C764" s="25">
        <v>5.27</v>
      </c>
      <c r="D764" s="95"/>
    </row>
    <row r="765" spans="1:4" ht="15.75" outlineLevel="1">
      <c r="A765" s="25" t="s">
        <v>1193</v>
      </c>
      <c r="B765" s="26" t="s">
        <v>7</v>
      </c>
      <c r="C765" s="25">
        <v>5.28</v>
      </c>
      <c r="D765" s="94" t="s">
        <v>1134</v>
      </c>
    </row>
    <row r="766" spans="1:4" ht="15.75" outlineLevel="1">
      <c r="A766" s="25" t="s">
        <v>1193</v>
      </c>
      <c r="B766" s="26" t="s">
        <v>146</v>
      </c>
      <c r="C766" s="25">
        <v>5.36</v>
      </c>
      <c r="D766" s="95"/>
    </row>
    <row r="767" spans="1:4" ht="15.75" outlineLevel="1">
      <c r="A767" s="25" t="s">
        <v>1193</v>
      </c>
      <c r="B767" s="26" t="s">
        <v>9</v>
      </c>
      <c r="C767" s="25">
        <v>5.49</v>
      </c>
      <c r="D767" s="95"/>
    </row>
    <row r="768" spans="1:4" ht="15.75" outlineLevel="1">
      <c r="A768" s="25" t="s">
        <v>1193</v>
      </c>
      <c r="B768" s="26" t="s">
        <v>10</v>
      </c>
      <c r="C768" s="25">
        <v>5.51</v>
      </c>
      <c r="D768" s="95"/>
    </row>
    <row r="769" spans="1:4" ht="15.75" outlineLevel="1">
      <c r="A769" s="25" t="s">
        <v>1193</v>
      </c>
      <c r="B769" s="26" t="s">
        <v>1182</v>
      </c>
      <c r="C769" s="25">
        <v>5.52</v>
      </c>
      <c r="D769" s="95"/>
    </row>
    <row r="770" spans="1:4" ht="15.75" outlineLevel="1">
      <c r="A770" s="25" t="s">
        <v>1193</v>
      </c>
      <c r="B770" s="26" t="s">
        <v>11</v>
      </c>
      <c r="C770" s="25">
        <v>5.53</v>
      </c>
      <c r="D770" s="95"/>
    </row>
    <row r="771" spans="1:4" ht="15.75" outlineLevel="1">
      <c r="A771" s="25" t="s">
        <v>1193</v>
      </c>
      <c r="B771" s="26" t="s">
        <v>18</v>
      </c>
      <c r="C771" s="25">
        <v>5.54</v>
      </c>
      <c r="D771" s="95"/>
    </row>
    <row r="772" spans="1:4" ht="15.75" outlineLevel="1">
      <c r="A772" s="25" t="s">
        <v>1193</v>
      </c>
      <c r="B772" s="26" t="s">
        <v>14</v>
      </c>
      <c r="C772" s="27">
        <v>5.7</v>
      </c>
      <c r="D772" s="95"/>
    </row>
    <row r="773" spans="1:4" ht="15.75" outlineLevel="1">
      <c r="A773" s="25" t="s">
        <v>1193</v>
      </c>
      <c r="B773" s="26" t="s">
        <v>148</v>
      </c>
      <c r="C773" s="25">
        <v>5.71</v>
      </c>
      <c r="D773" s="95"/>
    </row>
    <row r="774" spans="1:4" ht="15.75" outlineLevel="1">
      <c r="A774" s="25" t="s">
        <v>1193</v>
      </c>
      <c r="B774" s="26" t="s">
        <v>149</v>
      </c>
      <c r="C774" s="27">
        <v>5.9</v>
      </c>
      <c r="D774" s="95"/>
    </row>
    <row r="775" spans="1:4" ht="15.75" outlineLevel="1">
      <c r="A775" s="25" t="s">
        <v>1193</v>
      </c>
      <c r="B775" s="26" t="s">
        <v>150</v>
      </c>
      <c r="C775" s="25">
        <v>5.91</v>
      </c>
      <c r="D775" s="95"/>
    </row>
    <row r="776" spans="1:4" ht="15.75" outlineLevel="1">
      <c r="A776" s="25" t="s">
        <v>1193</v>
      </c>
      <c r="B776" s="26" t="s">
        <v>151</v>
      </c>
      <c r="C776" s="25">
        <v>5.97</v>
      </c>
      <c r="D776" s="95"/>
    </row>
    <row r="777" spans="1:4" ht="15.75">
      <c r="A777" s="30" t="s">
        <v>1193</v>
      </c>
      <c r="B777" s="26"/>
      <c r="C777" s="25"/>
      <c r="D777" s="95"/>
    </row>
    <row r="778" spans="1:4" ht="31.5" outlineLevel="1">
      <c r="A778" s="25" t="s">
        <v>1128</v>
      </c>
      <c r="B778" s="26" t="s">
        <v>0</v>
      </c>
      <c r="C778" s="25">
        <v>5.0999999999999996</v>
      </c>
      <c r="D778" s="95"/>
    </row>
    <row r="779" spans="1:4" ht="31.5" outlineLevel="1">
      <c r="A779" s="25" t="s">
        <v>1128</v>
      </c>
      <c r="B779" s="26" t="s">
        <v>1</v>
      </c>
      <c r="C779" s="25">
        <v>5.2</v>
      </c>
      <c r="D779" s="95"/>
    </row>
    <row r="780" spans="1:4" ht="31.5" outlineLevel="1">
      <c r="A780" s="25" t="s">
        <v>1128</v>
      </c>
      <c r="B780" s="26" t="s">
        <v>5</v>
      </c>
      <c r="C780" s="25">
        <v>5.26</v>
      </c>
      <c r="D780" s="95"/>
    </row>
    <row r="781" spans="1:4" ht="31.5" outlineLevel="1">
      <c r="A781" s="25" t="s">
        <v>1128</v>
      </c>
      <c r="B781" s="26" t="s">
        <v>228</v>
      </c>
      <c r="C781" s="25">
        <v>5.5</v>
      </c>
      <c r="D781" s="95"/>
    </row>
    <row r="782" spans="1:4" ht="31.5" outlineLevel="1">
      <c r="A782" s="25" t="s">
        <v>1128</v>
      </c>
      <c r="B782" s="26" t="s">
        <v>229</v>
      </c>
      <c r="C782" s="25">
        <v>5.8</v>
      </c>
      <c r="D782" s="94" t="s">
        <v>1134</v>
      </c>
    </row>
    <row r="783" spans="1:4" ht="31.5" outlineLevel="1">
      <c r="A783" s="25" t="s">
        <v>1128</v>
      </c>
      <c r="B783" s="26" t="s">
        <v>230</v>
      </c>
      <c r="C783" s="25">
        <v>5.12</v>
      </c>
      <c r="D783" s="25"/>
    </row>
    <row r="784" spans="1:4" ht="31.5" outlineLevel="1">
      <c r="A784" s="25" t="s">
        <v>1128</v>
      </c>
      <c r="B784" s="26" t="s">
        <v>231</v>
      </c>
      <c r="C784" s="25">
        <v>5.15</v>
      </c>
      <c r="D784" s="25"/>
    </row>
    <row r="785" spans="1:4" ht="31.5" outlineLevel="1">
      <c r="A785" s="25" t="s">
        <v>1128</v>
      </c>
      <c r="B785" s="26" t="s">
        <v>232</v>
      </c>
      <c r="C785" s="27">
        <v>5.2</v>
      </c>
      <c r="D785" s="94"/>
    </row>
    <row r="786" spans="1:4" ht="31.5" outlineLevel="1">
      <c r="A786" s="25" t="s">
        <v>1128</v>
      </c>
      <c r="B786" s="26" t="s">
        <v>233</v>
      </c>
      <c r="C786" s="25">
        <v>5.25</v>
      </c>
      <c r="D786" s="25"/>
    </row>
    <row r="787" spans="1:4" ht="31.5" outlineLevel="1">
      <c r="A787" s="25" t="s">
        <v>1128</v>
      </c>
      <c r="B787" s="26" t="s">
        <v>11</v>
      </c>
      <c r="C787" s="25">
        <v>5.53</v>
      </c>
      <c r="D787" s="25"/>
    </row>
    <row r="788" spans="1:4" ht="31.5" outlineLevel="1">
      <c r="A788" s="25" t="s">
        <v>1128</v>
      </c>
      <c r="B788" s="26" t="s">
        <v>234</v>
      </c>
      <c r="C788" s="27">
        <v>5.4</v>
      </c>
      <c r="D788" s="25"/>
    </row>
    <row r="789" spans="1:4" ht="31.5" outlineLevel="1">
      <c r="A789" s="25" t="s">
        <v>1128</v>
      </c>
      <c r="B789" s="26" t="s">
        <v>235</v>
      </c>
      <c r="C789" s="25">
        <v>5.92</v>
      </c>
      <c r="D789" s="25"/>
    </row>
    <row r="790" spans="1:4" ht="31.5" outlineLevel="1">
      <c r="A790" s="25" t="s">
        <v>1128</v>
      </c>
      <c r="B790" s="26" t="s">
        <v>236</v>
      </c>
      <c r="C790" s="25">
        <v>5.93</v>
      </c>
      <c r="D790" s="25"/>
    </row>
    <row r="791" spans="1:4" ht="31.5" outlineLevel="1">
      <c r="A791" s="25" t="s">
        <v>1128</v>
      </c>
      <c r="B791" s="26" t="s">
        <v>237</v>
      </c>
      <c r="C791" s="25">
        <v>5.94</v>
      </c>
      <c r="D791" s="25"/>
    </row>
    <row r="792" spans="1:4" ht="31.5" outlineLevel="1">
      <c r="A792" s="25" t="s">
        <v>1128</v>
      </c>
      <c r="B792" s="26" t="s">
        <v>238</v>
      </c>
      <c r="C792" s="25">
        <v>5.95</v>
      </c>
      <c r="D792" s="25"/>
    </row>
    <row r="793" spans="1:4" ht="31.5" outlineLevel="1">
      <c r="A793" s="25" t="s">
        <v>1128</v>
      </c>
      <c r="B793" s="26" t="s">
        <v>239</v>
      </c>
      <c r="C793" s="25">
        <v>5.98</v>
      </c>
      <c r="D793" s="25"/>
    </row>
    <row r="794" spans="1:4" ht="31.5" outlineLevel="1">
      <c r="A794" s="25" t="s">
        <v>1128</v>
      </c>
      <c r="B794" s="26" t="s">
        <v>240</v>
      </c>
      <c r="C794" s="25">
        <v>5.96</v>
      </c>
      <c r="D794" s="25"/>
    </row>
    <row r="795" spans="1:4" ht="31.5">
      <c r="A795" s="30" t="s">
        <v>1128</v>
      </c>
      <c r="B795" s="26"/>
      <c r="C795" s="25"/>
      <c r="D795" s="25"/>
    </row>
  </sheetData>
  <autoFilter ref="A1:D795" xr:uid="{00000000-0009-0000-0000-000020000000}"/>
  <pageMargins left="0.7" right="0.7" top="0.75" bottom="0.75" header="0.3" footer="0.3"/>
  <pageSetup paperSize="9" orientation="portrait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Sheet38"/>
  <dimension ref="A2:B121"/>
  <sheetViews>
    <sheetView rightToLeft="1" workbookViewId="0"/>
  </sheetViews>
  <sheetFormatPr defaultRowHeight="14.25"/>
  <cols>
    <col min="1" max="1" width="63.25" bestFit="1" customWidth="1"/>
    <col min="2" max="2" width="13.75" customWidth="1"/>
  </cols>
  <sheetData>
    <row r="2" spans="1:2" ht="15">
      <c r="A2" s="16" t="s">
        <v>1206</v>
      </c>
    </row>
    <row r="3" spans="1:2">
      <c r="A3" t="s">
        <v>1207</v>
      </c>
      <c r="B3" t="s">
        <v>1208</v>
      </c>
    </row>
    <row r="4" spans="1:2">
      <c r="A4" t="s">
        <v>215</v>
      </c>
      <c r="B4" t="s">
        <v>1209</v>
      </c>
    </row>
    <row r="5" spans="1:2">
      <c r="A5" t="s">
        <v>1210</v>
      </c>
      <c r="B5" t="s">
        <v>1211</v>
      </c>
    </row>
    <row r="6" spans="1:2">
      <c r="A6" t="s">
        <v>1212</v>
      </c>
      <c r="B6" t="s">
        <v>1213</v>
      </c>
    </row>
    <row r="7" spans="1:2">
      <c r="A7" t="s">
        <v>1214</v>
      </c>
      <c r="B7" t="s">
        <v>1215</v>
      </c>
    </row>
    <row r="8" spans="1:2">
      <c r="A8" t="s">
        <v>1216</v>
      </c>
      <c r="B8" t="s">
        <v>1217</v>
      </c>
    </row>
    <row r="10" spans="1:2" ht="15">
      <c r="A10" s="16" t="s">
        <v>1218</v>
      </c>
    </row>
    <row r="11" spans="1:2">
      <c r="A11" t="s">
        <v>1219</v>
      </c>
    </row>
    <row r="12" spans="1:2">
      <c r="A12" t="s">
        <v>1220</v>
      </c>
      <c r="B12" t="s">
        <v>1221</v>
      </c>
    </row>
    <row r="14" spans="1:2">
      <c r="A14" s="24"/>
    </row>
    <row r="15" spans="1:2" ht="15">
      <c r="A15" s="16" t="s">
        <v>1222</v>
      </c>
    </row>
    <row r="16" spans="1:2">
      <c r="A16" s="22" t="s">
        <v>1223</v>
      </c>
    </row>
    <row r="17" spans="1:2">
      <c r="A17" s="22" t="s">
        <v>1224</v>
      </c>
    </row>
    <row r="18" spans="1:2">
      <c r="A18" s="22" t="s">
        <v>1225</v>
      </c>
    </row>
    <row r="19" spans="1:2">
      <c r="A19" s="22" t="s">
        <v>1226</v>
      </c>
    </row>
    <row r="21" spans="1:2" ht="15">
      <c r="A21" s="23" t="s">
        <v>1227</v>
      </c>
    </row>
    <row r="22" spans="1:2">
      <c r="A22">
        <v>2022</v>
      </c>
      <c r="B22">
        <v>22</v>
      </c>
    </row>
    <row r="23" spans="1:2">
      <c r="A23">
        <v>2023</v>
      </c>
      <c r="B23">
        <v>23</v>
      </c>
    </row>
    <row r="24" spans="1:2">
      <c r="A24">
        <v>2024</v>
      </c>
      <c r="B24">
        <v>24</v>
      </c>
    </row>
    <row r="25" spans="1:2">
      <c r="A25">
        <v>2025</v>
      </c>
      <c r="B25">
        <v>25</v>
      </c>
    </row>
    <row r="26" spans="1:2">
      <c r="A26">
        <v>2026</v>
      </c>
      <c r="B26">
        <v>26</v>
      </c>
    </row>
    <row r="27" spans="1:2">
      <c r="A27">
        <v>2027</v>
      </c>
      <c r="B27">
        <v>27</v>
      </c>
    </row>
    <row r="28" spans="1:2">
      <c r="A28">
        <v>2028</v>
      </c>
      <c r="B28">
        <v>28</v>
      </c>
    </row>
    <row r="29" spans="1:2">
      <c r="A29">
        <v>2029</v>
      </c>
      <c r="B29">
        <v>29</v>
      </c>
    </row>
    <row r="30" spans="1:2">
      <c r="A30">
        <v>2030</v>
      </c>
      <c r="B30">
        <v>30</v>
      </c>
    </row>
    <row r="31" spans="1:2">
      <c r="A31">
        <v>2031</v>
      </c>
      <c r="B31">
        <v>31</v>
      </c>
    </row>
    <row r="34" spans="1:2" ht="15">
      <c r="A34" s="16" t="s">
        <v>1228</v>
      </c>
      <c r="B34" s="16" t="s">
        <v>347</v>
      </c>
    </row>
    <row r="35" spans="1:2">
      <c r="A35" s="8" t="s">
        <v>1229</v>
      </c>
      <c r="B35" s="29">
        <v>512310509</v>
      </c>
    </row>
    <row r="36" spans="1:2">
      <c r="A36" t="s">
        <v>1230</v>
      </c>
      <c r="B36" s="29">
        <v>513910703</v>
      </c>
    </row>
    <row r="37" spans="1:2">
      <c r="A37" t="s">
        <v>1231</v>
      </c>
      <c r="B37" s="29">
        <v>512304882</v>
      </c>
    </row>
    <row r="38" spans="1:2">
      <c r="A38" t="s">
        <v>1232</v>
      </c>
      <c r="B38" s="29">
        <v>520030677</v>
      </c>
    </row>
    <row r="39" spans="1:2">
      <c r="A39" t="s">
        <v>1233</v>
      </c>
      <c r="B39" s="29">
        <v>513621110</v>
      </c>
    </row>
    <row r="40" spans="1:2">
      <c r="A40" t="s">
        <v>1234</v>
      </c>
      <c r="B40" s="8">
        <v>513173393</v>
      </c>
    </row>
    <row r="41" spans="1:2">
      <c r="A41" t="s">
        <v>1235</v>
      </c>
      <c r="B41" s="8">
        <v>511880460</v>
      </c>
    </row>
    <row r="42" spans="1:2">
      <c r="A42" t="s">
        <v>1236</v>
      </c>
      <c r="B42" s="8">
        <v>510773922</v>
      </c>
    </row>
    <row r="43" spans="1:2">
      <c r="A43" t="s">
        <v>1237</v>
      </c>
      <c r="B43">
        <v>520021916</v>
      </c>
    </row>
    <row r="44" spans="1:2">
      <c r="A44" t="s">
        <v>1238</v>
      </c>
      <c r="B44">
        <v>520044025</v>
      </c>
    </row>
    <row r="45" spans="1:2">
      <c r="A45" t="s">
        <v>1239</v>
      </c>
      <c r="B45">
        <v>570003152</v>
      </c>
    </row>
    <row r="46" spans="1:2">
      <c r="A46" t="s">
        <v>1240</v>
      </c>
      <c r="B46" s="8">
        <v>520023094</v>
      </c>
    </row>
    <row r="47" spans="1:2">
      <c r="A47" t="s">
        <v>1241</v>
      </c>
      <c r="B47" s="8">
        <v>512711409</v>
      </c>
    </row>
    <row r="48" spans="1:2">
      <c r="A48" t="s">
        <v>1242</v>
      </c>
      <c r="B48">
        <v>515859379</v>
      </c>
    </row>
    <row r="49" spans="1:2">
      <c r="A49" t="s">
        <v>1243</v>
      </c>
      <c r="B49" s="8">
        <v>520030990</v>
      </c>
    </row>
    <row r="50" spans="1:2">
      <c r="A50" t="s">
        <v>1244</v>
      </c>
      <c r="B50" s="8">
        <v>520028812</v>
      </c>
    </row>
    <row r="51" spans="1:2">
      <c r="A51" t="s">
        <v>1245</v>
      </c>
      <c r="B51" s="8">
        <v>520034968</v>
      </c>
    </row>
    <row r="52" spans="1:2">
      <c r="A52" t="s">
        <v>1246</v>
      </c>
      <c r="B52" s="8">
        <v>520031824</v>
      </c>
    </row>
    <row r="53" spans="1:2">
      <c r="A53" t="s">
        <v>1247</v>
      </c>
      <c r="B53" s="8">
        <v>520005497</v>
      </c>
    </row>
    <row r="54" spans="1:2">
      <c r="A54" t="s">
        <v>1248</v>
      </c>
      <c r="B54" s="8">
        <v>520022518</v>
      </c>
    </row>
    <row r="55" spans="1:2">
      <c r="A55" t="s">
        <v>1249</v>
      </c>
      <c r="B55" s="8">
        <v>520028556</v>
      </c>
    </row>
    <row r="56" spans="1:2">
      <c r="A56" t="s">
        <v>1250</v>
      </c>
      <c r="B56" s="8">
        <v>520032269</v>
      </c>
    </row>
    <row r="57" spans="1:2">
      <c r="A57" t="s">
        <v>1251</v>
      </c>
      <c r="B57" s="8">
        <v>520027954</v>
      </c>
    </row>
    <row r="58" spans="1:2">
      <c r="A58" t="s">
        <v>1252</v>
      </c>
      <c r="B58">
        <v>520029620</v>
      </c>
    </row>
    <row r="59" spans="1:2">
      <c r="A59" t="s">
        <v>1253</v>
      </c>
      <c r="B59" s="8">
        <v>520028861</v>
      </c>
    </row>
    <row r="60" spans="1:2">
      <c r="A60" t="s">
        <v>1254</v>
      </c>
      <c r="B60" s="8">
        <v>520030743</v>
      </c>
    </row>
    <row r="61" spans="1:2">
      <c r="A61" t="s">
        <v>1255</v>
      </c>
      <c r="B61">
        <v>520042177</v>
      </c>
    </row>
    <row r="62" spans="1:2">
      <c r="A62" t="s">
        <v>1256</v>
      </c>
      <c r="B62" s="8">
        <v>515447035</v>
      </c>
    </row>
    <row r="63" spans="1:2">
      <c r="A63" t="s">
        <v>1257</v>
      </c>
      <c r="B63" s="8">
        <v>520042607</v>
      </c>
    </row>
    <row r="64" spans="1:2">
      <c r="A64" t="s">
        <v>1258</v>
      </c>
      <c r="B64" s="8">
        <v>513026484</v>
      </c>
    </row>
    <row r="65" spans="1:2">
      <c r="A65" t="s">
        <v>1259</v>
      </c>
      <c r="B65">
        <v>520023185</v>
      </c>
    </row>
    <row r="66" spans="1:2">
      <c r="A66" t="s">
        <v>1260</v>
      </c>
      <c r="B66">
        <v>520004078</v>
      </c>
    </row>
    <row r="67" spans="1:2">
      <c r="A67" t="s">
        <v>1261</v>
      </c>
      <c r="B67" s="8">
        <v>512267592</v>
      </c>
    </row>
    <row r="68" spans="1:2">
      <c r="A68" t="s">
        <v>1262</v>
      </c>
      <c r="B68">
        <v>515764868</v>
      </c>
    </row>
    <row r="69" spans="1:2">
      <c r="A69" t="s">
        <v>1263</v>
      </c>
      <c r="B69" s="8">
        <v>513452003</v>
      </c>
    </row>
    <row r="70" spans="1:2">
      <c r="A70" t="s">
        <v>1264</v>
      </c>
      <c r="B70" s="8">
        <v>510142789</v>
      </c>
    </row>
    <row r="71" spans="1:2">
      <c r="A71" t="s">
        <v>1265</v>
      </c>
      <c r="B71" s="8">
        <v>510960586</v>
      </c>
    </row>
    <row r="72" spans="1:2">
      <c r="A72" t="s">
        <v>1266</v>
      </c>
      <c r="B72" s="8">
        <v>510930670</v>
      </c>
    </row>
    <row r="73" spans="1:2">
      <c r="A73" t="s">
        <v>1267</v>
      </c>
      <c r="B73" s="8">
        <v>510927536</v>
      </c>
    </row>
    <row r="74" spans="1:2">
      <c r="A74" t="s">
        <v>1268</v>
      </c>
      <c r="B74" s="8">
        <v>510930654</v>
      </c>
    </row>
    <row r="75" spans="1:2">
      <c r="A75" t="s">
        <v>1269</v>
      </c>
      <c r="B75" s="8">
        <v>520032566</v>
      </c>
    </row>
    <row r="76" spans="1:2">
      <c r="A76" t="s">
        <v>1270</v>
      </c>
      <c r="B76" s="8">
        <v>513611509</v>
      </c>
    </row>
    <row r="77" spans="1:2">
      <c r="A77" t="s">
        <v>1271</v>
      </c>
      <c r="B77">
        <v>510888985</v>
      </c>
    </row>
    <row r="78" spans="1:2">
      <c r="A78" t="s">
        <v>1272</v>
      </c>
      <c r="B78">
        <v>520024647</v>
      </c>
    </row>
    <row r="79" spans="1:2">
      <c r="A79" t="s">
        <v>1273</v>
      </c>
      <c r="B79" s="8">
        <v>512244146</v>
      </c>
    </row>
    <row r="80" spans="1:2">
      <c r="A80" t="s">
        <v>1274</v>
      </c>
      <c r="B80" s="8">
        <v>510694821</v>
      </c>
    </row>
    <row r="81" spans="1:2">
      <c r="A81" t="s">
        <v>1275</v>
      </c>
      <c r="B81">
        <v>515761625</v>
      </c>
    </row>
    <row r="82" spans="1:2">
      <c r="A82" t="s">
        <v>1276</v>
      </c>
      <c r="B82" s="8">
        <v>511423048</v>
      </c>
    </row>
    <row r="83" spans="1:2">
      <c r="A83" t="s">
        <v>1277</v>
      </c>
      <c r="B83" s="8">
        <v>520019688</v>
      </c>
    </row>
    <row r="84" spans="1:2">
      <c r="A84" t="s">
        <v>1278</v>
      </c>
      <c r="B84">
        <v>520004896</v>
      </c>
    </row>
    <row r="85" spans="1:2">
      <c r="A85" t="s">
        <v>1279</v>
      </c>
      <c r="B85" s="8">
        <v>512237744</v>
      </c>
    </row>
    <row r="86" spans="1:2">
      <c r="A86" t="s">
        <v>1280</v>
      </c>
      <c r="B86" s="8">
        <v>514956465</v>
      </c>
    </row>
    <row r="87" spans="1:2">
      <c r="A87" t="s">
        <v>1281</v>
      </c>
      <c r="B87" s="8">
        <v>512362914</v>
      </c>
    </row>
    <row r="88" spans="1:2">
      <c r="A88" t="s">
        <v>1282</v>
      </c>
      <c r="B88" s="8">
        <v>520042615</v>
      </c>
    </row>
    <row r="89" spans="1:2">
      <c r="A89" t="s">
        <v>1283</v>
      </c>
      <c r="B89" s="8">
        <v>512065202</v>
      </c>
    </row>
    <row r="90" spans="1:2">
      <c r="A90" t="s">
        <v>1284</v>
      </c>
      <c r="B90">
        <v>520042540</v>
      </c>
    </row>
    <row r="91" spans="1:2">
      <c r="A91" t="s">
        <v>1285</v>
      </c>
      <c r="B91" s="8">
        <v>520027715</v>
      </c>
    </row>
    <row r="92" spans="1:2">
      <c r="A92" t="s">
        <v>1286</v>
      </c>
      <c r="B92" s="8">
        <v>512245812</v>
      </c>
    </row>
    <row r="93" spans="1:2">
      <c r="A93" t="s">
        <v>1287</v>
      </c>
      <c r="B93" s="8">
        <v>520022351</v>
      </c>
    </row>
    <row r="94" spans="1:2">
      <c r="A94" t="s">
        <v>1288</v>
      </c>
      <c r="B94" s="8">
        <v>514767490</v>
      </c>
    </row>
    <row r="95" spans="1:2">
      <c r="A95" t="s">
        <v>1289</v>
      </c>
      <c r="B95" s="8">
        <v>520024985</v>
      </c>
    </row>
    <row r="96" spans="1:2">
      <c r="A96" t="s">
        <v>1290</v>
      </c>
      <c r="B96" s="8">
        <v>520042573</v>
      </c>
    </row>
    <row r="97" spans="1:2">
      <c r="A97" t="s">
        <v>1291</v>
      </c>
      <c r="B97" s="8">
        <v>570009449</v>
      </c>
    </row>
    <row r="98" spans="1:2">
      <c r="A98" t="s">
        <v>1292</v>
      </c>
      <c r="B98" s="8">
        <v>520031659</v>
      </c>
    </row>
    <row r="99" spans="1:2">
      <c r="A99" t="s">
        <v>1293</v>
      </c>
      <c r="B99" s="8">
        <v>520042581</v>
      </c>
    </row>
    <row r="100" spans="1:2">
      <c r="A100" t="s">
        <v>1294</v>
      </c>
      <c r="B100">
        <v>520031030</v>
      </c>
    </row>
    <row r="101" spans="1:2">
      <c r="A101" t="s">
        <v>1295</v>
      </c>
      <c r="B101" s="8">
        <v>520030941</v>
      </c>
    </row>
    <row r="102" spans="1:2">
      <c r="A102" t="s">
        <v>1296</v>
      </c>
      <c r="B102" s="8">
        <v>512008335</v>
      </c>
    </row>
    <row r="103" spans="1:2">
      <c r="A103" t="s">
        <v>1297</v>
      </c>
      <c r="B103" s="8">
        <v>520022963</v>
      </c>
    </row>
    <row r="104" spans="1:2">
      <c r="A104" t="s">
        <v>1298</v>
      </c>
      <c r="B104" s="8">
        <v>570011767</v>
      </c>
    </row>
    <row r="105" spans="1:2">
      <c r="A105" t="s">
        <v>1299</v>
      </c>
      <c r="B105" s="8">
        <v>570014928</v>
      </c>
    </row>
    <row r="106" spans="1:2">
      <c r="A106" t="s">
        <v>1300</v>
      </c>
      <c r="B106" s="8">
        <v>570005959</v>
      </c>
    </row>
    <row r="107" spans="1:2">
      <c r="A107" t="s">
        <v>1301</v>
      </c>
      <c r="B107" s="8">
        <v>510800402</v>
      </c>
    </row>
    <row r="108" spans="1:2">
      <c r="A108" t="s">
        <v>1302</v>
      </c>
      <c r="B108" s="8">
        <v>570007476</v>
      </c>
    </row>
    <row r="109" spans="1:2">
      <c r="A109" t="s">
        <v>1303</v>
      </c>
      <c r="B109" s="8">
        <v>570005850</v>
      </c>
    </row>
    <row r="110" spans="1:2">
      <c r="A110" t="s">
        <v>1304</v>
      </c>
      <c r="B110" s="8">
        <v>520020504</v>
      </c>
    </row>
    <row r="111" spans="1:2">
      <c r="A111" t="s">
        <v>1305</v>
      </c>
      <c r="B111" s="8">
        <v>520020447</v>
      </c>
    </row>
    <row r="112" spans="1:2">
      <c r="A112" t="s">
        <v>1306</v>
      </c>
      <c r="B112" s="8">
        <v>511033060</v>
      </c>
    </row>
    <row r="113" spans="1:2">
      <c r="A113" t="s">
        <v>1307</v>
      </c>
      <c r="B113">
        <v>520027848</v>
      </c>
    </row>
    <row r="114" spans="1:2">
      <c r="A114" t="s">
        <v>1308</v>
      </c>
      <c r="B114" s="8">
        <v>570009852</v>
      </c>
    </row>
    <row r="115" spans="1:2">
      <c r="A115" t="s">
        <v>1309</v>
      </c>
      <c r="B115" s="8">
        <v>520027251</v>
      </c>
    </row>
    <row r="116" spans="1:2">
      <c r="A116" t="s">
        <v>1310</v>
      </c>
      <c r="B116" s="8">
        <v>520028390</v>
      </c>
    </row>
    <row r="117" spans="1:2">
      <c r="A117" t="s">
        <v>1311</v>
      </c>
      <c r="B117" s="8">
        <v>510806870</v>
      </c>
    </row>
    <row r="118" spans="1:2">
      <c r="A118" t="s">
        <v>1312</v>
      </c>
      <c r="B118">
        <v>513879189</v>
      </c>
    </row>
    <row r="119" spans="1:2">
      <c r="A119" t="s">
        <v>1313</v>
      </c>
      <c r="B119">
        <v>510015951</v>
      </c>
    </row>
    <row r="120" spans="1:2">
      <c r="A120" t="s">
        <v>1314</v>
      </c>
      <c r="B120" s="8">
        <v>520030693</v>
      </c>
    </row>
    <row r="121" spans="1:2">
      <c r="A121" t="s">
        <v>1315</v>
      </c>
      <c r="B121" s="8">
        <v>570002618</v>
      </c>
    </row>
  </sheetData>
  <sortState xmlns:xlrd2="http://schemas.microsoft.com/office/spreadsheetml/2017/richdata2" ref="A34:B124">
    <sortCondition ref="A34:A124"/>
  </sortState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34</vt:i4>
      </vt:variant>
      <vt:variant>
        <vt:lpstr>טווחים בעלי שם</vt:lpstr>
      </vt:variant>
      <vt:variant>
        <vt:i4>77</vt:i4>
      </vt:variant>
    </vt:vector>
  </HeadingPairs>
  <TitlesOfParts>
    <vt:vector size="111" baseType="lpstr">
      <vt:lpstr>עמוד פתיחה</vt:lpstr>
      <vt:lpstr>סכום נכסים</vt:lpstr>
      <vt:lpstr>מזומנים ושווי מזומנים</vt:lpstr>
      <vt:lpstr>איגרות חוב ממשלתיות</vt:lpstr>
      <vt:lpstr>ניירות ערך מסחריים</vt:lpstr>
      <vt:lpstr>איגרות חוב</vt:lpstr>
      <vt:lpstr>מניות מבכ ויהש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 איגרות חוב ממשלתיות</vt:lpstr>
      <vt:lpstr>לא סחיר איגרות חוב מיועדות</vt:lpstr>
      <vt:lpstr>אפיק השקעה מובטח תשואה</vt:lpstr>
      <vt:lpstr>לא סחיר ניירות ערך מסחריים</vt:lpstr>
      <vt:lpstr>לא סחיר איגרות חוב</vt:lpstr>
      <vt:lpstr>לא סחיר מניות מבכ ויהש</vt:lpstr>
      <vt:lpstr>קרנות השקעה</vt:lpstr>
      <vt:lpstr>לא סחיר כתבי אופציה</vt:lpstr>
      <vt:lpstr>לא סחיר אופציות</vt:lpstr>
      <vt:lpstr>לא סחיר נגזרים אחרים</vt:lpstr>
      <vt:lpstr>הלוואות</vt:lpstr>
      <vt:lpstr>לא סחיר מוצרים מובנים</vt:lpstr>
      <vt:lpstr>פיקדונות מעל 3 חודשים</vt:lpstr>
      <vt:lpstr>זכויות מקרקעין</vt:lpstr>
      <vt:lpstr>השקעה בחברות מוחזקות</vt:lpstr>
      <vt:lpstr>נכסים אחרים</vt:lpstr>
      <vt:lpstr>מסגרות אשראי</vt:lpstr>
      <vt:lpstr>יתרות התחייבות להשקעה</vt:lpstr>
      <vt:lpstr>אפשרויות בחירה</vt:lpstr>
      <vt:lpstr>מיפוי סעיפים</vt:lpstr>
      <vt:lpstr>File Name Info</vt:lpstr>
      <vt:lpstr>Additional_Factor</vt:lpstr>
      <vt:lpstr>Amoritization</vt:lpstr>
      <vt:lpstr>Capsule</vt:lpstr>
      <vt:lpstr>Company_Name</vt:lpstr>
      <vt:lpstr>Company_Name_ID</vt:lpstr>
      <vt:lpstr>Consortium</vt:lpstr>
      <vt:lpstr>Country_list</vt:lpstr>
      <vt:lpstr>Country_list_funds</vt:lpstr>
      <vt:lpstr>CSA</vt:lpstr>
      <vt:lpstr>Delivery</vt:lpstr>
      <vt:lpstr>Dependence_Independence</vt:lpstr>
      <vt:lpstr>Duration_Underlying_Interest_Rate</vt:lpstr>
      <vt:lpstr>File_Type</vt:lpstr>
      <vt:lpstr>Full_File_Type</vt:lpstr>
      <vt:lpstr>Full_Type</vt:lpstr>
      <vt:lpstr>Full_Type_Nostro</vt:lpstr>
      <vt:lpstr>Full_Year</vt:lpstr>
      <vt:lpstr>Fund_Strategy</vt:lpstr>
      <vt:lpstr>Fund_type</vt:lpstr>
      <vt:lpstr>Holding_interest</vt:lpstr>
      <vt:lpstr>In_the_books</vt:lpstr>
      <vt:lpstr>Industry_Sector</vt:lpstr>
      <vt:lpstr>Industry_sector_all</vt:lpstr>
      <vt:lpstr>Industry_sectors</vt:lpstr>
      <vt:lpstr>israel_abroad</vt:lpstr>
      <vt:lpstr>Issuer_Number_Banks</vt:lpstr>
      <vt:lpstr>Issuer_Number_Fund</vt:lpstr>
      <vt:lpstr>issuer_number_loan</vt:lpstr>
      <vt:lpstr>Issuer_Number_Type</vt:lpstr>
      <vt:lpstr>Issuer_Number_Type_2</vt:lpstr>
      <vt:lpstr>Issuer_Number_Type_3</vt:lpstr>
      <vt:lpstr>'אפשרויות בחירה'!Issuer_Number_Type_V2</vt:lpstr>
      <vt:lpstr>Issuer_Type_TFunds</vt:lpstr>
      <vt:lpstr>Leading_factor</vt:lpstr>
      <vt:lpstr>Linked_Type</vt:lpstr>
      <vt:lpstr>other_investments</vt:lpstr>
      <vt:lpstr>Penalty</vt:lpstr>
      <vt:lpstr>QTR</vt:lpstr>
      <vt:lpstr>Rating_Agency</vt:lpstr>
      <vt:lpstr>real_estate_lifestage</vt:lpstr>
      <vt:lpstr>real_estate_loans</vt:lpstr>
      <vt:lpstr>Real_Estate_Main_Use</vt:lpstr>
      <vt:lpstr>Recourse_Nonrecourse</vt:lpstr>
      <vt:lpstr>Repayment_Rights</vt:lpstr>
      <vt:lpstr>Reset_frequency</vt:lpstr>
      <vt:lpstr>Security_ID_Number_Type</vt:lpstr>
      <vt:lpstr>'אפשרויות בחירה'!Security_Number_Loans</vt:lpstr>
      <vt:lpstr>Stock_Exchange</vt:lpstr>
      <vt:lpstr>Stock_Exchange_Gov_Bonds</vt:lpstr>
      <vt:lpstr>Subordination_Risk</vt:lpstr>
      <vt:lpstr>Tradeable_Status</vt:lpstr>
      <vt:lpstr>Tradeable_Status_All</vt:lpstr>
      <vt:lpstr>tradeable_status_bonds</vt:lpstr>
      <vt:lpstr>tradeable_status_funds</vt:lpstr>
      <vt:lpstr>tradeable_status_stock</vt:lpstr>
      <vt:lpstr>Tradeable_Status_v2</vt:lpstr>
      <vt:lpstr>tradeable_status_warrants</vt:lpstr>
      <vt:lpstr>tradeable_status_warrants_v2</vt:lpstr>
      <vt:lpstr>'אפשרויות בחירה'!Transaction</vt:lpstr>
      <vt:lpstr>Type</vt:lpstr>
      <vt:lpstr>Type_of_Interest_Rate</vt:lpstr>
      <vt:lpstr>Type_of_Security</vt:lpstr>
      <vt:lpstr>Type_of_Security_ID</vt:lpstr>
      <vt:lpstr>Type_of_Security_ID_Fund</vt:lpstr>
      <vt:lpstr>'אפשרויות בחירה'!Type_of_Security_ID_V2</vt:lpstr>
      <vt:lpstr>Underlying_Asset</vt:lpstr>
      <vt:lpstr>Underlying_Asset_Structured</vt:lpstr>
      <vt:lpstr>Underlying_Interest_Rates</vt:lpstr>
      <vt:lpstr>'אפשרויות בחירה'!Underlying_Interest_Rates_Der</vt:lpstr>
      <vt:lpstr>Valuation</vt:lpstr>
      <vt:lpstr>Valuation_Loans</vt:lpstr>
      <vt:lpstr>Valuation_Method</vt:lpstr>
      <vt:lpstr>Valuation_Realestate</vt:lpstr>
      <vt:lpstr>What_is_rated</vt:lpstr>
      <vt:lpstr>what_is_rated_loans</vt:lpstr>
      <vt:lpstr>YEAR</vt:lpstr>
      <vt:lpstr>Yes_No_Bad_Debt</vt:lpstr>
    </vt:vector>
  </TitlesOfParts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עדכון 4.12.2023</dc:title>
  <dc:creator>נירית שימרון</dc:creator>
  <cp:lastModifiedBy>Mashraki Osnat</cp:lastModifiedBy>
  <cp:lastPrinted>2022-08-08T09:16:18Z</cp:lastPrinted>
  <dcterms:created xsi:type="dcterms:W3CDTF">2021-05-03T04:41:48Z</dcterms:created>
  <dcterms:modified xsi:type="dcterms:W3CDTF">2025-09-17T12:14:29Z</dcterms:modified>
</cp:coreProperties>
</file>