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שליחה שניה אותות\"/>
    </mc:Choice>
  </mc:AlternateContent>
  <xr:revisionPtr revIDLastSave="0" documentId="13_ncr:1_{2D50294D-B590-40B8-8969-25148FAFFC38}" xr6:coauthVersionLast="36" xr6:coauthVersionMax="36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הלוואות!$A$1:$BA$75</definedName>
    <definedName name="_xlnm._FilterDatabase" localSheetId="22" hidden="1">'לא סחיר נגזרים אחרים'!$A$1:$AO$27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<sst xmlns="http://schemas.openxmlformats.org/spreadsheetml/2006/main" count="9457" uniqueCount="1938">
  <si>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</si>
  <si>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</si>
  <si>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</si>
  <si>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</si>
  <si>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</si>
  <si>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</si>
  <si>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</si>
  <si>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</si>
  <si>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</si>
  <si>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</si>
  <si>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</si>
  <si>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</si>
  <si>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</si>
  <si>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</si>
  <si>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</si>
  <si>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</si>
  <si>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</si>
  <si>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</si>
  <si>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</si>
  <si>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</si>
  <si>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</si>
  <si>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</si>
  <si>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</si>
  <si>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</si>
  <si>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</si>
  <si>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</si>
  <si>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</si>
  <si>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</si>
  <si>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</si>
  <si>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</si>
  <si>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</si>
  <si>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</si>
  <si>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</si>
  <si>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</si>
  <si>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</si>
  <si>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</si>
  <si>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</si>
  <si>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</si>
  <si>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</si>
  <si>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</si>
  <si>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</si>
  <si>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</si>
  <si>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</si>
  <si>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</si>
  <si>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</si>
  <si>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</si>
  <si>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</si>
  <si>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</si>
  <si>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</si>
  <si>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</si>
  <si>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</si>
  <si>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</si>
  <si>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</si>
  <si>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</si>
  <si>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</si>
  <si>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</si>
  <si>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</si>
  <si>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</si>
  <si>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</si>
  <si>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</si>
  <si>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</si>
  <si>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</si>
  <si>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</si>
  <si>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</si>
  <si>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</si>
  <si>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</si>
  <si>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</si>
  <si>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</si>
  <si>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</si>
  <si>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</si>
  <si>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</si>
  <si>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</si>
  <si>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</si>
  <si>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</si>
  <si>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</si>
  <si>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</si>
  <si>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</si>
  <si>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</si>
  <si>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</si>
  <si>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</si>
  <si>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</si>
  <si>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</si>
  <si>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</si>
  <si>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</si>
  <si>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</si>
  <si>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</si>
  <si>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</si>
  <si>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</si>
  <si>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</si>
  <si>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</si>
  <si>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</si>
  <si>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</si>
  <si>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</si>
  <si>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</si>
  <si>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</si>
  <si>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</si>
  <si>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</si>
  <si>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</si>
  <si>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</si>
  <si>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</si>
  <si>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</si>
  <si>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</si>
  <si>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</si>
  <si>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</si>
  <si>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</si>
  <si>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</si>
  <si>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</si>
  <si>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</si>
  <si>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</si>
  <si>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</si>
  <si>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</si>
  <si>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</si>
  <si>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</si>
  <si>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</si>
  <si>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</si>
  <si>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</si>
  <si>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</si>
  <si>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</si>
  <si>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</si>
  <si>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</si>
  <si>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</si>
  <si>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</si>
  <si>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</si>
  <si>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</si>
  <si>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</si>
  <si>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</si>
  <si>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</si>
  <si>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</si>
  <si>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</si>
  <si>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</si>
  <si>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</si>
  <si>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</si>
  <si>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</si>
  <si>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</si>
  <si>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</si>
  <si>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</si>
  <si>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</si>
  <si>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</si>
  <si>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</si>
  <si>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</si>
  <si>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</si>
  <si>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</si>
  <si>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</si>
  <si>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</si>
  <si>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</si>
  <si>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</si>
  <si>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</si>
  <si>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</si>
  <si>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</si>
  <si>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</si>
  <si>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</si>
  <si>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</si>
  <si>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</si>
  <si>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</si>
  <si>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</si>
  <si>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</si>
  <si>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</si>
  <si>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</si>
  <si>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</si>
  <si>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</si>
  <si>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</si>
  <si>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</si>
  <si>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</si>
  <si>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</si>
  <si>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</si>
  <si>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</si>
  <si>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</si>
  <si>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</si>
  <si>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</si>
  <si>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</si>
  <si>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</si>
  <si>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</si>
  <si>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</si>
  <si>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</si>
  <si>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</si>
  <si>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</si>
  <si>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</si>
  <si>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</si>
  <si>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</si>
  <si>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</si>
  <si>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</si>
  <si>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</si>
  <si>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</si>
  <si>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</si>
  <si>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</si>
  <si>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</si>
  <si>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</si>
  <si>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</si>
  <si>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</si>
  <si>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</si>
  <si>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</si>
  <si>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</si>
  <si>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</si>
  <si>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</si>
  <si>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</si>
  <si>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</si>
  <si>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</si>
  <si>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</si>
  <si>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</si>
  <si>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</si>
  <si>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</si>
  <si>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</si>
  <si>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</si>
  <si>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</si>
  <si>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</si>
  <si>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</si>
  <si>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</si>
  <si>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</si>
  <si>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</si>
  <si>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</si>
  <si>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</si>
  <si>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</si>
  <si>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</si>
  <si>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</si>
  <si>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</si>
  <si>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</si>
  <si>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</si>
  <si>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</si>
  <si>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</si>
  <si>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</si>
  <si>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</si>
  <si>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</si>
  <si>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</si>
  <si>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</si>
  <si>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</si>
  <si>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</si>
  <si>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</si>
  <si>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</si>
  <si>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</si>
  <si>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</si>
  <si>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</si>
  <si>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</si>
  <si>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</si>
  <si>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</si>
  <si>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</si>
  <si>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</si>
  <si>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</si>
  <si>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</si>
  <si>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</si>
  <si>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</si>
  <si>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</si>
  <si>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</si>
  <si>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</si>
  <si>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</si>
  <si>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</si>
  <si>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</si>
  <si>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</si>
  <si>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</si>
  <si>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</si>
  <si>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</si>
  <si>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</si>
  <si>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</si>
  <si>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</si>
  <si>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</si>
  <si>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</si>
  <si>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</si>
  <si>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</si>
  <si>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</si>
  <si>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</si>
  <si>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</si>
  <si>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</si>
  <si>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</si>
  <si>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</si>
  <si>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</si>
  <si>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</si>
  <si>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</si>
  <si>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</si>
  <si>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</si>
  <si>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</si>
  <si>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</si>
  <si>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</si>
  <si>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</si>
  <si>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</si>
  <si>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</si>
  <si>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</si>
  <si>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</si>
  <si>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</si>
  <si>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</si>
  <si>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</si>
  <si>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</si>
  <si>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</si>
  <si>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</si>
  <si>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</si>
  <si>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</si>
  <si>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</si>
  <si>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</si>
  <si>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</si>
  <si>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</si>
  <si>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</si>
  <si>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</si>
  <si>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</si>
  <si>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</si>
  <si>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</si>
  <si>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</si>
  <si>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</si>
  <si>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</si>
  <si>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</si>
  <si>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</si>
  <si>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</si>
  <si>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</si>
  <si>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</si>
  <si>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</si>
  <si>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</si>
  <si>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</si>
  <si>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</si>
  <si>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</si>
  <si>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</si>
  <si>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</si>
  <si>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</si>
  <si>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</si>
  <si>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</si>
  <si>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</si>
  <si>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</si>
  <si>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</si>
  <si>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</si>
  <si>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</si>
  <si>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</si>
  <si>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</si>
  <si>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</si>
  <si>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</si>
  <si>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</si>
  <si>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</si>
  <si>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</si>
  <si>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</si>
  <si>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</si>
  <si>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</si>
  <si>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</si>
  <si>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</si>
  <si>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</si>
  <si>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</si>
  <si>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</si>
  <si>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</si>
  <si>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</si>
  <si>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</si>
  <si>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</si>
  <si>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</si>
  <si>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</si>
  <si>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</si>
  <si>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</si>
  <si>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</si>
  <si>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</si>
  <si>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</si>
  <si>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</si>
  <si>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</si>
  <si>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</si>
  <si>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</si>
  <si>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</si>
  <si>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</si>
  <si>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</si>
  <si>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</si>
  <si>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</si>
  <si>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</si>
  <si>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</si>
  <si>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</si>
  <si>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</si>
  <si>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</si>
  <si>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</si>
  <si>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</si>
  <si>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</si>
  <si>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</si>
  <si>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</si>
  <si>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</si>
  <si>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</si>
  <si>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</si>
  <si>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</si>
  <si>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</si>
  <si>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</si>
  <si>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</si>
  <si>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</si>
  <si>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</si>
  <si>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</si>
  <si>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</si>
  <si>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</si>
  <si>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</si>
  <si>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</si>
  <si>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</si>
  <si>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</si>
  <si>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</si>
  <si>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</si>
  <si>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</si>
  <si>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</si>
  <si>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</si>
  <si>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</si>
  <si>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</si>
  <si>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</si>
  <si>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</si>
  <si>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</si>
  <si>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</si>
  <si>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</si>
  <si>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</si>
  <si>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</si>
  <si>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</si>
  <si>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</si>
  <si>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</si>
  <si>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</si>
  <si>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</si>
  <si>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</si>
  <si>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</si>
  <si>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</si>
  <si>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</si>
  <si>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</si>
  <si>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</si>
  <si>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</si>
  <si>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</si>
  <si>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</si>
  <si>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</si>
  <si>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</si>
  <si>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</si>
  <si>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</si>
  <si>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</si>
  <si>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</si>
  <si>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</si>
  <si>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</si>
  <si>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</si>
  <si>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</si>
  <si>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</si>
  <si>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</si>
  <si>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</si>
  <si>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</si>
  <si>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</si>
  <si>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</si>
  <si>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</si>
  <si>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</si>
  <si>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</si>
  <si>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</si>
  <si>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</si>
  <si>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</si>
  <si>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</si>
  <si>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</si>
  <si>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</si>
  <si>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</si>
  <si>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</si>
  <si>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</si>
  <si>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</si>
  <si>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</si>
  <si>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</si>
  <si>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</si>
  <si>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</si>
  <si>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</si>
  <si>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</si>
  <si>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</si>
  <si>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</si>
  <si>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</si>
  <si>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</si>
  <si>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</si>
  <si>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</si>
  <si>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</si>
  <si>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</si>
  <si>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</si>
  <si>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</si>
  <si>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</si>
  <si>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</si>
  <si>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</si>
  <si>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</si>
  <si>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</si>
  <si>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</si>
  <si>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</si>
  <si>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</si>
  <si>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</si>
  <si>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</si>
  <si>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</si>
  <si>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</si>
  <si>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</si>
  <si>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</si>
  <si>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</si>
  <si>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</si>
  <si>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</si>
  <si>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</si>
  <si>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</si>
  <si>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</si>
  <si>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</si>
  <si>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</si>
  <si>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</si>
  <si>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</si>
  <si>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</si>
  <si>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</si>
  <si>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</si>
  <si>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</si>
  <si>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</si>
  <si>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</si>
  <si>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</si>
  <si>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</si>
  <si>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</si>
  <si>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</si>
  <si>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</si>
  <si>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</si>
  <si>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</si>
  <si>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</si>
  <si>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</si>
  <si>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</si>
  <si>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</si>
  <si>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</si>
  <si>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</si>
  <si>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</si>
  <si>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</si>
  <si>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</si>
  <si>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</si>
  <si>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</si>
  <si>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</si>
  <si>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</si>
  <si>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</si>
  <si>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</si>
  <si>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</si>
  <si>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</si>
  <si>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</si>
  <si>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</si>
  <si>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</si>
  <si>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</si>
  <si>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</si>
  <si>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</si>
  <si>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</si>
  <si>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</si>
  <si>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</si>
  <si>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</si>
  <si>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</si>
  <si>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</si>
  <si>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</si>
  <si>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</si>
  <si>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</si>
  <si>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</si>
  <si>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</si>
  <si>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</si>
  <si>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</si>
  <si>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</si>
  <si>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</si>
  <si>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</si>
  <si>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</si>
  <si>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</si>
  <si>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</si>
  <si>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</si>
  <si>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</si>
  <si>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</si>
  <si>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</si>
  <si>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</si>
  <si>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</si>
  <si>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</si>
  <si>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</si>
  <si>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</si>
  <si>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</si>
  <si>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</si>
  <si>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</si>
  <si>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</si>
  <si>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</si>
  <si>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</si>
  <si>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</si>
  <si>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</si>
  <si>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</si>
  <si>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</si>
  <si>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</si>
  <si>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</si>
  <si>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</si>
  <si>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</si>
  <si>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</si>
  <si>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</si>
  <si>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</si>
  <si>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</si>
  <si>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</si>
  <si>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</si>
  <si>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</si>
  <si>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</si>
  <si>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</si>
  <si>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</si>
  <si>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</si>
  <si>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</si>
  <si>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</si>
  <si>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</si>
  <si>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</si>
  <si>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</si>
  <si>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</si>
  <si>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</si>
  <si>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</si>
  <si>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</si>
  <si>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</si>
  <si>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</si>
  <si>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</si>
  <si>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</si>
  <si>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</si>
  <si>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</si>
  <si>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</si>
  <si>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</si>
  <si>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</si>
  <si>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</si>
  <si>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</si>
  <si>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</si>
  <si>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</si>
  <si>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</si>
  <si>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</si>
  <si>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</si>
  <si>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</si>
  <si>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</si>
  <si>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</si>
  <si>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</si>
  <si>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</si>
  <si>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</si>
  <si>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</si>
  <si>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</si>
  <si>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</si>
  <si>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</si>
  <si>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</si>
  <si>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</si>
  <si>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</si>
  <si>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</si>
  <si>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</si>
  <si>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</si>
  <si>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</si>
  <si>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</si>
  <si>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</si>
  <si>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</si>
  <si>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</si>
  <si>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</si>
  <si>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</si>
  <si>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</si>
  <si>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</si>
  <si>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</si>
  <si>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</si>
  <si>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</si>
  <si>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</si>
  <si>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</si>
  <si>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</si>
  <si>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</si>
  <si>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</si>
  <si>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</si>
  <si>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</si>
  <si>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</si>
  <si>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</si>
  <si>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</si>
  <si>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</si>
  <si>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</si>
  <si>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</si>
  <si>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</si>
  <si>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</si>
  <si>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</si>
  <si>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</si>
  <si>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</si>
  <si>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</si>
  <si>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</si>
  <si>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</si>
  <si>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</si>
  <si>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</si>
  <si>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</si>
  <si>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</si>
  <si>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</si>
  <si>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</si>
  <si>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</si>
  <si>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</si>
  <si>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</si>
  <si>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</si>
  <si>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</si>
  <si>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</si>
  <si>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</si>
  <si>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</si>
  <si>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</si>
  <si>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</si>
  <si>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</si>
  <si>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</si>
  <si>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</si>
  <si>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</si>
  <si>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</si>
  <si>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</si>
  <si>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</si>
  <si>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</si>
  <si>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</si>
  <si>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</si>
  <si>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</si>
  <si>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</si>
  <si>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</si>
  <si>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</si>
  <si>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</si>
  <si>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</si>
  <si>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</si>
  <si>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</si>
  <si>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</si>
  <si>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</si>
  <si>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</si>
  <si>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</si>
  <si>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</si>
  <si>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</si>
  <si>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</si>
  <si>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</si>
  <si>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</si>
  <si>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</si>
  <si>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</si>
  <si>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</si>
  <si>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</si>
  <si>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</si>
  <si>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</si>
  <si>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</si>
  <si>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</si>
  <si>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</si>
  <si>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</si>
  <si>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</si>
  <si>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</si>
  <si>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</si>
  <si>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</si>
  <si>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</si>
  <si>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</si>
  <si>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</si>
  <si>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</si>
  <si>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</si>
  <si>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</si>
  <si>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</si>
  <si>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</si>
  <si>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</si>
  <si>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</si>
  <si>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</si>
  <si>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</si>
  <si>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</si>
  <si>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</si>
  <si>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</si>
  <si>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</si>
  <si>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</si>
  <si>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</si>
  <si>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</si>
  <si>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</si>
  <si>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</si>
  <si>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</si>
  <si>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</si>
  <si>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</si>
  <si>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</si>
  <si>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</si>
  <si>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</si>
  <si>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</si>
  <si>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</si>
  <si>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</si>
  <si>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</si>
  <si>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</si>
  <si>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</si>
  <si>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</si>
  <si>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</si>
  <si>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</si>
  <si>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</si>
  <si>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</si>
  <si>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</si>
  <si>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</si>
  <si>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</si>
  <si>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</si>
  <si>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</si>
  <si>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</si>
  <si>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</si>
  <si>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</si>
  <si>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</si>
  <si>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</si>
  <si>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</si>
  <si>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</si>
  <si>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</si>
  <si>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</si>
  <si>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</si>
  <si>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</si>
  <si>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</si>
  <si>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</si>
  <si>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</si>
  <si>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</si>
  <si>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</si>
  <si>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</si>
  <si>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</si>
  <si>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</si>
  <si>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</si>
  <si>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</si>
  <si>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</si>
  <si>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</si>
  <si>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</si>
  <si>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</si>
  <si>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</si>
  <si>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</si>
  <si>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</si>
  <si>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</si>
  <si>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</si>
  <si>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</si>
  <si>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</si>
  <si>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</si>
  <si>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</si>
  <si>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</si>
  <si>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</si>
  <si>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</si>
  <si>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</si>
  <si>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</si>
  <si>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</si>
  <si>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</si>
  <si>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</si>
  <si>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</si>
  <si>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</si>
  <si>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</si>
  <si>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</si>
  <si>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</si>
  <si>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</si>
  <si>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</si>
  <si>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</si>
  <si>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</si>
  <si>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</si>
  <si>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</si>
  <si>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</si>
  <si>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</si>
  <si>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</si>
  <si>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</si>
  <si>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</si>
  <si>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</si>
  <si>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</si>
  <si>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</si>
  <si>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</si>
  <si>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</si>
  <si>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</si>
  <si>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</si>
  <si>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</si>
  <si>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</si>
  <si>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</si>
  <si>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</si>
  <si>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</si>
  <si>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</si>
  <si>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</si>
  <si>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</si>
  <si>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</si>
  <si>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</si>
  <si>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</si>
  <si>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</si>
  <si>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</si>
  <si>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</si>
  <si>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</si>
  <si>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</si>
  <si>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</si>
  <si>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</si>
  <si>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</si>
  <si>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</si>
  <si>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</si>
  <si>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</si>
  <si>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</si>
  <si>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</si>
  <si>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</si>
  <si>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</si>
  <si>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</si>
  <si>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</si>
  <si>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</si>
  <si>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</si>
  <si>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</si>
  <si>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</si>
  <si>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</si>
  <si>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</si>
  <si>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</si>
  <si>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</si>
  <si>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</si>
  <si>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</si>
  <si>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</si>
  <si>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</si>
  <si>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</si>
  <si>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</si>
  <si>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</si>
  <si>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</si>
  <si>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</si>
  <si>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</si>
  <si>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</si>
  <si>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</si>
  <si>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</si>
  <si>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</si>
  <si>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</si>
  <si>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</si>
  <si>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</si>
  <si>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</si>
  <si>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</si>
  <si>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</si>
  <si>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</si>
  <si>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</si>
  <si>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</si>
  <si>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</si>
  <si>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</si>
  <si>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</si>
  <si>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</si>
  <si>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</si>
  <si>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</si>
  <si>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</si>
  <si>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</si>
  <si>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</si>
  <si>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</si>
  <si>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</si>
  <si>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</si>
  <si>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</si>
  <si>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</si>
  <si>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</si>
  <si>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</si>
  <si>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</si>
  <si>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</si>
  <si>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</si>
  <si>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</si>
  <si>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</si>
  <si>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</si>
  <si>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</si>
  <si>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</si>
  <si>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</si>
  <si>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</si>
  <si>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</si>
  <si>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</si>
  <si>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</si>
  <si>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</si>
  <si>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</si>
  <si>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</si>
  <si>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</si>
  <si>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</si>
  <si>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</si>
  <si>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</si>
  <si>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</si>
  <si>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</si>
  <si>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</si>
  <si>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</si>
  <si>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</si>
  <si>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</si>
  <si>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</si>
  <si>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</si>
  <si>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</si>
  <si>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</si>
  <si>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</si>
  <si>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</si>
  <si>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</si>
  <si>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</si>
  <si>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</si>
  <si>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</si>
  <si>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</si>
  <si>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</si>
  <si>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</si>
  <si>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</si>
  <si>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</si>
  <si>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</si>
  <si>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</si>
  <si>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</si>
  <si>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</si>
  <si>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</si>
  <si>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</si>
  <si>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</si>
  <si>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</si>
  <si>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</si>
  <si>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</si>
  <si>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</si>
  <si>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</si>
  <si>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</si>
  <si>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</si>
  <si>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</si>
  <si>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</si>
  <si>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</si>
  <si>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</si>
  <si>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</si>
  <si>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</si>
  <si>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</si>
  <si>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</si>
  <si>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</si>
  <si>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</si>
  <si>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</si>
  <si>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</si>
  <si>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</si>
  <si>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</si>
  <si>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</si>
  <si>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</si>
  <si>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</si>
  <si>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</si>
  <si>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</si>
  <si>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</si>
  <si>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</si>
  <si>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</si>
  <si>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</si>
  <si>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</si>
  <si>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</si>
  <si>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</si>
  <si>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</si>
  <si>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</si>
  <si>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</si>
  <si>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</si>
  <si>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</si>
  <si>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</si>
  <si>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</si>
  <si>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</si>
  <si>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</si>
  <si>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</si>
  <si>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</si>
  <si>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</si>
  <si>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</si>
  <si>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</si>
  <si>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</si>
  <si>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</si>
  <si>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</si>
  <si>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</si>
  <si>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</si>
  <si>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</si>
  <si>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</si>
  <si>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</si>
  <si>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</si>
  <si>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</si>
  <si>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</si>
  <si>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</si>
  <si>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</si>
  <si>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</si>
  <si>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</si>
  <si>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</si>
  <si>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</si>
  <si>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</si>
  <si>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</si>
  <si>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</si>
  <si>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</si>
  <si>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</si>
  <si>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</si>
  <si>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</si>
  <si>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</si>
  <si>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</si>
  <si>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</si>
  <si>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</si>
  <si>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</si>
  <si>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</si>
  <si>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</si>
  <si>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</si>
  <si>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</si>
  <si>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</si>
  <si>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</si>
  <si>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</si>
  <si>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</si>
  <si>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</si>
  <si>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</si>
  <si>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</si>
  <si>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</si>
  <si>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</si>
  <si>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</si>
  <si>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</si>
  <si>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</si>
  <si>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</si>
  <si>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</si>
  <si>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</si>
  <si>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</si>
  <si>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</si>
  <si>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</si>
  <si>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</si>
  <si>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</si>
  <si>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</si>
  <si>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</si>
  <si>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</si>
  <si>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</si>
  <si>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</si>
  <si>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</si>
  <si>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</si>
  <si>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</si>
  <si>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</si>
  <si>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</si>
  <si>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</si>
  <si>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</si>
  <si>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</si>
  <si>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</si>
  <si>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</si>
  <si>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</si>
  <si>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</si>
  <si>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</si>
  <si>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</si>
  <si>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</si>
  <si>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</si>
  <si>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</si>
  <si>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</si>
  <si>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</si>
  <si>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</si>
  <si>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</si>
  <si>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</si>
  <si>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</si>
  <si>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</si>
  <si>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</si>
  <si>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</si>
  <si>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</si>
  <si>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</si>
  <si>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</si>
  <si>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</si>
  <si>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</si>
  <si>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</si>
  <si>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</si>
  <si>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</si>
  <si>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</si>
  <si>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</si>
  <si>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</si>
  <si>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</si>
  <si>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</si>
  <si>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</si>
  <si>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</si>
  <si>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</si>
  <si>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</si>
  <si>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</si>
  <si>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</si>
  <si>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</si>
  <si>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</si>
  <si>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</si>
  <si>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</si>
  <si>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</si>
  <si>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</si>
  <si>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</si>
  <si>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</si>
  <si>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</si>
  <si>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</si>
  <si>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</si>
  <si>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</si>
  <si>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</si>
  <si>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</si>
  <si>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</si>
  <si>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</si>
  <si>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</si>
  <si>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</si>
  <si>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</si>
  <si>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</si>
  <si>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</si>
  <si>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</si>
  <si>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</si>
  <si>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</si>
  <si>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</si>
  <si>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</si>
  <si>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</si>
  <si>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</si>
  <si>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</si>
  <si>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</si>
  <si>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</si>
  <si>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</si>
  <si>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</si>
  <si>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</si>
  <si>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</si>
  <si>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</si>
  <si>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</si>
  <si>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</si>
  <si>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</si>
  <si>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</si>
  <si>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</si>
  <si>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</si>
  <si>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</si>
  <si>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</si>
  <si>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</si>
  <si>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</si>
  <si>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</si>
  <si>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</si>
  <si>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</si>
  <si>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</si>
  <si>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</si>
  <si>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</si>
  <si>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</si>
  <si>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</si>
  <si>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</si>
  <si>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</si>
  <si>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</si>
  <si>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</si>
  <si>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</si>
  <si>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</si>
  <si>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</si>
  <si>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</si>
  <si>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</si>
  <si>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</si>
  <si>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</si>
  <si>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</si>
  <si>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</si>
  <si>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</si>
  <si>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</si>
  <si>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</si>
  <si>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</si>
  <si>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</si>
  <si>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</si>
  <si>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</si>
  <si>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</si>
  <si>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</si>
  <si>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</si>
  <si>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</si>
  <si>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</si>
  <si>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</si>
  <si>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</si>
  <si>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</si>
  <si>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</si>
  <si>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</si>
  <si>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</si>
  <si>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</si>
  <si>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</si>
  <si>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</si>
  <si>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</si>
  <si>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</si>
  <si>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</si>
  <si>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</si>
  <si>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</si>
  <si>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</si>
  <si>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</si>
  <si>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</si>
  <si>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</si>
  <si>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</si>
  <si>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</si>
  <si>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</si>
  <si>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</si>
  <si>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</si>
  <si>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</si>
  <si>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</si>
  <si>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</si>
  <si>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</si>
  <si>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</si>
  <si>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</si>
  <si>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</si>
  <si>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</si>
  <si>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</si>
  <si>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</si>
  <si>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</si>
  <si>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</si>
  <si>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</si>
  <si>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</si>
  <si>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</si>
  <si>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</si>
  <si>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</si>
  <si>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</si>
  <si>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</si>
  <si>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</si>
  <si>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</si>
  <si>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</si>
  <si>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</si>
  <si>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</si>
  <si>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</si>
  <si>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</si>
  <si>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</si>
  <si>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</si>
  <si>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</si>
  <si>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</si>
  <si>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</si>
  <si>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</si>
  <si>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</si>
  <si>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</si>
  <si>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</si>
  <si>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</si>
  <si>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</si>
  <si>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קופת הפנסיה לעובדי הדסה בעמ</t>
  </si>
  <si>
    <t>בנק מזרחי</t>
  </si>
  <si>
    <t>20-21</t>
  </si>
  <si>
    <t>ilAAA</t>
  </si>
  <si>
    <t>USD</t>
  </si>
  <si>
    <t>בנק הפועלים</t>
  </si>
  <si>
    <t>12-600</t>
  </si>
  <si>
    <t>DKK</t>
  </si>
  <si>
    <t>ILS</t>
  </si>
  <si>
    <t>יו-בנק</t>
  </si>
  <si>
    <t>26-273</t>
  </si>
  <si>
    <t>בנק לאומי</t>
  </si>
  <si>
    <t>10-800</t>
  </si>
  <si>
    <t>GBP</t>
  </si>
  <si>
    <t>בנק דיסקונט</t>
  </si>
  <si>
    <t>11-10</t>
  </si>
  <si>
    <t>CAD</t>
  </si>
  <si>
    <t>EUR</t>
  </si>
  <si>
    <t>AUD</t>
  </si>
  <si>
    <t>JPY</t>
  </si>
  <si>
    <t>ממשלת ישראל</t>
  </si>
  <si>
    <t>ממשלתי שקלי 142</t>
  </si>
  <si>
    <t>IL0011254005</t>
  </si>
  <si>
    <t>ilRF</t>
  </si>
  <si>
    <t>ממשל צמודה 0726</t>
  </si>
  <si>
    <t>IL0011695645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</si>
  <si>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</si>
  <si>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</si>
  <si>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</si>
  <si>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</si>
  <si>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</si>
  <si>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</si>
  <si>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</si>
  <si>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</si>
  <si>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</si>
  <si>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</si>
  <si>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שקלי 1152</t>
  </si>
  <si>
    <t>IL0011840761</t>
  </si>
  <si>
    <t>ממשלתי צמוד 0545</t>
  </si>
  <si>
    <t>IL0011348658</t>
  </si>
  <si>
    <t>ממשלתי 0327</t>
  </si>
  <si>
    <t>IL0011393449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</si>
  <si>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</si>
  <si>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</si>
  <si>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</si>
  <si>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</si>
  <si>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</si>
  <si>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</si>
  <si>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מקמ 1015</t>
  </si>
  <si>
    <t>IL0082510194</t>
  </si>
  <si>
    <t>ממשלתי שקלי 347</t>
  </si>
  <si>
    <t>IL0011401937</t>
  </si>
  <si>
    <t>US Government</t>
  </si>
  <si>
    <t>B 09/25/25</t>
  </si>
  <si>
    <t>US912797PY71</t>
  </si>
  <si>
    <t>Aa1</t>
  </si>
  <si>
    <t>B 0 07/01/25 (P)</t>
  </si>
  <si>
    <t>US912797PU59</t>
  </si>
  <si>
    <t>ISRAEL 2.75 07/03/30</t>
  </si>
  <si>
    <t>US46513JB346</t>
  </si>
  <si>
    <t>Baa1</t>
  </si>
  <si>
    <t>B 0 08/21/25   (p)</t>
  </si>
  <si>
    <t>US912797PP64</t>
  </si>
  <si>
    <t>מזרחי טפחות הנפקות</t>
  </si>
  <si>
    <t>מזרחי טפחות  הנפקות 49</t>
  </si>
  <si>
    <t>IL0023102820</t>
  </si>
  <si>
    <t>חברת החשמל לישראל בע"מ</t>
  </si>
  <si>
    <t>חשמל 35</t>
  </si>
  <si>
    <t>IL0011967994</t>
  </si>
  <si>
    <t>פועלים אגח 201</t>
  </si>
  <si>
    <t>IL0011913451</t>
  </si>
  <si>
    <t>Aaa.il</t>
  </si>
  <si>
    <t>פועלים  אגח 202</t>
  </si>
  <si>
    <t>IL0011998502</t>
  </si>
  <si>
    <t>פועלים התח נד ז</t>
  </si>
  <si>
    <t>IL0011913295</t>
  </si>
  <si>
    <t>ilAA-</t>
  </si>
  <si>
    <t>חשמל אגח 33</t>
  </si>
  <si>
    <t>IL0060003923</t>
  </si>
  <si>
    <t>קבוצת עזריאלי בע"מ</t>
  </si>
  <si>
    <t>עזריאלי   אגח ד</t>
  </si>
  <si>
    <t>IL0011386500</t>
  </si>
  <si>
    <t>Aa1.il</t>
  </si>
  <si>
    <t>מזרחי  טפחות הנפקות 64</t>
  </si>
  <si>
    <t>IL0023105559</t>
  </si>
  <si>
    <t>לאומי</t>
  </si>
  <si>
    <t>לאומי מימון 179</t>
  </si>
  <si>
    <t>IL0060403727</t>
  </si>
  <si>
    <t>נתיבי הגז הטבעי לישראל בע"מ</t>
  </si>
  <si>
    <t>נתיבי גז אגח ד</t>
  </si>
  <si>
    <t>IL0011475030</t>
  </si>
  <si>
    <t>דיסקונט מנפיקים בע"מ</t>
  </si>
  <si>
    <t>דיסקונט מנפיקים אגח טו</t>
  </si>
  <si>
    <t>IL0074803045</t>
  </si>
  <si>
    <t>פועלים התח נד ה</t>
  </si>
  <si>
    <t>IL0066204624</t>
  </si>
  <si>
    <t>פועלים 200</t>
  </si>
  <si>
    <t>IL0066204962</t>
  </si>
  <si>
    <t>פועלים אגח 203</t>
  </si>
  <si>
    <t>IL0011998684</t>
  </si>
  <si>
    <t>בזק החברה הישראלית לתקשורת בע"מ</t>
  </si>
  <si>
    <t>בזק 9</t>
  </si>
  <si>
    <t>IL0023001766</t>
  </si>
  <si>
    <t>Aa2.il</t>
  </si>
  <si>
    <t>לאומי 183</t>
  </si>
  <si>
    <t>IL0060405474</t>
  </si>
  <si>
    <t>חשמל אגח 27</t>
  </si>
  <si>
    <t>IL0060002107</t>
  </si>
  <si>
    <t>הראל ביטוח מימון והנפקות בע"מ</t>
  </si>
  <si>
    <t>הראל שטר הון נדחה יג 2029 3.95%</t>
  </si>
  <si>
    <t>IL0011381717</t>
  </si>
  <si>
    <t>Aa3.il</t>
  </si>
  <si>
    <t>מקורות חברת מים בע"מ</t>
  </si>
  <si>
    <t>מקורות סדרה 10</t>
  </si>
  <si>
    <t>IL0011584682</t>
  </si>
  <si>
    <t>מז טפ הנ אגח 67</t>
  </si>
  <si>
    <t>IL0011968075</t>
  </si>
  <si>
    <t>מז טפ הנ אגח 66</t>
  </si>
  <si>
    <t>IL0011916678</t>
  </si>
  <si>
    <t>לאומי אגח 182</t>
  </si>
  <si>
    <t>IL0060405391</t>
  </si>
  <si>
    <t>מקורות סדרה 11</t>
  </si>
  <si>
    <t>IL0011584765</t>
  </si>
  <si>
    <t>לאומי 186</t>
  </si>
  <si>
    <t>IL0012018391</t>
  </si>
  <si>
    <t>מימון ישיר</t>
  </si>
  <si>
    <t>מימון ישיר אגח ד</t>
  </si>
  <si>
    <t>IL0011756603</t>
  </si>
  <si>
    <t>A1.il</t>
  </si>
  <si>
    <t>מזרחי  טפחות הנפקות  52</t>
  </si>
  <si>
    <t>IL0023103810</t>
  </si>
  <si>
    <t>עזריאלי אגח ט</t>
  </si>
  <si>
    <t>IL0012092537</t>
  </si>
  <si>
    <t>חשמל 34</t>
  </si>
  <si>
    <t>IL0011967812</t>
  </si>
  <si>
    <t>מזרחי טפחות הנפקות 46</t>
  </si>
  <si>
    <t>IL0023102259</t>
  </si>
  <si>
    <t>חשמל 31</t>
  </si>
  <si>
    <t>IL0060002859</t>
  </si>
  <si>
    <t>מימון ישיר קבוצה ו</t>
  </si>
  <si>
    <t>IL0011916595</t>
  </si>
  <si>
    <t>איידיאיי הנפקות</t>
  </si>
  <si>
    <t>אידיאי הנפקות שטר הון נדחה ה 3.27% 15.11.25 רובד2</t>
  </si>
  <si>
    <t>IL0011558785</t>
  </si>
  <si>
    <t>A2.il</t>
  </si>
  <si>
    <t>עזריאלי אגח ה</t>
  </si>
  <si>
    <t>IL0011566036</t>
  </si>
  <si>
    <t>מזרחי טפחות הנפקות אגח 62</t>
  </si>
  <si>
    <t>IL0023104982</t>
  </si>
  <si>
    <t>הפחתה בגין קניה בהנפקה מימון ישיר ו 12.9.23</t>
  </si>
  <si>
    <t>מזרחי טפ הנ אגח 68</t>
  </si>
  <si>
    <t>IL0012021429</t>
  </si>
  <si>
    <t>הראל הנפק אגח ט</t>
  </si>
  <si>
    <t>IL0011340309</t>
  </si>
  <si>
    <t>HF SINCLAIR CORP</t>
  </si>
  <si>
    <t>98840072S6T63E2V1291</t>
  </si>
  <si>
    <t>DINO 4 1/2 10/01/30</t>
  </si>
  <si>
    <t>US403949AC48</t>
  </si>
  <si>
    <t>BBB-</t>
  </si>
  <si>
    <t>Micron Technology Inc</t>
  </si>
  <si>
    <t>B3DXGBC8GAIYWI2Z0172</t>
  </si>
  <si>
    <t>MU 5 7.8 09.15.33</t>
  </si>
  <si>
    <t>US595112CB74</t>
  </si>
  <si>
    <t>Baa3</t>
  </si>
  <si>
    <t>Hong Kong Airport Authority</t>
  </si>
  <si>
    <t>549300DSMAD69T7GGN13</t>
  </si>
  <si>
    <t>HKAA 2.4 PERP</t>
  </si>
  <si>
    <t>XS2264055182</t>
  </si>
  <si>
    <t>AA</t>
  </si>
  <si>
    <t>Tapestry</t>
  </si>
  <si>
    <t>549300LJNVY5SW3VTN33</t>
  </si>
  <si>
    <t>TPR 4 1/8 07/15/27</t>
  </si>
  <si>
    <t>US189754AC88</t>
  </si>
  <si>
    <t>BBB</t>
  </si>
  <si>
    <t>POSCO</t>
  </si>
  <si>
    <t>988400E5HRVX81AYLM04</t>
  </si>
  <si>
    <t>POHANG 5.75 01/17/28</t>
  </si>
  <si>
    <t>USY7S272AG74</t>
  </si>
  <si>
    <t>valero energy corp</t>
  </si>
  <si>
    <t>549300XTO5VR8SKV1V74</t>
  </si>
  <si>
    <t>VLO 5.15 02/15/30</t>
  </si>
  <si>
    <t>US91913YBF60</t>
  </si>
  <si>
    <t>Baa2</t>
  </si>
  <si>
    <t>Verisign</t>
  </si>
  <si>
    <t>LMPL4N8ZOJRMF0KOF759</t>
  </si>
  <si>
    <t>VRSN 2.7 06/15/31</t>
  </si>
  <si>
    <t>US92343EAM49</t>
  </si>
  <si>
    <t>H&amp;R Block</t>
  </si>
  <si>
    <t>549300CE3KUCWLZBG404</t>
  </si>
  <si>
    <t>HRB 3.875 08/15/30</t>
  </si>
  <si>
    <t>US093662AH70</t>
  </si>
  <si>
    <t>Juniper Networks Inc.</t>
  </si>
  <si>
    <t>AUHIXNGG7U2U7JEHM527</t>
  </si>
  <si>
    <t>JNPR 2 12/10/30 COR</t>
  </si>
  <si>
    <t>US48203RAP91</t>
  </si>
  <si>
    <t>D.R. Horton Inc</t>
  </si>
  <si>
    <t>529900ZIUEYVSB8QDD25</t>
  </si>
  <si>
    <t>DHI 5 10/15/34</t>
  </si>
  <si>
    <t>US23331ABS78</t>
  </si>
  <si>
    <t>Wipro IT Services</t>
  </si>
  <si>
    <t>335800IFS1IJHESG8362</t>
  </si>
  <si>
    <t>WPROIN 1.5 06/23/26</t>
  </si>
  <si>
    <t>USU9841MAA00</t>
  </si>
  <si>
    <t>A-</t>
  </si>
  <si>
    <t>HYUNDAI CAPITAL AMERICA</t>
  </si>
  <si>
    <t>9884004RQX8PRBXQ8S60</t>
  </si>
  <si>
    <t>HYNMTR 5.35% 03/19/29</t>
  </si>
  <si>
    <t>US44891CCY75</t>
  </si>
  <si>
    <t>ISRAEL ELECTRIC 8.1% 2096</t>
  </si>
  <si>
    <t>USM60170AC79</t>
  </si>
  <si>
    <t>TPR 3.05 03/15/32</t>
  </si>
  <si>
    <t>US876030AA54</t>
  </si>
  <si>
    <t>7.75% I.ELECTRIC 12/27</t>
  </si>
  <si>
    <t>US46507WAB63</t>
  </si>
  <si>
    <t>VRSN 5 ¼ 06/01/32</t>
  </si>
  <si>
    <t>US92343EAQ52</t>
  </si>
  <si>
    <t>Alibaba Group Holding</t>
  </si>
  <si>
    <t>5493001NTNQJDH60PM02</t>
  </si>
  <si>
    <t>BABA 5 1/4 05/26/35 REGS</t>
  </si>
  <si>
    <t>USG01719AM89</t>
  </si>
  <si>
    <t>A+</t>
  </si>
  <si>
    <t>Kyndryl Holdings, Inc.</t>
  </si>
  <si>
    <t>549300LQ4LWX2R8ZV130</t>
  </si>
  <si>
    <t>KD 6.35 02/20/34</t>
  </si>
  <si>
    <t>US50155QAN07</t>
  </si>
  <si>
    <t>GENERAL MOTORS</t>
  </si>
  <si>
    <t>54930070NSV60J38I987</t>
  </si>
  <si>
    <t>GM 4.2 01.10.27</t>
  </si>
  <si>
    <t>US37045VAN01</t>
  </si>
  <si>
    <t>Pershing Square Holdings</t>
  </si>
  <si>
    <t>G67KJ524WPCAX4V2X190</t>
  </si>
  <si>
    <t>PSHNA 3.25 10/01/31</t>
  </si>
  <si>
    <t>XS2392997172</t>
  </si>
  <si>
    <t>BBB+</t>
  </si>
  <si>
    <t>Expedia group</t>
  </si>
  <si>
    <t>549300IMO4B4W5RWYH14</t>
  </si>
  <si>
    <t>EXPE 2.95 03/15/31</t>
  </si>
  <si>
    <t>US30212PBH73</t>
  </si>
  <si>
    <t>Lenovo</t>
  </si>
  <si>
    <t>254900VUZRGD5U73RE46</t>
  </si>
  <si>
    <t>Lenovo 3.421 11/02/30</t>
  </si>
  <si>
    <t>USY5257YAJ65</t>
  </si>
  <si>
    <t>שפיר הנדסה ותעשיה בע"מ</t>
  </si>
  <si>
    <t>IL0011338758</t>
  </si>
  <si>
    <t>הפניקס אחזקות</t>
  </si>
  <si>
    <t>הפניקס 1</t>
  </si>
  <si>
    <t>IL0007670123</t>
  </si>
  <si>
    <t>אר פי אופטיקל לאב בע"מ</t>
  </si>
  <si>
    <t>אר פי אופטיקל</t>
  </si>
  <si>
    <t>IL0012224627</t>
  </si>
  <si>
    <t>מליסרון</t>
  </si>
  <si>
    <t>IL0003230146</t>
  </si>
  <si>
    <t>אנרג'יאן נפט וגז פי אל סי</t>
  </si>
  <si>
    <t>אנרג'יאן</t>
  </si>
  <si>
    <t>GB00BG12Y042</t>
  </si>
  <si>
    <t>פתאל החזקות</t>
  </si>
  <si>
    <t>IL0011434292</t>
  </si>
  <si>
    <t>כלל חברה לביטוח</t>
  </si>
  <si>
    <t>כלל עסקי ביטוח</t>
  </si>
  <si>
    <t>IL0002240146</t>
  </si>
  <si>
    <t>נובה מכשירי מדידה</t>
  </si>
  <si>
    <t>נובה</t>
  </si>
  <si>
    <t>IL0010845571</t>
  </si>
  <si>
    <t>הראל השקעות</t>
  </si>
  <si>
    <t>IL0005850180</t>
  </si>
  <si>
    <t>החברה לישראל</t>
  </si>
  <si>
    <t>חברה לישראל</t>
  </si>
  <si>
    <t>IL0005760173</t>
  </si>
  <si>
    <t>אנלייט אנרגיה</t>
  </si>
  <si>
    <t>IL0007200111</t>
  </si>
  <si>
    <t>טאואר</t>
  </si>
  <si>
    <t>IL0010823792</t>
  </si>
  <si>
    <t>ביג מרכזי קניות</t>
  </si>
  <si>
    <t>ביג</t>
  </si>
  <si>
    <t>IL0010972607</t>
  </si>
  <si>
    <t>טבע</t>
  </si>
  <si>
    <t>IL0006290147</t>
  </si>
  <si>
    <t>פועלים</t>
  </si>
  <si>
    <t>IL0006625771</t>
  </si>
  <si>
    <t>שיכון ובינוי</t>
  </si>
  <si>
    <t>IL0010819428</t>
  </si>
  <si>
    <t>נאוויטס פטרוליום, שותפות מוגבלת</t>
  </si>
  <si>
    <t>נאוויטס פטר יהש</t>
  </si>
  <si>
    <t>IL0011419699</t>
  </si>
  <si>
    <t>בנק מזרחי טפחות בע"מ</t>
  </si>
  <si>
    <t>מזרחי טפחות</t>
  </si>
  <si>
    <t>IL0006954379</t>
  </si>
  <si>
    <t>זפירוס ווינג אנרג'יס בע"מ</t>
  </si>
  <si>
    <t>זפירוס</t>
  </si>
  <si>
    <t>IL0011946956</t>
  </si>
  <si>
    <t>שטראוס גרופ</t>
  </si>
  <si>
    <t>שטראוס-עלית</t>
  </si>
  <si>
    <t>IL0007460160</t>
  </si>
  <si>
    <t>דמרי</t>
  </si>
  <si>
    <t>IL0010903156</t>
  </si>
  <si>
    <t>קבוצת אשטרום</t>
  </si>
  <si>
    <t>אשטרום קבוצה</t>
  </si>
  <si>
    <t>IL0011323156</t>
  </si>
  <si>
    <t>דלק קידוחים</t>
  </si>
  <si>
    <t>ניו-מד אנרג יהש</t>
  </si>
  <si>
    <t>IL0004750209</t>
  </si>
  <si>
    <t>בזק</t>
  </si>
  <si>
    <t>IL0002300114</t>
  </si>
  <si>
    <t>בינלאומי</t>
  </si>
  <si>
    <t>בינלאומי  5</t>
  </si>
  <si>
    <t>IL0005930388</t>
  </si>
  <si>
    <t>אמות השקעות</t>
  </si>
  <si>
    <t>אמות</t>
  </si>
  <si>
    <t>IL0010972789</t>
  </si>
  <si>
    <t>או פי סי אנרגיה</t>
  </si>
  <si>
    <t>IL0011415713</t>
  </si>
  <si>
    <t>רציו חיפושי נפט</t>
  </si>
  <si>
    <t>רציו יהש</t>
  </si>
  <si>
    <t>IL0003940157</t>
  </si>
  <si>
    <t>אורמת טכנולוגיות, אינק (דואלי)</t>
  </si>
  <si>
    <t>אורמת טכנולוגיות בע"מ</t>
  </si>
  <si>
    <t>US6866881021</t>
  </si>
  <si>
    <t>סלקום ישראל בע"מ</t>
  </si>
  <si>
    <t>סלקום</t>
  </si>
  <si>
    <t>IL0011015349</t>
  </si>
  <si>
    <t>מבנה נדל"ן (כ.ד) בע"מ</t>
  </si>
  <si>
    <t>מבני תעשיה</t>
  </si>
  <si>
    <t>IL0002260193</t>
  </si>
  <si>
    <t>קמטק</t>
  </si>
  <si>
    <t>IL0010952641</t>
  </si>
  <si>
    <t>ג'י סיטי בע"מ</t>
  </si>
  <si>
    <t>גזית גלוב</t>
  </si>
  <si>
    <t>IL0001260111</t>
  </si>
  <si>
    <t>מנורה מבטחים החזקות</t>
  </si>
  <si>
    <t>IL0005660183</t>
  </si>
  <si>
    <t>פרטנר</t>
  </si>
  <si>
    <t>IL0010834849</t>
  </si>
  <si>
    <t>אלביט מערכות</t>
  </si>
  <si>
    <t>IL0010811243</t>
  </si>
  <si>
    <t>קבוצת דלק בע"מ</t>
  </si>
  <si>
    <t>דלק קבוצה</t>
  </si>
  <si>
    <t>IL0010841281</t>
  </si>
  <si>
    <t>שופרסל</t>
  </si>
  <si>
    <t>IL0007770378</t>
  </si>
  <si>
    <t>כיל</t>
  </si>
  <si>
    <t>אי.סי. אל  -  כיל</t>
  </si>
  <si>
    <t>IL0002810146</t>
  </si>
  <si>
    <t>עזריאלי קבוצה</t>
  </si>
  <si>
    <t>IL0011194789</t>
  </si>
  <si>
    <t>ריט 1</t>
  </si>
  <si>
    <t>IL0010989205</t>
  </si>
  <si>
    <t>IL0006046119</t>
  </si>
  <si>
    <t>נייס</t>
  </si>
  <si>
    <t>IL0002730112</t>
  </si>
  <si>
    <t>דיסקונט א</t>
  </si>
  <si>
    <t>IL0006912120</t>
  </si>
  <si>
    <t>NVMI US (POALIM)</t>
  </si>
  <si>
    <t>NICE US ( poalim)</t>
  </si>
  <si>
    <t>US6536561086</t>
  </si>
  <si>
    <t>Teva US(poalim)</t>
  </si>
  <si>
    <t>US8816242098</t>
  </si>
  <si>
    <t>Taiwan Semiconductor</t>
  </si>
  <si>
    <t>549300KB6NK5SBD14S87</t>
  </si>
  <si>
    <t>TSM - Taiwan Semiconductor (P)</t>
  </si>
  <si>
    <t>US8740391003</t>
  </si>
  <si>
    <t>InMode</t>
  </si>
  <si>
    <t>549300TTHIODYMGND828</t>
  </si>
  <si>
    <t>INMD - InMode   (POALIM)</t>
  </si>
  <si>
    <t>IL0011595993</t>
  </si>
  <si>
    <t>GOLDMAN</t>
  </si>
  <si>
    <t>784F5XWPLTWKTBV3E584</t>
  </si>
  <si>
    <t>GS - Goldman Sachs (P)</t>
  </si>
  <si>
    <t>US38141G1040</t>
  </si>
  <si>
    <t>Lam Research Corp</t>
  </si>
  <si>
    <t>549300I4GMO6D34U1T02</t>
  </si>
  <si>
    <t>LRCX - Lam Research (P)</t>
  </si>
  <si>
    <t>US5128071082</t>
  </si>
  <si>
    <t>GOOGLE INC</t>
  </si>
  <si>
    <t>5493006MHB84DD0ZWV18</t>
  </si>
  <si>
    <t>GOOG- Alphabet (p)</t>
  </si>
  <si>
    <t>US02079K1079</t>
  </si>
  <si>
    <t>ASML</t>
  </si>
  <si>
    <t>724500Y6DUVHQD6OXN27</t>
  </si>
  <si>
    <t>ASML NA - ASML Holding (P)</t>
  </si>
  <si>
    <t>NL0010273215</t>
  </si>
  <si>
    <t>camt-קמטק חול(poalim)</t>
  </si>
  <si>
    <t>ENLIGHT RENEWABLE ENERGY LTD(poalim)</t>
  </si>
  <si>
    <t>NVIDIA Corporation</t>
  </si>
  <si>
    <t>549300S4KLFTLO7GSQ80</t>
  </si>
  <si>
    <t>NVDA - NVIDIA (P)</t>
  </si>
  <si>
    <t>US67066G1040</t>
  </si>
  <si>
    <t>ORA US (POALIM)</t>
  </si>
  <si>
    <t>TESLA INC</t>
  </si>
  <si>
    <t>54930043XZGB27CTOV49</t>
  </si>
  <si>
    <t>TSLA Tesla Inc (P)</t>
  </si>
  <si>
    <t>US88160R1014</t>
  </si>
  <si>
    <t>Freeport Mcmoran</t>
  </si>
  <si>
    <t>549300IRDTHJQ1PVET45</t>
  </si>
  <si>
    <t>FCX - Freeport Mcmoran (p)</t>
  </si>
  <si>
    <t>US35671D8570</t>
  </si>
  <si>
    <t>Vertiv</t>
  </si>
  <si>
    <t>549300KTTIRAOGXCRV69</t>
  </si>
  <si>
    <t>VRT - Vertiv Holding(P)</t>
  </si>
  <si>
    <t>US92537N1081</t>
  </si>
  <si>
    <t>SOLAREDGE</t>
  </si>
  <si>
    <t>5493000K6Y58XXPDF853</t>
  </si>
  <si>
    <t>SEDG US ( POALIM)</t>
  </si>
  <si>
    <t>US83417M1045</t>
  </si>
  <si>
    <t>CHENIERE ENERGY INC</t>
  </si>
  <si>
    <t>MIHC87W9WTYSYZWV1J40</t>
  </si>
  <si>
    <t>LNG Cheniere Energy Inc  (P)</t>
  </si>
  <si>
    <t>US16411R2085</t>
  </si>
  <si>
    <t>TOWER TSEM US( POALIM)</t>
  </si>
  <si>
    <t>META PLATFORMS INC</t>
  </si>
  <si>
    <t>BQ4BKCS1HXDV9HN80Z93</t>
  </si>
  <si>
    <t>META - Meta Platforms (P)</t>
  </si>
  <si>
    <t>US30303M1027</t>
  </si>
  <si>
    <t>מגדל קרנות נאמנות בע"מ</t>
  </si>
  <si>
    <t>MTF סל (00) תל בונד 20</t>
  </si>
  <si>
    <t>IL0011499881</t>
  </si>
  <si>
    <t>קסם קרנות נאמנות בע"מ</t>
  </si>
  <si>
    <t>קסם ETF תלבונד 20</t>
  </si>
  <si>
    <t>IL0011459604</t>
  </si>
  <si>
    <t>מיטב תכלית קרנות נאמנות בע"מ</t>
  </si>
  <si>
    <t>תכלית סל (00) תל בונד 40</t>
  </si>
  <si>
    <t>IL0011450934</t>
  </si>
  <si>
    <t>הראל קרנות נאמנות בע"מ</t>
  </si>
  <si>
    <t>הראל סל תא 35</t>
  </si>
  <si>
    <t>IL0011489072</t>
  </si>
  <si>
    <t>MTF סל תל בונד 60</t>
  </si>
  <si>
    <t>IL0011499964</t>
  </si>
  <si>
    <t>תכלית סל תא 35</t>
  </si>
  <si>
    <t>IL0011437006</t>
  </si>
  <si>
    <t>MTF סל (4A) ת"א 35</t>
  </si>
  <si>
    <t>IL0011501843</t>
  </si>
  <si>
    <t>קסם ETF תא 35</t>
  </si>
  <si>
    <t>IL0011465700</t>
  </si>
  <si>
    <t>הראל סל תלבונד 20</t>
  </si>
  <si>
    <t>IL0011504409</t>
  </si>
  <si>
    <t>State Street</t>
  </si>
  <si>
    <t>549300ZFEEJ2IP5VME73</t>
  </si>
  <si>
    <t>XLU US (p)</t>
  </si>
  <si>
    <t>US81369Y8865</t>
  </si>
  <si>
    <t>VanEck</t>
  </si>
  <si>
    <t>549300MJTG2N9QRH7I02</t>
  </si>
  <si>
    <t>SMH- VanEck Semiconductor -POALIM</t>
  </si>
  <si>
    <t>US92189F6768</t>
  </si>
  <si>
    <t>AMUNDI INVT SOLUTIONS</t>
  </si>
  <si>
    <t>549300FMBJ5S1PXQ2305</t>
  </si>
  <si>
    <t>U127  LN -  MSCI Emerging Markets (P)</t>
  </si>
  <si>
    <t>LU2573966905</t>
  </si>
  <si>
    <t>XLC  US -  Communication Services (P)</t>
  </si>
  <si>
    <t>US81369Y8527</t>
  </si>
  <si>
    <t>INVESCO</t>
  </si>
  <si>
    <t>ECPGFXU8A2SHKVVGJI15</t>
  </si>
  <si>
    <t>MUNI LN</t>
  </si>
  <si>
    <t>IE00BNG70R26</t>
  </si>
  <si>
    <t>PPA - Invesco Aerospace &amp; Defense (p)</t>
  </si>
  <si>
    <t>US46137V1008</t>
  </si>
  <si>
    <t>CEU  FP -   MSCI EUROPE ESG (P)</t>
  </si>
  <si>
    <t>LU1681042609</t>
  </si>
  <si>
    <t>Tabula</t>
  </si>
  <si>
    <t>635400BK5J6GBMBFNG77</t>
  </si>
  <si>
    <t>TAHY LN - Asia USD HY</t>
  </si>
  <si>
    <t>IE000LZC9M0</t>
  </si>
  <si>
    <t>DWS</t>
  </si>
  <si>
    <t>7LTWFZYICNSX8D621K86</t>
  </si>
  <si>
    <t>XDWD  LN -  MSCI World (P)</t>
  </si>
  <si>
    <t>IE00BJ0KDQ92</t>
  </si>
  <si>
    <t>INVESCO MARKETS PLC</t>
  </si>
  <si>
    <t>MXWO  LN -  MSCI World (P)</t>
  </si>
  <si>
    <t>IE00B60SX394</t>
  </si>
  <si>
    <t>XDJP  GR -  Nikkei 225 (P)</t>
  </si>
  <si>
    <t>LU0839027447</t>
  </si>
  <si>
    <t>SP5C  LN -   S&amp;P 500 (P)</t>
  </si>
  <si>
    <t>LU1135865084</t>
  </si>
  <si>
    <t>ISHARES</t>
  </si>
  <si>
    <t>549300LRIF3NWCU26A80</t>
  </si>
  <si>
    <t>SDIG LN SHORT DUR CORP</t>
  </si>
  <si>
    <t>IE00BCRY5Y77</t>
  </si>
  <si>
    <t>Nomura holdings Inc</t>
  </si>
  <si>
    <t>549300B3CEAHYG7K8164</t>
  </si>
  <si>
    <t>1615 JP -  TOPIX Banks (P)</t>
  </si>
  <si>
    <t>JP3040170007</t>
  </si>
  <si>
    <t>XLV  US -  Health Care (P)</t>
  </si>
  <si>
    <t>US81369Y2090</t>
  </si>
  <si>
    <t>BNP PARIBAS</t>
  </si>
  <si>
    <t>R0MUWSFPU8MPRO8K5P83</t>
  </si>
  <si>
    <t>ESD  FP -  S&amp;P 500 (P)</t>
  </si>
  <si>
    <t>FR0011550177</t>
  </si>
  <si>
    <t>XSPU  LN -  S&amp;P 500 (P)</t>
  </si>
  <si>
    <t>LU0490618542</t>
  </si>
  <si>
    <t>XLF  US -  Financial (P)</t>
  </si>
  <si>
    <t>US81369Y6059</t>
  </si>
  <si>
    <t>Vanguard Group Inc</t>
  </si>
  <si>
    <t>5493002789CX3L0CJP65</t>
  </si>
  <si>
    <t>VWO  US -   FTSE Emerging Markets (P)</t>
  </si>
  <si>
    <t>US9220428588</t>
  </si>
  <si>
    <t>I500  NA -   S&amp;P 500 (P)</t>
  </si>
  <si>
    <t>IE00BMTX1Y45</t>
  </si>
  <si>
    <t>FXI  US -  China Large (P)</t>
  </si>
  <si>
    <t>US4642871846</t>
  </si>
  <si>
    <t>1306 JP -  TOPIX (P)</t>
  </si>
  <si>
    <t>JP3027630007</t>
  </si>
  <si>
    <t>UBS</t>
  </si>
  <si>
    <t>549300SZJ9VS8SGXAN81</t>
  </si>
  <si>
    <t>CBSEUD SW</t>
  </si>
  <si>
    <t>LU1484799926</t>
  </si>
  <si>
    <t>Global X</t>
  </si>
  <si>
    <t>254900QBKK4WBSO3GE51</t>
  </si>
  <si>
    <t>HXT  CN -  Canada TSX 60 (P)</t>
  </si>
  <si>
    <t>CA37963M1086</t>
  </si>
  <si>
    <t>XLY  US -  Consumer Discretionary (P)</t>
  </si>
  <si>
    <t>US81369Y4070</t>
  </si>
  <si>
    <t>LYXOR INTL</t>
  </si>
  <si>
    <t>BCEHGB.99999.SL.442</t>
  </si>
  <si>
    <t>Europe SX600 Industrials (p) -IND FP</t>
  </si>
  <si>
    <t>LU1834987890</t>
  </si>
  <si>
    <t>XLK  US -  Technology (P)</t>
  </si>
  <si>
    <t>US81369Y8030</t>
  </si>
  <si>
    <t>XMEU  GR -  MSCI Europe (P)</t>
  </si>
  <si>
    <t>LU0274209237</t>
  </si>
  <si>
    <t>FIRST TRUST</t>
  </si>
  <si>
    <t>254900RHL9MEUS5NKX63</t>
  </si>
  <si>
    <t>GRID  US -   Grid Infrastructure (P)</t>
  </si>
  <si>
    <t>US33737A1088</t>
  </si>
  <si>
    <t>XMUD  LN -   MSCI USA (P)</t>
  </si>
  <si>
    <t>LU0274210672</t>
  </si>
  <si>
    <t>XD9U  LN -   MSCI USA (P)</t>
  </si>
  <si>
    <t>IE00BJ0KDR00</t>
  </si>
  <si>
    <t>SWRD  LN -  MSCI World (P)</t>
  </si>
  <si>
    <t>IE00BFY0GT14</t>
  </si>
  <si>
    <t>DEAM GY - MDAX (P)</t>
  </si>
  <si>
    <t>IE00BHJYDV33</t>
  </si>
  <si>
    <t>SPXS  LN -  S&amp;P 500 (P)</t>
  </si>
  <si>
    <t>IE00B3YCGJ38</t>
  </si>
  <si>
    <t>MUSD  NA -   MSCI USA (P)</t>
  </si>
  <si>
    <t>IE0002W8NB38</t>
  </si>
  <si>
    <t>Nomura Asset Management UK</t>
  </si>
  <si>
    <t>Nomura US HY</t>
  </si>
  <si>
    <t>IE00B3RW8498</t>
  </si>
  <si>
    <t>Liontrust</t>
  </si>
  <si>
    <t>549300XVXU6S7PLCL855</t>
  </si>
  <si>
    <t>Liontrust European Dynamic</t>
  </si>
  <si>
    <t>GB00BKPQVT86</t>
  </si>
  <si>
    <t>Pinebridge</t>
  </si>
  <si>
    <t>549300KM5F6LSTMERC50</t>
  </si>
  <si>
    <t>PineBridge US IG</t>
  </si>
  <si>
    <t>IE00BD82R632</t>
  </si>
  <si>
    <t>Daiwa</t>
  </si>
  <si>
    <t>2138008IOOVSKCGISQ06</t>
  </si>
  <si>
    <t>DAIWA SBI JAPAN SC</t>
  </si>
  <si>
    <t>LU1907539057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</si>
  <si>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</si>
  <si>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</si>
  <si>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</si>
  <si>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</si>
  <si>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</si>
  <si>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</si>
  <si>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</si>
  <si>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</si>
  <si>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HSBC Global Investment Funds</t>
  </si>
  <si>
    <t>2138009R2RHG7P8LL653</t>
  </si>
  <si>
    <t>HSBC IG Global Securitized Credit</t>
  </si>
  <si>
    <t>LU1194161839</t>
  </si>
  <si>
    <t>India Acorn ICAV</t>
  </si>
  <si>
    <t>213800MG9QHLSQHZYD08</t>
  </si>
  <si>
    <t>Ashoka Indian Opportunities</t>
  </si>
  <si>
    <t>IE00BH3N4915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</si>
  <si>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</si>
  <si>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</si>
  <si>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</si>
  <si>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</si>
  <si>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</si>
  <si>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</si>
  <si>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</si>
  <si>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</si>
  <si>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Oaktree Capital Management LP</t>
  </si>
  <si>
    <t>5493003O8J2P3YCBEH15 </t>
  </si>
  <si>
    <t>Oaktree Global Credit</t>
  </si>
  <si>
    <t>LU1617688392</t>
  </si>
  <si>
    <t>HSBC HY Global Securitized Credit</t>
  </si>
  <si>
    <t>LU1194162217</t>
  </si>
  <si>
    <t>HSBC XC Global Securitized Credit</t>
  </si>
  <si>
    <t>LU1717580259</t>
  </si>
  <si>
    <t>Schroder Investment Management (Europe) S.A</t>
  </si>
  <si>
    <t>8AFAYMK90I2QVGLMLS34</t>
  </si>
  <si>
    <t>Schroders Euro HY Hedged USD</t>
  </si>
  <si>
    <t>LU2880861682</t>
  </si>
  <si>
    <t>M&amp;G LUX INVESTMENT</t>
  </si>
  <si>
    <t>254900TWUJUQ44TQJY84</t>
  </si>
  <si>
    <t>M&amp;G Japan Fund LI USD</t>
  </si>
  <si>
    <t>LU2486835627</t>
  </si>
  <si>
    <t>PIMCO</t>
  </si>
  <si>
    <t>529900K9B0N5BT694847</t>
  </si>
  <si>
    <t>PIMCO LUX TR USD</t>
  </si>
  <si>
    <t>LU0683769987</t>
  </si>
  <si>
    <t>Amundi - Emerging Markets</t>
  </si>
  <si>
    <t>LU0906530919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</si>
  <si>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</si>
  <si>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</si>
  <si>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</si>
  <si>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</si>
  <si>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</si>
  <si>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</si>
  <si>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</si>
  <si>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</si>
  <si>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ARTEMIS</t>
  </si>
  <si>
    <t>549300CN3YT7REW82D41</t>
  </si>
  <si>
    <t>Artemis SmartGARP EM</t>
  </si>
  <si>
    <t>LU1846577242</t>
  </si>
  <si>
    <t>זפירוס אפ1</t>
  </si>
  <si>
    <t>IL0011947038</t>
  </si>
  <si>
    <t>ערד 8808 01.11.28 4.8%</t>
  </si>
  <si>
    <t>ערד 8813 01.4.29 4.8%</t>
  </si>
  <si>
    <t>ערד 8815 01.6.29 4.8%</t>
  </si>
  <si>
    <t>ערד 8810 01.1.29 4.8%</t>
  </si>
  <si>
    <t>ערד 8802 01.05.28 4.8%</t>
  </si>
  <si>
    <t>ערד 8822 1.1.30 4.8%</t>
  </si>
  <si>
    <t>ערד 8847 1.2.32 4.8%</t>
  </si>
  <si>
    <t>ערד 8798 01.01.28 4.8%</t>
  </si>
  <si>
    <t>ערד 8809 01.12.28 4.8%</t>
  </si>
  <si>
    <t>ערד 8801 02.04.28 4.8%</t>
  </si>
  <si>
    <t>ערד 8897 02.05.36 4.8%</t>
  </si>
  <si>
    <t>ערד 8894 01.02.36 4.8%</t>
  </si>
  <si>
    <t>ערד 8846 1.1.32 4.8%</t>
  </si>
  <si>
    <t>ערד 8849 2.4.32 4.8%</t>
  </si>
  <si>
    <t>ערד 8872 01.03.34 4.8%</t>
  </si>
  <si>
    <t>ערד 8845 01.12.31 4.8%</t>
  </si>
  <si>
    <t>ערד 8893 01.01.36 4.8%</t>
  </si>
  <si>
    <t>ערד 8797 02.12.27 4.8%</t>
  </si>
  <si>
    <t>ערד 8860 01.03.33 4.8%</t>
  </si>
  <si>
    <t>ערד 8859 01.02.33 4.8%</t>
  </si>
  <si>
    <t>ערד 8844 02.11.31 4.8%</t>
  </si>
  <si>
    <t>ערד 8895 01.03.36 4.8%</t>
  </si>
  <si>
    <t>ערד 8812 02.3.29 4.8%</t>
  </si>
  <si>
    <t>ערד 8804 01.07.28 4.8%</t>
  </si>
  <si>
    <t>ערד 8842 1.9.31 4.8%</t>
  </si>
  <si>
    <t>ערד 8851 01.06.32 4.8%</t>
  </si>
  <si>
    <t>ערד 8814 01.5.29 4.8%</t>
  </si>
  <si>
    <t>ערד 8873 01.04.34 4.8%</t>
  </si>
  <si>
    <t>ערד 8881 01.12.34 4.8%</t>
  </si>
  <si>
    <t>ערד 8795 02.10.27 4.8%</t>
  </si>
  <si>
    <t>ערד 8826 01.05.30 4.8%</t>
  </si>
  <si>
    <t>ערד 8850 2.5.32 4.8%</t>
  </si>
  <si>
    <t>ערד 8852 2.7.32 4.8%</t>
  </si>
  <si>
    <t>ערד 8883 02.02.35 4.8%</t>
  </si>
  <si>
    <t>ערד 8858 01.01.33 4.8%</t>
  </si>
  <si>
    <t>ערד 8800 01.03.28 4.8%</t>
  </si>
  <si>
    <t>ערד 8882 01.01.35 4.8%</t>
  </si>
  <si>
    <t>ערד 8855 1.10.32 4.8%</t>
  </si>
  <si>
    <t>ערד 8811 02.2.29 4.8%</t>
  </si>
  <si>
    <t>ערד 8823 01.02.30 4.8%</t>
  </si>
  <si>
    <t>ערד 8840 01.07.31 4.8%</t>
  </si>
  <si>
    <t>ערד 8863 01.06.33 4.8%</t>
  </si>
  <si>
    <t>ערד 8803 02.06.28 4.8%</t>
  </si>
  <si>
    <t>ערד 8867 4.10.33 4.8%</t>
  </si>
  <si>
    <t>ערד 8835 01.02.31 4.8%</t>
  </si>
  <si>
    <t>ערד 8807 01.10.28 4.8%</t>
  </si>
  <si>
    <t>ערד 8799 01.02.28 4.8%</t>
  </si>
  <si>
    <t>ערד 8796 01.11.27 4.8%</t>
  </si>
  <si>
    <t>ערד 8848 1.3.32 4.8%</t>
  </si>
  <si>
    <t>ערד 8827 2.6.30 4.8%</t>
  </si>
  <si>
    <t>ערד 8821 1.12.29 4.8%</t>
  </si>
  <si>
    <t>ערד 8839 01.06.31 4.8%</t>
  </si>
  <si>
    <t>ערד 8838 01.5.31 4.8%</t>
  </si>
  <si>
    <t>ערד 8854 01.09.32 4.8%</t>
  </si>
  <si>
    <t>ערד 8902 01.10.36 4.8%</t>
  </si>
  <si>
    <t>ערד 8843 03.10.31 4.8%</t>
  </si>
  <si>
    <t>ערד 8868 1.11.33 4.8%</t>
  </si>
  <si>
    <t>ערד 8874 01.05.34 4.8%</t>
  </si>
  <si>
    <t>ערד 8806 01.09.28 4.8%</t>
  </si>
  <si>
    <t>ערד 8824 01.03.30 4.8%</t>
  </si>
  <si>
    <t>ערד 8875 02.06.34 4.8%</t>
  </si>
  <si>
    <t>ערד 8820 02.11.29 4.8%</t>
  </si>
  <si>
    <t>ערד 8865 01.08.33 4.8%</t>
  </si>
  <si>
    <t>ערד 8857 01.12.32 4.8%</t>
  </si>
  <si>
    <t>ערד 8834 01.01.31 4.8%</t>
  </si>
  <si>
    <t>ערד 8825 01.04.30 4.8%</t>
  </si>
  <si>
    <t>ערד 8816 01.7.29 4.8%</t>
  </si>
  <si>
    <t>ערד 8866 02.09.33 4.8%</t>
  </si>
  <si>
    <t>ערד 8899 01.07.36 4.8%</t>
  </si>
  <si>
    <t>ערד 8828 01.07.30 4.8%</t>
  </si>
  <si>
    <t>ערד 8817 01.8.29 4.8%</t>
  </si>
  <si>
    <t>ערד 8819 02.10.29 4.8%</t>
  </si>
  <si>
    <t>ערד 8833 01.12.30 4.8%</t>
  </si>
  <si>
    <t>ערד 8880 01.11.34 4.8%</t>
  </si>
  <si>
    <t>ערד 8896 01.04.36 4.8%</t>
  </si>
  <si>
    <t>ערד 8794 02.09.27 4.8%</t>
  </si>
  <si>
    <t>ערד 8856 1.11.32 4.8%</t>
  </si>
  <si>
    <t>מקורות סדרה ו</t>
  </si>
  <si>
    <t>IL0011009086</t>
  </si>
  <si>
    <t>נתיבי גז א</t>
  </si>
  <si>
    <t>IL0011030843</t>
  </si>
  <si>
    <t>מקורות 8 4.1% 2048</t>
  </si>
  <si>
    <t>IL0011243461</t>
  </si>
  <si>
    <t>נתיבי גז ג</t>
  </si>
  <si>
    <t>IL0011255093</t>
  </si>
  <si>
    <t>מתם מרכז תעשיות מדע חיפה בע"מ</t>
  </si>
  <si>
    <t>מת"ם  אגח א -רמ</t>
  </si>
  <si>
    <t>IL0011389991</t>
  </si>
  <si>
    <t>ilAA</t>
  </si>
  <si>
    <t>אורמת 4</t>
  </si>
  <si>
    <t>IL0011672123</t>
  </si>
  <si>
    <t>רשות שדות התעופה בישראל</t>
  </si>
  <si>
    <t>רש"ת אגח א-רמ</t>
  </si>
  <si>
    <t>IL0011873358</t>
  </si>
  <si>
    <t>רש"ת אגח ב-רמ</t>
  </si>
  <si>
    <t>IL0011873432</t>
  </si>
  <si>
    <t>אוצר החייל כ.התח 03/26 3.95%</t>
  </si>
  <si>
    <t>ilAA+</t>
  </si>
  <si>
    <t>IIF</t>
  </si>
  <si>
    <t>A ת.ש.י דרכים מר</t>
  </si>
  <si>
    <t>MIZBILIT</t>
  </si>
  <si>
    <t>LEUMIILILTXXX</t>
  </si>
  <si>
    <t>IDBLILITXXX</t>
  </si>
  <si>
    <t>POALIILIT</t>
  </si>
  <si>
    <t>GOLDUS33001</t>
  </si>
  <si>
    <t>CITIUS33</t>
  </si>
  <si>
    <t>BARCUS33</t>
  </si>
  <si>
    <t>USDILS</t>
  </si>
  <si>
    <t>CHASUS33</t>
  </si>
  <si>
    <t>ILSILS</t>
  </si>
  <si>
    <t>קבועה</t>
  </si>
  <si>
    <t>A3.il</t>
  </si>
  <si>
    <t>הדסה ס.מ.ישיר 31.03.25</t>
  </si>
  <si>
    <t>התח.ממש.אי העלאת ג.פרישה נשים</t>
  </si>
  <si>
    <t>USDUSD</t>
  </si>
  <si>
    <t>520022963_pn_p_0225.xlsx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</si>
</sst>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double">
        <color indexed="64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0" fontId="1" fillId="0" borderId="0" xfId="0" applyFont="1" applyBorder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Protection="1">
      <protection locked="0"/>
    </xf>
    <xf numFmtId="0" fontId="12" fillId="0" borderId="0" xfId="0" applyFont="1" applyBorder="1" applyProtection="1">
      <protection locked="0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2" fillId="0" borderId="0" xfId="0" applyFont="1" applyFill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0" xfId="0" applyFont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6" fontId="27" fillId="0" borderId="10" xfId="4" applyNumberFormat="1" applyFont="1" applyBorder="1" applyAlignment="1">
      <alignment horizontal="center" vertical="center" wrapText="1"/>
    </xf>
    <xf numFmtId="167" fontId="27" fillId="0" borderId="10" xfId="5" applyNumberFormat="1" applyFont="1" applyBorder="1" applyAlignment="1">
      <alignment horizontal="center" vertical="center" wrapText="1"/>
    </xf>
    <xf numFmtId="167" fontId="28" fillId="0" borderId="10" xfId="5" applyNumberFormat="1" applyFont="1" applyBorder="1" applyAlignment="1">
      <alignment horizontal="center" vertical="center" wrapText="1"/>
    </xf>
    <xf numFmtId="166" fontId="6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1" fillId="0" borderId="0" xfId="4" applyNumberFormat="1" applyFont="1"/>
    <xf numFmtId="168" fontId="0" fillId="0" borderId="0" xfId="0" applyNumberFormat="1"/>
    <xf numFmtId="167" fontId="0" fillId="0" borderId="0" xfId="0" applyNumberFormat="1"/>
    <xf numFmtId="0" fontId="0" fillId="0" borderId="0" xfId="0" applyNumberFormat="1"/>
    <xf numFmtId="169" fontId="0" fillId="0" borderId="0" xfId="0" applyNumberFormat="1"/>
    <xf numFmtId="0" fontId="6" fillId="3" borderId="2" xfId="0" applyNumberFormat="1" applyFont="1" applyFill="1" applyBorder="1" applyAlignment="1">
      <alignment horizontal="center" vertical="center" wrapText="1"/>
    </xf>
    <xf numFmtId="169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right"/>
    </xf>
    <xf numFmtId="10" fontId="0" fillId="0" borderId="0" xfId="0" applyNumberFormat="1" applyFill="1"/>
    <xf numFmtId="166" fontId="27" fillId="0" borderId="24" xfId="4" applyNumberFormat="1" applyFont="1" applyBorder="1" applyAlignment="1">
      <alignment horizontal="center" vertical="center" wrapText="1"/>
    </xf>
    <xf numFmtId="166" fontId="9" fillId="0" borderId="25" xfId="4" applyNumberFormat="1" applyFont="1" applyBorder="1" applyAlignment="1">
      <alignment horizontal="center" vertical="center" wrapText="1"/>
    </xf>
    <xf numFmtId="166" fontId="27" fillId="0" borderId="23" xfId="4" applyNumberFormat="1" applyFont="1" applyBorder="1" applyAlignment="1">
      <alignment horizontal="center" vertical="center" wrapText="1"/>
    </xf>
    <xf numFmtId="0" fontId="11" fillId="5" borderId="11" xfId="1" quotePrefix="1" applyFont="1" applyFill="1" applyBorder="1" applyAlignment="1" applyProtection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>
      <c r="A1" s="28" t="s">
        <v>856</v>
      </c>
      <c r="B1" s="29"/>
      <c r="C1" s="29"/>
      <c r="D1" s="29"/>
    </row>
    <row r="2" spans="1:4"/>
    <row r="3" spans="1:4">
      <c r="A3" t="s">
        <v>507</v>
      </c>
      <c r="D3" s="104" t="s">
        <v>808</v>
      </c>
    </row>
    <row r="4" spans="1:4"/>
    <row r="5" spans="1:4">
      <c r="A5" t="s">
        <v>597</v>
      </c>
      <c r="D5" s="104" t="s">
        <v>599</v>
      </c>
    </row>
    <row r="6" spans="1:4"/>
    <row r="7" spans="1:4">
      <c r="A7" t="s">
        <v>587</v>
      </c>
      <c r="D7" s="104">
        <v>2</v>
      </c>
    </row>
    <row r="8" spans="1:4">
      <c r="D8" s="27"/>
    </row>
    <row r="9" spans="1:4">
      <c r="A9" t="s">
        <v>588</v>
      </c>
      <c r="D9" s="104">
        <v>2025</v>
      </c>
    </row>
    <row r="10" spans="1:4"/>
    <row r="11" spans="1:4">
      <c r="A11" t="s">
        <v>572</v>
      </c>
      <c r="D11" s="104" t="s">
        <v>1214</v>
      </c>
    </row>
    <row r="12" spans="1:4"/>
    <row r="13" spans="1:4">
      <c r="A13" t="s">
        <v>509</v>
      </c>
      <c r="D13" s="105">
        <v>520022963</v>
      </c>
    </row>
    <row r="14" spans="1:4"/>
    <row r="15" spans="1:4" ht="15">
      <c r="A15" s="15" t="s">
        <v>371</v>
      </c>
      <c r="D15" s="170" t="s">
        <v>1937</v>
      </c>
    </row>
    <row r="16" spans="1:4" ht="15">
      <c r="A16" s="15"/>
      <c r="D16" s="27"/>
    </row>
    <row r="17" spans="1:4" ht="15">
      <c r="A17" s="15" t="s">
        <v>437</v>
      </c>
      <c r="B17" s="12" t="s">
        <v>345</v>
      </c>
      <c r="C17" s="12"/>
      <c r="D17" s="145" t="s">
        <v>1211</v>
      </c>
    </row>
    <row r="18" spans="1:4">
      <c r="A18" s="10"/>
      <c r="B18" s="13"/>
      <c r="C18" s="13"/>
      <c r="D18" s="14"/>
    </row>
    <row r="19" spans="1:4">
      <c r="A19" s="10"/>
      <c r="B19" s="12" t="s">
        <v>346</v>
      </c>
      <c r="C19" s="12"/>
      <c r="D19" s="145" t="s">
        <v>1212</v>
      </c>
    </row>
    <row r="20" spans="1:4">
      <c r="A20" s="10"/>
      <c r="B20" s="13"/>
      <c r="C20" s="13"/>
      <c r="D20" s="14"/>
    </row>
    <row r="21" spans="1:4">
      <c r="A21" s="10"/>
      <c r="B21" s="12" t="s">
        <v>347</v>
      </c>
      <c r="C21" s="12"/>
      <c r="D21" s="146" t="s">
        <v>1213</v>
      </c>
    </row>
    <row r="22" spans="1:4">
      <c r="A22" s="10"/>
      <c r="B22" s="11"/>
      <c r="C22" s="11"/>
    </row>
    <row r="23" spans="1:4" ht="28.5">
      <c r="A23" s="144" t="s">
        <v>415</v>
      </c>
      <c r="D23" s="143" t="s">
        <v>508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C20" sqref="C20"/>
    </sheetView>
  </sheetViews>
  <sheetFormatPr defaultColWidth="0" defaultRowHeight="12.75" zeroHeight="1"/>
  <cols>
    <col min="1" max="1" width="42.75" style="6" customWidth="1"/>
    <col min="2" max="4" width="13" style="7" customWidth="1"/>
    <col min="5" max="5" width="14" style="7" customWidth="1"/>
    <col min="6" max="16384" width="2.375" style="6" hidden="1"/>
  </cols>
  <sheetData>
    <row r="1" spans="1:5" ht="18.75" customHeight="1">
      <c r="A1" s="45"/>
      <c r="B1" s="46"/>
      <c r="C1" s="107" t="s">
        <v>921</v>
      </c>
      <c r="D1" s="106"/>
      <c r="E1" s="46"/>
    </row>
    <row r="2" spans="1:5" ht="25.5">
      <c r="A2" s="45"/>
      <c r="B2" s="46" t="s">
        <v>17</v>
      </c>
      <c r="C2" s="46" t="s">
        <v>27</v>
      </c>
      <c r="D2" s="46" t="s">
        <v>26</v>
      </c>
      <c r="E2" s="46" t="s">
        <v>918</v>
      </c>
    </row>
    <row r="3" spans="1:5">
      <c r="A3" s="48" t="s">
        <v>31</v>
      </c>
      <c r="B3" s="147">
        <f>SUM('מזומנים ושווי מזומנים'!O:O)</f>
        <v>87277.433160000015</v>
      </c>
      <c r="C3" s="49"/>
      <c r="D3" s="49"/>
      <c r="E3" s="148">
        <f>IFERROR(B3/$B$30,0)</f>
        <v>2.1204737189135198E-2</v>
      </c>
    </row>
    <row r="4" spans="1:5">
      <c r="A4" s="48" t="s">
        <v>40</v>
      </c>
      <c r="B4" s="147">
        <f>SUM('איגרות חוב ממשלתיות'!U:U)</f>
        <v>508720.69098000001</v>
      </c>
      <c r="C4" s="49"/>
      <c r="D4" s="49"/>
      <c r="E4" s="148">
        <f t="shared" ref="E4:E29" si="0">IFERROR(B4/$B$30,0)</f>
        <v>0.12359768343702925</v>
      </c>
    </row>
    <row r="5" spans="1:5">
      <c r="A5" s="48" t="s">
        <v>32</v>
      </c>
      <c r="B5" s="147">
        <f>SUM('ניירות ערך מסחריים'!AD:AD)</f>
        <v>0</v>
      </c>
      <c r="C5" s="49"/>
      <c r="D5" s="49"/>
      <c r="E5" s="148">
        <f t="shared" si="0"/>
        <v>0</v>
      </c>
    </row>
    <row r="6" spans="1:5">
      <c r="A6" s="48" t="s">
        <v>33</v>
      </c>
      <c r="B6" s="147">
        <f>SUM('איגרות חוב'!AD:AD)</f>
        <v>106156.44093999996</v>
      </c>
      <c r="C6" s="49"/>
      <c r="D6" s="49"/>
      <c r="E6" s="148">
        <f t="shared" si="0"/>
        <v>2.5791540259210013E-2</v>
      </c>
    </row>
    <row r="7" spans="1:5">
      <c r="A7" s="48" t="s">
        <v>459</v>
      </c>
      <c r="B7" s="147">
        <f>SUM('מניות מבכ ויהש'!U:U)</f>
        <v>86195.318960000019</v>
      </c>
      <c r="C7" s="49"/>
      <c r="D7" s="49"/>
      <c r="E7" s="148">
        <f t="shared" si="0"/>
        <v>2.0941829053677478E-2</v>
      </c>
    </row>
    <row r="8" spans="1:5">
      <c r="A8" s="48" t="s">
        <v>34</v>
      </c>
      <c r="B8" s="147">
        <f>SUM('קרנות סל'!T:T)</f>
        <v>313738.07062000007</v>
      </c>
      <c r="C8" s="49"/>
      <c r="D8" s="49"/>
      <c r="E8" s="148">
        <f t="shared" si="0"/>
        <v>7.6225125932924936E-2</v>
      </c>
    </row>
    <row r="9" spans="1:5">
      <c r="A9" s="48" t="s">
        <v>35</v>
      </c>
      <c r="B9" s="147">
        <f>SUM('קרנות נאמנות'!T:T)</f>
        <v>29971.416230000003</v>
      </c>
      <c r="C9" s="49"/>
      <c r="D9" s="49"/>
      <c r="E9" s="148">
        <f t="shared" si="0"/>
        <v>7.2817907371112147E-3</v>
      </c>
    </row>
    <row r="10" spans="1:5">
      <c r="A10" s="48" t="s">
        <v>36</v>
      </c>
      <c r="B10" s="147">
        <f>SUM('כתבי אופציה'!W:W)</f>
        <v>23.9499</v>
      </c>
      <c r="C10" s="49"/>
      <c r="D10" s="49"/>
      <c r="E10" s="148">
        <f t="shared" si="0"/>
        <v>5.8188161225486359E-6</v>
      </c>
    </row>
    <row r="11" spans="1:5">
      <c r="A11" s="48" t="s">
        <v>37</v>
      </c>
      <c r="B11" s="147">
        <f>SUM(אופציות!V:V)</f>
        <v>0</v>
      </c>
      <c r="C11" s="49"/>
      <c r="D11" s="49"/>
      <c r="E11" s="148">
        <f t="shared" si="0"/>
        <v>0</v>
      </c>
    </row>
    <row r="12" spans="1:5">
      <c r="A12" s="48" t="s">
        <v>38</v>
      </c>
      <c r="B12" s="147">
        <f>SUM('חוזים עתידיים'!R:R)</f>
        <v>0</v>
      </c>
      <c r="C12" s="49"/>
      <c r="D12" s="49"/>
      <c r="E12" s="148">
        <f t="shared" si="0"/>
        <v>0</v>
      </c>
    </row>
    <row r="13" spans="1:5">
      <c r="A13" s="48" t="s">
        <v>39</v>
      </c>
      <c r="B13" s="147">
        <f>SUM('מוצרים מובנים'!Z:Z)</f>
        <v>0</v>
      </c>
      <c r="C13" s="49"/>
      <c r="D13" s="49"/>
      <c r="E13" s="148">
        <f t="shared" si="0"/>
        <v>0</v>
      </c>
    </row>
    <row r="14" spans="1:5">
      <c r="A14" s="48" t="s">
        <v>41</v>
      </c>
      <c r="B14" s="147">
        <f>SUM('לא סחיר איגרות חוב ממשלתיות'!U:U)</f>
        <v>0</v>
      </c>
      <c r="C14" s="49"/>
      <c r="D14" s="49"/>
      <c r="E14" s="148">
        <f t="shared" si="0"/>
        <v>0</v>
      </c>
    </row>
    <row r="15" spans="1:5">
      <c r="A15" s="48" t="s">
        <v>42</v>
      </c>
      <c r="B15" s="147">
        <f>SUM('לא סחיר איגרות חוב מיועדות'!N:N)</f>
        <v>815615.46615000011</v>
      </c>
      <c r="C15" s="49"/>
      <c r="D15" s="49"/>
      <c r="E15" s="148">
        <f t="shared" si="0"/>
        <v>0.19816017704598526</v>
      </c>
    </row>
    <row r="16" spans="1:5" s="110" customFormat="1">
      <c r="A16" s="50" t="s">
        <v>667</v>
      </c>
      <c r="B16" s="147">
        <f>SUM('אפיק השקעה מובטח תשואה'!F:F)</f>
        <v>0</v>
      </c>
      <c r="C16" s="51"/>
      <c r="D16" s="51"/>
      <c r="E16" s="148">
        <f t="shared" si="0"/>
        <v>0</v>
      </c>
    </row>
    <row r="17" spans="1:5">
      <c r="A17" s="50" t="s">
        <v>43</v>
      </c>
      <c r="B17" s="147">
        <f>SUM('לא סחיר ניירות ערך מסחריים'!AI:AI)</f>
        <v>0</v>
      </c>
      <c r="C17" s="51"/>
      <c r="D17" s="51"/>
      <c r="E17" s="148">
        <f t="shared" si="0"/>
        <v>0</v>
      </c>
    </row>
    <row r="18" spans="1:5">
      <c r="A18" s="48" t="s">
        <v>44</v>
      </c>
      <c r="B18" s="147">
        <f>SUM('לא סחיר איגרות חוב'!AG:AG)</f>
        <v>14159.775039999997</v>
      </c>
      <c r="C18" s="49"/>
      <c r="D18" s="49"/>
      <c r="E18" s="148">
        <f t="shared" si="0"/>
        <v>3.4402284474846969E-3</v>
      </c>
    </row>
    <row r="19" spans="1:5">
      <c r="A19" s="48" t="s">
        <v>462</v>
      </c>
      <c r="B19" s="147">
        <f>SUM('לא סחיר מניות מבכ ויהש'!X:X)</f>
        <v>0</v>
      </c>
      <c r="C19" s="49"/>
      <c r="D19" s="49"/>
      <c r="E19" s="148">
        <f t="shared" si="0"/>
        <v>0</v>
      </c>
    </row>
    <row r="20" spans="1:5">
      <c r="A20" s="48" t="s">
        <v>45</v>
      </c>
      <c r="B20" s="147">
        <f>SUM('קרנות השקעה'!W:W)</f>
        <v>2505.4179600000002</v>
      </c>
      <c r="C20" s="49"/>
      <c r="D20" s="49"/>
      <c r="E20" s="148">
        <f t="shared" si="0"/>
        <v>6.0871095158522234E-4</v>
      </c>
    </row>
    <row r="21" spans="1:5">
      <c r="A21" s="48" t="s">
        <v>46</v>
      </c>
      <c r="B21" s="147">
        <f>SUM('לא סחיר כתבי אופציה'!Z:Z)</f>
        <v>0</v>
      </c>
      <c r="C21" s="49"/>
      <c r="D21" s="49"/>
      <c r="E21" s="148">
        <f t="shared" si="0"/>
        <v>0</v>
      </c>
    </row>
    <row r="22" spans="1:5">
      <c r="A22" s="48" t="s">
        <v>47</v>
      </c>
      <c r="B22" s="147">
        <f>SUM('לא סחיר אופציות'!Z:Z)</f>
        <v>0</v>
      </c>
      <c r="C22" s="49"/>
      <c r="D22" s="49"/>
      <c r="E22" s="148">
        <f t="shared" si="0"/>
        <v>0</v>
      </c>
    </row>
    <row r="23" spans="1:5">
      <c r="A23" s="48" t="s">
        <v>461</v>
      </c>
      <c r="B23" s="147">
        <f>SUM('לא סחיר נגזרים אחרים'!R:R)</f>
        <v>3782.4277988799995</v>
      </c>
      <c r="C23" s="49"/>
      <c r="D23" s="49"/>
      <c r="E23" s="148">
        <f t="shared" si="0"/>
        <v>9.189705117139985E-4</v>
      </c>
    </row>
    <row r="24" spans="1:5">
      <c r="A24" s="48" t="s">
        <v>48</v>
      </c>
      <c r="B24" s="147">
        <f>SUM(הלוואות!AT:AT)</f>
        <v>18338.507889999993</v>
      </c>
      <c r="C24" s="49"/>
      <c r="D24" s="49"/>
      <c r="E24" s="148">
        <f t="shared" si="0"/>
        <v>4.4554843808874917E-3</v>
      </c>
    </row>
    <row r="25" spans="1:5">
      <c r="A25" s="48" t="s">
        <v>49</v>
      </c>
      <c r="B25" s="147">
        <f>SUM('לא סחיר מוצרים מובנים'!AB:AB)</f>
        <v>0</v>
      </c>
      <c r="C25" s="49"/>
      <c r="D25" s="49"/>
      <c r="E25" s="148">
        <f t="shared" si="0"/>
        <v>0</v>
      </c>
    </row>
    <row r="26" spans="1:5">
      <c r="A26" s="48" t="s">
        <v>50</v>
      </c>
      <c r="B26" s="147">
        <f>SUM('פיקדונות מעל 3 חודשים'!T:T)</f>
        <v>27874.718199999999</v>
      </c>
      <c r="C26" s="49"/>
      <c r="D26" s="49"/>
      <c r="E26" s="148">
        <f t="shared" si="0"/>
        <v>6.7723814994492624E-3</v>
      </c>
    </row>
    <row r="27" spans="1:5">
      <c r="A27" s="48" t="s">
        <v>51</v>
      </c>
      <c r="B27" s="147">
        <f>SUM('זכויות מקרקעין'!S:S)</f>
        <v>0</v>
      </c>
      <c r="C27" s="49"/>
      <c r="D27" s="49"/>
      <c r="E27" s="148">
        <f t="shared" si="0"/>
        <v>0</v>
      </c>
    </row>
    <row r="28" spans="1:5">
      <c r="A28" s="48" t="s">
        <v>506</v>
      </c>
      <c r="B28" s="147">
        <f>SUM('השקעה בחברות מוחזקות'!U:U)</f>
        <v>0</v>
      </c>
      <c r="C28" s="49"/>
      <c r="D28" s="49"/>
      <c r="E28" s="148">
        <f t="shared" si="0"/>
        <v>0</v>
      </c>
    </row>
    <row r="29" spans="1:5">
      <c r="A29" s="48" t="s">
        <v>52</v>
      </c>
      <c r="B29" s="169">
        <f>SUM('נכסים אחרים'!N:N)</f>
        <v>2101580.7044799998</v>
      </c>
      <c r="C29" s="141"/>
      <c r="D29" s="141"/>
      <c r="E29" s="148">
        <f t="shared" si="0"/>
        <v>0.51059552173768341</v>
      </c>
    </row>
    <row r="30" spans="1:5" ht="15.75" thickBot="1">
      <c r="A30" s="47" t="s">
        <v>603</v>
      </c>
      <c r="B30" s="168">
        <f>SUM(B3:B29)</f>
        <v>4115940.3383088801</v>
      </c>
      <c r="C30" s="142"/>
      <c r="D30" s="142"/>
      <c r="E30" s="149">
        <f t="shared" ref="E30" si="1">SUM(E3:E29)</f>
        <v>1</v>
      </c>
    </row>
    <row r="31" spans="1:5" s="110" customFormat="1" ht="13.5" thickTop="1">
      <c r="A31" s="50" t="s">
        <v>755</v>
      </c>
      <c r="B31" s="167">
        <v>65.317999999999998</v>
      </c>
      <c r="C31" s="51"/>
      <c r="D31" s="51"/>
      <c r="E31" s="51"/>
    </row>
    <row r="32" spans="1:5">
      <c r="A32" s="50" t="s">
        <v>756</v>
      </c>
      <c r="B32" s="51"/>
      <c r="C32" s="51"/>
      <c r="D32" s="51"/>
      <c r="E32" s="5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8"/>
  <sheetViews>
    <sheetView rightToLeft="1" workbookViewId="0">
      <selection activeCell="H30" sqref="H30"/>
    </sheetView>
  </sheetViews>
  <sheetFormatPr defaultColWidth="0" defaultRowHeight="14.25"/>
  <cols>
    <col min="1" max="2" width="10.625" style="2" bestFit="1" customWidth="1"/>
    <col min="3" max="3" width="11" style="2" bestFit="1" customWidth="1"/>
    <col min="4" max="4" width="10.75" style="2" bestFit="1" customWidth="1"/>
    <col min="5" max="5" width="9.125" style="4" bestFit="1" customWidth="1"/>
    <col min="6" max="6" width="36.125" style="2" bestFit="1" customWidth="1"/>
    <col min="7" max="7" width="10" style="2" bestFit="1" customWidth="1"/>
    <col min="8" max="8" width="11" style="2" bestFit="1" customWidth="1"/>
    <col min="9" max="9" width="9.625" style="2" bestFit="1" customWidth="1"/>
    <col min="10" max="10" width="10.125" style="2" bestFit="1" customWidth="1"/>
    <col min="11" max="11" width="11.25" style="2" bestFit="1" customWidth="1"/>
    <col min="12" max="12" width="11" style="2" bestFit="1" customWidth="1"/>
    <col min="13" max="13" width="9.875" style="2" bestFit="1" customWidth="1"/>
    <col min="14" max="14" width="10.625" style="2" bestFit="1" customWidth="1"/>
    <col min="15" max="15" width="11" style="2" bestFit="1" customWidth="1"/>
    <col min="16" max="16" width="11.125" style="2" bestFit="1" customWidth="1"/>
    <col min="17" max="17" width="10" style="2" bestFit="1" customWidth="1"/>
    <col min="18" max="18" width="11.625" style="2" hidden="1" customWidth="1"/>
    <col min="19" max="16384" width="9" style="2" hidden="1"/>
  </cols>
  <sheetData>
    <row r="1" spans="1:17" s="3" customFormat="1" ht="51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604</v>
      </c>
      <c r="H1" s="17" t="s">
        <v>606</v>
      </c>
      <c r="I1" s="17" t="s">
        <v>772</v>
      </c>
      <c r="J1" s="17" t="s">
        <v>8</v>
      </c>
      <c r="K1" s="17" t="s">
        <v>396</v>
      </c>
      <c r="L1" s="17" t="s">
        <v>922</v>
      </c>
      <c r="M1" s="17" t="s">
        <v>11</v>
      </c>
      <c r="N1" s="17" t="s">
        <v>14</v>
      </c>
      <c r="O1" s="17" t="s">
        <v>1153</v>
      </c>
      <c r="P1" s="17" t="s">
        <v>19</v>
      </c>
      <c r="Q1" s="17" t="s">
        <v>30</v>
      </c>
    </row>
    <row r="2" spans="1:17">
      <c r="A2" s="155">
        <v>274</v>
      </c>
      <c r="B2" s="155">
        <v>274</v>
      </c>
      <c r="C2" t="s">
        <v>1215</v>
      </c>
      <c r="D2" t="s">
        <v>1216</v>
      </c>
      <c r="E2" t="s">
        <v>776</v>
      </c>
      <c r="F2" t="s">
        <v>218</v>
      </c>
      <c r="G2" t="s">
        <v>53</v>
      </c>
      <c r="H2" t="s">
        <v>62</v>
      </c>
      <c r="I2" t="s">
        <v>1217</v>
      </c>
      <c r="J2" t="s">
        <v>65</v>
      </c>
      <c r="K2" t="s">
        <v>1218</v>
      </c>
      <c r="L2" s="151">
        <v>218.92735999999999</v>
      </c>
      <c r="M2" s="151">
        <v>3.3719999999999999</v>
      </c>
      <c r="N2" s="154"/>
      <c r="O2" s="151">
        <v>738.22306000000003</v>
      </c>
      <c r="P2" s="154">
        <v>8.4580000000000002E-3</v>
      </c>
      <c r="Q2" s="154">
        <v>1.7899999999999999E-4</v>
      </c>
    </row>
    <row r="3" spans="1:17">
      <c r="A3" s="155">
        <v>274</v>
      </c>
      <c r="B3" s="155">
        <v>274</v>
      </c>
      <c r="C3" t="s">
        <v>1219</v>
      </c>
      <c r="D3" t="s">
        <v>1220</v>
      </c>
      <c r="E3" t="s">
        <v>776</v>
      </c>
      <c r="F3" t="s">
        <v>218</v>
      </c>
      <c r="G3" t="s">
        <v>53</v>
      </c>
      <c r="H3" t="s">
        <v>62</v>
      </c>
      <c r="I3" t="s">
        <v>1217</v>
      </c>
      <c r="J3" t="s">
        <v>65</v>
      </c>
      <c r="K3" t="s">
        <v>1221</v>
      </c>
      <c r="L3" s="151">
        <v>319.44623000000001</v>
      </c>
      <c r="M3" s="151">
        <v>0.53010000000000002</v>
      </c>
      <c r="N3" s="154"/>
      <c r="O3" s="151">
        <v>169.33844999999999</v>
      </c>
      <c r="P3" s="154">
        <v>1.9400000000000001E-3</v>
      </c>
      <c r="Q3" s="154">
        <v>4.1E-5</v>
      </c>
    </row>
    <row r="4" spans="1:17">
      <c r="A4" s="155">
        <v>274</v>
      </c>
      <c r="B4" s="155">
        <v>274</v>
      </c>
      <c r="C4" t="s">
        <v>1219</v>
      </c>
      <c r="D4" t="s">
        <v>1220</v>
      </c>
      <c r="E4" t="s">
        <v>776</v>
      </c>
      <c r="F4" t="s">
        <v>218</v>
      </c>
      <c r="G4" t="s">
        <v>53</v>
      </c>
      <c r="H4" t="s">
        <v>62</v>
      </c>
      <c r="I4" t="s">
        <v>1217</v>
      </c>
      <c r="J4" t="s">
        <v>65</v>
      </c>
      <c r="K4" t="s">
        <v>1218</v>
      </c>
      <c r="L4" s="151">
        <v>3729.46146</v>
      </c>
      <c r="M4" s="151">
        <v>3.3719999999999999</v>
      </c>
      <c r="N4" s="154"/>
      <c r="O4" s="151">
        <v>12575.744049999999</v>
      </c>
      <c r="P4" s="154">
        <v>0.14408899999999999</v>
      </c>
      <c r="Q4" s="154">
        <v>3.055E-3</v>
      </c>
    </row>
    <row r="5" spans="1:17">
      <c r="A5" s="155">
        <v>274</v>
      </c>
      <c r="B5" s="155">
        <v>274</v>
      </c>
      <c r="C5" t="s">
        <v>1219</v>
      </c>
      <c r="D5" t="s">
        <v>1220</v>
      </c>
      <c r="E5" t="s">
        <v>776</v>
      </c>
      <c r="F5" t="s">
        <v>213</v>
      </c>
      <c r="G5" t="s">
        <v>53</v>
      </c>
      <c r="H5" t="s">
        <v>62</v>
      </c>
      <c r="I5" t="s">
        <v>1217</v>
      </c>
      <c r="J5" t="s">
        <v>65</v>
      </c>
      <c r="K5" t="s">
        <v>1222</v>
      </c>
      <c r="L5" s="151">
        <v>27349.784619999999</v>
      </c>
      <c r="M5" s="151">
        <v>1</v>
      </c>
      <c r="N5" s="154"/>
      <c r="O5" s="151">
        <v>27349.784619999999</v>
      </c>
      <c r="P5" s="154">
        <v>0.313365</v>
      </c>
      <c r="Q5" s="154">
        <v>6.6439999999999997E-3</v>
      </c>
    </row>
    <row r="6" spans="1:17">
      <c r="A6" s="155">
        <v>274</v>
      </c>
      <c r="B6" s="155">
        <v>274</v>
      </c>
      <c r="C6" t="s">
        <v>1223</v>
      </c>
      <c r="D6" t="s">
        <v>1224</v>
      </c>
      <c r="E6" t="s">
        <v>776</v>
      </c>
      <c r="F6" t="s">
        <v>213</v>
      </c>
      <c r="G6" t="s">
        <v>53</v>
      </c>
      <c r="H6" t="s">
        <v>62</v>
      </c>
      <c r="I6" t="s">
        <v>1217</v>
      </c>
      <c r="J6" t="s">
        <v>65</v>
      </c>
      <c r="K6" t="s">
        <v>1222</v>
      </c>
      <c r="L6" s="151">
        <v>128.85151999999999</v>
      </c>
      <c r="M6" s="151">
        <v>1</v>
      </c>
      <c r="N6" s="154"/>
      <c r="O6" s="151">
        <v>128.85151999999999</v>
      </c>
      <c r="P6" s="154">
        <v>1.4760000000000001E-3</v>
      </c>
      <c r="Q6" s="154">
        <v>3.1000000000000001E-5</v>
      </c>
    </row>
    <row r="7" spans="1:17">
      <c r="A7" s="155">
        <v>274</v>
      </c>
      <c r="B7" s="155">
        <v>274</v>
      </c>
      <c r="C7" t="s">
        <v>1225</v>
      </c>
      <c r="D7" t="s">
        <v>1226</v>
      </c>
      <c r="E7" t="s">
        <v>776</v>
      </c>
      <c r="F7" t="s">
        <v>218</v>
      </c>
      <c r="G7" t="s">
        <v>53</v>
      </c>
      <c r="H7" t="s">
        <v>62</v>
      </c>
      <c r="I7" t="s">
        <v>1217</v>
      </c>
      <c r="J7" t="s">
        <v>65</v>
      </c>
      <c r="K7" t="s">
        <v>1227</v>
      </c>
      <c r="L7" s="151">
        <v>138.92349999999999</v>
      </c>
      <c r="M7" s="151">
        <v>4.6235999999999997</v>
      </c>
      <c r="N7" s="154"/>
      <c r="O7" s="151">
        <v>642.32668999999999</v>
      </c>
      <c r="P7" s="154">
        <v>7.3590000000000001E-3</v>
      </c>
      <c r="Q7" s="154">
        <v>1.56E-4</v>
      </c>
    </row>
    <row r="8" spans="1:17">
      <c r="A8" s="155">
        <v>274</v>
      </c>
      <c r="B8" s="155">
        <v>274</v>
      </c>
      <c r="C8" t="s">
        <v>1228</v>
      </c>
      <c r="D8" t="s">
        <v>1229</v>
      </c>
      <c r="E8" t="s">
        <v>776</v>
      </c>
      <c r="F8" t="s">
        <v>218</v>
      </c>
      <c r="G8" t="s">
        <v>53</v>
      </c>
      <c r="H8" t="s">
        <v>62</v>
      </c>
      <c r="I8" t="s">
        <v>1217</v>
      </c>
      <c r="J8" t="s">
        <v>65</v>
      </c>
      <c r="K8" t="s">
        <v>1218</v>
      </c>
      <c r="L8" s="151">
        <v>23.566569999999999</v>
      </c>
      <c r="M8" s="151">
        <v>3.3719999999999999</v>
      </c>
      <c r="N8" s="154"/>
      <c r="O8" s="151">
        <v>79.466470000000001</v>
      </c>
      <c r="P8" s="154">
        <v>9.1E-4</v>
      </c>
      <c r="Q8" s="154">
        <v>1.9000000000000001E-5</v>
      </c>
    </row>
    <row r="9" spans="1:17">
      <c r="A9" s="155">
        <v>274</v>
      </c>
      <c r="B9" s="155">
        <v>274</v>
      </c>
      <c r="C9" t="s">
        <v>1225</v>
      </c>
      <c r="D9" t="s">
        <v>1226</v>
      </c>
      <c r="E9" t="s">
        <v>776</v>
      </c>
      <c r="F9" t="s">
        <v>218</v>
      </c>
      <c r="G9" t="s">
        <v>53</v>
      </c>
      <c r="H9" t="s">
        <v>62</v>
      </c>
      <c r="I9" t="s">
        <v>1217</v>
      </c>
      <c r="J9" t="s">
        <v>65</v>
      </c>
      <c r="K9" t="s">
        <v>1221</v>
      </c>
      <c r="L9" s="151">
        <v>14.031090000000001</v>
      </c>
      <c r="M9" s="151">
        <v>0.53010000000000002</v>
      </c>
      <c r="N9" s="154"/>
      <c r="O9" s="151">
        <v>7.4378799999999998</v>
      </c>
      <c r="P9" s="154">
        <v>8.5000000000000006E-5</v>
      </c>
      <c r="Q9" s="154">
        <v>9.9999999999999995E-7</v>
      </c>
    </row>
    <row r="10" spans="1:17">
      <c r="A10" s="155">
        <v>274</v>
      </c>
      <c r="B10" s="155">
        <v>274</v>
      </c>
      <c r="C10" t="s">
        <v>1219</v>
      </c>
      <c r="D10" t="s">
        <v>1220</v>
      </c>
      <c r="E10" t="s">
        <v>776</v>
      </c>
      <c r="F10" t="s">
        <v>218</v>
      </c>
      <c r="G10" t="s">
        <v>53</v>
      </c>
      <c r="H10" t="s">
        <v>62</v>
      </c>
      <c r="I10" t="s">
        <v>1217</v>
      </c>
      <c r="J10" t="s">
        <v>65</v>
      </c>
      <c r="K10" t="s">
        <v>1230</v>
      </c>
      <c r="L10" s="151">
        <v>18.88165</v>
      </c>
      <c r="M10" s="151">
        <v>2.4674</v>
      </c>
      <c r="N10" s="154"/>
      <c r="O10" s="151">
        <v>46.58858</v>
      </c>
      <c r="P10" s="154">
        <v>5.3300000000000005E-4</v>
      </c>
      <c r="Q10" s="154">
        <v>1.1E-5</v>
      </c>
    </row>
    <row r="11" spans="1:17">
      <c r="A11" s="155">
        <v>274</v>
      </c>
      <c r="B11" s="155">
        <v>274</v>
      </c>
      <c r="C11" t="s">
        <v>1219</v>
      </c>
      <c r="D11" t="s">
        <v>1220</v>
      </c>
      <c r="E11" t="s">
        <v>776</v>
      </c>
      <c r="F11" t="s">
        <v>218</v>
      </c>
      <c r="G11" t="s">
        <v>53</v>
      </c>
      <c r="H11" t="s">
        <v>62</v>
      </c>
      <c r="I11" t="s">
        <v>1217</v>
      </c>
      <c r="J11" t="s">
        <v>65</v>
      </c>
      <c r="K11" t="s">
        <v>1227</v>
      </c>
      <c r="L11" s="151">
        <v>16.01492</v>
      </c>
      <c r="M11" s="151">
        <v>4.6235999999999997</v>
      </c>
      <c r="N11" s="154"/>
      <c r="O11" s="151">
        <v>74.046580000000006</v>
      </c>
      <c r="P11" s="154">
        <v>8.4800000000000001E-4</v>
      </c>
      <c r="Q11" s="154">
        <v>1.7E-5</v>
      </c>
    </row>
    <row r="12" spans="1:17">
      <c r="A12" s="155">
        <v>274</v>
      </c>
      <c r="B12" s="155">
        <v>274</v>
      </c>
      <c r="C12" t="s">
        <v>1223</v>
      </c>
      <c r="D12" t="s">
        <v>1224</v>
      </c>
      <c r="E12" t="s">
        <v>776</v>
      </c>
      <c r="F12" t="s">
        <v>218</v>
      </c>
      <c r="G12" t="s">
        <v>53</v>
      </c>
      <c r="H12" t="s">
        <v>62</v>
      </c>
      <c r="I12" t="s">
        <v>1217</v>
      </c>
      <c r="J12" t="s">
        <v>65</v>
      </c>
      <c r="K12" t="s">
        <v>1218</v>
      </c>
      <c r="L12" s="151">
        <v>21.194759999999999</v>
      </c>
      <c r="M12" s="151">
        <v>3.3719999999999999</v>
      </c>
      <c r="N12" s="154"/>
      <c r="O12" s="151">
        <v>71.468729999999994</v>
      </c>
      <c r="P12" s="154">
        <v>8.1800000000000004E-4</v>
      </c>
      <c r="Q12" s="154">
        <v>1.7E-5</v>
      </c>
    </row>
    <row r="13" spans="1:17">
      <c r="A13" s="155">
        <v>274</v>
      </c>
      <c r="B13" s="155">
        <v>274</v>
      </c>
      <c r="C13" t="s">
        <v>1215</v>
      </c>
      <c r="D13" t="s">
        <v>1216</v>
      </c>
      <c r="E13" t="s">
        <v>776</v>
      </c>
      <c r="F13" t="s">
        <v>219</v>
      </c>
      <c r="G13" t="s">
        <v>53</v>
      </c>
      <c r="H13" t="s">
        <v>62</v>
      </c>
      <c r="I13" t="s">
        <v>1217</v>
      </c>
      <c r="J13" t="s">
        <v>65</v>
      </c>
      <c r="K13" t="s">
        <v>1222</v>
      </c>
      <c r="L13" s="151">
        <v>8354.7343700000001</v>
      </c>
      <c r="M13" s="151">
        <v>1</v>
      </c>
      <c r="N13" s="154"/>
      <c r="O13" s="151">
        <v>8354.7343700000001</v>
      </c>
      <c r="P13" s="154">
        <v>9.5726000000000006E-2</v>
      </c>
      <c r="Q13" s="154">
        <v>2.029E-3</v>
      </c>
    </row>
    <row r="14" spans="1:17">
      <c r="A14" s="155">
        <v>274</v>
      </c>
      <c r="B14" s="155">
        <v>274</v>
      </c>
      <c r="C14" t="s">
        <v>1215</v>
      </c>
      <c r="D14" t="s">
        <v>1216</v>
      </c>
      <c r="E14" t="s">
        <v>776</v>
      </c>
      <c r="F14" t="s">
        <v>218</v>
      </c>
      <c r="G14" t="s">
        <v>53</v>
      </c>
      <c r="H14" t="s">
        <v>62</v>
      </c>
      <c r="I14" t="s">
        <v>1217</v>
      </c>
      <c r="J14" t="s">
        <v>65</v>
      </c>
      <c r="K14" t="s">
        <v>1231</v>
      </c>
      <c r="L14" s="151">
        <v>21.887869999999999</v>
      </c>
      <c r="M14" s="151">
        <v>3.9552</v>
      </c>
      <c r="N14" s="154"/>
      <c r="O14" s="151">
        <v>86.570899999999995</v>
      </c>
      <c r="P14" s="154">
        <v>9.9099999999999991E-4</v>
      </c>
      <c r="Q14" s="154">
        <v>2.0999999999999999E-5</v>
      </c>
    </row>
    <row r="15" spans="1:17">
      <c r="A15" s="155">
        <v>274</v>
      </c>
      <c r="B15" s="155">
        <v>274</v>
      </c>
      <c r="C15" t="s">
        <v>1228</v>
      </c>
      <c r="D15" t="s">
        <v>1229</v>
      </c>
      <c r="E15" t="s">
        <v>776</v>
      </c>
      <c r="F15" t="s">
        <v>218</v>
      </c>
      <c r="G15" t="s">
        <v>53</v>
      </c>
      <c r="H15" t="s">
        <v>62</v>
      </c>
      <c r="I15" t="s">
        <v>1217</v>
      </c>
      <c r="J15" t="s">
        <v>65</v>
      </c>
      <c r="K15" t="s">
        <v>1231</v>
      </c>
      <c r="L15" s="151">
        <v>0.1</v>
      </c>
      <c r="M15" s="151">
        <v>3.9552</v>
      </c>
      <c r="N15" s="154"/>
      <c r="O15" s="151">
        <v>0.39551999999999998</v>
      </c>
      <c r="P15" s="154">
        <v>3.9999999999999998E-6</v>
      </c>
      <c r="Q15" s="154">
        <v>0</v>
      </c>
    </row>
    <row r="16" spans="1:17">
      <c r="A16" s="155">
        <v>274</v>
      </c>
      <c r="B16" s="155">
        <v>274</v>
      </c>
      <c r="C16" t="s">
        <v>1225</v>
      </c>
      <c r="D16" t="s">
        <v>1226</v>
      </c>
      <c r="E16" t="s">
        <v>776</v>
      </c>
      <c r="F16" t="s">
        <v>218</v>
      </c>
      <c r="G16" t="s">
        <v>53</v>
      </c>
      <c r="H16" t="s">
        <v>62</v>
      </c>
      <c r="I16" t="s">
        <v>1217</v>
      </c>
      <c r="J16" t="s">
        <v>65</v>
      </c>
      <c r="K16" t="s">
        <v>1230</v>
      </c>
      <c r="L16" s="151">
        <v>23.096419999999998</v>
      </c>
      <c r="M16" s="151">
        <v>2.4674</v>
      </c>
      <c r="N16" s="154"/>
      <c r="O16" s="151">
        <v>56.988109999999999</v>
      </c>
      <c r="P16" s="154">
        <v>6.5200000000000002E-4</v>
      </c>
      <c r="Q16" s="154">
        <v>1.2999999999999999E-5</v>
      </c>
    </row>
    <row r="17" spans="1:17">
      <c r="A17" s="155">
        <v>274</v>
      </c>
      <c r="B17" s="155">
        <v>274</v>
      </c>
      <c r="C17" t="s">
        <v>1225</v>
      </c>
      <c r="D17" t="s">
        <v>1226</v>
      </c>
      <c r="E17" t="s">
        <v>776</v>
      </c>
      <c r="F17" t="s">
        <v>214</v>
      </c>
      <c r="G17" t="s">
        <v>53</v>
      </c>
      <c r="H17" t="s">
        <v>62</v>
      </c>
      <c r="I17" t="s">
        <v>1217</v>
      </c>
      <c r="J17" t="s">
        <v>65</v>
      </c>
      <c r="K17" t="s">
        <v>1222</v>
      </c>
      <c r="L17" s="151">
        <v>26012.451509999999</v>
      </c>
      <c r="M17" s="151">
        <v>1</v>
      </c>
      <c r="N17" s="154"/>
      <c r="O17" s="151">
        <v>26012.451509999999</v>
      </c>
      <c r="P17" s="154">
        <v>0.298043</v>
      </c>
      <c r="Q17" s="154">
        <v>6.319E-3</v>
      </c>
    </row>
    <row r="18" spans="1:17">
      <c r="A18" s="155">
        <v>274</v>
      </c>
      <c r="B18" s="155">
        <v>274</v>
      </c>
      <c r="C18" t="s">
        <v>1225</v>
      </c>
      <c r="D18" t="s">
        <v>1226</v>
      </c>
      <c r="E18" t="s">
        <v>776</v>
      </c>
      <c r="F18" t="s">
        <v>218</v>
      </c>
      <c r="G18" t="s">
        <v>53</v>
      </c>
      <c r="H18" t="s">
        <v>62</v>
      </c>
      <c r="I18" t="s">
        <v>1217</v>
      </c>
      <c r="J18" t="s">
        <v>65</v>
      </c>
      <c r="K18" t="s">
        <v>1218</v>
      </c>
      <c r="L18" s="151">
        <v>276.93534</v>
      </c>
      <c r="M18" s="151">
        <v>3.3719999999999999</v>
      </c>
      <c r="N18" s="154"/>
      <c r="O18" s="151">
        <v>933.82596999999998</v>
      </c>
      <c r="P18" s="154">
        <v>1.0699E-2</v>
      </c>
      <c r="Q18" s="154">
        <v>2.2599999999999999E-4</v>
      </c>
    </row>
    <row r="19" spans="1:17">
      <c r="A19" s="155">
        <v>274</v>
      </c>
      <c r="B19" s="155">
        <v>274</v>
      </c>
      <c r="C19" t="s">
        <v>1225</v>
      </c>
      <c r="D19" t="s">
        <v>1226</v>
      </c>
      <c r="E19" t="s">
        <v>776</v>
      </c>
      <c r="F19" t="s">
        <v>218</v>
      </c>
      <c r="G19" t="s">
        <v>53</v>
      </c>
      <c r="H19" t="s">
        <v>62</v>
      </c>
      <c r="I19" t="s">
        <v>1217</v>
      </c>
      <c r="J19" t="s">
        <v>65</v>
      </c>
      <c r="K19" t="s">
        <v>1232</v>
      </c>
      <c r="L19" s="151">
        <v>26.783449999999998</v>
      </c>
      <c r="M19" s="151">
        <v>2.2031999999999998</v>
      </c>
      <c r="N19" s="154"/>
      <c r="O19" s="151">
        <v>59.009300000000003</v>
      </c>
      <c r="P19" s="154">
        <v>6.7599999999999995E-4</v>
      </c>
      <c r="Q19" s="154">
        <v>1.4E-5</v>
      </c>
    </row>
    <row r="20" spans="1:17">
      <c r="A20" s="155">
        <v>274</v>
      </c>
      <c r="B20" s="155">
        <v>274</v>
      </c>
      <c r="C20" t="s">
        <v>1225</v>
      </c>
      <c r="D20" t="s">
        <v>1226</v>
      </c>
      <c r="E20" t="s">
        <v>776</v>
      </c>
      <c r="F20" t="s">
        <v>213</v>
      </c>
      <c r="G20" t="s">
        <v>53</v>
      </c>
      <c r="H20" t="s">
        <v>62</v>
      </c>
      <c r="I20" t="s">
        <v>1217</v>
      </c>
      <c r="J20" t="s">
        <v>65</v>
      </c>
      <c r="K20" t="s">
        <v>1222</v>
      </c>
      <c r="L20" s="151">
        <v>4762.9912999999997</v>
      </c>
      <c r="M20" s="151">
        <v>1</v>
      </c>
      <c r="N20" s="154"/>
      <c r="O20" s="151">
        <v>4762.9912999999997</v>
      </c>
      <c r="P20" s="154">
        <v>5.4572000000000002E-2</v>
      </c>
      <c r="Q20" s="154">
        <v>1.157E-3</v>
      </c>
    </row>
    <row r="21" spans="1:17" s="36" customFormat="1">
      <c r="A21" s="155">
        <v>274</v>
      </c>
      <c r="B21" s="155">
        <v>274</v>
      </c>
      <c r="C21" t="s">
        <v>1228</v>
      </c>
      <c r="D21" t="s">
        <v>1229</v>
      </c>
      <c r="E21" t="s">
        <v>776</v>
      </c>
      <c r="F21" t="s">
        <v>213</v>
      </c>
      <c r="G21" t="s">
        <v>53</v>
      </c>
      <c r="H21" t="s">
        <v>62</v>
      </c>
      <c r="I21" t="s">
        <v>1217</v>
      </c>
      <c r="J21" t="s">
        <v>65</v>
      </c>
      <c r="K21" t="s">
        <v>1222</v>
      </c>
      <c r="L21" s="151">
        <v>362.28872000000001</v>
      </c>
      <c r="M21" s="151">
        <v>1</v>
      </c>
      <c r="N21" s="154"/>
      <c r="O21" s="151">
        <v>362.28872000000001</v>
      </c>
      <c r="P21" s="154">
        <v>4.1510000000000002E-3</v>
      </c>
      <c r="Q21" s="154">
        <v>8.7999999999999998E-5</v>
      </c>
    </row>
    <row r="22" spans="1:17">
      <c r="A22" s="155">
        <v>274</v>
      </c>
      <c r="B22" s="155">
        <v>274</v>
      </c>
      <c r="C22" t="s">
        <v>1225</v>
      </c>
      <c r="D22" t="s">
        <v>1226</v>
      </c>
      <c r="E22" t="s">
        <v>776</v>
      </c>
      <c r="F22" t="s">
        <v>218</v>
      </c>
      <c r="G22" t="s">
        <v>53</v>
      </c>
      <c r="H22" t="s">
        <v>62</v>
      </c>
      <c r="I22" t="s">
        <v>1217</v>
      </c>
      <c r="J22" t="s">
        <v>65</v>
      </c>
      <c r="K22" t="s">
        <v>1233</v>
      </c>
      <c r="L22" s="151">
        <v>1888.6914999999999</v>
      </c>
      <c r="M22" s="151">
        <v>2.3369000000000001E-2</v>
      </c>
      <c r="N22" s="154"/>
      <c r="O22" s="151">
        <v>44.136830000000003</v>
      </c>
      <c r="P22" s="154">
        <v>5.0500000000000002E-4</v>
      </c>
      <c r="Q22" s="154">
        <v>1.0000000000000001E-5</v>
      </c>
    </row>
    <row r="23" spans="1:17">
      <c r="A23" s="155">
        <v>274</v>
      </c>
      <c r="B23" s="155">
        <v>274</v>
      </c>
      <c r="C23" t="s">
        <v>1215</v>
      </c>
      <c r="D23" t="s">
        <v>1216</v>
      </c>
      <c r="E23" t="s">
        <v>776</v>
      </c>
      <c r="F23" t="s">
        <v>213</v>
      </c>
      <c r="G23" t="s">
        <v>53</v>
      </c>
      <c r="H23" t="s">
        <v>62</v>
      </c>
      <c r="I23" t="s">
        <v>1217</v>
      </c>
      <c r="J23" t="s">
        <v>65</v>
      </c>
      <c r="K23" t="s">
        <v>1222</v>
      </c>
      <c r="L23" s="151">
        <v>3.0034999999999998</v>
      </c>
      <c r="M23" s="151">
        <v>1</v>
      </c>
      <c r="N23" s="154"/>
      <c r="O23" s="151">
        <v>3.0034999999999998</v>
      </c>
      <c r="P23" s="154">
        <v>3.4E-5</v>
      </c>
      <c r="Q23" s="154">
        <v>0</v>
      </c>
    </row>
    <row r="24" spans="1:17">
      <c r="A24" s="155">
        <v>274</v>
      </c>
      <c r="B24" s="155">
        <v>274</v>
      </c>
      <c r="C24" t="s">
        <v>1219</v>
      </c>
      <c r="D24" t="s">
        <v>1220</v>
      </c>
      <c r="E24" t="s">
        <v>776</v>
      </c>
      <c r="F24" t="s">
        <v>218</v>
      </c>
      <c r="G24" t="s">
        <v>53</v>
      </c>
      <c r="H24" t="s">
        <v>62</v>
      </c>
      <c r="I24" t="s">
        <v>1217</v>
      </c>
      <c r="J24" t="s">
        <v>65</v>
      </c>
      <c r="K24" t="s">
        <v>1231</v>
      </c>
      <c r="L24" s="151">
        <v>298.95569999999998</v>
      </c>
      <c r="M24" s="151">
        <v>3.9552</v>
      </c>
      <c r="N24" s="154"/>
      <c r="O24" s="151">
        <v>1182.42958</v>
      </c>
      <c r="P24" s="154">
        <v>1.3547E-2</v>
      </c>
      <c r="Q24" s="154">
        <v>2.8699999999999998E-4</v>
      </c>
    </row>
    <row r="25" spans="1:17">
      <c r="A25" s="155">
        <v>274</v>
      </c>
      <c r="B25" s="155">
        <v>274</v>
      </c>
      <c r="C25" t="s">
        <v>1215</v>
      </c>
      <c r="D25" t="s">
        <v>1216</v>
      </c>
      <c r="E25" t="s">
        <v>776</v>
      </c>
      <c r="F25" t="s">
        <v>218</v>
      </c>
      <c r="G25" t="s">
        <v>53</v>
      </c>
      <c r="H25" t="s">
        <v>62</v>
      </c>
      <c r="I25" t="s">
        <v>1217</v>
      </c>
      <c r="J25" t="s">
        <v>65</v>
      </c>
      <c r="K25" t="s">
        <v>1227</v>
      </c>
      <c r="L25" s="151">
        <v>2.9341599999999999</v>
      </c>
      <c r="M25" s="151">
        <v>4.6235999999999997</v>
      </c>
      <c r="N25" s="154"/>
      <c r="O25" s="151">
        <v>13.566380000000001</v>
      </c>
      <c r="P25" s="154">
        <v>1.55E-4</v>
      </c>
      <c r="Q25" s="154">
        <v>3.0000000000000001E-6</v>
      </c>
    </row>
    <row r="26" spans="1:17">
      <c r="A26" s="155">
        <v>274</v>
      </c>
      <c r="B26" s="155">
        <v>274</v>
      </c>
      <c r="C26" t="s">
        <v>1215</v>
      </c>
      <c r="D26" t="s">
        <v>1216</v>
      </c>
      <c r="E26" t="s">
        <v>776</v>
      </c>
      <c r="F26" t="s">
        <v>216</v>
      </c>
      <c r="G26" t="s">
        <v>53</v>
      </c>
      <c r="H26" t="s">
        <v>62</v>
      </c>
      <c r="I26" t="s">
        <v>1217</v>
      </c>
      <c r="J26" t="s">
        <v>65</v>
      </c>
      <c r="K26" t="s">
        <v>1218</v>
      </c>
      <c r="L26" s="151">
        <v>1000.69041</v>
      </c>
      <c r="M26" s="151">
        <v>3.3719999999999999</v>
      </c>
      <c r="N26" s="154"/>
      <c r="O26" s="151">
        <v>3374.32807</v>
      </c>
      <c r="P26" s="154">
        <v>3.8662000000000002E-2</v>
      </c>
      <c r="Q26" s="154">
        <v>8.1899999999999996E-4</v>
      </c>
    </row>
    <row r="27" spans="1:17">
      <c r="A27" s="155">
        <v>274</v>
      </c>
      <c r="B27" s="155">
        <v>274</v>
      </c>
      <c r="C27" t="s">
        <v>1219</v>
      </c>
      <c r="D27" t="s">
        <v>1220</v>
      </c>
      <c r="E27" t="s">
        <v>776</v>
      </c>
      <c r="F27" t="s">
        <v>218</v>
      </c>
      <c r="G27" t="s">
        <v>53</v>
      </c>
      <c r="H27" t="s">
        <v>62</v>
      </c>
      <c r="I27" t="s">
        <v>1217</v>
      </c>
      <c r="J27" t="s">
        <v>65</v>
      </c>
      <c r="K27" t="s">
        <v>1233</v>
      </c>
      <c r="L27" s="151">
        <v>2429.0479999999998</v>
      </c>
      <c r="M27" s="151">
        <v>2.3369000000000001E-2</v>
      </c>
      <c r="N27" s="154"/>
      <c r="O27" s="151">
        <v>56.764420000000001</v>
      </c>
      <c r="P27" s="154">
        <v>6.4999999999999997E-4</v>
      </c>
      <c r="Q27" s="154">
        <v>1.2999999999999999E-5</v>
      </c>
    </row>
    <row r="28" spans="1:17">
      <c r="A28" s="155">
        <v>274</v>
      </c>
      <c r="B28" s="155">
        <v>274</v>
      </c>
      <c r="C28" t="s">
        <v>1225</v>
      </c>
      <c r="D28" t="s">
        <v>1226</v>
      </c>
      <c r="E28" t="s">
        <v>776</v>
      </c>
      <c r="F28" t="s">
        <v>218</v>
      </c>
      <c r="G28" t="s">
        <v>53</v>
      </c>
      <c r="H28" t="s">
        <v>62</v>
      </c>
      <c r="I28" t="s">
        <v>1217</v>
      </c>
      <c r="J28" t="s">
        <v>65</v>
      </c>
      <c r="K28" t="s">
        <v>1231</v>
      </c>
      <c r="L28" s="151">
        <v>22.924769999999999</v>
      </c>
      <c r="M28" s="151">
        <v>3.9552</v>
      </c>
      <c r="N28" s="154"/>
      <c r="O28" s="151">
        <v>90.672049999999999</v>
      </c>
      <c r="P28" s="154">
        <v>1.0380000000000001E-3</v>
      </c>
      <c r="Q28" s="154">
        <v>2.1999999999999999E-5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disablePrompts="1"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2" sqref="A22"/>
    </sheetView>
  </sheetViews>
  <sheetFormatPr defaultColWidth="0" defaultRowHeight="14.25"/>
  <cols>
    <col min="1" max="2" width="10.625" style="4" bestFit="1" customWidth="1"/>
    <col min="3" max="3" width="15" style="4" bestFit="1" customWidth="1"/>
    <col min="4" max="4" width="19.25" style="4" bestFit="1" customWidth="1"/>
    <col min="5" max="5" width="13.875" style="4" bestFit="1" customWidth="1"/>
    <col min="6" max="6" width="36" style="4" bestFit="1" customWidth="1"/>
    <col min="7" max="7" width="10" style="4" bestFit="1" customWidth="1"/>
    <col min="8" max="8" width="9.25" style="4" bestFit="1" customWidth="1"/>
    <col min="9" max="9" width="9.625" style="4" bestFit="1" customWidth="1"/>
    <col min="10" max="10" width="5.125" style="4" bestFit="1" customWidth="1"/>
    <col min="11" max="11" width="10.125" style="4" bestFit="1" customWidth="1"/>
    <col min="12" max="12" width="11.25" style="4" bestFit="1" customWidth="1"/>
    <col min="13" max="13" width="7.375" style="4" bestFit="1" customWidth="1"/>
    <col min="14" max="14" width="10.75" style="4" bestFit="1" customWidth="1"/>
    <col min="15" max="15" width="10.625" style="4" bestFit="1" customWidth="1"/>
    <col min="16" max="16" width="7.125" style="4" bestFit="1" customWidth="1"/>
    <col min="17" max="17" width="10.25" style="4" bestFit="1" customWidth="1"/>
    <col min="18" max="18" width="15.75" style="4" bestFit="1" customWidth="1"/>
    <col min="19" max="19" width="9.875" style="4" bestFit="1" customWidth="1"/>
    <col min="20" max="20" width="8.375" style="4" bestFit="1" customWidth="1"/>
    <col min="21" max="21" width="12" style="4" bestFit="1" customWidth="1"/>
    <col min="22" max="22" width="10.875" style="4" bestFit="1" customWidth="1"/>
    <col min="23" max="23" width="10.125" style="4" bestFit="1" customWidth="1"/>
    <col min="24" max="24" width="10.875" style="4" bestFit="1" customWidth="1"/>
    <col min="25" max="25" width="11.125" style="4" bestFit="1" customWidth="1"/>
    <col min="26" max="26" width="10" style="4" bestFit="1" customWidth="1"/>
    <col min="27" max="30" width="11.625" style="4" hidden="1" customWidth="1"/>
    <col min="31" max="16384" width="9" style="4" hidden="1"/>
  </cols>
  <sheetData>
    <row r="1" spans="1:26" ht="51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1</v>
      </c>
      <c r="G1" s="17" t="s">
        <v>604</v>
      </c>
      <c r="H1" s="17" t="s">
        <v>605</v>
      </c>
      <c r="I1" s="17" t="s">
        <v>5</v>
      </c>
      <c r="J1" s="17" t="s">
        <v>6</v>
      </c>
      <c r="K1" s="17" t="s">
        <v>8</v>
      </c>
      <c r="L1" s="17" t="s">
        <v>396</v>
      </c>
      <c r="M1" s="17" t="s">
        <v>13</v>
      </c>
      <c r="N1" s="17" t="s">
        <v>421</v>
      </c>
      <c r="O1" s="17" t="s">
        <v>14</v>
      </c>
      <c r="P1" s="17" t="s">
        <v>621</v>
      </c>
      <c r="Q1" s="150" t="s">
        <v>938</v>
      </c>
      <c r="R1" s="17" t="s">
        <v>773</v>
      </c>
      <c r="S1" s="17" t="s">
        <v>11</v>
      </c>
      <c r="T1" s="17" t="s">
        <v>15</v>
      </c>
      <c r="U1" s="17" t="s">
        <v>1153</v>
      </c>
      <c r="V1" s="150" t="s">
        <v>1154</v>
      </c>
      <c r="W1" s="17" t="s">
        <v>26</v>
      </c>
      <c r="X1" s="17" t="s">
        <v>18</v>
      </c>
      <c r="Y1" s="17" t="s">
        <v>19</v>
      </c>
      <c r="Z1" s="17" t="s">
        <v>30</v>
      </c>
    </row>
    <row r="2" spans="1:26">
      <c r="A2" s="155">
        <v>274</v>
      </c>
      <c r="B2" s="155">
        <v>274</v>
      </c>
      <c r="C2" t="s">
        <v>1234</v>
      </c>
      <c r="D2" t="s">
        <v>1235</v>
      </c>
      <c r="E2" s="155" t="s">
        <v>1236</v>
      </c>
      <c r="F2" t="s">
        <v>223</v>
      </c>
      <c r="G2" t="s">
        <v>53</v>
      </c>
      <c r="H2" t="s">
        <v>53</v>
      </c>
      <c r="I2" t="s">
        <v>311</v>
      </c>
      <c r="J2" t="s">
        <v>1237</v>
      </c>
      <c r="K2" t="s">
        <v>65</v>
      </c>
      <c r="L2" t="s">
        <v>1222</v>
      </c>
      <c r="M2" s="151">
        <v>11.43</v>
      </c>
      <c r="N2" s="156">
        <v>51897</v>
      </c>
      <c r="O2" s="154">
        <v>5.5E-2</v>
      </c>
      <c r="P2" s="154">
        <v>4.3499999999999997E-2</v>
      </c>
      <c r="Q2" s="151"/>
      <c r="R2" s="151">
        <v>1808829</v>
      </c>
      <c r="S2" s="151">
        <v>1</v>
      </c>
      <c r="T2" s="151">
        <v>115.63</v>
      </c>
      <c r="U2" s="151">
        <v>2091.5489699999998</v>
      </c>
      <c r="V2" s="151"/>
      <c r="W2"/>
      <c r="X2" s="154">
        <v>6.2000000000000003E-5</v>
      </c>
      <c r="Y2" s="154">
        <v>4.1110000000000001E-3</v>
      </c>
      <c r="Z2" s="154">
        <v>5.0799999999999999E-4</v>
      </c>
    </row>
    <row r="3" spans="1:26">
      <c r="A3" s="155">
        <v>274</v>
      </c>
      <c r="B3" s="155">
        <v>274</v>
      </c>
      <c r="C3" t="s">
        <v>1234</v>
      </c>
      <c r="D3" t="s">
        <v>1238</v>
      </c>
      <c r="E3" s="155" t="s">
        <v>1239</v>
      </c>
      <c r="F3" t="s">
        <v>221</v>
      </c>
      <c r="G3" t="s">
        <v>53</v>
      </c>
      <c r="H3" t="s">
        <v>53</v>
      </c>
      <c r="I3" t="s">
        <v>311</v>
      </c>
      <c r="J3" t="s">
        <v>1237</v>
      </c>
      <c r="K3" t="s">
        <v>65</v>
      </c>
      <c r="L3" t="s">
        <v>1222</v>
      </c>
      <c r="M3" s="151">
        <v>1.08</v>
      </c>
      <c r="N3" s="156">
        <v>46234</v>
      </c>
      <c r="O3" s="154">
        <v>1E-3</v>
      </c>
      <c r="P3" s="154">
        <v>2.3300000000000001E-2</v>
      </c>
      <c r="Q3" s="153"/>
      <c r="R3" s="151">
        <v>5313038</v>
      </c>
      <c r="S3" s="151">
        <v>1</v>
      </c>
      <c r="T3" s="151">
        <v>114.5</v>
      </c>
      <c r="U3" s="151">
        <v>6083.4285099999997</v>
      </c>
      <c r="V3" s="153"/>
      <c r="W3"/>
      <c r="X3" s="154">
        <v>2.6200000000000003E-4</v>
      </c>
      <c r="Y3" s="154">
        <v>1.1958E-2</v>
      </c>
      <c r="Z3" s="154">
        <v>1.4779999999999999E-3</v>
      </c>
    </row>
    <row r="4" spans="1:26">
      <c r="A4" s="155">
        <v>274</v>
      </c>
      <c r="B4" s="155">
        <v>274</v>
      </c>
      <c r="C4" t="s">
        <v>1234</v>
      </c>
      <c r="D4" t="s">
        <v>1240</v>
      </c>
      <c r="E4" s="155" t="s">
        <v>1241</v>
      </c>
      <c r="F4" t="s">
        <v>221</v>
      </c>
      <c r="G4" t="s">
        <v>53</v>
      </c>
      <c r="H4" t="s">
        <v>53</v>
      </c>
      <c r="I4" t="s">
        <v>311</v>
      </c>
      <c r="J4" t="s">
        <v>1237</v>
      </c>
      <c r="K4" t="s">
        <v>65</v>
      </c>
      <c r="L4" t="s">
        <v>1222</v>
      </c>
      <c r="M4" s="151">
        <v>7.78</v>
      </c>
      <c r="N4" s="156">
        <v>48883</v>
      </c>
      <c r="O4" s="154">
        <v>1.6E-2</v>
      </c>
      <c r="P4" s="154">
        <v>1.9699999999999999E-2</v>
      </c>
      <c r="Q4" s="153"/>
      <c r="R4" s="151">
        <v>10973000</v>
      </c>
      <c r="S4" s="151">
        <v>1</v>
      </c>
      <c r="T4" s="151">
        <v>103.3</v>
      </c>
      <c r="U4" s="151">
        <v>11335.109</v>
      </c>
      <c r="V4" s="153"/>
      <c r="W4"/>
      <c r="X4" s="154">
        <v>4.6299999999999998E-4</v>
      </c>
      <c r="Y4" s="154">
        <v>2.2280999999999999E-2</v>
      </c>
      <c r="Z4" s="154">
        <v>2.7529999999999998E-3</v>
      </c>
    </row>
    <row r="5" spans="1:26">
      <c r="A5" s="155">
        <v>274</v>
      </c>
      <c r="B5" s="155">
        <v>274</v>
      </c>
      <c r="C5" t="s">
        <v>1234</v>
      </c>
      <c r="D5" t="s">
        <v>1242</v>
      </c>
      <c r="E5" s="155" t="s">
        <v>1243</v>
      </c>
      <c r="F5" t="s">
        <v>223</v>
      </c>
      <c r="G5" t="s">
        <v>53</v>
      </c>
      <c r="H5" t="s">
        <v>53</v>
      </c>
      <c r="I5" t="s">
        <v>311</v>
      </c>
      <c r="J5" t="s">
        <v>1237</v>
      </c>
      <c r="K5" t="s">
        <v>65</v>
      </c>
      <c r="L5" t="s">
        <v>1222</v>
      </c>
      <c r="M5" s="151">
        <v>4.6399999999999997</v>
      </c>
      <c r="N5" s="156">
        <v>47573</v>
      </c>
      <c r="O5" s="154">
        <v>0.01</v>
      </c>
      <c r="P5" s="154">
        <v>3.9699999999999999E-2</v>
      </c>
      <c r="Q5" s="153"/>
      <c r="R5" s="151">
        <v>756821</v>
      </c>
      <c r="S5" s="151">
        <v>1</v>
      </c>
      <c r="T5" s="151">
        <v>87.63</v>
      </c>
      <c r="U5" s="151">
        <v>663.20223999999996</v>
      </c>
      <c r="V5" s="153"/>
      <c r="W5"/>
      <c r="X5" s="154">
        <v>2.0000000000000002E-5</v>
      </c>
      <c r="Y5" s="154">
        <v>1.3029999999999999E-3</v>
      </c>
      <c r="Z5" s="154">
        <v>1.6100000000000001E-4</v>
      </c>
    </row>
    <row r="6" spans="1:26">
      <c r="A6" s="155">
        <v>274</v>
      </c>
      <c r="B6" s="155">
        <v>274</v>
      </c>
      <c r="C6" t="s">
        <v>1234</v>
      </c>
      <c r="D6" t="s">
        <v>1244</v>
      </c>
      <c r="E6" s="155" t="s">
        <v>1245</v>
      </c>
      <c r="F6" t="s">
        <v>221</v>
      </c>
      <c r="G6" t="s">
        <v>53</v>
      </c>
      <c r="H6" t="s">
        <v>53</v>
      </c>
      <c r="I6" t="s">
        <v>311</v>
      </c>
      <c r="J6" t="s">
        <v>1237</v>
      </c>
      <c r="K6" t="s">
        <v>65</v>
      </c>
      <c r="L6" t="s">
        <v>1222</v>
      </c>
      <c r="M6" s="151">
        <v>13.17</v>
      </c>
      <c r="N6" s="156">
        <v>51744</v>
      </c>
      <c r="O6" s="154">
        <v>2.75E-2</v>
      </c>
      <c r="P6" s="154">
        <v>1.9599999999999999E-2</v>
      </c>
      <c r="Q6" s="153"/>
      <c r="R6" s="151">
        <v>39630164</v>
      </c>
      <c r="S6" s="151">
        <v>1</v>
      </c>
      <c r="T6" s="151">
        <v>141.80000000000001</v>
      </c>
      <c r="U6" s="151">
        <v>56195.572549999997</v>
      </c>
      <c r="V6" s="153"/>
      <c r="W6"/>
      <c r="X6" s="154">
        <v>1.964E-3</v>
      </c>
      <c r="Y6" s="154">
        <v>0.11046400000000001</v>
      </c>
      <c r="Z6" s="154">
        <v>1.3653E-2</v>
      </c>
    </row>
    <row r="7" spans="1:26">
      <c r="A7" s="155">
        <v>274</v>
      </c>
      <c r="B7" s="155">
        <v>274</v>
      </c>
      <c r="C7" t="s">
        <v>1234</v>
      </c>
      <c r="D7" t="s">
        <v>1246</v>
      </c>
      <c r="E7" s="155" t="s">
        <v>1247</v>
      </c>
      <c r="F7" t="s">
        <v>223</v>
      </c>
      <c r="G7" t="s">
        <v>53</v>
      </c>
      <c r="H7" t="s">
        <v>53</v>
      </c>
      <c r="I7" t="s">
        <v>311</v>
      </c>
      <c r="J7" t="s">
        <v>1237</v>
      </c>
      <c r="K7" t="s">
        <v>65</v>
      </c>
      <c r="L7" t="s">
        <v>1222</v>
      </c>
      <c r="M7" s="151">
        <v>3.11</v>
      </c>
      <c r="N7" s="156">
        <v>47024</v>
      </c>
      <c r="O7" s="154">
        <v>2.2499999999999999E-2</v>
      </c>
      <c r="P7" s="154">
        <v>3.95E-2</v>
      </c>
      <c r="Q7" s="153"/>
      <c r="R7" s="151">
        <v>45103</v>
      </c>
      <c r="S7" s="151">
        <v>1</v>
      </c>
      <c r="T7" s="151">
        <v>96.6</v>
      </c>
      <c r="U7" s="151">
        <v>43.569499999999998</v>
      </c>
      <c r="V7" s="153"/>
      <c r="W7"/>
      <c r="X7" s="154">
        <v>9.9999999999999995E-7</v>
      </c>
      <c r="Y7" s="154">
        <v>8.5000000000000006E-5</v>
      </c>
      <c r="Z7" s="154">
        <v>1.0000000000000001E-5</v>
      </c>
    </row>
    <row r="8" spans="1:26">
      <c r="A8" s="155">
        <v>274</v>
      </c>
      <c r="B8" s="155">
        <v>274</v>
      </c>
      <c r="C8" t="s">
        <v>1234</v>
      </c>
      <c r="D8" t="s">
        <v>1248</v>
      </c>
      <c r="E8" s="155" t="s">
        <v>1249</v>
      </c>
      <c r="F8" t="s">
        <v>224</v>
      </c>
      <c r="G8" t="s">
        <v>53</v>
      </c>
      <c r="H8" t="s">
        <v>53</v>
      </c>
      <c r="I8" t="s">
        <v>311</v>
      </c>
      <c r="J8" t="s">
        <v>1237</v>
      </c>
      <c r="K8" t="s">
        <v>65</v>
      </c>
      <c r="L8" t="s">
        <v>1222</v>
      </c>
      <c r="M8" s="151">
        <v>0.9</v>
      </c>
      <c r="N8" s="156">
        <v>46173</v>
      </c>
      <c r="O8" s="154">
        <v>0</v>
      </c>
      <c r="P8" s="154">
        <v>4.3200000000000002E-2</v>
      </c>
      <c r="Q8" s="153"/>
      <c r="R8" s="151">
        <v>2118357</v>
      </c>
      <c r="S8" s="151">
        <v>1</v>
      </c>
      <c r="T8" s="151">
        <v>100.22</v>
      </c>
      <c r="U8" s="151">
        <v>2123.01739</v>
      </c>
      <c r="V8" s="153"/>
      <c r="W8"/>
      <c r="X8" s="154">
        <v>9.8999999999999994E-5</v>
      </c>
      <c r="Y8" s="154">
        <v>4.1729999999999996E-3</v>
      </c>
      <c r="Z8" s="154">
        <v>5.1500000000000005E-4</v>
      </c>
    </row>
    <row r="9" spans="1:26">
      <c r="A9" s="155">
        <v>274</v>
      </c>
      <c r="B9" s="155">
        <v>274</v>
      </c>
      <c r="C9" t="s">
        <v>1234</v>
      </c>
      <c r="D9" t="s">
        <v>1250</v>
      </c>
      <c r="E9" s="155" t="s">
        <v>1251</v>
      </c>
      <c r="F9" t="s">
        <v>223</v>
      </c>
      <c r="G9" t="s">
        <v>53</v>
      </c>
      <c r="H9" t="s">
        <v>53</v>
      </c>
      <c r="I9" t="s">
        <v>311</v>
      </c>
      <c r="J9" t="s">
        <v>1237</v>
      </c>
      <c r="K9" t="s">
        <v>65</v>
      </c>
      <c r="L9" t="s">
        <v>1222</v>
      </c>
      <c r="M9" s="151">
        <v>17.52</v>
      </c>
      <c r="N9" s="156">
        <v>55852</v>
      </c>
      <c r="O9" s="154">
        <v>2.8000000000000001E-2</v>
      </c>
      <c r="P9" s="154">
        <v>4.5900000000000003E-2</v>
      </c>
      <c r="Q9" s="153"/>
      <c r="R9" s="151">
        <v>39981728</v>
      </c>
      <c r="S9" s="151">
        <v>1</v>
      </c>
      <c r="T9" s="151">
        <v>73.98</v>
      </c>
      <c r="U9" s="151">
        <v>29578.482370000002</v>
      </c>
      <c r="V9" s="153"/>
      <c r="W9"/>
      <c r="X9" s="154">
        <v>1.5529999999999999E-3</v>
      </c>
      <c r="Y9" s="154">
        <v>5.8141999999999999E-2</v>
      </c>
      <c r="Z9" s="154">
        <v>7.1859999999999997E-3</v>
      </c>
    </row>
    <row r="10" spans="1:26">
      <c r="A10" s="155">
        <v>274</v>
      </c>
      <c r="B10" s="155">
        <v>274</v>
      </c>
      <c r="C10" t="s">
        <v>1234</v>
      </c>
      <c r="D10" t="s">
        <v>1252</v>
      </c>
      <c r="E10" s="155" t="s">
        <v>1253</v>
      </c>
      <c r="F10" t="s">
        <v>221</v>
      </c>
      <c r="G10" t="s">
        <v>53</v>
      </c>
      <c r="H10" t="s">
        <v>53</v>
      </c>
      <c r="I10" t="s">
        <v>311</v>
      </c>
      <c r="J10" t="s">
        <v>1237</v>
      </c>
      <c r="K10" t="s">
        <v>65</v>
      </c>
      <c r="L10" t="s">
        <v>1222</v>
      </c>
      <c r="M10" s="151">
        <v>17.940000000000001</v>
      </c>
      <c r="N10" s="156">
        <v>53113</v>
      </c>
      <c r="O10" s="154">
        <v>0.01</v>
      </c>
      <c r="P10" s="154">
        <v>2.0199999999999999E-2</v>
      </c>
      <c r="Q10" s="153"/>
      <c r="R10" s="151">
        <v>53418839</v>
      </c>
      <c r="S10" s="151">
        <v>1</v>
      </c>
      <c r="T10" s="151">
        <v>98.54</v>
      </c>
      <c r="U10" s="151">
        <v>52638.923949999997</v>
      </c>
      <c r="V10" s="153"/>
      <c r="W10"/>
      <c r="X10" s="154">
        <v>2.3389999999999999E-3</v>
      </c>
      <c r="Y10" s="154">
        <v>0.103473</v>
      </c>
      <c r="Z10" s="154">
        <v>1.2789E-2</v>
      </c>
    </row>
    <row r="11" spans="1:26">
      <c r="A11" s="155">
        <v>274</v>
      </c>
      <c r="B11" s="155">
        <v>274</v>
      </c>
      <c r="C11" t="s">
        <v>1234</v>
      </c>
      <c r="D11" t="s">
        <v>1254</v>
      </c>
      <c r="E11" s="155" t="s">
        <v>1255</v>
      </c>
      <c r="F11" t="s">
        <v>223</v>
      </c>
      <c r="G11" t="s">
        <v>53</v>
      </c>
      <c r="H11" t="s">
        <v>53</v>
      </c>
      <c r="I11" t="s">
        <v>311</v>
      </c>
      <c r="J11" t="s">
        <v>1237</v>
      </c>
      <c r="K11" t="s">
        <v>65</v>
      </c>
      <c r="L11" t="s">
        <v>1222</v>
      </c>
      <c r="M11" s="151">
        <v>1.73</v>
      </c>
      <c r="N11" s="156">
        <v>46477</v>
      </c>
      <c r="O11" s="154">
        <v>0.02</v>
      </c>
      <c r="P11" s="154">
        <v>0.04</v>
      </c>
      <c r="Q11" s="153"/>
      <c r="R11" s="151">
        <v>13296396</v>
      </c>
      <c r="S11" s="151">
        <v>1</v>
      </c>
      <c r="T11" s="151">
        <v>97.19</v>
      </c>
      <c r="U11" s="151">
        <v>12922.76727</v>
      </c>
      <c r="V11" s="153"/>
      <c r="W11"/>
      <c r="X11" s="154">
        <v>4.7100000000000001E-4</v>
      </c>
      <c r="Y11" s="154">
        <v>2.5402000000000001E-2</v>
      </c>
      <c r="Z11" s="154">
        <v>3.1389999999999999E-3</v>
      </c>
    </row>
    <row r="12" spans="1:26">
      <c r="A12" s="155">
        <v>274</v>
      </c>
      <c r="B12" s="155">
        <v>274</v>
      </c>
      <c r="C12" t="s">
        <v>1234</v>
      </c>
      <c r="D12" t="s">
        <v>1256</v>
      </c>
      <c r="E12" s="155" t="s">
        <v>1257</v>
      </c>
      <c r="F12" t="s">
        <v>221</v>
      </c>
      <c r="G12" t="s">
        <v>53</v>
      </c>
      <c r="H12" t="s">
        <v>53</v>
      </c>
      <c r="I12" t="s">
        <v>311</v>
      </c>
      <c r="J12" t="s">
        <v>1237</v>
      </c>
      <c r="K12" t="s">
        <v>65</v>
      </c>
      <c r="L12" t="s">
        <v>1222</v>
      </c>
      <c r="M12" s="151">
        <v>9.2200000000000006</v>
      </c>
      <c r="N12" s="156">
        <v>49825</v>
      </c>
      <c r="O12" s="154">
        <v>0.04</v>
      </c>
      <c r="P12" s="154">
        <v>1.9400000000000001E-2</v>
      </c>
      <c r="Q12" s="153"/>
      <c r="R12" s="151">
        <v>61925738</v>
      </c>
      <c r="S12" s="151">
        <v>1</v>
      </c>
      <c r="T12" s="151">
        <v>167.7</v>
      </c>
      <c r="U12" s="151">
        <v>103849.46262999999</v>
      </c>
      <c r="V12" s="153"/>
      <c r="W12"/>
      <c r="X12" s="154">
        <v>3.8860000000000001E-3</v>
      </c>
      <c r="Y12" s="154">
        <v>0.20413799999999999</v>
      </c>
      <c r="Z12" s="154">
        <v>2.5231E-2</v>
      </c>
    </row>
    <row r="13" spans="1:26">
      <c r="A13" s="155">
        <v>274</v>
      </c>
      <c r="B13" s="155">
        <v>274</v>
      </c>
      <c r="C13" t="s">
        <v>1234</v>
      </c>
      <c r="D13" t="s">
        <v>1258</v>
      </c>
      <c r="E13" s="155" t="s">
        <v>1259</v>
      </c>
      <c r="F13" t="s">
        <v>221</v>
      </c>
      <c r="G13" t="s">
        <v>53</v>
      </c>
      <c r="H13" t="s">
        <v>53</v>
      </c>
      <c r="I13" t="s">
        <v>311</v>
      </c>
      <c r="J13" t="s">
        <v>1237</v>
      </c>
      <c r="K13" t="s">
        <v>65</v>
      </c>
      <c r="L13" t="s">
        <v>1222</v>
      </c>
      <c r="M13" s="151">
        <v>24.26</v>
      </c>
      <c r="N13" s="156">
        <v>55487</v>
      </c>
      <c r="O13" s="154">
        <v>5.0000000000000001E-3</v>
      </c>
      <c r="P13" s="154">
        <v>2.1000000000000001E-2</v>
      </c>
      <c r="Q13" s="153"/>
      <c r="R13" s="151">
        <v>164086445</v>
      </c>
      <c r="S13" s="151">
        <v>1</v>
      </c>
      <c r="T13" s="151">
        <v>79.599999999999994</v>
      </c>
      <c r="U13" s="151">
        <v>130612.81022</v>
      </c>
      <c r="V13" s="153"/>
      <c r="W13"/>
      <c r="X13" s="154">
        <v>5.3829999999999998E-3</v>
      </c>
      <c r="Y13" s="154">
        <v>0.256747</v>
      </c>
      <c r="Z13" s="154">
        <v>3.1732999999999997E-2</v>
      </c>
    </row>
    <row r="14" spans="1:26">
      <c r="A14" s="155">
        <v>274</v>
      </c>
      <c r="B14" s="155">
        <v>274</v>
      </c>
      <c r="C14" t="s">
        <v>1234</v>
      </c>
      <c r="D14" t="s">
        <v>1260</v>
      </c>
      <c r="E14" s="155" t="s">
        <v>1261</v>
      </c>
      <c r="F14" t="s">
        <v>221</v>
      </c>
      <c r="G14" t="s">
        <v>53</v>
      </c>
      <c r="H14" t="s">
        <v>53</v>
      </c>
      <c r="I14" t="s">
        <v>311</v>
      </c>
      <c r="J14" t="s">
        <v>1237</v>
      </c>
      <c r="K14" t="s">
        <v>65</v>
      </c>
      <c r="L14" t="s">
        <v>1222</v>
      </c>
      <c r="M14" s="151">
        <v>6.4</v>
      </c>
      <c r="N14" s="156">
        <v>48182</v>
      </c>
      <c r="O14" s="154">
        <v>1E-3</v>
      </c>
      <c r="P14" s="154">
        <v>1.9699999999999999E-2</v>
      </c>
      <c r="Q14" s="153"/>
      <c r="R14" s="151">
        <v>57829553</v>
      </c>
      <c r="S14" s="151">
        <v>1</v>
      </c>
      <c r="T14" s="151">
        <v>104.14</v>
      </c>
      <c r="U14" s="151">
        <v>60223.696490000002</v>
      </c>
      <c r="V14" s="153"/>
      <c r="W14"/>
      <c r="X14" s="154">
        <v>1.689E-3</v>
      </c>
      <c r="Y14" s="154">
        <v>0.118382</v>
      </c>
      <c r="Z14" s="154">
        <v>1.4631E-2</v>
      </c>
    </row>
    <row r="15" spans="1:26">
      <c r="A15" s="155">
        <v>274</v>
      </c>
      <c r="B15" s="155">
        <v>274</v>
      </c>
      <c r="C15" t="s">
        <v>1234</v>
      </c>
      <c r="D15" t="s">
        <v>1262</v>
      </c>
      <c r="E15" s="155" t="s">
        <v>1263</v>
      </c>
      <c r="F15" t="s">
        <v>227</v>
      </c>
      <c r="G15" t="s">
        <v>53</v>
      </c>
      <c r="H15" t="s">
        <v>53</v>
      </c>
      <c r="I15" t="s">
        <v>311</v>
      </c>
      <c r="J15" t="s">
        <v>1237</v>
      </c>
      <c r="K15" t="s">
        <v>65</v>
      </c>
      <c r="L15" t="s">
        <v>1222</v>
      </c>
      <c r="M15" s="151">
        <v>0.26</v>
      </c>
      <c r="N15" s="156">
        <v>45933</v>
      </c>
      <c r="O15" s="154">
        <v>0</v>
      </c>
      <c r="P15" s="154">
        <v>4.3099999999999999E-2</v>
      </c>
      <c r="Q15" s="153"/>
      <c r="R15" s="151">
        <v>1500000</v>
      </c>
      <c r="S15" s="151">
        <v>1</v>
      </c>
      <c r="T15" s="151">
        <v>98.92</v>
      </c>
      <c r="U15" s="151">
        <v>1483.8</v>
      </c>
      <c r="V15" s="153"/>
      <c r="W15"/>
      <c r="X15" s="154">
        <v>1.07E-4</v>
      </c>
      <c r="Y15" s="154">
        <v>2.9160000000000002E-3</v>
      </c>
      <c r="Z15" s="154">
        <v>3.6000000000000002E-4</v>
      </c>
    </row>
    <row r="16" spans="1:26">
      <c r="A16" s="155">
        <v>274</v>
      </c>
      <c r="B16" s="155">
        <v>274</v>
      </c>
      <c r="C16" t="s">
        <v>1234</v>
      </c>
      <c r="D16" t="s">
        <v>1264</v>
      </c>
      <c r="E16" s="155" t="s">
        <v>1265</v>
      </c>
      <c r="F16" t="s">
        <v>223</v>
      </c>
      <c r="G16" t="s">
        <v>53</v>
      </c>
      <c r="H16" t="s">
        <v>53</v>
      </c>
      <c r="I16" t="s">
        <v>311</v>
      </c>
      <c r="J16" t="s">
        <v>1237</v>
      </c>
      <c r="K16" t="s">
        <v>65</v>
      </c>
      <c r="L16" t="s">
        <v>1222</v>
      </c>
      <c r="M16" s="151">
        <v>14.71</v>
      </c>
      <c r="N16" s="156">
        <v>53782</v>
      </c>
      <c r="O16" s="154">
        <v>3.7499999999999999E-2</v>
      </c>
      <c r="P16" s="154">
        <v>4.4699999999999997E-2</v>
      </c>
      <c r="Q16" s="153"/>
      <c r="R16" s="151">
        <v>39053346</v>
      </c>
      <c r="S16" s="151">
        <v>1</v>
      </c>
      <c r="T16" s="151">
        <v>91.05</v>
      </c>
      <c r="U16" s="151">
        <v>35558.071530000001</v>
      </c>
      <c r="V16" s="153"/>
      <c r="W16"/>
      <c r="X16" s="154">
        <v>1.487E-3</v>
      </c>
      <c r="Y16" s="154">
        <v>6.9897000000000001E-2</v>
      </c>
      <c r="Z16" s="154">
        <v>8.6390000000000008E-3</v>
      </c>
    </row>
    <row r="17" spans="1:26">
      <c r="A17" s="155">
        <v>274</v>
      </c>
      <c r="B17" s="155">
        <v>274</v>
      </c>
      <c r="C17" t="s">
        <v>1266</v>
      </c>
      <c r="D17" t="s">
        <v>1267</v>
      </c>
      <c r="E17" s="155" t="s">
        <v>1268</v>
      </c>
      <c r="F17" t="s">
        <v>227</v>
      </c>
      <c r="G17" t="s">
        <v>61</v>
      </c>
      <c r="H17" t="s">
        <v>314</v>
      </c>
      <c r="I17" t="s">
        <v>102</v>
      </c>
      <c r="J17" t="s">
        <v>1269</v>
      </c>
      <c r="K17" t="s">
        <v>84</v>
      </c>
      <c r="L17" t="s">
        <v>1218</v>
      </c>
      <c r="M17" s="151">
        <v>0.24</v>
      </c>
      <c r="N17" s="156">
        <v>45925</v>
      </c>
      <c r="O17" s="154">
        <v>0</v>
      </c>
      <c r="P17" s="154">
        <v>4.2900000000000001E-2</v>
      </c>
      <c r="Q17" s="153"/>
      <c r="R17" s="151">
        <v>304000</v>
      </c>
      <c r="S17" s="151">
        <v>3.3719999999999999</v>
      </c>
      <c r="T17" s="151">
        <v>99.003299999999996</v>
      </c>
      <c r="U17" s="151">
        <v>1014.87111</v>
      </c>
      <c r="V17" s="153"/>
      <c r="W17"/>
      <c r="X17" s="154">
        <v>1.9999999999999999E-6</v>
      </c>
      <c r="Y17" s="154">
        <v>1.9940000000000001E-3</v>
      </c>
      <c r="Z17" s="154">
        <v>2.4600000000000002E-4</v>
      </c>
    </row>
    <row r="18" spans="1:26">
      <c r="A18" s="155">
        <v>274</v>
      </c>
      <c r="B18" s="155">
        <v>274</v>
      </c>
      <c r="C18" t="s">
        <v>1266</v>
      </c>
      <c r="D18" t="s">
        <v>1270</v>
      </c>
      <c r="E18" s="155" t="s">
        <v>1271</v>
      </c>
      <c r="F18" t="s">
        <v>227</v>
      </c>
      <c r="G18" t="s">
        <v>61</v>
      </c>
      <c r="H18" t="s">
        <v>314</v>
      </c>
      <c r="I18" t="s">
        <v>102</v>
      </c>
      <c r="J18" t="s">
        <v>1269</v>
      </c>
      <c r="K18" t="s">
        <v>84</v>
      </c>
      <c r="L18" t="s">
        <v>1218</v>
      </c>
      <c r="M18" s="151">
        <v>0.01</v>
      </c>
      <c r="N18" s="156">
        <v>45839</v>
      </c>
      <c r="O18" s="154">
        <v>0</v>
      </c>
      <c r="P18" s="154">
        <v>4.3200000000000002E-2</v>
      </c>
      <c r="Q18" s="153"/>
      <c r="R18" s="151">
        <v>302000</v>
      </c>
      <c r="S18" s="151">
        <v>3.3719999999999999</v>
      </c>
      <c r="T18" s="151">
        <v>99.988399999999999</v>
      </c>
      <c r="U18" s="151">
        <v>1018.22591</v>
      </c>
      <c r="V18" s="153"/>
      <c r="W18"/>
      <c r="X18" s="154">
        <v>5.0000000000000004E-6</v>
      </c>
      <c r="Y18" s="154">
        <v>2.0010000000000002E-3</v>
      </c>
      <c r="Z18" s="154">
        <v>2.4699999999999999E-4</v>
      </c>
    </row>
    <row r="19" spans="1:26">
      <c r="A19" s="155">
        <v>274</v>
      </c>
      <c r="B19" s="155">
        <v>274</v>
      </c>
      <c r="C19" t="s">
        <v>1234</v>
      </c>
      <c r="D19" t="s">
        <v>1272</v>
      </c>
      <c r="E19" s="155" t="s">
        <v>1273</v>
      </c>
      <c r="F19" t="s">
        <v>246</v>
      </c>
      <c r="G19" t="s">
        <v>61</v>
      </c>
      <c r="H19" t="s">
        <v>53</v>
      </c>
      <c r="I19" t="s">
        <v>102</v>
      </c>
      <c r="J19" t="s">
        <v>1274</v>
      </c>
      <c r="K19" t="s">
        <v>84</v>
      </c>
      <c r="L19" t="s">
        <v>1218</v>
      </c>
      <c r="M19" s="151">
        <v>4.63</v>
      </c>
      <c r="N19" s="156">
        <v>47667</v>
      </c>
      <c r="O19" s="154">
        <v>2.75E-2</v>
      </c>
      <c r="P19" s="154">
        <v>5.0099999999999999E-2</v>
      </c>
      <c r="Q19" s="153"/>
      <c r="R19" s="151">
        <v>359000</v>
      </c>
      <c r="S19" s="151">
        <v>3.3719999999999999</v>
      </c>
      <c r="T19" s="151">
        <v>91.681799999999996</v>
      </c>
      <c r="U19" s="151">
        <v>1109.8522</v>
      </c>
      <c r="V19" s="153"/>
      <c r="W19"/>
      <c r="X19" s="154">
        <v>1.7899999999999999E-4</v>
      </c>
      <c r="Y19" s="154">
        <v>2.1810000000000002E-3</v>
      </c>
      <c r="Z19" s="154">
        <v>2.6899999999999998E-4</v>
      </c>
    </row>
    <row r="20" spans="1:26">
      <c r="A20" s="155">
        <v>274</v>
      </c>
      <c r="B20" s="155">
        <v>274</v>
      </c>
      <c r="C20" t="s">
        <v>1266</v>
      </c>
      <c r="D20" t="s">
        <v>1275</v>
      </c>
      <c r="E20" s="155" t="s">
        <v>1276</v>
      </c>
      <c r="F20" t="s">
        <v>227</v>
      </c>
      <c r="G20" t="s">
        <v>61</v>
      </c>
      <c r="H20" t="s">
        <v>314</v>
      </c>
      <c r="I20" t="s">
        <v>102</v>
      </c>
      <c r="J20" t="s">
        <v>1269</v>
      </c>
      <c r="K20" t="s">
        <v>84</v>
      </c>
      <c r="L20" t="s">
        <v>1218</v>
      </c>
      <c r="M20" s="151">
        <v>0.14000000000000001</v>
      </c>
      <c r="N20" s="156">
        <v>45890</v>
      </c>
      <c r="O20" s="154">
        <v>0</v>
      </c>
      <c r="P20" s="154">
        <v>4.3700000000000003E-2</v>
      </c>
      <c r="Q20" s="153"/>
      <c r="R20" s="151">
        <v>52000</v>
      </c>
      <c r="S20" s="151">
        <v>3.3719999999999999</v>
      </c>
      <c r="T20" s="151">
        <v>99.392700000000005</v>
      </c>
      <c r="U20" s="151">
        <v>174.27914000000001</v>
      </c>
      <c r="V20" s="153"/>
      <c r="W20"/>
      <c r="X20" s="154">
        <v>0</v>
      </c>
      <c r="Y20" s="154">
        <v>3.4200000000000002E-4</v>
      </c>
      <c r="Z20" s="154">
        <v>4.1999999999999998E-5</v>
      </c>
    </row>
    <row r="21" spans="1:26" s="37" customFormat="1">
      <c r="L21" s="25"/>
    </row>
    <row r="22" spans="1:26">
      <c r="L22" s="16"/>
    </row>
    <row r="23" spans="1:26">
      <c r="L23" s="16"/>
    </row>
    <row r="24" spans="1:26">
      <c r="L24" s="16"/>
    </row>
    <row r="25" spans="1:26">
      <c r="L25" s="16"/>
    </row>
    <row r="26" spans="1:26">
      <c r="L26" s="16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/>
  <cols>
    <col min="1" max="2" width="10.625" style="4" bestFit="1" customWidth="1"/>
    <col min="3" max="3" width="8.875" style="4" bestFit="1" customWidth="1"/>
    <col min="4" max="4" width="10.75" style="4" bestFit="1" customWidth="1"/>
    <col min="5" max="5" width="10.375" style="4" bestFit="1" customWidth="1"/>
    <col min="6" max="6" width="10.625" style="4" bestFit="1" customWidth="1"/>
    <col min="7" max="7" width="9.375" style="4" bestFit="1" customWidth="1"/>
    <col min="8" max="8" width="9.125" style="4" bestFit="1" customWidth="1"/>
    <col min="9" max="9" width="11" style="4" bestFit="1" customWidth="1"/>
    <col min="10" max="10" width="10" style="4" bestFit="1" customWidth="1"/>
    <col min="11" max="11" width="9.25" style="4" bestFit="1" customWidth="1"/>
    <col min="12" max="12" width="9.625" style="4" bestFit="1" customWidth="1"/>
    <col min="13" max="13" width="8.875" style="4" bestFit="1" customWidth="1"/>
    <col min="14" max="14" width="11" style="4" bestFit="1" customWidth="1"/>
    <col min="15" max="15" width="5" style="4" bestFit="1" customWidth="1"/>
    <col min="16" max="16" width="8.125" style="4" bestFit="1" customWidth="1"/>
    <col min="17" max="17" width="11.625" style="4" customWidth="1"/>
    <col min="18" max="18" width="11.25" style="4" bestFit="1" customWidth="1"/>
    <col min="19" max="19" width="5.875" style="4" bestFit="1" customWidth="1"/>
    <col min="20" max="20" width="9" style="4" bestFit="1" customWidth="1"/>
    <col min="21" max="21" width="9.125" style="4" bestFit="1" customWidth="1"/>
    <col min="22" max="22" width="10.625" style="4" bestFit="1" customWidth="1"/>
    <col min="23" max="23" width="7.125" style="4" bestFit="1" customWidth="1"/>
    <col min="24" max="24" width="11.375" style="4" bestFit="1" customWidth="1"/>
    <col min="25" max="25" width="10.125" style="4" bestFit="1" customWidth="1"/>
    <col min="26" max="26" width="9.125" style="4" bestFit="1" customWidth="1"/>
    <col min="27" max="27" width="10.375" style="4" bestFit="1" customWidth="1"/>
    <col min="28" max="28" width="9" style="4" bestFit="1" customWidth="1"/>
    <col min="29" max="29" width="10.25" style="4" bestFit="1" customWidth="1"/>
    <col min="30" max="31" width="10.875" style="4" bestFit="1" customWidth="1"/>
    <col min="32" max="32" width="8.125" style="4" bestFit="1" customWidth="1"/>
    <col min="33" max="33" width="10.125" style="4" bestFit="1" customWidth="1"/>
    <col min="34" max="34" width="10.875" style="4" bestFit="1" customWidth="1"/>
    <col min="35" max="35" width="11.125" style="4" bestFit="1" customWidth="1"/>
    <col min="36" max="36" width="10" style="4" bestFit="1" customWidth="1"/>
    <col min="37" max="16384" width="11.625" style="4" hidden="1"/>
  </cols>
  <sheetData>
    <row r="1" spans="1:36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606</v>
      </c>
      <c r="O1" s="17" t="s">
        <v>6</v>
      </c>
      <c r="P1" s="17" t="s">
        <v>8</v>
      </c>
      <c r="Q1" s="17" t="s">
        <v>1146</v>
      </c>
      <c r="R1" s="17" t="s">
        <v>396</v>
      </c>
      <c r="S1" s="150" t="s">
        <v>13</v>
      </c>
      <c r="T1" s="17" t="s">
        <v>309</v>
      </c>
      <c r="U1" s="158" t="s">
        <v>421</v>
      </c>
      <c r="V1" s="159" t="s">
        <v>14</v>
      </c>
      <c r="W1" s="159" t="s">
        <v>621</v>
      </c>
      <c r="X1" s="17" t="s">
        <v>925</v>
      </c>
      <c r="Y1" s="17" t="s">
        <v>669</v>
      </c>
      <c r="Z1" s="150" t="s">
        <v>773</v>
      </c>
      <c r="AA1" s="150" t="s">
        <v>11</v>
      </c>
      <c r="AB1" s="150" t="s">
        <v>15</v>
      </c>
      <c r="AC1" s="150" t="s">
        <v>938</v>
      </c>
      <c r="AD1" s="150" t="s">
        <v>1153</v>
      </c>
      <c r="AE1" s="150" t="s">
        <v>1154</v>
      </c>
      <c r="AF1" s="150" t="s">
        <v>788</v>
      </c>
      <c r="AG1" s="17" t="s">
        <v>26</v>
      </c>
      <c r="AH1" s="159" t="s">
        <v>18</v>
      </c>
      <c r="AI1" s="159" t="s">
        <v>19</v>
      </c>
      <c r="AJ1" s="159" t="s">
        <v>30</v>
      </c>
    </row>
    <row r="2" spans="1:36">
      <c r="A2" s="155">
        <v>274</v>
      </c>
      <c r="B2" s="155">
        <v>274</v>
      </c>
      <c r="C2"/>
      <c r="D2" s="155"/>
      <c r="E2"/>
      <c r="F2"/>
      <c r="G2" s="155"/>
      <c r="H2"/>
      <c r="I2"/>
      <c r="J2"/>
      <c r="K2"/>
      <c r="L2"/>
      <c r="M2"/>
      <c r="N2"/>
      <c r="O2"/>
      <c r="P2"/>
      <c r="Q2"/>
      <c r="R2"/>
      <c r="S2" s="151"/>
      <c r="T2"/>
      <c r="U2" s="156"/>
      <c r="V2" s="154"/>
      <c r="W2" s="154"/>
      <c r="X2"/>
      <c r="Y2"/>
      <c r="Z2" s="151"/>
      <c r="AA2" s="151"/>
      <c r="AB2" s="151"/>
      <c r="AC2" s="151"/>
      <c r="AD2" s="151"/>
      <c r="AE2" s="151"/>
      <c r="AF2" s="151"/>
      <c r="AG2"/>
      <c r="AH2" s="154"/>
      <c r="AI2" s="154"/>
      <c r="AJ2" s="154"/>
    </row>
    <row r="3" spans="1:36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/>
      <c r="P3" s="16"/>
      <c r="Q3" s="16"/>
      <c r="R3" s="16"/>
      <c r="S3" s="16"/>
      <c r="T3" s="18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G3" s="16"/>
    </row>
    <row r="4" spans="1:36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/>
      <c r="P4" s="16"/>
      <c r="Q4" s="16"/>
      <c r="R4" s="16"/>
      <c r="S4" s="16"/>
      <c r="T4" s="18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G4" s="16"/>
    </row>
    <row r="5" spans="1:36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/>
      <c r="P5" s="16"/>
      <c r="Q5" s="16"/>
      <c r="R5" s="16"/>
      <c r="S5" s="16"/>
      <c r="T5" s="18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G5" s="16"/>
    </row>
    <row r="6" spans="1:3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/>
      <c r="P6" s="16"/>
      <c r="Q6" s="16"/>
      <c r="R6" s="16"/>
      <c r="S6" s="16"/>
      <c r="T6" s="18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G6" s="16"/>
    </row>
    <row r="7" spans="1:36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/>
      <c r="P7" s="16"/>
      <c r="Q7" s="16"/>
      <c r="R7" s="16"/>
      <c r="S7" s="16"/>
      <c r="T7" s="18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G7"/>
    </row>
    <row r="8" spans="1:36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/>
      <c r="P8" s="16"/>
      <c r="Q8" s="16"/>
      <c r="R8" s="16"/>
      <c r="S8" s="16"/>
      <c r="T8" s="18"/>
      <c r="U8" s="16"/>
      <c r="V8" s="16"/>
      <c r="W8" s="16"/>
      <c r="X8" s="16"/>
      <c r="Y8" s="16"/>
      <c r="Z8" s="16"/>
      <c r="AB8"/>
      <c r="AC8"/>
      <c r="AG8"/>
    </row>
    <row r="9" spans="1:36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/>
      <c r="P9" s="16"/>
      <c r="Q9" s="16"/>
      <c r="R9" s="16"/>
      <c r="S9" s="16"/>
      <c r="T9" s="18"/>
      <c r="U9" s="16"/>
      <c r="V9" s="16"/>
      <c r="W9" s="16"/>
      <c r="X9" s="16"/>
      <c r="Y9" s="16"/>
      <c r="Z9" s="16"/>
      <c r="AB9" s="18"/>
      <c r="AC9" s="18"/>
      <c r="AD9" s="23"/>
      <c r="AG9" s="16"/>
    </row>
    <row r="10" spans="1:36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18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/>
    </row>
    <row r="11" spans="1:36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18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6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18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6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18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6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18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6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18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18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8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8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18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>
      <c r="E20" s="16"/>
      <c r="H20" s="16"/>
      <c r="I20" s="16"/>
      <c r="J20" s="16"/>
      <c r="K20" s="16"/>
      <c r="L20" s="16"/>
      <c r="M20" s="16"/>
      <c r="N20" s="16"/>
      <c r="O20"/>
      <c r="P20" s="16"/>
      <c r="Q20" s="16"/>
      <c r="T20" s="18"/>
      <c r="X20" s="16"/>
      <c r="Y20" s="16"/>
      <c r="AG20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0"/>
  <sheetViews>
    <sheetView rightToLeft="1" workbookViewId="0">
      <selection activeCell="A2" sqref="A2"/>
    </sheetView>
  </sheetViews>
  <sheetFormatPr defaultColWidth="0" defaultRowHeight="14.25"/>
  <cols>
    <col min="1" max="2" width="10.625" style="2" bestFit="1" customWidth="1"/>
    <col min="3" max="3" width="31.375" style="2" bestFit="1" customWidth="1"/>
    <col min="4" max="4" width="24.375" style="2" bestFit="1" customWidth="1"/>
    <col min="5" max="5" width="10.375" style="4" bestFit="1" customWidth="1"/>
    <col min="6" max="6" width="44" style="2" bestFit="1" customWidth="1"/>
    <col min="7" max="7" width="15" style="2" bestFit="1" customWidth="1"/>
    <col min="8" max="8" width="9.125" style="2" bestFit="1" customWidth="1"/>
    <col min="9" max="9" width="24.625" style="2" bestFit="1" customWidth="1"/>
    <col min="10" max="10" width="10" style="2" bestFit="1" customWidth="1"/>
    <col min="11" max="11" width="26.125" style="2" bestFit="1" customWidth="1"/>
    <col min="12" max="12" width="7.875" style="2" bestFit="1" customWidth="1"/>
    <col min="13" max="13" width="9.625" style="2" bestFit="1" customWidth="1"/>
    <col min="14" max="14" width="41.25" style="2" bestFit="1" customWidth="1"/>
    <col min="15" max="15" width="11" style="2" bestFit="1" customWidth="1"/>
    <col min="16" max="16" width="6" style="2" bestFit="1" customWidth="1"/>
    <col min="17" max="17" width="13.375" style="2" bestFit="1" customWidth="1"/>
    <col min="18" max="18" width="11.625" style="2" customWidth="1"/>
    <col min="19" max="19" width="11.25" style="2" bestFit="1" customWidth="1"/>
    <col min="20" max="20" width="7.375" style="2" bestFit="1" customWidth="1"/>
    <col min="21" max="21" width="10.75" style="2" bestFit="1" customWidth="1"/>
    <col min="22" max="22" width="10.625" style="2" bestFit="1" customWidth="1"/>
    <col min="23" max="23" width="8.125" style="2" bestFit="1" customWidth="1"/>
    <col min="24" max="24" width="11.75" style="4" bestFit="1" customWidth="1"/>
    <col min="25" max="25" width="10.125" style="4" bestFit="1" customWidth="1"/>
    <col min="26" max="26" width="14.75" style="2" bestFit="1" customWidth="1"/>
    <col min="27" max="27" width="9.875" style="2" bestFit="1" customWidth="1"/>
    <col min="28" max="28" width="8.375" style="2" bestFit="1" customWidth="1"/>
    <col min="29" max="29" width="9.75" style="2" bestFit="1" customWidth="1"/>
    <col min="30" max="30" width="11" style="2" bestFit="1" customWidth="1"/>
    <col min="31" max="31" width="10.875" style="2" bestFit="1" customWidth="1"/>
    <col min="32" max="32" width="8.125" style="2" bestFit="1" customWidth="1"/>
    <col min="33" max="33" width="10.125" style="2" bestFit="1" customWidth="1"/>
    <col min="34" max="34" width="10.875" style="2" bestFit="1" customWidth="1"/>
    <col min="35" max="35" width="11.125" style="2" bestFit="1" customWidth="1"/>
    <col min="36" max="36" width="10" style="2" bestFit="1" customWidth="1"/>
    <col min="37" max="16384" width="11.625" style="2" hidden="1"/>
  </cols>
  <sheetData>
    <row r="1" spans="1:36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50" t="s">
        <v>1154</v>
      </c>
      <c r="AF1" s="150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>
      <c r="A2" s="155">
        <v>274</v>
      </c>
      <c r="B2" s="155">
        <v>274</v>
      </c>
      <c r="C2" t="s">
        <v>1277</v>
      </c>
      <c r="D2" s="155">
        <v>520032046</v>
      </c>
      <c r="E2" t="s">
        <v>429</v>
      </c>
      <c r="F2" t="s">
        <v>1278</v>
      </c>
      <c r="G2" s="155" t="s">
        <v>1279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1217</v>
      </c>
      <c r="Q2" t="s">
        <v>65</v>
      </c>
      <c r="R2" t="s">
        <v>57</v>
      </c>
      <c r="S2" t="s">
        <v>1222</v>
      </c>
      <c r="T2" s="151">
        <v>0.98</v>
      </c>
      <c r="U2" s="156">
        <v>46196</v>
      </c>
      <c r="V2" s="154">
        <v>3.8E-3</v>
      </c>
      <c r="W2" s="154">
        <v>2.5499999999999998E-2</v>
      </c>
      <c r="X2" t="s">
        <v>620</v>
      </c>
      <c r="Y2"/>
      <c r="Z2" s="151">
        <v>750000</v>
      </c>
      <c r="AA2" s="151">
        <v>1</v>
      </c>
      <c r="AB2" s="151">
        <v>112.93</v>
      </c>
      <c r="AC2" s="151"/>
      <c r="AD2" s="151">
        <v>846.97500000000002</v>
      </c>
      <c r="AE2" s="151"/>
      <c r="AF2" s="151"/>
      <c r="AG2"/>
      <c r="AH2" s="154">
        <v>2.5000000000000001E-4</v>
      </c>
      <c r="AI2" s="154">
        <v>7.9780000000000007E-3</v>
      </c>
      <c r="AJ2" s="154">
        <v>2.05E-4</v>
      </c>
    </row>
    <row r="3" spans="1:36">
      <c r="A3" s="155">
        <v>274</v>
      </c>
      <c r="B3" s="155">
        <v>274</v>
      </c>
      <c r="C3" t="s">
        <v>1280</v>
      </c>
      <c r="D3" s="155">
        <v>520000472</v>
      </c>
      <c r="E3" t="s">
        <v>429</v>
      </c>
      <c r="F3" t="s">
        <v>1281</v>
      </c>
      <c r="G3" s="155" t="s">
        <v>1282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156</v>
      </c>
      <c r="O3" t="s">
        <v>62</v>
      </c>
      <c r="P3" t="s">
        <v>1217</v>
      </c>
      <c r="Q3" t="s">
        <v>65</v>
      </c>
      <c r="R3" t="s">
        <v>57</v>
      </c>
      <c r="S3" t="s">
        <v>1222</v>
      </c>
      <c r="T3" s="151">
        <v>10.06</v>
      </c>
      <c r="U3" s="156">
        <v>50203</v>
      </c>
      <c r="V3" s="154">
        <v>3.2000000000000001E-2</v>
      </c>
      <c r="W3" s="154">
        <v>2.7900000000000001E-2</v>
      </c>
      <c r="X3" t="s">
        <v>620</v>
      </c>
      <c r="Y3"/>
      <c r="Z3" s="151">
        <v>1287000</v>
      </c>
      <c r="AA3" s="151">
        <v>1</v>
      </c>
      <c r="AB3" s="151">
        <v>110.87</v>
      </c>
      <c r="AC3" s="151"/>
      <c r="AD3" s="151">
        <v>1426.8969</v>
      </c>
      <c r="AE3" s="153"/>
      <c r="AF3" s="153"/>
      <c r="AG3"/>
      <c r="AH3" s="154">
        <v>2.61E-4</v>
      </c>
      <c r="AI3" s="154">
        <v>1.3441E-2</v>
      </c>
      <c r="AJ3" s="154">
        <v>3.4600000000000001E-4</v>
      </c>
    </row>
    <row r="4" spans="1:36">
      <c r="A4" s="155">
        <v>274</v>
      </c>
      <c r="B4" s="155">
        <v>274</v>
      </c>
      <c r="C4" t="s">
        <v>1219</v>
      </c>
      <c r="D4" s="155">
        <v>520000118</v>
      </c>
      <c r="E4" t="s">
        <v>429</v>
      </c>
      <c r="F4" t="s">
        <v>1283</v>
      </c>
      <c r="G4" s="155" t="s">
        <v>1284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1285</v>
      </c>
      <c r="Q4" t="s">
        <v>70</v>
      </c>
      <c r="R4" t="s">
        <v>57</v>
      </c>
      <c r="S4" t="s">
        <v>1222</v>
      </c>
      <c r="T4" s="151">
        <v>3.72</v>
      </c>
      <c r="U4" s="156">
        <v>48547</v>
      </c>
      <c r="V4" s="154">
        <v>1.3899999999999999E-2</v>
      </c>
      <c r="W4" s="154">
        <v>2.5100000000000001E-2</v>
      </c>
      <c r="X4" t="s">
        <v>620</v>
      </c>
      <c r="Y4"/>
      <c r="Z4" s="151">
        <v>114400</v>
      </c>
      <c r="AA4" s="151">
        <v>1</v>
      </c>
      <c r="AB4" s="151">
        <v>105.13</v>
      </c>
      <c r="AC4" s="151"/>
      <c r="AD4" s="151">
        <v>120.26872</v>
      </c>
      <c r="AE4" s="153"/>
      <c r="AF4" s="153"/>
      <c r="AG4"/>
      <c r="AH4" s="154">
        <v>7.1000000000000005E-5</v>
      </c>
      <c r="AI4" s="154">
        <v>1.132E-3</v>
      </c>
      <c r="AJ4" s="154">
        <v>2.9E-5</v>
      </c>
    </row>
    <row r="5" spans="1:36">
      <c r="A5" s="155">
        <v>274</v>
      </c>
      <c r="B5" s="155">
        <v>274</v>
      </c>
      <c r="C5" t="s">
        <v>1219</v>
      </c>
      <c r="D5" s="155">
        <v>520000118</v>
      </c>
      <c r="E5" t="s">
        <v>429</v>
      </c>
      <c r="F5" t="s">
        <v>1286</v>
      </c>
      <c r="G5" s="155" t="s">
        <v>1287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1285</v>
      </c>
      <c r="Q5" t="s">
        <v>70</v>
      </c>
      <c r="R5" t="s">
        <v>57</v>
      </c>
      <c r="S5" t="s">
        <v>1222</v>
      </c>
      <c r="T5" s="151">
        <v>1.81</v>
      </c>
      <c r="U5" s="156">
        <v>46872</v>
      </c>
      <c r="V5" s="154">
        <v>6.0000000000000001E-3</v>
      </c>
      <c r="W5" s="154">
        <v>2.47E-2</v>
      </c>
      <c r="X5" t="s">
        <v>620</v>
      </c>
      <c r="Y5"/>
      <c r="Z5" s="151">
        <v>386700</v>
      </c>
      <c r="AA5" s="151">
        <v>1</v>
      </c>
      <c r="AB5" s="151">
        <v>114.32</v>
      </c>
      <c r="AC5" s="151"/>
      <c r="AD5" s="151">
        <v>442.07544000000001</v>
      </c>
      <c r="AE5" s="153"/>
      <c r="AF5" s="153"/>
      <c r="AG5"/>
      <c r="AH5" s="154">
        <v>5.7899999999999998E-4</v>
      </c>
      <c r="AI5" s="154">
        <v>4.1640000000000002E-3</v>
      </c>
      <c r="AJ5" s="154">
        <v>1.07E-4</v>
      </c>
    </row>
    <row r="6" spans="1:36">
      <c r="A6" s="155">
        <v>274</v>
      </c>
      <c r="B6" s="155">
        <v>274</v>
      </c>
      <c r="C6" t="s">
        <v>1219</v>
      </c>
      <c r="D6" s="155">
        <v>520000118</v>
      </c>
      <c r="E6" t="s">
        <v>429</v>
      </c>
      <c r="F6" t="s">
        <v>1288</v>
      </c>
      <c r="G6" s="155" t="s">
        <v>1289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1290</v>
      </c>
      <c r="Q6" t="s">
        <v>65</v>
      </c>
      <c r="R6" t="s">
        <v>57</v>
      </c>
      <c r="S6" t="s">
        <v>1222</v>
      </c>
      <c r="T6" s="151">
        <v>3.24</v>
      </c>
      <c r="U6" s="156">
        <v>47086</v>
      </c>
      <c r="V6" s="154">
        <v>3.09E-2</v>
      </c>
      <c r="W6" s="154">
        <v>2.98E-2</v>
      </c>
      <c r="X6" t="s">
        <v>620</v>
      </c>
      <c r="Y6"/>
      <c r="Z6" s="151">
        <v>600000</v>
      </c>
      <c r="AA6" s="151">
        <v>1</v>
      </c>
      <c r="AB6" s="151">
        <v>110.98</v>
      </c>
      <c r="AC6" s="151"/>
      <c r="AD6" s="151">
        <v>665.88</v>
      </c>
      <c r="AE6" s="153"/>
      <c r="AF6" s="153"/>
      <c r="AG6"/>
      <c r="AH6" s="154">
        <v>6.3100000000000005E-4</v>
      </c>
      <c r="AI6" s="154">
        <v>6.2719999999999998E-3</v>
      </c>
      <c r="AJ6" s="154">
        <v>1.6100000000000001E-4</v>
      </c>
    </row>
    <row r="7" spans="1:36">
      <c r="A7" s="155">
        <v>274</v>
      </c>
      <c r="B7" s="155">
        <v>274</v>
      </c>
      <c r="C7" t="s">
        <v>1280</v>
      </c>
      <c r="D7" s="155">
        <v>520000472</v>
      </c>
      <c r="E7" t="s">
        <v>429</v>
      </c>
      <c r="F7" t="s">
        <v>1291</v>
      </c>
      <c r="G7" s="155" t="s">
        <v>1292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156</v>
      </c>
      <c r="O7" t="s">
        <v>62</v>
      </c>
      <c r="P7" t="s">
        <v>1217</v>
      </c>
      <c r="Q7" t="s">
        <v>65</v>
      </c>
      <c r="R7" t="s">
        <v>57</v>
      </c>
      <c r="S7" t="s">
        <v>1222</v>
      </c>
      <c r="T7" s="151">
        <v>10.199999999999999</v>
      </c>
      <c r="U7" s="156">
        <v>49825</v>
      </c>
      <c r="V7" s="154">
        <v>1.2500000000000001E-2</v>
      </c>
      <c r="W7" s="154">
        <v>2.7900000000000001E-2</v>
      </c>
      <c r="X7" t="s">
        <v>620</v>
      </c>
      <c r="Y7"/>
      <c r="Z7" s="151">
        <v>586000</v>
      </c>
      <c r="AA7" s="151">
        <v>1</v>
      </c>
      <c r="AB7" s="151">
        <v>98.88</v>
      </c>
      <c r="AC7" s="151"/>
      <c r="AD7" s="151">
        <v>579.43679999999995</v>
      </c>
      <c r="AE7" s="153"/>
      <c r="AF7" s="153"/>
      <c r="AG7"/>
      <c r="AH7" s="154">
        <v>1.36E-4</v>
      </c>
      <c r="AI7" s="154">
        <v>5.4580000000000002E-3</v>
      </c>
      <c r="AJ7" s="154">
        <v>1.3999999999999999E-4</v>
      </c>
    </row>
    <row r="8" spans="1:36">
      <c r="A8" s="155">
        <v>274</v>
      </c>
      <c r="B8" s="155">
        <v>274</v>
      </c>
      <c r="C8" t="s">
        <v>1293</v>
      </c>
      <c r="D8" s="155">
        <v>510960719</v>
      </c>
      <c r="E8" t="s">
        <v>429</v>
      </c>
      <c r="F8" t="s">
        <v>1294</v>
      </c>
      <c r="G8" s="155" t="s">
        <v>1295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62</v>
      </c>
      <c r="P8" t="s">
        <v>1296</v>
      </c>
      <c r="Q8" t="s">
        <v>70</v>
      </c>
      <c r="R8" t="s">
        <v>57</v>
      </c>
      <c r="S8" t="s">
        <v>1222</v>
      </c>
      <c r="T8" s="151">
        <v>2.68</v>
      </c>
      <c r="U8" s="156">
        <v>47669</v>
      </c>
      <c r="V8" s="154">
        <v>1.34E-2</v>
      </c>
      <c r="W8" s="154">
        <v>2.8000000000000001E-2</v>
      </c>
      <c r="X8" t="s">
        <v>620</v>
      </c>
      <c r="Y8"/>
      <c r="Z8" s="151">
        <v>41086.65</v>
      </c>
      <c r="AA8" s="151">
        <v>1</v>
      </c>
      <c r="AB8" s="151">
        <v>114.07</v>
      </c>
      <c r="AC8" s="151">
        <v>5.2304599999999999</v>
      </c>
      <c r="AD8" s="151">
        <v>52.097999999999999</v>
      </c>
      <c r="AE8" s="153"/>
      <c r="AF8" s="153"/>
      <c r="AG8"/>
      <c r="AH8" s="154">
        <v>1.8E-5</v>
      </c>
      <c r="AI8" s="154">
        <v>4.8899999999999996E-4</v>
      </c>
      <c r="AJ8" s="154">
        <v>1.2E-5</v>
      </c>
    </row>
    <row r="9" spans="1:36">
      <c r="A9" s="155">
        <v>274</v>
      </c>
      <c r="B9" s="155">
        <v>274</v>
      </c>
      <c r="C9" t="s">
        <v>1277</v>
      </c>
      <c r="D9" s="155">
        <v>520032046</v>
      </c>
      <c r="E9" t="s">
        <v>429</v>
      </c>
      <c r="F9" t="s">
        <v>1297</v>
      </c>
      <c r="G9" s="155" t="s">
        <v>1298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1217</v>
      </c>
      <c r="Q9" t="s">
        <v>65</v>
      </c>
      <c r="R9" t="s">
        <v>57</v>
      </c>
      <c r="S9" t="s">
        <v>1222</v>
      </c>
      <c r="T9" s="151">
        <v>3.21</v>
      </c>
      <c r="U9" s="156">
        <v>47950</v>
      </c>
      <c r="V9" s="154">
        <v>1E-3</v>
      </c>
      <c r="W9" s="154">
        <v>2.58E-2</v>
      </c>
      <c r="X9" t="s">
        <v>620</v>
      </c>
      <c r="Y9"/>
      <c r="Z9" s="151">
        <v>1473407</v>
      </c>
      <c r="AA9" s="151">
        <v>1</v>
      </c>
      <c r="AB9" s="151">
        <v>104.36</v>
      </c>
      <c r="AC9" s="151"/>
      <c r="AD9" s="151">
        <v>1537.6475499999999</v>
      </c>
      <c r="AE9" s="153"/>
      <c r="AF9" s="153"/>
      <c r="AG9"/>
      <c r="AH9" s="154">
        <v>6.6E-4</v>
      </c>
      <c r="AI9" s="154">
        <v>1.4484E-2</v>
      </c>
      <c r="AJ9" s="154">
        <v>3.7300000000000001E-4</v>
      </c>
    </row>
    <row r="10" spans="1:36">
      <c r="A10" s="155">
        <v>274</v>
      </c>
      <c r="B10" s="155">
        <v>274</v>
      </c>
      <c r="C10" t="s">
        <v>1299</v>
      </c>
      <c r="D10" s="155">
        <v>520018078</v>
      </c>
      <c r="E10" t="s">
        <v>429</v>
      </c>
      <c r="F10" t="s">
        <v>1300</v>
      </c>
      <c r="G10" s="155" t="s">
        <v>1301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1217</v>
      </c>
      <c r="Q10" t="s">
        <v>65</v>
      </c>
      <c r="R10" t="s">
        <v>57</v>
      </c>
      <c r="S10" t="s">
        <v>1222</v>
      </c>
      <c r="T10" s="151">
        <v>1</v>
      </c>
      <c r="U10" s="156">
        <v>46203</v>
      </c>
      <c r="V10" s="154">
        <v>8.3000000000000001E-3</v>
      </c>
      <c r="W10" s="154">
        <v>2.4799999999999999E-2</v>
      </c>
      <c r="X10" t="s">
        <v>620</v>
      </c>
      <c r="Y10"/>
      <c r="Z10" s="151">
        <v>377569</v>
      </c>
      <c r="AA10" s="151">
        <v>1</v>
      </c>
      <c r="AB10" s="151">
        <v>115.16</v>
      </c>
      <c r="AC10" s="151"/>
      <c r="AD10" s="151">
        <v>434.80846000000003</v>
      </c>
      <c r="AE10" s="153"/>
      <c r="AF10" s="153"/>
      <c r="AG10"/>
      <c r="AH10" s="154">
        <v>2.4800000000000001E-4</v>
      </c>
      <c r="AI10" s="154">
        <v>4.0949999999999997E-3</v>
      </c>
      <c r="AJ10" s="154">
        <v>1.05E-4</v>
      </c>
    </row>
    <row r="11" spans="1:36">
      <c r="A11" s="155">
        <v>274</v>
      </c>
      <c r="B11" s="155">
        <v>274</v>
      </c>
      <c r="C11" t="s">
        <v>1302</v>
      </c>
      <c r="D11" s="155">
        <v>513436394</v>
      </c>
      <c r="E11" t="s">
        <v>429</v>
      </c>
      <c r="F11" t="s">
        <v>1303</v>
      </c>
      <c r="G11" s="155" t="s">
        <v>1304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258</v>
      </c>
      <c r="O11" t="s">
        <v>62</v>
      </c>
      <c r="P11" t="s">
        <v>1296</v>
      </c>
      <c r="Q11" t="s">
        <v>70</v>
      </c>
      <c r="R11" t="s">
        <v>57</v>
      </c>
      <c r="S11" t="s">
        <v>1222</v>
      </c>
      <c r="T11" s="151">
        <v>5.05</v>
      </c>
      <c r="U11" s="156">
        <v>48760</v>
      </c>
      <c r="V11" s="154">
        <v>2.9499999999999998E-2</v>
      </c>
      <c r="W11" s="154">
        <v>2.52E-2</v>
      </c>
      <c r="X11" t="s">
        <v>620</v>
      </c>
      <c r="Y11"/>
      <c r="Z11" s="151">
        <v>3888057.32</v>
      </c>
      <c r="AA11" s="151">
        <v>1</v>
      </c>
      <c r="AB11" s="151">
        <v>118.55</v>
      </c>
      <c r="AC11" s="151"/>
      <c r="AD11" s="151">
        <v>4609.2919499999998</v>
      </c>
      <c r="AE11" s="153"/>
      <c r="AF11" s="153"/>
      <c r="AG11"/>
      <c r="AH11" s="154">
        <v>2.7360000000000002E-3</v>
      </c>
      <c r="AI11" s="154">
        <v>4.3418999999999999E-2</v>
      </c>
      <c r="AJ11" s="154">
        <v>1.119E-3</v>
      </c>
    </row>
    <row r="12" spans="1:36">
      <c r="A12" s="155">
        <v>274</v>
      </c>
      <c r="B12" s="155">
        <v>274</v>
      </c>
      <c r="C12" t="s">
        <v>1305</v>
      </c>
      <c r="D12" s="155">
        <v>520029935</v>
      </c>
      <c r="E12" t="s">
        <v>429</v>
      </c>
      <c r="F12" t="s">
        <v>1306</v>
      </c>
      <c r="G12" s="155" t="s">
        <v>1307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1217</v>
      </c>
      <c r="Q12" t="s">
        <v>65</v>
      </c>
      <c r="R12" t="s">
        <v>57</v>
      </c>
      <c r="S12" t="s">
        <v>1222</v>
      </c>
      <c r="T12" s="151">
        <v>3.5</v>
      </c>
      <c r="U12" s="156">
        <v>48441</v>
      </c>
      <c r="V12" s="154">
        <v>2E-3</v>
      </c>
      <c r="W12" s="154">
        <v>2.5999999999999999E-2</v>
      </c>
      <c r="X12" t="s">
        <v>620</v>
      </c>
      <c r="Y12"/>
      <c r="Z12" s="151">
        <v>4495158.16</v>
      </c>
      <c r="AA12" s="151">
        <v>1</v>
      </c>
      <c r="AB12" s="151">
        <v>105.05</v>
      </c>
      <c r="AC12" s="151"/>
      <c r="AD12" s="151">
        <v>4722.1636500000004</v>
      </c>
      <c r="AE12" s="153"/>
      <c r="AF12" s="153"/>
      <c r="AG12"/>
      <c r="AH12" s="154">
        <v>1.3179999999999999E-3</v>
      </c>
      <c r="AI12" s="154">
        <v>4.4483000000000002E-2</v>
      </c>
      <c r="AJ12" s="154">
        <v>1.147E-3</v>
      </c>
    </row>
    <row r="13" spans="1:36">
      <c r="A13" s="155">
        <v>274</v>
      </c>
      <c r="B13" s="155">
        <v>274</v>
      </c>
      <c r="C13" t="s">
        <v>1219</v>
      </c>
      <c r="D13" s="155">
        <v>520000118</v>
      </c>
      <c r="E13" t="s">
        <v>429</v>
      </c>
      <c r="F13" t="s">
        <v>1308</v>
      </c>
      <c r="G13" s="155" t="s">
        <v>1309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1290</v>
      </c>
      <c r="Q13" t="s">
        <v>65</v>
      </c>
      <c r="R13" t="s">
        <v>57</v>
      </c>
      <c r="S13" t="s">
        <v>1222</v>
      </c>
      <c r="T13" s="151">
        <v>1.1000000000000001</v>
      </c>
      <c r="U13" s="156">
        <v>46251</v>
      </c>
      <c r="V13" s="154">
        <v>2.9700000000000001E-2</v>
      </c>
      <c r="W13" s="154">
        <v>3.0300000000000001E-2</v>
      </c>
      <c r="X13" t="s">
        <v>620</v>
      </c>
      <c r="Y13"/>
      <c r="Z13" s="151">
        <v>300000</v>
      </c>
      <c r="AA13" s="151">
        <v>1</v>
      </c>
      <c r="AB13" s="151">
        <v>119.99</v>
      </c>
      <c r="AC13" s="151"/>
      <c r="AD13" s="151">
        <v>359.97</v>
      </c>
      <c r="AE13" s="153"/>
      <c r="AF13" s="153"/>
      <c r="AG13"/>
      <c r="AH13" s="154">
        <v>4.28E-4</v>
      </c>
      <c r="AI13" s="154">
        <v>3.3899999999999998E-3</v>
      </c>
      <c r="AJ13" s="154">
        <v>8.7000000000000001E-5</v>
      </c>
    </row>
    <row r="14" spans="1:36">
      <c r="A14" s="155">
        <v>274</v>
      </c>
      <c r="B14" s="155">
        <v>274</v>
      </c>
      <c r="C14" t="s">
        <v>1219</v>
      </c>
      <c r="D14" s="155">
        <v>520000118</v>
      </c>
      <c r="E14" t="s">
        <v>429</v>
      </c>
      <c r="F14" t="s">
        <v>1310</v>
      </c>
      <c r="G14" s="155" t="s">
        <v>1311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1285</v>
      </c>
      <c r="Q14" t="s">
        <v>70</v>
      </c>
      <c r="R14" t="s">
        <v>57</v>
      </c>
      <c r="S14" t="s">
        <v>1222</v>
      </c>
      <c r="T14" s="151">
        <v>3.34</v>
      </c>
      <c r="U14" s="156">
        <v>48191</v>
      </c>
      <c r="V14" s="154">
        <v>1E-3</v>
      </c>
      <c r="W14" s="154">
        <v>2.5700000000000001E-2</v>
      </c>
      <c r="X14" t="s">
        <v>620</v>
      </c>
      <c r="Y14"/>
      <c r="Z14" s="151">
        <v>465458.7</v>
      </c>
      <c r="AA14" s="151">
        <v>1</v>
      </c>
      <c r="AB14" s="151">
        <v>105.19</v>
      </c>
      <c r="AC14" s="151"/>
      <c r="AD14" s="151">
        <v>489.61601000000002</v>
      </c>
      <c r="AE14" s="153"/>
      <c r="AF14" s="153"/>
      <c r="AG14"/>
      <c r="AH14" s="154">
        <v>4.7199999999999998E-4</v>
      </c>
      <c r="AI14" s="154">
        <v>4.6119999999999998E-3</v>
      </c>
      <c r="AJ14" s="154">
        <v>1.18E-4</v>
      </c>
    </row>
    <row r="15" spans="1:36">
      <c r="A15" s="155">
        <v>274</v>
      </c>
      <c r="B15" s="155">
        <v>274</v>
      </c>
      <c r="C15" t="s">
        <v>1219</v>
      </c>
      <c r="D15" s="155">
        <v>520000118</v>
      </c>
      <c r="E15" t="s">
        <v>429</v>
      </c>
      <c r="F15" t="s">
        <v>1312</v>
      </c>
      <c r="G15" s="155" t="s">
        <v>1313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1285</v>
      </c>
      <c r="Q15" t="s">
        <v>70</v>
      </c>
      <c r="R15" t="s">
        <v>57</v>
      </c>
      <c r="S15" t="s">
        <v>1222</v>
      </c>
      <c r="T15" s="151">
        <v>2.81</v>
      </c>
      <c r="U15" s="156">
        <v>47819</v>
      </c>
      <c r="V15" s="154">
        <v>1.7500000000000002E-2</v>
      </c>
      <c r="W15" s="154">
        <v>2.4400000000000002E-2</v>
      </c>
      <c r="X15" t="s">
        <v>620</v>
      </c>
      <c r="Y15"/>
      <c r="Z15" s="151">
        <v>766449.9</v>
      </c>
      <c r="AA15" s="151">
        <v>1</v>
      </c>
      <c r="AB15" s="151">
        <v>115.29</v>
      </c>
      <c r="AC15" s="151"/>
      <c r="AD15" s="151">
        <v>883.64008999999999</v>
      </c>
      <c r="AE15" s="153"/>
      <c r="AF15" s="153"/>
      <c r="AG15"/>
      <c r="AH15" s="154">
        <v>3.4299999999999999E-4</v>
      </c>
      <c r="AI15" s="154">
        <v>8.3230000000000005E-3</v>
      </c>
      <c r="AJ15" s="154">
        <v>2.14E-4</v>
      </c>
    </row>
    <row r="16" spans="1:36">
      <c r="A16" s="155">
        <v>274</v>
      </c>
      <c r="B16" s="155">
        <v>274</v>
      </c>
      <c r="C16" t="s">
        <v>1314</v>
      </c>
      <c r="D16" s="155">
        <v>520031931</v>
      </c>
      <c r="E16" t="s">
        <v>429</v>
      </c>
      <c r="F16" t="s">
        <v>1315</v>
      </c>
      <c r="G16" s="155" t="s">
        <v>1316</v>
      </c>
      <c r="H16" t="s">
        <v>76</v>
      </c>
      <c r="I16" t="s">
        <v>228</v>
      </c>
      <c r="J16" t="s">
        <v>53</v>
      </c>
      <c r="K16" t="s">
        <v>53</v>
      </c>
      <c r="L16" t="s">
        <v>805</v>
      </c>
      <c r="M16" t="s">
        <v>311</v>
      </c>
      <c r="N16" t="s">
        <v>260</v>
      </c>
      <c r="O16" t="s">
        <v>62</v>
      </c>
      <c r="P16" t="s">
        <v>1317</v>
      </c>
      <c r="Q16" t="s">
        <v>70</v>
      </c>
      <c r="R16" t="s">
        <v>57</v>
      </c>
      <c r="S16" t="s">
        <v>1222</v>
      </c>
      <c r="T16" s="151">
        <v>0.42</v>
      </c>
      <c r="U16" s="156">
        <v>45992</v>
      </c>
      <c r="V16" s="154">
        <v>3.6499999999999998E-2</v>
      </c>
      <c r="W16" s="154">
        <v>4.48E-2</v>
      </c>
      <c r="X16" t="s">
        <v>620</v>
      </c>
      <c r="Y16"/>
      <c r="Z16" s="151">
        <v>176220.85</v>
      </c>
      <c r="AA16" s="151">
        <v>1</v>
      </c>
      <c r="AB16" s="151">
        <v>99.97</v>
      </c>
      <c r="AC16" s="151"/>
      <c r="AD16" s="151">
        <v>176.16798</v>
      </c>
      <c r="AE16" s="153"/>
      <c r="AF16" s="153"/>
      <c r="AG16"/>
      <c r="AH16" s="154">
        <v>3.3E-4</v>
      </c>
      <c r="AI16" s="154">
        <v>1.6590000000000001E-3</v>
      </c>
      <c r="AJ16" s="154">
        <v>4.1999999999999998E-5</v>
      </c>
    </row>
    <row r="17" spans="1:36">
      <c r="A17" s="155">
        <v>274</v>
      </c>
      <c r="B17" s="155">
        <v>274</v>
      </c>
      <c r="C17" t="s">
        <v>1299</v>
      </c>
      <c r="D17" s="155">
        <v>520018078</v>
      </c>
      <c r="E17" t="s">
        <v>429</v>
      </c>
      <c r="F17" t="s">
        <v>1318</v>
      </c>
      <c r="G17" s="155" t="s">
        <v>1319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1217</v>
      </c>
      <c r="Q17" t="s">
        <v>65</v>
      </c>
      <c r="R17" t="s">
        <v>57</v>
      </c>
      <c r="S17" t="s">
        <v>1222</v>
      </c>
      <c r="T17" s="151">
        <v>4.3899999999999997</v>
      </c>
      <c r="U17" s="156">
        <v>47447</v>
      </c>
      <c r="V17" s="154">
        <v>1E-3</v>
      </c>
      <c r="W17" s="154">
        <v>2.58E-2</v>
      </c>
      <c r="X17" t="s">
        <v>620</v>
      </c>
      <c r="Y17"/>
      <c r="Z17" s="151">
        <v>2394730</v>
      </c>
      <c r="AA17" s="151">
        <v>1</v>
      </c>
      <c r="AB17" s="151">
        <v>102.6</v>
      </c>
      <c r="AC17" s="151"/>
      <c r="AD17" s="151">
        <v>2456.99298</v>
      </c>
      <c r="AE17" s="153"/>
      <c r="AF17" s="153"/>
      <c r="AG17"/>
      <c r="AH17" s="154">
        <v>5.5800000000000001E-4</v>
      </c>
      <c r="AI17" s="154">
        <v>2.3144999999999999E-2</v>
      </c>
      <c r="AJ17" s="154">
        <v>5.9599999999999996E-4</v>
      </c>
    </row>
    <row r="18" spans="1:36">
      <c r="A18" s="155">
        <v>274</v>
      </c>
      <c r="B18" s="155">
        <v>274</v>
      </c>
      <c r="C18" t="s">
        <v>1280</v>
      </c>
      <c r="D18" s="155">
        <v>520000472</v>
      </c>
      <c r="E18" t="s">
        <v>429</v>
      </c>
      <c r="F18" t="s">
        <v>1320</v>
      </c>
      <c r="G18" s="155" t="s">
        <v>1321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156</v>
      </c>
      <c r="O18" t="s">
        <v>62</v>
      </c>
      <c r="P18" t="s">
        <v>1217</v>
      </c>
      <c r="Q18" t="s">
        <v>65</v>
      </c>
      <c r="R18" t="s">
        <v>57</v>
      </c>
      <c r="S18" t="s">
        <v>1222</v>
      </c>
      <c r="T18" s="151">
        <v>2.77</v>
      </c>
      <c r="U18" s="156">
        <v>47220</v>
      </c>
      <c r="V18" s="154">
        <v>3.85E-2</v>
      </c>
      <c r="W18" s="154">
        <v>2.46E-2</v>
      </c>
      <c r="X18" t="s">
        <v>620</v>
      </c>
      <c r="Y18"/>
      <c r="Z18" s="151">
        <v>11402089.869999999</v>
      </c>
      <c r="AA18" s="151">
        <v>1</v>
      </c>
      <c r="AB18" s="151">
        <v>123.46</v>
      </c>
      <c r="AC18" s="151"/>
      <c r="AD18" s="151">
        <v>14077.02015</v>
      </c>
      <c r="AE18" s="153"/>
      <c r="AF18" s="153"/>
      <c r="AG18"/>
      <c r="AH18" s="154">
        <v>4.5110000000000003E-3</v>
      </c>
      <c r="AI18" s="154">
        <v>0.132606</v>
      </c>
      <c r="AJ18" s="154">
        <v>3.4199999999999999E-3</v>
      </c>
    </row>
    <row r="19" spans="1:36">
      <c r="A19" s="155">
        <v>274</v>
      </c>
      <c r="B19" s="155">
        <v>274</v>
      </c>
      <c r="C19" t="s">
        <v>1322</v>
      </c>
      <c r="D19" s="155">
        <v>513834200</v>
      </c>
      <c r="E19" t="s">
        <v>429</v>
      </c>
      <c r="F19" t="s">
        <v>1323</v>
      </c>
      <c r="G19" s="155" t="s">
        <v>1324</v>
      </c>
      <c r="H19" t="s">
        <v>76</v>
      </c>
      <c r="I19" t="s">
        <v>228</v>
      </c>
      <c r="J19" t="s">
        <v>53</v>
      </c>
      <c r="K19" t="s">
        <v>53</v>
      </c>
      <c r="L19" t="s">
        <v>805</v>
      </c>
      <c r="M19" t="s">
        <v>311</v>
      </c>
      <c r="N19" t="s">
        <v>269</v>
      </c>
      <c r="O19" t="s">
        <v>62</v>
      </c>
      <c r="P19" t="s">
        <v>1325</v>
      </c>
      <c r="Q19" t="s">
        <v>70</v>
      </c>
      <c r="R19" t="s">
        <v>57</v>
      </c>
      <c r="S19" t="s">
        <v>1222</v>
      </c>
      <c r="T19" s="151">
        <v>4.17</v>
      </c>
      <c r="U19" s="156">
        <v>47483</v>
      </c>
      <c r="V19" s="154">
        <v>3.95E-2</v>
      </c>
      <c r="W19" s="154">
        <v>4.48E-2</v>
      </c>
      <c r="X19" t="s">
        <v>620</v>
      </c>
      <c r="Y19"/>
      <c r="Z19" s="151">
        <v>26066</v>
      </c>
      <c r="AA19" s="151">
        <v>1</v>
      </c>
      <c r="AB19" s="151">
        <v>98.06</v>
      </c>
      <c r="AC19" s="151"/>
      <c r="AD19" s="151">
        <v>25.560320000000001</v>
      </c>
      <c r="AE19" s="153"/>
      <c r="AF19" s="153"/>
      <c r="AG19"/>
      <c r="AH19" s="154">
        <v>1.08E-4</v>
      </c>
      <c r="AI19" s="154">
        <v>2.4000000000000001E-4</v>
      </c>
      <c r="AJ19" s="154">
        <v>6.0000000000000002E-6</v>
      </c>
    </row>
    <row r="20" spans="1:36">
      <c r="A20" s="155">
        <v>274</v>
      </c>
      <c r="B20" s="155">
        <v>274</v>
      </c>
      <c r="C20" t="s">
        <v>1326</v>
      </c>
      <c r="D20" s="155">
        <v>520010869</v>
      </c>
      <c r="E20" t="s">
        <v>429</v>
      </c>
      <c r="F20" t="s">
        <v>1327</v>
      </c>
      <c r="G20" s="155" t="s">
        <v>1328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258</v>
      </c>
      <c r="O20" t="s">
        <v>62</v>
      </c>
      <c r="P20" t="s">
        <v>1217</v>
      </c>
      <c r="Q20" t="s">
        <v>65</v>
      </c>
      <c r="R20" t="s">
        <v>57</v>
      </c>
      <c r="S20" t="s">
        <v>1222</v>
      </c>
      <c r="T20" s="151">
        <v>1.48</v>
      </c>
      <c r="U20" s="156">
        <v>46752</v>
      </c>
      <c r="V20" s="154">
        <v>1E-3</v>
      </c>
      <c r="W20" s="154">
        <v>2.5999999999999999E-2</v>
      </c>
      <c r="X20" t="s">
        <v>620</v>
      </c>
      <c r="Y20"/>
      <c r="Z20" s="151">
        <v>967200</v>
      </c>
      <c r="AA20" s="151">
        <v>1</v>
      </c>
      <c r="AB20" s="151">
        <v>111.15</v>
      </c>
      <c r="AC20" s="151"/>
      <c r="AD20" s="151">
        <v>1075.0427999999999</v>
      </c>
      <c r="AE20" s="153"/>
      <c r="AF20" s="153"/>
      <c r="AG20"/>
      <c r="AH20" s="154">
        <v>1.505E-3</v>
      </c>
      <c r="AI20" s="154">
        <v>1.0126E-2</v>
      </c>
      <c r="AJ20" s="154">
        <v>2.61E-4</v>
      </c>
    </row>
    <row r="21" spans="1:36" s="36" customFormat="1">
      <c r="A21" s="155">
        <v>274</v>
      </c>
      <c r="B21" s="155">
        <v>274</v>
      </c>
      <c r="C21" t="s">
        <v>1277</v>
      </c>
      <c r="D21" s="155">
        <v>520032046</v>
      </c>
      <c r="E21" t="s">
        <v>429</v>
      </c>
      <c r="F21" t="s">
        <v>1329</v>
      </c>
      <c r="G21" s="155" t="s">
        <v>1330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1217</v>
      </c>
      <c r="Q21" t="s">
        <v>65</v>
      </c>
      <c r="R21" t="s">
        <v>57</v>
      </c>
      <c r="S21" t="s">
        <v>1222</v>
      </c>
      <c r="T21" s="151">
        <v>4.22</v>
      </c>
      <c r="U21" s="156">
        <v>48742</v>
      </c>
      <c r="V21" s="154">
        <v>2.06E-2</v>
      </c>
      <c r="W21" s="154">
        <v>2.5899999999999999E-2</v>
      </c>
      <c r="X21" t="s">
        <v>620</v>
      </c>
      <c r="Y21"/>
      <c r="Z21" s="151">
        <v>2080000</v>
      </c>
      <c r="AA21" s="151">
        <v>1</v>
      </c>
      <c r="AB21" s="151">
        <v>103.97</v>
      </c>
      <c r="AC21" s="151"/>
      <c r="AD21" s="151">
        <v>2162.576</v>
      </c>
      <c r="AE21" s="153"/>
      <c r="AF21" s="153"/>
      <c r="AG21"/>
      <c r="AH21" s="154">
        <v>1.299E-3</v>
      </c>
      <c r="AI21" s="154">
        <v>2.0371E-2</v>
      </c>
      <c r="AJ21" s="154">
        <v>5.2499999999999997E-4</v>
      </c>
    </row>
    <row r="22" spans="1:36">
      <c r="A22" s="155">
        <v>274</v>
      </c>
      <c r="B22" s="155">
        <v>274</v>
      </c>
      <c r="C22" t="s">
        <v>1277</v>
      </c>
      <c r="D22" s="155">
        <v>520032046</v>
      </c>
      <c r="E22" t="s">
        <v>429</v>
      </c>
      <c r="F22" t="s">
        <v>1331</v>
      </c>
      <c r="G22" s="155" t="s">
        <v>1332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1217</v>
      </c>
      <c r="Q22" t="s">
        <v>65</v>
      </c>
      <c r="R22" t="s">
        <v>57</v>
      </c>
      <c r="S22" t="s">
        <v>1222</v>
      </c>
      <c r="T22" s="151">
        <v>3.28</v>
      </c>
      <c r="U22" s="156">
        <v>48190</v>
      </c>
      <c r="V22" s="154">
        <v>1.6400000000000001E-2</v>
      </c>
      <c r="W22" s="154">
        <v>2.6200000000000001E-2</v>
      </c>
      <c r="X22" t="s">
        <v>620</v>
      </c>
      <c r="Y22"/>
      <c r="Z22" s="151">
        <v>401344.8</v>
      </c>
      <c r="AA22" s="151">
        <v>1</v>
      </c>
      <c r="AB22" s="151">
        <v>106.26</v>
      </c>
      <c r="AC22" s="151"/>
      <c r="AD22" s="151">
        <v>426.46897999999999</v>
      </c>
      <c r="AE22" s="153"/>
      <c r="AF22" s="153"/>
      <c r="AG22"/>
      <c r="AH22" s="154">
        <v>4.26E-4</v>
      </c>
      <c r="AI22" s="154">
        <v>4.0169999999999997E-3</v>
      </c>
      <c r="AJ22" s="154">
        <v>1.03E-4</v>
      </c>
    </row>
    <row r="23" spans="1:36">
      <c r="A23" s="155">
        <v>274</v>
      </c>
      <c r="B23" s="155">
        <v>274</v>
      </c>
      <c r="C23" t="s">
        <v>1299</v>
      </c>
      <c r="D23" s="155">
        <v>520018078</v>
      </c>
      <c r="E23" t="s">
        <v>429</v>
      </c>
      <c r="F23" t="s">
        <v>1333</v>
      </c>
      <c r="G23" s="155" t="s">
        <v>1334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1217</v>
      </c>
      <c r="Q23" t="s">
        <v>65</v>
      </c>
      <c r="R23" t="s">
        <v>57</v>
      </c>
      <c r="S23" t="s">
        <v>1222</v>
      </c>
      <c r="T23" s="151">
        <v>2.4</v>
      </c>
      <c r="U23" s="156">
        <v>46716</v>
      </c>
      <c r="V23" s="154">
        <v>1E-3</v>
      </c>
      <c r="W23" s="154">
        <v>2.4899999999999999E-2</v>
      </c>
      <c r="X23" t="s">
        <v>620</v>
      </c>
      <c r="Y23"/>
      <c r="Z23" s="151">
        <v>8460500</v>
      </c>
      <c r="AA23" s="151">
        <v>1</v>
      </c>
      <c r="AB23" s="151">
        <v>107.95</v>
      </c>
      <c r="AC23" s="151"/>
      <c r="AD23" s="151">
        <v>9133.1097499999996</v>
      </c>
      <c r="AE23" s="153"/>
      <c r="AF23" s="153"/>
      <c r="AG23"/>
      <c r="AH23" s="154">
        <v>2.696E-3</v>
      </c>
      <c r="AI23" s="154">
        <v>8.6033999999999999E-2</v>
      </c>
      <c r="AJ23" s="154">
        <v>2.2179999999999999E-3</v>
      </c>
    </row>
    <row r="24" spans="1:36">
      <c r="A24" s="155">
        <v>274</v>
      </c>
      <c r="B24" s="155">
        <v>274</v>
      </c>
      <c r="C24" t="s">
        <v>1326</v>
      </c>
      <c r="D24" s="155">
        <v>520010869</v>
      </c>
      <c r="E24" t="s">
        <v>429</v>
      </c>
      <c r="F24" t="s">
        <v>1335</v>
      </c>
      <c r="G24" s="155" t="s">
        <v>1336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258</v>
      </c>
      <c r="O24" t="s">
        <v>62</v>
      </c>
      <c r="P24" t="s">
        <v>1217</v>
      </c>
      <c r="Q24" t="s">
        <v>65</v>
      </c>
      <c r="R24" t="s">
        <v>57</v>
      </c>
      <c r="S24" t="s">
        <v>1222</v>
      </c>
      <c r="T24" s="151">
        <v>11.73</v>
      </c>
      <c r="U24" s="156">
        <v>56249</v>
      </c>
      <c r="V24" s="154">
        <v>2.07E-2</v>
      </c>
      <c r="W24" s="154">
        <v>2.7699999999999999E-2</v>
      </c>
      <c r="X24" t="s">
        <v>620</v>
      </c>
      <c r="Y24"/>
      <c r="Z24" s="151">
        <v>12439611.77</v>
      </c>
      <c r="AA24" s="151">
        <v>1</v>
      </c>
      <c r="AB24" s="151">
        <v>106.32</v>
      </c>
      <c r="AC24" s="151"/>
      <c r="AD24" s="151">
        <v>13225.79523</v>
      </c>
      <c r="AE24" s="153"/>
      <c r="AF24" s="153"/>
      <c r="AG24"/>
      <c r="AH24" s="154">
        <v>2.2750000000000001E-3</v>
      </c>
      <c r="AI24" s="154">
        <v>0.124587</v>
      </c>
      <c r="AJ24" s="154">
        <v>3.2130000000000001E-3</v>
      </c>
    </row>
    <row r="25" spans="1:36">
      <c r="A25" s="155">
        <v>274</v>
      </c>
      <c r="B25" s="155">
        <v>274</v>
      </c>
      <c r="C25" t="s">
        <v>1299</v>
      </c>
      <c r="D25" s="155">
        <v>520018078</v>
      </c>
      <c r="E25" t="s">
        <v>429</v>
      </c>
      <c r="F25" t="s">
        <v>1337</v>
      </c>
      <c r="G25" s="155" t="s">
        <v>1338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256</v>
      </c>
      <c r="O25" t="s">
        <v>62</v>
      </c>
      <c r="P25" t="s">
        <v>1217</v>
      </c>
      <c r="Q25" t="s">
        <v>65</v>
      </c>
      <c r="R25" t="s">
        <v>57</v>
      </c>
      <c r="S25" t="s">
        <v>1222</v>
      </c>
      <c r="T25" s="151">
        <v>4.3899999999999997</v>
      </c>
      <c r="U25" s="156">
        <v>48913</v>
      </c>
      <c r="V25" s="154">
        <v>2.0199999999999999E-2</v>
      </c>
      <c r="W25" s="154">
        <v>2.63E-2</v>
      </c>
      <c r="X25" t="s">
        <v>620</v>
      </c>
      <c r="Y25"/>
      <c r="Z25" s="151">
        <v>4200000</v>
      </c>
      <c r="AA25" s="151">
        <v>1</v>
      </c>
      <c r="AB25" s="151">
        <v>102.52</v>
      </c>
      <c r="AC25" s="151"/>
      <c r="AD25" s="151">
        <v>4305.84</v>
      </c>
      <c r="AE25" s="153"/>
      <c r="AF25" s="153"/>
      <c r="AG25"/>
      <c r="AH25" s="154">
        <v>1.1770000000000001E-3</v>
      </c>
      <c r="AI25" s="154">
        <v>4.0561E-2</v>
      </c>
      <c r="AJ25" s="154">
        <v>1.0460000000000001E-3</v>
      </c>
    </row>
    <row r="26" spans="1:36">
      <c r="A26" s="155">
        <v>274</v>
      </c>
      <c r="B26" s="155">
        <v>274</v>
      </c>
      <c r="C26" t="s">
        <v>1339</v>
      </c>
      <c r="D26" s="155">
        <v>513893123</v>
      </c>
      <c r="E26" t="s">
        <v>429</v>
      </c>
      <c r="F26" t="s">
        <v>1340</v>
      </c>
      <c r="G26" s="155" t="s">
        <v>1341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633</v>
      </c>
      <c r="O26" t="s">
        <v>62</v>
      </c>
      <c r="P26" t="s">
        <v>1342</v>
      </c>
      <c r="Q26" t="s">
        <v>70</v>
      </c>
      <c r="R26" t="s">
        <v>57</v>
      </c>
      <c r="S26" t="s">
        <v>1222</v>
      </c>
      <c r="T26" s="151">
        <v>0.18</v>
      </c>
      <c r="U26" s="156">
        <v>46054</v>
      </c>
      <c r="V26" s="154">
        <v>0.01</v>
      </c>
      <c r="W26" s="154">
        <v>3.5299999999999998E-2</v>
      </c>
      <c r="X26" t="s">
        <v>620</v>
      </c>
      <c r="Y26"/>
      <c r="Z26" s="151">
        <v>138232.85999999999</v>
      </c>
      <c r="AA26" s="151">
        <v>1</v>
      </c>
      <c r="AB26" s="151">
        <v>115.84</v>
      </c>
      <c r="AC26" s="151"/>
      <c r="AD26" s="151">
        <v>160.12895</v>
      </c>
      <c r="AE26" s="153"/>
      <c r="AF26" s="153"/>
      <c r="AG26"/>
      <c r="AH26" s="154">
        <v>8.1700000000000002E-4</v>
      </c>
      <c r="AI26" s="154">
        <v>1.508E-3</v>
      </c>
      <c r="AJ26" s="154">
        <v>3.8000000000000002E-5</v>
      </c>
    </row>
    <row r="27" spans="1:36">
      <c r="A27" s="155">
        <v>274</v>
      </c>
      <c r="B27" s="155">
        <v>274</v>
      </c>
      <c r="C27" t="s">
        <v>1277</v>
      </c>
      <c r="D27" s="155">
        <v>520032046</v>
      </c>
      <c r="E27" t="s">
        <v>429</v>
      </c>
      <c r="F27" t="s">
        <v>1343</v>
      </c>
      <c r="G27" s="155" t="s">
        <v>1344</v>
      </c>
      <c r="H27" t="s">
        <v>76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256</v>
      </c>
      <c r="O27" t="s">
        <v>62</v>
      </c>
      <c r="P27" t="s">
        <v>1217</v>
      </c>
      <c r="Q27" t="s">
        <v>65</v>
      </c>
      <c r="R27" t="s">
        <v>57</v>
      </c>
      <c r="S27" t="s">
        <v>1222</v>
      </c>
      <c r="T27" s="151">
        <v>4.9800000000000004</v>
      </c>
      <c r="U27" s="156">
        <v>47665</v>
      </c>
      <c r="V27" s="154">
        <v>2E-3</v>
      </c>
      <c r="W27" s="154">
        <v>2.6100000000000002E-2</v>
      </c>
      <c r="X27" t="s">
        <v>620</v>
      </c>
      <c r="Y27"/>
      <c r="Z27" s="151">
        <v>2913500</v>
      </c>
      <c r="AA27" s="151">
        <v>1</v>
      </c>
      <c r="AB27" s="151">
        <v>104.05</v>
      </c>
      <c r="AC27" s="151">
        <v>6.8266099999999996</v>
      </c>
      <c r="AD27" s="151">
        <v>3038.3233599999999</v>
      </c>
      <c r="AE27" s="153"/>
      <c r="AF27" s="153"/>
      <c r="AG27"/>
      <c r="AH27" s="154">
        <v>8.4199999999999998E-4</v>
      </c>
      <c r="AI27" s="154">
        <v>2.862E-2</v>
      </c>
      <c r="AJ27" s="154">
        <v>7.3700000000000002E-4</v>
      </c>
    </row>
    <row r="28" spans="1:36">
      <c r="A28" s="155">
        <v>274</v>
      </c>
      <c r="B28" s="155">
        <v>274</v>
      </c>
      <c r="C28" t="s">
        <v>1293</v>
      </c>
      <c r="D28" s="155">
        <v>510960719</v>
      </c>
      <c r="E28" t="s">
        <v>429</v>
      </c>
      <c r="F28" t="s">
        <v>1345</v>
      </c>
      <c r="G28" s="155" t="s">
        <v>1346</v>
      </c>
      <c r="H28" t="s">
        <v>76</v>
      </c>
      <c r="I28" t="s">
        <v>229</v>
      </c>
      <c r="J28" t="s">
        <v>53</v>
      </c>
      <c r="K28" t="s">
        <v>53</v>
      </c>
      <c r="L28" t="s">
        <v>805</v>
      </c>
      <c r="M28" t="s">
        <v>311</v>
      </c>
      <c r="N28" t="s">
        <v>635</v>
      </c>
      <c r="O28" t="s">
        <v>62</v>
      </c>
      <c r="P28" t="s">
        <v>1296</v>
      </c>
      <c r="Q28" t="s">
        <v>70</v>
      </c>
      <c r="R28" t="s">
        <v>57</v>
      </c>
      <c r="S28" t="s">
        <v>1222</v>
      </c>
      <c r="T28" s="151">
        <v>11.94</v>
      </c>
      <c r="U28" s="156">
        <v>53329</v>
      </c>
      <c r="V28" s="154">
        <v>3.6700000000000003E-2</v>
      </c>
      <c r="W28" s="154">
        <v>3.1600000000000003E-2</v>
      </c>
      <c r="X28" t="s">
        <v>620</v>
      </c>
      <c r="Y28"/>
      <c r="Z28" s="151">
        <v>1882000</v>
      </c>
      <c r="AA28" s="151">
        <v>1</v>
      </c>
      <c r="AB28" s="151">
        <v>109.54</v>
      </c>
      <c r="AC28" s="151">
        <v>35.567909999999998</v>
      </c>
      <c r="AD28" s="151">
        <v>2097.1107099999999</v>
      </c>
      <c r="AE28" s="153"/>
      <c r="AF28" s="153"/>
      <c r="AG28"/>
      <c r="AH28" s="154">
        <v>5.7300000000000005E-4</v>
      </c>
      <c r="AI28" s="154">
        <v>1.9754000000000001E-2</v>
      </c>
      <c r="AJ28" s="154">
        <v>5.0799999999999999E-4</v>
      </c>
    </row>
    <row r="29" spans="1:36">
      <c r="A29" s="155">
        <v>274</v>
      </c>
      <c r="B29" s="155">
        <v>274</v>
      </c>
      <c r="C29" t="s">
        <v>1280</v>
      </c>
      <c r="D29" s="155">
        <v>520000472</v>
      </c>
      <c r="E29" t="s">
        <v>429</v>
      </c>
      <c r="F29" t="s">
        <v>1347</v>
      </c>
      <c r="G29" s="155" t="s">
        <v>1348</v>
      </c>
      <c r="H29" t="s">
        <v>76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156</v>
      </c>
      <c r="O29" t="s">
        <v>62</v>
      </c>
      <c r="P29" t="s">
        <v>1217</v>
      </c>
      <c r="Q29" t="s">
        <v>65</v>
      </c>
      <c r="R29" t="s">
        <v>57</v>
      </c>
      <c r="S29" t="s">
        <v>1222</v>
      </c>
      <c r="T29" s="151">
        <v>7.14</v>
      </c>
      <c r="U29" s="156">
        <v>48742</v>
      </c>
      <c r="V29" s="154">
        <v>0.03</v>
      </c>
      <c r="W29" s="154">
        <v>2.5999999999999999E-2</v>
      </c>
      <c r="X29" t="s">
        <v>620</v>
      </c>
      <c r="Y29"/>
      <c r="Z29" s="151">
        <v>1976000</v>
      </c>
      <c r="AA29" s="151">
        <v>1</v>
      </c>
      <c r="AB29" s="151">
        <v>109.5</v>
      </c>
      <c r="AC29" s="153"/>
      <c r="AD29" s="151">
        <v>2163.7199999999998</v>
      </c>
      <c r="AE29" s="153"/>
      <c r="AF29" s="153"/>
      <c r="AG29"/>
      <c r="AH29" s="154">
        <v>4.84E-4</v>
      </c>
      <c r="AI29" s="154">
        <v>2.0382000000000001E-2</v>
      </c>
      <c r="AJ29" s="154">
        <v>5.2499999999999997E-4</v>
      </c>
    </row>
    <row r="30" spans="1:36">
      <c r="A30" s="155">
        <v>274</v>
      </c>
      <c r="B30" s="155">
        <v>274</v>
      </c>
      <c r="C30" t="s">
        <v>1277</v>
      </c>
      <c r="D30" s="155">
        <v>520032046</v>
      </c>
      <c r="E30" t="s">
        <v>429</v>
      </c>
      <c r="F30" t="s">
        <v>1349</v>
      </c>
      <c r="G30" s="155" t="s">
        <v>1350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256</v>
      </c>
      <c r="O30" t="s">
        <v>62</v>
      </c>
      <c r="P30" t="s">
        <v>1217</v>
      </c>
      <c r="Q30" t="s">
        <v>65</v>
      </c>
      <c r="R30" t="s">
        <v>57</v>
      </c>
      <c r="S30" t="s">
        <v>1222</v>
      </c>
      <c r="T30" s="151">
        <v>2.21</v>
      </c>
      <c r="U30" s="156">
        <v>46658</v>
      </c>
      <c r="V30" s="154">
        <v>1.2200000000000001E-2</v>
      </c>
      <c r="W30" s="154">
        <v>2.5100000000000001E-2</v>
      </c>
      <c r="X30" t="s">
        <v>620</v>
      </c>
      <c r="Y30"/>
      <c r="Z30" s="151">
        <v>7934990</v>
      </c>
      <c r="AA30" s="151">
        <v>1</v>
      </c>
      <c r="AB30" s="151">
        <v>116.02</v>
      </c>
      <c r="AC30" s="153"/>
      <c r="AD30" s="151">
        <v>9206.1754000000001</v>
      </c>
      <c r="AE30" s="153"/>
      <c r="AF30" s="153"/>
      <c r="AG30"/>
      <c r="AH30" s="154">
        <v>2.6310000000000001E-3</v>
      </c>
      <c r="AI30" s="154">
        <v>8.6721999999999994E-2</v>
      </c>
      <c r="AJ30" s="154">
        <v>2.2360000000000001E-3</v>
      </c>
    </row>
    <row r="31" spans="1:36">
      <c r="A31" s="155">
        <v>274</v>
      </c>
      <c r="B31" s="155">
        <v>274</v>
      </c>
      <c r="C31" t="s">
        <v>1280</v>
      </c>
      <c r="D31" s="155">
        <v>520000472</v>
      </c>
      <c r="E31" t="s">
        <v>429</v>
      </c>
      <c r="F31" t="s">
        <v>1351</v>
      </c>
      <c r="G31" s="155" t="s">
        <v>1352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156</v>
      </c>
      <c r="O31" t="s">
        <v>62</v>
      </c>
      <c r="P31" t="s">
        <v>1217</v>
      </c>
      <c r="Q31" t="s">
        <v>65</v>
      </c>
      <c r="R31" t="s">
        <v>57</v>
      </c>
      <c r="S31" t="s">
        <v>1222</v>
      </c>
      <c r="T31" s="151">
        <v>5.12</v>
      </c>
      <c r="U31" s="156">
        <v>48112</v>
      </c>
      <c r="V31" s="154">
        <v>2.3900000000000001E-2</v>
      </c>
      <c r="W31" s="154">
        <v>2.6200000000000001E-2</v>
      </c>
      <c r="X31" t="s">
        <v>620</v>
      </c>
      <c r="Y31"/>
      <c r="Z31" s="151">
        <v>3431000</v>
      </c>
      <c r="AA31" s="151">
        <v>1</v>
      </c>
      <c r="AB31" s="151">
        <v>116.21</v>
      </c>
      <c r="AC31" s="153"/>
      <c r="AD31" s="151">
        <v>3987.1651000000002</v>
      </c>
      <c r="AE31" s="153"/>
      <c r="AF31" s="153"/>
      <c r="AG31"/>
      <c r="AH31" s="154">
        <v>8.8199999999999997E-4</v>
      </c>
      <c r="AI31" s="154">
        <v>3.7559000000000002E-2</v>
      </c>
      <c r="AJ31" s="154">
        <v>9.68E-4</v>
      </c>
    </row>
    <row r="32" spans="1:36">
      <c r="A32" s="155">
        <v>274</v>
      </c>
      <c r="B32" s="155">
        <v>274</v>
      </c>
      <c r="C32" t="s">
        <v>1339</v>
      </c>
      <c r="D32" s="155">
        <v>513893123</v>
      </c>
      <c r="E32" t="s">
        <v>429</v>
      </c>
      <c r="F32" t="s">
        <v>1353</v>
      </c>
      <c r="G32" s="155" t="s">
        <v>1354</v>
      </c>
      <c r="H32" t="s">
        <v>76</v>
      </c>
      <c r="I32" t="s">
        <v>229</v>
      </c>
      <c r="J32" t="s">
        <v>53</v>
      </c>
      <c r="K32" t="s">
        <v>53</v>
      </c>
      <c r="L32" t="s">
        <v>805</v>
      </c>
      <c r="M32" t="s">
        <v>311</v>
      </c>
      <c r="N32" t="s">
        <v>633</v>
      </c>
      <c r="O32" t="s">
        <v>62</v>
      </c>
      <c r="P32" t="s">
        <v>1342</v>
      </c>
      <c r="Q32" t="s">
        <v>70</v>
      </c>
      <c r="R32" t="s">
        <v>57</v>
      </c>
      <c r="S32" t="s">
        <v>1222</v>
      </c>
      <c r="T32" s="151">
        <v>1.06</v>
      </c>
      <c r="U32" s="156">
        <v>46477</v>
      </c>
      <c r="V32" s="154">
        <v>3.5400000000000001E-2</v>
      </c>
      <c r="W32" s="154">
        <v>3.4200000000000001E-2</v>
      </c>
      <c r="X32" t="s">
        <v>620</v>
      </c>
      <c r="Y32"/>
      <c r="Z32" s="151">
        <v>271737.90000000002</v>
      </c>
      <c r="AA32" s="151">
        <v>1</v>
      </c>
      <c r="AB32" s="151">
        <v>109.8</v>
      </c>
      <c r="AC32" s="153"/>
      <c r="AD32" s="151">
        <v>298.36820999999998</v>
      </c>
      <c r="AE32" s="153"/>
      <c r="AF32" s="153"/>
      <c r="AG32"/>
      <c r="AH32" s="154">
        <v>2.7E-4</v>
      </c>
      <c r="AI32" s="154">
        <v>2.81E-3</v>
      </c>
      <c r="AJ32" s="154">
        <v>7.2000000000000002E-5</v>
      </c>
    </row>
    <row r="33" spans="1:36">
      <c r="A33" s="155">
        <v>274</v>
      </c>
      <c r="B33" s="155">
        <v>274</v>
      </c>
      <c r="C33" t="s">
        <v>1355</v>
      </c>
      <c r="D33" s="155">
        <v>514486042</v>
      </c>
      <c r="E33" t="s">
        <v>429</v>
      </c>
      <c r="F33" t="s">
        <v>1356</v>
      </c>
      <c r="G33" s="155" t="s">
        <v>1357</v>
      </c>
      <c r="H33" t="s">
        <v>76</v>
      </c>
      <c r="I33" t="s">
        <v>228</v>
      </c>
      <c r="J33" t="s">
        <v>53</v>
      </c>
      <c r="K33" t="s">
        <v>53</v>
      </c>
      <c r="L33" t="s">
        <v>805</v>
      </c>
      <c r="M33" t="s">
        <v>311</v>
      </c>
      <c r="N33" t="s">
        <v>269</v>
      </c>
      <c r="O33" t="s">
        <v>62</v>
      </c>
      <c r="P33" t="s">
        <v>1358</v>
      </c>
      <c r="Q33" t="s">
        <v>70</v>
      </c>
      <c r="R33" t="s">
        <v>57</v>
      </c>
      <c r="S33" t="s">
        <v>1222</v>
      </c>
      <c r="T33" s="151">
        <v>0.4</v>
      </c>
      <c r="U33" s="156">
        <v>45976</v>
      </c>
      <c r="V33" s="154">
        <v>3.27E-2</v>
      </c>
      <c r="W33" s="154">
        <v>5.0700000000000002E-2</v>
      </c>
      <c r="X33" t="s">
        <v>620</v>
      </c>
      <c r="Y33"/>
      <c r="Z33" s="151">
        <v>516000</v>
      </c>
      <c r="AA33" s="151">
        <v>1</v>
      </c>
      <c r="AB33" s="151">
        <v>99.72</v>
      </c>
      <c r="AC33" s="153"/>
      <c r="AD33" s="151">
        <v>514.55520000000001</v>
      </c>
      <c r="AE33" s="153"/>
      <c r="AF33" s="153"/>
      <c r="AG33"/>
      <c r="AH33" s="154">
        <v>1.635E-3</v>
      </c>
      <c r="AI33" s="154">
        <v>4.8469999999999997E-3</v>
      </c>
      <c r="AJ33" s="154">
        <v>1.25E-4</v>
      </c>
    </row>
    <row r="34" spans="1:36">
      <c r="A34" s="155">
        <v>274</v>
      </c>
      <c r="B34" s="155">
        <v>274</v>
      </c>
      <c r="C34" t="s">
        <v>1293</v>
      </c>
      <c r="D34" s="155">
        <v>510960719</v>
      </c>
      <c r="E34" t="s">
        <v>429</v>
      </c>
      <c r="F34" t="s">
        <v>1359</v>
      </c>
      <c r="G34" s="155" t="s">
        <v>1360</v>
      </c>
      <c r="H34" t="s">
        <v>76</v>
      </c>
      <c r="I34" t="s">
        <v>229</v>
      </c>
      <c r="J34" t="s">
        <v>53</v>
      </c>
      <c r="K34" t="s">
        <v>53</v>
      </c>
      <c r="L34" t="s">
        <v>805</v>
      </c>
      <c r="M34" t="s">
        <v>311</v>
      </c>
      <c r="N34" t="s">
        <v>635</v>
      </c>
      <c r="O34" t="s">
        <v>62</v>
      </c>
      <c r="P34" t="s">
        <v>1296</v>
      </c>
      <c r="Q34" t="s">
        <v>70</v>
      </c>
      <c r="R34" t="s">
        <v>57</v>
      </c>
      <c r="S34" t="s">
        <v>1222</v>
      </c>
      <c r="T34" s="151">
        <v>1.96</v>
      </c>
      <c r="U34" s="156">
        <v>46934</v>
      </c>
      <c r="V34" s="154">
        <v>1.77E-2</v>
      </c>
      <c r="W34" s="154">
        <v>2.8199999999999999E-2</v>
      </c>
      <c r="X34" t="s">
        <v>620</v>
      </c>
      <c r="Y34"/>
      <c r="Z34" s="151">
        <v>1145250</v>
      </c>
      <c r="AA34" s="151">
        <v>1</v>
      </c>
      <c r="AB34" s="151">
        <v>114.73</v>
      </c>
      <c r="AC34" s="153"/>
      <c r="AD34" s="151">
        <v>1313.94533</v>
      </c>
      <c r="AE34" s="153"/>
      <c r="AF34" s="153"/>
      <c r="AG34"/>
      <c r="AH34" s="154">
        <v>4.6999999999999999E-4</v>
      </c>
      <c r="AI34" s="154">
        <v>1.2377000000000001E-2</v>
      </c>
      <c r="AJ34" s="154">
        <v>3.19E-4</v>
      </c>
    </row>
    <row r="35" spans="1:36">
      <c r="A35" s="155">
        <v>274</v>
      </c>
      <c r="B35" s="155">
        <v>274</v>
      </c>
      <c r="C35" t="s">
        <v>1277</v>
      </c>
      <c r="D35" s="155">
        <v>520032046</v>
      </c>
      <c r="E35" t="s">
        <v>429</v>
      </c>
      <c r="F35" t="s">
        <v>1361</v>
      </c>
      <c r="G35" s="155" t="s">
        <v>1362</v>
      </c>
      <c r="H35" t="s">
        <v>76</v>
      </c>
      <c r="I35" t="s">
        <v>229</v>
      </c>
      <c r="J35" t="s">
        <v>53</v>
      </c>
      <c r="K35" t="s">
        <v>53</v>
      </c>
      <c r="L35" t="s">
        <v>805</v>
      </c>
      <c r="M35" t="s">
        <v>311</v>
      </c>
      <c r="N35" t="s">
        <v>256</v>
      </c>
      <c r="O35" t="s">
        <v>62</v>
      </c>
      <c r="P35" t="s">
        <v>1217</v>
      </c>
      <c r="Q35" t="s">
        <v>65</v>
      </c>
      <c r="R35" t="s">
        <v>57</v>
      </c>
      <c r="S35" t="s">
        <v>1222</v>
      </c>
      <c r="T35" s="151">
        <v>3.3</v>
      </c>
      <c r="U35" s="156">
        <v>47048</v>
      </c>
      <c r="V35" s="154">
        <v>1E-3</v>
      </c>
      <c r="W35" s="154">
        <v>2.58E-2</v>
      </c>
      <c r="X35" t="s">
        <v>620</v>
      </c>
      <c r="Y35"/>
      <c r="Z35" s="151">
        <v>8521952</v>
      </c>
      <c r="AA35" s="151">
        <v>1</v>
      </c>
      <c r="AB35" s="151">
        <v>105.48</v>
      </c>
      <c r="AC35" s="153"/>
      <c r="AD35" s="151">
        <v>8988.9549700000007</v>
      </c>
      <c r="AE35" s="153"/>
      <c r="AF35" s="153"/>
      <c r="AG35"/>
      <c r="AH35" s="154">
        <v>2.5230000000000001E-3</v>
      </c>
      <c r="AI35" s="154">
        <v>8.4676000000000001E-2</v>
      </c>
      <c r="AJ35" s="154">
        <v>2.183E-3</v>
      </c>
    </row>
    <row r="36" spans="1:36">
      <c r="A36" s="155">
        <v>274</v>
      </c>
      <c r="B36" s="155">
        <v>274</v>
      </c>
      <c r="C36" t="s">
        <v>1339</v>
      </c>
      <c r="D36" s="155">
        <v>513893123</v>
      </c>
      <c r="E36" t="s">
        <v>429</v>
      </c>
      <c r="F36" t="s">
        <v>1363</v>
      </c>
      <c r="G36" s="155" t="s">
        <v>1354</v>
      </c>
      <c r="H36" t="s">
        <v>76</v>
      </c>
      <c r="I36" t="s">
        <v>229</v>
      </c>
      <c r="J36" t="s">
        <v>53</v>
      </c>
      <c r="K36" t="s">
        <v>53</v>
      </c>
      <c r="L36" t="s">
        <v>805</v>
      </c>
      <c r="M36" t="s">
        <v>311</v>
      </c>
      <c r="N36" t="s">
        <v>633</v>
      </c>
      <c r="O36" t="s">
        <v>62</v>
      </c>
      <c r="P36" t="s">
        <v>1342</v>
      </c>
      <c r="Q36" t="s">
        <v>70</v>
      </c>
      <c r="R36" t="s">
        <v>57</v>
      </c>
      <c r="S36" t="s">
        <v>1222</v>
      </c>
      <c r="T36" s="151">
        <v>1.04</v>
      </c>
      <c r="U36" s="156">
        <v>46477</v>
      </c>
      <c r="V36" s="154">
        <v>3.5400000000000001E-2</v>
      </c>
      <c r="W36" s="154">
        <v>0.1305</v>
      </c>
      <c r="X36" t="s">
        <v>620</v>
      </c>
      <c r="Y36"/>
      <c r="Z36" s="151">
        <v>-264.67</v>
      </c>
      <c r="AA36" s="151">
        <v>1</v>
      </c>
      <c r="AB36" s="151">
        <v>100</v>
      </c>
      <c r="AC36" s="153"/>
      <c r="AD36" s="151">
        <v>-0.26467000000000002</v>
      </c>
      <c r="AE36" s="153"/>
      <c r="AF36" s="153"/>
      <c r="AG36"/>
      <c r="AH36" s="154">
        <v>0</v>
      </c>
      <c r="AI36" s="154">
        <v>-1.9999999999999999E-6</v>
      </c>
      <c r="AJ36" s="154">
        <v>0</v>
      </c>
    </row>
    <row r="37" spans="1:36">
      <c r="A37" s="155">
        <v>274</v>
      </c>
      <c r="B37" s="155">
        <v>274</v>
      </c>
      <c r="C37" t="s">
        <v>1277</v>
      </c>
      <c r="D37" s="155">
        <v>520032046</v>
      </c>
      <c r="E37" t="s">
        <v>429</v>
      </c>
      <c r="F37" t="s">
        <v>1364</v>
      </c>
      <c r="G37" s="155" t="s">
        <v>1365</v>
      </c>
      <c r="H37" t="s">
        <v>76</v>
      </c>
      <c r="I37" t="s">
        <v>229</v>
      </c>
      <c r="J37" t="s">
        <v>53</v>
      </c>
      <c r="K37" t="s">
        <v>53</v>
      </c>
      <c r="L37" t="s">
        <v>805</v>
      </c>
      <c r="M37" t="s">
        <v>311</v>
      </c>
      <c r="N37" t="s">
        <v>256</v>
      </c>
      <c r="O37" t="s">
        <v>62</v>
      </c>
      <c r="P37" t="s">
        <v>1217</v>
      </c>
      <c r="Q37" t="s">
        <v>65</v>
      </c>
      <c r="R37" t="s">
        <v>57</v>
      </c>
      <c r="S37" t="s">
        <v>1222</v>
      </c>
      <c r="T37" s="151">
        <v>4.2</v>
      </c>
      <c r="U37" s="156">
        <v>48938</v>
      </c>
      <c r="V37" s="154">
        <v>1.9900000000000001E-2</v>
      </c>
      <c r="W37" s="154">
        <v>2.58E-2</v>
      </c>
      <c r="X37" t="s">
        <v>620</v>
      </c>
      <c r="Y37"/>
      <c r="Z37" s="151">
        <v>3780000</v>
      </c>
      <c r="AA37" s="151">
        <v>1</v>
      </c>
      <c r="AB37" s="151">
        <v>103.57</v>
      </c>
      <c r="AC37" s="153"/>
      <c r="AD37" s="151">
        <v>3914.9459999999999</v>
      </c>
      <c r="AE37" s="153"/>
      <c r="AF37" s="153"/>
      <c r="AG37"/>
      <c r="AH37" s="154">
        <v>1.555E-3</v>
      </c>
      <c r="AI37" s="154">
        <v>3.6879000000000002E-2</v>
      </c>
      <c r="AJ37" s="154">
        <v>9.5100000000000002E-4</v>
      </c>
    </row>
    <row r="38" spans="1:36">
      <c r="A38" s="155">
        <v>274</v>
      </c>
      <c r="B38" s="155">
        <v>274</v>
      </c>
      <c r="C38" t="s">
        <v>1322</v>
      </c>
      <c r="D38" s="155">
        <v>513834200</v>
      </c>
      <c r="E38" t="s">
        <v>429</v>
      </c>
      <c r="F38" t="s">
        <v>1366</v>
      </c>
      <c r="G38" s="155" t="s">
        <v>1367</v>
      </c>
      <c r="H38" t="s">
        <v>76</v>
      </c>
      <c r="I38" t="s">
        <v>229</v>
      </c>
      <c r="J38" t="s">
        <v>53</v>
      </c>
      <c r="K38" t="s">
        <v>53</v>
      </c>
      <c r="L38" t="s">
        <v>805</v>
      </c>
      <c r="M38" t="s">
        <v>311</v>
      </c>
      <c r="N38" t="s">
        <v>269</v>
      </c>
      <c r="O38" t="s">
        <v>62</v>
      </c>
      <c r="P38" t="s">
        <v>1325</v>
      </c>
      <c r="Q38" t="s">
        <v>70</v>
      </c>
      <c r="R38" t="s">
        <v>57</v>
      </c>
      <c r="S38" t="s">
        <v>1222</v>
      </c>
      <c r="T38" s="151">
        <v>0.5</v>
      </c>
      <c r="U38" s="156">
        <v>46022</v>
      </c>
      <c r="V38" s="154">
        <v>2.4E-2</v>
      </c>
      <c r="W38" s="154">
        <v>2.8799999999999999E-2</v>
      </c>
      <c r="X38" t="s">
        <v>620</v>
      </c>
      <c r="Y38"/>
      <c r="Z38" s="151">
        <v>34548</v>
      </c>
      <c r="AA38" s="151">
        <v>1</v>
      </c>
      <c r="AB38" s="151">
        <v>116.76</v>
      </c>
      <c r="AC38" s="153"/>
      <c r="AD38" s="151">
        <v>40.338239999999999</v>
      </c>
      <c r="AE38" s="153"/>
      <c r="AF38" s="153"/>
      <c r="AG38"/>
      <c r="AH38" s="154">
        <v>1.17E-4</v>
      </c>
      <c r="AI38" s="154">
        <v>3.79E-4</v>
      </c>
      <c r="AJ38" s="154">
        <v>9.0000000000000002E-6</v>
      </c>
    </row>
    <row r="39" spans="1:36">
      <c r="A39" s="155">
        <v>274</v>
      </c>
      <c r="B39" s="155">
        <v>274</v>
      </c>
      <c r="C39" t="s">
        <v>1368</v>
      </c>
      <c r="D39" s="155" t="s">
        <v>1369</v>
      </c>
      <c r="E39" t="s">
        <v>430</v>
      </c>
      <c r="F39" t="s">
        <v>1370</v>
      </c>
      <c r="G39" s="155" t="s">
        <v>1371</v>
      </c>
      <c r="H39" t="s">
        <v>76</v>
      </c>
      <c r="I39" t="s">
        <v>230</v>
      </c>
      <c r="J39" t="s">
        <v>61</v>
      </c>
      <c r="K39" t="s">
        <v>314</v>
      </c>
      <c r="L39" t="s">
        <v>805</v>
      </c>
      <c r="M39" t="s">
        <v>102</v>
      </c>
      <c r="N39" t="s">
        <v>862</v>
      </c>
      <c r="O39" t="s">
        <v>62</v>
      </c>
      <c r="P39" t="s">
        <v>1372</v>
      </c>
      <c r="Q39" t="s">
        <v>96</v>
      </c>
      <c r="R39" t="s">
        <v>57</v>
      </c>
      <c r="S39" t="s">
        <v>1218</v>
      </c>
      <c r="T39" s="151">
        <v>4.68</v>
      </c>
      <c r="U39" s="156">
        <v>47757</v>
      </c>
      <c r="V39" s="154">
        <v>4.4999999999999998E-2</v>
      </c>
      <c r="W39" s="154">
        <v>5.2299999999999999E-2</v>
      </c>
      <c r="X39" t="s">
        <v>620</v>
      </c>
      <c r="Y39"/>
      <c r="Z39" s="151">
        <v>12000</v>
      </c>
      <c r="AA39" s="151">
        <v>3.3719999999999999</v>
      </c>
      <c r="AB39" s="151">
        <v>98.065299999999993</v>
      </c>
      <c r="AC39" s="153"/>
      <c r="AD39" s="151">
        <v>39.681139999999999</v>
      </c>
      <c r="AE39" s="153"/>
      <c r="AF39" s="153"/>
      <c r="AG39"/>
      <c r="AH39" s="154">
        <v>3.6000000000000001E-5</v>
      </c>
      <c r="AI39" s="154">
        <v>3.7300000000000001E-4</v>
      </c>
      <c r="AJ39" s="154">
        <v>9.0000000000000002E-6</v>
      </c>
    </row>
    <row r="40" spans="1:36">
      <c r="A40" s="155">
        <v>274</v>
      </c>
      <c r="B40" s="155">
        <v>274</v>
      </c>
      <c r="C40" t="s">
        <v>1373</v>
      </c>
      <c r="D40" s="155" t="s">
        <v>1374</v>
      </c>
      <c r="E40" t="s">
        <v>430</v>
      </c>
      <c r="F40" t="s">
        <v>1375</v>
      </c>
      <c r="G40" s="155" t="s">
        <v>1376</v>
      </c>
      <c r="H40" t="s">
        <v>76</v>
      </c>
      <c r="I40" t="s">
        <v>230</v>
      </c>
      <c r="J40" t="s">
        <v>61</v>
      </c>
      <c r="K40" t="s">
        <v>314</v>
      </c>
      <c r="L40" t="s">
        <v>805</v>
      </c>
      <c r="M40" t="s">
        <v>102</v>
      </c>
      <c r="N40" t="s">
        <v>901</v>
      </c>
      <c r="O40" t="s">
        <v>62</v>
      </c>
      <c r="P40" t="s">
        <v>1377</v>
      </c>
      <c r="Q40" t="s">
        <v>84</v>
      </c>
      <c r="R40" t="s">
        <v>57</v>
      </c>
      <c r="S40" t="s">
        <v>1218</v>
      </c>
      <c r="T40" s="151">
        <v>6.57</v>
      </c>
      <c r="U40" s="156">
        <v>48837</v>
      </c>
      <c r="V40" s="154">
        <v>5.8749999999999997E-2</v>
      </c>
      <c r="W40" s="154">
        <v>5.2400000000000002E-2</v>
      </c>
      <c r="X40" t="s">
        <v>620</v>
      </c>
      <c r="Y40"/>
      <c r="Z40" s="151">
        <v>18000</v>
      </c>
      <c r="AA40" s="151">
        <v>3.3719999999999999</v>
      </c>
      <c r="AB40" s="151">
        <v>106.29519999999999</v>
      </c>
      <c r="AC40" s="153"/>
      <c r="AD40" s="151">
        <v>64.516930000000002</v>
      </c>
      <c r="AE40" s="153"/>
      <c r="AF40" s="153"/>
      <c r="AG40"/>
      <c r="AH40" s="154">
        <v>2.0000000000000002E-5</v>
      </c>
      <c r="AI40" s="154">
        <v>6.0700000000000001E-4</v>
      </c>
      <c r="AJ40" s="154">
        <v>1.5E-5</v>
      </c>
    </row>
    <row r="41" spans="1:36">
      <c r="A41" s="155">
        <v>274</v>
      </c>
      <c r="B41" s="155">
        <v>274</v>
      </c>
      <c r="C41" t="s">
        <v>1378</v>
      </c>
      <c r="D41" s="155" t="s">
        <v>1379</v>
      </c>
      <c r="E41" t="s">
        <v>430</v>
      </c>
      <c r="F41" t="s">
        <v>1380</v>
      </c>
      <c r="G41" s="155" t="s">
        <v>1381</v>
      </c>
      <c r="H41" t="s">
        <v>76</v>
      </c>
      <c r="I41" t="s">
        <v>230</v>
      </c>
      <c r="J41" t="s">
        <v>61</v>
      </c>
      <c r="K41" t="s">
        <v>159</v>
      </c>
      <c r="L41" t="s">
        <v>805</v>
      </c>
      <c r="M41" t="s">
        <v>489</v>
      </c>
      <c r="N41" t="s">
        <v>130</v>
      </c>
      <c r="O41" t="s">
        <v>62</v>
      </c>
      <c r="P41" t="s">
        <v>1382</v>
      </c>
      <c r="Q41" t="s">
        <v>96</v>
      </c>
      <c r="R41" t="s">
        <v>57</v>
      </c>
      <c r="S41" t="s">
        <v>1218</v>
      </c>
      <c r="T41" s="151">
        <v>2.61</v>
      </c>
      <c r="U41" s="156">
        <v>46820</v>
      </c>
      <c r="V41" s="154">
        <v>2.4E-2</v>
      </c>
      <c r="W41" s="154">
        <v>4.7699999999999999E-2</v>
      </c>
      <c r="X41" t="s">
        <v>620</v>
      </c>
      <c r="Y41"/>
      <c r="Z41" s="151">
        <v>45000</v>
      </c>
      <c r="AA41" s="151">
        <v>3.3719999999999999</v>
      </c>
      <c r="AB41" s="151">
        <v>94.363</v>
      </c>
      <c r="AC41" s="153"/>
      <c r="AD41" s="151">
        <v>143.18642</v>
      </c>
      <c r="AE41" s="153"/>
      <c r="AF41" s="153"/>
      <c r="AG41"/>
      <c r="AH41" s="154">
        <v>6.0000000000000002E-5</v>
      </c>
      <c r="AI41" s="154">
        <v>1.348E-3</v>
      </c>
      <c r="AJ41" s="154">
        <v>3.4E-5</v>
      </c>
    </row>
    <row r="42" spans="1:36">
      <c r="A42" s="155">
        <v>274</v>
      </c>
      <c r="B42" s="155">
        <v>274</v>
      </c>
      <c r="C42" t="s">
        <v>1383</v>
      </c>
      <c r="D42" s="155" t="s">
        <v>1384</v>
      </c>
      <c r="E42" t="s">
        <v>430</v>
      </c>
      <c r="F42" t="s">
        <v>1385</v>
      </c>
      <c r="G42" s="155" t="s">
        <v>1386</v>
      </c>
      <c r="H42" t="s">
        <v>76</v>
      </c>
      <c r="I42" t="s">
        <v>230</v>
      </c>
      <c r="J42" t="s">
        <v>61</v>
      </c>
      <c r="K42" t="s">
        <v>314</v>
      </c>
      <c r="L42" t="s">
        <v>805</v>
      </c>
      <c r="M42" t="s">
        <v>476</v>
      </c>
      <c r="N42" t="s">
        <v>1140</v>
      </c>
      <c r="O42" t="s">
        <v>62</v>
      </c>
      <c r="P42" t="s">
        <v>1387</v>
      </c>
      <c r="Q42" t="s">
        <v>96</v>
      </c>
      <c r="R42" t="s">
        <v>57</v>
      </c>
      <c r="S42" t="s">
        <v>1218</v>
      </c>
      <c r="T42" s="151">
        <v>1.94</v>
      </c>
      <c r="U42" s="156">
        <v>46583</v>
      </c>
      <c r="V42" s="154">
        <v>4.1250000000000002E-2</v>
      </c>
      <c r="W42" s="154">
        <v>4.5600000000000002E-2</v>
      </c>
      <c r="X42" t="s">
        <v>620</v>
      </c>
      <c r="Y42"/>
      <c r="Z42" s="151">
        <v>5000</v>
      </c>
      <c r="AA42" s="151">
        <v>3.3719999999999999</v>
      </c>
      <c r="AB42" s="151">
        <v>101.1551</v>
      </c>
      <c r="AC42" s="153"/>
      <c r="AD42" s="151">
        <v>17.054749999999999</v>
      </c>
      <c r="AE42" s="153"/>
      <c r="AF42" s="153"/>
      <c r="AG42"/>
      <c r="AH42" s="154">
        <v>1.2E-5</v>
      </c>
      <c r="AI42" s="154">
        <v>1.6000000000000001E-4</v>
      </c>
      <c r="AJ42" s="154">
        <v>3.9999999999999998E-6</v>
      </c>
    </row>
    <row r="43" spans="1:36">
      <c r="A43" s="155">
        <v>274</v>
      </c>
      <c r="B43" s="155">
        <v>274</v>
      </c>
      <c r="C43" t="s">
        <v>1388</v>
      </c>
      <c r="D43" s="155" t="s">
        <v>1389</v>
      </c>
      <c r="E43" t="s">
        <v>430</v>
      </c>
      <c r="F43" t="s">
        <v>1390</v>
      </c>
      <c r="G43" s="155" t="s">
        <v>1391</v>
      </c>
      <c r="H43" t="s">
        <v>76</v>
      </c>
      <c r="I43" t="s">
        <v>230</v>
      </c>
      <c r="J43" t="s">
        <v>61</v>
      </c>
      <c r="K43" t="s">
        <v>1166</v>
      </c>
      <c r="L43" t="s">
        <v>805</v>
      </c>
      <c r="M43" t="s">
        <v>488</v>
      </c>
      <c r="N43" t="s">
        <v>867</v>
      </c>
      <c r="O43" t="s">
        <v>62</v>
      </c>
      <c r="P43" t="s">
        <v>1274</v>
      </c>
      <c r="Q43" t="s">
        <v>84</v>
      </c>
      <c r="R43" t="s">
        <v>57</v>
      </c>
      <c r="S43" t="s">
        <v>1218</v>
      </c>
      <c r="T43" s="151">
        <v>2.35</v>
      </c>
      <c r="U43" s="156">
        <v>46769</v>
      </c>
      <c r="V43" s="154">
        <v>5.7500000000000002E-2</v>
      </c>
      <c r="W43" s="154">
        <v>4.7300000000000002E-2</v>
      </c>
      <c r="X43" t="s">
        <v>620</v>
      </c>
      <c r="Y43"/>
      <c r="Z43" s="151">
        <v>26000</v>
      </c>
      <c r="AA43" s="151">
        <v>3.3719999999999999</v>
      </c>
      <c r="AB43" s="151">
        <v>105.14100000000001</v>
      </c>
      <c r="AC43" s="153"/>
      <c r="AD43" s="151">
        <v>92.179220000000001</v>
      </c>
      <c r="AE43" s="153"/>
      <c r="AF43" s="153"/>
      <c r="AG43"/>
      <c r="AH43" s="154">
        <v>2.5999999999999998E-5</v>
      </c>
      <c r="AI43" s="154">
        <v>8.6799999999999996E-4</v>
      </c>
      <c r="AJ43" s="154">
        <v>2.1999999999999999E-5</v>
      </c>
    </row>
    <row r="44" spans="1:36">
      <c r="A44" s="155">
        <v>274</v>
      </c>
      <c r="B44" s="155">
        <v>274</v>
      </c>
      <c r="C44" t="s">
        <v>1392</v>
      </c>
      <c r="D44" s="155" t="s">
        <v>1393</v>
      </c>
      <c r="E44" t="s">
        <v>430</v>
      </c>
      <c r="F44" t="s">
        <v>1394</v>
      </c>
      <c r="G44" s="155" t="s">
        <v>1395</v>
      </c>
      <c r="H44" t="s">
        <v>76</v>
      </c>
      <c r="I44" t="s">
        <v>230</v>
      </c>
      <c r="J44" t="s">
        <v>61</v>
      </c>
      <c r="K44" t="s">
        <v>314</v>
      </c>
      <c r="L44" t="s">
        <v>805</v>
      </c>
      <c r="M44" t="s">
        <v>102</v>
      </c>
      <c r="N44" t="s">
        <v>862</v>
      </c>
      <c r="O44" t="s">
        <v>62</v>
      </c>
      <c r="P44" t="s">
        <v>1396</v>
      </c>
      <c r="Q44" t="s">
        <v>84</v>
      </c>
      <c r="R44" t="s">
        <v>57</v>
      </c>
      <c r="S44" t="s">
        <v>1218</v>
      </c>
      <c r="T44" s="151">
        <v>4.0999999999999996</v>
      </c>
      <c r="U44" s="156">
        <v>47529</v>
      </c>
      <c r="V44" s="154">
        <v>5.1499999999999997E-2</v>
      </c>
      <c r="W44" s="154">
        <v>4.6699999999999998E-2</v>
      </c>
      <c r="X44" t="s">
        <v>620</v>
      </c>
      <c r="Y44"/>
      <c r="Z44" s="151">
        <v>24000</v>
      </c>
      <c r="AA44" s="151">
        <v>3.3719999999999999</v>
      </c>
      <c r="AB44" s="151">
        <v>104.25069999999999</v>
      </c>
      <c r="AC44" s="153"/>
      <c r="AD44" s="151">
        <v>84.368009999999998</v>
      </c>
      <c r="AE44" s="153"/>
      <c r="AF44" s="153"/>
      <c r="AG44"/>
      <c r="AH44" s="154">
        <v>3.6000000000000001E-5</v>
      </c>
      <c r="AI44" s="154">
        <v>7.94E-4</v>
      </c>
      <c r="AJ44" s="154">
        <v>2.0000000000000002E-5</v>
      </c>
    </row>
    <row r="45" spans="1:36">
      <c r="A45" s="155">
        <v>274</v>
      </c>
      <c r="B45" s="155">
        <v>274</v>
      </c>
      <c r="C45" t="s">
        <v>1397</v>
      </c>
      <c r="D45" s="155" t="s">
        <v>1398</v>
      </c>
      <c r="E45" t="s">
        <v>430</v>
      </c>
      <c r="F45" t="s">
        <v>1399</v>
      </c>
      <c r="G45" s="155" t="s">
        <v>1400</v>
      </c>
      <c r="H45" t="s">
        <v>76</v>
      </c>
      <c r="I45" t="s">
        <v>230</v>
      </c>
      <c r="J45" t="s">
        <v>61</v>
      </c>
      <c r="K45" t="s">
        <v>314</v>
      </c>
      <c r="L45" t="s">
        <v>805</v>
      </c>
      <c r="M45" t="s">
        <v>102</v>
      </c>
      <c r="N45" t="s">
        <v>899</v>
      </c>
      <c r="O45" t="s">
        <v>62</v>
      </c>
      <c r="P45" t="s">
        <v>1377</v>
      </c>
      <c r="Q45" t="s">
        <v>84</v>
      </c>
      <c r="R45" t="s">
        <v>57</v>
      </c>
      <c r="S45" t="s">
        <v>1218</v>
      </c>
      <c r="T45" s="151">
        <v>5.51</v>
      </c>
      <c r="U45" s="156">
        <v>48014</v>
      </c>
      <c r="V45" s="154">
        <v>2.7E-2</v>
      </c>
      <c r="W45" s="154">
        <v>4.82E-2</v>
      </c>
      <c r="X45" t="s">
        <v>620</v>
      </c>
      <c r="Y45"/>
      <c r="Z45" s="151">
        <v>25000</v>
      </c>
      <c r="AA45" s="151">
        <v>3.3719999999999999</v>
      </c>
      <c r="AB45" s="151">
        <v>89.4923</v>
      </c>
      <c r="AC45" s="153"/>
      <c r="AD45" s="151">
        <v>75.442009999999996</v>
      </c>
      <c r="AE45" s="153"/>
      <c r="AF45" s="153"/>
      <c r="AG45"/>
      <c r="AH45" s="154">
        <v>3.3000000000000003E-5</v>
      </c>
      <c r="AI45" s="154">
        <v>7.1000000000000002E-4</v>
      </c>
      <c r="AJ45" s="154">
        <v>1.8E-5</v>
      </c>
    </row>
    <row r="46" spans="1:36">
      <c r="A46" s="155">
        <v>274</v>
      </c>
      <c r="B46" s="155">
        <v>274</v>
      </c>
      <c r="C46" t="s">
        <v>1401</v>
      </c>
      <c r="D46" s="155" t="s">
        <v>1402</v>
      </c>
      <c r="E46" t="s">
        <v>430</v>
      </c>
      <c r="F46" t="s">
        <v>1403</v>
      </c>
      <c r="G46" s="155" t="s">
        <v>1404</v>
      </c>
      <c r="H46" t="s">
        <v>76</v>
      </c>
      <c r="I46" t="s">
        <v>230</v>
      </c>
      <c r="J46" t="s">
        <v>61</v>
      </c>
      <c r="K46" t="s">
        <v>314</v>
      </c>
      <c r="L46" t="s">
        <v>805</v>
      </c>
      <c r="M46" t="s">
        <v>476</v>
      </c>
      <c r="N46" t="s">
        <v>905</v>
      </c>
      <c r="O46" t="s">
        <v>62</v>
      </c>
      <c r="P46" t="s">
        <v>1377</v>
      </c>
      <c r="Q46" t="s">
        <v>84</v>
      </c>
      <c r="R46" t="s">
        <v>57</v>
      </c>
      <c r="S46" t="s">
        <v>1218</v>
      </c>
      <c r="T46" s="151">
        <v>4.62</v>
      </c>
      <c r="U46" s="156">
        <v>47710</v>
      </c>
      <c r="V46" s="154">
        <v>3.875E-2</v>
      </c>
      <c r="W46" s="154">
        <v>5.0500000000000003E-2</v>
      </c>
      <c r="X46" t="s">
        <v>620</v>
      </c>
      <c r="Y46"/>
      <c r="Z46" s="151">
        <v>45000</v>
      </c>
      <c r="AA46" s="151">
        <v>3.3719999999999999</v>
      </c>
      <c r="AB46" s="151">
        <v>96.470299999999995</v>
      </c>
      <c r="AC46" s="153"/>
      <c r="AD46" s="151">
        <v>146.38403</v>
      </c>
      <c r="AE46" s="153"/>
      <c r="AF46" s="153"/>
      <c r="AG46"/>
      <c r="AH46" s="154">
        <v>6.8999999999999997E-5</v>
      </c>
      <c r="AI46" s="154">
        <v>1.3780000000000001E-3</v>
      </c>
      <c r="AJ46" s="154">
        <v>3.4999999999999997E-5</v>
      </c>
    </row>
    <row r="47" spans="1:36">
      <c r="A47" s="155">
        <v>274</v>
      </c>
      <c r="B47" s="155">
        <v>274</v>
      </c>
      <c r="C47" t="s">
        <v>1405</v>
      </c>
      <c r="D47" s="155" t="s">
        <v>1406</v>
      </c>
      <c r="E47" t="s">
        <v>430</v>
      </c>
      <c r="F47" t="s">
        <v>1407</v>
      </c>
      <c r="G47" s="155" t="s">
        <v>1408</v>
      </c>
      <c r="H47" t="s">
        <v>76</v>
      </c>
      <c r="I47" t="s">
        <v>230</v>
      </c>
      <c r="J47" t="s">
        <v>61</v>
      </c>
      <c r="K47" t="s">
        <v>314</v>
      </c>
      <c r="L47" t="s">
        <v>805</v>
      </c>
      <c r="M47" t="s">
        <v>476</v>
      </c>
      <c r="N47" t="s">
        <v>901</v>
      </c>
      <c r="O47" t="s">
        <v>62</v>
      </c>
      <c r="P47" t="s">
        <v>1396</v>
      </c>
      <c r="Q47" t="s">
        <v>84</v>
      </c>
      <c r="R47" t="s">
        <v>57</v>
      </c>
      <c r="S47" t="s">
        <v>1218</v>
      </c>
      <c r="T47" s="151">
        <v>5.16</v>
      </c>
      <c r="U47" s="156">
        <v>47827</v>
      </c>
      <c r="V47" s="154">
        <v>0.02</v>
      </c>
      <c r="W47" s="154">
        <v>4.8599999999999997E-2</v>
      </c>
      <c r="X47" t="s">
        <v>620</v>
      </c>
      <c r="Y47"/>
      <c r="Z47" s="151">
        <v>42000</v>
      </c>
      <c r="AA47" s="151">
        <v>3.3719999999999999</v>
      </c>
      <c r="AB47" s="151">
        <v>86.800399999999996</v>
      </c>
      <c r="AC47" s="153"/>
      <c r="AD47" s="151">
        <v>122.9302</v>
      </c>
      <c r="AE47" s="153"/>
      <c r="AF47" s="153"/>
      <c r="AG47"/>
      <c r="AH47" s="154">
        <v>1.05E-4</v>
      </c>
      <c r="AI47" s="154">
        <v>1.158E-3</v>
      </c>
      <c r="AJ47" s="154">
        <v>2.9E-5</v>
      </c>
    </row>
    <row r="48" spans="1:36">
      <c r="A48" s="155">
        <v>274</v>
      </c>
      <c r="B48" s="155">
        <v>274</v>
      </c>
      <c r="C48" t="s">
        <v>1409</v>
      </c>
      <c r="D48" s="155" t="s">
        <v>1410</v>
      </c>
      <c r="E48" t="s">
        <v>430</v>
      </c>
      <c r="F48" t="s">
        <v>1411</v>
      </c>
      <c r="G48" s="155" t="s">
        <v>1412</v>
      </c>
      <c r="H48" t="s">
        <v>76</v>
      </c>
      <c r="I48" t="s">
        <v>230</v>
      </c>
      <c r="J48" t="s">
        <v>61</v>
      </c>
      <c r="K48" t="s">
        <v>314</v>
      </c>
      <c r="L48" t="s">
        <v>805</v>
      </c>
      <c r="M48" t="s">
        <v>102</v>
      </c>
      <c r="N48" t="s">
        <v>1140</v>
      </c>
      <c r="O48" t="s">
        <v>62</v>
      </c>
      <c r="P48" t="s">
        <v>1274</v>
      </c>
      <c r="Q48" t="s">
        <v>84</v>
      </c>
      <c r="R48" t="s">
        <v>57</v>
      </c>
      <c r="S48" t="s">
        <v>1218</v>
      </c>
      <c r="T48" s="151">
        <v>7.46</v>
      </c>
      <c r="U48" s="156">
        <v>49232</v>
      </c>
      <c r="V48" s="154">
        <v>0.05</v>
      </c>
      <c r="W48" s="154">
        <v>5.21E-2</v>
      </c>
      <c r="X48" t="s">
        <v>620</v>
      </c>
      <c r="Y48"/>
      <c r="Z48" s="151">
        <v>26000</v>
      </c>
      <c r="AA48" s="151">
        <v>3.3719999999999999</v>
      </c>
      <c r="AB48" s="151">
        <v>99.980400000000003</v>
      </c>
      <c r="AC48" s="153"/>
      <c r="AD48" s="151">
        <v>87.654820000000001</v>
      </c>
      <c r="AE48" s="153"/>
      <c r="AF48" s="153"/>
      <c r="AG48"/>
      <c r="AH48" s="154">
        <v>3.6999999999999998E-5</v>
      </c>
      <c r="AI48" s="154">
        <v>8.25E-4</v>
      </c>
      <c r="AJ48" s="154">
        <v>2.0999999999999999E-5</v>
      </c>
    </row>
    <row r="49" spans="1:36">
      <c r="A49" s="155">
        <v>274</v>
      </c>
      <c r="B49" s="155">
        <v>274</v>
      </c>
      <c r="C49" t="s">
        <v>1413</v>
      </c>
      <c r="D49" s="155" t="s">
        <v>1414</v>
      </c>
      <c r="E49" t="s">
        <v>430</v>
      </c>
      <c r="F49" t="s">
        <v>1415</v>
      </c>
      <c r="G49" s="155" t="s">
        <v>1416</v>
      </c>
      <c r="H49" t="s">
        <v>76</v>
      </c>
      <c r="I49" t="s">
        <v>230</v>
      </c>
      <c r="J49" t="s">
        <v>61</v>
      </c>
      <c r="K49" t="s">
        <v>317</v>
      </c>
      <c r="L49" t="s">
        <v>805</v>
      </c>
      <c r="M49" t="s">
        <v>499</v>
      </c>
      <c r="N49" t="s">
        <v>899</v>
      </c>
      <c r="O49" t="s">
        <v>62</v>
      </c>
      <c r="P49" t="s">
        <v>1417</v>
      </c>
      <c r="Q49" t="s">
        <v>96</v>
      </c>
      <c r="R49" t="s">
        <v>57</v>
      </c>
      <c r="S49" t="s">
        <v>1218</v>
      </c>
      <c r="T49" s="151">
        <v>0.98</v>
      </c>
      <c r="U49" s="156">
        <v>46196</v>
      </c>
      <c r="V49" s="154">
        <v>1.4999999999999999E-2</v>
      </c>
      <c r="W49" s="154">
        <v>4.65E-2</v>
      </c>
      <c r="X49" t="s">
        <v>620</v>
      </c>
      <c r="Y49"/>
      <c r="Z49" s="151">
        <v>20000</v>
      </c>
      <c r="AA49" s="151">
        <v>3.3719999999999999</v>
      </c>
      <c r="AB49" s="151">
        <v>97.088999999999999</v>
      </c>
      <c r="AC49" s="153"/>
      <c r="AD49" s="151">
        <v>65.476820000000004</v>
      </c>
      <c r="AE49" s="153"/>
      <c r="AF49" s="153"/>
      <c r="AG49"/>
      <c r="AH49" s="154">
        <v>2.5999999999999998E-5</v>
      </c>
      <c r="AI49" s="154">
        <v>6.1600000000000001E-4</v>
      </c>
      <c r="AJ49" s="154">
        <v>1.5E-5</v>
      </c>
    </row>
    <row r="50" spans="1:36">
      <c r="A50" s="155">
        <v>274</v>
      </c>
      <c r="B50" s="155">
        <v>274</v>
      </c>
      <c r="C50" t="s">
        <v>1418</v>
      </c>
      <c r="D50" s="155" t="s">
        <v>1419</v>
      </c>
      <c r="E50" t="s">
        <v>430</v>
      </c>
      <c r="F50" t="s">
        <v>1420</v>
      </c>
      <c r="G50" s="155" t="s">
        <v>1421</v>
      </c>
      <c r="H50" t="s">
        <v>76</v>
      </c>
      <c r="I50" t="s">
        <v>230</v>
      </c>
      <c r="J50" t="s">
        <v>61</v>
      </c>
      <c r="K50" t="s">
        <v>314</v>
      </c>
      <c r="L50" t="s">
        <v>805</v>
      </c>
      <c r="M50" t="s">
        <v>102</v>
      </c>
      <c r="N50" t="s">
        <v>1134</v>
      </c>
      <c r="O50" t="s">
        <v>62</v>
      </c>
      <c r="P50" t="s">
        <v>1417</v>
      </c>
      <c r="Q50" t="s">
        <v>96</v>
      </c>
      <c r="R50" t="s">
        <v>57</v>
      </c>
      <c r="S50" t="s">
        <v>1218</v>
      </c>
      <c r="T50" s="151">
        <v>3.38</v>
      </c>
      <c r="U50" s="156">
        <v>47196</v>
      </c>
      <c r="V50" s="154">
        <v>5.3499999999999999E-2</v>
      </c>
      <c r="W50" s="154">
        <v>4.9099999999999998E-2</v>
      </c>
      <c r="X50" t="s">
        <v>620</v>
      </c>
      <c r="Y50"/>
      <c r="Z50" s="151">
        <v>10000</v>
      </c>
      <c r="AA50" s="151">
        <v>3.3719999999999999</v>
      </c>
      <c r="AB50" s="151">
        <v>103.18129999999999</v>
      </c>
      <c r="AC50" s="153"/>
      <c r="AD50" s="151">
        <v>34.792729999999999</v>
      </c>
      <c r="AE50" s="153"/>
      <c r="AF50" s="153"/>
      <c r="AG50"/>
      <c r="AH50" s="154">
        <v>2.0000000000000002E-5</v>
      </c>
      <c r="AI50" s="154">
        <v>3.2699999999999998E-4</v>
      </c>
      <c r="AJ50" s="154">
        <v>7.9999999999999996E-6</v>
      </c>
    </row>
    <row r="51" spans="1:36">
      <c r="A51" s="155">
        <v>274</v>
      </c>
      <c r="B51" s="155">
        <v>274</v>
      </c>
      <c r="C51" t="s">
        <v>1280</v>
      </c>
      <c r="D51" s="155">
        <v>520000472</v>
      </c>
      <c r="E51" t="s">
        <v>429</v>
      </c>
      <c r="F51" t="s">
        <v>1422</v>
      </c>
      <c r="G51" s="155" t="s">
        <v>1423</v>
      </c>
      <c r="H51" t="s">
        <v>76</v>
      </c>
      <c r="I51" t="s">
        <v>230</v>
      </c>
      <c r="J51" t="s">
        <v>61</v>
      </c>
      <c r="K51" t="s">
        <v>53</v>
      </c>
      <c r="L51" t="s">
        <v>805</v>
      </c>
      <c r="M51" t="s">
        <v>102</v>
      </c>
      <c r="N51" t="s">
        <v>905</v>
      </c>
      <c r="O51" t="s">
        <v>62</v>
      </c>
      <c r="P51" t="s">
        <v>1396</v>
      </c>
      <c r="Q51" t="s">
        <v>84</v>
      </c>
      <c r="R51" t="s">
        <v>57</v>
      </c>
      <c r="S51" t="s">
        <v>1218</v>
      </c>
      <c r="T51" s="151">
        <v>16.39</v>
      </c>
      <c r="U51" s="156">
        <v>71939</v>
      </c>
      <c r="V51" s="154">
        <v>8.1000000000000003E-2</v>
      </c>
      <c r="W51" s="154">
        <v>6.2199999999999998E-2</v>
      </c>
      <c r="X51" t="s">
        <v>620</v>
      </c>
      <c r="Y51"/>
      <c r="Z51" s="151">
        <v>200000</v>
      </c>
      <c r="AA51" s="151">
        <v>3.3719999999999999</v>
      </c>
      <c r="AB51" s="151">
        <v>132.12299999999999</v>
      </c>
      <c r="AC51" s="153"/>
      <c r="AD51" s="151">
        <v>891.03751</v>
      </c>
      <c r="AE51" s="153"/>
      <c r="AF51" s="153"/>
      <c r="AG51"/>
      <c r="AH51" s="154">
        <v>1.6000000000000001E-3</v>
      </c>
      <c r="AI51" s="154">
        <v>8.3929999999999994E-3</v>
      </c>
      <c r="AJ51" s="154">
        <v>2.1599999999999999E-4</v>
      </c>
    </row>
    <row r="52" spans="1:36">
      <c r="A52" s="155">
        <v>274</v>
      </c>
      <c r="B52" s="155">
        <v>274</v>
      </c>
      <c r="C52" t="s">
        <v>1383</v>
      </c>
      <c r="D52" s="155" t="s">
        <v>1384</v>
      </c>
      <c r="E52" t="s">
        <v>430</v>
      </c>
      <c r="F52" t="s">
        <v>1424</v>
      </c>
      <c r="G52" s="155" t="s">
        <v>1425</v>
      </c>
      <c r="H52" t="s">
        <v>76</v>
      </c>
      <c r="I52" t="s">
        <v>230</v>
      </c>
      <c r="J52" t="s">
        <v>61</v>
      </c>
      <c r="K52" t="s">
        <v>314</v>
      </c>
      <c r="L52" t="s">
        <v>805</v>
      </c>
      <c r="M52" t="s">
        <v>102</v>
      </c>
      <c r="N52" t="s">
        <v>1140</v>
      </c>
      <c r="O52" t="s">
        <v>62</v>
      </c>
      <c r="P52" t="s">
        <v>1387</v>
      </c>
      <c r="Q52" t="s">
        <v>96</v>
      </c>
      <c r="R52" t="s">
        <v>57</v>
      </c>
      <c r="S52" t="s">
        <v>1218</v>
      </c>
      <c r="T52" s="151">
        <v>6.02</v>
      </c>
      <c r="U52" s="156">
        <v>48288</v>
      </c>
      <c r="V52" s="154">
        <v>3.0499999999999999E-2</v>
      </c>
      <c r="W52" s="154">
        <v>4.9500000000000002E-2</v>
      </c>
      <c r="X52" t="s">
        <v>620</v>
      </c>
      <c r="Y52"/>
      <c r="Z52" s="151">
        <v>39000</v>
      </c>
      <c r="AA52" s="151">
        <v>3.3719999999999999</v>
      </c>
      <c r="AB52" s="151">
        <v>90.4542</v>
      </c>
      <c r="AC52" s="153"/>
      <c r="AD52" s="151">
        <v>118.95451</v>
      </c>
      <c r="AE52" s="153"/>
      <c r="AF52" s="153"/>
      <c r="AG52"/>
      <c r="AH52" s="154">
        <v>7.7999999999999999E-5</v>
      </c>
      <c r="AI52" s="154">
        <v>1.1199999999999999E-3</v>
      </c>
      <c r="AJ52" s="154">
        <v>2.8E-5</v>
      </c>
    </row>
    <row r="53" spans="1:36">
      <c r="A53" s="155">
        <v>274</v>
      </c>
      <c r="B53" s="155">
        <v>274</v>
      </c>
      <c r="C53" t="s">
        <v>1280</v>
      </c>
      <c r="D53" s="155">
        <v>520000472</v>
      </c>
      <c r="E53" t="s">
        <v>429</v>
      </c>
      <c r="F53" t="s">
        <v>1426</v>
      </c>
      <c r="G53" s="155" t="s">
        <v>1427</v>
      </c>
      <c r="H53" t="s">
        <v>76</v>
      </c>
      <c r="I53" t="s">
        <v>230</v>
      </c>
      <c r="J53" t="s">
        <v>61</v>
      </c>
      <c r="K53" t="s">
        <v>53</v>
      </c>
      <c r="L53" t="s">
        <v>805</v>
      </c>
      <c r="M53" t="s">
        <v>102</v>
      </c>
      <c r="N53" t="s">
        <v>905</v>
      </c>
      <c r="O53" t="s">
        <v>62</v>
      </c>
      <c r="P53" t="s">
        <v>1396</v>
      </c>
      <c r="Q53" t="s">
        <v>84</v>
      </c>
      <c r="R53" t="s">
        <v>57</v>
      </c>
      <c r="S53" t="s">
        <v>1218</v>
      </c>
      <c r="T53" s="151">
        <v>2.29</v>
      </c>
      <c r="U53" s="156">
        <v>46736</v>
      </c>
      <c r="V53" s="154">
        <v>7.7499999999999999E-2</v>
      </c>
      <c r="W53" s="154">
        <v>5.2400000000000002E-2</v>
      </c>
      <c r="X53" t="s">
        <v>620</v>
      </c>
      <c r="Y53"/>
      <c r="Z53" s="151">
        <v>1000000</v>
      </c>
      <c r="AA53" s="151">
        <v>3.3719999999999999</v>
      </c>
      <c r="AB53" s="151">
        <v>106.15949999999999</v>
      </c>
      <c r="AC53" s="153"/>
      <c r="AD53" s="151">
        <v>3579.6983399999999</v>
      </c>
      <c r="AE53" s="153"/>
      <c r="AF53" s="153"/>
      <c r="AG53"/>
      <c r="AH53" s="154">
        <v>3.333E-3</v>
      </c>
      <c r="AI53" s="154">
        <v>3.372E-2</v>
      </c>
      <c r="AJ53" s="154">
        <v>8.6899999999999998E-4</v>
      </c>
    </row>
    <row r="54" spans="1:36">
      <c r="A54" s="155">
        <v>274</v>
      </c>
      <c r="B54" s="155">
        <v>274</v>
      </c>
      <c r="C54" t="s">
        <v>1397</v>
      </c>
      <c r="D54" s="155" t="s">
        <v>1398</v>
      </c>
      <c r="E54" t="s">
        <v>430</v>
      </c>
      <c r="F54" t="s">
        <v>1428</v>
      </c>
      <c r="G54" s="155" t="s">
        <v>1429</v>
      </c>
      <c r="H54" t="s">
        <v>76</v>
      </c>
      <c r="I54" t="s">
        <v>230</v>
      </c>
      <c r="J54" t="s">
        <v>61</v>
      </c>
      <c r="K54" t="s">
        <v>314</v>
      </c>
      <c r="L54" t="s">
        <v>805</v>
      </c>
      <c r="M54" t="s">
        <v>102</v>
      </c>
      <c r="N54" t="s">
        <v>903</v>
      </c>
      <c r="O54" t="s">
        <v>62</v>
      </c>
      <c r="P54" t="s">
        <v>1377</v>
      </c>
      <c r="Q54" t="s">
        <v>84</v>
      </c>
      <c r="R54" t="s">
        <v>57</v>
      </c>
      <c r="S54" t="s">
        <v>1218</v>
      </c>
      <c r="T54" s="151">
        <v>5.88</v>
      </c>
      <c r="U54" s="156">
        <v>48366</v>
      </c>
      <c r="V54" s="154">
        <v>5.2499999999999998E-2</v>
      </c>
      <c r="W54" s="154">
        <v>4.9799999999999997E-2</v>
      </c>
      <c r="X54" t="s">
        <v>620</v>
      </c>
      <c r="Y54"/>
      <c r="Z54" s="151">
        <v>15000</v>
      </c>
      <c r="AA54" s="151">
        <v>3.3719999999999999</v>
      </c>
      <c r="AB54" s="151">
        <v>102.3201</v>
      </c>
      <c r="AC54" s="153"/>
      <c r="AD54" s="151">
        <v>51.753509999999999</v>
      </c>
      <c r="AE54" s="153"/>
      <c r="AF54" s="153"/>
      <c r="AG54"/>
      <c r="AH54" s="154">
        <v>3.0000000000000001E-5</v>
      </c>
      <c r="AI54" s="154">
        <v>4.8700000000000002E-4</v>
      </c>
      <c r="AJ54" s="154">
        <v>1.2E-5</v>
      </c>
    </row>
    <row r="55" spans="1:36">
      <c r="A55" s="155">
        <v>274</v>
      </c>
      <c r="B55" s="155">
        <v>274</v>
      </c>
      <c r="C55" t="s">
        <v>1430</v>
      </c>
      <c r="D55" s="155" t="s">
        <v>1431</v>
      </c>
      <c r="E55" t="s">
        <v>430</v>
      </c>
      <c r="F55" t="s">
        <v>1432</v>
      </c>
      <c r="G55" s="155" t="s">
        <v>1433</v>
      </c>
      <c r="H55" t="s">
        <v>76</v>
      </c>
      <c r="I55" t="s">
        <v>230</v>
      </c>
      <c r="J55" t="s">
        <v>61</v>
      </c>
      <c r="K55" t="s">
        <v>188</v>
      </c>
      <c r="L55" t="s">
        <v>805</v>
      </c>
      <c r="M55" t="s">
        <v>499</v>
      </c>
      <c r="N55" t="s">
        <v>951</v>
      </c>
      <c r="O55" t="s">
        <v>62</v>
      </c>
      <c r="P55" t="s">
        <v>1434</v>
      </c>
      <c r="Q55" t="s">
        <v>96</v>
      </c>
      <c r="R55" t="s">
        <v>57</v>
      </c>
      <c r="S55" t="s">
        <v>1218</v>
      </c>
      <c r="T55" s="151">
        <v>7.83</v>
      </c>
      <c r="U55" s="156">
        <v>49455</v>
      </c>
      <c r="V55" s="154">
        <v>5.2499999999999998E-2</v>
      </c>
      <c r="W55" s="154">
        <v>5.16E-2</v>
      </c>
      <c r="X55" t="s">
        <v>620</v>
      </c>
      <c r="Y55"/>
      <c r="Z55" s="151">
        <v>19000</v>
      </c>
      <c r="AA55" s="151">
        <v>3.3719999999999999</v>
      </c>
      <c r="AB55" s="151">
        <v>101.6294</v>
      </c>
      <c r="AC55" s="153"/>
      <c r="AD55" s="151">
        <v>65.111919999999998</v>
      </c>
      <c r="AE55" s="153"/>
      <c r="AF55" s="153"/>
      <c r="AG55"/>
      <c r="AH55" s="154">
        <v>1.5999999999999999E-5</v>
      </c>
      <c r="AI55" s="154">
        <v>6.1300000000000005E-4</v>
      </c>
      <c r="AJ55" s="154">
        <v>1.5E-5</v>
      </c>
    </row>
    <row r="56" spans="1:36">
      <c r="A56" s="155">
        <v>274</v>
      </c>
      <c r="B56" s="155">
        <v>274</v>
      </c>
      <c r="C56" t="s">
        <v>1435</v>
      </c>
      <c r="D56" s="155" t="s">
        <v>1436</v>
      </c>
      <c r="E56" t="s">
        <v>430</v>
      </c>
      <c r="F56" t="s">
        <v>1437</v>
      </c>
      <c r="G56" s="155" t="s">
        <v>1438</v>
      </c>
      <c r="H56" t="s">
        <v>76</v>
      </c>
      <c r="I56" t="s">
        <v>230</v>
      </c>
      <c r="J56" t="s">
        <v>61</v>
      </c>
      <c r="K56" t="s">
        <v>314</v>
      </c>
      <c r="L56" t="s">
        <v>805</v>
      </c>
      <c r="M56" t="s">
        <v>476</v>
      </c>
      <c r="N56" t="s">
        <v>899</v>
      </c>
      <c r="O56" t="s">
        <v>62</v>
      </c>
      <c r="P56" t="s">
        <v>1372</v>
      </c>
      <c r="Q56" t="s">
        <v>96</v>
      </c>
      <c r="R56" t="s">
        <v>57</v>
      </c>
      <c r="S56" t="s">
        <v>1218</v>
      </c>
      <c r="T56" s="151">
        <v>6.72</v>
      </c>
      <c r="U56" s="156">
        <v>48995</v>
      </c>
      <c r="V56" s="154">
        <v>6.3500000000000001E-2</v>
      </c>
      <c r="W56" s="154">
        <v>5.3900000000000003E-2</v>
      </c>
      <c r="X56" t="s">
        <v>620</v>
      </c>
      <c r="Y56"/>
      <c r="Z56" s="151">
        <v>18000</v>
      </c>
      <c r="AA56" s="151">
        <v>3.3719999999999999</v>
      </c>
      <c r="AB56" s="151">
        <v>109.28189999999999</v>
      </c>
      <c r="AC56" s="153"/>
      <c r="AD56" s="151">
        <v>66.329740000000001</v>
      </c>
      <c r="AE56" s="153"/>
      <c r="AF56" s="153"/>
      <c r="AG56"/>
      <c r="AH56" s="154">
        <v>3.6000000000000001E-5</v>
      </c>
      <c r="AI56" s="154">
        <v>6.2399999999999999E-4</v>
      </c>
      <c r="AJ56" s="154">
        <v>1.5999999999999999E-5</v>
      </c>
    </row>
    <row r="57" spans="1:36">
      <c r="A57" s="155">
        <v>274</v>
      </c>
      <c r="B57" s="155">
        <v>274</v>
      </c>
      <c r="C57" t="s">
        <v>1439</v>
      </c>
      <c r="D57" s="155" t="s">
        <v>1440</v>
      </c>
      <c r="E57" t="s">
        <v>430</v>
      </c>
      <c r="F57" t="s">
        <v>1441</v>
      </c>
      <c r="G57" s="155" t="s">
        <v>1442</v>
      </c>
      <c r="H57" t="s">
        <v>76</v>
      </c>
      <c r="I57" t="s">
        <v>230</v>
      </c>
      <c r="J57" t="s">
        <v>61</v>
      </c>
      <c r="K57" t="s">
        <v>314</v>
      </c>
      <c r="L57" t="s">
        <v>805</v>
      </c>
      <c r="M57" t="s">
        <v>476</v>
      </c>
      <c r="N57" t="s">
        <v>1134</v>
      </c>
      <c r="O57" t="s">
        <v>62</v>
      </c>
      <c r="P57" t="s">
        <v>1396</v>
      </c>
      <c r="Q57" t="s">
        <v>84</v>
      </c>
      <c r="R57" t="s">
        <v>57</v>
      </c>
      <c r="S57" t="s">
        <v>1218</v>
      </c>
      <c r="T57" s="151">
        <v>2.15</v>
      </c>
      <c r="U57" s="156">
        <v>46661</v>
      </c>
      <c r="V57" s="154">
        <v>4.2000000000000003E-2</v>
      </c>
      <c r="W57" s="154">
        <v>4.7100000000000003E-2</v>
      </c>
      <c r="X57" t="s">
        <v>620</v>
      </c>
      <c r="Y57"/>
      <c r="Z57" s="151">
        <v>27000</v>
      </c>
      <c r="AA57" s="151">
        <v>3.3719999999999999</v>
      </c>
      <c r="AB57" s="151">
        <v>100.0643</v>
      </c>
      <c r="AC57" s="153"/>
      <c r="AD57" s="151">
        <v>91.102540000000005</v>
      </c>
      <c r="AE57" s="153"/>
      <c r="AF57" s="153"/>
      <c r="AG57"/>
      <c r="AH57" s="154">
        <v>3.6000000000000001E-5</v>
      </c>
      <c r="AI57" s="154">
        <v>8.5800000000000004E-4</v>
      </c>
      <c r="AJ57" s="154">
        <v>2.1999999999999999E-5</v>
      </c>
    </row>
    <row r="58" spans="1:36">
      <c r="A58" s="155">
        <v>274</v>
      </c>
      <c r="B58" s="155">
        <v>274</v>
      </c>
      <c r="C58" t="s">
        <v>1443</v>
      </c>
      <c r="D58" s="155" t="s">
        <v>1444</v>
      </c>
      <c r="E58" t="s">
        <v>430</v>
      </c>
      <c r="F58" t="s">
        <v>1445</v>
      </c>
      <c r="G58" s="155" t="s">
        <v>1446</v>
      </c>
      <c r="H58" t="s">
        <v>76</v>
      </c>
      <c r="I58" t="s">
        <v>230</v>
      </c>
      <c r="J58" t="s">
        <v>61</v>
      </c>
      <c r="K58" t="s">
        <v>153</v>
      </c>
      <c r="L58" t="s">
        <v>805</v>
      </c>
      <c r="M58" t="s">
        <v>488</v>
      </c>
      <c r="N58" t="s">
        <v>903</v>
      </c>
      <c r="O58" t="s">
        <v>62</v>
      </c>
      <c r="P58" t="s">
        <v>1447</v>
      </c>
      <c r="Q58" t="s">
        <v>96</v>
      </c>
      <c r="R58" t="s">
        <v>57</v>
      </c>
      <c r="S58" t="s">
        <v>1218</v>
      </c>
      <c r="T58" s="151">
        <v>5.62</v>
      </c>
      <c r="U58" s="156">
        <v>48122</v>
      </c>
      <c r="V58" s="154">
        <v>3.2500000000000001E-2</v>
      </c>
      <c r="W58" s="154">
        <v>5.7299999999999997E-2</v>
      </c>
      <c r="X58" t="s">
        <v>620</v>
      </c>
      <c r="Y58"/>
      <c r="Z58" s="151">
        <v>46000</v>
      </c>
      <c r="AA58" s="151">
        <v>3.3719999999999999</v>
      </c>
      <c r="AB58" s="151">
        <v>88.274600000000007</v>
      </c>
      <c r="AC58" s="153"/>
      <c r="AD58" s="151">
        <v>136.92449999999999</v>
      </c>
      <c r="AE58" s="153"/>
      <c r="AF58" s="153"/>
      <c r="AG58"/>
      <c r="AH58" s="154">
        <v>6.4999999999999994E-5</v>
      </c>
      <c r="AI58" s="154">
        <v>1.289E-3</v>
      </c>
      <c r="AJ58" s="154">
        <v>3.3000000000000003E-5</v>
      </c>
    </row>
    <row r="59" spans="1:36">
      <c r="A59" s="155">
        <v>274</v>
      </c>
      <c r="B59" s="155">
        <v>274</v>
      </c>
      <c r="C59" t="s">
        <v>1448</v>
      </c>
      <c r="D59" s="155" t="s">
        <v>1449</v>
      </c>
      <c r="E59" t="s">
        <v>430</v>
      </c>
      <c r="F59" t="s">
        <v>1450</v>
      </c>
      <c r="G59" s="155" t="s">
        <v>1451</v>
      </c>
      <c r="H59" t="s">
        <v>76</v>
      </c>
      <c r="I59" t="s">
        <v>230</v>
      </c>
      <c r="J59" t="s">
        <v>61</v>
      </c>
      <c r="K59" t="s">
        <v>314</v>
      </c>
      <c r="L59" t="s">
        <v>805</v>
      </c>
      <c r="M59" t="s">
        <v>102</v>
      </c>
      <c r="N59" t="s">
        <v>883</v>
      </c>
      <c r="O59" t="s">
        <v>62</v>
      </c>
      <c r="P59" t="s">
        <v>1396</v>
      </c>
      <c r="Q59" t="s">
        <v>84</v>
      </c>
      <c r="R59" t="s">
        <v>57</v>
      </c>
      <c r="S59" t="s">
        <v>1218</v>
      </c>
      <c r="T59" s="151">
        <v>5.22</v>
      </c>
      <c r="U59" s="156">
        <v>47922</v>
      </c>
      <c r="V59" s="154">
        <v>2.9499999999999998E-2</v>
      </c>
      <c r="W59" s="154">
        <v>4.7500000000000001E-2</v>
      </c>
      <c r="X59" t="s">
        <v>620</v>
      </c>
      <c r="Y59"/>
      <c r="Z59" s="151">
        <v>27000</v>
      </c>
      <c r="AA59" s="151">
        <v>3.3719999999999999</v>
      </c>
      <c r="AB59" s="151">
        <v>92.1828</v>
      </c>
      <c r="AC59" s="153"/>
      <c r="AD59" s="151">
        <v>83.926910000000007</v>
      </c>
      <c r="AE59" s="153"/>
      <c r="AF59" s="153"/>
      <c r="AG59"/>
      <c r="AH59" s="154">
        <v>2.6999999999999999E-5</v>
      </c>
      <c r="AI59" s="154">
        <v>7.9000000000000001E-4</v>
      </c>
      <c r="AJ59" s="154">
        <v>2.0000000000000002E-5</v>
      </c>
    </row>
    <row r="60" spans="1:36">
      <c r="A60" s="155">
        <v>274</v>
      </c>
      <c r="B60" s="155">
        <v>274</v>
      </c>
      <c r="C60" t="s">
        <v>1452</v>
      </c>
      <c r="D60" s="155" t="s">
        <v>1453</v>
      </c>
      <c r="E60" t="s">
        <v>430</v>
      </c>
      <c r="F60" t="s">
        <v>1454</v>
      </c>
      <c r="G60" s="155" t="s">
        <v>1455</v>
      </c>
      <c r="H60" t="s">
        <v>76</v>
      </c>
      <c r="I60" t="s">
        <v>230</v>
      </c>
      <c r="J60" t="s">
        <v>61</v>
      </c>
      <c r="K60" t="s">
        <v>188</v>
      </c>
      <c r="L60" t="s">
        <v>805</v>
      </c>
      <c r="M60" t="s">
        <v>489</v>
      </c>
      <c r="N60" t="s">
        <v>901</v>
      </c>
      <c r="O60" t="s">
        <v>62</v>
      </c>
      <c r="P60" t="s">
        <v>1387</v>
      </c>
      <c r="Q60" t="s">
        <v>96</v>
      </c>
      <c r="R60" t="s">
        <v>57</v>
      </c>
      <c r="S60" t="s">
        <v>1218</v>
      </c>
      <c r="T60" s="151">
        <v>4.88</v>
      </c>
      <c r="U60" s="156">
        <v>47789</v>
      </c>
      <c r="V60" s="154">
        <v>3.4209999999999997E-2</v>
      </c>
      <c r="W60" s="154">
        <v>4.9299999999999997E-2</v>
      </c>
      <c r="X60" t="s">
        <v>620</v>
      </c>
      <c r="Y60"/>
      <c r="Z60" s="151">
        <v>44000</v>
      </c>
      <c r="AA60" s="151">
        <v>3.3719999999999999</v>
      </c>
      <c r="AB60" s="151">
        <v>93.770099999999999</v>
      </c>
      <c r="AC60" s="153"/>
      <c r="AD60" s="151">
        <v>139.12482</v>
      </c>
      <c r="AE60" s="153"/>
      <c r="AF60" s="153"/>
      <c r="AG60"/>
      <c r="AH60" s="154">
        <v>4.3999999999999999E-5</v>
      </c>
      <c r="AI60" s="154">
        <v>1.31E-3</v>
      </c>
      <c r="AJ60" s="154">
        <v>3.3000000000000003E-5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5"/>
  <sheetViews>
    <sheetView rightToLeft="1" workbookViewId="0"/>
  </sheetViews>
  <sheetFormatPr defaultColWidth="0" defaultRowHeight="14.25"/>
  <cols>
    <col min="1" max="2" width="10.625" style="4" bestFit="1" customWidth="1"/>
    <col min="3" max="3" width="31.375" style="4" bestFit="1" customWidth="1"/>
    <col min="4" max="4" width="24.75" style="4" bestFit="1" customWidth="1"/>
    <col min="5" max="5" width="12.125" style="4" bestFit="1" customWidth="1"/>
    <col min="6" max="6" width="39" style="4" bestFit="1" customWidth="1"/>
    <col min="7" max="7" width="14.125" style="4" bestFit="1" customWidth="1"/>
    <col min="8" max="8" width="9.125" style="4" bestFit="1" customWidth="1"/>
    <col min="9" max="9" width="11" style="4" bestFit="1" customWidth="1"/>
    <col min="10" max="10" width="10" style="4" bestFit="1" customWidth="1"/>
    <col min="11" max="11" width="9.25" style="4" bestFit="1" customWidth="1"/>
    <col min="12" max="12" width="7.875" style="2" bestFit="1" customWidth="1"/>
    <col min="13" max="13" width="9.625" style="2" bestFit="1" customWidth="1"/>
    <col min="14" max="14" width="41.875" style="4" bestFit="1" customWidth="1"/>
    <col min="15" max="15" width="11" style="4" bestFit="1" customWidth="1"/>
    <col min="16" max="16" width="11.25" style="4" bestFit="1" customWidth="1"/>
    <col min="17" max="17" width="12" style="4" bestFit="1" customWidth="1"/>
    <col min="18" max="18" width="9.875" style="4" bestFit="1" customWidth="1"/>
    <col min="19" max="19" width="12" style="4" bestFit="1" customWidth="1"/>
    <col min="20" max="20" width="9.75" style="2" bestFit="1" customWidth="1"/>
    <col min="21" max="22" width="10.875" style="4" bestFit="1" customWidth="1"/>
    <col min="23" max="23" width="11.125" style="4" bestFit="1" customWidth="1"/>
    <col min="24" max="24" width="10" style="4" bestFit="1" customWidth="1"/>
    <col min="25" max="26" width="11.625" style="4" hidden="1" customWidth="1"/>
    <col min="27" max="16384" width="9" style="4" hidden="1"/>
  </cols>
  <sheetData>
    <row r="1" spans="1:24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938</v>
      </c>
      <c r="U1" s="17" t="s">
        <v>1153</v>
      </c>
      <c r="V1" s="17" t="s">
        <v>18</v>
      </c>
      <c r="W1" s="17" t="s">
        <v>19</v>
      </c>
      <c r="X1" s="17" t="s">
        <v>30</v>
      </c>
    </row>
    <row r="2" spans="1:24">
      <c r="A2" s="155">
        <v>274</v>
      </c>
      <c r="B2" s="155">
        <v>274</v>
      </c>
      <c r="C2" t="s">
        <v>1456</v>
      </c>
      <c r="D2" s="155">
        <v>514892801</v>
      </c>
      <c r="E2" t="s">
        <v>429</v>
      </c>
      <c r="F2" t="s">
        <v>1456</v>
      </c>
      <c r="G2" s="155" t="s">
        <v>1457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263</v>
      </c>
      <c r="O2" t="s">
        <v>62</v>
      </c>
      <c r="P2" t="s">
        <v>1222</v>
      </c>
      <c r="Q2" s="151">
        <v>25075</v>
      </c>
      <c r="R2" s="151">
        <v>1</v>
      </c>
      <c r="S2" s="151">
        <v>3000</v>
      </c>
      <c r="T2" s="151"/>
      <c r="U2" s="151">
        <v>752.25</v>
      </c>
      <c r="V2" s="154">
        <v>6.9999999999999994E-5</v>
      </c>
      <c r="W2" s="154">
        <v>8.7270000000000004E-3</v>
      </c>
      <c r="X2" s="154">
        <v>1.8200000000000001E-4</v>
      </c>
    </row>
    <row r="3" spans="1:24">
      <c r="A3" s="155">
        <v>274</v>
      </c>
      <c r="B3" s="155">
        <v>274</v>
      </c>
      <c r="C3" t="s">
        <v>1458</v>
      </c>
      <c r="D3" s="155">
        <v>520017450</v>
      </c>
      <c r="E3" t="s">
        <v>429</v>
      </c>
      <c r="F3" t="s">
        <v>1459</v>
      </c>
      <c r="G3" s="155" t="s">
        <v>1460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269</v>
      </c>
      <c r="O3" t="s">
        <v>62</v>
      </c>
      <c r="P3" t="s">
        <v>1222</v>
      </c>
      <c r="Q3" s="151">
        <v>26458</v>
      </c>
      <c r="R3" s="151">
        <v>1</v>
      </c>
      <c r="S3" s="151">
        <v>9745</v>
      </c>
      <c r="T3" s="151"/>
      <c r="U3" s="151">
        <v>2578.3321000000001</v>
      </c>
      <c r="V3" s="154">
        <v>1E-4</v>
      </c>
      <c r="W3" s="154">
        <v>2.9912000000000001E-2</v>
      </c>
      <c r="X3" s="154">
        <v>6.2600000000000004E-4</v>
      </c>
    </row>
    <row r="4" spans="1:24">
      <c r="A4" s="155">
        <v>274</v>
      </c>
      <c r="B4" s="155">
        <v>274</v>
      </c>
      <c r="C4" t="s">
        <v>1461</v>
      </c>
      <c r="D4" s="155">
        <v>514454701</v>
      </c>
      <c r="E4" t="s">
        <v>429</v>
      </c>
      <c r="F4" t="s">
        <v>1462</v>
      </c>
      <c r="G4" s="155" t="s">
        <v>1463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638</v>
      </c>
      <c r="O4" t="s">
        <v>62</v>
      </c>
      <c r="P4" t="s">
        <v>1222</v>
      </c>
      <c r="Q4" s="151">
        <v>16000</v>
      </c>
      <c r="R4" s="151">
        <v>1</v>
      </c>
      <c r="S4" s="151">
        <v>1336</v>
      </c>
      <c r="T4" s="151"/>
      <c r="U4" s="151">
        <v>213.76</v>
      </c>
      <c r="V4" s="154">
        <v>2.1499999999999999E-4</v>
      </c>
      <c r="W4" s="154">
        <v>2.4789999999999999E-3</v>
      </c>
      <c r="X4" s="154">
        <v>5.1E-5</v>
      </c>
    </row>
    <row r="5" spans="1:24">
      <c r="A5" s="155">
        <v>274</v>
      </c>
      <c r="B5" s="155">
        <v>274</v>
      </c>
      <c r="C5" t="s">
        <v>1464</v>
      </c>
      <c r="D5" s="155">
        <v>520037789</v>
      </c>
      <c r="E5" t="s">
        <v>429</v>
      </c>
      <c r="F5" t="s">
        <v>1464</v>
      </c>
      <c r="G5" s="155" t="s">
        <v>1465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635</v>
      </c>
      <c r="O5" t="s">
        <v>62</v>
      </c>
      <c r="P5" t="s">
        <v>1222</v>
      </c>
      <c r="Q5" s="151">
        <v>2485</v>
      </c>
      <c r="R5" s="151">
        <v>1</v>
      </c>
      <c r="S5" s="151">
        <v>38400</v>
      </c>
      <c r="T5" s="151"/>
      <c r="U5" s="151">
        <v>954.24</v>
      </c>
      <c r="V5" s="154">
        <v>5.1999999999999997E-5</v>
      </c>
      <c r="W5" s="154">
        <v>1.107E-2</v>
      </c>
      <c r="X5" s="154">
        <v>2.31E-4</v>
      </c>
    </row>
    <row r="6" spans="1:24">
      <c r="A6" s="155">
        <v>274</v>
      </c>
      <c r="B6" s="155">
        <v>274</v>
      </c>
      <c r="C6" t="s">
        <v>1466</v>
      </c>
      <c r="D6" s="155">
        <v>560033185</v>
      </c>
      <c r="E6" t="s">
        <v>429</v>
      </c>
      <c r="F6" t="s">
        <v>1467</v>
      </c>
      <c r="G6" s="155" t="s">
        <v>1468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267</v>
      </c>
      <c r="O6" t="s">
        <v>62</v>
      </c>
      <c r="P6" t="s">
        <v>1222</v>
      </c>
      <c r="Q6" s="151">
        <v>9090</v>
      </c>
      <c r="R6" s="151">
        <v>1</v>
      </c>
      <c r="S6" s="151">
        <v>4272</v>
      </c>
      <c r="T6" s="151">
        <v>9.9895499999999995</v>
      </c>
      <c r="U6" s="151">
        <v>398.31434999999999</v>
      </c>
      <c r="V6" s="154">
        <v>4.8999999999999998E-5</v>
      </c>
      <c r="W6" s="154">
        <v>4.62E-3</v>
      </c>
      <c r="X6" s="154">
        <v>9.6000000000000002E-5</v>
      </c>
    </row>
    <row r="7" spans="1:24">
      <c r="A7" s="155">
        <v>274</v>
      </c>
      <c r="B7" s="155">
        <v>274</v>
      </c>
      <c r="C7" t="s">
        <v>1469</v>
      </c>
      <c r="D7" s="155">
        <v>512607888</v>
      </c>
      <c r="E7" t="s">
        <v>429</v>
      </c>
      <c r="F7" t="s">
        <v>1469</v>
      </c>
      <c r="G7" s="155" t="s">
        <v>1470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259</v>
      </c>
      <c r="O7" t="s">
        <v>62</v>
      </c>
      <c r="P7" t="s">
        <v>1222</v>
      </c>
      <c r="Q7" s="151">
        <v>1432</v>
      </c>
      <c r="R7" s="151">
        <v>1</v>
      </c>
      <c r="S7" s="151">
        <v>58480</v>
      </c>
      <c r="T7" s="151"/>
      <c r="U7" s="151">
        <v>837.43359999999996</v>
      </c>
      <c r="V7" s="154">
        <v>8.6000000000000003E-5</v>
      </c>
      <c r="W7" s="154">
        <v>9.7149999999999997E-3</v>
      </c>
      <c r="X7" s="154">
        <v>2.03E-4</v>
      </c>
    </row>
    <row r="8" spans="1:24">
      <c r="A8" s="155">
        <v>274</v>
      </c>
      <c r="B8" s="155">
        <v>274</v>
      </c>
      <c r="C8" t="s">
        <v>1471</v>
      </c>
      <c r="D8" s="155">
        <v>520036120</v>
      </c>
      <c r="E8" t="s">
        <v>429</v>
      </c>
      <c r="F8" t="s">
        <v>1472</v>
      </c>
      <c r="G8" s="155" t="s">
        <v>1473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269</v>
      </c>
      <c r="O8" t="s">
        <v>62</v>
      </c>
      <c r="P8" t="s">
        <v>1222</v>
      </c>
      <c r="Q8" s="151">
        <v>9728</v>
      </c>
      <c r="R8" s="151">
        <v>1</v>
      </c>
      <c r="S8" s="151">
        <v>14880</v>
      </c>
      <c r="T8" s="151"/>
      <c r="U8" s="151">
        <v>1447.5264</v>
      </c>
      <c r="V8" s="154">
        <v>1.22E-4</v>
      </c>
      <c r="W8" s="154">
        <v>1.6792999999999999E-2</v>
      </c>
      <c r="X8" s="154">
        <v>3.5100000000000002E-4</v>
      </c>
    </row>
    <row r="9" spans="1:24">
      <c r="A9" s="155">
        <v>274</v>
      </c>
      <c r="B9" s="155">
        <v>274</v>
      </c>
      <c r="C9" t="s">
        <v>1474</v>
      </c>
      <c r="D9" s="155">
        <v>511812463</v>
      </c>
      <c r="E9" t="s">
        <v>429</v>
      </c>
      <c r="F9" t="s">
        <v>1475</v>
      </c>
      <c r="G9" s="155" t="s">
        <v>1476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254</v>
      </c>
      <c r="O9" t="s">
        <v>62</v>
      </c>
      <c r="P9" t="s">
        <v>1222</v>
      </c>
      <c r="Q9" s="151">
        <v>2728</v>
      </c>
      <c r="R9" s="151">
        <v>1</v>
      </c>
      <c r="S9" s="151">
        <v>95280</v>
      </c>
      <c r="T9" s="151"/>
      <c r="U9" s="151">
        <v>2599.2384000000002</v>
      </c>
      <c r="V9" s="154">
        <v>9.2999999999999997E-5</v>
      </c>
      <c r="W9" s="154">
        <v>3.0155000000000001E-2</v>
      </c>
      <c r="X9" s="154">
        <v>6.3100000000000005E-4</v>
      </c>
    </row>
    <row r="10" spans="1:24">
      <c r="A10" s="155">
        <v>274</v>
      </c>
      <c r="B10" s="155">
        <v>274</v>
      </c>
      <c r="C10" t="s">
        <v>1477</v>
      </c>
      <c r="D10" s="155">
        <v>520033986</v>
      </c>
      <c r="E10" t="s">
        <v>429</v>
      </c>
      <c r="F10" t="s">
        <v>1477</v>
      </c>
      <c r="G10" s="155" t="s">
        <v>1478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269</v>
      </c>
      <c r="O10" t="s">
        <v>62</v>
      </c>
      <c r="P10" t="s">
        <v>1222</v>
      </c>
      <c r="Q10" s="151">
        <v>19904</v>
      </c>
      <c r="R10" s="151">
        <v>1</v>
      </c>
      <c r="S10" s="151">
        <v>9432</v>
      </c>
      <c r="T10" s="151"/>
      <c r="U10" s="151">
        <v>1877.34528</v>
      </c>
      <c r="V10" s="154">
        <v>8.7999999999999998E-5</v>
      </c>
      <c r="W10" s="154">
        <v>2.1780000000000001E-2</v>
      </c>
      <c r="X10" s="154">
        <v>4.5600000000000003E-4</v>
      </c>
    </row>
    <row r="11" spans="1:24">
      <c r="A11" s="155">
        <v>274</v>
      </c>
      <c r="B11" s="155">
        <v>274</v>
      </c>
      <c r="C11" t="s">
        <v>1479</v>
      </c>
      <c r="D11" s="155">
        <v>520028010</v>
      </c>
      <c r="E11" t="s">
        <v>429</v>
      </c>
      <c r="F11" t="s">
        <v>1480</v>
      </c>
      <c r="G11" s="155" t="s">
        <v>1481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692</v>
      </c>
      <c r="O11" t="s">
        <v>62</v>
      </c>
      <c r="P11" t="s">
        <v>1222</v>
      </c>
      <c r="Q11" s="151">
        <v>693</v>
      </c>
      <c r="R11" s="151">
        <v>1</v>
      </c>
      <c r="S11" s="151">
        <v>112370</v>
      </c>
      <c r="T11" s="151"/>
      <c r="U11" s="151">
        <v>778.72410000000002</v>
      </c>
      <c r="V11" s="154">
        <v>8.8999999999999995E-5</v>
      </c>
      <c r="W11" s="154">
        <v>9.0340000000000004E-3</v>
      </c>
      <c r="X11" s="154">
        <v>1.8900000000000001E-4</v>
      </c>
    </row>
    <row r="12" spans="1:24">
      <c r="A12" s="155">
        <v>274</v>
      </c>
      <c r="B12" s="155">
        <v>274</v>
      </c>
      <c r="C12" t="s">
        <v>1482</v>
      </c>
      <c r="D12" s="155">
        <v>520041146</v>
      </c>
      <c r="E12" t="s">
        <v>429</v>
      </c>
      <c r="F12" t="s">
        <v>1482</v>
      </c>
      <c r="G12" s="155" t="s">
        <v>1483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631</v>
      </c>
      <c r="O12" t="s">
        <v>62</v>
      </c>
      <c r="P12" t="s">
        <v>1222</v>
      </c>
      <c r="Q12" s="151">
        <v>8738.4</v>
      </c>
      <c r="R12" s="151">
        <v>1</v>
      </c>
      <c r="S12" s="151">
        <v>7640</v>
      </c>
      <c r="T12" s="151"/>
      <c r="U12" s="151">
        <v>667.61375999999996</v>
      </c>
      <c r="V12" s="154">
        <v>7.2999999999999999E-5</v>
      </c>
      <c r="W12" s="154">
        <v>7.7450000000000001E-3</v>
      </c>
      <c r="X12" s="154">
        <v>1.6200000000000001E-4</v>
      </c>
    </row>
    <row r="13" spans="1:24">
      <c r="A13" s="155">
        <v>274</v>
      </c>
      <c r="B13" s="155">
        <v>274</v>
      </c>
      <c r="C13" t="s">
        <v>1484</v>
      </c>
      <c r="D13" s="155">
        <v>520041997</v>
      </c>
      <c r="E13" t="s">
        <v>429</v>
      </c>
      <c r="F13" t="s">
        <v>1484</v>
      </c>
      <c r="G13" s="155" t="s">
        <v>1485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254</v>
      </c>
      <c r="O13" t="s">
        <v>62</v>
      </c>
      <c r="P13" t="s">
        <v>1222</v>
      </c>
      <c r="Q13" s="151">
        <v>9225.76</v>
      </c>
      <c r="R13" s="151">
        <v>1</v>
      </c>
      <c r="S13" s="151">
        <v>14620</v>
      </c>
      <c r="T13" s="151"/>
      <c r="U13" s="151">
        <v>1348.80611</v>
      </c>
      <c r="V13" s="154">
        <v>8.2000000000000001E-5</v>
      </c>
      <c r="W13" s="154">
        <v>1.5647999999999999E-2</v>
      </c>
      <c r="X13" s="154">
        <v>3.2699999999999998E-4</v>
      </c>
    </row>
    <row r="14" spans="1:24">
      <c r="A14" s="155">
        <v>274</v>
      </c>
      <c r="B14" s="155">
        <v>274</v>
      </c>
      <c r="C14" t="s">
        <v>1486</v>
      </c>
      <c r="D14" s="155">
        <v>513623314</v>
      </c>
      <c r="E14" t="s">
        <v>429</v>
      </c>
      <c r="F14" t="s">
        <v>1487</v>
      </c>
      <c r="G14" s="155" t="s">
        <v>1488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635</v>
      </c>
      <c r="O14" t="s">
        <v>62</v>
      </c>
      <c r="P14" t="s">
        <v>1222</v>
      </c>
      <c r="Q14" s="151">
        <v>1865</v>
      </c>
      <c r="R14" s="151">
        <v>1</v>
      </c>
      <c r="S14" s="151">
        <v>64490</v>
      </c>
      <c r="T14" s="151"/>
      <c r="U14" s="151">
        <v>1202.7384999999999</v>
      </c>
      <c r="V14" s="154">
        <v>7.3999999999999996E-5</v>
      </c>
      <c r="W14" s="154">
        <v>1.3953E-2</v>
      </c>
      <c r="X14" s="154">
        <v>2.92E-4</v>
      </c>
    </row>
    <row r="15" spans="1:24">
      <c r="A15" s="155">
        <v>274</v>
      </c>
      <c r="B15" s="155">
        <v>274</v>
      </c>
      <c r="C15" t="s">
        <v>1489</v>
      </c>
      <c r="D15" s="155">
        <v>520013954</v>
      </c>
      <c r="E15" t="s">
        <v>429</v>
      </c>
      <c r="F15" t="s">
        <v>1489</v>
      </c>
      <c r="G15" s="155" t="s">
        <v>1490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85</v>
      </c>
      <c r="O15" t="s">
        <v>62</v>
      </c>
      <c r="P15" t="s">
        <v>1222</v>
      </c>
      <c r="Q15" s="151">
        <v>66101</v>
      </c>
      <c r="R15" s="151">
        <v>1</v>
      </c>
      <c r="S15" s="151">
        <v>5699</v>
      </c>
      <c r="T15" s="151"/>
      <c r="U15" s="151">
        <v>3767.0959899999998</v>
      </c>
      <c r="V15" s="154">
        <v>5.1999999999999997E-5</v>
      </c>
      <c r="W15" s="154">
        <v>4.3704E-2</v>
      </c>
      <c r="X15" s="154">
        <v>9.1500000000000001E-4</v>
      </c>
    </row>
    <row r="16" spans="1:24">
      <c r="A16" s="155">
        <v>274</v>
      </c>
      <c r="B16" s="155">
        <v>274</v>
      </c>
      <c r="C16" t="s">
        <v>1219</v>
      </c>
      <c r="D16" s="155">
        <v>520000118</v>
      </c>
      <c r="E16" t="s">
        <v>429</v>
      </c>
      <c r="F16" t="s">
        <v>1491</v>
      </c>
      <c r="G16" s="155" t="s">
        <v>1492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1222</v>
      </c>
      <c r="Q16" s="151">
        <v>92545.18</v>
      </c>
      <c r="R16" s="151">
        <v>1</v>
      </c>
      <c r="S16" s="151">
        <v>6462</v>
      </c>
      <c r="T16" s="151"/>
      <c r="U16" s="151">
        <v>5980.2695299999996</v>
      </c>
      <c r="V16" s="154">
        <v>6.8999999999999997E-5</v>
      </c>
      <c r="W16" s="154">
        <v>6.9379999999999997E-2</v>
      </c>
      <c r="X16" s="154">
        <v>1.4519999999999999E-3</v>
      </c>
    </row>
    <row r="17" spans="1:24">
      <c r="A17" s="155">
        <v>274</v>
      </c>
      <c r="B17" s="155">
        <v>274</v>
      </c>
      <c r="C17" t="s">
        <v>1493</v>
      </c>
      <c r="D17" s="155">
        <v>520036104</v>
      </c>
      <c r="E17" t="s">
        <v>429</v>
      </c>
      <c r="F17" t="s">
        <v>1493</v>
      </c>
      <c r="G17" s="155" t="s">
        <v>1494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140</v>
      </c>
      <c r="O17" t="s">
        <v>62</v>
      </c>
      <c r="P17" t="s">
        <v>1222</v>
      </c>
      <c r="Q17" s="151">
        <v>19914.599999999999</v>
      </c>
      <c r="R17" s="151">
        <v>1</v>
      </c>
      <c r="S17" s="151">
        <v>1690</v>
      </c>
      <c r="T17" s="151"/>
      <c r="U17" s="151">
        <v>336.55673999999999</v>
      </c>
      <c r="V17" s="154">
        <v>3.4999999999999997E-5</v>
      </c>
      <c r="W17" s="154">
        <v>3.9039999999999999E-3</v>
      </c>
      <c r="X17" s="154">
        <v>8.1000000000000004E-5</v>
      </c>
    </row>
    <row r="18" spans="1:24">
      <c r="A18" s="155">
        <v>274</v>
      </c>
      <c r="B18" s="155">
        <v>274</v>
      </c>
      <c r="C18" t="s">
        <v>1495</v>
      </c>
      <c r="D18" s="155">
        <v>550263107</v>
      </c>
      <c r="E18" t="s">
        <v>432</v>
      </c>
      <c r="F18" t="s">
        <v>1496</v>
      </c>
      <c r="G18" s="155" t="s">
        <v>1497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267</v>
      </c>
      <c r="O18" t="s">
        <v>62</v>
      </c>
      <c r="P18" t="s">
        <v>1222</v>
      </c>
      <c r="Q18" s="151">
        <v>13908</v>
      </c>
      <c r="R18" s="151">
        <v>1</v>
      </c>
      <c r="S18" s="151">
        <v>9900</v>
      </c>
      <c r="T18" s="151"/>
      <c r="U18" s="151">
        <v>1376.8920000000001</v>
      </c>
      <c r="V18" s="154">
        <v>1.3300000000000001E-4</v>
      </c>
      <c r="W18" s="154">
        <v>1.5973999999999999E-2</v>
      </c>
      <c r="X18" s="154">
        <v>3.3399999999999999E-4</v>
      </c>
    </row>
    <row r="19" spans="1:24">
      <c r="A19" s="155">
        <v>274</v>
      </c>
      <c r="B19" s="155">
        <v>274</v>
      </c>
      <c r="C19" t="s">
        <v>1498</v>
      </c>
      <c r="D19" s="155">
        <v>520000522</v>
      </c>
      <c r="E19" t="s">
        <v>429</v>
      </c>
      <c r="F19" t="s">
        <v>1499</v>
      </c>
      <c r="G19" s="155" t="s">
        <v>1500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1222</v>
      </c>
      <c r="Q19" s="151">
        <v>22306</v>
      </c>
      <c r="R19" s="151">
        <v>1</v>
      </c>
      <c r="S19" s="151">
        <v>21950</v>
      </c>
      <c r="T19" s="151"/>
      <c r="U19" s="151">
        <v>4896.1670000000004</v>
      </c>
      <c r="V19" s="154">
        <v>8.6000000000000003E-5</v>
      </c>
      <c r="W19" s="154">
        <v>5.6802999999999999E-2</v>
      </c>
      <c r="X19" s="154">
        <v>1.189E-3</v>
      </c>
    </row>
    <row r="20" spans="1:24">
      <c r="A20" s="155">
        <v>274</v>
      </c>
      <c r="B20" s="155">
        <v>274</v>
      </c>
      <c r="C20" t="s">
        <v>1501</v>
      </c>
      <c r="D20" s="155">
        <v>516537560</v>
      </c>
      <c r="E20" t="s">
        <v>429</v>
      </c>
      <c r="F20" t="s">
        <v>1502</v>
      </c>
      <c r="G20" s="155" t="s">
        <v>1503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631</v>
      </c>
      <c r="O20" t="s">
        <v>62</v>
      </c>
      <c r="P20" t="s">
        <v>1222</v>
      </c>
      <c r="Q20" s="151">
        <v>9067</v>
      </c>
      <c r="R20" s="151">
        <v>1</v>
      </c>
      <c r="S20" s="151">
        <v>1369</v>
      </c>
      <c r="T20" s="151"/>
      <c r="U20" s="151">
        <v>124.12723</v>
      </c>
      <c r="V20" s="154">
        <v>1.3899999999999999E-4</v>
      </c>
      <c r="W20" s="154">
        <v>1.4400000000000001E-3</v>
      </c>
      <c r="X20" s="154">
        <v>3.0000000000000001E-5</v>
      </c>
    </row>
    <row r="21" spans="1:24" s="37" customFormat="1">
      <c r="A21" s="155">
        <v>274</v>
      </c>
      <c r="B21" s="155">
        <v>274</v>
      </c>
      <c r="C21" t="s">
        <v>1504</v>
      </c>
      <c r="D21" s="155">
        <v>520003781</v>
      </c>
      <c r="E21" t="s">
        <v>429</v>
      </c>
      <c r="F21" t="s">
        <v>1505</v>
      </c>
      <c r="G21" s="155" t="s">
        <v>1506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261</v>
      </c>
      <c r="O21" t="s">
        <v>62</v>
      </c>
      <c r="P21" t="s">
        <v>1222</v>
      </c>
      <c r="Q21" s="151">
        <v>11424</v>
      </c>
      <c r="R21" s="151">
        <v>1</v>
      </c>
      <c r="S21" s="151">
        <v>9235</v>
      </c>
      <c r="T21" s="151"/>
      <c r="U21" s="151">
        <v>1055.0064</v>
      </c>
      <c r="V21" s="154">
        <v>9.7E-5</v>
      </c>
      <c r="W21" s="154">
        <v>1.2239E-2</v>
      </c>
      <c r="X21" s="154">
        <v>2.5599999999999999E-4</v>
      </c>
    </row>
    <row r="22" spans="1:24">
      <c r="A22" s="155">
        <v>274</v>
      </c>
      <c r="B22" s="155">
        <v>274</v>
      </c>
      <c r="C22" t="s">
        <v>1507</v>
      </c>
      <c r="D22" s="155">
        <v>511399388</v>
      </c>
      <c r="E22" t="s">
        <v>429</v>
      </c>
      <c r="F22" t="s">
        <v>1507</v>
      </c>
      <c r="G22" s="155" t="s">
        <v>1508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102</v>
      </c>
      <c r="O22" t="s">
        <v>62</v>
      </c>
      <c r="P22" t="s">
        <v>1222</v>
      </c>
      <c r="Q22" s="151">
        <v>1831</v>
      </c>
      <c r="R22" s="151">
        <v>1</v>
      </c>
      <c r="S22" s="151">
        <v>36740</v>
      </c>
      <c r="T22" s="151"/>
      <c r="U22" s="151">
        <v>672.70939999999996</v>
      </c>
      <c r="V22" s="154">
        <v>8.7000000000000001E-5</v>
      </c>
      <c r="W22" s="154">
        <v>7.8040000000000002E-3</v>
      </c>
      <c r="X22" s="154">
        <v>1.63E-4</v>
      </c>
    </row>
    <row r="23" spans="1:24">
      <c r="A23" s="155">
        <v>274</v>
      </c>
      <c r="B23" s="155">
        <v>274</v>
      </c>
      <c r="C23" t="s">
        <v>1509</v>
      </c>
      <c r="D23" s="155">
        <v>510381601</v>
      </c>
      <c r="E23" t="s">
        <v>429</v>
      </c>
      <c r="F23" t="s">
        <v>1510</v>
      </c>
      <c r="G23" s="155" t="s">
        <v>1511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140</v>
      </c>
      <c r="O23" t="s">
        <v>62</v>
      </c>
      <c r="P23" t="s">
        <v>1222</v>
      </c>
      <c r="Q23" s="151">
        <v>4672</v>
      </c>
      <c r="R23" s="151">
        <v>1</v>
      </c>
      <c r="S23" s="151">
        <v>7670</v>
      </c>
      <c r="T23" s="151"/>
      <c r="U23" s="151">
        <v>358.3424</v>
      </c>
      <c r="V23" s="154">
        <v>4.1E-5</v>
      </c>
      <c r="W23" s="154">
        <v>4.1570000000000001E-3</v>
      </c>
      <c r="X23" s="154">
        <v>8.7000000000000001E-5</v>
      </c>
    </row>
    <row r="24" spans="1:24">
      <c r="A24" s="155">
        <v>274</v>
      </c>
      <c r="B24" s="155">
        <v>274</v>
      </c>
      <c r="C24" t="s">
        <v>1512</v>
      </c>
      <c r="D24" s="155">
        <v>550013098</v>
      </c>
      <c r="E24" t="s">
        <v>429</v>
      </c>
      <c r="F24" t="s">
        <v>1513</v>
      </c>
      <c r="G24" s="155" t="s">
        <v>1514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267</v>
      </c>
      <c r="O24" t="s">
        <v>62</v>
      </c>
      <c r="P24" t="s">
        <v>1222</v>
      </c>
      <c r="Q24" s="151">
        <v>54479</v>
      </c>
      <c r="R24" s="151">
        <v>1</v>
      </c>
      <c r="S24" s="151">
        <v>1656</v>
      </c>
      <c r="T24" s="151"/>
      <c r="U24" s="151">
        <v>902.17223999999999</v>
      </c>
      <c r="V24" s="154">
        <v>4.6E-5</v>
      </c>
      <c r="W24" s="154">
        <v>1.0466E-2</v>
      </c>
      <c r="X24" s="154">
        <v>2.1900000000000001E-4</v>
      </c>
    </row>
    <row r="25" spans="1:24">
      <c r="A25" s="155">
        <v>274</v>
      </c>
      <c r="B25" s="155">
        <v>274</v>
      </c>
      <c r="C25" t="s">
        <v>1314</v>
      </c>
      <c r="D25" s="155">
        <v>520031931</v>
      </c>
      <c r="E25" t="s">
        <v>429</v>
      </c>
      <c r="F25" t="s">
        <v>1515</v>
      </c>
      <c r="G25" s="155" t="s">
        <v>1516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260</v>
      </c>
      <c r="O25" t="s">
        <v>62</v>
      </c>
      <c r="P25" t="s">
        <v>1222</v>
      </c>
      <c r="Q25" s="151">
        <v>266455.5</v>
      </c>
      <c r="R25" s="151">
        <v>1</v>
      </c>
      <c r="S25" s="151">
        <v>575</v>
      </c>
      <c r="T25" s="151"/>
      <c r="U25" s="151">
        <v>1532.11913</v>
      </c>
      <c r="V25" s="154">
        <v>9.6000000000000002E-5</v>
      </c>
      <c r="W25" s="154">
        <v>1.7774000000000002E-2</v>
      </c>
      <c r="X25" s="154">
        <v>3.7199999999999999E-4</v>
      </c>
    </row>
    <row r="26" spans="1:24">
      <c r="A26" s="155">
        <v>274</v>
      </c>
      <c r="B26" s="155">
        <v>274</v>
      </c>
      <c r="C26" t="s">
        <v>1517</v>
      </c>
      <c r="D26" s="155">
        <v>520029083</v>
      </c>
      <c r="E26" t="s">
        <v>429</v>
      </c>
      <c r="F26" t="s">
        <v>1518</v>
      </c>
      <c r="G26" s="155" t="s">
        <v>1519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256</v>
      </c>
      <c r="O26" t="s">
        <v>62</v>
      </c>
      <c r="P26" t="s">
        <v>1222</v>
      </c>
      <c r="Q26" s="151">
        <v>5940</v>
      </c>
      <c r="R26" s="151">
        <v>1</v>
      </c>
      <c r="S26" s="151">
        <v>24370</v>
      </c>
      <c r="T26" s="151"/>
      <c r="U26" s="151">
        <v>1447.578</v>
      </c>
      <c r="V26" s="154">
        <v>5.8999999999999998E-5</v>
      </c>
      <c r="W26" s="154">
        <v>1.6794E-2</v>
      </c>
      <c r="X26" s="154">
        <v>3.5100000000000002E-4</v>
      </c>
    </row>
    <row r="27" spans="1:24">
      <c r="A27" s="155">
        <v>274</v>
      </c>
      <c r="B27" s="155">
        <v>274</v>
      </c>
      <c r="C27" t="s">
        <v>1520</v>
      </c>
      <c r="D27" s="155">
        <v>520026683</v>
      </c>
      <c r="E27" t="s">
        <v>429</v>
      </c>
      <c r="F27" t="s">
        <v>1521</v>
      </c>
      <c r="G27" s="155" t="s">
        <v>1522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635</v>
      </c>
      <c r="O27" t="s">
        <v>62</v>
      </c>
      <c r="P27" t="s">
        <v>1222</v>
      </c>
      <c r="Q27" s="151">
        <v>46721</v>
      </c>
      <c r="R27" s="151">
        <v>1</v>
      </c>
      <c r="S27" s="151">
        <v>2281</v>
      </c>
      <c r="T27" s="151"/>
      <c r="U27" s="151">
        <v>1065.7060100000001</v>
      </c>
      <c r="V27" s="154">
        <v>9.8999999999999994E-5</v>
      </c>
      <c r="W27" s="154">
        <v>1.2363000000000001E-2</v>
      </c>
      <c r="X27" s="154">
        <v>2.5799999999999998E-4</v>
      </c>
    </row>
    <row r="28" spans="1:24">
      <c r="A28" s="155">
        <v>274</v>
      </c>
      <c r="B28" s="155">
        <v>274</v>
      </c>
      <c r="C28" t="s">
        <v>1523</v>
      </c>
      <c r="D28" s="155">
        <v>514401702</v>
      </c>
      <c r="E28" t="s">
        <v>429</v>
      </c>
      <c r="F28" t="s">
        <v>1523</v>
      </c>
      <c r="G28" s="155" t="s">
        <v>1524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156</v>
      </c>
      <c r="O28" t="s">
        <v>62</v>
      </c>
      <c r="P28" t="s">
        <v>1222</v>
      </c>
      <c r="Q28" s="151">
        <v>12185.36</v>
      </c>
      <c r="R28" s="151">
        <v>1</v>
      </c>
      <c r="S28" s="151">
        <v>4100</v>
      </c>
      <c r="T28" s="151"/>
      <c r="U28" s="151">
        <v>499.59976</v>
      </c>
      <c r="V28" s="154">
        <v>4.3000000000000002E-5</v>
      </c>
      <c r="W28" s="154">
        <v>5.7959999999999999E-3</v>
      </c>
      <c r="X28" s="154">
        <v>1.21E-4</v>
      </c>
    </row>
    <row r="29" spans="1:24">
      <c r="A29" s="155">
        <v>274</v>
      </c>
      <c r="B29" s="155">
        <v>274</v>
      </c>
      <c r="C29" t="s">
        <v>1525</v>
      </c>
      <c r="D29" s="155">
        <v>550012777</v>
      </c>
      <c r="E29" t="s">
        <v>429</v>
      </c>
      <c r="F29" t="s">
        <v>1526</v>
      </c>
      <c r="G29" s="155" t="s">
        <v>1527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267</v>
      </c>
      <c r="O29" t="s">
        <v>62</v>
      </c>
      <c r="P29" t="s">
        <v>1222</v>
      </c>
      <c r="Q29" s="151">
        <v>77746</v>
      </c>
      <c r="R29" s="151">
        <v>1</v>
      </c>
      <c r="S29" s="151">
        <v>483.9</v>
      </c>
      <c r="T29" s="151"/>
      <c r="U29" s="151">
        <v>376.21289000000002</v>
      </c>
      <c r="V29" s="154">
        <v>6.8999999999999997E-5</v>
      </c>
      <c r="W29" s="154">
        <v>4.3639999999999998E-3</v>
      </c>
      <c r="X29" s="154">
        <v>9.1000000000000003E-5</v>
      </c>
    </row>
    <row r="30" spans="1:24">
      <c r="A30" s="155">
        <v>274</v>
      </c>
      <c r="B30" s="155">
        <v>274</v>
      </c>
      <c r="C30" t="s">
        <v>1528</v>
      </c>
      <c r="D30" s="155">
        <v>880326081</v>
      </c>
      <c r="E30" t="s">
        <v>429</v>
      </c>
      <c r="F30" t="s">
        <v>1529</v>
      </c>
      <c r="G30" s="155" t="s">
        <v>1530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631</v>
      </c>
      <c r="O30" t="s">
        <v>62</v>
      </c>
      <c r="P30" t="s">
        <v>1222</v>
      </c>
      <c r="Q30" s="151">
        <v>4510</v>
      </c>
      <c r="R30" s="151">
        <v>1</v>
      </c>
      <c r="S30" s="151">
        <v>27780</v>
      </c>
      <c r="T30" s="151"/>
      <c r="U30" s="151">
        <v>1252.8779999999999</v>
      </c>
      <c r="V30" s="154">
        <v>7.8999999999999996E-5</v>
      </c>
      <c r="W30" s="154">
        <v>1.4534999999999999E-2</v>
      </c>
      <c r="X30" s="154">
        <v>3.0400000000000002E-4</v>
      </c>
    </row>
    <row r="31" spans="1:24">
      <c r="A31" s="155">
        <v>274</v>
      </c>
      <c r="B31" s="155">
        <v>274</v>
      </c>
      <c r="C31" t="s">
        <v>1531</v>
      </c>
      <c r="D31" s="155">
        <v>511930125</v>
      </c>
      <c r="E31" t="s">
        <v>429</v>
      </c>
      <c r="F31" t="s">
        <v>1532</v>
      </c>
      <c r="G31" s="155" t="s">
        <v>1533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75</v>
      </c>
      <c r="O31" t="s">
        <v>62</v>
      </c>
      <c r="P31" t="s">
        <v>1222</v>
      </c>
      <c r="Q31" s="151">
        <v>15599</v>
      </c>
      <c r="R31" s="151">
        <v>1</v>
      </c>
      <c r="S31" s="151">
        <v>2734</v>
      </c>
      <c r="T31" s="151"/>
      <c r="U31" s="151">
        <v>426.47665999999998</v>
      </c>
      <c r="V31" s="154">
        <v>9.2999999999999997E-5</v>
      </c>
      <c r="W31" s="154">
        <v>4.947E-3</v>
      </c>
      <c r="X31" s="154">
        <v>1.03E-4</v>
      </c>
    </row>
    <row r="32" spans="1:24">
      <c r="A32" s="155">
        <v>274</v>
      </c>
      <c r="B32" s="155">
        <v>274</v>
      </c>
      <c r="C32" t="s">
        <v>1534</v>
      </c>
      <c r="D32" s="155">
        <v>520024126</v>
      </c>
      <c r="E32" t="s">
        <v>429</v>
      </c>
      <c r="F32" t="s">
        <v>1535</v>
      </c>
      <c r="G32" s="155" t="s">
        <v>1536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635</v>
      </c>
      <c r="O32" t="s">
        <v>62</v>
      </c>
      <c r="P32" t="s">
        <v>1222</v>
      </c>
      <c r="Q32" s="151">
        <v>48073</v>
      </c>
      <c r="R32" s="151">
        <v>1</v>
      </c>
      <c r="S32" s="151">
        <v>1262</v>
      </c>
      <c r="T32" s="151"/>
      <c r="U32" s="151">
        <v>606.68125999999995</v>
      </c>
      <c r="V32" s="154">
        <v>6.4999999999999994E-5</v>
      </c>
      <c r="W32" s="154">
        <v>7.038E-3</v>
      </c>
      <c r="X32" s="154">
        <v>1.47E-4</v>
      </c>
    </row>
    <row r="33" spans="1:24">
      <c r="A33" s="155">
        <v>274</v>
      </c>
      <c r="B33" s="155">
        <v>274</v>
      </c>
      <c r="C33" t="s">
        <v>1537</v>
      </c>
      <c r="D33" s="155">
        <v>511235434</v>
      </c>
      <c r="E33" t="s">
        <v>429</v>
      </c>
      <c r="F33" t="s">
        <v>1537</v>
      </c>
      <c r="G33" s="155" t="s">
        <v>1538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252</v>
      </c>
      <c r="O33" t="s">
        <v>62</v>
      </c>
      <c r="P33" t="s">
        <v>1222</v>
      </c>
      <c r="Q33" s="151">
        <v>4062</v>
      </c>
      <c r="R33" s="151">
        <v>1</v>
      </c>
      <c r="S33" s="151">
        <v>29040</v>
      </c>
      <c r="T33" s="151"/>
      <c r="U33" s="151">
        <v>1179.6048000000001</v>
      </c>
      <c r="V33" s="154">
        <v>8.5000000000000006E-5</v>
      </c>
      <c r="W33" s="154">
        <v>1.3684999999999999E-2</v>
      </c>
      <c r="X33" s="154">
        <v>2.8600000000000001E-4</v>
      </c>
    </row>
    <row r="34" spans="1:24">
      <c r="A34" s="155">
        <v>274</v>
      </c>
      <c r="B34" s="155">
        <v>274</v>
      </c>
      <c r="C34" t="s">
        <v>1539</v>
      </c>
      <c r="D34" s="155">
        <v>520033234</v>
      </c>
      <c r="E34" t="s">
        <v>429</v>
      </c>
      <c r="F34" t="s">
        <v>1540</v>
      </c>
      <c r="G34" s="155" t="s">
        <v>1541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636</v>
      </c>
      <c r="O34" t="s">
        <v>62</v>
      </c>
      <c r="P34" t="s">
        <v>1222</v>
      </c>
      <c r="Q34" s="151">
        <v>49996</v>
      </c>
      <c r="R34" s="151">
        <v>1</v>
      </c>
      <c r="S34" s="151">
        <v>1334</v>
      </c>
      <c r="T34" s="151"/>
      <c r="U34" s="151">
        <v>666.94664</v>
      </c>
      <c r="V34" s="154">
        <v>2.4899999999999998E-4</v>
      </c>
      <c r="W34" s="154">
        <v>7.737E-3</v>
      </c>
      <c r="X34" s="154">
        <v>1.6200000000000001E-4</v>
      </c>
    </row>
    <row r="35" spans="1:24">
      <c r="A35" s="155">
        <v>274</v>
      </c>
      <c r="B35" s="155">
        <v>274</v>
      </c>
      <c r="C35" t="s">
        <v>1542</v>
      </c>
      <c r="D35" s="155">
        <v>520007469</v>
      </c>
      <c r="E35" t="s">
        <v>429</v>
      </c>
      <c r="F35" t="s">
        <v>1542</v>
      </c>
      <c r="G35" s="155" t="s">
        <v>1543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269</v>
      </c>
      <c r="O35" t="s">
        <v>62</v>
      </c>
      <c r="P35" t="s">
        <v>1222</v>
      </c>
      <c r="Q35" s="151">
        <v>2853</v>
      </c>
      <c r="R35" s="151">
        <v>1</v>
      </c>
      <c r="S35" s="151">
        <v>26530</v>
      </c>
      <c r="T35" s="151"/>
      <c r="U35" s="151">
        <v>756.90089999999998</v>
      </c>
      <c r="V35" s="154">
        <v>4.5000000000000003E-5</v>
      </c>
      <c r="W35" s="154">
        <v>8.7810000000000006E-3</v>
      </c>
      <c r="X35" s="154">
        <v>1.83E-4</v>
      </c>
    </row>
    <row r="36" spans="1:24">
      <c r="A36" s="155">
        <v>274</v>
      </c>
      <c r="B36" s="155">
        <v>274</v>
      </c>
      <c r="C36" t="s">
        <v>1544</v>
      </c>
      <c r="D36" s="155">
        <v>520044314</v>
      </c>
      <c r="E36" t="s">
        <v>429</v>
      </c>
      <c r="F36" t="s">
        <v>1544</v>
      </c>
      <c r="G36" s="155" t="s">
        <v>1545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75</v>
      </c>
      <c r="O36" t="s">
        <v>62</v>
      </c>
      <c r="P36" t="s">
        <v>1222</v>
      </c>
      <c r="Q36" s="151">
        <v>20423</v>
      </c>
      <c r="R36" s="151">
        <v>1</v>
      </c>
      <c r="S36" s="151">
        <v>2555</v>
      </c>
      <c r="T36" s="151"/>
      <c r="U36" s="151">
        <v>521.80764999999997</v>
      </c>
      <c r="V36" s="154">
        <v>1.06E-4</v>
      </c>
      <c r="W36" s="154">
        <v>6.0530000000000002E-3</v>
      </c>
      <c r="X36" s="154">
        <v>1.26E-4</v>
      </c>
    </row>
    <row r="37" spans="1:24">
      <c r="A37" s="155">
        <v>274</v>
      </c>
      <c r="B37" s="155">
        <v>274</v>
      </c>
      <c r="C37" t="s">
        <v>1546</v>
      </c>
      <c r="D37" s="155">
        <v>520043027</v>
      </c>
      <c r="E37" t="s">
        <v>429</v>
      </c>
      <c r="F37" t="s">
        <v>1546</v>
      </c>
      <c r="G37" s="155" t="s">
        <v>1547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638</v>
      </c>
      <c r="O37" t="s">
        <v>62</v>
      </c>
      <c r="P37" t="s">
        <v>1222</v>
      </c>
      <c r="Q37" s="151">
        <v>3354</v>
      </c>
      <c r="R37" s="151">
        <v>1</v>
      </c>
      <c r="S37" s="151">
        <v>149800</v>
      </c>
      <c r="T37" s="151">
        <v>6.85222</v>
      </c>
      <c r="U37" s="151">
        <v>5031.1442200000001</v>
      </c>
      <c r="V37" s="154">
        <v>7.2000000000000002E-5</v>
      </c>
      <c r="W37" s="154">
        <v>5.8368000000000003E-2</v>
      </c>
      <c r="X37" s="154">
        <v>1.2210000000000001E-3</v>
      </c>
    </row>
    <row r="38" spans="1:24">
      <c r="A38" s="155">
        <v>274</v>
      </c>
      <c r="B38" s="155">
        <v>274</v>
      </c>
      <c r="C38" t="s">
        <v>1548</v>
      </c>
      <c r="D38" s="155">
        <v>520044322</v>
      </c>
      <c r="E38" t="s">
        <v>429</v>
      </c>
      <c r="F38" t="s">
        <v>1549</v>
      </c>
      <c r="G38" s="155" t="s">
        <v>1550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267</v>
      </c>
      <c r="O38" t="s">
        <v>62</v>
      </c>
      <c r="P38" t="s">
        <v>1222</v>
      </c>
      <c r="Q38" s="151">
        <v>809</v>
      </c>
      <c r="R38" s="151">
        <v>1</v>
      </c>
      <c r="S38" s="151">
        <v>69740</v>
      </c>
      <c r="T38" s="151"/>
      <c r="U38" s="151">
        <v>564.19659999999999</v>
      </c>
      <c r="V38" s="154">
        <v>4.3000000000000002E-5</v>
      </c>
      <c r="W38" s="154">
        <v>6.5449999999999996E-3</v>
      </c>
      <c r="X38" s="154">
        <v>1.37E-4</v>
      </c>
    </row>
    <row r="39" spans="1:24">
      <c r="A39" s="155">
        <v>274</v>
      </c>
      <c r="B39" s="155">
        <v>274</v>
      </c>
      <c r="C39" t="s">
        <v>1551</v>
      </c>
      <c r="D39" s="155">
        <v>520022732</v>
      </c>
      <c r="E39" t="s">
        <v>429</v>
      </c>
      <c r="F39" t="s">
        <v>1551</v>
      </c>
      <c r="G39" s="155" t="s">
        <v>1552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634</v>
      </c>
      <c r="O39" t="s">
        <v>62</v>
      </c>
      <c r="P39" t="s">
        <v>1222</v>
      </c>
      <c r="Q39" s="151">
        <v>31033</v>
      </c>
      <c r="R39" s="151">
        <v>1</v>
      </c>
      <c r="S39" s="151">
        <v>3869</v>
      </c>
      <c r="T39" s="151"/>
      <c r="U39" s="151">
        <v>1200.66677</v>
      </c>
      <c r="V39" s="154">
        <v>1.12E-4</v>
      </c>
      <c r="W39" s="154">
        <v>1.3929E-2</v>
      </c>
      <c r="X39" s="154">
        <v>2.9100000000000003E-4</v>
      </c>
    </row>
    <row r="40" spans="1:24">
      <c r="A40" s="155">
        <v>274</v>
      </c>
      <c r="B40" s="155">
        <v>274</v>
      </c>
      <c r="C40" t="s">
        <v>1553</v>
      </c>
      <c r="D40" s="155">
        <v>520027830</v>
      </c>
      <c r="E40" t="s">
        <v>429</v>
      </c>
      <c r="F40" t="s">
        <v>1554</v>
      </c>
      <c r="G40" s="155" t="s">
        <v>1555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265</v>
      </c>
      <c r="O40" t="s">
        <v>62</v>
      </c>
      <c r="P40" t="s">
        <v>1222</v>
      </c>
      <c r="Q40" s="151">
        <v>132612</v>
      </c>
      <c r="R40" s="151">
        <v>1</v>
      </c>
      <c r="S40" s="151">
        <v>2309</v>
      </c>
      <c r="T40" s="151"/>
      <c r="U40" s="151">
        <v>3062.0110800000002</v>
      </c>
      <c r="V40" s="154">
        <v>1E-4</v>
      </c>
      <c r="W40" s="154">
        <v>3.5524E-2</v>
      </c>
      <c r="X40" s="154">
        <v>7.4299999999999995E-4</v>
      </c>
    </row>
    <row r="41" spans="1:24">
      <c r="A41" s="155">
        <v>274</v>
      </c>
      <c r="B41" s="155">
        <v>274</v>
      </c>
      <c r="C41" t="s">
        <v>1293</v>
      </c>
      <c r="D41" s="155">
        <v>510960719</v>
      </c>
      <c r="E41" t="s">
        <v>429</v>
      </c>
      <c r="F41" t="s">
        <v>1556</v>
      </c>
      <c r="G41" s="155" t="s">
        <v>1557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635</v>
      </c>
      <c r="O41" t="s">
        <v>62</v>
      </c>
      <c r="P41" t="s">
        <v>1222</v>
      </c>
      <c r="Q41" s="151">
        <v>5978</v>
      </c>
      <c r="R41" s="151">
        <v>1</v>
      </c>
      <c r="S41" s="151">
        <v>30970</v>
      </c>
      <c r="T41" s="151"/>
      <c r="U41" s="151">
        <v>1851.3866</v>
      </c>
      <c r="V41" s="154">
        <v>4.8999999999999998E-5</v>
      </c>
      <c r="W41" s="154">
        <v>2.1478000000000001E-2</v>
      </c>
      <c r="X41" s="154">
        <v>4.4900000000000002E-4</v>
      </c>
    </row>
    <row r="42" spans="1:24">
      <c r="A42" s="155">
        <v>274</v>
      </c>
      <c r="B42" s="155">
        <v>274</v>
      </c>
      <c r="C42" t="s">
        <v>1558</v>
      </c>
      <c r="D42" s="155">
        <v>513821488</v>
      </c>
      <c r="E42" t="s">
        <v>429</v>
      </c>
      <c r="F42" t="s">
        <v>1558</v>
      </c>
      <c r="G42" s="155" t="s">
        <v>1559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635</v>
      </c>
      <c r="O42" t="s">
        <v>62</v>
      </c>
      <c r="P42" t="s">
        <v>1222</v>
      </c>
      <c r="Q42" s="151">
        <v>20598</v>
      </c>
      <c r="R42" s="151">
        <v>1</v>
      </c>
      <c r="S42" s="151">
        <v>2261</v>
      </c>
      <c r="T42" s="151"/>
      <c r="U42" s="151">
        <v>465.72077999999999</v>
      </c>
      <c r="V42" s="154">
        <v>1.05E-4</v>
      </c>
      <c r="W42" s="154">
        <v>5.4029999999999998E-3</v>
      </c>
      <c r="X42" s="154">
        <v>1.13E-4</v>
      </c>
    </row>
    <row r="43" spans="1:24">
      <c r="A43" s="155">
        <v>274</v>
      </c>
      <c r="B43" s="155">
        <v>274</v>
      </c>
      <c r="C43" t="s">
        <v>1299</v>
      </c>
      <c r="D43" s="155">
        <v>520018078</v>
      </c>
      <c r="E43" t="s">
        <v>429</v>
      </c>
      <c r="F43" t="s">
        <v>1299</v>
      </c>
      <c r="G43" s="155" t="s">
        <v>1560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256</v>
      </c>
      <c r="O43" t="s">
        <v>62</v>
      </c>
      <c r="P43" t="s">
        <v>1222</v>
      </c>
      <c r="Q43" s="151">
        <v>90757.21</v>
      </c>
      <c r="R43" s="151">
        <v>1</v>
      </c>
      <c r="S43" s="151">
        <v>6262</v>
      </c>
      <c r="T43" s="151"/>
      <c r="U43" s="151">
        <v>5683.2164899999998</v>
      </c>
      <c r="V43" s="154">
        <v>5.5999999999999999E-5</v>
      </c>
      <c r="W43" s="154">
        <v>6.5934000000000006E-2</v>
      </c>
      <c r="X43" s="154">
        <v>1.3799999999999999E-3</v>
      </c>
    </row>
    <row r="44" spans="1:24">
      <c r="A44" s="155">
        <v>274</v>
      </c>
      <c r="B44" s="155">
        <v>274</v>
      </c>
      <c r="C44" t="s">
        <v>1561</v>
      </c>
      <c r="D44" s="155">
        <v>520036872</v>
      </c>
      <c r="E44" t="s">
        <v>429</v>
      </c>
      <c r="F44" t="s">
        <v>1561</v>
      </c>
      <c r="G44" s="155" t="s">
        <v>1562</v>
      </c>
      <c r="H44" t="s">
        <v>76</v>
      </c>
      <c r="I44" t="s">
        <v>73</v>
      </c>
      <c r="J44" t="s">
        <v>53</v>
      </c>
      <c r="K44" t="s">
        <v>53</v>
      </c>
      <c r="L44" t="s">
        <v>805</v>
      </c>
      <c r="M44" t="s">
        <v>311</v>
      </c>
      <c r="N44" t="s">
        <v>253</v>
      </c>
      <c r="O44" t="s">
        <v>62</v>
      </c>
      <c r="P44" t="s">
        <v>1222</v>
      </c>
      <c r="Q44" s="151">
        <v>8124</v>
      </c>
      <c r="R44" s="151">
        <v>1</v>
      </c>
      <c r="S44" s="151">
        <v>57150</v>
      </c>
      <c r="T44" s="151"/>
      <c r="U44" s="151">
        <v>4642.866</v>
      </c>
      <c r="V44" s="154">
        <v>1.08E-4</v>
      </c>
      <c r="W44" s="154">
        <v>5.3864000000000002E-2</v>
      </c>
      <c r="X44" s="154">
        <v>1.1280000000000001E-3</v>
      </c>
    </row>
    <row r="45" spans="1:24">
      <c r="A45" s="155">
        <v>274</v>
      </c>
      <c r="B45" s="155">
        <v>274</v>
      </c>
      <c r="C45" t="s">
        <v>1228</v>
      </c>
      <c r="D45" s="155">
        <v>520007030</v>
      </c>
      <c r="E45" t="s">
        <v>429</v>
      </c>
      <c r="F45" t="s">
        <v>1563</v>
      </c>
      <c r="G45" s="155" t="s">
        <v>1564</v>
      </c>
      <c r="H45" t="s">
        <v>76</v>
      </c>
      <c r="I45" t="s">
        <v>73</v>
      </c>
      <c r="J45" t="s">
        <v>53</v>
      </c>
      <c r="K45" t="s">
        <v>53</v>
      </c>
      <c r="L45" t="s">
        <v>805</v>
      </c>
      <c r="M45" t="s">
        <v>311</v>
      </c>
      <c r="N45" t="s">
        <v>256</v>
      </c>
      <c r="O45" t="s">
        <v>62</v>
      </c>
      <c r="P45" t="s">
        <v>1222</v>
      </c>
      <c r="Q45" s="151">
        <v>200641.49</v>
      </c>
      <c r="R45" s="151">
        <v>1</v>
      </c>
      <c r="S45" s="151">
        <v>3356</v>
      </c>
      <c r="T45" s="151"/>
      <c r="U45" s="151">
        <v>6733.5284000000001</v>
      </c>
      <c r="V45" s="154">
        <v>1.6200000000000001E-4</v>
      </c>
      <c r="W45" s="154">
        <v>7.8118999999999994E-2</v>
      </c>
      <c r="X45" s="154">
        <v>1.635E-3</v>
      </c>
    </row>
    <row r="46" spans="1:24">
      <c r="A46" s="155">
        <v>274</v>
      </c>
      <c r="B46" s="155">
        <v>274</v>
      </c>
      <c r="C46" t="s">
        <v>1474</v>
      </c>
      <c r="D46" s="155">
        <v>511812463</v>
      </c>
      <c r="E46" t="s">
        <v>429</v>
      </c>
      <c r="F46" t="s">
        <v>1565</v>
      </c>
      <c r="G46" s="155" t="s">
        <v>1476</v>
      </c>
      <c r="H46" t="s">
        <v>76</v>
      </c>
      <c r="I46" t="s">
        <v>73</v>
      </c>
      <c r="J46" t="s">
        <v>61</v>
      </c>
      <c r="K46" t="s">
        <v>53</v>
      </c>
      <c r="L46" t="s">
        <v>805</v>
      </c>
      <c r="M46" t="s">
        <v>479</v>
      </c>
      <c r="N46" t="s">
        <v>202</v>
      </c>
      <c r="O46" t="s">
        <v>62</v>
      </c>
      <c r="P46" t="s">
        <v>1218</v>
      </c>
      <c r="Q46" s="151">
        <v>1961</v>
      </c>
      <c r="R46" s="151">
        <v>3.3719999999999999</v>
      </c>
      <c r="S46" s="151">
        <v>27520</v>
      </c>
      <c r="T46" s="151"/>
      <c r="U46" s="151">
        <v>1819.7578000000001</v>
      </c>
      <c r="V46" s="154">
        <v>6.6000000000000005E-5</v>
      </c>
      <c r="W46" s="154">
        <v>2.1111999999999999E-2</v>
      </c>
      <c r="X46" s="154">
        <v>4.4200000000000001E-4</v>
      </c>
    </row>
    <row r="47" spans="1:24">
      <c r="A47" s="155">
        <v>274</v>
      </c>
      <c r="B47" s="155">
        <v>274</v>
      </c>
      <c r="C47" t="s">
        <v>1561</v>
      </c>
      <c r="D47" s="155">
        <v>520036872</v>
      </c>
      <c r="E47" t="s">
        <v>429</v>
      </c>
      <c r="F47" t="s">
        <v>1566</v>
      </c>
      <c r="G47" s="155" t="s">
        <v>1567</v>
      </c>
      <c r="H47" t="s">
        <v>76</v>
      </c>
      <c r="I47" t="s">
        <v>73</v>
      </c>
      <c r="J47" t="s">
        <v>61</v>
      </c>
      <c r="K47" t="s">
        <v>53</v>
      </c>
      <c r="L47" t="s">
        <v>805</v>
      </c>
      <c r="M47" t="s">
        <v>479</v>
      </c>
      <c r="N47" t="s">
        <v>899</v>
      </c>
      <c r="O47" t="s">
        <v>62</v>
      </c>
      <c r="P47" t="s">
        <v>1218</v>
      </c>
      <c r="Q47" s="151">
        <v>928</v>
      </c>
      <c r="R47" s="151">
        <v>3.3719999999999999</v>
      </c>
      <c r="S47" s="151">
        <v>16891</v>
      </c>
      <c r="T47" s="151"/>
      <c r="U47" s="151">
        <v>528.55587000000003</v>
      </c>
      <c r="V47" s="154">
        <v>1.4E-5</v>
      </c>
      <c r="W47" s="154">
        <v>6.1320000000000003E-3</v>
      </c>
      <c r="X47" s="154">
        <v>1.2799999999999999E-4</v>
      </c>
    </row>
    <row r="48" spans="1:24">
      <c r="A48" s="155">
        <v>274</v>
      </c>
      <c r="B48" s="155">
        <v>274</v>
      </c>
      <c r="C48" t="s">
        <v>1489</v>
      </c>
      <c r="D48" s="155">
        <v>520013954</v>
      </c>
      <c r="E48" t="s">
        <v>429</v>
      </c>
      <c r="F48" t="s">
        <v>1568</v>
      </c>
      <c r="G48" s="155" t="s">
        <v>1569</v>
      </c>
      <c r="H48" t="s">
        <v>76</v>
      </c>
      <c r="I48" t="s">
        <v>73</v>
      </c>
      <c r="J48" t="s">
        <v>61</v>
      </c>
      <c r="K48" t="s">
        <v>53</v>
      </c>
      <c r="L48" t="s">
        <v>805</v>
      </c>
      <c r="M48" t="s">
        <v>476</v>
      </c>
      <c r="N48" t="s">
        <v>894</v>
      </c>
      <c r="O48" t="s">
        <v>62</v>
      </c>
      <c r="P48" t="s">
        <v>1218</v>
      </c>
      <c r="Q48" s="151">
        <v>24264</v>
      </c>
      <c r="R48" s="151">
        <v>3.3719999999999999</v>
      </c>
      <c r="S48" s="151">
        <v>1676</v>
      </c>
      <c r="T48" s="151"/>
      <c r="U48" s="151">
        <v>1371.2731699999999</v>
      </c>
      <c r="V48" s="154">
        <v>2.0999999999999999E-5</v>
      </c>
      <c r="W48" s="154">
        <v>1.5907999999999999E-2</v>
      </c>
      <c r="X48" s="154">
        <v>3.3300000000000002E-4</v>
      </c>
    </row>
    <row r="49" spans="1:24">
      <c r="A49" s="155">
        <v>274</v>
      </c>
      <c r="B49" s="155">
        <v>274</v>
      </c>
      <c r="C49" t="s">
        <v>1570</v>
      </c>
      <c r="D49" s="155" t="s">
        <v>1571</v>
      </c>
      <c r="E49" t="s">
        <v>430</v>
      </c>
      <c r="F49" t="s">
        <v>1572</v>
      </c>
      <c r="G49" s="155" t="s">
        <v>1573</v>
      </c>
      <c r="H49" t="s">
        <v>76</v>
      </c>
      <c r="I49" t="s">
        <v>73</v>
      </c>
      <c r="J49" t="s">
        <v>61</v>
      </c>
      <c r="K49" t="s">
        <v>317</v>
      </c>
      <c r="L49" t="s">
        <v>805</v>
      </c>
      <c r="M49" t="s">
        <v>476</v>
      </c>
      <c r="N49" t="s">
        <v>202</v>
      </c>
      <c r="O49" t="s">
        <v>62</v>
      </c>
      <c r="P49" t="s">
        <v>1218</v>
      </c>
      <c r="Q49" s="151">
        <v>552</v>
      </c>
      <c r="R49" s="151">
        <v>3.3719999999999999</v>
      </c>
      <c r="S49" s="151">
        <v>22649</v>
      </c>
      <c r="T49" s="151">
        <v>0.41508</v>
      </c>
      <c r="U49" s="151">
        <v>422.97545000000002</v>
      </c>
      <c r="V49" s="154">
        <v>0</v>
      </c>
      <c r="W49" s="154">
        <v>4.9059999999999998E-3</v>
      </c>
      <c r="X49" s="154">
        <v>1.02E-4</v>
      </c>
    </row>
    <row r="50" spans="1:24">
      <c r="A50" s="155">
        <v>274</v>
      </c>
      <c r="B50" s="155">
        <v>274</v>
      </c>
      <c r="C50" t="s">
        <v>1574</v>
      </c>
      <c r="D50" s="155" t="s">
        <v>1575</v>
      </c>
      <c r="E50" t="s">
        <v>430</v>
      </c>
      <c r="F50" t="s">
        <v>1576</v>
      </c>
      <c r="G50" s="155" t="s">
        <v>1577</v>
      </c>
      <c r="H50" t="s">
        <v>76</v>
      </c>
      <c r="I50" t="s">
        <v>73</v>
      </c>
      <c r="J50" t="s">
        <v>61</v>
      </c>
      <c r="K50" t="s">
        <v>314</v>
      </c>
      <c r="L50" t="s">
        <v>805</v>
      </c>
      <c r="M50" t="s">
        <v>479</v>
      </c>
      <c r="N50" t="s">
        <v>891</v>
      </c>
      <c r="O50" t="s">
        <v>62</v>
      </c>
      <c r="P50" t="s">
        <v>1218</v>
      </c>
      <c r="Q50" s="151">
        <v>6133</v>
      </c>
      <c r="R50" s="151">
        <v>3.3719999999999999</v>
      </c>
      <c r="S50" s="151">
        <v>1444</v>
      </c>
      <c r="T50" s="151"/>
      <c r="U50" s="151">
        <v>298.62607000000003</v>
      </c>
      <c r="V50" s="154">
        <v>9.7E-5</v>
      </c>
      <c r="W50" s="154">
        <v>3.4640000000000001E-3</v>
      </c>
      <c r="X50" s="154">
        <v>7.2000000000000002E-5</v>
      </c>
    </row>
    <row r="51" spans="1:24">
      <c r="A51" s="155">
        <v>274</v>
      </c>
      <c r="B51" s="155">
        <v>274</v>
      </c>
      <c r="C51" t="s">
        <v>1578</v>
      </c>
      <c r="D51" s="155" t="s">
        <v>1579</v>
      </c>
      <c r="E51" t="s">
        <v>430</v>
      </c>
      <c r="F51" t="s">
        <v>1580</v>
      </c>
      <c r="G51" s="155" t="s">
        <v>1581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476</v>
      </c>
      <c r="N51" t="s">
        <v>195</v>
      </c>
      <c r="O51" t="s">
        <v>62</v>
      </c>
      <c r="P51" t="s">
        <v>1218</v>
      </c>
      <c r="Q51" s="151">
        <v>182</v>
      </c>
      <c r="R51" s="151">
        <v>3.3719999999999999</v>
      </c>
      <c r="S51" s="151">
        <v>70775</v>
      </c>
      <c r="T51" s="151"/>
      <c r="U51" s="151">
        <v>434.34901000000002</v>
      </c>
      <c r="V51" s="154">
        <v>0</v>
      </c>
      <c r="W51" s="154">
        <v>5.0390000000000001E-3</v>
      </c>
      <c r="X51" s="154">
        <v>1.05E-4</v>
      </c>
    </row>
    <row r="52" spans="1:24">
      <c r="A52" s="155">
        <v>274</v>
      </c>
      <c r="B52" s="155">
        <v>274</v>
      </c>
      <c r="C52" t="s">
        <v>1582</v>
      </c>
      <c r="D52" s="155" t="s">
        <v>1583</v>
      </c>
      <c r="E52" t="s">
        <v>430</v>
      </c>
      <c r="F52" t="s">
        <v>1584</v>
      </c>
      <c r="G52" s="155" t="s">
        <v>1585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479</v>
      </c>
      <c r="N52" t="s">
        <v>202</v>
      </c>
      <c r="O52" t="s">
        <v>62</v>
      </c>
      <c r="P52" t="s">
        <v>1218</v>
      </c>
      <c r="Q52" s="151">
        <v>624</v>
      </c>
      <c r="R52" s="151">
        <v>3.3719999999999999</v>
      </c>
      <c r="S52" s="151">
        <v>9734</v>
      </c>
      <c r="T52" s="151">
        <v>0.14351</v>
      </c>
      <c r="U52" s="151">
        <v>205.29974000000001</v>
      </c>
      <c r="V52" s="154">
        <v>0</v>
      </c>
      <c r="W52" s="154">
        <v>2.3809999999999999E-3</v>
      </c>
      <c r="X52" s="154">
        <v>4.8999999999999998E-5</v>
      </c>
    </row>
    <row r="53" spans="1:24">
      <c r="A53" s="155">
        <v>274</v>
      </c>
      <c r="B53" s="155">
        <v>274</v>
      </c>
      <c r="C53" t="s">
        <v>1586</v>
      </c>
      <c r="D53" s="155" t="s">
        <v>1587</v>
      </c>
      <c r="E53" t="s">
        <v>430</v>
      </c>
      <c r="F53" t="s">
        <v>1588</v>
      </c>
      <c r="G53" s="155" t="s">
        <v>1589</v>
      </c>
      <c r="H53" t="s">
        <v>76</v>
      </c>
      <c r="I53" t="s">
        <v>73</v>
      </c>
      <c r="J53" t="s">
        <v>61</v>
      </c>
      <c r="K53" t="s">
        <v>314</v>
      </c>
      <c r="L53" t="s">
        <v>805</v>
      </c>
      <c r="M53" t="s">
        <v>479</v>
      </c>
      <c r="N53" t="s">
        <v>903</v>
      </c>
      <c r="O53" t="s">
        <v>62</v>
      </c>
      <c r="P53" t="s">
        <v>1218</v>
      </c>
      <c r="Q53" s="151">
        <v>777</v>
      </c>
      <c r="R53" s="151">
        <v>3.3719999999999999</v>
      </c>
      <c r="S53" s="151">
        <v>17739</v>
      </c>
      <c r="T53" s="151"/>
      <c r="U53" s="151">
        <v>464.76961</v>
      </c>
      <c r="V53" s="154">
        <v>0</v>
      </c>
      <c r="W53" s="154">
        <v>5.3920000000000001E-3</v>
      </c>
      <c r="X53" s="154">
        <v>1.12E-4</v>
      </c>
    </row>
    <row r="54" spans="1:24">
      <c r="A54" s="155">
        <v>274</v>
      </c>
      <c r="B54" s="155">
        <v>274</v>
      </c>
      <c r="C54" t="s">
        <v>1590</v>
      </c>
      <c r="D54" s="155" t="s">
        <v>1591</v>
      </c>
      <c r="E54" t="s">
        <v>430</v>
      </c>
      <c r="F54" t="s">
        <v>1592</v>
      </c>
      <c r="G54" s="155" t="s">
        <v>1593</v>
      </c>
      <c r="H54" t="s">
        <v>76</v>
      </c>
      <c r="I54" t="s">
        <v>73</v>
      </c>
      <c r="J54" t="s">
        <v>61</v>
      </c>
      <c r="K54" t="s">
        <v>313</v>
      </c>
      <c r="L54" t="s">
        <v>805</v>
      </c>
      <c r="M54" t="s">
        <v>102</v>
      </c>
      <c r="N54" t="s">
        <v>901</v>
      </c>
      <c r="O54" t="s">
        <v>62</v>
      </c>
      <c r="P54" t="s">
        <v>1231</v>
      </c>
      <c r="Q54" s="151">
        <v>75</v>
      </c>
      <c r="R54" s="151">
        <v>3.9552</v>
      </c>
      <c r="S54" s="151">
        <v>67760</v>
      </c>
      <c r="T54" s="151"/>
      <c r="U54" s="151">
        <v>201.00326000000001</v>
      </c>
      <c r="V54" s="154">
        <v>0</v>
      </c>
      <c r="W54" s="154">
        <v>2.3310000000000002E-3</v>
      </c>
      <c r="X54" s="154">
        <v>4.8000000000000001E-5</v>
      </c>
    </row>
    <row r="55" spans="1:24">
      <c r="A55" s="155">
        <v>274</v>
      </c>
      <c r="B55" s="155">
        <v>274</v>
      </c>
      <c r="C55" t="s">
        <v>1537</v>
      </c>
      <c r="D55" s="155">
        <v>511235434</v>
      </c>
      <c r="E55" t="s">
        <v>429</v>
      </c>
      <c r="F55" t="s">
        <v>1594</v>
      </c>
      <c r="G55" s="155" t="s">
        <v>1538</v>
      </c>
      <c r="H55" t="s">
        <v>76</v>
      </c>
      <c r="I55" t="s">
        <v>73</v>
      </c>
      <c r="J55" t="s">
        <v>61</v>
      </c>
      <c r="K55" t="s">
        <v>53</v>
      </c>
      <c r="L55" t="s">
        <v>805</v>
      </c>
      <c r="M55" t="s">
        <v>476</v>
      </c>
      <c r="N55" t="s">
        <v>202</v>
      </c>
      <c r="O55" t="s">
        <v>62</v>
      </c>
      <c r="P55" t="s">
        <v>1218</v>
      </c>
      <c r="Q55" s="151">
        <v>462</v>
      </c>
      <c r="R55" s="151">
        <v>3.3719999999999999</v>
      </c>
      <c r="S55" s="151">
        <v>8456</v>
      </c>
      <c r="T55" s="151"/>
      <c r="U55" s="151">
        <v>131.73298</v>
      </c>
      <c r="V55" s="154">
        <v>1.0000000000000001E-5</v>
      </c>
      <c r="W55" s="154">
        <v>1.5280000000000001E-3</v>
      </c>
      <c r="X55" s="154">
        <v>3.1999999999999999E-5</v>
      </c>
    </row>
    <row r="56" spans="1:24">
      <c r="A56" s="155">
        <v>274</v>
      </c>
      <c r="B56" s="155">
        <v>274</v>
      </c>
      <c r="C56" t="s">
        <v>1482</v>
      </c>
      <c r="D56" s="155">
        <v>520041146</v>
      </c>
      <c r="E56" t="s">
        <v>429</v>
      </c>
      <c r="F56" t="s">
        <v>1595</v>
      </c>
      <c r="G56" s="155" t="s">
        <v>1483</v>
      </c>
      <c r="H56" t="s">
        <v>76</v>
      </c>
      <c r="I56" t="s">
        <v>73</v>
      </c>
      <c r="J56" t="s">
        <v>61</v>
      </c>
      <c r="K56" t="s">
        <v>53</v>
      </c>
      <c r="L56" t="s">
        <v>805</v>
      </c>
      <c r="M56" t="s">
        <v>479</v>
      </c>
      <c r="N56" t="s">
        <v>862</v>
      </c>
      <c r="O56" t="s">
        <v>62</v>
      </c>
      <c r="P56" t="s">
        <v>1218</v>
      </c>
      <c r="Q56" s="151">
        <v>3164</v>
      </c>
      <c r="R56" s="151">
        <v>3.3719999999999999</v>
      </c>
      <c r="S56" s="151">
        <v>2273</v>
      </c>
      <c r="T56" s="151"/>
      <c r="U56" s="151">
        <v>242.50655</v>
      </c>
      <c r="V56" s="154">
        <v>2.5999999999999998E-5</v>
      </c>
      <c r="W56" s="154">
        <v>2.813E-3</v>
      </c>
      <c r="X56" s="154">
        <v>5.8E-5</v>
      </c>
    </row>
    <row r="57" spans="1:24">
      <c r="A57" s="155">
        <v>274</v>
      </c>
      <c r="B57" s="155">
        <v>274</v>
      </c>
      <c r="C57" t="s">
        <v>1596</v>
      </c>
      <c r="D57" s="155" t="s">
        <v>1597</v>
      </c>
      <c r="E57" t="s">
        <v>430</v>
      </c>
      <c r="F57" t="s">
        <v>1598</v>
      </c>
      <c r="G57" s="155" t="s">
        <v>1599</v>
      </c>
      <c r="H57" t="s">
        <v>76</v>
      </c>
      <c r="I57" t="s">
        <v>73</v>
      </c>
      <c r="J57" t="s">
        <v>61</v>
      </c>
      <c r="K57" t="s">
        <v>314</v>
      </c>
      <c r="L57" t="s">
        <v>805</v>
      </c>
      <c r="M57" t="s">
        <v>479</v>
      </c>
      <c r="N57" t="s">
        <v>202</v>
      </c>
      <c r="O57" t="s">
        <v>62</v>
      </c>
      <c r="P57" t="s">
        <v>1218</v>
      </c>
      <c r="Q57" s="151">
        <v>1105</v>
      </c>
      <c r="R57" s="151">
        <v>3.3719999999999999</v>
      </c>
      <c r="S57" s="151">
        <v>15799</v>
      </c>
      <c r="T57" s="151">
        <v>1.1050000000000001E-2</v>
      </c>
      <c r="U57" s="151">
        <v>588.71748000000002</v>
      </c>
      <c r="V57" s="154">
        <v>0</v>
      </c>
      <c r="W57" s="154">
        <v>6.829E-3</v>
      </c>
      <c r="X57" s="154">
        <v>1.4300000000000001E-4</v>
      </c>
    </row>
    <row r="58" spans="1:24">
      <c r="A58" s="155">
        <v>274</v>
      </c>
      <c r="B58" s="155">
        <v>274</v>
      </c>
      <c r="C58" t="s">
        <v>1528</v>
      </c>
      <c r="D58" s="155">
        <v>880326081</v>
      </c>
      <c r="E58" t="s">
        <v>429</v>
      </c>
      <c r="F58" t="s">
        <v>1600</v>
      </c>
      <c r="G58" s="155" t="s">
        <v>1530</v>
      </c>
      <c r="H58" t="s">
        <v>76</v>
      </c>
      <c r="I58" t="s">
        <v>73</v>
      </c>
      <c r="J58" t="s">
        <v>61</v>
      </c>
      <c r="K58" t="s">
        <v>314</v>
      </c>
      <c r="L58" t="s">
        <v>805</v>
      </c>
      <c r="M58" t="s">
        <v>476</v>
      </c>
      <c r="N58" t="s">
        <v>862</v>
      </c>
      <c r="O58" t="s">
        <v>62</v>
      </c>
      <c r="P58" t="s">
        <v>1218</v>
      </c>
      <c r="Q58" s="151">
        <v>3469</v>
      </c>
      <c r="R58" s="151">
        <v>3.3719999999999999</v>
      </c>
      <c r="S58" s="151">
        <v>8376</v>
      </c>
      <c r="T58" s="153"/>
      <c r="U58" s="151">
        <v>979.77991999999995</v>
      </c>
      <c r="V58" s="154">
        <v>5.7000000000000003E-5</v>
      </c>
      <c r="W58" s="154">
        <v>1.1365999999999999E-2</v>
      </c>
      <c r="X58" s="154">
        <v>2.3800000000000001E-4</v>
      </c>
    </row>
    <row r="59" spans="1:24">
      <c r="A59" s="155">
        <v>274</v>
      </c>
      <c r="B59" s="155">
        <v>274</v>
      </c>
      <c r="C59" t="s">
        <v>1601</v>
      </c>
      <c r="D59" s="155" t="s">
        <v>1602</v>
      </c>
      <c r="E59" t="s">
        <v>430</v>
      </c>
      <c r="F59" t="s">
        <v>1603</v>
      </c>
      <c r="G59" s="155" t="s">
        <v>1604</v>
      </c>
      <c r="H59" t="s">
        <v>76</v>
      </c>
      <c r="I59" t="s">
        <v>73</v>
      </c>
      <c r="J59" t="s">
        <v>61</v>
      </c>
      <c r="K59" t="s">
        <v>314</v>
      </c>
      <c r="L59" t="s">
        <v>805</v>
      </c>
      <c r="M59" t="s">
        <v>479</v>
      </c>
      <c r="N59" t="s">
        <v>1134</v>
      </c>
      <c r="O59" t="s">
        <v>62</v>
      </c>
      <c r="P59" t="s">
        <v>1218</v>
      </c>
      <c r="Q59" s="151">
        <v>187</v>
      </c>
      <c r="R59" s="151">
        <v>3.3719999999999999</v>
      </c>
      <c r="S59" s="151">
        <v>31766</v>
      </c>
      <c r="T59" s="153"/>
      <c r="U59" s="151">
        <v>200.30495999999999</v>
      </c>
      <c r="V59" s="154">
        <v>0</v>
      </c>
      <c r="W59" s="154">
        <v>2.323E-3</v>
      </c>
      <c r="X59" s="154">
        <v>4.8000000000000001E-5</v>
      </c>
    </row>
    <row r="60" spans="1:24">
      <c r="A60" s="155">
        <v>274</v>
      </c>
      <c r="B60" s="155">
        <v>274</v>
      </c>
      <c r="C60" t="s">
        <v>1605</v>
      </c>
      <c r="D60" s="155" t="s">
        <v>1606</v>
      </c>
      <c r="E60" t="s">
        <v>430</v>
      </c>
      <c r="F60" t="s">
        <v>1607</v>
      </c>
      <c r="G60" s="155" t="s">
        <v>1608</v>
      </c>
      <c r="H60" t="s">
        <v>76</v>
      </c>
      <c r="I60" t="s">
        <v>73</v>
      </c>
      <c r="J60" t="s">
        <v>61</v>
      </c>
      <c r="K60" t="s">
        <v>314</v>
      </c>
      <c r="L60" t="s">
        <v>805</v>
      </c>
      <c r="M60" t="s">
        <v>476</v>
      </c>
      <c r="N60" t="s">
        <v>867</v>
      </c>
      <c r="O60" t="s">
        <v>62</v>
      </c>
      <c r="P60" t="s">
        <v>1218</v>
      </c>
      <c r="Q60" s="151">
        <v>773</v>
      </c>
      <c r="R60" s="151">
        <v>3.3719999999999999</v>
      </c>
      <c r="S60" s="151">
        <v>4335</v>
      </c>
      <c r="T60" s="153"/>
      <c r="U60" s="151">
        <v>112.99420000000001</v>
      </c>
      <c r="V60" s="154">
        <v>0</v>
      </c>
      <c r="W60" s="154">
        <v>1.31E-3</v>
      </c>
      <c r="X60" s="154">
        <v>2.6999999999999999E-5</v>
      </c>
    </row>
    <row r="61" spans="1:24">
      <c r="A61" s="155">
        <v>274</v>
      </c>
      <c r="B61" s="155">
        <v>274</v>
      </c>
      <c r="C61" t="s">
        <v>1609</v>
      </c>
      <c r="D61" s="155" t="s">
        <v>1610</v>
      </c>
      <c r="E61" t="s">
        <v>430</v>
      </c>
      <c r="F61" t="s">
        <v>1611</v>
      </c>
      <c r="G61" s="155" t="s">
        <v>1612</v>
      </c>
      <c r="H61" t="s">
        <v>76</v>
      </c>
      <c r="I61" t="s">
        <v>73</v>
      </c>
      <c r="J61" t="s">
        <v>61</v>
      </c>
      <c r="K61" t="s">
        <v>314</v>
      </c>
      <c r="L61" t="s">
        <v>805</v>
      </c>
      <c r="M61" t="s">
        <v>476</v>
      </c>
      <c r="N61" t="s">
        <v>873</v>
      </c>
      <c r="O61" t="s">
        <v>62</v>
      </c>
      <c r="P61" t="s">
        <v>1218</v>
      </c>
      <c r="Q61" s="151">
        <v>406</v>
      </c>
      <c r="R61" s="151">
        <v>3.3719999999999999</v>
      </c>
      <c r="S61" s="151">
        <v>12841</v>
      </c>
      <c r="T61" s="153"/>
      <c r="U61" s="151">
        <v>175.79740000000001</v>
      </c>
      <c r="V61" s="154">
        <v>9.9999999999999995E-7</v>
      </c>
      <c r="W61" s="154">
        <v>2.039E-3</v>
      </c>
      <c r="X61" s="154">
        <v>4.1999999999999998E-5</v>
      </c>
    </row>
    <row r="62" spans="1:24">
      <c r="A62" s="155">
        <v>274</v>
      </c>
      <c r="B62" s="155">
        <v>274</v>
      </c>
      <c r="C62" t="s">
        <v>1613</v>
      </c>
      <c r="D62" s="155" t="s">
        <v>1614</v>
      </c>
      <c r="E62" t="s">
        <v>430</v>
      </c>
      <c r="F62" t="s">
        <v>1615</v>
      </c>
      <c r="G62" s="155" t="s">
        <v>1616</v>
      </c>
      <c r="H62" t="s">
        <v>76</v>
      </c>
      <c r="I62" t="s">
        <v>73</v>
      </c>
      <c r="J62" t="s">
        <v>61</v>
      </c>
      <c r="K62" t="s">
        <v>314</v>
      </c>
      <c r="L62" t="s">
        <v>805</v>
      </c>
      <c r="M62" t="s">
        <v>479</v>
      </c>
      <c r="N62" t="s">
        <v>901</v>
      </c>
      <c r="O62" t="s">
        <v>62</v>
      </c>
      <c r="P62" t="s">
        <v>1218</v>
      </c>
      <c r="Q62" s="151">
        <v>6770</v>
      </c>
      <c r="R62" s="151">
        <v>3.3719999999999999</v>
      </c>
      <c r="S62" s="151">
        <v>2040</v>
      </c>
      <c r="T62" s="153"/>
      <c r="U62" s="151">
        <v>465.70017999999999</v>
      </c>
      <c r="V62" s="154">
        <v>1.1400000000000001E-4</v>
      </c>
      <c r="W62" s="154">
        <v>5.4019999999999997E-3</v>
      </c>
      <c r="X62" s="154">
        <v>1.13E-4</v>
      </c>
    </row>
    <row r="63" spans="1:24">
      <c r="A63" s="155">
        <v>274</v>
      </c>
      <c r="B63" s="155">
        <v>274</v>
      </c>
      <c r="C63" t="s">
        <v>1617</v>
      </c>
      <c r="D63" s="155" t="s">
        <v>1618</v>
      </c>
      <c r="E63" t="s">
        <v>430</v>
      </c>
      <c r="F63" t="s">
        <v>1619</v>
      </c>
      <c r="G63" s="155" t="s">
        <v>1620</v>
      </c>
      <c r="H63" t="s">
        <v>76</v>
      </c>
      <c r="I63" t="s">
        <v>73</v>
      </c>
      <c r="J63" t="s">
        <v>61</v>
      </c>
      <c r="K63" t="s">
        <v>314</v>
      </c>
      <c r="L63" t="s">
        <v>805</v>
      </c>
      <c r="M63" t="s">
        <v>476</v>
      </c>
      <c r="N63" t="s">
        <v>862</v>
      </c>
      <c r="O63" t="s">
        <v>62</v>
      </c>
      <c r="P63" t="s">
        <v>1218</v>
      </c>
      <c r="Q63" s="151">
        <v>323</v>
      </c>
      <c r="R63" s="151">
        <v>3.3719999999999999</v>
      </c>
      <c r="S63" s="151">
        <v>24352</v>
      </c>
      <c r="T63" s="153"/>
      <c r="U63" s="151">
        <v>265.23126999999999</v>
      </c>
      <c r="V63" s="154">
        <v>9.9999999999999995E-7</v>
      </c>
      <c r="W63" s="154">
        <v>3.0769999999999999E-3</v>
      </c>
      <c r="X63" s="154">
        <v>6.3999999999999997E-5</v>
      </c>
    </row>
    <row r="64" spans="1:24">
      <c r="A64" s="155">
        <v>274</v>
      </c>
      <c r="B64" s="155">
        <v>274</v>
      </c>
      <c r="C64" t="s">
        <v>1484</v>
      </c>
      <c r="D64" s="155">
        <v>520041997</v>
      </c>
      <c r="E64" t="s">
        <v>429</v>
      </c>
      <c r="F64" t="s">
        <v>1621</v>
      </c>
      <c r="G64" s="155" t="s">
        <v>1485</v>
      </c>
      <c r="H64" t="s">
        <v>76</v>
      </c>
      <c r="I64" t="s">
        <v>73</v>
      </c>
      <c r="J64" t="s">
        <v>61</v>
      </c>
      <c r="K64" t="s">
        <v>53</v>
      </c>
      <c r="L64" t="s">
        <v>805</v>
      </c>
      <c r="M64" t="s">
        <v>479</v>
      </c>
      <c r="N64" t="s">
        <v>202</v>
      </c>
      <c r="O64" t="s">
        <v>62</v>
      </c>
      <c r="P64" t="s">
        <v>1218</v>
      </c>
      <c r="Q64" s="151">
        <v>10554</v>
      </c>
      <c r="R64" s="151">
        <v>3.3719999999999999</v>
      </c>
      <c r="S64" s="151">
        <v>4335</v>
      </c>
      <c r="T64" s="153"/>
      <c r="U64" s="151">
        <v>1542.74361</v>
      </c>
      <c r="V64" s="154">
        <v>9.3999999999999994E-5</v>
      </c>
      <c r="W64" s="154">
        <v>1.7898000000000001E-2</v>
      </c>
      <c r="X64" s="154">
        <v>3.7399999999999998E-4</v>
      </c>
    </row>
    <row r="65" spans="1:24">
      <c r="A65" s="155">
        <v>274</v>
      </c>
      <c r="B65" s="155">
        <v>274</v>
      </c>
      <c r="C65" t="s">
        <v>1622</v>
      </c>
      <c r="D65" s="155" t="s">
        <v>1623</v>
      </c>
      <c r="E65" t="s">
        <v>430</v>
      </c>
      <c r="F65" t="s">
        <v>1624</v>
      </c>
      <c r="G65" s="155" t="s">
        <v>1625</v>
      </c>
      <c r="H65" t="s">
        <v>76</v>
      </c>
      <c r="I65" t="s">
        <v>73</v>
      </c>
      <c r="J65" t="s">
        <v>61</v>
      </c>
      <c r="K65" t="s">
        <v>314</v>
      </c>
      <c r="L65" t="s">
        <v>805</v>
      </c>
      <c r="M65" t="s">
        <v>479</v>
      </c>
      <c r="N65" t="s">
        <v>951</v>
      </c>
      <c r="O65" t="s">
        <v>62</v>
      </c>
      <c r="P65" t="s">
        <v>1218</v>
      </c>
      <c r="Q65" s="151">
        <v>422</v>
      </c>
      <c r="R65" s="151">
        <v>3.3719999999999999</v>
      </c>
      <c r="S65" s="151">
        <v>73809</v>
      </c>
      <c r="T65" s="153"/>
      <c r="U65" s="151">
        <v>1050.29026</v>
      </c>
      <c r="V65" s="154">
        <v>0</v>
      </c>
      <c r="W65" s="154">
        <v>1.2185E-2</v>
      </c>
      <c r="X65" s="154">
        <v>2.5500000000000002E-4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45"/>
  <sheetViews>
    <sheetView rightToLeft="1" workbookViewId="0">
      <selection activeCell="A2" sqref="A2"/>
    </sheetView>
  </sheetViews>
  <sheetFormatPr defaultColWidth="0" defaultRowHeight="14.25"/>
  <cols>
    <col min="1" max="2" width="10.625" style="2" bestFit="1" customWidth="1"/>
    <col min="3" max="3" width="26.375" style="2" bestFit="1" customWidth="1"/>
    <col min="4" max="4" width="25.75" style="2" bestFit="1" customWidth="1"/>
    <col min="5" max="5" width="10.375" style="4" bestFit="1" customWidth="1"/>
    <col min="6" max="6" width="36.125" style="2" bestFit="1" customWidth="1"/>
    <col min="7" max="7" width="14.25" style="2" bestFit="1" customWidth="1"/>
    <col min="8" max="8" width="9.125" style="2" bestFit="1" customWidth="1"/>
    <col min="9" max="9" width="26.625" style="2" bestFit="1" customWidth="1"/>
    <col min="10" max="10" width="10" style="2" bestFit="1" customWidth="1"/>
    <col min="11" max="11" width="26.75" style="2" bestFit="1" customWidth="1"/>
    <col min="12" max="12" width="9.625" style="2" bestFit="1" customWidth="1"/>
    <col min="13" max="13" width="46.625" style="162" bestFit="1" customWidth="1"/>
    <col min="14" max="14" width="11" style="2" bestFit="1" customWidth="1"/>
    <col min="15" max="15" width="11.25" style="2" bestFit="1" customWidth="1"/>
    <col min="16" max="16" width="13.75" style="4" bestFit="1" customWidth="1"/>
    <col min="17" max="17" width="9.875" style="2" bestFit="1" customWidth="1"/>
    <col min="18" max="18" width="12" style="2" bestFit="1" customWidth="1"/>
    <col min="19" max="19" width="10.25" style="2" bestFit="1" customWidth="1"/>
    <col min="20" max="20" width="11" style="2" bestFit="1" customWidth="1"/>
    <col min="21" max="21" width="10.875" style="2" bestFit="1" customWidth="1"/>
    <col min="22" max="22" width="11.125" style="2" bestFit="1" customWidth="1"/>
    <col min="23" max="23" width="10" style="2" bestFit="1" customWidth="1"/>
    <col min="24" max="24" width="11.625" style="2" hidden="1" customWidth="1"/>
    <col min="25" max="16384" width="9" style="2" hidden="1"/>
  </cols>
  <sheetData>
    <row r="1" spans="1:2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60" t="s">
        <v>300</v>
      </c>
      <c r="N1" s="17" t="s">
        <v>606</v>
      </c>
      <c r="O1" s="17" t="s">
        <v>396</v>
      </c>
      <c r="P1" s="17" t="s">
        <v>773</v>
      </c>
      <c r="Q1" s="17" t="s">
        <v>11</v>
      </c>
      <c r="R1" s="17" t="s">
        <v>15</v>
      </c>
      <c r="S1" s="150" t="s">
        <v>938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>
      <c r="A2" s="155">
        <v>274</v>
      </c>
      <c r="B2" s="155">
        <v>274</v>
      </c>
      <c r="C2" t="s">
        <v>1626</v>
      </c>
      <c r="D2" s="155">
        <v>511303661</v>
      </c>
      <c r="E2" t="s">
        <v>429</v>
      </c>
      <c r="F2" t="s">
        <v>1627</v>
      </c>
      <c r="G2" s="155" t="s">
        <v>1628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61" t="s">
        <v>963</v>
      </c>
      <c r="N2" t="s">
        <v>62</v>
      </c>
      <c r="O2" t="s">
        <v>1222</v>
      </c>
      <c r="P2" s="151">
        <v>33000</v>
      </c>
      <c r="Q2" s="151">
        <v>1</v>
      </c>
      <c r="R2" s="151">
        <v>486.63</v>
      </c>
      <c r="S2" s="151"/>
      <c r="T2" s="151">
        <v>160.58789999999999</v>
      </c>
      <c r="U2" s="154">
        <v>1.3799999999999999E-4</v>
      </c>
      <c r="V2" s="154">
        <v>5.1099999999999995E-4</v>
      </c>
      <c r="W2" s="154">
        <v>3.8999999999999999E-5</v>
      </c>
    </row>
    <row r="3" spans="1:23">
      <c r="A3" s="155">
        <v>274</v>
      </c>
      <c r="B3" s="155">
        <v>274</v>
      </c>
      <c r="C3" t="s">
        <v>1629</v>
      </c>
      <c r="D3" s="155">
        <v>510938608</v>
      </c>
      <c r="E3" t="s">
        <v>429</v>
      </c>
      <c r="F3" t="s">
        <v>1630</v>
      </c>
      <c r="G3" s="155" t="s">
        <v>1631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61" t="s">
        <v>963</v>
      </c>
      <c r="N3" t="s">
        <v>62</v>
      </c>
      <c r="O3" t="s">
        <v>1222</v>
      </c>
      <c r="P3" s="151">
        <v>5930.5</v>
      </c>
      <c r="Q3" s="151">
        <v>1</v>
      </c>
      <c r="R3" s="151">
        <v>3896.38</v>
      </c>
      <c r="S3" s="153"/>
      <c r="T3" s="151">
        <v>231.07481999999999</v>
      </c>
      <c r="U3" s="154">
        <v>1.13E-4</v>
      </c>
      <c r="V3" s="154">
        <v>7.36E-4</v>
      </c>
      <c r="W3" s="154">
        <v>5.5999999999999999E-5</v>
      </c>
    </row>
    <row r="4" spans="1:23">
      <c r="A4" s="155">
        <v>274</v>
      </c>
      <c r="B4" s="155">
        <v>274</v>
      </c>
      <c r="C4" t="s">
        <v>1632</v>
      </c>
      <c r="D4" s="155">
        <v>513534974</v>
      </c>
      <c r="E4" t="s">
        <v>429</v>
      </c>
      <c r="F4" t="s">
        <v>1633</v>
      </c>
      <c r="G4" s="155" t="s">
        <v>1634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61" t="s">
        <v>964</v>
      </c>
      <c r="N4" t="s">
        <v>62</v>
      </c>
      <c r="O4" t="s">
        <v>1222</v>
      </c>
      <c r="P4" s="151">
        <v>351755</v>
      </c>
      <c r="Q4" s="151">
        <v>1</v>
      </c>
      <c r="R4" s="151">
        <v>373.55</v>
      </c>
      <c r="S4" s="153"/>
      <c r="T4" s="151">
        <v>1313.9808</v>
      </c>
      <c r="U4" s="154">
        <v>6.1200000000000002E-4</v>
      </c>
      <c r="V4" s="154">
        <v>4.1879999999999999E-3</v>
      </c>
      <c r="W4" s="154">
        <v>3.19E-4</v>
      </c>
    </row>
    <row r="5" spans="1:23">
      <c r="A5" s="155">
        <v>274</v>
      </c>
      <c r="B5" s="155">
        <v>274</v>
      </c>
      <c r="C5" t="s">
        <v>1635</v>
      </c>
      <c r="D5" s="155">
        <v>511776783</v>
      </c>
      <c r="E5" t="s">
        <v>429</v>
      </c>
      <c r="F5" t="s">
        <v>1636</v>
      </c>
      <c r="G5" s="155" t="s">
        <v>1637</v>
      </c>
      <c r="H5" t="s">
        <v>76</v>
      </c>
      <c r="I5" t="s">
        <v>234</v>
      </c>
      <c r="J5" t="s">
        <v>53</v>
      </c>
      <c r="K5" t="s">
        <v>53</v>
      </c>
      <c r="L5" t="s">
        <v>311</v>
      </c>
      <c r="M5" s="161" t="s">
        <v>1044</v>
      </c>
      <c r="N5" t="s">
        <v>62</v>
      </c>
      <c r="O5" t="s">
        <v>1222</v>
      </c>
      <c r="P5" s="151">
        <v>152802</v>
      </c>
      <c r="Q5" s="151">
        <v>1</v>
      </c>
      <c r="R5" s="151">
        <v>2915</v>
      </c>
      <c r="S5" s="153"/>
      <c r="T5" s="151">
        <v>4454.1782999999996</v>
      </c>
      <c r="U5" s="154">
        <v>1.7930000000000001E-3</v>
      </c>
      <c r="V5" s="154">
        <v>1.4197E-2</v>
      </c>
      <c r="W5" s="154">
        <v>1.0820000000000001E-3</v>
      </c>
    </row>
    <row r="6" spans="1:23">
      <c r="A6" s="155">
        <v>274</v>
      </c>
      <c r="B6" s="155">
        <v>274</v>
      </c>
      <c r="C6" t="s">
        <v>1626</v>
      </c>
      <c r="D6" s="155">
        <v>511303661</v>
      </c>
      <c r="E6" t="s">
        <v>429</v>
      </c>
      <c r="F6" t="s">
        <v>1638</v>
      </c>
      <c r="G6" s="155" t="s">
        <v>1639</v>
      </c>
      <c r="H6" t="s">
        <v>76</v>
      </c>
      <c r="I6" t="s">
        <v>236</v>
      </c>
      <c r="J6" t="s">
        <v>53</v>
      </c>
      <c r="K6" t="s">
        <v>53</v>
      </c>
      <c r="L6" t="s">
        <v>311</v>
      </c>
      <c r="M6" s="161" t="s">
        <v>965</v>
      </c>
      <c r="N6" t="s">
        <v>62</v>
      </c>
      <c r="O6" t="s">
        <v>1222</v>
      </c>
      <c r="P6" s="151">
        <v>1818503</v>
      </c>
      <c r="Q6" s="151">
        <v>1</v>
      </c>
      <c r="R6" s="151">
        <v>488.99</v>
      </c>
      <c r="S6" s="153"/>
      <c r="T6" s="151">
        <v>8892.2978199999998</v>
      </c>
      <c r="U6" s="154">
        <v>8.659E-3</v>
      </c>
      <c r="V6" s="154">
        <v>2.8343E-2</v>
      </c>
      <c r="W6" s="154">
        <v>2.16E-3</v>
      </c>
    </row>
    <row r="7" spans="1:23">
      <c r="A7" s="155">
        <v>274</v>
      </c>
      <c r="B7" s="155">
        <v>274</v>
      </c>
      <c r="C7" t="s">
        <v>1632</v>
      </c>
      <c r="D7" s="155">
        <v>513534974</v>
      </c>
      <c r="E7" t="s">
        <v>429</v>
      </c>
      <c r="F7" t="s">
        <v>1640</v>
      </c>
      <c r="G7" s="155" t="s">
        <v>1641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61" t="s">
        <v>1044</v>
      </c>
      <c r="N7" t="s">
        <v>62</v>
      </c>
      <c r="O7" t="s">
        <v>1222</v>
      </c>
      <c r="P7" s="151">
        <v>46030</v>
      </c>
      <c r="Q7" s="151">
        <v>1</v>
      </c>
      <c r="R7" s="151">
        <v>2913</v>
      </c>
      <c r="S7" s="153"/>
      <c r="T7" s="151">
        <v>1340.8539000000001</v>
      </c>
      <c r="U7" s="154">
        <v>1.7899999999999999E-4</v>
      </c>
      <c r="V7" s="154">
        <v>4.2729999999999999E-3</v>
      </c>
      <c r="W7" s="154">
        <v>3.2499999999999999E-4</v>
      </c>
    </row>
    <row r="8" spans="1:23">
      <c r="A8" s="155">
        <v>274</v>
      </c>
      <c r="B8" s="155">
        <v>274</v>
      </c>
      <c r="C8" t="s">
        <v>1626</v>
      </c>
      <c r="D8" s="155">
        <v>511303661</v>
      </c>
      <c r="E8" t="s">
        <v>429</v>
      </c>
      <c r="F8" t="s">
        <v>1642</v>
      </c>
      <c r="G8" s="155" t="s">
        <v>1643</v>
      </c>
      <c r="H8" t="s">
        <v>76</v>
      </c>
      <c r="I8" t="s">
        <v>234</v>
      </c>
      <c r="J8" t="s">
        <v>53</v>
      </c>
      <c r="K8" t="s">
        <v>53</v>
      </c>
      <c r="L8" t="s">
        <v>311</v>
      </c>
      <c r="M8" s="161" t="s">
        <v>1044</v>
      </c>
      <c r="N8" t="s">
        <v>62</v>
      </c>
      <c r="O8" t="s">
        <v>1222</v>
      </c>
      <c r="P8" s="151">
        <v>189694</v>
      </c>
      <c r="Q8" s="151">
        <v>1</v>
      </c>
      <c r="R8" s="151">
        <v>3968</v>
      </c>
      <c r="S8" s="153"/>
      <c r="T8" s="151">
        <v>7527.0579200000002</v>
      </c>
      <c r="U8" s="154">
        <v>2.709E-3</v>
      </c>
      <c r="V8" s="154">
        <v>2.3990999999999998E-2</v>
      </c>
      <c r="W8" s="154">
        <v>1.828E-3</v>
      </c>
    </row>
    <row r="9" spans="1:23">
      <c r="A9" s="155">
        <v>274</v>
      </c>
      <c r="B9" s="155">
        <v>274</v>
      </c>
      <c r="C9" t="s">
        <v>1629</v>
      </c>
      <c r="D9" s="155">
        <v>510938608</v>
      </c>
      <c r="E9" t="s">
        <v>429</v>
      </c>
      <c r="F9" t="s">
        <v>1644</v>
      </c>
      <c r="G9" s="155" t="s">
        <v>1645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61" t="s">
        <v>1044</v>
      </c>
      <c r="N9" t="s">
        <v>62</v>
      </c>
      <c r="O9" t="s">
        <v>1222</v>
      </c>
      <c r="P9" s="151">
        <v>9711.81</v>
      </c>
      <c r="Q9" s="151">
        <v>1</v>
      </c>
      <c r="R9" s="151">
        <v>28980</v>
      </c>
      <c r="S9" s="153"/>
      <c r="T9" s="151">
        <v>2814.48254</v>
      </c>
      <c r="U9" s="154">
        <v>5.0199999999999995E-4</v>
      </c>
      <c r="V9" s="154">
        <v>8.9700000000000005E-3</v>
      </c>
      <c r="W9" s="154">
        <v>6.8300000000000001E-4</v>
      </c>
    </row>
    <row r="10" spans="1:23">
      <c r="A10" s="155">
        <v>274</v>
      </c>
      <c r="B10" s="155">
        <v>274</v>
      </c>
      <c r="C10" t="s">
        <v>1635</v>
      </c>
      <c r="D10" s="155">
        <v>511776783</v>
      </c>
      <c r="E10" t="s">
        <v>429</v>
      </c>
      <c r="F10" t="s">
        <v>1646</v>
      </c>
      <c r="G10" s="155" t="s">
        <v>1647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61" t="s">
        <v>963</v>
      </c>
      <c r="N10" t="s">
        <v>62</v>
      </c>
      <c r="O10" t="s">
        <v>1222</v>
      </c>
      <c r="P10" s="151">
        <v>68800</v>
      </c>
      <c r="Q10" s="151">
        <v>1</v>
      </c>
      <c r="R10" s="151">
        <v>393.25</v>
      </c>
      <c r="S10" s="153"/>
      <c r="T10" s="151">
        <v>270.55599999999998</v>
      </c>
      <c r="U10" s="154">
        <v>2.8200000000000002E-4</v>
      </c>
      <c r="V10" s="154">
        <v>8.6200000000000003E-4</v>
      </c>
      <c r="W10" s="154">
        <v>6.4999999999999994E-5</v>
      </c>
    </row>
    <row r="11" spans="1:23">
      <c r="A11" s="155">
        <v>274</v>
      </c>
      <c r="B11" s="155">
        <v>274</v>
      </c>
      <c r="C11" t="s">
        <v>1648</v>
      </c>
      <c r="D11" s="155" t="s">
        <v>1649</v>
      </c>
      <c r="E11" t="s">
        <v>430</v>
      </c>
      <c r="F11" t="s">
        <v>1650</v>
      </c>
      <c r="G11" s="155" t="s">
        <v>1651</v>
      </c>
      <c r="H11" t="s">
        <v>76</v>
      </c>
      <c r="I11" t="s">
        <v>235</v>
      </c>
      <c r="J11" t="s">
        <v>61</v>
      </c>
      <c r="K11" t="s">
        <v>314</v>
      </c>
      <c r="L11" t="s">
        <v>476</v>
      </c>
      <c r="M11" s="161" t="s">
        <v>759</v>
      </c>
      <c r="N11" t="s">
        <v>62</v>
      </c>
      <c r="O11" t="s">
        <v>1218</v>
      </c>
      <c r="P11" s="151">
        <v>698</v>
      </c>
      <c r="Q11" s="151">
        <v>3.3719999999999999</v>
      </c>
      <c r="R11" s="151">
        <v>8166</v>
      </c>
      <c r="S11" s="153"/>
      <c r="T11" s="151">
        <v>192.19954999999999</v>
      </c>
      <c r="U11" s="154">
        <v>1.9999999999999999E-6</v>
      </c>
      <c r="V11" s="154">
        <v>6.1200000000000002E-4</v>
      </c>
      <c r="W11" s="154">
        <v>4.6E-5</v>
      </c>
    </row>
    <row r="12" spans="1:23">
      <c r="A12" s="155">
        <v>274</v>
      </c>
      <c r="B12" s="155">
        <v>274</v>
      </c>
      <c r="C12" t="s">
        <v>1652</v>
      </c>
      <c r="D12" s="155" t="s">
        <v>1653</v>
      </c>
      <c r="E12" t="s">
        <v>430</v>
      </c>
      <c r="F12" t="s">
        <v>1654</v>
      </c>
      <c r="G12" s="155" t="s">
        <v>1655</v>
      </c>
      <c r="H12" t="s">
        <v>76</v>
      </c>
      <c r="I12" t="s">
        <v>235</v>
      </c>
      <c r="J12" t="s">
        <v>61</v>
      </c>
      <c r="K12" t="s">
        <v>314</v>
      </c>
      <c r="L12" t="s">
        <v>479</v>
      </c>
      <c r="M12" s="161" t="s">
        <v>759</v>
      </c>
      <c r="N12" t="s">
        <v>62</v>
      </c>
      <c r="O12" t="s">
        <v>1218</v>
      </c>
      <c r="P12" s="151">
        <v>695</v>
      </c>
      <c r="Q12" s="151">
        <v>3.3719999999999999</v>
      </c>
      <c r="R12" s="151">
        <v>27888</v>
      </c>
      <c r="S12" s="153"/>
      <c r="T12" s="151">
        <v>653.56643999999994</v>
      </c>
      <c r="U12" s="154">
        <v>6.9999999999999999E-6</v>
      </c>
      <c r="V12" s="154">
        <v>2.0830000000000002E-3</v>
      </c>
      <c r="W12" s="154">
        <v>1.5799999999999999E-4</v>
      </c>
    </row>
    <row r="13" spans="1:23">
      <c r="A13" s="155">
        <v>274</v>
      </c>
      <c r="B13" s="155">
        <v>274</v>
      </c>
      <c r="C13" t="s">
        <v>1656</v>
      </c>
      <c r="D13" s="155" t="s">
        <v>1657</v>
      </c>
      <c r="E13" t="s">
        <v>430</v>
      </c>
      <c r="F13" t="s">
        <v>1658</v>
      </c>
      <c r="G13" s="155" t="s">
        <v>1659</v>
      </c>
      <c r="H13" t="s">
        <v>76</v>
      </c>
      <c r="I13" t="s">
        <v>235</v>
      </c>
      <c r="J13" t="s">
        <v>61</v>
      </c>
      <c r="K13" t="s">
        <v>317</v>
      </c>
      <c r="L13" t="s">
        <v>494</v>
      </c>
      <c r="M13" s="161" t="s">
        <v>759</v>
      </c>
      <c r="N13" t="s">
        <v>62</v>
      </c>
      <c r="O13" t="s">
        <v>1218</v>
      </c>
      <c r="P13" s="151">
        <v>136677</v>
      </c>
      <c r="Q13" s="151">
        <v>3.3719999999999999</v>
      </c>
      <c r="R13" s="151">
        <v>5416</v>
      </c>
      <c r="S13" s="153"/>
      <c r="T13" s="151">
        <v>24960.98155</v>
      </c>
      <c r="U13" s="154">
        <v>2.2889999999999998E-3</v>
      </c>
      <c r="V13" s="154">
        <v>7.9559000000000005E-2</v>
      </c>
      <c r="W13" s="154">
        <v>6.0639999999999999E-3</v>
      </c>
    </row>
    <row r="14" spans="1:23">
      <c r="A14" s="155">
        <v>274</v>
      </c>
      <c r="B14" s="155">
        <v>274</v>
      </c>
      <c r="C14" t="s">
        <v>1648</v>
      </c>
      <c r="D14" s="155" t="s">
        <v>1649</v>
      </c>
      <c r="E14" t="s">
        <v>430</v>
      </c>
      <c r="F14" t="s">
        <v>1660</v>
      </c>
      <c r="G14" s="155" t="s">
        <v>1661</v>
      </c>
      <c r="H14" t="s">
        <v>76</v>
      </c>
      <c r="I14" t="s">
        <v>235</v>
      </c>
      <c r="J14" t="s">
        <v>61</v>
      </c>
      <c r="K14" t="s">
        <v>314</v>
      </c>
      <c r="L14" t="s">
        <v>476</v>
      </c>
      <c r="M14" s="161" t="s">
        <v>759</v>
      </c>
      <c r="N14" t="s">
        <v>62</v>
      </c>
      <c r="O14" t="s">
        <v>1218</v>
      </c>
      <c r="P14" s="151">
        <v>3998</v>
      </c>
      <c r="Q14" s="151">
        <v>3.3719999999999999</v>
      </c>
      <c r="R14" s="151">
        <v>10853</v>
      </c>
      <c r="S14" s="153"/>
      <c r="T14" s="151">
        <v>1463.1207099999999</v>
      </c>
      <c r="U14" s="154">
        <v>1.7E-5</v>
      </c>
      <c r="V14" s="154">
        <v>4.6629999999999996E-3</v>
      </c>
      <c r="W14" s="154">
        <v>3.5500000000000001E-4</v>
      </c>
    </row>
    <row r="15" spans="1:23">
      <c r="A15" s="155">
        <v>274</v>
      </c>
      <c r="B15" s="155">
        <v>274</v>
      </c>
      <c r="C15" t="s">
        <v>1662</v>
      </c>
      <c r="D15" s="155" t="s">
        <v>1663</v>
      </c>
      <c r="E15" t="s">
        <v>430</v>
      </c>
      <c r="F15" t="s">
        <v>1664</v>
      </c>
      <c r="G15" s="155" t="s">
        <v>1665</v>
      </c>
      <c r="H15" t="s">
        <v>76</v>
      </c>
      <c r="I15" t="s">
        <v>102</v>
      </c>
      <c r="J15" t="s">
        <v>61</v>
      </c>
      <c r="K15" t="s">
        <v>314</v>
      </c>
      <c r="L15" t="s">
        <v>494</v>
      </c>
      <c r="M15" s="161" t="s">
        <v>1086</v>
      </c>
      <c r="N15" t="s">
        <v>62</v>
      </c>
      <c r="O15" t="s">
        <v>1218</v>
      </c>
      <c r="P15" s="151">
        <v>6600</v>
      </c>
      <c r="Q15" s="151">
        <v>3.3719999999999999</v>
      </c>
      <c r="R15" s="151">
        <v>3180</v>
      </c>
      <c r="S15" s="153"/>
      <c r="T15" s="151">
        <v>707.71536000000003</v>
      </c>
      <c r="U15" s="154">
        <v>8.8159999999999992E-3</v>
      </c>
      <c r="V15" s="154">
        <v>2.2550000000000001E-3</v>
      </c>
      <c r="W15" s="154">
        <v>1.7100000000000001E-4</v>
      </c>
    </row>
    <row r="16" spans="1:23">
      <c r="A16" s="155">
        <v>274</v>
      </c>
      <c r="B16" s="155">
        <v>274</v>
      </c>
      <c r="C16" t="s">
        <v>1662</v>
      </c>
      <c r="D16" s="155" t="s">
        <v>1663</v>
      </c>
      <c r="E16" t="s">
        <v>430</v>
      </c>
      <c r="F16" t="s">
        <v>1666</v>
      </c>
      <c r="G16" s="155" t="s">
        <v>1667</v>
      </c>
      <c r="H16" t="s">
        <v>76</v>
      </c>
      <c r="I16" t="s">
        <v>235</v>
      </c>
      <c r="J16" t="s">
        <v>61</v>
      </c>
      <c r="K16" t="s">
        <v>314</v>
      </c>
      <c r="L16" t="s">
        <v>476</v>
      </c>
      <c r="M16" s="161" t="s">
        <v>759</v>
      </c>
      <c r="N16" t="s">
        <v>62</v>
      </c>
      <c r="O16" t="s">
        <v>1218</v>
      </c>
      <c r="P16" s="151">
        <v>819</v>
      </c>
      <c r="Q16" s="151">
        <v>3.3719999999999999</v>
      </c>
      <c r="R16" s="151">
        <v>14169</v>
      </c>
      <c r="S16" s="153"/>
      <c r="T16" s="151">
        <v>391.30074000000002</v>
      </c>
      <c r="U16" s="154">
        <v>2.0000000000000002E-5</v>
      </c>
      <c r="V16" s="154">
        <v>1.2470000000000001E-3</v>
      </c>
      <c r="W16" s="154">
        <v>9.5000000000000005E-5</v>
      </c>
    </row>
    <row r="17" spans="1:23">
      <c r="A17" s="155">
        <v>274</v>
      </c>
      <c r="B17" s="155">
        <v>274</v>
      </c>
      <c r="C17" t="s">
        <v>1656</v>
      </c>
      <c r="D17" s="155" t="s">
        <v>1657</v>
      </c>
      <c r="E17" t="s">
        <v>430</v>
      </c>
      <c r="F17" t="s">
        <v>1668</v>
      </c>
      <c r="G17" s="155" t="s">
        <v>1669</v>
      </c>
      <c r="H17" t="s">
        <v>76</v>
      </c>
      <c r="I17" t="s">
        <v>235</v>
      </c>
      <c r="J17" t="s">
        <v>61</v>
      </c>
      <c r="K17" t="s">
        <v>1165</v>
      </c>
      <c r="L17" t="s">
        <v>476</v>
      </c>
      <c r="M17" s="161" t="s">
        <v>759</v>
      </c>
      <c r="N17" t="s">
        <v>62</v>
      </c>
      <c r="O17" t="s">
        <v>1231</v>
      </c>
      <c r="P17" s="151">
        <v>3346</v>
      </c>
      <c r="Q17" s="151">
        <v>3.9552</v>
      </c>
      <c r="R17" s="151">
        <v>36108.519999999997</v>
      </c>
      <c r="S17" s="153"/>
      <c r="T17" s="151">
        <v>4778.6373400000002</v>
      </c>
      <c r="U17" s="154">
        <v>5.9699999999999998E-4</v>
      </c>
      <c r="V17" s="154">
        <v>1.5231E-2</v>
      </c>
      <c r="W17" s="154">
        <v>1.1609999999999999E-3</v>
      </c>
    </row>
    <row r="18" spans="1:23">
      <c r="A18" s="155">
        <v>274</v>
      </c>
      <c r="B18" s="155">
        <v>274</v>
      </c>
      <c r="C18" t="s">
        <v>1670</v>
      </c>
      <c r="D18" s="155" t="s">
        <v>1671</v>
      </c>
      <c r="E18" t="s">
        <v>430</v>
      </c>
      <c r="F18" t="s">
        <v>1672</v>
      </c>
      <c r="G18" s="155" t="s">
        <v>1673</v>
      </c>
      <c r="H18" t="s">
        <v>76</v>
      </c>
      <c r="I18" t="s">
        <v>102</v>
      </c>
      <c r="J18" t="s">
        <v>61</v>
      </c>
      <c r="K18" t="s">
        <v>316</v>
      </c>
      <c r="L18" t="s">
        <v>494</v>
      </c>
      <c r="M18" s="161" t="s">
        <v>1086</v>
      </c>
      <c r="N18" t="s">
        <v>62</v>
      </c>
      <c r="O18" t="s">
        <v>1218</v>
      </c>
      <c r="P18" s="151">
        <v>10550</v>
      </c>
      <c r="Q18" s="151">
        <v>3.3719999999999999</v>
      </c>
      <c r="R18" s="151">
        <v>775.1</v>
      </c>
      <c r="S18" s="153"/>
      <c r="T18" s="151">
        <v>275.73872</v>
      </c>
      <c r="U18" s="154">
        <v>5.4600000000000004E-4</v>
      </c>
      <c r="V18" s="154">
        <v>8.7799999999999998E-4</v>
      </c>
      <c r="W18" s="154">
        <v>6.6000000000000005E-5</v>
      </c>
    </row>
    <row r="19" spans="1:23">
      <c r="A19" s="155">
        <v>274</v>
      </c>
      <c r="B19" s="155">
        <v>274</v>
      </c>
      <c r="C19" t="s">
        <v>1674</v>
      </c>
      <c r="D19" s="155" t="s">
        <v>1675</v>
      </c>
      <c r="E19" t="s">
        <v>430</v>
      </c>
      <c r="F19" t="s">
        <v>1676</v>
      </c>
      <c r="G19" s="155" t="s">
        <v>1677</v>
      </c>
      <c r="H19" t="s">
        <v>76</v>
      </c>
      <c r="I19" t="s">
        <v>235</v>
      </c>
      <c r="J19" t="s">
        <v>61</v>
      </c>
      <c r="K19" t="s">
        <v>316</v>
      </c>
      <c r="L19" t="s">
        <v>494</v>
      </c>
      <c r="M19" s="161" t="s">
        <v>759</v>
      </c>
      <c r="N19" t="s">
        <v>62</v>
      </c>
      <c r="O19" t="s">
        <v>1218</v>
      </c>
      <c r="P19" s="151">
        <v>51959</v>
      </c>
      <c r="Q19" s="151">
        <v>3.3719999999999999</v>
      </c>
      <c r="R19" s="151">
        <v>12865.5</v>
      </c>
      <c r="S19" s="153"/>
      <c r="T19" s="151">
        <v>22541.095509999999</v>
      </c>
      <c r="U19" s="154">
        <v>4.0200000000000001E-4</v>
      </c>
      <c r="V19" s="154">
        <v>7.1845999999999993E-2</v>
      </c>
      <c r="W19" s="154">
        <v>5.476E-3</v>
      </c>
    </row>
    <row r="20" spans="1:23">
      <c r="A20" s="155">
        <v>274</v>
      </c>
      <c r="B20" s="155">
        <v>274</v>
      </c>
      <c r="C20" t="s">
        <v>1678</v>
      </c>
      <c r="D20" s="155" t="s">
        <v>1663</v>
      </c>
      <c r="E20" t="s">
        <v>430</v>
      </c>
      <c r="F20" t="s">
        <v>1679</v>
      </c>
      <c r="G20" s="155" t="s">
        <v>1680</v>
      </c>
      <c r="H20" t="s">
        <v>76</v>
      </c>
      <c r="I20" t="s">
        <v>235</v>
      </c>
      <c r="J20" t="s">
        <v>61</v>
      </c>
      <c r="K20" t="s">
        <v>316</v>
      </c>
      <c r="L20" t="s">
        <v>494</v>
      </c>
      <c r="M20" s="161" t="s">
        <v>759</v>
      </c>
      <c r="N20" t="s">
        <v>62</v>
      </c>
      <c r="O20" t="s">
        <v>1218</v>
      </c>
      <c r="P20" s="151">
        <v>20140</v>
      </c>
      <c r="Q20" s="151">
        <v>3.3719999999999999</v>
      </c>
      <c r="R20" s="151">
        <v>12626</v>
      </c>
      <c r="S20" s="153"/>
      <c r="T20" s="151">
        <v>8574.5792199999996</v>
      </c>
      <c r="U20" s="154">
        <v>3.68E-4</v>
      </c>
      <c r="V20" s="154">
        <v>2.733E-2</v>
      </c>
      <c r="W20" s="154">
        <v>2.0830000000000002E-3</v>
      </c>
    </row>
    <row r="21" spans="1:23" s="36" customFormat="1">
      <c r="A21" s="155">
        <v>274</v>
      </c>
      <c r="B21" s="155">
        <v>274</v>
      </c>
      <c r="C21" t="s">
        <v>1674</v>
      </c>
      <c r="D21" s="155" t="s">
        <v>1675</v>
      </c>
      <c r="E21" t="s">
        <v>430</v>
      </c>
      <c r="F21" t="s">
        <v>1681</v>
      </c>
      <c r="G21" s="155" t="s">
        <v>1682</v>
      </c>
      <c r="H21" t="s">
        <v>76</v>
      </c>
      <c r="I21" t="s">
        <v>235</v>
      </c>
      <c r="J21" t="s">
        <v>61</v>
      </c>
      <c r="K21" t="s">
        <v>166</v>
      </c>
      <c r="L21" t="s">
        <v>488</v>
      </c>
      <c r="M21" s="161" t="s">
        <v>759</v>
      </c>
      <c r="N21" t="s">
        <v>62</v>
      </c>
      <c r="O21" t="s">
        <v>1231</v>
      </c>
      <c r="P21" s="151">
        <v>18776</v>
      </c>
      <c r="Q21" s="151">
        <v>3.9552</v>
      </c>
      <c r="R21" s="151">
        <v>2459</v>
      </c>
      <c r="S21" s="153"/>
      <c r="T21" s="151">
        <v>1826.12312</v>
      </c>
      <c r="U21" s="154">
        <v>3.5500000000000001E-4</v>
      </c>
      <c r="V21" s="154">
        <v>5.8199999999999997E-3</v>
      </c>
      <c r="W21" s="154">
        <v>4.4299999999999998E-4</v>
      </c>
    </row>
    <row r="22" spans="1:23">
      <c r="A22" s="155">
        <v>274</v>
      </c>
      <c r="B22" s="155">
        <v>274</v>
      </c>
      <c r="C22" t="s">
        <v>1656</v>
      </c>
      <c r="D22" s="155" t="s">
        <v>1657</v>
      </c>
      <c r="E22" t="s">
        <v>430</v>
      </c>
      <c r="F22" t="s">
        <v>1683</v>
      </c>
      <c r="G22" s="155" t="s">
        <v>1684</v>
      </c>
      <c r="H22" t="s">
        <v>76</v>
      </c>
      <c r="I22" t="s">
        <v>235</v>
      </c>
      <c r="J22" t="s">
        <v>61</v>
      </c>
      <c r="K22" t="s">
        <v>314</v>
      </c>
      <c r="L22" t="s">
        <v>494</v>
      </c>
      <c r="M22" s="161" t="s">
        <v>759</v>
      </c>
      <c r="N22" t="s">
        <v>62</v>
      </c>
      <c r="O22" t="s">
        <v>1218</v>
      </c>
      <c r="P22" s="151">
        <v>14942</v>
      </c>
      <c r="Q22" s="151">
        <v>3.3719999999999999</v>
      </c>
      <c r="R22" s="151">
        <v>44471</v>
      </c>
      <c r="S22" s="153"/>
      <c r="T22" s="151">
        <v>22406.457200000001</v>
      </c>
      <c r="U22" s="154">
        <v>5.7399999999999997E-4</v>
      </c>
      <c r="V22" s="154">
        <v>7.1416999999999994E-2</v>
      </c>
      <c r="W22" s="154">
        <v>5.4429999999999999E-3</v>
      </c>
    </row>
    <row r="23" spans="1:23">
      <c r="A23" s="155">
        <v>274</v>
      </c>
      <c r="B23" s="155">
        <v>274</v>
      </c>
      <c r="C23" t="s">
        <v>1685</v>
      </c>
      <c r="D23" s="155" t="s">
        <v>1686</v>
      </c>
      <c r="E23" t="s">
        <v>430</v>
      </c>
      <c r="F23" t="s">
        <v>1687</v>
      </c>
      <c r="G23" s="155" t="s">
        <v>1688</v>
      </c>
      <c r="H23" t="s">
        <v>76</v>
      </c>
      <c r="I23" t="s">
        <v>102</v>
      </c>
      <c r="J23" t="s">
        <v>61</v>
      </c>
      <c r="K23" t="s">
        <v>317</v>
      </c>
      <c r="L23" t="s">
        <v>494</v>
      </c>
      <c r="M23" s="161" t="s">
        <v>1086</v>
      </c>
      <c r="N23" t="s">
        <v>62</v>
      </c>
      <c r="O23" t="s">
        <v>1218</v>
      </c>
      <c r="P23" s="151">
        <v>510</v>
      </c>
      <c r="Q23" s="151">
        <v>3.3719999999999999</v>
      </c>
      <c r="R23" s="151">
        <v>10036</v>
      </c>
      <c r="S23" s="153"/>
      <c r="T23" s="151">
        <v>172.59110000000001</v>
      </c>
      <c r="U23" s="154">
        <v>2.0000000000000002E-5</v>
      </c>
      <c r="V23" s="154">
        <v>5.5000000000000003E-4</v>
      </c>
      <c r="W23" s="154">
        <v>4.1E-5</v>
      </c>
    </row>
    <row r="24" spans="1:23">
      <c r="A24" s="155">
        <v>274</v>
      </c>
      <c r="B24" s="155">
        <v>274</v>
      </c>
      <c r="C24" t="s">
        <v>1689</v>
      </c>
      <c r="D24" s="155" t="s">
        <v>1690</v>
      </c>
      <c r="E24" t="s">
        <v>430</v>
      </c>
      <c r="F24" t="s">
        <v>1691</v>
      </c>
      <c r="G24" s="155" t="s">
        <v>1692</v>
      </c>
      <c r="H24" t="s">
        <v>76</v>
      </c>
      <c r="I24" t="s">
        <v>235</v>
      </c>
      <c r="J24" t="s">
        <v>61</v>
      </c>
      <c r="K24" t="s">
        <v>166</v>
      </c>
      <c r="L24" t="s">
        <v>503</v>
      </c>
      <c r="M24" s="161" t="s">
        <v>759</v>
      </c>
      <c r="N24" t="s">
        <v>62</v>
      </c>
      <c r="O24" t="s">
        <v>1233</v>
      </c>
      <c r="P24" s="151">
        <v>109509</v>
      </c>
      <c r="Q24" s="151">
        <v>2.3369000000000001E-2</v>
      </c>
      <c r="R24" s="151">
        <v>40830</v>
      </c>
      <c r="S24" s="153"/>
      <c r="T24" s="151">
        <v>1044.8870199999999</v>
      </c>
      <c r="U24" s="154">
        <v>2.1599999999999999E-4</v>
      </c>
      <c r="V24" s="154">
        <v>3.3300000000000001E-3</v>
      </c>
      <c r="W24" s="154">
        <v>2.5300000000000002E-4</v>
      </c>
    </row>
    <row r="25" spans="1:23">
      <c r="A25" s="155">
        <v>274</v>
      </c>
      <c r="B25" s="155">
        <v>274</v>
      </c>
      <c r="C25" t="s">
        <v>1648</v>
      </c>
      <c r="D25" s="155" t="s">
        <v>1649</v>
      </c>
      <c r="E25" t="s">
        <v>430</v>
      </c>
      <c r="F25" t="s">
        <v>1693</v>
      </c>
      <c r="G25" s="155" t="s">
        <v>1694</v>
      </c>
      <c r="H25" t="s">
        <v>76</v>
      </c>
      <c r="I25" t="s">
        <v>235</v>
      </c>
      <c r="J25" t="s">
        <v>61</v>
      </c>
      <c r="K25" t="s">
        <v>314</v>
      </c>
      <c r="L25" t="s">
        <v>476</v>
      </c>
      <c r="M25" s="161" t="s">
        <v>759</v>
      </c>
      <c r="N25" t="s">
        <v>62</v>
      </c>
      <c r="O25" t="s">
        <v>1218</v>
      </c>
      <c r="P25" s="151">
        <v>2598</v>
      </c>
      <c r="Q25" s="151">
        <v>3.3719999999999999</v>
      </c>
      <c r="R25" s="151">
        <v>13479</v>
      </c>
      <c r="S25" s="153"/>
      <c r="T25" s="151">
        <v>1180.82186</v>
      </c>
      <c r="U25" s="154">
        <v>1.0000000000000001E-5</v>
      </c>
      <c r="V25" s="154">
        <v>3.7629999999999999E-3</v>
      </c>
      <c r="W25" s="154">
        <v>2.8600000000000001E-4</v>
      </c>
    </row>
    <row r="26" spans="1:23">
      <c r="A26" s="155">
        <v>274</v>
      </c>
      <c r="B26" s="155">
        <v>274</v>
      </c>
      <c r="C26" t="s">
        <v>1695</v>
      </c>
      <c r="D26" s="155" t="s">
        <v>1696</v>
      </c>
      <c r="E26" t="s">
        <v>430</v>
      </c>
      <c r="F26" t="s">
        <v>1697</v>
      </c>
      <c r="G26" s="155" t="s">
        <v>1698</v>
      </c>
      <c r="H26" t="s">
        <v>76</v>
      </c>
      <c r="I26" t="s">
        <v>235</v>
      </c>
      <c r="J26" t="s">
        <v>61</v>
      </c>
      <c r="K26" t="s">
        <v>314</v>
      </c>
      <c r="L26" t="s">
        <v>494</v>
      </c>
      <c r="M26" s="161" t="s">
        <v>759</v>
      </c>
      <c r="N26" t="s">
        <v>62</v>
      </c>
      <c r="O26" t="s">
        <v>1218</v>
      </c>
      <c r="P26" s="151">
        <v>141276</v>
      </c>
      <c r="Q26" s="151">
        <v>3.3719999999999999</v>
      </c>
      <c r="R26" s="151">
        <v>2485.44</v>
      </c>
      <c r="S26" s="153"/>
      <c r="T26" s="151">
        <v>11840.205480000001</v>
      </c>
      <c r="U26" s="154">
        <v>1.1169999999999999E-3</v>
      </c>
      <c r="V26" s="154">
        <v>3.7739000000000002E-2</v>
      </c>
      <c r="W26" s="154">
        <v>2.8760000000000001E-3</v>
      </c>
    </row>
    <row r="27" spans="1:23">
      <c r="A27" s="155">
        <v>274</v>
      </c>
      <c r="B27" s="155">
        <v>274</v>
      </c>
      <c r="C27" t="s">
        <v>1674</v>
      </c>
      <c r="D27" s="155" t="s">
        <v>1675</v>
      </c>
      <c r="E27" t="s">
        <v>430</v>
      </c>
      <c r="F27" t="s">
        <v>1699</v>
      </c>
      <c r="G27" s="155" t="s">
        <v>1700</v>
      </c>
      <c r="H27" t="s">
        <v>76</v>
      </c>
      <c r="I27" t="s">
        <v>235</v>
      </c>
      <c r="J27" t="s">
        <v>61</v>
      </c>
      <c r="K27" t="s">
        <v>314</v>
      </c>
      <c r="L27" t="s">
        <v>494</v>
      </c>
      <c r="M27" s="161" t="s">
        <v>759</v>
      </c>
      <c r="N27" t="s">
        <v>62</v>
      </c>
      <c r="O27" t="s">
        <v>1218</v>
      </c>
      <c r="P27" s="151">
        <v>27719</v>
      </c>
      <c r="Q27" s="151">
        <v>3.3719999999999999</v>
      </c>
      <c r="R27" s="151">
        <v>12361</v>
      </c>
      <c r="S27" s="153"/>
      <c r="T27" s="151">
        <v>11553.63733</v>
      </c>
      <c r="U27" s="154">
        <v>7.9900000000000001E-4</v>
      </c>
      <c r="V27" s="154">
        <v>3.6824999999999997E-2</v>
      </c>
      <c r="W27" s="154">
        <v>2.807E-3</v>
      </c>
    </row>
    <row r="28" spans="1:23">
      <c r="A28" s="155">
        <v>274</v>
      </c>
      <c r="B28" s="155">
        <v>274</v>
      </c>
      <c r="C28" t="s">
        <v>1648</v>
      </c>
      <c r="D28" s="155" t="s">
        <v>1649</v>
      </c>
      <c r="E28" t="s">
        <v>430</v>
      </c>
      <c r="F28" t="s">
        <v>1701</v>
      </c>
      <c r="G28" s="155" t="s">
        <v>1702</v>
      </c>
      <c r="H28" t="s">
        <v>76</v>
      </c>
      <c r="I28" t="s">
        <v>235</v>
      </c>
      <c r="J28" t="s">
        <v>61</v>
      </c>
      <c r="K28" t="s">
        <v>314</v>
      </c>
      <c r="L28" t="s">
        <v>476</v>
      </c>
      <c r="M28" s="161" t="s">
        <v>759</v>
      </c>
      <c r="N28" t="s">
        <v>62</v>
      </c>
      <c r="O28" t="s">
        <v>1218</v>
      </c>
      <c r="P28" s="151">
        <v>10267</v>
      </c>
      <c r="Q28" s="151">
        <v>3.3719999999999999</v>
      </c>
      <c r="R28" s="151">
        <v>5237</v>
      </c>
      <c r="S28" s="153"/>
      <c r="T28" s="151">
        <v>1813.06637</v>
      </c>
      <c r="U28" s="154">
        <v>1.0000000000000001E-5</v>
      </c>
      <c r="V28" s="154">
        <v>5.7780000000000001E-3</v>
      </c>
      <c r="W28" s="154">
        <v>4.4000000000000002E-4</v>
      </c>
    </row>
    <row r="29" spans="1:23">
      <c r="A29" s="155">
        <v>274</v>
      </c>
      <c r="B29" s="155">
        <v>274</v>
      </c>
      <c r="C29" t="s">
        <v>1703</v>
      </c>
      <c r="D29" s="155" t="s">
        <v>1704</v>
      </c>
      <c r="E29" t="s">
        <v>430</v>
      </c>
      <c r="F29" t="s">
        <v>1705</v>
      </c>
      <c r="G29" s="155" t="s">
        <v>1706</v>
      </c>
      <c r="H29" t="s">
        <v>76</v>
      </c>
      <c r="I29" t="s">
        <v>235</v>
      </c>
      <c r="J29" t="s">
        <v>61</v>
      </c>
      <c r="K29" t="s">
        <v>317</v>
      </c>
      <c r="L29" t="s">
        <v>476</v>
      </c>
      <c r="M29" s="161" t="s">
        <v>759</v>
      </c>
      <c r="N29" t="s">
        <v>62</v>
      </c>
      <c r="O29" t="s">
        <v>1218</v>
      </c>
      <c r="P29" s="151">
        <v>10430</v>
      </c>
      <c r="Q29" s="151">
        <v>3.3719999999999999</v>
      </c>
      <c r="R29" s="151">
        <v>4946</v>
      </c>
      <c r="S29" s="153"/>
      <c r="T29" s="151">
        <v>1739.50622</v>
      </c>
      <c r="U29" s="154">
        <v>5.0000000000000004E-6</v>
      </c>
      <c r="V29" s="154">
        <v>5.5440000000000003E-3</v>
      </c>
      <c r="W29" s="154">
        <v>4.2200000000000001E-4</v>
      </c>
    </row>
    <row r="30" spans="1:23">
      <c r="A30" s="155">
        <v>274</v>
      </c>
      <c r="B30" s="155">
        <v>274</v>
      </c>
      <c r="C30" t="s">
        <v>1685</v>
      </c>
      <c r="D30" s="155" t="s">
        <v>1686</v>
      </c>
      <c r="E30" t="s">
        <v>430</v>
      </c>
      <c r="F30" t="s">
        <v>1707</v>
      </c>
      <c r="G30" s="155" t="s">
        <v>1708</v>
      </c>
      <c r="H30" t="s">
        <v>76</v>
      </c>
      <c r="I30" t="s">
        <v>235</v>
      </c>
      <c r="J30" t="s">
        <v>61</v>
      </c>
      <c r="K30" t="s">
        <v>314</v>
      </c>
      <c r="L30" t="s">
        <v>102</v>
      </c>
      <c r="M30" s="161" t="s">
        <v>759</v>
      </c>
      <c r="N30" t="s">
        <v>62</v>
      </c>
      <c r="O30" t="s">
        <v>1218</v>
      </c>
      <c r="P30" s="151">
        <v>381440</v>
      </c>
      <c r="Q30" s="151">
        <v>3.3719999999999999</v>
      </c>
      <c r="R30" s="151">
        <v>1023.58</v>
      </c>
      <c r="S30" s="153"/>
      <c r="T30" s="151">
        <v>13165.446459999999</v>
      </c>
      <c r="U30" s="154">
        <v>4.2099999999999999E-4</v>
      </c>
      <c r="V30" s="154">
        <v>4.1963E-2</v>
      </c>
      <c r="W30" s="154">
        <v>3.1979999999999999E-3</v>
      </c>
    </row>
    <row r="31" spans="1:23">
      <c r="A31" s="155">
        <v>274</v>
      </c>
      <c r="B31" s="155">
        <v>274</v>
      </c>
      <c r="C31" t="s">
        <v>1685</v>
      </c>
      <c r="D31" s="155" t="s">
        <v>1686</v>
      </c>
      <c r="E31" t="s">
        <v>430</v>
      </c>
      <c r="F31" t="s">
        <v>1709</v>
      </c>
      <c r="G31" s="155" t="s">
        <v>1710</v>
      </c>
      <c r="H31" t="s">
        <v>76</v>
      </c>
      <c r="I31" t="s">
        <v>235</v>
      </c>
      <c r="J31" t="s">
        <v>61</v>
      </c>
      <c r="K31" t="s">
        <v>188</v>
      </c>
      <c r="L31" t="s">
        <v>476</v>
      </c>
      <c r="M31" s="161" t="s">
        <v>759</v>
      </c>
      <c r="N31" t="s">
        <v>62</v>
      </c>
      <c r="O31" t="s">
        <v>1218</v>
      </c>
      <c r="P31" s="151">
        <v>12553</v>
      </c>
      <c r="Q31" s="151">
        <v>3.3719999999999999</v>
      </c>
      <c r="R31" s="151">
        <v>3676</v>
      </c>
      <c r="S31" s="153"/>
      <c r="T31" s="151">
        <v>1556.0036</v>
      </c>
      <c r="U31" s="154">
        <v>7.3999999999999996E-5</v>
      </c>
      <c r="V31" s="154">
        <v>4.9589999999999999E-3</v>
      </c>
      <c r="W31" s="154">
        <v>3.7800000000000003E-4</v>
      </c>
    </row>
    <row r="32" spans="1:23">
      <c r="A32" s="155">
        <v>274</v>
      </c>
      <c r="B32" s="155">
        <v>274</v>
      </c>
      <c r="C32" t="s">
        <v>1689</v>
      </c>
      <c r="D32" s="155" t="s">
        <v>1690</v>
      </c>
      <c r="E32" t="s">
        <v>430</v>
      </c>
      <c r="F32" t="s">
        <v>1711</v>
      </c>
      <c r="G32" s="155" t="s">
        <v>1712</v>
      </c>
      <c r="H32" t="s">
        <v>76</v>
      </c>
      <c r="I32" t="s">
        <v>235</v>
      </c>
      <c r="J32" t="s">
        <v>61</v>
      </c>
      <c r="K32" t="s">
        <v>166</v>
      </c>
      <c r="L32" t="s">
        <v>503</v>
      </c>
      <c r="M32" s="161" t="s">
        <v>759</v>
      </c>
      <c r="N32" t="s">
        <v>62</v>
      </c>
      <c r="O32" t="s">
        <v>1233</v>
      </c>
      <c r="P32" s="151">
        <v>22262</v>
      </c>
      <c r="Q32" s="151">
        <v>2.3369000000000001E-2</v>
      </c>
      <c r="R32" s="151">
        <v>303000</v>
      </c>
      <c r="S32" s="153"/>
      <c r="T32" s="151">
        <v>1576.32925</v>
      </c>
      <c r="U32" s="154">
        <v>1.9999999999999999E-6</v>
      </c>
      <c r="V32" s="154">
        <v>5.0239999999999998E-3</v>
      </c>
      <c r="W32" s="154">
        <v>3.8200000000000002E-4</v>
      </c>
    </row>
    <row r="33" spans="1:23">
      <c r="A33" s="155">
        <v>274</v>
      </c>
      <c r="B33" s="155">
        <v>274</v>
      </c>
      <c r="C33" t="s">
        <v>1713</v>
      </c>
      <c r="D33" s="155" t="s">
        <v>1714</v>
      </c>
      <c r="E33" t="s">
        <v>430</v>
      </c>
      <c r="F33" t="s">
        <v>1715</v>
      </c>
      <c r="G33" s="155" t="s">
        <v>1716</v>
      </c>
      <c r="H33" t="s">
        <v>76</v>
      </c>
      <c r="I33" t="s">
        <v>102</v>
      </c>
      <c r="J33" t="s">
        <v>61</v>
      </c>
      <c r="K33" t="s">
        <v>313</v>
      </c>
      <c r="L33" t="s">
        <v>501</v>
      </c>
      <c r="M33" s="161" t="s">
        <v>1086</v>
      </c>
      <c r="N33" t="s">
        <v>62</v>
      </c>
      <c r="O33" t="s">
        <v>1218</v>
      </c>
      <c r="P33" s="151">
        <v>16920</v>
      </c>
      <c r="Q33" s="151">
        <v>3.3719999999999999</v>
      </c>
      <c r="R33" s="151">
        <v>1109.9000000000001</v>
      </c>
      <c r="S33" s="153"/>
      <c r="T33" s="151">
        <v>633.24500999999998</v>
      </c>
      <c r="U33" s="154">
        <v>1.1E-5</v>
      </c>
      <c r="V33" s="154">
        <v>2.0179999999999998E-3</v>
      </c>
      <c r="W33" s="154">
        <v>1.5300000000000001E-4</v>
      </c>
    </row>
    <row r="34" spans="1:23">
      <c r="A34" s="155">
        <v>274</v>
      </c>
      <c r="B34" s="155">
        <v>274</v>
      </c>
      <c r="C34" t="s">
        <v>1717</v>
      </c>
      <c r="D34" s="155" t="s">
        <v>1718</v>
      </c>
      <c r="E34" t="s">
        <v>430</v>
      </c>
      <c r="F34" t="s">
        <v>1719</v>
      </c>
      <c r="G34" s="155" t="s">
        <v>1720</v>
      </c>
      <c r="H34" t="s">
        <v>76</v>
      </c>
      <c r="I34" t="s">
        <v>235</v>
      </c>
      <c r="J34" t="s">
        <v>61</v>
      </c>
      <c r="K34" t="s">
        <v>204</v>
      </c>
      <c r="L34" t="s">
        <v>504</v>
      </c>
      <c r="M34" s="161" t="s">
        <v>759</v>
      </c>
      <c r="N34" t="s">
        <v>62</v>
      </c>
      <c r="O34" t="s">
        <v>1230</v>
      </c>
      <c r="P34" s="151">
        <v>34622</v>
      </c>
      <c r="Q34" s="151">
        <v>2.4674</v>
      </c>
      <c r="R34" s="151">
        <v>7056</v>
      </c>
      <c r="S34" s="153"/>
      <c r="T34" s="151">
        <v>6027.6813400000001</v>
      </c>
      <c r="U34" s="154">
        <v>5.8200000000000005E-4</v>
      </c>
      <c r="V34" s="154">
        <v>1.9212E-2</v>
      </c>
      <c r="W34" s="154">
        <v>1.464E-3</v>
      </c>
    </row>
    <row r="35" spans="1:23">
      <c r="A35" s="155">
        <v>274</v>
      </c>
      <c r="B35" s="155">
        <v>274</v>
      </c>
      <c r="C35" t="s">
        <v>1648</v>
      </c>
      <c r="D35" s="155" t="s">
        <v>1649</v>
      </c>
      <c r="E35" t="s">
        <v>430</v>
      </c>
      <c r="F35" t="s">
        <v>1721</v>
      </c>
      <c r="G35" s="155" t="s">
        <v>1722</v>
      </c>
      <c r="H35" t="s">
        <v>76</v>
      </c>
      <c r="I35" t="s">
        <v>235</v>
      </c>
      <c r="J35" t="s">
        <v>61</v>
      </c>
      <c r="K35" t="s">
        <v>314</v>
      </c>
      <c r="L35" t="s">
        <v>476</v>
      </c>
      <c r="M35" s="161" t="s">
        <v>759</v>
      </c>
      <c r="N35" t="s">
        <v>62</v>
      </c>
      <c r="O35" t="s">
        <v>1218</v>
      </c>
      <c r="P35" s="151">
        <v>421</v>
      </c>
      <c r="Q35" s="151">
        <v>3.3719999999999999</v>
      </c>
      <c r="R35" s="151">
        <v>21733</v>
      </c>
      <c r="S35" s="153"/>
      <c r="T35" s="151">
        <v>308.52427999999998</v>
      </c>
      <c r="U35" s="154">
        <v>3.9999999999999998E-6</v>
      </c>
      <c r="V35" s="154">
        <v>9.8299999999999993E-4</v>
      </c>
      <c r="W35" s="154">
        <v>7.3999999999999996E-5</v>
      </c>
    </row>
    <row r="36" spans="1:23">
      <c r="A36" s="155">
        <v>274</v>
      </c>
      <c r="B36" s="155">
        <v>274</v>
      </c>
      <c r="C36" t="s">
        <v>1723</v>
      </c>
      <c r="D36" s="155" t="s">
        <v>1724</v>
      </c>
      <c r="E36" t="s">
        <v>102</v>
      </c>
      <c r="F36" t="s">
        <v>1725</v>
      </c>
      <c r="G36" s="155" t="s">
        <v>1726</v>
      </c>
      <c r="H36" t="s">
        <v>76</v>
      </c>
      <c r="I36" t="s">
        <v>235</v>
      </c>
      <c r="J36" t="s">
        <v>61</v>
      </c>
      <c r="K36" t="s">
        <v>1165</v>
      </c>
      <c r="L36" t="s">
        <v>102</v>
      </c>
      <c r="M36" s="161" t="s">
        <v>759</v>
      </c>
      <c r="N36" t="s">
        <v>62</v>
      </c>
      <c r="O36" t="s">
        <v>1231</v>
      </c>
      <c r="P36" s="151">
        <v>827</v>
      </c>
      <c r="Q36" s="151">
        <v>3.9552</v>
      </c>
      <c r="R36" s="151">
        <v>13245.5</v>
      </c>
      <c r="S36" s="153"/>
      <c r="T36" s="151">
        <v>433.25373999999999</v>
      </c>
      <c r="U36" s="154">
        <v>5.8799999999999998E-4</v>
      </c>
      <c r="V36" s="154">
        <v>1.3799999999999999E-3</v>
      </c>
      <c r="W36" s="154">
        <v>1.05E-4</v>
      </c>
    </row>
    <row r="37" spans="1:23">
      <c r="A37" s="155">
        <v>274</v>
      </c>
      <c r="B37" s="155">
        <v>274</v>
      </c>
      <c r="C37" t="s">
        <v>1648</v>
      </c>
      <c r="D37" s="155" t="s">
        <v>1649</v>
      </c>
      <c r="E37" t="s">
        <v>430</v>
      </c>
      <c r="F37" t="s">
        <v>1727</v>
      </c>
      <c r="G37" s="155" t="s">
        <v>1728</v>
      </c>
      <c r="H37" t="s">
        <v>76</v>
      </c>
      <c r="I37" t="s">
        <v>235</v>
      </c>
      <c r="J37" t="s">
        <v>61</v>
      </c>
      <c r="K37" t="s">
        <v>314</v>
      </c>
      <c r="L37" t="s">
        <v>476</v>
      </c>
      <c r="M37" s="161" t="s">
        <v>759</v>
      </c>
      <c r="N37" t="s">
        <v>62</v>
      </c>
      <c r="O37" t="s">
        <v>1218</v>
      </c>
      <c r="P37" s="151">
        <v>4236</v>
      </c>
      <c r="Q37" s="151">
        <v>3.3719999999999999</v>
      </c>
      <c r="R37" s="151">
        <v>25323</v>
      </c>
      <c r="S37" s="153"/>
      <c r="T37" s="151">
        <v>3617.0846499999998</v>
      </c>
      <c r="U37" s="154">
        <v>1.2999999999999999E-5</v>
      </c>
      <c r="V37" s="154">
        <v>1.1528E-2</v>
      </c>
      <c r="W37" s="154">
        <v>8.7799999999999998E-4</v>
      </c>
    </row>
    <row r="38" spans="1:23">
      <c r="A38" s="155">
        <v>274</v>
      </c>
      <c r="B38" s="155">
        <v>274</v>
      </c>
      <c r="C38" t="s">
        <v>1674</v>
      </c>
      <c r="D38" s="155" t="s">
        <v>1675</v>
      </c>
      <c r="E38" t="s">
        <v>430</v>
      </c>
      <c r="F38" t="s">
        <v>1729</v>
      </c>
      <c r="G38" s="155" t="s">
        <v>1730</v>
      </c>
      <c r="H38" t="s">
        <v>76</v>
      </c>
      <c r="I38" t="s">
        <v>235</v>
      </c>
      <c r="J38" t="s">
        <v>61</v>
      </c>
      <c r="K38" t="s">
        <v>1165</v>
      </c>
      <c r="L38" t="s">
        <v>488</v>
      </c>
      <c r="M38" s="161" t="s">
        <v>759</v>
      </c>
      <c r="N38" t="s">
        <v>62</v>
      </c>
      <c r="O38" t="s">
        <v>1231</v>
      </c>
      <c r="P38" s="151">
        <v>59283</v>
      </c>
      <c r="Q38" s="151">
        <v>3.9552</v>
      </c>
      <c r="R38" s="151">
        <v>9757</v>
      </c>
      <c r="S38" s="153"/>
      <c r="T38" s="151">
        <v>22877.835179999998</v>
      </c>
      <c r="U38" s="154">
        <v>1.0989999999999999E-3</v>
      </c>
      <c r="V38" s="154">
        <v>7.2919999999999999E-2</v>
      </c>
      <c r="W38" s="154">
        <v>5.5579999999999996E-3</v>
      </c>
    </row>
    <row r="39" spans="1:23">
      <c r="A39" s="155">
        <v>274</v>
      </c>
      <c r="B39" s="155">
        <v>274</v>
      </c>
      <c r="C39" t="s">
        <v>1731</v>
      </c>
      <c r="D39" s="155" t="s">
        <v>1732</v>
      </c>
      <c r="E39" t="s">
        <v>430</v>
      </c>
      <c r="F39" t="s">
        <v>1733</v>
      </c>
      <c r="G39" s="155" t="s">
        <v>1734</v>
      </c>
      <c r="H39" t="s">
        <v>76</v>
      </c>
      <c r="I39" t="s">
        <v>235</v>
      </c>
      <c r="J39" t="s">
        <v>61</v>
      </c>
      <c r="K39" t="s">
        <v>317</v>
      </c>
      <c r="L39" t="s">
        <v>102</v>
      </c>
      <c r="M39" s="161" t="s">
        <v>759</v>
      </c>
      <c r="N39" t="s">
        <v>62</v>
      </c>
      <c r="O39" t="s">
        <v>1218</v>
      </c>
      <c r="P39" s="151">
        <v>1854</v>
      </c>
      <c r="Q39" s="151">
        <v>3.3719999999999999</v>
      </c>
      <c r="R39" s="151">
        <v>13902</v>
      </c>
      <c r="S39" s="153"/>
      <c r="T39" s="151">
        <v>869.10967000000005</v>
      </c>
      <c r="U39" s="154">
        <v>9.8999999999999994E-5</v>
      </c>
      <c r="V39" s="154">
        <v>2.7699999999999999E-3</v>
      </c>
      <c r="W39" s="154">
        <v>2.1100000000000001E-4</v>
      </c>
    </row>
    <row r="40" spans="1:23">
      <c r="A40" s="155">
        <v>274</v>
      </c>
      <c r="B40" s="155">
        <v>274</v>
      </c>
      <c r="C40" t="s">
        <v>1674</v>
      </c>
      <c r="D40" s="155" t="s">
        <v>1675</v>
      </c>
      <c r="E40" t="s">
        <v>430</v>
      </c>
      <c r="F40" t="s">
        <v>1735</v>
      </c>
      <c r="G40" s="155" t="s">
        <v>1736</v>
      </c>
      <c r="H40" t="s">
        <v>76</v>
      </c>
      <c r="I40" t="s">
        <v>235</v>
      </c>
      <c r="J40" t="s">
        <v>61</v>
      </c>
      <c r="K40" t="s">
        <v>314</v>
      </c>
      <c r="L40" t="s">
        <v>494</v>
      </c>
      <c r="M40" s="161" t="s">
        <v>759</v>
      </c>
      <c r="N40" t="s">
        <v>62</v>
      </c>
      <c r="O40" t="s">
        <v>1218</v>
      </c>
      <c r="P40" s="151">
        <v>24861</v>
      </c>
      <c r="Q40" s="151">
        <v>3.3719999999999999</v>
      </c>
      <c r="R40" s="151">
        <v>18421</v>
      </c>
      <c r="S40" s="153"/>
      <c r="T40" s="151">
        <v>15442.5623</v>
      </c>
      <c r="U40" s="154">
        <v>1.0709999999999999E-3</v>
      </c>
      <c r="V40" s="154">
        <v>4.9221000000000001E-2</v>
      </c>
      <c r="W40" s="154">
        <v>3.751E-3</v>
      </c>
    </row>
    <row r="41" spans="1:23">
      <c r="A41" s="155">
        <v>274</v>
      </c>
      <c r="B41" s="155">
        <v>274</v>
      </c>
      <c r="C41" t="s">
        <v>1674</v>
      </c>
      <c r="D41" s="155" t="s">
        <v>1675</v>
      </c>
      <c r="E41" t="s">
        <v>430</v>
      </c>
      <c r="F41" t="s">
        <v>1737</v>
      </c>
      <c r="G41" s="155" t="s">
        <v>1738</v>
      </c>
      <c r="H41" t="s">
        <v>76</v>
      </c>
      <c r="I41" t="s">
        <v>235</v>
      </c>
      <c r="J41" t="s">
        <v>61</v>
      </c>
      <c r="K41" t="s">
        <v>314</v>
      </c>
      <c r="L41" t="s">
        <v>494</v>
      </c>
      <c r="M41" s="161" t="s">
        <v>759</v>
      </c>
      <c r="N41" t="s">
        <v>62</v>
      </c>
      <c r="O41" t="s">
        <v>1218</v>
      </c>
      <c r="P41" s="151">
        <v>69681</v>
      </c>
      <c r="Q41" s="151">
        <v>3.3719999999999999</v>
      </c>
      <c r="R41" s="151">
        <v>18163</v>
      </c>
      <c r="S41" s="153"/>
      <c r="T41" s="151">
        <v>42676.571620000002</v>
      </c>
      <c r="U41" s="154">
        <v>1.2700000000000001E-3</v>
      </c>
      <c r="V41" s="154">
        <v>0.13602600000000001</v>
      </c>
      <c r="W41" s="154">
        <v>1.0368E-2</v>
      </c>
    </row>
    <row r="42" spans="1:23">
      <c r="A42" s="155">
        <v>274</v>
      </c>
      <c r="B42" s="155">
        <v>274</v>
      </c>
      <c r="C42" t="s">
        <v>1648</v>
      </c>
      <c r="D42" s="155" t="s">
        <v>1649</v>
      </c>
      <c r="E42" t="s">
        <v>430</v>
      </c>
      <c r="F42" t="s">
        <v>1739</v>
      </c>
      <c r="G42" s="155" t="s">
        <v>1740</v>
      </c>
      <c r="H42" t="s">
        <v>76</v>
      </c>
      <c r="I42" t="s">
        <v>235</v>
      </c>
      <c r="J42" t="s">
        <v>61</v>
      </c>
      <c r="K42" t="s">
        <v>316</v>
      </c>
      <c r="L42" t="s">
        <v>494</v>
      </c>
      <c r="M42" s="161" t="s">
        <v>759</v>
      </c>
      <c r="N42" t="s">
        <v>62</v>
      </c>
      <c r="O42" t="s">
        <v>1218</v>
      </c>
      <c r="P42" s="151">
        <v>215833</v>
      </c>
      <c r="Q42" s="151">
        <v>3.3719999999999999</v>
      </c>
      <c r="R42" s="151">
        <v>4296.25</v>
      </c>
      <c r="S42" s="153"/>
      <c r="T42" s="151">
        <v>31267.62959</v>
      </c>
      <c r="U42" s="154">
        <v>7.2800000000000002E-4</v>
      </c>
      <c r="V42" s="154">
        <v>9.9661E-2</v>
      </c>
      <c r="W42" s="154">
        <v>7.5960000000000003E-3</v>
      </c>
    </row>
    <row r="43" spans="1:23">
      <c r="A43" s="155">
        <v>274</v>
      </c>
      <c r="B43" s="155">
        <v>274</v>
      </c>
      <c r="C43" t="s">
        <v>1662</v>
      </c>
      <c r="D43" s="155" t="s">
        <v>1663</v>
      </c>
      <c r="E43" t="s">
        <v>430</v>
      </c>
      <c r="F43" t="s">
        <v>1741</v>
      </c>
      <c r="G43" s="155" t="s">
        <v>1742</v>
      </c>
      <c r="H43" t="s">
        <v>76</v>
      </c>
      <c r="I43" t="s">
        <v>235</v>
      </c>
      <c r="J43" t="s">
        <v>61</v>
      </c>
      <c r="K43" t="s">
        <v>313</v>
      </c>
      <c r="L43" t="s">
        <v>102</v>
      </c>
      <c r="M43" s="161" t="s">
        <v>759</v>
      </c>
      <c r="N43" t="s">
        <v>62</v>
      </c>
      <c r="O43" t="s">
        <v>1231</v>
      </c>
      <c r="P43" s="151">
        <v>5253</v>
      </c>
      <c r="Q43" s="151">
        <v>3.9552</v>
      </c>
      <c r="R43" s="151">
        <v>5051</v>
      </c>
      <c r="S43" s="153"/>
      <c r="T43" s="151">
        <v>1049.42938</v>
      </c>
      <c r="U43" s="154">
        <v>1.6000000000000001E-4</v>
      </c>
      <c r="V43" s="154">
        <v>3.3440000000000002E-3</v>
      </c>
      <c r="W43" s="154">
        <v>2.5399999999999999E-4</v>
      </c>
    </row>
    <row r="44" spans="1:23">
      <c r="A44" s="155">
        <v>274</v>
      </c>
      <c r="B44" s="155">
        <v>274</v>
      </c>
      <c r="C44" t="s">
        <v>1678</v>
      </c>
      <c r="D44" s="155" t="s">
        <v>1663</v>
      </c>
      <c r="E44" t="s">
        <v>430</v>
      </c>
      <c r="F44" t="s">
        <v>1743</v>
      </c>
      <c r="G44" s="155" t="s">
        <v>1744</v>
      </c>
      <c r="H44" t="s">
        <v>76</v>
      </c>
      <c r="I44" t="s">
        <v>235</v>
      </c>
      <c r="J44" t="s">
        <v>61</v>
      </c>
      <c r="K44" t="s">
        <v>314</v>
      </c>
      <c r="L44" t="s">
        <v>494</v>
      </c>
      <c r="M44" s="161" t="s">
        <v>759</v>
      </c>
      <c r="N44" t="s">
        <v>62</v>
      </c>
      <c r="O44" t="s">
        <v>1218</v>
      </c>
      <c r="P44" s="151">
        <v>1915</v>
      </c>
      <c r="Q44" s="151">
        <v>3.3719999999999999</v>
      </c>
      <c r="R44" s="151">
        <v>122758</v>
      </c>
      <c r="S44" s="153"/>
      <c r="T44" s="151">
        <v>7926.9505399999998</v>
      </c>
      <c r="U44" s="154">
        <v>7.3999999999999996E-5</v>
      </c>
      <c r="V44" s="154">
        <v>2.5266E-2</v>
      </c>
      <c r="W44" s="154">
        <v>1.9250000000000001E-3</v>
      </c>
    </row>
    <row r="45" spans="1:23">
      <c r="A45" s="155">
        <v>274</v>
      </c>
      <c r="B45" s="155">
        <v>274</v>
      </c>
      <c r="C45" t="s">
        <v>1685</v>
      </c>
      <c r="D45" s="155" t="s">
        <v>1686</v>
      </c>
      <c r="E45" t="s">
        <v>430</v>
      </c>
      <c r="F45" t="s">
        <v>1745</v>
      </c>
      <c r="G45" s="155" t="s">
        <v>1746</v>
      </c>
      <c r="H45" t="s">
        <v>76</v>
      </c>
      <c r="I45" t="s">
        <v>235</v>
      </c>
      <c r="J45" t="s">
        <v>61</v>
      </c>
      <c r="K45" t="s">
        <v>314</v>
      </c>
      <c r="L45" t="s">
        <v>102</v>
      </c>
      <c r="M45" s="161" t="s">
        <v>759</v>
      </c>
      <c r="N45" t="s">
        <v>62</v>
      </c>
      <c r="O45" t="s">
        <v>1218</v>
      </c>
      <c r="P45" s="151">
        <v>675112</v>
      </c>
      <c r="Q45" s="151">
        <v>3.3719999999999999</v>
      </c>
      <c r="R45" s="151">
        <v>842.93</v>
      </c>
      <c r="S45" s="153"/>
      <c r="T45" s="151">
        <v>19189.113170000001</v>
      </c>
      <c r="U45" s="154">
        <v>3.7469999999999999E-3</v>
      </c>
      <c r="V45" s="154">
        <v>6.1162000000000001E-2</v>
      </c>
      <c r="W45" s="154">
        <v>4.6620000000000003E-3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1"/>
  <sheetViews>
    <sheetView rightToLeft="1" workbookViewId="0">
      <selection activeCell="A24" sqref="A24"/>
    </sheetView>
  </sheetViews>
  <sheetFormatPr defaultColWidth="0" defaultRowHeight="14.25"/>
  <cols>
    <col min="1" max="2" width="10.625" style="4" bestFit="1" customWidth="1"/>
    <col min="3" max="3" width="44.125" style="4" bestFit="1" customWidth="1"/>
    <col min="4" max="4" width="24" style="4" bestFit="1" customWidth="1"/>
    <col min="5" max="5" width="10.375" style="4" bestFit="1" customWidth="1"/>
    <col min="6" max="6" width="31.25" style="4" bestFit="1" customWidth="1"/>
    <col min="7" max="7" width="14.75" style="4" bestFit="1" customWidth="1"/>
    <col min="8" max="8" width="9.125" style="4" bestFit="1" customWidth="1"/>
    <col min="9" max="9" width="11" style="4" bestFit="1" customWidth="1"/>
    <col min="10" max="10" width="10" style="4" bestFit="1" customWidth="1"/>
    <col min="11" max="11" width="26.125" style="4" bestFit="1" customWidth="1"/>
    <col min="12" max="12" width="7.875" style="4" bestFit="1" customWidth="1"/>
    <col min="13" max="13" width="9.625" style="2" bestFit="1" customWidth="1"/>
    <col min="14" max="14" width="27.375" style="163" bestFit="1" customWidth="1"/>
    <col min="15" max="15" width="11" style="4" bestFit="1" customWidth="1"/>
    <col min="16" max="16" width="11.25" style="4" bestFit="1" customWidth="1"/>
    <col min="17" max="17" width="12" style="4" bestFit="1" customWidth="1"/>
    <col min="18" max="18" width="9.875" style="4" bestFit="1" customWidth="1"/>
    <col min="19" max="19" width="13.75" style="4" bestFit="1" customWidth="1"/>
    <col min="20" max="21" width="10.875" style="4" bestFit="1" customWidth="1"/>
    <col min="22" max="22" width="11.125" style="4" bestFit="1" customWidth="1"/>
    <col min="23" max="23" width="10" style="4" bestFit="1" customWidth="1"/>
    <col min="24" max="24" width="11.625" style="4" hidden="1" customWidth="1"/>
    <col min="25" max="16384" width="9" style="4" hidden="1"/>
  </cols>
  <sheetData>
    <row r="1" spans="1:2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3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60" t="s">
        <v>300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>
      <c r="A2" s="155">
        <v>274</v>
      </c>
      <c r="B2" s="155">
        <v>274</v>
      </c>
      <c r="C2" t="s">
        <v>1747</v>
      </c>
      <c r="D2" s="155" t="s">
        <v>1690</v>
      </c>
      <c r="E2" t="s">
        <v>430</v>
      </c>
      <c r="F2" t="s">
        <v>1748</v>
      </c>
      <c r="G2" s="155" t="s">
        <v>1749</v>
      </c>
      <c r="H2" t="s">
        <v>76</v>
      </c>
      <c r="I2" t="s">
        <v>211</v>
      </c>
      <c r="J2" t="s">
        <v>61</v>
      </c>
      <c r="K2" t="s">
        <v>314</v>
      </c>
      <c r="L2" t="s">
        <v>805</v>
      </c>
      <c r="M2" t="s">
        <v>102</v>
      </c>
      <c r="N2" s="161" t="s">
        <v>1086</v>
      </c>
      <c r="O2" t="s">
        <v>62</v>
      </c>
      <c r="P2" t="s">
        <v>1218</v>
      </c>
      <c r="Q2" s="151">
        <v>1180</v>
      </c>
      <c r="R2" s="151">
        <v>3.3719999999999999</v>
      </c>
      <c r="S2" s="151">
        <v>41914.19</v>
      </c>
      <c r="T2" s="151">
        <v>1667.7488499999999</v>
      </c>
      <c r="U2" s="154">
        <v>4.5000000000000003E-5</v>
      </c>
      <c r="V2" s="154">
        <v>5.5643999999999999E-2</v>
      </c>
      <c r="W2" s="154">
        <v>4.0499999999999998E-4</v>
      </c>
    </row>
    <row r="3" spans="1:23">
      <c r="A3" s="155">
        <v>274</v>
      </c>
      <c r="B3" s="155">
        <v>274</v>
      </c>
      <c r="C3" t="s">
        <v>1750</v>
      </c>
      <c r="D3" s="155" t="s">
        <v>1751</v>
      </c>
      <c r="E3" t="s">
        <v>430</v>
      </c>
      <c r="F3" t="s">
        <v>1752</v>
      </c>
      <c r="G3" s="155" t="s">
        <v>1753</v>
      </c>
      <c r="H3" t="s">
        <v>76</v>
      </c>
      <c r="I3" t="s">
        <v>73</v>
      </c>
      <c r="J3" t="s">
        <v>61</v>
      </c>
      <c r="K3" t="s">
        <v>313</v>
      </c>
      <c r="L3" t="s">
        <v>805</v>
      </c>
      <c r="M3" t="s">
        <v>102</v>
      </c>
      <c r="N3" s="161" t="s">
        <v>759</v>
      </c>
      <c r="O3" t="s">
        <v>62</v>
      </c>
      <c r="P3" t="s">
        <v>1227</v>
      </c>
      <c r="Q3" s="151">
        <v>391485</v>
      </c>
      <c r="R3" s="151">
        <v>4.6235999999999997</v>
      </c>
      <c r="S3" s="151">
        <v>145.78</v>
      </c>
      <c r="T3" s="151">
        <v>2638.6905000000002</v>
      </c>
      <c r="U3" s="154">
        <v>7.5600000000000005E-4</v>
      </c>
      <c r="V3" s="154">
        <v>8.8039999999999993E-2</v>
      </c>
      <c r="W3" s="154">
        <v>6.4099999999999997E-4</v>
      </c>
    </row>
    <row r="4" spans="1:23">
      <c r="A4" s="155">
        <v>274</v>
      </c>
      <c r="B4" s="155">
        <v>274</v>
      </c>
      <c r="C4" t="s">
        <v>1754</v>
      </c>
      <c r="D4" s="155" t="s">
        <v>1755</v>
      </c>
      <c r="E4" t="s">
        <v>430</v>
      </c>
      <c r="F4" t="s">
        <v>1756</v>
      </c>
      <c r="G4" s="155" t="s">
        <v>1757</v>
      </c>
      <c r="H4" t="s">
        <v>76</v>
      </c>
      <c r="I4" t="s">
        <v>211</v>
      </c>
      <c r="J4" t="s">
        <v>61</v>
      </c>
      <c r="K4" t="s">
        <v>314</v>
      </c>
      <c r="L4" t="s">
        <v>805</v>
      </c>
      <c r="M4" t="s">
        <v>491</v>
      </c>
      <c r="N4" s="161" t="s">
        <v>1086</v>
      </c>
      <c r="O4" t="s">
        <v>62</v>
      </c>
      <c r="P4" t="s">
        <v>1218</v>
      </c>
      <c r="Q4" s="151">
        <v>1346.3</v>
      </c>
      <c r="R4" s="151">
        <v>3.3719999999999999</v>
      </c>
      <c r="S4" s="151">
        <v>12289</v>
      </c>
      <c r="T4" s="151">
        <v>557.88662999999997</v>
      </c>
      <c r="U4" s="154">
        <v>9.9999999999999995E-7</v>
      </c>
      <c r="V4" s="154">
        <v>1.8613000000000001E-2</v>
      </c>
      <c r="W4" s="154">
        <v>1.35E-4</v>
      </c>
    </row>
    <row r="5" spans="1:23">
      <c r="A5" s="155">
        <v>274</v>
      </c>
      <c r="B5" s="155">
        <v>274</v>
      </c>
      <c r="C5" t="s">
        <v>1758</v>
      </c>
      <c r="D5" s="155" t="s">
        <v>1759</v>
      </c>
      <c r="E5" t="s">
        <v>430</v>
      </c>
      <c r="F5" t="s">
        <v>1760</v>
      </c>
      <c r="G5" s="155" t="s">
        <v>1761</v>
      </c>
      <c r="H5" t="s">
        <v>76</v>
      </c>
      <c r="I5" t="s">
        <v>73</v>
      </c>
      <c r="J5" t="s">
        <v>61</v>
      </c>
      <c r="K5" t="s">
        <v>166</v>
      </c>
      <c r="L5" t="s">
        <v>805</v>
      </c>
      <c r="M5" t="s">
        <v>102</v>
      </c>
      <c r="N5" s="161" t="s">
        <v>759</v>
      </c>
      <c r="O5" t="s">
        <v>62</v>
      </c>
      <c r="P5" t="s">
        <v>1233</v>
      </c>
      <c r="Q5" s="151">
        <v>2993</v>
      </c>
      <c r="R5" s="151">
        <v>2.3369000000000001E-2</v>
      </c>
      <c r="S5" s="151">
        <v>2244699</v>
      </c>
      <c r="T5" s="151">
        <v>1570.01918</v>
      </c>
      <c r="U5" s="154">
        <v>1.0711999999999999E-2</v>
      </c>
      <c r="V5" s="154">
        <v>5.2382999999999999E-2</v>
      </c>
      <c r="W5" s="154">
        <v>3.8099999999999999E-4</v>
      </c>
    </row>
    <row r="6" spans="1:23">
      <c r="A6" s="155">
        <v>274</v>
      </c>
      <c r="B6" s="155">
        <v>274</v>
      </c>
      <c r="C6" t="s">
        <v>1762</v>
      </c>
      <c r="D6" s="155" t="s">
        <v>1763</v>
      </c>
      <c r="E6" t="s">
        <v>430</v>
      </c>
      <c r="F6" t="s">
        <v>1764</v>
      </c>
      <c r="G6" s="155" t="s">
        <v>1765</v>
      </c>
      <c r="H6" t="s">
        <v>76</v>
      </c>
      <c r="I6" t="s">
        <v>73</v>
      </c>
      <c r="J6" t="s">
        <v>61</v>
      </c>
      <c r="K6" t="s">
        <v>166</v>
      </c>
      <c r="L6" t="s">
        <v>805</v>
      </c>
      <c r="M6" t="s">
        <v>102</v>
      </c>
      <c r="N6" s="161" t="s">
        <v>759</v>
      </c>
      <c r="O6" t="s">
        <v>62</v>
      </c>
      <c r="P6" t="s">
        <v>1233</v>
      </c>
      <c r="Q6" s="151">
        <v>3326</v>
      </c>
      <c r="R6" s="151">
        <v>2.3369000000000001E-2</v>
      </c>
      <c r="S6" s="151">
        <v>1453342.78</v>
      </c>
      <c r="T6" s="151">
        <v>1129.6149499999999</v>
      </c>
      <c r="U6" s="154">
        <v>3.3140000000000001E-3</v>
      </c>
      <c r="V6" s="154">
        <v>3.7689E-2</v>
      </c>
      <c r="W6" s="154">
        <v>2.7399999999999999E-4</v>
      </c>
    </row>
    <row r="7" spans="1:23">
      <c r="A7" s="155">
        <v>274</v>
      </c>
      <c r="B7" s="155">
        <v>274</v>
      </c>
      <c r="C7" t="s">
        <v>1766</v>
      </c>
      <c r="D7" s="155" t="s">
        <v>1767</v>
      </c>
      <c r="E7" t="s">
        <v>430</v>
      </c>
      <c r="F7" t="s">
        <v>1768</v>
      </c>
      <c r="G7" s="155" t="s">
        <v>1769</v>
      </c>
      <c r="H7" t="s">
        <v>76</v>
      </c>
      <c r="I7" t="s">
        <v>211</v>
      </c>
      <c r="J7" t="s">
        <v>61</v>
      </c>
      <c r="K7" t="s">
        <v>317</v>
      </c>
      <c r="L7" t="s">
        <v>805</v>
      </c>
      <c r="M7" t="s">
        <v>102</v>
      </c>
      <c r="N7" s="161" t="s">
        <v>1086</v>
      </c>
      <c r="O7" t="s">
        <v>62</v>
      </c>
      <c r="P7" t="s">
        <v>1218</v>
      </c>
      <c r="Q7" s="151">
        <v>4808.92</v>
      </c>
      <c r="R7" s="151">
        <v>3.3719999999999999</v>
      </c>
      <c r="S7" s="151">
        <v>2925</v>
      </c>
      <c r="T7" s="151">
        <v>474.30858999999998</v>
      </c>
      <c r="U7" s="154">
        <v>9.2800000000000001E-4</v>
      </c>
      <c r="V7" s="154">
        <v>1.5824999999999999E-2</v>
      </c>
      <c r="W7" s="154">
        <v>1.15E-4</v>
      </c>
    </row>
    <row r="8" spans="1:23">
      <c r="A8" s="155">
        <v>274</v>
      </c>
      <c r="B8" s="155">
        <v>274</v>
      </c>
      <c r="C8" t="s">
        <v>1770</v>
      </c>
      <c r="D8" s="155" t="s">
        <v>1771</v>
      </c>
      <c r="E8" t="s">
        <v>430</v>
      </c>
      <c r="F8" t="s">
        <v>1772</v>
      </c>
      <c r="G8" s="155" t="s">
        <v>1773</v>
      </c>
      <c r="H8" t="s">
        <v>76</v>
      </c>
      <c r="I8" t="s">
        <v>211</v>
      </c>
      <c r="J8" t="s">
        <v>61</v>
      </c>
      <c r="K8" t="s">
        <v>317</v>
      </c>
      <c r="L8" t="s">
        <v>805</v>
      </c>
      <c r="M8" t="s">
        <v>102</v>
      </c>
      <c r="N8" s="161" t="s">
        <v>1086</v>
      </c>
      <c r="O8" t="s">
        <v>62</v>
      </c>
      <c r="P8" t="s">
        <v>1218</v>
      </c>
      <c r="Q8" s="151">
        <v>11200</v>
      </c>
      <c r="R8" s="151">
        <v>3.3719999999999999</v>
      </c>
      <c r="S8" s="151">
        <v>1193.2</v>
      </c>
      <c r="T8" s="151">
        <v>450.62867999999997</v>
      </c>
      <c r="U8" s="154">
        <v>8.4069999999999995E-3</v>
      </c>
      <c r="V8" s="154">
        <v>1.5035E-2</v>
      </c>
      <c r="W8" s="154">
        <v>1.0900000000000001E-4</v>
      </c>
    </row>
    <row r="9" spans="1:23">
      <c r="A9" s="155">
        <v>274</v>
      </c>
      <c r="B9" s="155">
        <v>274</v>
      </c>
      <c r="C9" t="s">
        <v>1774</v>
      </c>
      <c r="D9" s="155" t="s">
        <v>1775</v>
      </c>
      <c r="E9" t="s">
        <v>430</v>
      </c>
      <c r="F9" t="s">
        <v>1776</v>
      </c>
      <c r="G9" s="155" t="s">
        <v>1777</v>
      </c>
      <c r="H9" t="s">
        <v>76</v>
      </c>
      <c r="I9" t="s">
        <v>73</v>
      </c>
      <c r="J9" t="s">
        <v>61</v>
      </c>
      <c r="K9" t="s">
        <v>317</v>
      </c>
      <c r="L9" t="s">
        <v>805</v>
      </c>
      <c r="M9" t="s">
        <v>102</v>
      </c>
      <c r="N9" s="161" t="s">
        <v>759</v>
      </c>
      <c r="O9" t="s">
        <v>62</v>
      </c>
      <c r="P9" t="s">
        <v>1218</v>
      </c>
      <c r="Q9" s="151">
        <v>1992</v>
      </c>
      <c r="R9" s="151">
        <v>3.3719999999999999</v>
      </c>
      <c r="S9" s="151">
        <v>27787</v>
      </c>
      <c r="T9" s="151">
        <v>1866.45946</v>
      </c>
      <c r="U9" s="154">
        <v>9.9999999999999995E-7</v>
      </c>
      <c r="V9" s="154">
        <v>6.2274000000000003E-2</v>
      </c>
      <c r="W9" s="154">
        <v>4.5300000000000001E-4</v>
      </c>
    </row>
    <row r="10" spans="1:23">
      <c r="A10" s="155">
        <v>274</v>
      </c>
      <c r="B10" s="155">
        <v>274</v>
      </c>
      <c r="C10" t="s">
        <v>1778</v>
      </c>
      <c r="D10" s="155" t="s">
        <v>1779</v>
      </c>
      <c r="E10" t="s">
        <v>430</v>
      </c>
      <c r="F10" t="s">
        <v>1780</v>
      </c>
      <c r="G10" s="155" t="s">
        <v>1781</v>
      </c>
      <c r="H10" t="s">
        <v>76</v>
      </c>
      <c r="I10" t="s">
        <v>73</v>
      </c>
      <c r="J10" t="s">
        <v>61</v>
      </c>
      <c r="K10" t="s">
        <v>317</v>
      </c>
      <c r="L10" t="s">
        <v>805</v>
      </c>
      <c r="M10" t="s">
        <v>102</v>
      </c>
      <c r="N10" s="161" t="s">
        <v>759</v>
      </c>
      <c r="O10" t="s">
        <v>62</v>
      </c>
      <c r="P10" t="s">
        <v>1218</v>
      </c>
      <c r="Q10" s="151">
        <v>2258</v>
      </c>
      <c r="R10" s="151">
        <v>3.3719999999999999</v>
      </c>
      <c r="S10" s="151">
        <v>12994</v>
      </c>
      <c r="T10" s="151">
        <v>989.36004000000003</v>
      </c>
      <c r="U10" s="154">
        <v>2.8890000000000001E-3</v>
      </c>
      <c r="V10" s="154">
        <v>3.3009999999999998E-2</v>
      </c>
      <c r="W10" s="154">
        <v>2.4000000000000001E-4</v>
      </c>
    </row>
    <row r="11" spans="1:23">
      <c r="A11" s="155">
        <v>274</v>
      </c>
      <c r="B11" s="155">
        <v>274</v>
      </c>
      <c r="C11" t="s">
        <v>1782</v>
      </c>
      <c r="D11" s="155" t="s">
        <v>1783</v>
      </c>
      <c r="E11" t="s">
        <v>430</v>
      </c>
      <c r="F11" t="s">
        <v>1784</v>
      </c>
      <c r="G11" s="155" t="s">
        <v>1785</v>
      </c>
      <c r="H11" t="s">
        <v>76</v>
      </c>
      <c r="I11" t="s">
        <v>211</v>
      </c>
      <c r="J11" t="s">
        <v>61</v>
      </c>
      <c r="K11" t="s">
        <v>314</v>
      </c>
      <c r="L11" t="s">
        <v>805</v>
      </c>
      <c r="M11" t="s">
        <v>102</v>
      </c>
      <c r="N11" s="161" t="s">
        <v>1086</v>
      </c>
      <c r="O11" t="s">
        <v>62</v>
      </c>
      <c r="P11" t="s">
        <v>1218</v>
      </c>
      <c r="Q11" s="151">
        <v>39118.44</v>
      </c>
      <c r="R11" s="151">
        <v>3.3719999999999999</v>
      </c>
      <c r="S11" s="151">
        <v>1409.78</v>
      </c>
      <c r="T11" s="151">
        <v>1859.6038599999999</v>
      </c>
      <c r="U11" s="154">
        <v>4.5899999999999999E-4</v>
      </c>
      <c r="V11" s="154">
        <v>6.2045000000000003E-2</v>
      </c>
      <c r="W11" s="154">
        <v>4.5100000000000001E-4</v>
      </c>
    </row>
    <row r="12" spans="1:23">
      <c r="A12" s="155">
        <v>274</v>
      </c>
      <c r="B12" s="155">
        <v>274</v>
      </c>
      <c r="C12" t="s">
        <v>1786</v>
      </c>
      <c r="D12" s="155" t="s">
        <v>1787</v>
      </c>
      <c r="E12" t="s">
        <v>430</v>
      </c>
      <c r="F12" t="s">
        <v>1788</v>
      </c>
      <c r="G12" s="155" t="s">
        <v>1789</v>
      </c>
      <c r="H12" t="s">
        <v>76</v>
      </c>
      <c r="I12" t="s">
        <v>211</v>
      </c>
      <c r="J12" t="s">
        <v>61</v>
      </c>
      <c r="K12" t="s">
        <v>317</v>
      </c>
      <c r="L12" t="s">
        <v>805</v>
      </c>
      <c r="M12" t="s">
        <v>102</v>
      </c>
      <c r="N12" s="161" t="s">
        <v>1086</v>
      </c>
      <c r="O12" t="s">
        <v>62</v>
      </c>
      <c r="P12" t="s">
        <v>1218</v>
      </c>
      <c r="Q12" s="151">
        <v>5380</v>
      </c>
      <c r="R12" s="151">
        <v>3.3719999999999999</v>
      </c>
      <c r="S12" s="151">
        <v>15062.3</v>
      </c>
      <c r="T12" s="151">
        <v>2732.5060699999999</v>
      </c>
      <c r="U12" s="154">
        <v>1.5999999999999999E-5</v>
      </c>
      <c r="V12" s="154">
        <v>9.1170000000000001E-2</v>
      </c>
      <c r="W12" s="154">
        <v>6.6299999999999996E-4</v>
      </c>
    </row>
    <row r="13" spans="1:23">
      <c r="A13" s="155">
        <v>274</v>
      </c>
      <c r="B13" s="155">
        <v>274</v>
      </c>
      <c r="C13" t="s">
        <v>1770</v>
      </c>
      <c r="D13" s="155" t="s">
        <v>1771</v>
      </c>
      <c r="E13" t="s">
        <v>430</v>
      </c>
      <c r="F13" t="s">
        <v>1790</v>
      </c>
      <c r="G13" s="155" t="s">
        <v>1791</v>
      </c>
      <c r="H13" t="s">
        <v>76</v>
      </c>
      <c r="I13" t="s">
        <v>211</v>
      </c>
      <c r="J13" t="s">
        <v>61</v>
      </c>
      <c r="K13" t="s">
        <v>317</v>
      </c>
      <c r="L13" t="s">
        <v>805</v>
      </c>
      <c r="M13" t="s">
        <v>102</v>
      </c>
      <c r="N13" s="161" t="s">
        <v>1086</v>
      </c>
      <c r="O13" t="s">
        <v>62</v>
      </c>
      <c r="P13" t="s">
        <v>1218</v>
      </c>
      <c r="Q13" s="151">
        <v>5400</v>
      </c>
      <c r="R13" s="151">
        <v>3.3719999999999999</v>
      </c>
      <c r="S13" s="151">
        <v>1668</v>
      </c>
      <c r="T13" s="151">
        <v>303.72278</v>
      </c>
      <c r="U13" s="154">
        <v>2.4099999999999998E-3</v>
      </c>
      <c r="V13" s="154">
        <v>1.0133E-2</v>
      </c>
      <c r="W13" s="154">
        <v>7.2999999999999999E-5</v>
      </c>
    </row>
    <row r="14" spans="1:23">
      <c r="A14" s="155">
        <v>274</v>
      </c>
      <c r="B14" s="155">
        <v>274</v>
      </c>
      <c r="C14" t="s">
        <v>1770</v>
      </c>
      <c r="D14" s="155" t="s">
        <v>1771</v>
      </c>
      <c r="E14" t="s">
        <v>430</v>
      </c>
      <c r="F14" t="s">
        <v>1792</v>
      </c>
      <c r="G14" s="155" t="s">
        <v>1793</v>
      </c>
      <c r="H14" t="s">
        <v>76</v>
      </c>
      <c r="I14" t="s">
        <v>211</v>
      </c>
      <c r="J14" t="s">
        <v>61</v>
      </c>
      <c r="K14" t="s">
        <v>317</v>
      </c>
      <c r="L14" t="s">
        <v>805</v>
      </c>
      <c r="M14" t="s">
        <v>102</v>
      </c>
      <c r="N14" s="161" t="s">
        <v>1086</v>
      </c>
      <c r="O14" t="s">
        <v>62</v>
      </c>
      <c r="P14" t="s">
        <v>1218</v>
      </c>
      <c r="Q14" s="151">
        <v>12120</v>
      </c>
      <c r="R14" s="151">
        <v>3.3719999999999999</v>
      </c>
      <c r="S14" s="151">
        <v>1068</v>
      </c>
      <c r="T14" s="151">
        <v>436.47708</v>
      </c>
      <c r="U14" s="154">
        <v>2.2474999999999998E-2</v>
      </c>
      <c r="V14" s="154">
        <v>1.4563E-2</v>
      </c>
      <c r="W14" s="154">
        <v>1.06E-4</v>
      </c>
    </row>
    <row r="15" spans="1:23">
      <c r="A15" s="155">
        <v>274</v>
      </c>
      <c r="B15" s="155">
        <v>274</v>
      </c>
      <c r="C15" t="s">
        <v>1794</v>
      </c>
      <c r="D15" s="155" t="s">
        <v>1795</v>
      </c>
      <c r="E15" t="s">
        <v>430</v>
      </c>
      <c r="F15" t="s">
        <v>1796</v>
      </c>
      <c r="G15" s="155" t="s">
        <v>1797</v>
      </c>
      <c r="H15" t="s">
        <v>76</v>
      </c>
      <c r="I15" t="s">
        <v>211</v>
      </c>
      <c r="J15" t="s">
        <v>61</v>
      </c>
      <c r="K15" t="s">
        <v>313</v>
      </c>
      <c r="L15" t="s">
        <v>805</v>
      </c>
      <c r="M15" t="s">
        <v>102</v>
      </c>
      <c r="N15" s="161" t="s">
        <v>1086</v>
      </c>
      <c r="O15" t="s">
        <v>62</v>
      </c>
      <c r="P15" t="s">
        <v>1218</v>
      </c>
      <c r="Q15" s="151">
        <v>2400</v>
      </c>
      <c r="R15" s="151">
        <v>3.3719999999999999</v>
      </c>
      <c r="S15" s="151">
        <v>10704.66</v>
      </c>
      <c r="T15" s="151">
        <v>866.30672000000004</v>
      </c>
      <c r="U15" s="154">
        <v>9.9999999999999995E-7</v>
      </c>
      <c r="V15" s="154">
        <v>2.8903999999999999E-2</v>
      </c>
      <c r="W15" s="154">
        <v>2.1000000000000001E-4</v>
      </c>
    </row>
    <row r="16" spans="1:23">
      <c r="A16" s="155">
        <v>274</v>
      </c>
      <c r="B16" s="155">
        <v>274</v>
      </c>
      <c r="C16" t="s">
        <v>1798</v>
      </c>
      <c r="D16" s="155" t="s">
        <v>1799</v>
      </c>
      <c r="E16" t="s">
        <v>430</v>
      </c>
      <c r="F16" t="s">
        <v>1800</v>
      </c>
      <c r="G16" s="155" t="s">
        <v>1801</v>
      </c>
      <c r="H16" t="s">
        <v>76</v>
      </c>
      <c r="I16" t="s">
        <v>73</v>
      </c>
      <c r="J16" t="s">
        <v>61</v>
      </c>
      <c r="K16" t="s">
        <v>166</v>
      </c>
      <c r="L16" t="s">
        <v>805</v>
      </c>
      <c r="M16" t="s">
        <v>102</v>
      </c>
      <c r="N16" s="161" t="s">
        <v>759</v>
      </c>
      <c r="O16" t="s">
        <v>62</v>
      </c>
      <c r="P16" t="s">
        <v>1218</v>
      </c>
      <c r="Q16" s="151">
        <v>46850</v>
      </c>
      <c r="R16" s="151">
        <v>3.3719999999999999</v>
      </c>
      <c r="S16" s="151">
        <v>1489.18</v>
      </c>
      <c r="T16" s="151">
        <v>2352.5797600000001</v>
      </c>
      <c r="U16" s="154">
        <v>1.908E-3</v>
      </c>
      <c r="V16" s="154">
        <v>7.8493999999999994E-2</v>
      </c>
      <c r="W16" s="154">
        <v>5.71E-4</v>
      </c>
    </row>
    <row r="17" spans="1:23">
      <c r="A17" s="155">
        <v>274</v>
      </c>
      <c r="B17" s="155">
        <v>274</v>
      </c>
      <c r="C17" t="s">
        <v>1802</v>
      </c>
      <c r="D17" s="155" t="s">
        <v>1803</v>
      </c>
      <c r="E17" t="s">
        <v>430</v>
      </c>
      <c r="F17" t="s">
        <v>1804</v>
      </c>
      <c r="G17" s="155" t="s">
        <v>1805</v>
      </c>
      <c r="H17" t="s">
        <v>76</v>
      </c>
      <c r="I17" t="s">
        <v>211</v>
      </c>
      <c r="J17" t="s">
        <v>61</v>
      </c>
      <c r="K17" t="s">
        <v>317</v>
      </c>
      <c r="L17" t="s">
        <v>958</v>
      </c>
      <c r="M17" t="s">
        <v>102</v>
      </c>
      <c r="N17" s="161" t="s">
        <v>1086</v>
      </c>
      <c r="O17" t="s">
        <v>62</v>
      </c>
      <c r="P17" t="s">
        <v>1218</v>
      </c>
      <c r="Q17" s="151">
        <v>41208.69</v>
      </c>
      <c r="R17" s="151">
        <v>3.3719999999999999</v>
      </c>
      <c r="S17" s="151">
        <v>1618</v>
      </c>
      <c r="T17" s="151">
        <v>2248.3032699999999</v>
      </c>
      <c r="U17" s="154">
        <v>7.8490000000000001E-3</v>
      </c>
      <c r="V17" s="154">
        <v>7.5013999999999997E-2</v>
      </c>
      <c r="W17" s="154">
        <v>5.4600000000000004E-4</v>
      </c>
    </row>
    <row r="18" spans="1:23">
      <c r="A18" s="155">
        <v>274</v>
      </c>
      <c r="B18" s="155">
        <v>274</v>
      </c>
      <c r="C18" t="s">
        <v>1656</v>
      </c>
      <c r="D18" s="155" t="s">
        <v>1657</v>
      </c>
      <c r="E18" t="s">
        <v>430</v>
      </c>
      <c r="F18" t="s">
        <v>1806</v>
      </c>
      <c r="G18" s="155" t="s">
        <v>1807</v>
      </c>
      <c r="H18" t="s">
        <v>76</v>
      </c>
      <c r="I18" t="s">
        <v>73</v>
      </c>
      <c r="J18" t="s">
        <v>61</v>
      </c>
      <c r="K18" t="s">
        <v>317</v>
      </c>
      <c r="L18" t="s">
        <v>805</v>
      </c>
      <c r="M18" t="s">
        <v>102</v>
      </c>
      <c r="N18" s="161" t="s">
        <v>759</v>
      </c>
      <c r="O18" t="s">
        <v>62</v>
      </c>
      <c r="P18" t="s">
        <v>1218</v>
      </c>
      <c r="Q18" s="151">
        <v>227</v>
      </c>
      <c r="R18" s="151">
        <v>3.3719999999999999</v>
      </c>
      <c r="S18" s="151">
        <v>144220</v>
      </c>
      <c r="T18" s="151">
        <v>1103.9233400000001</v>
      </c>
      <c r="U18" s="154">
        <v>2.8379999999999998E-3</v>
      </c>
      <c r="V18" s="154">
        <v>3.6831999999999997E-2</v>
      </c>
      <c r="W18" s="154">
        <v>2.6800000000000001E-4</v>
      </c>
    </row>
    <row r="19" spans="1:23">
      <c r="A19" s="155">
        <v>274</v>
      </c>
      <c r="B19" s="155">
        <v>274</v>
      </c>
      <c r="C19" t="s">
        <v>1808</v>
      </c>
      <c r="D19" s="155" t="s">
        <v>1809</v>
      </c>
      <c r="E19" t="s">
        <v>430</v>
      </c>
      <c r="F19" t="s">
        <v>1810</v>
      </c>
      <c r="G19" s="155" t="s">
        <v>1811</v>
      </c>
      <c r="H19" t="s">
        <v>76</v>
      </c>
      <c r="I19" t="s">
        <v>73</v>
      </c>
      <c r="J19" t="s">
        <v>61</v>
      </c>
      <c r="K19" t="s">
        <v>1166</v>
      </c>
      <c r="L19" t="s">
        <v>805</v>
      </c>
      <c r="M19" t="s">
        <v>102</v>
      </c>
      <c r="N19" s="161" t="s">
        <v>759</v>
      </c>
      <c r="O19" t="s">
        <v>62</v>
      </c>
      <c r="P19" t="s">
        <v>1218</v>
      </c>
      <c r="Q19" s="151">
        <v>1968</v>
      </c>
      <c r="R19" s="151">
        <v>3.3719999999999999</v>
      </c>
      <c r="S19" s="151">
        <v>62135</v>
      </c>
      <c r="T19" s="151">
        <v>4123.3382499999998</v>
      </c>
      <c r="U19" s="154">
        <v>1.1507E-2</v>
      </c>
      <c r="V19" s="154">
        <v>0.137575</v>
      </c>
      <c r="W19" s="154">
        <v>1.0009999999999999E-3</v>
      </c>
    </row>
    <row r="20" spans="1:23">
      <c r="A20" s="155">
        <v>274</v>
      </c>
      <c r="B20" s="155">
        <v>274</v>
      </c>
      <c r="C20" t="s">
        <v>1812</v>
      </c>
      <c r="D20" s="155" t="s">
        <v>1813</v>
      </c>
      <c r="E20" t="s">
        <v>430</v>
      </c>
      <c r="F20" t="s">
        <v>1814</v>
      </c>
      <c r="G20" s="155" t="s">
        <v>1815</v>
      </c>
      <c r="H20" t="s">
        <v>76</v>
      </c>
      <c r="I20" t="s">
        <v>73</v>
      </c>
      <c r="J20" t="s">
        <v>61</v>
      </c>
      <c r="K20" t="s">
        <v>166</v>
      </c>
      <c r="L20" t="s">
        <v>805</v>
      </c>
      <c r="M20" t="s">
        <v>102</v>
      </c>
      <c r="N20" s="161" t="s">
        <v>759</v>
      </c>
      <c r="O20" t="s">
        <v>62</v>
      </c>
      <c r="P20" t="s">
        <v>1233</v>
      </c>
      <c r="Q20" s="151">
        <v>3408</v>
      </c>
      <c r="R20" s="151">
        <v>2.3369000000000001E-2</v>
      </c>
      <c r="S20" s="151">
        <v>2010600</v>
      </c>
      <c r="T20" s="151">
        <v>1601.27304</v>
      </c>
      <c r="U20" s="154">
        <v>7.0799999999999997E-4</v>
      </c>
      <c r="V20" s="154">
        <v>5.3426000000000001E-2</v>
      </c>
      <c r="W20" s="154">
        <v>3.8900000000000002E-4</v>
      </c>
    </row>
    <row r="21" spans="1:23">
      <c r="A21" s="155">
        <v>274</v>
      </c>
      <c r="B21" s="155">
        <v>274</v>
      </c>
      <c r="C21" t="s">
        <v>1816</v>
      </c>
      <c r="D21" s="155" t="s">
        <v>1817</v>
      </c>
      <c r="E21" t="s">
        <v>430</v>
      </c>
      <c r="F21" t="s">
        <v>1818</v>
      </c>
      <c r="G21" s="155" t="s">
        <v>1819</v>
      </c>
      <c r="H21" t="s">
        <v>76</v>
      </c>
      <c r="I21" t="s">
        <v>73</v>
      </c>
      <c r="J21" t="s">
        <v>61</v>
      </c>
      <c r="K21" t="s">
        <v>317</v>
      </c>
      <c r="L21" t="s">
        <v>805</v>
      </c>
      <c r="M21" t="s">
        <v>102</v>
      </c>
      <c r="N21" s="161" t="s">
        <v>759</v>
      </c>
      <c r="O21" t="s">
        <v>62</v>
      </c>
      <c r="P21" t="s">
        <v>1218</v>
      </c>
      <c r="Q21" s="151">
        <v>179624</v>
      </c>
      <c r="R21" s="151">
        <v>3.3719999999999999</v>
      </c>
      <c r="S21" s="151">
        <v>164.88</v>
      </c>
      <c r="T21" s="151">
        <v>998.66517999999996</v>
      </c>
      <c r="U21" s="154">
        <v>2.9750000000000002E-3</v>
      </c>
      <c r="V21" s="154">
        <v>3.3320000000000002E-2</v>
      </c>
      <c r="W21" s="154">
        <v>2.42E-4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2" width="10.625" style="2" bestFit="1" customWidth="1"/>
    <col min="3" max="3" width="20.25" style="2" bestFit="1" customWidth="1"/>
    <col min="4" max="4" width="10.75" style="2" bestFit="1" customWidth="1"/>
    <col min="5" max="5" width="10.375" style="4" bestFit="1" customWidth="1"/>
    <col min="6" max="6" width="10.625" style="2" bestFit="1" customWidth="1"/>
    <col min="7" max="7" width="12.375" style="2" bestFit="1" customWidth="1"/>
    <col min="8" max="8" width="9.125" style="2" bestFit="1" customWidth="1"/>
    <col min="9" max="9" width="10" style="2" bestFit="1" customWidth="1"/>
    <col min="10" max="10" width="9.25" style="2" bestFit="1" customWidth="1"/>
    <col min="11" max="11" width="7.875" style="2" bestFit="1" customWidth="1"/>
    <col min="12" max="12" width="9.625" style="2" bestFit="1" customWidth="1"/>
    <col min="13" max="13" width="12.375" style="2" bestFit="1" customWidth="1"/>
    <col min="14" max="14" width="14.375" style="2" bestFit="1" customWidth="1"/>
    <col min="15" max="15" width="11.625" style="2" customWidth="1"/>
    <col min="16" max="16" width="11" style="2" bestFit="1" customWidth="1"/>
    <col min="17" max="17" width="11.25" style="2" bestFit="1" customWidth="1"/>
    <col min="18" max="18" width="10" style="2" bestFit="1" customWidth="1"/>
    <col min="19" max="19" width="8.875" style="2" bestFit="1" customWidth="1"/>
    <col min="20" max="20" width="10" style="2" bestFit="1" customWidth="1"/>
    <col min="21" max="21" width="9.875" style="2" bestFit="1" customWidth="1"/>
    <col min="22" max="22" width="8.375" style="2" bestFit="1" customWidth="1"/>
    <col min="23" max="23" width="10.875" style="2" bestFit="1" customWidth="1"/>
    <col min="24" max="24" width="11.125" style="2" bestFit="1" customWidth="1"/>
    <col min="25" max="25" width="10" style="2" bestFit="1" customWidth="1"/>
    <col min="26" max="27" width="11.625" style="2" hidden="1" customWidth="1"/>
    <col min="28" max="16384" width="9" style="2" hidden="1"/>
  </cols>
  <sheetData>
    <row r="1" spans="1:25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5</v>
      </c>
      <c r="M1" s="17" t="s">
        <v>738</v>
      </c>
      <c r="N1" s="17" t="s">
        <v>9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613</v>
      </c>
      <c r="T1" s="17" t="s">
        <v>773</v>
      </c>
      <c r="U1" s="17" t="s">
        <v>11</v>
      </c>
      <c r="V1" s="17" t="s">
        <v>15</v>
      </c>
      <c r="W1" s="17" t="s">
        <v>1153</v>
      </c>
      <c r="X1" s="17" t="s">
        <v>19</v>
      </c>
      <c r="Y1" s="17" t="s">
        <v>30</v>
      </c>
    </row>
    <row r="2" spans="1:25">
      <c r="A2" s="155">
        <v>274</v>
      </c>
      <c r="B2" s="155">
        <v>274</v>
      </c>
      <c r="C2" t="s">
        <v>1501</v>
      </c>
      <c r="D2" s="155">
        <v>516537560</v>
      </c>
      <c r="E2" t="s">
        <v>429</v>
      </c>
      <c r="F2" t="s">
        <v>1820</v>
      </c>
      <c r="G2" s="155" t="s">
        <v>1821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1503</v>
      </c>
      <c r="N2" t="s">
        <v>631</v>
      </c>
      <c r="O2" s="156">
        <v>46203</v>
      </c>
      <c r="P2" t="s">
        <v>62</v>
      </c>
      <c r="Q2" t="s">
        <v>1222</v>
      </c>
      <c r="R2" s="151">
        <v>1650</v>
      </c>
      <c r="S2" s="151">
        <v>1</v>
      </c>
      <c r="T2" s="151">
        <v>6900</v>
      </c>
      <c r="U2" s="151">
        <v>1</v>
      </c>
      <c r="V2" s="151">
        <v>347.1</v>
      </c>
      <c r="W2" s="151">
        <v>23.9499</v>
      </c>
      <c r="X2" s="154">
        <v>1</v>
      </c>
      <c r="Y2" s="154">
        <v>5.0000000000000004E-6</v>
      </c>
    </row>
    <row r="3" spans="1:25">
      <c r="A3" s="18"/>
      <c r="B3" s="18"/>
      <c r="C3" s="18"/>
      <c r="D3" s="18"/>
      <c r="E3" s="16"/>
      <c r="F3" s="18"/>
      <c r="G3" s="18"/>
      <c r="H3" s="16"/>
      <c r="I3" s="16"/>
      <c r="J3" s="16"/>
      <c r="K3" s="18"/>
      <c r="L3" s="16"/>
      <c r="M3" s="18"/>
      <c r="N3" s="18"/>
      <c r="O3" s="18"/>
      <c r="P3" s="18"/>
      <c r="Q3" s="16"/>
      <c r="R3" s="16"/>
      <c r="S3" s="16"/>
      <c r="T3" s="18"/>
      <c r="U3" s="18"/>
      <c r="V3" s="18"/>
      <c r="W3" s="18"/>
      <c r="X3" s="18"/>
      <c r="Y3" s="18"/>
    </row>
    <row r="4" spans="1:25">
      <c r="A4" s="18"/>
      <c r="B4" s="18"/>
      <c r="C4" s="18"/>
      <c r="D4" s="18"/>
      <c r="E4" s="16"/>
      <c r="F4" s="18"/>
      <c r="G4" s="18"/>
      <c r="H4" s="16"/>
      <c r="I4" s="16"/>
      <c r="J4" s="16"/>
      <c r="K4" s="18"/>
      <c r="L4" s="16"/>
      <c r="M4" s="18"/>
      <c r="N4" s="18"/>
      <c r="O4" s="18"/>
      <c r="P4" s="18"/>
      <c r="Q4" s="16"/>
      <c r="R4" s="16"/>
      <c r="S4" s="16"/>
      <c r="T4" s="18"/>
      <c r="U4" s="18"/>
      <c r="V4" s="18"/>
      <c r="W4" s="18"/>
      <c r="X4" s="18"/>
      <c r="Y4" s="18"/>
    </row>
    <row r="5" spans="1:25">
      <c r="A5" s="18"/>
      <c r="B5" s="18"/>
      <c r="C5" s="18"/>
      <c r="D5" s="18"/>
      <c r="E5" s="16"/>
      <c r="F5" s="18"/>
      <c r="G5" s="18"/>
      <c r="H5" s="16"/>
      <c r="I5" s="16"/>
      <c r="J5" s="16"/>
      <c r="K5" s="18"/>
      <c r="L5" s="16"/>
      <c r="M5" s="18"/>
      <c r="N5" s="18"/>
      <c r="O5" s="18"/>
      <c r="P5" s="18"/>
      <c r="Q5" s="16"/>
      <c r="R5" s="16"/>
      <c r="S5" s="16"/>
      <c r="T5" s="18"/>
      <c r="U5" s="18"/>
      <c r="V5" s="18"/>
      <c r="W5" s="18"/>
      <c r="X5" s="18"/>
      <c r="Y5" s="18"/>
    </row>
    <row r="6" spans="1:25">
      <c r="A6" s="18"/>
      <c r="B6" s="18"/>
      <c r="C6" s="18"/>
      <c r="D6" s="18"/>
      <c r="E6" s="16"/>
      <c r="F6" s="18"/>
      <c r="G6" s="18"/>
      <c r="H6" s="16"/>
      <c r="I6" s="16"/>
      <c r="J6" s="16"/>
      <c r="K6" s="18"/>
      <c r="L6" s="16"/>
      <c r="M6" s="18"/>
      <c r="N6" s="18"/>
      <c r="O6" s="18"/>
      <c r="P6" s="18"/>
      <c r="Q6" s="16"/>
      <c r="R6" s="16"/>
      <c r="S6" s="16"/>
      <c r="T6" s="18"/>
      <c r="U6" s="18"/>
      <c r="V6" s="18"/>
      <c r="W6" s="18"/>
      <c r="X6" s="18"/>
      <c r="Y6" s="18"/>
    </row>
    <row r="7" spans="1:25">
      <c r="A7" s="18"/>
      <c r="B7" s="18"/>
      <c r="C7" s="18"/>
      <c r="D7" s="18"/>
      <c r="E7" s="16"/>
      <c r="F7" s="18"/>
      <c r="G7" s="18"/>
      <c r="H7" s="16"/>
      <c r="I7" s="16"/>
      <c r="J7" s="16"/>
      <c r="K7" s="18"/>
      <c r="L7" s="16"/>
      <c r="M7" s="18"/>
      <c r="N7" s="18"/>
      <c r="O7" s="18"/>
      <c r="P7" s="18"/>
      <c r="Q7" s="16"/>
      <c r="R7" s="16"/>
      <c r="S7" s="16"/>
      <c r="T7" s="18"/>
      <c r="U7" s="18"/>
      <c r="V7" s="18"/>
      <c r="W7" s="18"/>
      <c r="X7" s="18"/>
      <c r="Y7" s="18"/>
    </row>
    <row r="8" spans="1:25">
      <c r="A8" s="18"/>
      <c r="B8" s="18"/>
      <c r="C8" s="18"/>
      <c r="D8" s="18"/>
      <c r="E8" s="16"/>
      <c r="F8" s="18"/>
      <c r="G8" s="18"/>
      <c r="H8" s="16"/>
      <c r="I8" s="16"/>
      <c r="J8" s="16"/>
      <c r="K8" s="18"/>
      <c r="L8" s="16"/>
      <c r="M8" s="18"/>
      <c r="N8" s="18"/>
      <c r="O8" s="18"/>
      <c r="P8" s="18"/>
      <c r="Q8" s="16"/>
      <c r="R8" s="16"/>
      <c r="S8" s="16"/>
      <c r="T8" s="18"/>
      <c r="U8" s="18"/>
      <c r="V8" s="18"/>
      <c r="W8" s="18"/>
      <c r="X8" s="18"/>
      <c r="Y8" s="18"/>
    </row>
    <row r="9" spans="1:25">
      <c r="A9" s="18"/>
      <c r="B9" s="18"/>
      <c r="C9" s="18"/>
      <c r="D9" s="18"/>
      <c r="E9" s="16"/>
      <c r="F9" s="18"/>
      <c r="G9" s="18"/>
      <c r="H9" s="16"/>
      <c r="I9" s="16"/>
      <c r="J9" s="16"/>
      <c r="K9" s="18"/>
      <c r="L9" s="16"/>
      <c r="M9" s="18"/>
      <c r="N9" s="18"/>
      <c r="O9" s="18"/>
      <c r="P9" s="18"/>
      <c r="Q9" s="16"/>
      <c r="R9" s="16"/>
      <c r="S9" s="16"/>
      <c r="T9" s="18"/>
      <c r="U9" s="18"/>
      <c r="V9" s="18"/>
      <c r="W9" s="18"/>
      <c r="X9" s="18"/>
      <c r="Y9" s="18"/>
    </row>
    <row r="10" spans="1:25">
      <c r="A10" s="18"/>
      <c r="B10" s="18"/>
      <c r="C10" s="18"/>
      <c r="D10" s="18"/>
      <c r="E10" s="16"/>
      <c r="F10" s="18"/>
      <c r="G10" s="18"/>
      <c r="H10" s="16"/>
      <c r="I10" s="16"/>
      <c r="J10" s="16"/>
      <c r="K10" s="18"/>
      <c r="L10" s="16"/>
      <c r="M10" s="18"/>
      <c r="N10" s="18"/>
      <c r="O10" s="18"/>
      <c r="P10" s="18"/>
      <c r="Q10" s="16"/>
      <c r="R10" s="16"/>
      <c r="S10" s="16"/>
      <c r="T10" s="18"/>
      <c r="U10" s="18"/>
      <c r="V10" s="18"/>
      <c r="W10" s="18"/>
      <c r="X10" s="18"/>
      <c r="Y10" s="18"/>
    </row>
    <row r="11" spans="1:25">
      <c r="A11" s="23"/>
      <c r="B11" s="18"/>
      <c r="C11" s="18"/>
      <c r="D11" s="18"/>
      <c r="E11" s="16"/>
      <c r="F11" s="18"/>
      <c r="G11" s="18"/>
      <c r="H11" s="16"/>
      <c r="I11" s="16"/>
      <c r="J11" s="16"/>
      <c r="K11" s="18"/>
      <c r="L11" s="16"/>
      <c r="M11" s="18"/>
      <c r="N11" s="18"/>
      <c r="O11" s="18"/>
      <c r="P11" s="18"/>
      <c r="Q11" s="16"/>
      <c r="R11" s="16"/>
      <c r="S11" s="16"/>
      <c r="T11" s="18"/>
      <c r="U11" s="18"/>
      <c r="V11" s="18"/>
      <c r="W11" s="18"/>
      <c r="X11" s="18"/>
      <c r="Y11" s="18"/>
    </row>
    <row r="12" spans="1:25">
      <c r="A12" s="18"/>
      <c r="B12" s="18"/>
      <c r="C12" s="18"/>
      <c r="D12" s="18"/>
      <c r="E12" s="16"/>
      <c r="F12" s="18"/>
      <c r="G12" s="18"/>
      <c r="H12" s="16"/>
      <c r="I12" s="16"/>
      <c r="J12" s="16"/>
      <c r="K12" s="18"/>
      <c r="L12" s="16"/>
      <c r="M12" s="18"/>
      <c r="N12" s="18"/>
      <c r="O12" s="18"/>
      <c r="P12" s="18"/>
      <c r="Q12" s="16"/>
      <c r="R12" s="16"/>
      <c r="S12" s="16"/>
      <c r="T12" s="18"/>
      <c r="U12" s="18"/>
      <c r="V12" s="18"/>
      <c r="W12" s="18"/>
      <c r="X12" s="18"/>
      <c r="Y12" s="18"/>
    </row>
    <row r="13" spans="1:25">
      <c r="A13" s="18"/>
      <c r="B13" s="18"/>
      <c r="C13" s="18"/>
      <c r="D13" s="18"/>
      <c r="E13" s="16"/>
      <c r="F13" s="18"/>
      <c r="G13" s="18"/>
      <c r="H13" s="16"/>
      <c r="I13" s="16"/>
      <c r="J13" s="16"/>
      <c r="K13" s="18"/>
      <c r="L13" s="16"/>
      <c r="M13" s="18"/>
      <c r="N13" s="18"/>
      <c r="O13" s="18"/>
      <c r="P13" s="18"/>
      <c r="Q13" s="16"/>
      <c r="R13" s="16"/>
      <c r="S13" s="16"/>
      <c r="T13" s="18"/>
      <c r="U13" s="18"/>
      <c r="V13" s="18"/>
      <c r="W13" s="18"/>
      <c r="X13" s="18"/>
      <c r="Y13" s="18"/>
    </row>
    <row r="14" spans="1:25">
      <c r="A14" s="18"/>
      <c r="B14" s="18"/>
      <c r="C14" s="18"/>
      <c r="D14" s="18"/>
      <c r="E14" s="16"/>
      <c r="F14" s="18"/>
      <c r="G14" s="18"/>
      <c r="H14" s="16"/>
      <c r="I14" s="16"/>
      <c r="J14" s="16"/>
      <c r="K14" s="18"/>
      <c r="L14" s="16"/>
      <c r="M14" s="18"/>
      <c r="N14" s="18"/>
      <c r="O14" s="18"/>
      <c r="P14" s="18"/>
      <c r="Q14" s="16"/>
      <c r="R14" s="16"/>
      <c r="S14" s="16"/>
      <c r="T14" s="18"/>
      <c r="U14" s="18"/>
      <c r="V14" s="18"/>
      <c r="W14" s="18"/>
      <c r="X14" s="18"/>
      <c r="Y14" s="18"/>
    </row>
    <row r="15" spans="1:25">
      <c r="A15" s="18"/>
      <c r="B15" s="18"/>
      <c r="C15" s="18"/>
      <c r="D15" s="18"/>
      <c r="E15" s="16"/>
      <c r="F15" s="18"/>
      <c r="G15" s="18"/>
      <c r="H15" s="16"/>
      <c r="I15" s="16"/>
      <c r="J15" s="16"/>
      <c r="K15" s="18"/>
      <c r="L15" s="16"/>
      <c r="M15" s="18"/>
      <c r="N15" s="18"/>
      <c r="O15" s="18"/>
      <c r="P15" s="18"/>
      <c r="Q15" s="16"/>
      <c r="R15" s="16"/>
      <c r="S15" s="16"/>
      <c r="T15" s="18"/>
      <c r="U15" s="18"/>
      <c r="V15" s="18"/>
      <c r="W15" s="18"/>
      <c r="X15" s="18"/>
      <c r="Y15" s="18"/>
    </row>
    <row r="16" spans="1:25">
      <c r="A16" s="18"/>
      <c r="B16" s="18"/>
      <c r="C16" s="18"/>
      <c r="D16" s="18"/>
      <c r="E16" s="16"/>
      <c r="F16" s="18"/>
      <c r="G16" s="18"/>
      <c r="H16" s="16"/>
      <c r="I16" s="16"/>
      <c r="J16" s="16"/>
      <c r="K16" s="18"/>
      <c r="L16" s="16"/>
      <c r="M16" s="18"/>
      <c r="N16" s="18"/>
      <c r="O16" s="18"/>
      <c r="P16" s="18"/>
      <c r="Q16" s="16"/>
      <c r="R16" s="16"/>
      <c r="S16" s="16"/>
      <c r="T16" s="18"/>
      <c r="U16" s="18"/>
      <c r="V16" s="18"/>
      <c r="W16" s="18"/>
      <c r="X16" s="18"/>
      <c r="Y16" s="18"/>
    </row>
    <row r="17" spans="1:25">
      <c r="A17" s="18"/>
      <c r="B17" s="18"/>
      <c r="C17" s="18"/>
      <c r="D17" s="18"/>
      <c r="E17" s="16"/>
      <c r="F17" s="18"/>
      <c r="G17" s="18"/>
      <c r="H17" s="16"/>
      <c r="I17" s="16"/>
      <c r="J17" s="16"/>
      <c r="K17" s="18"/>
      <c r="L17" s="16"/>
      <c r="M17" s="18"/>
      <c r="N17" s="18"/>
      <c r="O17" s="18"/>
      <c r="P17" s="18"/>
      <c r="Q17" s="16"/>
      <c r="R17" s="16"/>
      <c r="S17" s="16"/>
      <c r="T17" s="18"/>
      <c r="U17" s="18"/>
      <c r="V17" s="18"/>
      <c r="W17" s="18"/>
      <c r="X17" s="18"/>
      <c r="Y17" s="18"/>
    </row>
    <row r="18" spans="1:25">
      <c r="A18" s="18"/>
      <c r="B18" s="18"/>
      <c r="C18" s="18"/>
      <c r="D18" s="18"/>
      <c r="E18" s="16"/>
      <c r="F18" s="18"/>
      <c r="G18" s="18"/>
      <c r="H18" s="16"/>
      <c r="I18" s="16"/>
      <c r="J18" s="16"/>
      <c r="K18" s="18"/>
      <c r="L18" s="16"/>
      <c r="M18" s="18"/>
      <c r="N18" s="18"/>
      <c r="O18" s="18"/>
      <c r="P18" s="18"/>
      <c r="Q18" s="16"/>
      <c r="R18" s="16"/>
      <c r="S18" s="16"/>
      <c r="T18" s="18"/>
      <c r="U18" s="18"/>
      <c r="V18" s="18"/>
      <c r="W18" s="18"/>
      <c r="X18" s="18"/>
      <c r="Y18" s="18"/>
    </row>
    <row r="19" spans="1:25">
      <c r="A19" s="18"/>
      <c r="B19" s="18"/>
      <c r="C19" s="18"/>
      <c r="D19" s="18"/>
      <c r="E19" s="16"/>
      <c r="F19" s="18"/>
      <c r="G19" s="18"/>
      <c r="H19" s="16"/>
      <c r="I19" s="16"/>
      <c r="J19" s="16"/>
      <c r="K19" s="18"/>
      <c r="L19" s="16"/>
      <c r="M19" s="18"/>
      <c r="N19" s="18"/>
      <c r="O19" s="18"/>
      <c r="P19" s="18"/>
      <c r="Q19" s="16"/>
      <c r="R19" s="16"/>
      <c r="S19" s="16"/>
      <c r="T19" s="18"/>
      <c r="U19" s="18"/>
      <c r="V19" s="18"/>
      <c r="W19" s="18"/>
      <c r="X19" s="18"/>
      <c r="Y19" s="18"/>
    </row>
    <row r="20" spans="1:25">
      <c r="E20" s="16"/>
      <c r="H20" s="16"/>
      <c r="I20" s="16"/>
      <c r="J20" s="16"/>
      <c r="K20" s="18"/>
      <c r="L20" s="16"/>
      <c r="N20" s="18"/>
      <c r="P20" s="18"/>
    </row>
    <row r="21" spans="1:25" customFormat="1">
      <c r="H21" s="37"/>
      <c r="L21" s="37"/>
    </row>
    <row r="22" spans="1:25">
      <c r="L22" s="4"/>
    </row>
    <row r="23" spans="1:25">
      <c r="H23" s="36"/>
    </row>
    <row r="24" spans="1:25">
      <c r="H24" s="36"/>
    </row>
    <row r="25" spans="1:25">
      <c r="H25" s="36"/>
    </row>
    <row r="26" spans="1:25">
      <c r="H26" s="36"/>
    </row>
    <row r="27" spans="1:25">
      <c r="H27" s="36"/>
    </row>
    <row r="28" spans="1:25">
      <c r="H28" s="36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/>
  <cols>
    <col min="1" max="2" width="10.625" style="2" bestFit="1" customWidth="1"/>
    <col min="3" max="3" width="8.875" style="2" bestFit="1" customWidth="1"/>
    <col min="4" max="4" width="10.75" style="2" bestFit="1" customWidth="1"/>
    <col min="5" max="5" width="10.375" style="4" bestFit="1" customWidth="1"/>
    <col min="6" max="6" width="10.625" style="2" bestFit="1" customWidth="1"/>
    <col min="7" max="7" width="9.375" style="2" bestFit="1" customWidth="1"/>
    <col min="8" max="8" width="9.125" style="2" bestFit="1" customWidth="1"/>
    <col min="9" max="9" width="11" style="2" bestFit="1" customWidth="1"/>
    <col min="10" max="10" width="10" style="2" bestFit="1" customWidth="1"/>
    <col min="11" max="11" width="9.25" style="2" bestFit="1" customWidth="1"/>
    <col min="12" max="12" width="9.625" style="2" bestFit="1" customWidth="1"/>
    <col min="13" max="13" width="8.875" style="2" bestFit="1" customWidth="1"/>
    <col min="14" max="14" width="8.125" style="2" bestFit="1" customWidth="1"/>
    <col min="15" max="15" width="11.625" style="2" customWidth="1"/>
    <col min="16" max="16" width="11" style="2" bestFit="1" customWidth="1"/>
    <col min="17" max="17" width="11.25" style="2" bestFit="1" customWidth="1"/>
    <col min="18" max="18" width="10.375" style="2" bestFit="1" customWidth="1"/>
    <col min="19" max="19" width="9.125" style="2" bestFit="1" customWidth="1"/>
    <col min="20" max="20" width="10.375" style="2" bestFit="1" customWidth="1"/>
    <col min="21" max="21" width="9" style="2" bestFit="1" customWidth="1"/>
    <col min="22" max="22" width="10.875" style="2" bestFit="1" customWidth="1"/>
    <col min="23" max="23" width="11.125" style="2" bestFit="1" customWidth="1"/>
    <col min="24" max="24" width="10" style="2" bestFit="1" customWidth="1"/>
    <col min="25" max="25" width="11.625" style="2" hidden="1" customWidth="1"/>
    <col min="26" max="16384" width="9" style="2" hidden="1"/>
  </cols>
  <sheetData>
    <row r="1" spans="1:24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10</v>
      </c>
      <c r="O1" s="158" t="s">
        <v>666</v>
      </c>
      <c r="P1" s="17" t="s">
        <v>606</v>
      </c>
      <c r="Q1" s="17" t="s">
        <v>396</v>
      </c>
      <c r="R1" s="150" t="s">
        <v>23</v>
      </c>
      <c r="S1" s="150" t="s">
        <v>773</v>
      </c>
      <c r="T1" s="150" t="s">
        <v>11</v>
      </c>
      <c r="U1" s="150" t="s">
        <v>15</v>
      </c>
      <c r="V1" s="150" t="s">
        <v>1153</v>
      </c>
      <c r="W1" s="159" t="s">
        <v>19</v>
      </c>
      <c r="X1" s="159" t="s">
        <v>30</v>
      </c>
    </row>
    <row r="2" spans="1:24">
      <c r="A2" s="155">
        <v>274</v>
      </c>
      <c r="B2" s="155">
        <v>274</v>
      </c>
      <c r="C2"/>
      <c r="D2" s="155"/>
      <c r="E2"/>
      <c r="F2"/>
      <c r="G2" s="155"/>
      <c r="H2"/>
      <c r="I2"/>
      <c r="J2"/>
      <c r="K2"/>
      <c r="L2"/>
      <c r="M2"/>
      <c r="N2"/>
      <c r="O2" s="156"/>
      <c r="P2"/>
      <c r="Q2"/>
      <c r="R2" s="151"/>
      <c r="S2" s="151"/>
      <c r="T2" s="151"/>
      <c r="U2" s="151"/>
      <c r="V2" s="151"/>
      <c r="W2" s="154"/>
      <c r="X2" s="154"/>
    </row>
    <row r="3" spans="1:24">
      <c r="A3" s="18"/>
      <c r="B3" s="18"/>
      <c r="C3" s="18"/>
      <c r="D3" s="18"/>
      <c r="E3" s="16"/>
      <c r="F3" s="18"/>
      <c r="G3" s="18"/>
      <c r="H3" s="16"/>
      <c r="I3" s="18"/>
      <c r="J3" s="16"/>
      <c r="K3" s="16"/>
      <c r="L3" s="16"/>
      <c r="M3" s="18"/>
      <c r="N3" s="18"/>
      <c r="O3" s="18"/>
      <c r="P3" s="18"/>
      <c r="Q3" s="16"/>
      <c r="R3" s="16"/>
      <c r="S3" s="18"/>
      <c r="T3" s="18"/>
      <c r="U3" s="18"/>
      <c r="V3" s="18"/>
      <c r="W3" s="18"/>
      <c r="X3" s="18"/>
    </row>
    <row r="4" spans="1:24">
      <c r="A4" s="18"/>
      <c r="B4" s="18"/>
      <c r="C4" s="18"/>
      <c r="D4" s="18"/>
      <c r="E4" s="16"/>
      <c r="F4" s="18"/>
      <c r="G4" s="18"/>
      <c r="H4" s="16"/>
      <c r="I4" s="18"/>
      <c r="J4" s="16"/>
      <c r="K4" s="16"/>
      <c r="L4" s="16"/>
      <c r="M4" s="18"/>
      <c r="N4" s="18"/>
      <c r="O4" s="18"/>
      <c r="P4" s="18"/>
      <c r="Q4" s="16"/>
      <c r="R4" s="16"/>
      <c r="S4" s="18"/>
      <c r="T4" s="18"/>
      <c r="U4" s="18"/>
      <c r="V4" s="18"/>
      <c r="W4" s="18"/>
      <c r="X4" s="18"/>
    </row>
    <row r="5" spans="1:24">
      <c r="A5" s="18"/>
      <c r="B5" s="18"/>
      <c r="C5" s="18"/>
      <c r="D5" s="18"/>
      <c r="E5" s="16"/>
      <c r="F5" s="18"/>
      <c r="G5" s="18"/>
      <c r="H5" s="16"/>
      <c r="I5" s="18"/>
      <c r="J5" s="16"/>
      <c r="K5" s="16"/>
      <c r="L5" s="16"/>
      <c r="M5" s="18"/>
      <c r="N5" s="18"/>
      <c r="O5" s="18"/>
      <c r="P5" s="18"/>
      <c r="Q5" s="16"/>
      <c r="R5" s="16"/>
      <c r="S5" s="18"/>
      <c r="T5" s="18"/>
      <c r="U5" s="18"/>
      <c r="V5" s="18"/>
      <c r="W5" s="18"/>
      <c r="X5" s="18"/>
    </row>
    <row r="6" spans="1:24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6"/>
      <c r="M6" s="18"/>
      <c r="N6" s="18"/>
      <c r="O6" s="18"/>
      <c r="P6" s="18"/>
      <c r="Q6" s="16"/>
      <c r="R6" s="16"/>
      <c r="S6" s="18"/>
      <c r="T6" s="18"/>
      <c r="U6" s="18"/>
      <c r="V6" s="18"/>
      <c r="W6" s="18"/>
      <c r="X6" s="18"/>
    </row>
    <row r="7" spans="1:24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6"/>
      <c r="M7" s="18"/>
      <c r="N7" s="18"/>
      <c r="O7" s="18"/>
      <c r="P7" s="18"/>
      <c r="Q7" s="16"/>
      <c r="R7" s="16"/>
      <c r="S7" s="18"/>
      <c r="T7" s="18"/>
      <c r="U7" s="18"/>
      <c r="V7" s="18"/>
      <c r="W7" s="18"/>
      <c r="X7" s="18"/>
    </row>
    <row r="8" spans="1:24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6"/>
      <c r="M8" s="18"/>
      <c r="N8" s="18"/>
      <c r="O8" s="18"/>
      <c r="P8" s="18"/>
      <c r="Q8" s="16"/>
      <c r="R8" s="16"/>
      <c r="S8" s="18"/>
      <c r="T8" s="18"/>
      <c r="U8" s="18"/>
      <c r="V8" s="18"/>
      <c r="W8" s="18"/>
      <c r="X8" s="18"/>
    </row>
    <row r="9" spans="1:24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6"/>
      <c r="M9" s="18"/>
      <c r="N9" s="18"/>
      <c r="O9" s="18"/>
      <c r="P9" s="18"/>
      <c r="Q9" s="16"/>
      <c r="R9" s="16"/>
      <c r="S9" s="18"/>
      <c r="T9" s="18"/>
      <c r="U9" s="18"/>
      <c r="V9" s="18"/>
      <c r="W9" s="18"/>
      <c r="X9" s="18"/>
    </row>
    <row r="10" spans="1:24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6"/>
      <c r="M10" s="18"/>
      <c r="N10" s="18"/>
      <c r="O10" s="18"/>
      <c r="P10" s="18"/>
      <c r="Q10" s="16"/>
      <c r="R10" s="16"/>
      <c r="S10" s="18"/>
      <c r="T10" s="18"/>
      <c r="U10" s="18"/>
      <c r="V10" s="18"/>
      <c r="W10" s="18"/>
      <c r="X10" s="18"/>
    </row>
    <row r="11" spans="1:24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6"/>
      <c r="M11" s="18"/>
      <c r="N11" s="18"/>
      <c r="O11" s="18"/>
      <c r="P11" s="18"/>
      <c r="Q11" s="16"/>
      <c r="R11" s="16"/>
      <c r="S11" s="18"/>
      <c r="T11" s="18"/>
      <c r="U11" s="18"/>
      <c r="V11" s="18"/>
      <c r="W11" s="18"/>
      <c r="X11" s="18"/>
    </row>
    <row r="12" spans="1:24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6"/>
      <c r="M12" s="18"/>
      <c r="N12" s="18"/>
      <c r="O12" s="18"/>
      <c r="P12" s="18"/>
      <c r="Q12" s="16"/>
      <c r="R12" s="16"/>
      <c r="S12" s="18"/>
      <c r="T12" s="18"/>
      <c r="U12" s="18"/>
      <c r="V12" s="18"/>
      <c r="W12" s="18"/>
      <c r="X12" s="18"/>
    </row>
    <row r="13" spans="1:24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6"/>
      <c r="M13" s="18"/>
      <c r="N13" s="18"/>
      <c r="O13" s="18"/>
      <c r="P13" s="18"/>
      <c r="Q13" s="16"/>
      <c r="R13" s="16"/>
      <c r="S13" s="18"/>
      <c r="T13" s="18"/>
      <c r="U13" s="18"/>
      <c r="V13" s="18"/>
      <c r="W13" s="18"/>
      <c r="X13" s="18"/>
    </row>
    <row r="14" spans="1:24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6"/>
      <c r="M14" s="18"/>
      <c r="N14" s="18"/>
      <c r="O14" s="18"/>
      <c r="P14" s="18"/>
      <c r="Q14" s="16"/>
      <c r="R14" s="16"/>
      <c r="S14" s="18"/>
      <c r="T14" s="18"/>
      <c r="U14" s="18"/>
      <c r="V14" s="18"/>
      <c r="W14" s="18"/>
      <c r="X14" s="18"/>
    </row>
    <row r="15" spans="1:24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6"/>
      <c r="M15" s="18"/>
      <c r="N15" s="18"/>
      <c r="O15" s="18"/>
      <c r="P15" s="18"/>
      <c r="Q15" s="16"/>
      <c r="R15" s="16"/>
      <c r="S15" s="18"/>
      <c r="T15" s="18"/>
      <c r="U15" s="18"/>
      <c r="V15" s="18"/>
      <c r="W15" s="18"/>
      <c r="X15" s="18"/>
    </row>
    <row r="16" spans="1:24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6"/>
      <c r="M16" s="18"/>
      <c r="N16" s="18"/>
      <c r="O16" s="18"/>
      <c r="P16" s="18"/>
      <c r="Q16" s="16"/>
      <c r="R16" s="16"/>
      <c r="S16" s="18"/>
      <c r="T16" s="18"/>
      <c r="U16" s="18"/>
      <c r="V16" s="18"/>
      <c r="W16" s="18"/>
      <c r="X16" s="18"/>
    </row>
    <row r="17" spans="1:24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6"/>
      <c r="M17" s="18"/>
      <c r="N17" s="18"/>
      <c r="O17" s="18"/>
      <c r="P17" s="18"/>
      <c r="Q17" s="16"/>
      <c r="R17" s="16"/>
      <c r="S17" s="18"/>
      <c r="T17" s="18"/>
      <c r="U17" s="18"/>
      <c r="V17" s="18"/>
      <c r="W17" s="18"/>
      <c r="X17" s="18"/>
    </row>
    <row r="18" spans="1:24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6"/>
      <c r="M18" s="18"/>
      <c r="N18" s="18"/>
      <c r="O18" s="18"/>
      <c r="P18" s="18"/>
      <c r="Q18" s="16"/>
      <c r="R18" s="16"/>
      <c r="S18" s="18"/>
      <c r="T18" s="18"/>
      <c r="U18" s="18"/>
      <c r="V18" s="18"/>
      <c r="W18" s="18"/>
      <c r="X18" s="18"/>
    </row>
    <row r="19" spans="1:24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6"/>
      <c r="M19" s="18"/>
      <c r="N19" s="18"/>
      <c r="O19" s="18"/>
      <c r="P19" s="18"/>
      <c r="Q19" s="16"/>
      <c r="R19" s="16"/>
      <c r="S19" s="18"/>
      <c r="T19" s="18"/>
      <c r="U19" s="18"/>
      <c r="V19" s="18"/>
      <c r="W19" s="18"/>
      <c r="X19" s="18"/>
    </row>
    <row r="20" spans="1:24">
      <c r="E20" s="16"/>
      <c r="H20" s="16"/>
      <c r="I20" s="18"/>
      <c r="J20" s="16"/>
      <c r="K20" s="16"/>
      <c r="L20" s="16"/>
      <c r="M20" s="18"/>
      <c r="P20" s="18"/>
    </row>
    <row r="21" spans="1:24" s="36" customFormat="1">
      <c r="E21" s="35"/>
      <c r="H21" s="37"/>
      <c r="L21" s="37"/>
    </row>
    <row r="22" spans="1:24">
      <c r="L22" s="4"/>
    </row>
    <row r="23" spans="1:24">
      <c r="H23" s="36"/>
    </row>
    <row r="24" spans="1:24">
      <c r="H24" s="36"/>
    </row>
    <row r="25" spans="1:24">
      <c r="H25" s="36"/>
    </row>
    <row r="26" spans="1:24">
      <c r="H26" s="36"/>
    </row>
    <row r="27" spans="1:24">
      <c r="H27" s="36"/>
    </row>
    <row r="30" spans="1:24">
      <c r="H3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/>
  </sheetViews>
  <sheetFormatPr defaultColWidth="0" defaultRowHeight="14.25"/>
  <cols>
    <col min="1" max="2" width="10.625" style="2" bestFit="1" customWidth="1"/>
    <col min="3" max="3" width="8.875" style="2" bestFit="1" customWidth="1"/>
    <col min="4" max="4" width="10.75" style="2" bestFit="1" customWidth="1"/>
    <col min="5" max="5" width="10.375" style="4" bestFit="1" customWidth="1"/>
    <col min="6" max="6" width="10.625" style="2" bestFit="1" customWidth="1"/>
    <col min="7" max="7" width="9.375" style="2" bestFit="1" customWidth="1"/>
    <col min="8" max="8" width="9.125" style="2" bestFit="1" customWidth="1"/>
    <col min="9" max="9" width="10" style="2" bestFit="1" customWidth="1"/>
    <col min="10" max="10" width="9.25" style="2" bestFit="1" customWidth="1"/>
    <col min="11" max="11" width="9.625" style="2" bestFit="1" customWidth="1"/>
    <col min="12" max="12" width="8.125" style="2" bestFit="1" customWidth="1"/>
    <col min="13" max="13" width="11" style="2" bestFit="1" customWidth="1"/>
    <col min="14" max="14" width="11.25" style="2" bestFit="1" customWidth="1"/>
    <col min="15" max="15" width="9.125" style="2" bestFit="1" customWidth="1"/>
    <col min="16" max="16" width="10.375" style="2" bestFit="1" customWidth="1"/>
    <col min="17" max="17" width="9" style="2" bestFit="1" customWidth="1"/>
    <col min="18" max="18" width="10.875" style="2" bestFit="1" customWidth="1"/>
    <col min="19" max="19" width="11.125" style="2" bestFit="1" customWidth="1"/>
    <col min="20" max="20" width="10" style="2" bestFit="1" customWidth="1"/>
    <col min="21" max="16384" width="9" style="2" hidden="1"/>
  </cols>
  <sheetData>
    <row r="1" spans="1:20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604</v>
      </c>
      <c r="J1" s="17" t="s">
        <v>605</v>
      </c>
      <c r="K1" s="17" t="s">
        <v>5</v>
      </c>
      <c r="L1" s="17" t="s">
        <v>10</v>
      </c>
      <c r="M1" s="17" t="s">
        <v>606</v>
      </c>
      <c r="N1" s="17" t="s">
        <v>396</v>
      </c>
      <c r="O1" s="150" t="s">
        <v>773</v>
      </c>
      <c r="P1" s="150" t="s">
        <v>11</v>
      </c>
      <c r="Q1" s="150" t="s">
        <v>15</v>
      </c>
      <c r="R1" s="150" t="s">
        <v>1153</v>
      </c>
      <c r="S1" s="159" t="s">
        <v>19</v>
      </c>
      <c r="T1" s="159" t="s">
        <v>30</v>
      </c>
    </row>
    <row r="2" spans="1:20">
      <c r="A2" s="155">
        <v>274</v>
      </c>
      <c r="B2" s="155">
        <v>274</v>
      </c>
      <c r="C2"/>
      <c r="D2" s="155"/>
      <c r="E2"/>
      <c r="F2"/>
      <c r="G2" s="155"/>
      <c r="H2"/>
      <c r="I2"/>
      <c r="J2"/>
      <c r="K2"/>
      <c r="L2"/>
      <c r="M2"/>
      <c r="N2"/>
      <c r="O2" s="151"/>
      <c r="P2" s="151"/>
      <c r="Q2" s="151"/>
      <c r="R2" s="151"/>
      <c r="S2" s="154"/>
      <c r="T2" s="154"/>
    </row>
    <row r="3" spans="1:20">
      <c r="A3" s="18"/>
      <c r="B3" s="18"/>
      <c r="E3" s="16"/>
      <c r="F3" s="18"/>
      <c r="G3" s="18"/>
      <c r="H3" s="16"/>
      <c r="I3" s="16"/>
      <c r="J3" s="16"/>
      <c r="K3" s="16"/>
      <c r="L3" s="19"/>
      <c r="M3" s="18"/>
      <c r="N3" s="16"/>
      <c r="O3" s="18"/>
      <c r="P3" s="18"/>
      <c r="Q3" s="18"/>
      <c r="R3" s="18"/>
      <c r="S3" s="18"/>
      <c r="T3" s="18"/>
    </row>
    <row r="4" spans="1:20">
      <c r="A4" s="18"/>
      <c r="B4" s="18"/>
      <c r="E4" s="16"/>
      <c r="F4" s="18"/>
      <c r="G4" s="18"/>
      <c r="H4" s="16"/>
      <c r="I4" s="16"/>
      <c r="J4" s="16"/>
      <c r="K4" s="16"/>
      <c r="L4" s="19"/>
      <c r="M4" s="18"/>
      <c r="N4" s="16"/>
      <c r="O4" s="18"/>
      <c r="P4" s="18"/>
      <c r="Q4" s="18"/>
      <c r="R4" s="18"/>
      <c r="S4" s="18"/>
      <c r="T4" s="18"/>
    </row>
    <row r="5" spans="1:20">
      <c r="A5" s="18"/>
      <c r="B5" s="18"/>
      <c r="E5" s="16"/>
      <c r="F5" s="18"/>
      <c r="G5" s="18"/>
      <c r="H5" s="16"/>
      <c r="I5" s="16"/>
      <c r="J5" s="16"/>
      <c r="K5" s="16"/>
      <c r="L5" s="19"/>
      <c r="M5" s="18"/>
      <c r="N5" s="16"/>
      <c r="O5" s="18"/>
      <c r="P5" s="18"/>
      <c r="Q5" s="18"/>
      <c r="R5" s="18"/>
      <c r="S5" s="18"/>
      <c r="T5" s="18"/>
    </row>
    <row r="6" spans="1:20">
      <c r="A6" s="18"/>
      <c r="B6" s="18"/>
      <c r="E6" s="16"/>
      <c r="F6" s="18"/>
      <c r="G6" s="18"/>
      <c r="H6" s="16"/>
      <c r="I6" s="16"/>
      <c r="J6" s="16"/>
      <c r="K6" s="16"/>
      <c r="L6" s="19"/>
      <c r="M6" s="18"/>
      <c r="N6" s="16"/>
      <c r="O6" s="18"/>
      <c r="P6" s="18"/>
      <c r="Q6" s="18"/>
      <c r="R6" s="18"/>
      <c r="S6" s="18"/>
      <c r="T6" s="18"/>
    </row>
    <row r="7" spans="1:20">
      <c r="A7" s="18"/>
      <c r="B7" s="18"/>
      <c r="E7" s="16"/>
      <c r="F7" s="18"/>
      <c r="G7" s="18"/>
      <c r="H7" s="16"/>
      <c r="I7" s="16"/>
      <c r="J7" s="16"/>
      <c r="K7" s="16"/>
      <c r="L7" s="19"/>
      <c r="M7" s="18"/>
      <c r="N7" s="16"/>
      <c r="O7" s="18"/>
      <c r="P7" s="18"/>
      <c r="Q7" s="18"/>
      <c r="R7" s="18"/>
      <c r="S7" s="18"/>
      <c r="T7" s="18"/>
    </row>
    <row r="8" spans="1:20">
      <c r="A8" s="18"/>
      <c r="B8" s="18"/>
      <c r="E8" s="16"/>
      <c r="F8" s="18"/>
      <c r="G8" s="18"/>
      <c r="H8" s="16"/>
      <c r="I8" s="16"/>
      <c r="J8" s="16"/>
      <c r="K8" s="16"/>
      <c r="L8" s="19"/>
      <c r="M8" s="18"/>
      <c r="N8" s="16"/>
      <c r="O8" s="18"/>
      <c r="P8" s="18"/>
      <c r="Q8" s="18"/>
      <c r="R8" s="18"/>
      <c r="S8" s="18"/>
      <c r="T8" s="18"/>
    </row>
    <row r="9" spans="1:20">
      <c r="A9" s="18"/>
      <c r="B9" s="18"/>
      <c r="E9" s="16"/>
      <c r="F9" s="18"/>
      <c r="G9" s="18"/>
      <c r="H9" s="16"/>
      <c r="I9" s="16"/>
      <c r="J9" s="16"/>
      <c r="K9" s="16"/>
      <c r="L9" s="19"/>
      <c r="M9" s="18"/>
      <c r="N9" s="16"/>
      <c r="O9" s="18"/>
      <c r="P9" s="18"/>
      <c r="Q9" s="18"/>
      <c r="R9" s="18"/>
      <c r="S9" s="18"/>
      <c r="T9" s="18"/>
    </row>
    <row r="10" spans="1:20">
      <c r="A10" s="18"/>
      <c r="B10" s="18"/>
      <c r="E10" s="16"/>
      <c r="F10" s="18"/>
      <c r="G10" s="18"/>
      <c r="H10" s="16"/>
      <c r="I10" s="16"/>
      <c r="J10" s="16"/>
      <c r="K10" s="16"/>
      <c r="L10" s="19"/>
      <c r="M10" s="18"/>
      <c r="N10" s="16"/>
      <c r="O10" s="18"/>
      <c r="P10" s="18"/>
      <c r="Q10" s="18"/>
      <c r="R10" s="18"/>
      <c r="S10" s="18"/>
      <c r="T10" s="18"/>
    </row>
    <row r="11" spans="1:20">
      <c r="A11" s="18"/>
      <c r="B11" s="18"/>
      <c r="E11" s="16"/>
      <c r="F11" s="18"/>
      <c r="G11" s="18"/>
      <c r="H11" s="16"/>
      <c r="I11" s="16"/>
      <c r="J11" s="16"/>
      <c r="K11" s="16"/>
      <c r="L11" s="19"/>
      <c r="M11" s="18"/>
      <c r="N11" s="16"/>
      <c r="O11" s="18"/>
      <c r="P11" s="18"/>
      <c r="Q11" s="18"/>
      <c r="R11" s="18"/>
      <c r="S11" s="18"/>
      <c r="T11" s="18"/>
    </row>
    <row r="12" spans="1:20">
      <c r="A12" s="18"/>
      <c r="B12" s="18"/>
      <c r="E12" s="16"/>
      <c r="F12" s="18"/>
      <c r="G12" s="18"/>
      <c r="H12" s="16"/>
      <c r="I12" s="16"/>
      <c r="J12" s="16"/>
      <c r="K12" s="16"/>
      <c r="L12" s="19"/>
      <c r="M12" s="18"/>
      <c r="N12" s="16"/>
      <c r="O12" s="18"/>
      <c r="P12" s="18"/>
      <c r="Q12" s="18"/>
      <c r="R12" s="18"/>
      <c r="S12" s="18"/>
      <c r="T12" s="18"/>
    </row>
    <row r="13" spans="1:20">
      <c r="A13" s="18"/>
      <c r="B13" s="18"/>
      <c r="E13" s="16"/>
      <c r="F13" s="18"/>
      <c r="G13" s="18"/>
      <c r="H13" s="16"/>
      <c r="I13" s="16"/>
      <c r="J13" s="16"/>
      <c r="K13" s="16"/>
      <c r="L13" s="19"/>
      <c r="M13" s="18"/>
      <c r="N13" s="16"/>
      <c r="O13" s="18"/>
      <c r="P13" s="18"/>
      <c r="Q13" s="18"/>
      <c r="R13" s="18"/>
      <c r="S13" s="18"/>
      <c r="T13" s="18"/>
    </row>
    <row r="14" spans="1:20">
      <c r="A14" s="18"/>
      <c r="B14" s="18"/>
      <c r="E14" s="16"/>
      <c r="F14" s="18"/>
      <c r="G14" s="18"/>
      <c r="H14" s="16"/>
      <c r="I14" s="16"/>
      <c r="J14" s="16"/>
      <c r="K14" s="16"/>
      <c r="L14" s="19"/>
      <c r="M14" s="18"/>
      <c r="N14" s="16"/>
      <c r="O14" s="18"/>
      <c r="P14" s="18"/>
      <c r="Q14" s="18"/>
      <c r="R14" s="18"/>
      <c r="S14" s="18"/>
      <c r="T14" s="18"/>
    </row>
    <row r="15" spans="1:20">
      <c r="A15" s="18"/>
      <c r="B15" s="18"/>
      <c r="E15" s="16"/>
      <c r="F15" s="18"/>
      <c r="G15" s="18"/>
      <c r="H15" s="16"/>
      <c r="I15" s="16"/>
      <c r="J15" s="16"/>
      <c r="K15" s="16"/>
      <c r="L15" s="19"/>
      <c r="M15" s="18"/>
      <c r="N15" s="16"/>
      <c r="O15" s="18"/>
      <c r="P15" s="18"/>
      <c r="Q15" s="18"/>
      <c r="R15" s="18"/>
      <c r="S15" s="18"/>
      <c r="T15" s="18"/>
    </row>
    <row r="16" spans="1:20">
      <c r="A16" s="18"/>
      <c r="B16" s="18"/>
      <c r="E16" s="16"/>
      <c r="F16" s="18"/>
      <c r="G16" s="18"/>
      <c r="H16" s="16"/>
      <c r="I16" s="16"/>
      <c r="J16" s="16"/>
      <c r="K16" s="16"/>
      <c r="L16" s="19"/>
      <c r="M16" s="18"/>
      <c r="N16" s="16"/>
      <c r="O16" s="18"/>
      <c r="P16" s="18"/>
      <c r="Q16" s="18"/>
      <c r="R16" s="18"/>
      <c r="S16" s="18"/>
      <c r="T16" s="18"/>
    </row>
    <row r="17" spans="1:20">
      <c r="A17" s="18"/>
      <c r="B17" s="18"/>
      <c r="E17" s="16"/>
      <c r="F17" s="18"/>
      <c r="G17" s="18"/>
      <c r="H17" s="16"/>
      <c r="I17" s="16"/>
      <c r="J17" s="16"/>
      <c r="K17" s="16"/>
      <c r="L17" s="19"/>
      <c r="M17" s="18"/>
      <c r="N17" s="16"/>
      <c r="O17" s="18"/>
      <c r="P17" s="18"/>
      <c r="Q17" s="18"/>
      <c r="R17" s="18"/>
      <c r="S17" s="18"/>
      <c r="T17" s="18"/>
    </row>
    <row r="18" spans="1:20">
      <c r="A18" s="18"/>
      <c r="B18" s="18"/>
      <c r="E18" s="16"/>
      <c r="F18" s="18"/>
      <c r="G18" s="18"/>
      <c r="H18" s="16"/>
      <c r="I18" s="16"/>
      <c r="J18" s="16"/>
      <c r="K18" s="16"/>
      <c r="L18" s="19"/>
      <c r="M18" s="18"/>
      <c r="N18" s="16"/>
      <c r="O18" s="18"/>
      <c r="P18" s="18"/>
      <c r="Q18" s="18"/>
      <c r="R18" s="18"/>
      <c r="S18" s="18"/>
      <c r="T18" s="18"/>
    </row>
    <row r="19" spans="1:20">
      <c r="A19" s="18"/>
      <c r="B19" s="18"/>
      <c r="E19" s="16"/>
      <c r="F19" s="18"/>
      <c r="G19" s="18"/>
      <c r="H19" s="16"/>
      <c r="I19" s="16"/>
      <c r="J19" s="16"/>
      <c r="K19" s="16"/>
      <c r="L19" s="19"/>
      <c r="M19" s="18"/>
      <c r="N19" s="16"/>
      <c r="O19" s="18"/>
      <c r="P19" s="18"/>
      <c r="Q19" s="18"/>
      <c r="R19" s="18"/>
      <c r="S19" s="18"/>
      <c r="T19" s="18"/>
    </row>
    <row r="20" spans="1:20">
      <c r="E20" s="16"/>
      <c r="H20" s="16"/>
      <c r="J20" s="16"/>
      <c r="K20" s="16"/>
      <c r="L20" s="19"/>
      <c r="M20" s="18"/>
    </row>
    <row r="21" spans="1:20" s="36" customFormat="1">
      <c r="E21" s="35"/>
      <c r="H21" s="37"/>
      <c r="K21" s="37"/>
    </row>
    <row r="22" spans="1:20">
      <c r="K22" s="4"/>
    </row>
    <row r="23" spans="1:20">
      <c r="H23" s="36"/>
    </row>
    <row r="24" spans="1:20">
      <c r="H24" s="36"/>
    </row>
    <row r="25" spans="1:20">
      <c r="H25" s="36"/>
    </row>
    <row r="26" spans="1:20">
      <c r="H26" s="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/>
  </sheetViews>
  <sheetFormatPr defaultColWidth="0" defaultRowHeight="14.25"/>
  <cols>
    <col min="1" max="2" width="10.625" style="2" bestFit="1" customWidth="1"/>
    <col min="3" max="3" width="8.875" style="2" bestFit="1" customWidth="1"/>
    <col min="4" max="4" width="10.75" style="2" bestFit="1" customWidth="1"/>
    <col min="5" max="5" width="10.375" style="4" bestFit="1" customWidth="1"/>
    <col min="6" max="6" width="10.625" style="2" bestFit="1" customWidth="1"/>
    <col min="7" max="7" width="9.375" style="2" bestFit="1" customWidth="1"/>
    <col min="8" max="8" width="9.125" style="2" bestFit="1" customWidth="1"/>
    <col min="9" max="9" width="11" style="2" bestFit="1" customWidth="1"/>
    <col min="10" max="10" width="10" style="2" bestFit="1" customWidth="1"/>
    <col min="11" max="11" width="9.25" style="2" bestFit="1" customWidth="1"/>
    <col min="12" max="12" width="7.875" style="2" bestFit="1" customWidth="1"/>
    <col min="13" max="13" width="9.625" style="2" bestFit="1" customWidth="1"/>
    <col min="14" max="14" width="8.125" style="2" bestFit="1" customWidth="1"/>
    <col min="15" max="15" width="11" style="2" bestFit="1" customWidth="1"/>
    <col min="16" max="16" width="5.875" style="2" bestFit="1" customWidth="1"/>
    <col min="17" max="17" width="10.625" style="2" bestFit="1" customWidth="1"/>
    <col min="18" max="18" width="7.125" style="2" bestFit="1" customWidth="1"/>
    <col min="19" max="19" width="5" style="2" bestFit="1" customWidth="1"/>
    <col min="20" max="20" width="8.125" style="2" bestFit="1" customWidth="1"/>
    <col min="21" max="21" width="11.625" style="2" customWidth="1"/>
    <col min="22" max="22" width="11.25" style="2" bestFit="1" customWidth="1"/>
    <col min="23" max="23" width="9.125" style="2" bestFit="1" customWidth="1"/>
    <col min="24" max="24" width="10.375" style="2" bestFit="1" customWidth="1"/>
    <col min="25" max="25" width="9" style="2" bestFit="1" customWidth="1"/>
    <col min="26" max="26" width="10.875" style="2" bestFit="1" customWidth="1"/>
    <col min="27" max="27" width="11.125" style="2" bestFit="1" customWidth="1"/>
    <col min="28" max="28" width="10" style="2" bestFit="1" customWidth="1"/>
    <col min="29" max="16384" width="9" style="2" hidden="1"/>
  </cols>
  <sheetData>
    <row r="1" spans="1:28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10</v>
      </c>
      <c r="O1" s="17" t="s">
        <v>606</v>
      </c>
      <c r="P1" s="150" t="s">
        <v>13</v>
      </c>
      <c r="Q1" s="159" t="s">
        <v>14</v>
      </c>
      <c r="R1" s="159" t="s">
        <v>621</v>
      </c>
      <c r="S1" s="17" t="s">
        <v>6</v>
      </c>
      <c r="T1" s="17" t="s">
        <v>8</v>
      </c>
      <c r="U1" s="17" t="s">
        <v>1146</v>
      </c>
      <c r="V1" s="17" t="s">
        <v>396</v>
      </c>
      <c r="W1" s="150" t="s">
        <v>773</v>
      </c>
      <c r="X1" s="150" t="s">
        <v>11</v>
      </c>
      <c r="Y1" s="150" t="s">
        <v>15</v>
      </c>
      <c r="Z1" s="150" t="s">
        <v>1153</v>
      </c>
      <c r="AA1" s="159" t="s">
        <v>19</v>
      </c>
      <c r="AB1" s="159" t="s">
        <v>30</v>
      </c>
    </row>
    <row r="2" spans="1:28">
      <c r="A2" s="155">
        <v>274</v>
      </c>
      <c r="B2" s="155">
        <v>274</v>
      </c>
      <c r="C2"/>
      <c r="D2" s="155"/>
      <c r="E2"/>
      <c r="F2"/>
      <c r="G2" s="155"/>
      <c r="H2"/>
      <c r="I2"/>
      <c r="J2"/>
      <c r="K2"/>
      <c r="L2"/>
      <c r="M2"/>
      <c r="N2"/>
      <c r="O2"/>
      <c r="P2" s="151"/>
      <c r="Q2" s="154"/>
      <c r="R2" s="154"/>
      <c r="S2"/>
      <c r="T2"/>
      <c r="U2"/>
      <c r="V2"/>
      <c r="W2" s="151"/>
      <c r="X2" s="151"/>
      <c r="Y2" s="151"/>
      <c r="Z2" s="151"/>
      <c r="AA2" s="154"/>
      <c r="AB2" s="154"/>
    </row>
    <row r="3" spans="1:28">
      <c r="A3" s="18"/>
      <c r="B3" s="18"/>
      <c r="C3" s="18"/>
      <c r="D3" s="18"/>
      <c r="E3" s="16"/>
      <c r="F3" s="18"/>
      <c r="G3" s="18"/>
      <c r="H3" s="16"/>
      <c r="I3" s="18"/>
      <c r="J3" s="16"/>
      <c r="K3" s="16"/>
      <c r="L3" s="18"/>
      <c r="M3" s="16"/>
      <c r="N3" s="19"/>
      <c r="O3" s="18"/>
      <c r="P3" s="18"/>
      <c r="Q3" s="18"/>
      <c r="R3" s="18"/>
      <c r="S3" s="18"/>
      <c r="T3" s="18"/>
      <c r="U3" s="18"/>
      <c r="V3" s="16"/>
      <c r="W3" s="18"/>
      <c r="X3" s="18"/>
      <c r="Y3" s="18"/>
      <c r="Z3" s="18"/>
      <c r="AA3" s="18"/>
      <c r="AB3" s="18"/>
    </row>
    <row r="4" spans="1:28">
      <c r="A4" s="18"/>
      <c r="B4" s="18"/>
      <c r="C4" s="18"/>
      <c r="D4" s="18"/>
      <c r="E4" s="16"/>
      <c r="F4" s="18"/>
      <c r="G4" s="18"/>
      <c r="H4" s="16"/>
      <c r="I4" s="18"/>
      <c r="J4" s="16"/>
      <c r="K4" s="16"/>
      <c r="L4" s="18"/>
      <c r="M4" s="16"/>
      <c r="N4" s="19"/>
      <c r="O4" s="18"/>
      <c r="P4" s="18"/>
      <c r="Q4" s="18"/>
      <c r="R4" s="18"/>
      <c r="S4" s="18"/>
      <c r="T4" s="18"/>
      <c r="U4" s="18"/>
      <c r="V4" s="16"/>
      <c r="W4" s="18"/>
      <c r="X4" s="18"/>
      <c r="Y4" s="18"/>
      <c r="Z4" s="18"/>
      <c r="AA4" s="18"/>
      <c r="AB4" s="18"/>
    </row>
    <row r="5" spans="1:28">
      <c r="A5" s="18"/>
      <c r="B5" s="18"/>
      <c r="C5" s="18"/>
      <c r="D5" s="18"/>
      <c r="E5" s="16"/>
      <c r="F5" s="18"/>
      <c r="G5" s="18"/>
      <c r="H5" s="16"/>
      <c r="I5" s="18"/>
      <c r="J5" s="16"/>
      <c r="K5" s="16"/>
      <c r="L5" s="18"/>
      <c r="M5" s="16"/>
      <c r="N5" s="19"/>
      <c r="O5" s="18"/>
      <c r="P5" s="18"/>
      <c r="Q5" s="18"/>
      <c r="R5" s="18"/>
      <c r="S5" s="18"/>
      <c r="T5" s="18"/>
      <c r="U5" s="18"/>
      <c r="V5" s="16"/>
      <c r="W5" s="18"/>
      <c r="X5" s="18"/>
      <c r="Y5" s="18"/>
      <c r="Z5" s="18"/>
      <c r="AA5" s="18"/>
      <c r="AB5" s="18"/>
    </row>
    <row r="6" spans="1:28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8"/>
      <c r="M6" s="16"/>
      <c r="N6" s="19"/>
      <c r="O6" s="18"/>
      <c r="P6" s="18"/>
      <c r="Q6" s="18"/>
      <c r="R6" s="18"/>
      <c r="S6" s="18"/>
      <c r="T6" s="18"/>
      <c r="U6" s="18"/>
      <c r="V6" s="16"/>
      <c r="W6" s="18"/>
      <c r="X6" s="18"/>
      <c r="Y6" s="18"/>
      <c r="Z6" s="18"/>
      <c r="AA6" s="18"/>
      <c r="AB6" s="18"/>
    </row>
    <row r="7" spans="1:28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8"/>
      <c r="M7" s="16"/>
      <c r="N7" s="19"/>
      <c r="O7" s="18"/>
      <c r="P7" s="18"/>
      <c r="Q7" s="18"/>
      <c r="R7" s="18"/>
      <c r="S7" s="18"/>
      <c r="T7" s="18"/>
      <c r="U7" s="18"/>
      <c r="V7" s="16"/>
      <c r="W7" s="18"/>
      <c r="X7" s="18"/>
      <c r="Y7" s="18"/>
      <c r="Z7" s="18"/>
      <c r="AA7" s="18"/>
      <c r="AB7" s="18"/>
    </row>
    <row r="8" spans="1:28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8"/>
      <c r="M8" s="16"/>
      <c r="N8" s="19"/>
      <c r="O8" s="18"/>
      <c r="P8" s="18"/>
      <c r="Q8" s="18"/>
      <c r="R8" s="18"/>
      <c r="S8" s="18"/>
      <c r="T8" s="18"/>
      <c r="U8" s="18"/>
      <c r="V8" s="16"/>
      <c r="W8" s="18"/>
      <c r="X8" s="18"/>
      <c r="Y8" s="18"/>
      <c r="Z8" s="18"/>
      <c r="AA8" s="18"/>
      <c r="AB8" s="18"/>
    </row>
    <row r="9" spans="1:28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8"/>
      <c r="M9" s="16"/>
      <c r="N9" s="19"/>
      <c r="O9" s="18"/>
      <c r="P9" s="18"/>
      <c r="Q9" s="18"/>
      <c r="R9" s="18"/>
      <c r="S9" s="18"/>
      <c r="T9" s="18"/>
      <c r="U9" s="18"/>
      <c r="V9" s="16"/>
      <c r="W9" s="18"/>
      <c r="X9" s="18"/>
      <c r="Y9" s="18"/>
      <c r="Z9" s="18"/>
      <c r="AA9" s="18"/>
      <c r="AB9" s="18"/>
    </row>
    <row r="10" spans="1:28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6"/>
      <c r="N10" s="19"/>
      <c r="O10" s="18"/>
      <c r="P10" s="18"/>
      <c r="Q10" s="18"/>
      <c r="R10" s="18"/>
      <c r="S10" s="18"/>
      <c r="T10" s="18"/>
      <c r="U10" s="18"/>
      <c r="V10" s="16"/>
      <c r="W10" s="18"/>
      <c r="X10" s="18"/>
      <c r="Y10" s="18"/>
      <c r="Z10" s="18"/>
      <c r="AA10" s="18"/>
      <c r="AB10" s="18"/>
    </row>
    <row r="11" spans="1:28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6"/>
      <c r="N11" s="19"/>
      <c r="O11" s="18"/>
      <c r="P11" s="18"/>
      <c r="Q11" s="18"/>
      <c r="R11" s="18"/>
      <c r="S11" s="18"/>
      <c r="T11" s="18"/>
      <c r="U11" s="18"/>
      <c r="V11" s="16"/>
      <c r="W11" s="18"/>
      <c r="X11" s="18"/>
      <c r="Y11" s="18"/>
      <c r="Z11" s="18"/>
      <c r="AA11" s="18"/>
      <c r="AB11" s="18"/>
    </row>
    <row r="12" spans="1:28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6"/>
      <c r="N12" s="19"/>
      <c r="O12" s="18"/>
      <c r="P12" s="18"/>
      <c r="Q12" s="18"/>
      <c r="R12" s="18"/>
      <c r="S12" s="18"/>
      <c r="T12" s="18"/>
      <c r="U12" s="18"/>
      <c r="V12" s="16"/>
      <c r="W12" s="18"/>
      <c r="X12" s="18"/>
      <c r="Y12" s="18"/>
      <c r="Z12" s="18"/>
      <c r="AA12" s="18"/>
      <c r="AB12" s="18"/>
    </row>
    <row r="13" spans="1:28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6"/>
      <c r="N13" s="19"/>
      <c r="O13" s="18"/>
      <c r="P13" s="18"/>
      <c r="Q13" s="18"/>
      <c r="R13" s="18"/>
      <c r="S13" s="18"/>
      <c r="T13" s="18"/>
      <c r="U13" s="18"/>
      <c r="V13" s="16"/>
      <c r="W13" s="18"/>
      <c r="X13" s="18"/>
      <c r="Y13" s="18"/>
      <c r="Z13" s="18"/>
      <c r="AA13" s="18"/>
      <c r="AB13" s="18"/>
    </row>
    <row r="14" spans="1:28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6"/>
      <c r="N14" s="19"/>
      <c r="O14" s="18"/>
      <c r="P14" s="18"/>
      <c r="Q14" s="18"/>
      <c r="R14" s="18"/>
      <c r="S14" s="18"/>
      <c r="T14" s="18"/>
      <c r="U14" s="18"/>
      <c r="V14" s="16"/>
      <c r="W14" s="18"/>
      <c r="X14" s="18"/>
      <c r="Y14" s="18"/>
      <c r="Z14" s="18"/>
      <c r="AA14" s="18"/>
      <c r="AB14" s="18"/>
    </row>
    <row r="15" spans="1:28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6"/>
      <c r="N15" s="19"/>
      <c r="O15" s="18"/>
      <c r="P15" s="18"/>
      <c r="Q15" s="18"/>
      <c r="R15" s="18"/>
      <c r="S15" s="18"/>
      <c r="T15" s="18"/>
      <c r="U15" s="18"/>
      <c r="V15" s="16"/>
      <c r="W15" s="18"/>
      <c r="X15" s="18"/>
      <c r="Y15" s="18"/>
      <c r="Z15" s="18"/>
      <c r="AA15" s="18"/>
      <c r="AB15" s="18"/>
    </row>
    <row r="16" spans="1:28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8"/>
      <c r="M16" s="16"/>
      <c r="N16" s="19"/>
      <c r="O16" s="18"/>
      <c r="P16" s="18"/>
      <c r="Q16" s="18"/>
      <c r="R16" s="18"/>
      <c r="S16" s="18"/>
      <c r="T16" s="18"/>
      <c r="U16" s="18"/>
      <c r="V16" s="16"/>
      <c r="W16" s="18"/>
      <c r="X16" s="18"/>
      <c r="Y16" s="18"/>
      <c r="Z16" s="18"/>
      <c r="AA16" s="18"/>
      <c r="AB16" s="18"/>
    </row>
    <row r="17" spans="1:28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8"/>
      <c r="M17" s="16"/>
      <c r="N17" s="19"/>
      <c r="O17" s="18"/>
      <c r="P17" s="18"/>
      <c r="Q17" s="18"/>
      <c r="R17" s="18"/>
      <c r="S17" s="18"/>
      <c r="T17" s="18"/>
      <c r="U17" s="18"/>
      <c r="V17" s="16"/>
      <c r="W17" s="18"/>
      <c r="X17" s="18"/>
      <c r="Y17" s="18"/>
      <c r="Z17" s="18"/>
      <c r="AA17" s="18"/>
      <c r="AB17" s="18"/>
    </row>
    <row r="18" spans="1:28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8"/>
      <c r="M18" s="16"/>
      <c r="N18" s="19"/>
      <c r="O18" s="18"/>
      <c r="P18" s="18"/>
      <c r="Q18" s="18"/>
      <c r="R18" s="18"/>
      <c r="S18" s="18"/>
      <c r="T18" s="18"/>
      <c r="U18" s="18"/>
      <c r="V18" s="16"/>
      <c r="W18" s="18"/>
      <c r="X18" s="18"/>
      <c r="Y18" s="18"/>
      <c r="Z18" s="18"/>
      <c r="AA18" s="18"/>
      <c r="AB18" s="18"/>
    </row>
    <row r="19" spans="1:28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8"/>
      <c r="M19" s="16"/>
      <c r="N19" s="19"/>
      <c r="O19" s="18"/>
      <c r="P19" s="18"/>
      <c r="Q19" s="18"/>
      <c r="R19" s="18"/>
      <c r="S19" s="18"/>
      <c r="T19" s="18"/>
      <c r="U19" s="18"/>
      <c r="V19" s="16"/>
      <c r="W19" s="18"/>
      <c r="X19" s="18"/>
      <c r="Y19" s="18"/>
      <c r="Z19" s="18"/>
      <c r="AA19" s="18"/>
      <c r="AB19" s="18"/>
    </row>
    <row r="20" spans="1:28">
      <c r="E20" s="16"/>
      <c r="H20" s="16"/>
      <c r="I20" s="18"/>
      <c r="J20" s="16"/>
      <c r="K20" s="16"/>
      <c r="L20" s="18"/>
      <c r="M20" s="16"/>
      <c r="N20" s="19"/>
      <c r="O20" s="18"/>
      <c r="T20" s="18"/>
      <c r="U20" s="18"/>
    </row>
    <row r="21" spans="1:28" s="36" customFormat="1">
      <c r="E21" s="35"/>
      <c r="H21" s="37"/>
      <c r="M21" s="37"/>
      <c r="N21" s="19"/>
    </row>
    <row r="22" spans="1:28">
      <c r="M22" s="4"/>
    </row>
    <row r="23" spans="1:28">
      <c r="H23" s="36"/>
    </row>
    <row r="24" spans="1:28">
      <c r="H24" s="36"/>
    </row>
    <row r="25" spans="1:28">
      <c r="H25" s="36"/>
    </row>
    <row r="26" spans="1:28">
      <c r="H26" s="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/>
  <cols>
    <col min="1" max="2" width="10.625" bestFit="1" customWidth="1"/>
    <col min="3" max="3" width="8.875" bestFit="1" customWidth="1"/>
    <col min="4" max="4" width="10.625" bestFit="1" customWidth="1"/>
    <col min="5" max="5" width="9.375" bestFit="1" customWidth="1"/>
    <col min="6" max="6" width="9.125" bestFit="1" customWidth="1"/>
    <col min="7" max="7" width="11" bestFit="1" customWidth="1"/>
    <col min="8" max="8" width="10" bestFit="1" customWidth="1"/>
    <col min="9" max="9" width="9.25" style="2" bestFit="1" customWidth="1"/>
    <col min="10" max="10" width="11.625" customWidth="1"/>
    <col min="11" max="11" width="5" bestFit="1" customWidth="1"/>
    <col min="12" max="12" width="8.125" bestFit="1" customWidth="1"/>
    <col min="13" max="13" width="11.25" bestFit="1" customWidth="1"/>
    <col min="14" max="14" width="5.875" bestFit="1" customWidth="1"/>
    <col min="15" max="15" width="9.125" bestFit="1" customWidth="1"/>
    <col min="16" max="16" width="10.625" bestFit="1" customWidth="1"/>
    <col min="17" max="17" width="7.125" bestFit="1" customWidth="1"/>
    <col min="18" max="18" width="9.125" bestFit="1" customWidth="1"/>
    <col min="19" max="19" width="10.375" bestFit="1" customWidth="1"/>
    <col min="20" max="20" width="9" bestFit="1" customWidth="1"/>
    <col min="21" max="22" width="10.875" bestFit="1" customWidth="1"/>
    <col min="23" max="23" width="10.125" bestFit="1" customWidth="1"/>
    <col min="24" max="24" width="11.125" style="2" bestFit="1" customWidth="1"/>
    <col min="25" max="25" width="10" bestFit="1" customWidth="1"/>
    <col min="26" max="16384" width="9" hidden="1"/>
  </cols>
  <sheetData>
    <row r="1" spans="1:25" ht="51">
      <c r="A1" s="17" t="s">
        <v>651</v>
      </c>
      <c r="B1" s="17" t="s">
        <v>0</v>
      </c>
      <c r="C1" s="17" t="s">
        <v>724</v>
      </c>
      <c r="D1" s="17" t="s">
        <v>1145</v>
      </c>
      <c r="E1" s="157" t="s">
        <v>29</v>
      </c>
      <c r="F1" s="17" t="s">
        <v>28</v>
      </c>
      <c r="G1" s="17" t="s">
        <v>1</v>
      </c>
      <c r="H1" s="17" t="s">
        <v>604</v>
      </c>
      <c r="I1" s="17" t="s">
        <v>605</v>
      </c>
      <c r="J1" s="158" t="s">
        <v>12</v>
      </c>
      <c r="K1" s="17" t="s">
        <v>6</v>
      </c>
      <c r="L1" s="17" t="s">
        <v>8</v>
      </c>
      <c r="M1" s="17" t="s">
        <v>396</v>
      </c>
      <c r="N1" s="150" t="s">
        <v>13</v>
      </c>
      <c r="O1" s="158" t="s">
        <v>421</v>
      </c>
      <c r="P1" s="159" t="s">
        <v>14</v>
      </c>
      <c r="Q1" s="159" t="s">
        <v>621</v>
      </c>
      <c r="R1" s="150" t="s">
        <v>773</v>
      </c>
      <c r="S1" s="150" t="s">
        <v>11</v>
      </c>
      <c r="T1" s="150" t="s">
        <v>15</v>
      </c>
      <c r="U1" s="150" t="s">
        <v>1153</v>
      </c>
      <c r="V1" s="150" t="s">
        <v>1154</v>
      </c>
      <c r="W1" s="17" t="s">
        <v>26</v>
      </c>
      <c r="X1" s="159" t="s">
        <v>19</v>
      </c>
      <c r="Y1" s="159" t="s">
        <v>30</v>
      </c>
    </row>
    <row r="2" spans="1:25">
      <c r="A2" s="155">
        <v>274</v>
      </c>
      <c r="B2" s="155">
        <v>274</v>
      </c>
      <c r="E2" s="155"/>
      <c r="I2"/>
      <c r="J2" s="156"/>
      <c r="N2" s="151"/>
      <c r="O2" s="156"/>
      <c r="P2" s="154"/>
      <c r="Q2" s="154"/>
      <c r="R2" s="151"/>
      <c r="S2" s="151"/>
      <c r="T2" s="151"/>
      <c r="U2" s="151"/>
      <c r="V2" s="151"/>
      <c r="X2" s="154"/>
      <c r="Y2" s="154"/>
    </row>
    <row r="3" spans="1:25">
      <c r="A3" s="18"/>
      <c r="B3" s="18"/>
      <c r="C3" s="18"/>
      <c r="D3" s="18"/>
      <c r="E3" s="18"/>
      <c r="F3" s="18"/>
      <c r="G3" s="18"/>
      <c r="H3" s="25"/>
      <c r="I3" s="16"/>
      <c r="J3" s="18"/>
      <c r="K3" s="18"/>
      <c r="L3" s="19"/>
      <c r="M3" s="16"/>
      <c r="N3" s="18"/>
      <c r="O3" s="18"/>
      <c r="P3" s="18"/>
      <c r="Q3" s="18"/>
      <c r="R3" s="18"/>
      <c r="S3" s="18"/>
      <c r="T3" s="18"/>
      <c r="U3" s="18"/>
      <c r="V3" s="18"/>
      <c r="W3" s="16"/>
      <c r="X3" s="18"/>
      <c r="Y3" s="18"/>
    </row>
    <row r="4" spans="1:25">
      <c r="A4" s="18"/>
      <c r="B4" s="18"/>
      <c r="C4" s="18"/>
      <c r="D4" s="18"/>
      <c r="E4" s="18"/>
      <c r="F4" s="18"/>
      <c r="G4" s="18"/>
      <c r="H4" s="25"/>
      <c r="I4" s="16"/>
      <c r="J4" s="18"/>
      <c r="K4" s="18"/>
      <c r="L4" s="19"/>
      <c r="M4" s="16"/>
      <c r="N4" s="18"/>
      <c r="O4" s="18"/>
      <c r="P4" s="18"/>
      <c r="Q4" s="18"/>
      <c r="R4" s="18"/>
      <c r="S4" s="18"/>
      <c r="T4" s="18"/>
      <c r="U4" s="18"/>
      <c r="V4" s="18"/>
      <c r="W4" s="16"/>
      <c r="X4" s="18"/>
      <c r="Y4" s="18"/>
    </row>
    <row r="5" spans="1:25">
      <c r="A5" s="18"/>
      <c r="B5" s="18"/>
      <c r="C5" s="18"/>
      <c r="D5" s="18"/>
      <c r="E5" s="18"/>
      <c r="F5" s="18"/>
      <c r="G5" s="18"/>
      <c r="H5" s="25"/>
      <c r="I5" s="16"/>
      <c r="J5" s="18"/>
      <c r="K5" s="16"/>
      <c r="L5" s="19"/>
      <c r="N5" s="18"/>
      <c r="O5" s="18"/>
      <c r="P5" s="16"/>
      <c r="Q5" s="16"/>
      <c r="R5" s="18"/>
      <c r="T5" s="18"/>
      <c r="U5" s="18"/>
      <c r="V5" s="18"/>
      <c r="W5" s="18"/>
      <c r="X5" s="18"/>
      <c r="Y5" s="18"/>
    </row>
    <row r="6" spans="1:25">
      <c r="A6" s="18"/>
      <c r="B6" s="18"/>
      <c r="C6" s="18"/>
      <c r="D6" s="18"/>
      <c r="E6" s="18"/>
      <c r="F6" s="18"/>
      <c r="G6" s="18"/>
      <c r="H6" s="25"/>
      <c r="I6" s="16"/>
      <c r="J6" s="18"/>
      <c r="K6" s="18"/>
      <c r="L6" s="19"/>
      <c r="M6" s="16"/>
      <c r="N6" s="18"/>
      <c r="O6" s="18"/>
      <c r="P6" s="18"/>
      <c r="Q6" s="18"/>
      <c r="R6" s="18"/>
      <c r="S6" s="18"/>
      <c r="T6" s="18"/>
      <c r="U6" s="18"/>
      <c r="V6" s="18"/>
      <c r="W6" s="16"/>
      <c r="X6" s="18"/>
      <c r="Y6" s="18"/>
    </row>
    <row r="7" spans="1:25">
      <c r="A7" s="18"/>
      <c r="B7" s="18"/>
      <c r="C7" s="18"/>
      <c r="D7" s="18"/>
      <c r="E7" s="18"/>
      <c r="F7" s="18"/>
      <c r="G7" s="18"/>
      <c r="H7" s="25"/>
      <c r="I7" s="16"/>
      <c r="J7" s="18"/>
      <c r="K7" s="18"/>
      <c r="L7" s="19"/>
      <c r="M7" s="16"/>
      <c r="N7" s="18"/>
      <c r="O7" s="18"/>
      <c r="P7" s="18"/>
      <c r="Q7" s="18"/>
      <c r="R7" s="18"/>
      <c r="S7" s="18"/>
      <c r="T7" s="18"/>
      <c r="U7" s="18"/>
      <c r="V7" s="18"/>
      <c r="W7" s="16"/>
      <c r="X7" s="18"/>
      <c r="Y7" s="18"/>
    </row>
    <row r="8" spans="1:25">
      <c r="A8" s="18"/>
      <c r="B8" s="18"/>
      <c r="C8" s="18"/>
      <c r="D8" s="18"/>
      <c r="E8" s="18"/>
      <c r="F8" s="18"/>
      <c r="G8" s="18"/>
      <c r="H8" s="25"/>
      <c r="I8" s="16"/>
      <c r="J8" s="18"/>
      <c r="K8" s="18"/>
      <c r="L8" s="19"/>
      <c r="M8" s="16"/>
      <c r="N8" s="18"/>
      <c r="O8" s="18"/>
      <c r="P8" s="18"/>
      <c r="Q8" s="18"/>
      <c r="R8" s="18"/>
      <c r="S8" s="18"/>
      <c r="T8" s="18"/>
      <c r="U8" s="18"/>
      <c r="V8" s="18"/>
      <c r="W8" s="16"/>
      <c r="X8" s="18"/>
      <c r="Y8" s="18"/>
    </row>
    <row r="9" spans="1:25">
      <c r="A9" s="18"/>
      <c r="B9" s="18"/>
      <c r="C9" s="18"/>
      <c r="D9" s="18"/>
      <c r="E9" s="18"/>
      <c r="F9" s="18"/>
      <c r="G9" s="18"/>
      <c r="H9" s="25"/>
      <c r="I9" s="16"/>
      <c r="J9" s="18"/>
      <c r="K9" s="18"/>
      <c r="L9" s="19"/>
      <c r="M9" s="16"/>
      <c r="N9" s="18"/>
      <c r="O9" s="18"/>
      <c r="P9" s="18"/>
      <c r="Q9" s="18"/>
      <c r="R9" s="18"/>
      <c r="S9" s="18"/>
      <c r="T9" s="18"/>
      <c r="U9" s="18"/>
      <c r="V9" s="18"/>
      <c r="W9" s="16"/>
      <c r="X9" s="18"/>
      <c r="Y9" s="18"/>
    </row>
    <row r="10" spans="1:25">
      <c r="A10" s="18"/>
      <c r="B10" s="18"/>
      <c r="C10" s="18"/>
      <c r="D10" s="18"/>
      <c r="E10" s="18"/>
      <c r="F10" s="18"/>
      <c r="G10" s="18"/>
      <c r="H10" s="25"/>
      <c r="I10" s="16"/>
      <c r="J10" s="18"/>
      <c r="K10" s="18"/>
      <c r="L10" s="19"/>
      <c r="M10" s="16"/>
      <c r="N10" s="18"/>
      <c r="O10" s="18"/>
      <c r="P10" s="18"/>
      <c r="Q10" s="18"/>
      <c r="R10" s="18"/>
      <c r="S10" s="18"/>
      <c r="T10" s="18"/>
      <c r="U10" s="18"/>
      <c r="V10" s="18"/>
      <c r="W10" s="16"/>
      <c r="X10" s="18"/>
      <c r="Y10" s="18"/>
    </row>
    <row r="11" spans="1:25">
      <c r="A11" s="18"/>
      <c r="B11" s="18"/>
      <c r="C11" s="18"/>
      <c r="D11" s="18"/>
      <c r="E11" s="18"/>
      <c r="F11" s="18"/>
      <c r="G11" s="18"/>
      <c r="H11" s="25"/>
      <c r="I11" s="16"/>
      <c r="J11" s="18"/>
      <c r="K11" s="18"/>
      <c r="L11" s="19"/>
      <c r="M11" s="16"/>
      <c r="N11" s="18"/>
      <c r="O11" s="18"/>
      <c r="P11" s="18"/>
      <c r="Q11" s="18"/>
      <c r="R11" s="18"/>
      <c r="S11" s="18"/>
      <c r="T11" s="18"/>
      <c r="U11" s="18"/>
      <c r="V11" s="18"/>
      <c r="W11" s="16"/>
      <c r="X11" s="18"/>
      <c r="Y11" s="18"/>
    </row>
    <row r="12" spans="1:25">
      <c r="A12" s="18"/>
      <c r="B12" s="18"/>
      <c r="C12" s="18"/>
      <c r="D12" s="18"/>
      <c r="E12" s="18"/>
      <c r="F12" s="18"/>
      <c r="G12" s="18"/>
      <c r="H12" s="25"/>
      <c r="I12" s="16"/>
      <c r="J12" s="18"/>
      <c r="K12" s="18"/>
      <c r="L12" s="19"/>
      <c r="M12" s="16"/>
      <c r="N12" s="18"/>
      <c r="O12" s="18"/>
      <c r="P12" s="18"/>
      <c r="Q12" s="18"/>
      <c r="R12" s="18"/>
      <c r="S12" s="18"/>
      <c r="T12" s="18"/>
      <c r="U12" s="18"/>
      <c r="V12" s="18"/>
      <c r="W12" s="16"/>
      <c r="X12" s="18"/>
      <c r="Y12" s="18"/>
    </row>
    <row r="13" spans="1:25">
      <c r="A13" s="18"/>
      <c r="B13" s="18"/>
      <c r="C13" s="18"/>
      <c r="D13" s="18"/>
      <c r="E13" s="18"/>
      <c r="F13" s="18"/>
      <c r="G13" s="18"/>
      <c r="H13" s="25"/>
      <c r="I13" s="16"/>
      <c r="J13" s="18"/>
      <c r="K13" s="18"/>
      <c r="L13" s="19"/>
      <c r="M13" s="16"/>
      <c r="N13" s="18"/>
      <c r="O13" s="18"/>
      <c r="P13" s="18"/>
      <c r="Q13" s="18"/>
      <c r="R13" s="18"/>
      <c r="S13" s="18"/>
      <c r="T13" s="18"/>
      <c r="U13" s="18"/>
      <c r="V13" s="18"/>
      <c r="W13" s="16"/>
      <c r="X13" s="18"/>
      <c r="Y13" s="18"/>
    </row>
    <row r="14" spans="1:25">
      <c r="A14" s="18"/>
      <c r="B14" s="18"/>
      <c r="C14" s="18"/>
      <c r="D14" s="18"/>
      <c r="E14" s="18"/>
      <c r="F14" s="18"/>
      <c r="G14" s="18"/>
      <c r="H14" s="25"/>
      <c r="I14" s="16"/>
      <c r="J14" s="18"/>
      <c r="K14" s="18"/>
      <c r="L14" s="19"/>
      <c r="M14" s="16"/>
      <c r="N14" s="18"/>
      <c r="O14" s="18"/>
      <c r="P14" s="18"/>
      <c r="Q14" s="18"/>
      <c r="R14" s="18"/>
      <c r="S14" s="18"/>
      <c r="T14" s="18"/>
      <c r="U14" s="18"/>
      <c r="V14" s="18"/>
      <c r="W14" s="16"/>
      <c r="X14" s="18"/>
      <c r="Y14" s="18"/>
    </row>
    <row r="15" spans="1:25">
      <c r="A15" s="18"/>
      <c r="B15" s="18"/>
      <c r="C15" s="18"/>
      <c r="D15" s="18"/>
      <c r="E15" s="18"/>
      <c r="F15" s="18"/>
      <c r="G15" s="18"/>
      <c r="H15" s="25"/>
      <c r="I15" s="16"/>
      <c r="J15" s="18"/>
      <c r="K15" s="18"/>
      <c r="L15" s="19"/>
      <c r="M15" s="16"/>
      <c r="N15" s="18"/>
      <c r="O15" s="18"/>
      <c r="P15" s="18"/>
      <c r="Q15" s="18"/>
      <c r="R15" s="18"/>
      <c r="S15" s="18"/>
      <c r="T15" s="18"/>
      <c r="U15" s="18"/>
      <c r="V15" s="18"/>
      <c r="W15" s="16"/>
      <c r="X15" s="18"/>
      <c r="Y15" s="18"/>
    </row>
    <row r="16" spans="1:25">
      <c r="A16" s="18"/>
      <c r="B16" s="18"/>
      <c r="C16" s="18"/>
      <c r="D16" s="18"/>
      <c r="E16" s="18"/>
      <c r="F16" s="18"/>
      <c r="G16" s="18"/>
      <c r="H16" s="25"/>
      <c r="I16" s="16"/>
      <c r="J16" s="18"/>
      <c r="K16" s="18"/>
      <c r="L16" s="19"/>
      <c r="M16" s="16"/>
      <c r="N16" s="18"/>
      <c r="O16" s="18"/>
      <c r="P16" s="18"/>
      <c r="Q16" s="18"/>
      <c r="R16" s="18"/>
      <c r="S16" s="18"/>
      <c r="T16" s="18"/>
      <c r="U16" s="18"/>
      <c r="V16" s="18"/>
      <c r="W16" s="16"/>
      <c r="X16" s="18"/>
      <c r="Y16" s="18"/>
    </row>
    <row r="17" spans="1:25">
      <c r="A17" s="18"/>
      <c r="B17" s="18"/>
      <c r="C17" s="18"/>
      <c r="D17" s="18"/>
      <c r="E17" s="18"/>
      <c r="F17" s="18"/>
      <c r="G17" s="18"/>
      <c r="H17" s="25"/>
      <c r="I17" s="16"/>
      <c r="J17" s="18"/>
      <c r="K17" s="18"/>
      <c r="L17" s="19"/>
      <c r="M17" s="16"/>
      <c r="N17" s="18"/>
      <c r="O17" s="18"/>
      <c r="P17" s="18"/>
      <c r="Q17" s="18"/>
      <c r="R17" s="18"/>
      <c r="S17" s="18"/>
      <c r="T17" s="18"/>
      <c r="U17" s="18"/>
      <c r="V17" s="18"/>
      <c r="W17" s="16"/>
      <c r="X17" s="18"/>
      <c r="Y17" s="18"/>
    </row>
    <row r="18" spans="1:25">
      <c r="A18" s="18"/>
      <c r="B18" s="18"/>
      <c r="C18" s="18"/>
      <c r="D18" s="18"/>
      <c r="E18" s="18"/>
      <c r="F18" s="18"/>
      <c r="G18" s="18"/>
      <c r="H18" s="25"/>
      <c r="I18" s="16"/>
      <c r="J18" s="18"/>
      <c r="K18" s="18"/>
      <c r="L18" s="19"/>
      <c r="M18" s="16"/>
      <c r="N18" s="18"/>
      <c r="O18" s="18"/>
      <c r="P18" s="18"/>
      <c r="Q18" s="18"/>
      <c r="R18" s="18"/>
      <c r="S18" s="18"/>
      <c r="T18" s="18"/>
      <c r="U18" s="18"/>
      <c r="V18" s="18"/>
      <c r="W18" s="16"/>
      <c r="X18" s="18"/>
      <c r="Y18" s="18"/>
    </row>
    <row r="19" spans="1:25">
      <c r="A19" s="18"/>
      <c r="B19" s="18"/>
      <c r="C19" s="18"/>
      <c r="D19" s="18"/>
      <c r="E19" s="18"/>
      <c r="F19" s="18"/>
      <c r="G19" s="18"/>
      <c r="H19" s="25"/>
      <c r="I19" s="16"/>
      <c r="J19" s="18"/>
      <c r="K19" s="18"/>
      <c r="L19" s="19"/>
      <c r="M19" s="16"/>
      <c r="N19" s="18"/>
      <c r="O19" s="18"/>
      <c r="P19" s="18"/>
      <c r="Q19" s="18"/>
      <c r="R19" s="18"/>
      <c r="S19" s="18"/>
      <c r="T19" s="18"/>
      <c r="U19" s="18"/>
      <c r="V19" s="18"/>
      <c r="W19" s="16"/>
      <c r="X19" s="18"/>
      <c r="Y19" s="18"/>
    </row>
    <row r="20" spans="1:25">
      <c r="F20" s="18"/>
      <c r="G20" s="18"/>
      <c r="H20" s="25"/>
      <c r="I20" s="16"/>
      <c r="L20" s="19"/>
      <c r="W20" s="16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78"/>
  <sheetViews>
    <sheetView rightToLeft="1" workbookViewId="0"/>
  </sheetViews>
  <sheetFormatPr defaultColWidth="0" defaultRowHeight="14.25"/>
  <cols>
    <col min="1" max="2" width="10.625" style="2" bestFit="1" customWidth="1"/>
    <col min="3" max="3" width="18.75" style="2" bestFit="1" customWidth="1"/>
    <col min="4" max="4" width="21" style="2" bestFit="1" customWidth="1"/>
    <col min="5" max="5" width="9.375" style="2" bestFit="1" customWidth="1"/>
    <col min="6" max="6" width="11.625" style="2" customWidth="1"/>
    <col min="7" max="7" width="6.375" style="2" bestFit="1" customWidth="1"/>
    <col min="8" max="8" width="22" bestFit="1" customWidth="1"/>
    <col min="9" max="9" width="10.75" style="2" bestFit="1" customWidth="1"/>
    <col min="10" max="10" width="10.625" style="2" bestFit="1" customWidth="1"/>
    <col min="11" max="11" width="7.125" style="2" bestFit="1" customWidth="1"/>
    <col min="12" max="12" width="14.75" style="2" bestFit="1" customWidth="1"/>
    <col min="13" max="13" width="8.375" style="2" bestFit="1" customWidth="1"/>
    <col min="14" max="14" width="11" style="2" bestFit="1" customWidth="1"/>
    <col min="15" max="15" width="10.875" style="2" bestFit="1" customWidth="1"/>
    <col min="16" max="16" width="10.125" bestFit="1" customWidth="1"/>
    <col min="17" max="17" width="11.125" style="2" bestFit="1" customWidth="1"/>
    <col min="18" max="18" width="10" style="2" bestFit="1" customWidth="1"/>
    <col min="19" max="16384" width="9" style="2" hidden="1"/>
  </cols>
  <sheetData>
    <row r="1" spans="1:18" ht="51">
      <c r="A1" s="17" t="s">
        <v>651</v>
      </c>
      <c r="B1" s="17" t="s">
        <v>0</v>
      </c>
      <c r="C1" s="17" t="s">
        <v>1</v>
      </c>
      <c r="D1" s="17" t="s">
        <v>1145</v>
      </c>
      <c r="E1" s="17" t="s">
        <v>29</v>
      </c>
      <c r="F1" s="17" t="s">
        <v>12</v>
      </c>
      <c r="G1" s="17" t="s">
        <v>13</v>
      </c>
      <c r="H1" s="17" t="s">
        <v>282</v>
      </c>
      <c r="I1" s="17" t="s">
        <v>421</v>
      </c>
      <c r="J1" s="17" t="s">
        <v>14</v>
      </c>
      <c r="K1" s="17" t="s">
        <v>621</v>
      </c>
      <c r="L1" s="17" t="s">
        <v>773</v>
      </c>
      <c r="M1" s="17" t="s">
        <v>15</v>
      </c>
      <c r="N1" s="17" t="s">
        <v>1153</v>
      </c>
      <c r="O1" s="150" t="s">
        <v>1154</v>
      </c>
      <c r="P1" s="17" t="s">
        <v>26</v>
      </c>
      <c r="Q1" s="17" t="s">
        <v>19</v>
      </c>
      <c r="R1" s="17" t="s">
        <v>30</v>
      </c>
    </row>
    <row r="2" spans="1:18">
      <c r="A2" s="155">
        <v>274</v>
      </c>
      <c r="B2" s="155">
        <v>274</v>
      </c>
      <c r="C2" t="s">
        <v>649</v>
      </c>
      <c r="D2" t="s">
        <v>1822</v>
      </c>
      <c r="E2" s="155">
        <v>8288086</v>
      </c>
      <c r="F2" s="156">
        <v>41579</v>
      </c>
      <c r="G2" s="151">
        <v>3.12</v>
      </c>
      <c r="H2" t="s">
        <v>229</v>
      </c>
      <c r="I2" s="156">
        <v>47058</v>
      </c>
      <c r="J2" s="154">
        <v>4.8000000000000001E-2</v>
      </c>
      <c r="K2" s="154">
        <v>2.0199999999999999E-2</v>
      </c>
      <c r="L2" s="151">
        <v>17560000</v>
      </c>
      <c r="M2" s="151">
        <v>128.154</v>
      </c>
      <c r="N2" s="151">
        <v>22503.844499999999</v>
      </c>
      <c r="O2" s="151"/>
      <c r="Q2" s="154">
        <v>2.7591000000000001E-2</v>
      </c>
      <c r="R2" s="154">
        <v>5.4669999999999996E-3</v>
      </c>
    </row>
    <row r="3" spans="1:18">
      <c r="A3" s="155">
        <v>274</v>
      </c>
      <c r="B3" s="155">
        <v>274</v>
      </c>
      <c r="C3" t="s">
        <v>649</v>
      </c>
      <c r="D3" t="s">
        <v>1823</v>
      </c>
      <c r="E3" s="155">
        <v>8288136</v>
      </c>
      <c r="F3" s="156">
        <v>41730</v>
      </c>
      <c r="G3" s="151">
        <v>3.46</v>
      </c>
      <c r="H3" t="s">
        <v>229</v>
      </c>
      <c r="I3" s="156">
        <v>47209</v>
      </c>
      <c r="J3" s="154">
        <v>4.8000000000000001E-2</v>
      </c>
      <c r="K3" s="154">
        <v>2.01E-2</v>
      </c>
      <c r="L3" s="151">
        <v>13232000</v>
      </c>
      <c r="M3" s="151">
        <v>130.95400000000001</v>
      </c>
      <c r="N3" s="151">
        <v>17327.833890000002</v>
      </c>
      <c r="O3" s="153"/>
      <c r="Q3" s="154">
        <v>2.1245E-2</v>
      </c>
      <c r="R3" s="154">
        <v>4.2090000000000001E-3</v>
      </c>
    </row>
    <row r="4" spans="1:18">
      <c r="A4" s="155">
        <v>274</v>
      </c>
      <c r="B4" s="155">
        <v>274</v>
      </c>
      <c r="C4" t="s">
        <v>649</v>
      </c>
      <c r="D4" t="s">
        <v>1824</v>
      </c>
      <c r="E4" s="155">
        <v>8288151</v>
      </c>
      <c r="F4" s="156">
        <v>41791</v>
      </c>
      <c r="G4" s="151">
        <v>3.63</v>
      </c>
      <c r="H4" t="s">
        <v>229</v>
      </c>
      <c r="I4" s="156">
        <v>47270</v>
      </c>
      <c r="J4" s="154">
        <v>4.8000000000000001E-2</v>
      </c>
      <c r="K4" s="154">
        <v>0.02</v>
      </c>
      <c r="L4" s="151">
        <v>2205000</v>
      </c>
      <c r="M4" s="151">
        <v>130.04929999999999</v>
      </c>
      <c r="N4" s="151">
        <v>2867.5867499999999</v>
      </c>
      <c r="O4" s="153"/>
      <c r="Q4" s="154">
        <v>3.5149999999999999E-3</v>
      </c>
      <c r="R4" s="154">
        <v>6.96E-4</v>
      </c>
    </row>
    <row r="5" spans="1:18">
      <c r="A5" s="155">
        <v>274</v>
      </c>
      <c r="B5" s="155">
        <v>274</v>
      </c>
      <c r="C5" t="s">
        <v>649</v>
      </c>
      <c r="D5" t="s">
        <v>1825</v>
      </c>
      <c r="E5" s="155">
        <v>8288102</v>
      </c>
      <c r="F5" s="156">
        <v>41640</v>
      </c>
      <c r="G5" s="151">
        <v>3.21</v>
      </c>
      <c r="H5" t="s">
        <v>229</v>
      </c>
      <c r="I5" s="156">
        <v>47119</v>
      </c>
      <c r="J5" s="154">
        <v>4.8000000000000001E-2</v>
      </c>
      <c r="K5" s="154">
        <v>2.0199999999999999E-2</v>
      </c>
      <c r="L5" s="151">
        <v>9964000</v>
      </c>
      <c r="M5" s="151">
        <v>130.6875</v>
      </c>
      <c r="N5" s="151">
        <v>13021.701160000001</v>
      </c>
      <c r="O5" s="153"/>
      <c r="Q5" s="154">
        <v>1.5965E-2</v>
      </c>
      <c r="R5" s="154">
        <v>3.163E-3</v>
      </c>
    </row>
    <row r="6" spans="1:18">
      <c r="A6" s="155">
        <v>274</v>
      </c>
      <c r="B6" s="155">
        <v>274</v>
      </c>
      <c r="C6" t="s">
        <v>649</v>
      </c>
      <c r="D6" t="s">
        <v>1826</v>
      </c>
      <c r="E6" s="155">
        <v>8288029</v>
      </c>
      <c r="F6" s="156">
        <v>41395</v>
      </c>
      <c r="G6" s="151">
        <v>2.68</v>
      </c>
      <c r="H6" t="s">
        <v>229</v>
      </c>
      <c r="I6" s="156">
        <v>46874</v>
      </c>
      <c r="J6" s="154">
        <v>4.8000000000000001E-2</v>
      </c>
      <c r="K6" s="154">
        <v>2.0400000000000001E-2</v>
      </c>
      <c r="L6" s="151">
        <v>7882000</v>
      </c>
      <c r="M6" s="151">
        <v>128.84639999999999</v>
      </c>
      <c r="N6" s="151">
        <v>10155.676219999999</v>
      </c>
      <c r="O6" s="153"/>
      <c r="Q6" s="154">
        <v>1.2451E-2</v>
      </c>
      <c r="R6" s="154">
        <v>2.467E-3</v>
      </c>
    </row>
    <row r="7" spans="1:18">
      <c r="A7" s="155">
        <v>274</v>
      </c>
      <c r="B7" s="155">
        <v>274</v>
      </c>
      <c r="C7" t="s">
        <v>649</v>
      </c>
      <c r="D7" t="s">
        <v>1827</v>
      </c>
      <c r="E7" s="155">
        <v>8288227</v>
      </c>
      <c r="F7" s="156">
        <v>42005</v>
      </c>
      <c r="G7" s="151">
        <v>4.05</v>
      </c>
      <c r="H7" t="s">
        <v>229</v>
      </c>
      <c r="I7" s="156">
        <v>47484</v>
      </c>
      <c r="J7" s="154">
        <v>4.8000000000000001E-2</v>
      </c>
      <c r="K7" s="154">
        <v>1.9900000000000001E-2</v>
      </c>
      <c r="L7" s="151">
        <v>10497000</v>
      </c>
      <c r="M7" s="151">
        <v>133.9332</v>
      </c>
      <c r="N7" s="151">
        <v>14058.96744</v>
      </c>
      <c r="O7" s="153"/>
      <c r="Q7" s="154">
        <v>1.7236999999999999E-2</v>
      </c>
      <c r="R7" s="154">
        <v>3.4150000000000001E-3</v>
      </c>
    </row>
    <row r="8" spans="1:18">
      <c r="A8" s="155">
        <v>274</v>
      </c>
      <c r="B8" s="155">
        <v>274</v>
      </c>
      <c r="C8" t="s">
        <v>649</v>
      </c>
      <c r="D8" t="s">
        <v>1828</v>
      </c>
      <c r="E8" s="155">
        <v>8288474</v>
      </c>
      <c r="F8" s="156">
        <v>42767</v>
      </c>
      <c r="G8" s="151">
        <v>5.72</v>
      </c>
      <c r="H8" t="s">
        <v>229</v>
      </c>
      <c r="I8" s="156">
        <v>48245</v>
      </c>
      <c r="J8" s="154">
        <v>4.8000000000000001E-2</v>
      </c>
      <c r="K8" s="154">
        <v>1.9699999999999999E-2</v>
      </c>
      <c r="L8" s="151">
        <v>19656000</v>
      </c>
      <c r="M8" s="151">
        <v>141.46809999999999</v>
      </c>
      <c r="N8" s="151">
        <v>27806.967059999999</v>
      </c>
      <c r="O8" s="153"/>
      <c r="Q8" s="154">
        <v>3.4092999999999998E-2</v>
      </c>
      <c r="R8" s="154">
        <v>6.7549999999999997E-3</v>
      </c>
    </row>
    <row r="9" spans="1:18">
      <c r="A9" s="155">
        <v>274</v>
      </c>
      <c r="B9" s="155">
        <v>274</v>
      </c>
      <c r="C9" t="s">
        <v>649</v>
      </c>
      <c r="D9" t="s">
        <v>1829</v>
      </c>
      <c r="E9" s="155">
        <v>8287989</v>
      </c>
      <c r="F9" s="156">
        <v>41275</v>
      </c>
      <c r="G9" s="151">
        <v>2.35</v>
      </c>
      <c r="H9" t="s">
        <v>229</v>
      </c>
      <c r="I9" s="156">
        <v>46754</v>
      </c>
      <c r="J9" s="154">
        <v>4.8000000000000001E-2</v>
      </c>
      <c r="K9" s="154">
        <v>2.0500000000000001E-2</v>
      </c>
      <c r="L9" s="151">
        <v>8201000</v>
      </c>
      <c r="M9" s="151">
        <v>129.96510000000001</v>
      </c>
      <c r="N9" s="151">
        <v>10658.438120000001</v>
      </c>
      <c r="O9" s="153"/>
      <c r="Q9" s="154">
        <v>1.3067E-2</v>
      </c>
      <c r="R9" s="154">
        <v>2.5890000000000002E-3</v>
      </c>
    </row>
    <row r="10" spans="1:18">
      <c r="A10" s="155">
        <v>274</v>
      </c>
      <c r="B10" s="155">
        <v>274</v>
      </c>
      <c r="C10" t="s">
        <v>649</v>
      </c>
      <c r="D10" t="s">
        <v>1830</v>
      </c>
      <c r="E10" s="155">
        <v>8288094</v>
      </c>
      <c r="F10" s="156">
        <v>41609</v>
      </c>
      <c r="G10" s="151">
        <v>3.2</v>
      </c>
      <c r="H10" t="s">
        <v>229</v>
      </c>
      <c r="I10" s="156">
        <v>47088</v>
      </c>
      <c r="J10" s="154">
        <v>4.8000000000000001E-2</v>
      </c>
      <c r="K10" s="154">
        <v>2.01E-2</v>
      </c>
      <c r="L10" s="151">
        <v>6804000</v>
      </c>
      <c r="M10" s="151">
        <v>127.5992</v>
      </c>
      <c r="N10" s="151">
        <v>8681.8494200000005</v>
      </c>
      <c r="O10" s="153"/>
      <c r="Q10" s="154">
        <v>1.0644000000000001E-2</v>
      </c>
      <c r="R10" s="154">
        <v>2.1090000000000002E-3</v>
      </c>
    </row>
    <row r="11" spans="1:18">
      <c r="A11" s="155">
        <v>274</v>
      </c>
      <c r="B11" s="155">
        <v>274</v>
      </c>
      <c r="C11" t="s">
        <v>649</v>
      </c>
      <c r="D11" t="s">
        <v>1831</v>
      </c>
      <c r="E11" s="155">
        <v>8288011</v>
      </c>
      <c r="F11" s="156">
        <v>41366</v>
      </c>
      <c r="G11" s="151">
        <v>2.6</v>
      </c>
      <c r="H11" t="s">
        <v>229</v>
      </c>
      <c r="I11" s="156">
        <v>46845</v>
      </c>
      <c r="J11" s="154">
        <v>4.8000000000000001E-2</v>
      </c>
      <c r="K11" s="154">
        <v>2.0400000000000001E-2</v>
      </c>
      <c r="L11" s="151">
        <v>4900000</v>
      </c>
      <c r="M11" s="151">
        <v>129.31229999999999</v>
      </c>
      <c r="N11" s="151">
        <v>6336.3033699999996</v>
      </c>
      <c r="O11" s="153"/>
      <c r="Q11" s="154">
        <v>7.7679999999999997E-3</v>
      </c>
      <c r="R11" s="154">
        <v>1.539E-3</v>
      </c>
    </row>
    <row r="12" spans="1:18">
      <c r="A12" s="155">
        <v>274</v>
      </c>
      <c r="B12" s="155">
        <v>274</v>
      </c>
      <c r="C12" t="s">
        <v>649</v>
      </c>
      <c r="D12" t="s">
        <v>1832</v>
      </c>
      <c r="E12" s="155">
        <v>8288979</v>
      </c>
      <c r="F12" s="156">
        <v>44318</v>
      </c>
      <c r="G12" s="151">
        <v>8.84</v>
      </c>
      <c r="H12" t="s">
        <v>229</v>
      </c>
      <c r="I12" s="156">
        <v>49797</v>
      </c>
      <c r="J12" s="154">
        <v>4.8000000000000001E-2</v>
      </c>
      <c r="K12" s="154">
        <v>1.9400000000000001E-2</v>
      </c>
      <c r="L12" s="151">
        <v>18604000</v>
      </c>
      <c r="M12" s="151">
        <v>149.60310000000001</v>
      </c>
      <c r="N12" s="151">
        <v>27832.164509999999</v>
      </c>
      <c r="O12" s="153"/>
      <c r="Q12" s="154">
        <v>3.4124000000000002E-2</v>
      </c>
      <c r="R12" s="154">
        <v>6.7619999999999998E-3</v>
      </c>
    </row>
    <row r="13" spans="1:18">
      <c r="A13" s="155">
        <v>274</v>
      </c>
      <c r="B13" s="155">
        <v>274</v>
      </c>
      <c r="C13" t="s">
        <v>649</v>
      </c>
      <c r="D13" t="s">
        <v>1833</v>
      </c>
      <c r="E13" s="155">
        <v>8288946</v>
      </c>
      <c r="F13" s="156">
        <v>44228</v>
      </c>
      <c r="G13" s="151">
        <v>8.59</v>
      </c>
      <c r="H13" t="s">
        <v>229</v>
      </c>
      <c r="I13" s="156">
        <v>49706</v>
      </c>
      <c r="J13" s="154">
        <v>4.8000000000000001E-2</v>
      </c>
      <c r="K13" s="154">
        <v>1.9400000000000001E-2</v>
      </c>
      <c r="L13" s="151">
        <v>9736000</v>
      </c>
      <c r="M13" s="151">
        <v>151.51050000000001</v>
      </c>
      <c r="N13" s="151">
        <v>14751.064340000001</v>
      </c>
      <c r="O13" s="153"/>
      <c r="Q13" s="154">
        <v>1.8085E-2</v>
      </c>
      <c r="R13" s="154">
        <v>3.5829999999999998E-3</v>
      </c>
    </row>
    <row r="14" spans="1:18">
      <c r="A14" s="155">
        <v>274</v>
      </c>
      <c r="B14" s="155">
        <v>274</v>
      </c>
      <c r="C14" t="s">
        <v>649</v>
      </c>
      <c r="D14" t="s">
        <v>1834</v>
      </c>
      <c r="E14" s="155">
        <v>8288466</v>
      </c>
      <c r="F14" s="156">
        <v>42736</v>
      </c>
      <c r="G14" s="151">
        <v>5.63</v>
      </c>
      <c r="H14" t="s">
        <v>229</v>
      </c>
      <c r="I14" s="156">
        <v>48214</v>
      </c>
      <c r="J14" s="154">
        <v>4.8000000000000001E-2</v>
      </c>
      <c r="K14" s="154">
        <v>1.9699999999999999E-2</v>
      </c>
      <c r="L14" s="151">
        <v>888000</v>
      </c>
      <c r="M14" s="151">
        <v>141.70400000000001</v>
      </c>
      <c r="N14" s="151">
        <v>1258.3314399999999</v>
      </c>
      <c r="O14" s="153"/>
      <c r="Q14" s="154">
        <v>1.542E-3</v>
      </c>
      <c r="R14" s="154">
        <v>3.0499999999999999E-4</v>
      </c>
    </row>
    <row r="15" spans="1:18">
      <c r="A15" s="155">
        <v>274</v>
      </c>
      <c r="B15" s="155">
        <v>274</v>
      </c>
      <c r="C15" t="s">
        <v>649</v>
      </c>
      <c r="D15" t="s">
        <v>1835</v>
      </c>
      <c r="E15" s="155">
        <v>8288490</v>
      </c>
      <c r="F15" s="156">
        <v>42827</v>
      </c>
      <c r="G15" s="151">
        <v>5.88</v>
      </c>
      <c r="H15" t="s">
        <v>229</v>
      </c>
      <c r="I15" s="156">
        <v>48306</v>
      </c>
      <c r="J15" s="154">
        <v>4.8000000000000001E-2</v>
      </c>
      <c r="K15" s="154">
        <v>1.9699999999999999E-2</v>
      </c>
      <c r="L15" s="151">
        <v>2030000</v>
      </c>
      <c r="M15" s="151">
        <v>141.3117</v>
      </c>
      <c r="N15" s="151">
        <v>2868.6277</v>
      </c>
      <c r="O15" s="153"/>
      <c r="Q15" s="154">
        <v>3.5170000000000002E-3</v>
      </c>
      <c r="R15" s="154">
        <v>6.96E-4</v>
      </c>
    </row>
    <row r="16" spans="1:18">
      <c r="A16" s="155">
        <v>274</v>
      </c>
      <c r="B16" s="155">
        <v>274</v>
      </c>
      <c r="C16" t="s">
        <v>649</v>
      </c>
      <c r="D16" t="s">
        <v>1836</v>
      </c>
      <c r="E16" s="155">
        <v>8288722</v>
      </c>
      <c r="F16" s="156">
        <v>43525</v>
      </c>
      <c r="G16" s="151">
        <v>7.27</v>
      </c>
      <c r="H16" t="s">
        <v>229</v>
      </c>
      <c r="I16" s="156">
        <v>49004</v>
      </c>
      <c r="J16" s="154">
        <v>4.8000000000000001E-2</v>
      </c>
      <c r="K16" s="154">
        <v>1.95E-2</v>
      </c>
      <c r="L16" s="151">
        <v>156000</v>
      </c>
      <c r="M16" s="151">
        <v>145.61009999999999</v>
      </c>
      <c r="N16" s="151">
        <v>227.15177</v>
      </c>
      <c r="O16" s="153"/>
      <c r="Q16" s="154">
        <v>2.7799999999999998E-4</v>
      </c>
      <c r="R16" s="154">
        <v>5.5000000000000002E-5</v>
      </c>
    </row>
    <row r="17" spans="1:18">
      <c r="A17" s="155">
        <v>274</v>
      </c>
      <c r="B17" s="155">
        <v>274</v>
      </c>
      <c r="C17" t="s">
        <v>649</v>
      </c>
      <c r="D17" t="s">
        <v>1837</v>
      </c>
      <c r="E17" s="155">
        <v>8288458</v>
      </c>
      <c r="F17" s="156">
        <v>42705</v>
      </c>
      <c r="G17" s="151">
        <v>5.66</v>
      </c>
      <c r="H17" t="s">
        <v>229</v>
      </c>
      <c r="I17" s="156">
        <v>48183</v>
      </c>
      <c r="J17" s="154">
        <v>4.8000000000000001E-2</v>
      </c>
      <c r="K17" s="154">
        <v>1.9699999999999999E-2</v>
      </c>
      <c r="L17" s="151">
        <v>1059000</v>
      </c>
      <c r="M17" s="151">
        <v>138.53200000000001</v>
      </c>
      <c r="N17" s="151">
        <v>1467.05394</v>
      </c>
      <c r="O17" s="153"/>
      <c r="Q17" s="154">
        <v>1.7979999999999999E-3</v>
      </c>
      <c r="R17" s="154">
        <v>3.5599999999999998E-4</v>
      </c>
    </row>
    <row r="18" spans="1:18">
      <c r="A18" s="155">
        <v>274</v>
      </c>
      <c r="B18" s="155">
        <v>274</v>
      </c>
      <c r="C18" t="s">
        <v>649</v>
      </c>
      <c r="D18" t="s">
        <v>1838</v>
      </c>
      <c r="E18" s="155">
        <v>8288938</v>
      </c>
      <c r="F18" s="156">
        <v>44197</v>
      </c>
      <c r="G18" s="151">
        <v>8.5</v>
      </c>
      <c r="H18" t="s">
        <v>229</v>
      </c>
      <c r="I18" s="156">
        <v>49675</v>
      </c>
      <c r="J18" s="154">
        <v>4.8000000000000001E-2</v>
      </c>
      <c r="K18" s="154">
        <v>1.9400000000000001E-2</v>
      </c>
      <c r="L18" s="151">
        <v>9087000</v>
      </c>
      <c r="M18" s="151">
        <v>151.60929999999999</v>
      </c>
      <c r="N18" s="151">
        <v>13776.73674</v>
      </c>
      <c r="O18" s="153"/>
      <c r="Q18" s="154">
        <v>1.6891E-2</v>
      </c>
      <c r="R18" s="154">
        <v>3.3470000000000001E-3</v>
      </c>
    </row>
    <row r="19" spans="1:18">
      <c r="A19" s="155">
        <v>274</v>
      </c>
      <c r="B19" s="155">
        <v>274</v>
      </c>
      <c r="C19" t="s">
        <v>649</v>
      </c>
      <c r="D19" t="s">
        <v>1839</v>
      </c>
      <c r="E19" s="155">
        <v>8287971</v>
      </c>
      <c r="F19" s="156">
        <v>41245</v>
      </c>
      <c r="G19" s="151">
        <v>2.31</v>
      </c>
      <c r="H19" t="s">
        <v>229</v>
      </c>
      <c r="I19" s="156">
        <v>46723</v>
      </c>
      <c r="J19" s="154">
        <v>4.8000000000000001E-2</v>
      </c>
      <c r="K19" s="154">
        <v>2.0500000000000001E-2</v>
      </c>
      <c r="L19" s="151">
        <v>11253000</v>
      </c>
      <c r="M19" s="151">
        <v>126.7081</v>
      </c>
      <c r="N19" s="151">
        <v>14258.465749999999</v>
      </c>
      <c r="O19" s="153"/>
      <c r="Q19" s="154">
        <v>1.7481E-2</v>
      </c>
      <c r="R19" s="154">
        <v>3.4640000000000001E-3</v>
      </c>
    </row>
    <row r="20" spans="1:18">
      <c r="A20" s="155">
        <v>274</v>
      </c>
      <c r="B20" s="155">
        <v>274</v>
      </c>
      <c r="C20" t="s">
        <v>649</v>
      </c>
      <c r="D20" t="s">
        <v>1840</v>
      </c>
      <c r="E20" s="155">
        <v>8288607</v>
      </c>
      <c r="F20" s="156">
        <v>43161</v>
      </c>
      <c r="G20" s="151">
        <v>6.55</v>
      </c>
      <c r="H20" t="s">
        <v>229</v>
      </c>
      <c r="I20" s="156">
        <v>48640</v>
      </c>
      <c r="J20" s="154">
        <v>4.8000000000000001E-2</v>
      </c>
      <c r="K20" s="154">
        <v>1.9599999999999999E-2</v>
      </c>
      <c r="L20" s="151">
        <v>7534000</v>
      </c>
      <c r="M20" s="151">
        <v>144.4014</v>
      </c>
      <c r="N20" s="151">
        <v>10879.20455</v>
      </c>
      <c r="O20" s="153"/>
      <c r="Q20" s="154">
        <v>1.3337999999999999E-2</v>
      </c>
      <c r="R20" s="154">
        <v>2.643E-3</v>
      </c>
    </row>
    <row r="21" spans="1:18" s="36" customFormat="1">
      <c r="A21" s="155">
        <v>274</v>
      </c>
      <c r="B21" s="155">
        <v>274</v>
      </c>
      <c r="C21" t="s">
        <v>649</v>
      </c>
      <c r="D21" t="s">
        <v>1841</v>
      </c>
      <c r="E21" s="155">
        <v>8288599</v>
      </c>
      <c r="F21" s="156">
        <v>43132</v>
      </c>
      <c r="G21" s="151">
        <v>6.47</v>
      </c>
      <c r="H21" t="s">
        <v>229</v>
      </c>
      <c r="I21" s="156">
        <v>48611</v>
      </c>
      <c r="J21" s="154">
        <v>4.8000000000000001E-2</v>
      </c>
      <c r="K21" s="154">
        <v>1.9599999999999999E-2</v>
      </c>
      <c r="L21" s="151">
        <v>58866000</v>
      </c>
      <c r="M21" s="151">
        <v>143.88509999999999</v>
      </c>
      <c r="N21" s="151">
        <v>84699.412410000004</v>
      </c>
      <c r="O21" s="153"/>
      <c r="P21"/>
      <c r="Q21" s="154">
        <v>0.10384699999999999</v>
      </c>
      <c r="R21" s="154">
        <v>2.0577999999999999E-2</v>
      </c>
    </row>
    <row r="22" spans="1:18">
      <c r="A22" s="155">
        <v>274</v>
      </c>
      <c r="B22" s="155">
        <v>274</v>
      </c>
      <c r="C22" t="s">
        <v>649</v>
      </c>
      <c r="D22" t="s">
        <v>1842</v>
      </c>
      <c r="E22" s="155">
        <v>8288441</v>
      </c>
      <c r="F22" s="156">
        <v>42675</v>
      </c>
      <c r="G22" s="151">
        <v>5.58</v>
      </c>
      <c r="H22" t="s">
        <v>229</v>
      </c>
      <c r="I22" s="156">
        <v>48154</v>
      </c>
      <c r="J22" s="154">
        <v>4.8000000000000001E-2</v>
      </c>
      <c r="K22" s="154">
        <v>1.9699999999999999E-2</v>
      </c>
      <c r="L22" s="151">
        <v>831000</v>
      </c>
      <c r="M22" s="151">
        <v>139.0213</v>
      </c>
      <c r="N22" s="151">
        <v>1155.26738</v>
      </c>
      <c r="O22" s="153"/>
      <c r="Q22" s="154">
        <v>1.4159999999999999E-3</v>
      </c>
      <c r="R22" s="154">
        <v>2.7999999999999998E-4</v>
      </c>
    </row>
    <row r="23" spans="1:18">
      <c r="A23" s="155">
        <v>274</v>
      </c>
      <c r="B23" s="155">
        <v>274</v>
      </c>
      <c r="C23" t="s">
        <v>649</v>
      </c>
      <c r="D23" t="s">
        <v>1843</v>
      </c>
      <c r="E23" s="155">
        <v>8288953</v>
      </c>
      <c r="F23" s="156">
        <v>44256</v>
      </c>
      <c r="G23" s="151">
        <v>8.67</v>
      </c>
      <c r="H23" t="s">
        <v>229</v>
      </c>
      <c r="I23" s="156">
        <v>49735</v>
      </c>
      <c r="J23" s="154">
        <v>4.8000000000000001E-2</v>
      </c>
      <c r="K23" s="154">
        <v>1.9400000000000001E-2</v>
      </c>
      <c r="L23" s="151">
        <v>4753000</v>
      </c>
      <c r="M23" s="151">
        <v>151.45949999999999</v>
      </c>
      <c r="N23" s="151">
        <v>7198.8683499999997</v>
      </c>
      <c r="O23" s="153"/>
      <c r="Q23" s="154">
        <v>8.8260000000000005E-3</v>
      </c>
      <c r="R23" s="154">
        <v>1.7489999999999999E-3</v>
      </c>
    </row>
    <row r="24" spans="1:18">
      <c r="A24" s="155">
        <v>274</v>
      </c>
      <c r="B24" s="155">
        <v>274</v>
      </c>
      <c r="C24" t="s">
        <v>649</v>
      </c>
      <c r="D24" t="s">
        <v>1844</v>
      </c>
      <c r="E24" s="155">
        <v>8288128</v>
      </c>
      <c r="F24" s="156">
        <v>41700</v>
      </c>
      <c r="G24" s="151">
        <v>3.38</v>
      </c>
      <c r="H24" t="s">
        <v>229</v>
      </c>
      <c r="I24" s="156">
        <v>47179</v>
      </c>
      <c r="J24" s="154">
        <v>4.8000000000000001E-2</v>
      </c>
      <c r="K24" s="154">
        <v>2.01E-2</v>
      </c>
      <c r="L24" s="151">
        <v>1492000</v>
      </c>
      <c r="M24" s="151">
        <v>130.9263</v>
      </c>
      <c r="N24" s="151">
        <v>1953.4211299999999</v>
      </c>
      <c r="O24" s="153"/>
      <c r="Q24" s="154">
        <v>2.395E-3</v>
      </c>
      <c r="R24" s="154">
        <v>4.7399999999999997E-4</v>
      </c>
    </row>
    <row r="25" spans="1:18">
      <c r="A25" s="155">
        <v>274</v>
      </c>
      <c r="B25" s="155">
        <v>274</v>
      </c>
      <c r="C25" t="s">
        <v>649</v>
      </c>
      <c r="D25" t="s">
        <v>1845</v>
      </c>
      <c r="E25" s="155">
        <v>8288045</v>
      </c>
      <c r="F25" s="156">
        <v>41456</v>
      </c>
      <c r="G25" s="151">
        <v>2.78</v>
      </c>
      <c r="H25" t="s">
        <v>229</v>
      </c>
      <c r="I25" s="156">
        <v>46936</v>
      </c>
      <c r="J25" s="154">
        <v>4.8000000000000001E-2</v>
      </c>
      <c r="K25" s="154">
        <v>2.0299999999999999E-2</v>
      </c>
      <c r="L25" s="151">
        <v>3583000</v>
      </c>
      <c r="M25" s="151">
        <v>130.66030000000001</v>
      </c>
      <c r="N25" s="151">
        <v>4681.55764</v>
      </c>
      <c r="O25" s="153"/>
      <c r="Q25" s="154">
        <v>5.7390000000000002E-3</v>
      </c>
      <c r="R25" s="154">
        <v>1.137E-3</v>
      </c>
    </row>
    <row r="26" spans="1:18">
      <c r="A26" s="155">
        <v>274</v>
      </c>
      <c r="B26" s="155">
        <v>274</v>
      </c>
      <c r="C26" t="s">
        <v>649</v>
      </c>
      <c r="D26" t="s">
        <v>1846</v>
      </c>
      <c r="E26" s="155">
        <v>8288425</v>
      </c>
      <c r="F26" s="156">
        <v>42614</v>
      </c>
      <c r="G26" s="151">
        <v>5.41</v>
      </c>
      <c r="H26" t="s">
        <v>229</v>
      </c>
      <c r="I26" s="156">
        <v>48092</v>
      </c>
      <c r="J26" s="154">
        <v>4.8000000000000001E-2</v>
      </c>
      <c r="K26" s="154">
        <v>1.9699999999999999E-2</v>
      </c>
      <c r="L26" s="151">
        <v>7691000</v>
      </c>
      <c r="M26" s="151">
        <v>138.90989999999999</v>
      </c>
      <c r="N26" s="151">
        <v>10683.559020000001</v>
      </c>
      <c r="O26" s="153"/>
      <c r="Q26" s="154">
        <v>1.3098E-2</v>
      </c>
      <c r="R26" s="154">
        <v>2.5950000000000001E-3</v>
      </c>
    </row>
    <row r="27" spans="1:18">
      <c r="A27" s="155">
        <v>274</v>
      </c>
      <c r="B27" s="155">
        <v>274</v>
      </c>
      <c r="C27" t="s">
        <v>649</v>
      </c>
      <c r="D27" t="s">
        <v>1847</v>
      </c>
      <c r="E27" s="155">
        <v>8288516</v>
      </c>
      <c r="F27" s="156">
        <v>42887</v>
      </c>
      <c r="G27" s="151">
        <v>6.05</v>
      </c>
      <c r="H27" t="s">
        <v>229</v>
      </c>
      <c r="I27" s="156">
        <v>48366</v>
      </c>
      <c r="J27" s="154">
        <v>4.8000000000000001E-2</v>
      </c>
      <c r="K27" s="154">
        <v>1.9599999999999999E-2</v>
      </c>
      <c r="L27" s="151">
        <v>4204000</v>
      </c>
      <c r="M27" s="151">
        <v>140.17789999999999</v>
      </c>
      <c r="N27" s="151">
        <v>5893.0798699999996</v>
      </c>
      <c r="O27" s="153"/>
      <c r="Q27" s="154">
        <v>7.2249999999999997E-3</v>
      </c>
      <c r="R27" s="154">
        <v>1.431E-3</v>
      </c>
    </row>
    <row r="28" spans="1:18">
      <c r="A28" s="155">
        <v>274</v>
      </c>
      <c r="B28" s="155">
        <v>274</v>
      </c>
      <c r="C28" t="s">
        <v>649</v>
      </c>
      <c r="D28" t="s">
        <v>1848</v>
      </c>
      <c r="E28" s="155">
        <v>8288144</v>
      </c>
      <c r="F28" s="156">
        <v>41760</v>
      </c>
      <c r="G28" s="151">
        <v>3.54</v>
      </c>
      <c r="H28" t="s">
        <v>229</v>
      </c>
      <c r="I28" s="156">
        <v>47239</v>
      </c>
      <c r="J28" s="154">
        <v>4.8000000000000001E-2</v>
      </c>
      <c r="K28" s="154">
        <v>2.01E-2</v>
      </c>
      <c r="L28" s="151">
        <v>2542000</v>
      </c>
      <c r="M28" s="151">
        <v>130.369</v>
      </c>
      <c r="N28" s="151">
        <v>3313.9808600000001</v>
      </c>
      <c r="O28" s="153"/>
      <c r="Q28" s="154">
        <v>4.0629999999999998E-3</v>
      </c>
      <c r="R28" s="154">
        <v>8.0500000000000005E-4</v>
      </c>
    </row>
    <row r="29" spans="1:18">
      <c r="A29" s="155">
        <v>274</v>
      </c>
      <c r="B29" s="155">
        <v>274</v>
      </c>
      <c r="C29" t="s">
        <v>649</v>
      </c>
      <c r="D29" t="s">
        <v>1849</v>
      </c>
      <c r="E29" s="155">
        <v>8288730</v>
      </c>
      <c r="F29" s="156">
        <v>43556</v>
      </c>
      <c r="G29" s="151">
        <v>7.36</v>
      </c>
      <c r="H29" t="s">
        <v>229</v>
      </c>
      <c r="I29" s="156">
        <v>49035</v>
      </c>
      <c r="J29" s="154">
        <v>4.8000000000000001E-2</v>
      </c>
      <c r="K29" s="154">
        <v>1.95E-2</v>
      </c>
      <c r="L29" s="151">
        <v>5515000</v>
      </c>
      <c r="M29" s="151">
        <v>145.23490000000001</v>
      </c>
      <c r="N29" s="151">
        <v>8009.7036099999996</v>
      </c>
      <c r="O29" s="153"/>
      <c r="Q29" s="154">
        <v>9.8200000000000006E-3</v>
      </c>
      <c r="R29" s="154">
        <v>1.946E-3</v>
      </c>
    </row>
    <row r="30" spans="1:18">
      <c r="A30" s="155">
        <v>274</v>
      </c>
      <c r="B30" s="155">
        <v>274</v>
      </c>
      <c r="C30" t="s">
        <v>649</v>
      </c>
      <c r="D30" t="s">
        <v>1850</v>
      </c>
      <c r="E30" s="155">
        <v>8288813</v>
      </c>
      <c r="F30" s="156">
        <v>43800</v>
      </c>
      <c r="G30" s="151">
        <v>7.88</v>
      </c>
      <c r="H30" t="s">
        <v>229</v>
      </c>
      <c r="I30" s="156">
        <v>49279</v>
      </c>
      <c r="J30" s="154">
        <v>4.8000000000000001E-2</v>
      </c>
      <c r="K30" s="154">
        <v>1.9400000000000001E-2</v>
      </c>
      <c r="L30" s="151">
        <v>5079000</v>
      </c>
      <c r="M30" s="151">
        <v>144.7655</v>
      </c>
      <c r="N30" s="151">
        <v>7352.6381600000004</v>
      </c>
      <c r="O30" s="153"/>
      <c r="Q30" s="154">
        <v>9.0139999999999994E-3</v>
      </c>
      <c r="R30" s="154">
        <v>1.786E-3</v>
      </c>
    </row>
    <row r="31" spans="1:18">
      <c r="A31" s="155">
        <v>274</v>
      </c>
      <c r="B31" s="155">
        <v>274</v>
      </c>
      <c r="C31" t="s">
        <v>649</v>
      </c>
      <c r="D31" t="s">
        <v>1851</v>
      </c>
      <c r="E31" s="155">
        <v>8287955</v>
      </c>
      <c r="F31" s="156">
        <v>41184</v>
      </c>
      <c r="G31" s="151">
        <v>2.15</v>
      </c>
      <c r="H31" t="s">
        <v>229</v>
      </c>
      <c r="I31" s="156">
        <v>46664</v>
      </c>
      <c r="J31" s="154">
        <v>4.8000000000000001E-2</v>
      </c>
      <c r="K31" s="154">
        <v>2.07E-2</v>
      </c>
      <c r="L31" s="151">
        <v>7486000</v>
      </c>
      <c r="M31" s="151">
        <v>126.8785</v>
      </c>
      <c r="N31" s="151">
        <v>9498.1216199999999</v>
      </c>
      <c r="O31" s="153"/>
      <c r="Q31" s="154">
        <v>1.1645000000000001E-2</v>
      </c>
      <c r="R31" s="154">
        <v>2.307E-3</v>
      </c>
    </row>
    <row r="32" spans="1:18">
      <c r="A32" s="155">
        <v>274</v>
      </c>
      <c r="B32" s="155">
        <v>274</v>
      </c>
      <c r="C32" t="s">
        <v>649</v>
      </c>
      <c r="D32" t="s">
        <v>1852</v>
      </c>
      <c r="E32" s="155">
        <v>8288268</v>
      </c>
      <c r="F32" s="156">
        <v>42125</v>
      </c>
      <c r="G32" s="151">
        <v>4.38</v>
      </c>
      <c r="H32" t="s">
        <v>229</v>
      </c>
      <c r="I32" s="156">
        <v>47604</v>
      </c>
      <c r="J32" s="154">
        <v>4.8000000000000001E-2</v>
      </c>
      <c r="K32" s="154">
        <v>1.9900000000000001E-2</v>
      </c>
      <c r="L32" s="151">
        <v>1531000</v>
      </c>
      <c r="M32" s="151">
        <v>134.83420000000001</v>
      </c>
      <c r="N32" s="151">
        <v>2064.3116100000002</v>
      </c>
      <c r="O32" s="153"/>
      <c r="Q32" s="154">
        <v>2.5300000000000001E-3</v>
      </c>
      <c r="R32" s="154">
        <v>5.0100000000000003E-4</v>
      </c>
    </row>
    <row r="33" spans="1:18">
      <c r="A33" s="155">
        <v>274</v>
      </c>
      <c r="B33" s="155">
        <v>274</v>
      </c>
      <c r="C33" t="s">
        <v>649</v>
      </c>
      <c r="D33" t="s">
        <v>1853</v>
      </c>
      <c r="E33" s="155">
        <v>8288508</v>
      </c>
      <c r="F33" s="156">
        <v>42856</v>
      </c>
      <c r="G33" s="151">
        <v>5.96</v>
      </c>
      <c r="H33" t="s">
        <v>229</v>
      </c>
      <c r="I33" s="156">
        <v>48336</v>
      </c>
      <c r="J33" s="154">
        <v>4.8000000000000001E-2</v>
      </c>
      <c r="K33" s="154">
        <v>1.9699999999999999E-2</v>
      </c>
      <c r="L33" s="151">
        <v>1405000</v>
      </c>
      <c r="M33" s="151">
        <v>140.6754</v>
      </c>
      <c r="N33" s="151">
        <v>1976.48902</v>
      </c>
      <c r="O33" s="153"/>
      <c r="Q33" s="154">
        <v>2.4229999999999998E-3</v>
      </c>
      <c r="R33" s="154">
        <v>4.8000000000000001E-4</v>
      </c>
    </row>
    <row r="34" spans="1:18">
      <c r="A34" s="155">
        <v>274</v>
      </c>
      <c r="B34" s="155">
        <v>274</v>
      </c>
      <c r="C34" t="s">
        <v>649</v>
      </c>
      <c r="D34" t="s">
        <v>1854</v>
      </c>
      <c r="E34" s="155">
        <v>8288524</v>
      </c>
      <c r="F34" s="156">
        <v>42918</v>
      </c>
      <c r="G34" s="151">
        <v>6.01</v>
      </c>
      <c r="H34" t="s">
        <v>229</v>
      </c>
      <c r="I34" s="156">
        <v>48397</v>
      </c>
      <c r="J34" s="154">
        <v>4.8000000000000001E-2</v>
      </c>
      <c r="K34" s="154">
        <v>1.9599999999999999E-2</v>
      </c>
      <c r="L34" s="151">
        <v>1298000</v>
      </c>
      <c r="M34" s="151">
        <v>142.2106</v>
      </c>
      <c r="N34" s="151">
        <v>1845.89302</v>
      </c>
      <c r="O34" s="153"/>
      <c r="Q34" s="154">
        <v>2.2629999999999998E-3</v>
      </c>
      <c r="R34" s="154">
        <v>4.4799999999999999E-4</v>
      </c>
    </row>
    <row r="35" spans="1:18">
      <c r="A35" s="155">
        <v>274</v>
      </c>
      <c r="B35" s="155">
        <v>274</v>
      </c>
      <c r="C35" t="s">
        <v>649</v>
      </c>
      <c r="D35" t="s">
        <v>1855</v>
      </c>
      <c r="E35" s="155">
        <v>8288839</v>
      </c>
      <c r="F35" s="156">
        <v>43863</v>
      </c>
      <c r="G35" s="151">
        <v>7.9</v>
      </c>
      <c r="H35" t="s">
        <v>229</v>
      </c>
      <c r="I35" s="156">
        <v>49342</v>
      </c>
      <c r="J35" s="154">
        <v>4.8000000000000001E-2</v>
      </c>
      <c r="K35" s="154">
        <v>1.95E-2</v>
      </c>
      <c r="L35" s="151">
        <v>60632000</v>
      </c>
      <c r="M35" s="151">
        <v>147.6421</v>
      </c>
      <c r="N35" s="151">
        <v>89518.377030000003</v>
      </c>
      <c r="O35" s="153"/>
      <c r="Q35" s="154">
        <v>0.10975500000000001</v>
      </c>
      <c r="R35" s="154">
        <v>2.1749000000000001E-2</v>
      </c>
    </row>
    <row r="36" spans="1:18">
      <c r="A36" s="155">
        <v>274</v>
      </c>
      <c r="B36" s="155">
        <v>274</v>
      </c>
      <c r="C36" t="s">
        <v>649</v>
      </c>
      <c r="D36" t="s">
        <v>1856</v>
      </c>
      <c r="E36" s="155">
        <v>8288581</v>
      </c>
      <c r="F36" s="156">
        <v>43101</v>
      </c>
      <c r="G36" s="151">
        <v>6.39</v>
      </c>
      <c r="H36" t="s">
        <v>229</v>
      </c>
      <c r="I36" s="156">
        <v>48580</v>
      </c>
      <c r="J36" s="154">
        <v>4.8000000000000001E-2</v>
      </c>
      <c r="K36" s="154">
        <v>1.9599999999999999E-2</v>
      </c>
      <c r="L36" s="151">
        <v>2004000</v>
      </c>
      <c r="M36" s="151">
        <v>144.27629999999999</v>
      </c>
      <c r="N36" s="151">
        <v>2891.29628</v>
      </c>
      <c r="O36" s="153"/>
      <c r="Q36" s="154">
        <v>3.5439999999999998E-3</v>
      </c>
      <c r="R36" s="154">
        <v>7.0200000000000004E-4</v>
      </c>
    </row>
    <row r="37" spans="1:18">
      <c r="A37" s="155">
        <v>274</v>
      </c>
      <c r="B37" s="155">
        <v>274</v>
      </c>
      <c r="C37" t="s">
        <v>649</v>
      </c>
      <c r="D37" t="s">
        <v>1857</v>
      </c>
      <c r="E37" s="155">
        <v>8288003</v>
      </c>
      <c r="F37" s="156">
        <v>41334</v>
      </c>
      <c r="G37" s="151">
        <v>2.5099999999999998</v>
      </c>
      <c r="H37" t="s">
        <v>229</v>
      </c>
      <c r="I37" s="156">
        <v>46813</v>
      </c>
      <c r="J37" s="154">
        <v>4.8000000000000001E-2</v>
      </c>
      <c r="K37" s="154">
        <v>2.0400000000000001E-2</v>
      </c>
      <c r="L37" s="151">
        <v>8265000</v>
      </c>
      <c r="M37" s="151">
        <v>129.54079999999999</v>
      </c>
      <c r="N37" s="151">
        <v>10706.546109999999</v>
      </c>
      <c r="O37" s="153"/>
      <c r="Q37" s="154">
        <v>1.3126000000000001E-2</v>
      </c>
      <c r="R37" s="154">
        <v>2.601E-3</v>
      </c>
    </row>
    <row r="38" spans="1:18">
      <c r="A38" s="155">
        <v>274</v>
      </c>
      <c r="B38" s="155">
        <v>274</v>
      </c>
      <c r="C38" t="s">
        <v>649</v>
      </c>
      <c r="D38" t="s">
        <v>1858</v>
      </c>
      <c r="E38" s="155">
        <v>8288821</v>
      </c>
      <c r="F38" s="156">
        <v>43831</v>
      </c>
      <c r="G38" s="151">
        <v>7.82</v>
      </c>
      <c r="H38" t="s">
        <v>229</v>
      </c>
      <c r="I38" s="156">
        <v>49310</v>
      </c>
      <c r="J38" s="154">
        <v>4.8000000000000001E-2</v>
      </c>
      <c r="K38" s="154">
        <v>1.95E-2</v>
      </c>
      <c r="L38" s="151">
        <v>459000</v>
      </c>
      <c r="M38" s="151">
        <v>147.89410000000001</v>
      </c>
      <c r="N38" s="151">
        <v>678.83398</v>
      </c>
      <c r="O38" s="153"/>
      <c r="Q38" s="154">
        <v>8.3199999999999995E-4</v>
      </c>
      <c r="R38" s="154">
        <v>1.64E-4</v>
      </c>
    </row>
    <row r="39" spans="1:18">
      <c r="A39" s="155">
        <v>274</v>
      </c>
      <c r="B39" s="155">
        <v>274</v>
      </c>
      <c r="C39" t="s">
        <v>649</v>
      </c>
      <c r="D39" t="s">
        <v>1859</v>
      </c>
      <c r="E39" s="155">
        <v>8288557</v>
      </c>
      <c r="F39" s="156">
        <v>43009</v>
      </c>
      <c r="G39" s="151">
        <v>6.26</v>
      </c>
      <c r="H39" t="s">
        <v>229</v>
      </c>
      <c r="I39" s="156">
        <v>48488</v>
      </c>
      <c r="J39" s="154">
        <v>4.8000000000000001E-2</v>
      </c>
      <c r="K39" s="154">
        <v>1.9599999999999999E-2</v>
      </c>
      <c r="L39" s="151">
        <v>4726000</v>
      </c>
      <c r="M39" s="151">
        <v>142.24969999999999</v>
      </c>
      <c r="N39" s="151">
        <v>6722.7231300000003</v>
      </c>
      <c r="O39" s="153"/>
      <c r="Q39" s="154">
        <v>8.2419999999999993E-3</v>
      </c>
      <c r="R39" s="154">
        <v>1.6329999999999999E-3</v>
      </c>
    </row>
    <row r="40" spans="1:18">
      <c r="A40" s="155">
        <v>274</v>
      </c>
      <c r="B40" s="155">
        <v>274</v>
      </c>
      <c r="C40" t="s">
        <v>649</v>
      </c>
      <c r="D40" t="s">
        <v>1860</v>
      </c>
      <c r="E40" s="155">
        <v>8288110</v>
      </c>
      <c r="F40" s="156">
        <v>41672</v>
      </c>
      <c r="G40" s="151">
        <v>3.3</v>
      </c>
      <c r="H40" t="s">
        <v>229</v>
      </c>
      <c r="I40" s="156">
        <v>47151</v>
      </c>
      <c r="J40" s="154">
        <v>4.8000000000000001E-2</v>
      </c>
      <c r="K40" s="154">
        <v>2.0199999999999999E-2</v>
      </c>
      <c r="L40" s="151">
        <v>12251000</v>
      </c>
      <c r="M40" s="151">
        <v>130.33070000000001</v>
      </c>
      <c r="N40" s="151">
        <v>15966.811089999999</v>
      </c>
      <c r="O40" s="153"/>
      <c r="Q40" s="154">
        <v>1.9576E-2</v>
      </c>
      <c r="R40" s="154">
        <v>3.8790000000000001E-3</v>
      </c>
    </row>
    <row r="41" spans="1:18">
      <c r="A41" s="155">
        <v>274</v>
      </c>
      <c r="B41" s="155">
        <v>274</v>
      </c>
      <c r="C41" t="s">
        <v>649</v>
      </c>
      <c r="D41" t="s">
        <v>1861</v>
      </c>
      <c r="E41" s="155">
        <v>8288235</v>
      </c>
      <c r="F41" s="156">
        <v>42036</v>
      </c>
      <c r="G41" s="151">
        <v>4.13</v>
      </c>
      <c r="H41" t="s">
        <v>229</v>
      </c>
      <c r="I41" s="156">
        <v>47515</v>
      </c>
      <c r="J41" s="154">
        <v>4.8000000000000001E-2</v>
      </c>
      <c r="K41" s="154">
        <v>1.9900000000000001E-2</v>
      </c>
      <c r="L41" s="151">
        <v>3947000</v>
      </c>
      <c r="M41" s="151">
        <v>133.70760000000001</v>
      </c>
      <c r="N41" s="151">
        <v>5277.4385700000003</v>
      </c>
      <c r="O41" s="153"/>
      <c r="Q41" s="154">
        <v>6.4700000000000001E-3</v>
      </c>
      <c r="R41" s="154">
        <v>1.2819999999999999E-3</v>
      </c>
    </row>
    <row r="42" spans="1:18">
      <c r="A42" s="155">
        <v>274</v>
      </c>
      <c r="B42" s="155">
        <v>274</v>
      </c>
      <c r="C42" t="s">
        <v>649</v>
      </c>
      <c r="D42" t="s">
        <v>1862</v>
      </c>
      <c r="E42" s="155">
        <v>8288409</v>
      </c>
      <c r="F42" s="156">
        <v>42552</v>
      </c>
      <c r="G42" s="151">
        <v>5.24</v>
      </c>
      <c r="H42" t="s">
        <v>229</v>
      </c>
      <c r="I42" s="156">
        <v>48030</v>
      </c>
      <c r="J42" s="154">
        <v>4.8000000000000001E-2</v>
      </c>
      <c r="K42" s="154">
        <v>1.9699999999999999E-2</v>
      </c>
      <c r="L42" s="151">
        <v>5245000</v>
      </c>
      <c r="M42" s="151">
        <v>140.3356</v>
      </c>
      <c r="N42" s="151">
        <v>7360.6027800000002</v>
      </c>
      <c r="O42" s="153"/>
      <c r="Q42" s="154">
        <v>9.0240000000000008E-3</v>
      </c>
      <c r="R42" s="154">
        <v>1.7880000000000001E-3</v>
      </c>
    </row>
    <row r="43" spans="1:18">
      <c r="A43" s="155">
        <v>274</v>
      </c>
      <c r="B43" s="155">
        <v>274</v>
      </c>
      <c r="C43" t="s">
        <v>649</v>
      </c>
      <c r="D43" t="s">
        <v>1863</v>
      </c>
      <c r="E43" s="155">
        <v>8288631</v>
      </c>
      <c r="F43" s="156">
        <v>43252</v>
      </c>
      <c r="G43" s="151">
        <v>6.8</v>
      </c>
      <c r="H43" t="s">
        <v>229</v>
      </c>
      <c r="I43" s="156">
        <v>48731</v>
      </c>
      <c r="J43" s="154">
        <v>4.8000000000000001E-2</v>
      </c>
      <c r="K43" s="154">
        <v>1.9599999999999999E-2</v>
      </c>
      <c r="L43" s="151">
        <v>796000</v>
      </c>
      <c r="M43" s="151">
        <v>142.58330000000001</v>
      </c>
      <c r="N43" s="151">
        <v>1134.9630999999999</v>
      </c>
      <c r="O43" s="153"/>
      <c r="Q43" s="154">
        <v>1.3910000000000001E-3</v>
      </c>
      <c r="R43" s="154">
        <v>2.7500000000000002E-4</v>
      </c>
    </row>
    <row r="44" spans="1:18">
      <c r="A44" s="155">
        <v>274</v>
      </c>
      <c r="B44" s="155">
        <v>274</v>
      </c>
      <c r="C44" t="s">
        <v>649</v>
      </c>
      <c r="D44" t="s">
        <v>1864</v>
      </c>
      <c r="E44" s="155">
        <v>8288037</v>
      </c>
      <c r="F44" s="156">
        <v>41427</v>
      </c>
      <c r="G44" s="151">
        <v>2.77</v>
      </c>
      <c r="H44" t="s">
        <v>229</v>
      </c>
      <c r="I44" s="156">
        <v>46906</v>
      </c>
      <c r="J44" s="154">
        <v>4.8000000000000001E-2</v>
      </c>
      <c r="K44" s="154">
        <v>2.0299999999999999E-2</v>
      </c>
      <c r="L44" s="151">
        <v>7189000</v>
      </c>
      <c r="M44" s="151">
        <v>128.18219999999999</v>
      </c>
      <c r="N44" s="151">
        <v>9215.0210999999999</v>
      </c>
      <c r="O44" s="153"/>
      <c r="Q44" s="154">
        <v>1.1298000000000001E-2</v>
      </c>
      <c r="R44" s="154">
        <v>2.238E-3</v>
      </c>
    </row>
    <row r="45" spans="1:18">
      <c r="A45" s="155">
        <v>274</v>
      </c>
      <c r="B45" s="155">
        <v>274</v>
      </c>
      <c r="C45" t="s">
        <v>649</v>
      </c>
      <c r="D45" t="s">
        <v>1865</v>
      </c>
      <c r="E45" s="155">
        <v>8288672</v>
      </c>
      <c r="F45" s="156">
        <v>43375</v>
      </c>
      <c r="G45" s="151">
        <v>7.01</v>
      </c>
      <c r="H45" t="s">
        <v>229</v>
      </c>
      <c r="I45" s="156">
        <v>48856</v>
      </c>
      <c r="J45" s="154">
        <v>4.8000000000000001E-2</v>
      </c>
      <c r="K45" s="154">
        <v>1.95E-2</v>
      </c>
      <c r="L45" s="151">
        <v>1792000</v>
      </c>
      <c r="M45" s="151">
        <v>143.50219999999999</v>
      </c>
      <c r="N45" s="151">
        <v>2571.5598100000002</v>
      </c>
      <c r="O45" s="153"/>
      <c r="Q45" s="154">
        <v>3.1519999999999999E-3</v>
      </c>
      <c r="R45" s="154">
        <v>6.2399999999999999E-4</v>
      </c>
    </row>
    <row r="46" spans="1:18">
      <c r="A46" s="155">
        <v>274</v>
      </c>
      <c r="B46" s="155">
        <v>274</v>
      </c>
      <c r="C46" t="s">
        <v>649</v>
      </c>
      <c r="D46" t="s">
        <v>1866</v>
      </c>
      <c r="E46" s="155">
        <v>8288359</v>
      </c>
      <c r="F46" s="156">
        <v>42401</v>
      </c>
      <c r="G46" s="151">
        <v>4.9400000000000004</v>
      </c>
      <c r="H46" t="s">
        <v>229</v>
      </c>
      <c r="I46" s="156">
        <v>47880</v>
      </c>
      <c r="J46" s="154">
        <v>4.8000000000000001E-2</v>
      </c>
      <c r="K46" s="154">
        <v>1.9800000000000002E-2</v>
      </c>
      <c r="L46" s="151">
        <v>2413000</v>
      </c>
      <c r="M46" s="151">
        <v>138.1515</v>
      </c>
      <c r="N46" s="151">
        <v>3333.5964800000002</v>
      </c>
      <c r="O46" s="153"/>
      <c r="Q46" s="154">
        <v>4.0870000000000004E-3</v>
      </c>
      <c r="R46" s="154">
        <v>8.0900000000000004E-4</v>
      </c>
    </row>
    <row r="47" spans="1:18">
      <c r="A47" s="155">
        <v>274</v>
      </c>
      <c r="B47" s="155">
        <v>274</v>
      </c>
      <c r="C47" t="s">
        <v>649</v>
      </c>
      <c r="D47" t="s">
        <v>1867</v>
      </c>
      <c r="E47" s="155">
        <v>8288078</v>
      </c>
      <c r="F47" s="156">
        <v>41548</v>
      </c>
      <c r="G47" s="151">
        <v>3.03</v>
      </c>
      <c r="H47" t="s">
        <v>229</v>
      </c>
      <c r="I47" s="156">
        <v>47027</v>
      </c>
      <c r="J47" s="154">
        <v>4.8000000000000001E-2</v>
      </c>
      <c r="K47" s="154">
        <v>2.0199999999999999E-2</v>
      </c>
      <c r="L47" s="151">
        <v>157000</v>
      </c>
      <c r="M47" s="151">
        <v>128.37219999999999</v>
      </c>
      <c r="N47" s="151">
        <v>201.54441</v>
      </c>
      <c r="O47" s="153"/>
      <c r="Q47" s="154">
        <v>2.4699999999999999E-4</v>
      </c>
      <c r="R47" s="154">
        <v>4.8000000000000001E-5</v>
      </c>
    </row>
    <row r="48" spans="1:18">
      <c r="A48" s="155">
        <v>274</v>
      </c>
      <c r="B48" s="155">
        <v>274</v>
      </c>
      <c r="C48" t="s">
        <v>649</v>
      </c>
      <c r="D48" t="s">
        <v>1868</v>
      </c>
      <c r="E48" s="155">
        <v>8287997</v>
      </c>
      <c r="F48" s="156">
        <v>41306</v>
      </c>
      <c r="G48" s="151">
        <v>2.4300000000000002</v>
      </c>
      <c r="H48" t="s">
        <v>229</v>
      </c>
      <c r="I48" s="156">
        <v>46784</v>
      </c>
      <c r="J48" s="154">
        <v>4.8000000000000001E-2</v>
      </c>
      <c r="K48" s="154">
        <v>2.0500000000000001E-2</v>
      </c>
      <c r="L48" s="151">
        <v>41288000</v>
      </c>
      <c r="M48" s="151">
        <v>129.4853</v>
      </c>
      <c r="N48" s="151">
        <v>53461.903259999999</v>
      </c>
      <c r="O48" s="153"/>
      <c r="Q48" s="154">
        <v>6.5546999999999994E-2</v>
      </c>
      <c r="R48" s="154">
        <v>1.2988E-2</v>
      </c>
    </row>
    <row r="49" spans="1:18">
      <c r="A49" s="155">
        <v>274</v>
      </c>
      <c r="B49" s="155">
        <v>274</v>
      </c>
      <c r="C49" t="s">
        <v>649</v>
      </c>
      <c r="D49" t="s">
        <v>1869</v>
      </c>
      <c r="E49" s="155">
        <v>8287963</v>
      </c>
      <c r="F49" s="156">
        <v>41214</v>
      </c>
      <c r="G49" s="151">
        <v>2.23</v>
      </c>
      <c r="H49" t="s">
        <v>229</v>
      </c>
      <c r="I49" s="156">
        <v>46692</v>
      </c>
      <c r="J49" s="154">
        <v>4.8000000000000001E-2</v>
      </c>
      <c r="K49" s="154">
        <v>2.07E-2</v>
      </c>
      <c r="L49" s="151">
        <v>10874000</v>
      </c>
      <c r="M49" s="151">
        <v>126.64749999999999</v>
      </c>
      <c r="N49" s="151">
        <v>13771.6513</v>
      </c>
      <c r="O49" s="153"/>
      <c r="Q49" s="154">
        <v>1.6884E-2</v>
      </c>
      <c r="R49" s="154">
        <v>3.3449999999999999E-3</v>
      </c>
    </row>
    <row r="50" spans="1:18">
      <c r="A50" s="155">
        <v>274</v>
      </c>
      <c r="B50" s="155">
        <v>274</v>
      </c>
      <c r="C50" t="s">
        <v>649</v>
      </c>
      <c r="D50" t="s">
        <v>1870</v>
      </c>
      <c r="E50" s="155">
        <v>8288482</v>
      </c>
      <c r="F50" s="156">
        <v>42795</v>
      </c>
      <c r="G50" s="151">
        <v>5.8</v>
      </c>
      <c r="H50" t="s">
        <v>229</v>
      </c>
      <c r="I50" s="156">
        <v>48274</v>
      </c>
      <c r="J50" s="154">
        <v>4.8000000000000001E-2</v>
      </c>
      <c r="K50" s="154">
        <v>1.9699999999999999E-2</v>
      </c>
      <c r="L50" s="151">
        <v>1644000</v>
      </c>
      <c r="M50" s="151">
        <v>141.55340000000001</v>
      </c>
      <c r="N50" s="151">
        <v>2327.1377299999999</v>
      </c>
      <c r="O50" s="153"/>
      <c r="Q50" s="154">
        <v>2.8530000000000001E-3</v>
      </c>
      <c r="R50" s="154">
        <v>5.6499999999999996E-4</v>
      </c>
    </row>
    <row r="51" spans="1:18">
      <c r="A51" s="155">
        <v>274</v>
      </c>
      <c r="B51" s="155">
        <v>274</v>
      </c>
      <c r="C51" t="s">
        <v>649</v>
      </c>
      <c r="D51" t="s">
        <v>1871</v>
      </c>
      <c r="E51" s="155">
        <v>8288276</v>
      </c>
      <c r="F51" s="156">
        <v>42156</v>
      </c>
      <c r="G51" s="151">
        <v>4.47</v>
      </c>
      <c r="H51" t="s">
        <v>229</v>
      </c>
      <c r="I51" s="156">
        <v>47636</v>
      </c>
      <c r="J51" s="154">
        <v>4.8000000000000001E-2</v>
      </c>
      <c r="K51" s="154">
        <v>1.9900000000000001E-2</v>
      </c>
      <c r="L51" s="151">
        <v>3983000</v>
      </c>
      <c r="M51" s="151">
        <v>133.8289</v>
      </c>
      <c r="N51" s="151">
        <v>5330.4046200000003</v>
      </c>
      <c r="O51" s="153"/>
      <c r="Q51" s="154">
        <v>6.535E-3</v>
      </c>
      <c r="R51" s="154">
        <v>1.2949999999999999E-3</v>
      </c>
    </row>
    <row r="52" spans="1:18">
      <c r="A52" s="155">
        <v>274</v>
      </c>
      <c r="B52" s="155">
        <v>274</v>
      </c>
      <c r="C52" t="s">
        <v>649</v>
      </c>
      <c r="D52" t="s">
        <v>1872</v>
      </c>
      <c r="E52" s="155">
        <v>8288219</v>
      </c>
      <c r="F52" s="156">
        <v>41974</v>
      </c>
      <c r="G52" s="151">
        <v>4.05</v>
      </c>
      <c r="H52" t="s">
        <v>229</v>
      </c>
      <c r="I52" s="156">
        <v>47454</v>
      </c>
      <c r="J52" s="154">
        <v>4.8000000000000001E-2</v>
      </c>
      <c r="K52" s="154">
        <v>1.9900000000000001E-2</v>
      </c>
      <c r="L52" s="151">
        <v>8816000</v>
      </c>
      <c r="M52" s="151">
        <v>131.0968</v>
      </c>
      <c r="N52" s="151">
        <v>11557.4936</v>
      </c>
      <c r="O52" s="153"/>
      <c r="Q52" s="154">
        <v>1.417E-2</v>
      </c>
      <c r="R52" s="154">
        <v>2.807E-3</v>
      </c>
    </row>
    <row r="53" spans="1:18">
      <c r="A53" s="155">
        <v>274</v>
      </c>
      <c r="B53" s="155">
        <v>274</v>
      </c>
      <c r="C53" t="s">
        <v>649</v>
      </c>
      <c r="D53" t="s">
        <v>1873</v>
      </c>
      <c r="E53" s="155">
        <v>8288391</v>
      </c>
      <c r="F53" s="156">
        <v>42522</v>
      </c>
      <c r="G53" s="151">
        <v>5.27</v>
      </c>
      <c r="H53" t="s">
        <v>229</v>
      </c>
      <c r="I53" s="156">
        <v>48000</v>
      </c>
      <c r="J53" s="154">
        <v>4.8000000000000001E-2</v>
      </c>
      <c r="K53" s="154">
        <v>1.9699999999999999E-2</v>
      </c>
      <c r="L53" s="151">
        <v>5581000</v>
      </c>
      <c r="M53" s="151">
        <v>138.13300000000001</v>
      </c>
      <c r="N53" s="151">
        <v>7709.2048100000002</v>
      </c>
      <c r="O53" s="153"/>
      <c r="Q53" s="154">
        <v>9.4520000000000003E-3</v>
      </c>
      <c r="R53" s="154">
        <v>1.8730000000000001E-3</v>
      </c>
    </row>
    <row r="54" spans="1:18">
      <c r="A54" s="155">
        <v>274</v>
      </c>
      <c r="B54" s="155">
        <v>274</v>
      </c>
      <c r="C54" t="s">
        <v>649</v>
      </c>
      <c r="D54" t="s">
        <v>1874</v>
      </c>
      <c r="E54" s="155">
        <v>8288383</v>
      </c>
      <c r="F54" s="156">
        <v>42491</v>
      </c>
      <c r="G54" s="151">
        <v>5.18</v>
      </c>
      <c r="H54" t="s">
        <v>229</v>
      </c>
      <c r="I54" s="156">
        <v>47969</v>
      </c>
      <c r="J54" s="154">
        <v>4.8000000000000001E-2</v>
      </c>
      <c r="K54" s="154">
        <v>1.9800000000000002E-2</v>
      </c>
      <c r="L54" s="151">
        <v>5807000</v>
      </c>
      <c r="M54" s="151">
        <v>138.9033</v>
      </c>
      <c r="N54" s="151">
        <v>8066.1135400000003</v>
      </c>
      <c r="O54" s="153"/>
      <c r="Q54" s="154">
        <v>9.8890000000000002E-3</v>
      </c>
      <c r="R54" s="154">
        <v>1.9589999999999998E-3</v>
      </c>
    </row>
    <row r="55" spans="1:18">
      <c r="A55" s="155">
        <v>274</v>
      </c>
      <c r="B55" s="155">
        <v>274</v>
      </c>
      <c r="C55" t="s">
        <v>649</v>
      </c>
      <c r="D55" t="s">
        <v>1875</v>
      </c>
      <c r="E55" s="155">
        <v>8288540</v>
      </c>
      <c r="F55" s="156">
        <v>42979</v>
      </c>
      <c r="G55" s="151">
        <v>6.18</v>
      </c>
      <c r="H55" t="s">
        <v>229</v>
      </c>
      <c r="I55" s="156">
        <v>48458</v>
      </c>
      <c r="J55" s="154">
        <v>4.8000000000000001E-2</v>
      </c>
      <c r="K55" s="154">
        <v>1.9599999999999999E-2</v>
      </c>
      <c r="L55" s="151">
        <v>8559000</v>
      </c>
      <c r="M55" s="151">
        <v>142.90790000000001</v>
      </c>
      <c r="N55" s="151">
        <v>12231.48972</v>
      </c>
      <c r="O55" s="153"/>
      <c r="Q55" s="154">
        <v>1.4996000000000001E-2</v>
      </c>
      <c r="R55" s="154">
        <v>2.9710000000000001E-3</v>
      </c>
    </row>
    <row r="56" spans="1:18">
      <c r="A56" s="155">
        <v>274</v>
      </c>
      <c r="B56" s="155">
        <v>274</v>
      </c>
      <c r="C56" t="s">
        <v>649</v>
      </c>
      <c r="D56" t="s">
        <v>1876</v>
      </c>
      <c r="E56" s="155">
        <v>8289027</v>
      </c>
      <c r="F56" s="156">
        <v>44470</v>
      </c>
      <c r="G56" s="151">
        <v>9.09</v>
      </c>
      <c r="H56" t="s">
        <v>229</v>
      </c>
      <c r="I56" s="156">
        <v>49949</v>
      </c>
      <c r="J56" s="154">
        <v>4.8000000000000001E-2</v>
      </c>
      <c r="K56" s="154">
        <v>1.9400000000000001E-2</v>
      </c>
      <c r="L56" s="151">
        <v>3054000</v>
      </c>
      <c r="M56" s="151">
        <v>149.0102</v>
      </c>
      <c r="N56" s="151">
        <v>4550.7707899999996</v>
      </c>
      <c r="O56" s="153"/>
      <c r="Q56" s="154">
        <v>5.5789999999999998E-3</v>
      </c>
      <c r="R56" s="154">
        <v>1.1050000000000001E-3</v>
      </c>
    </row>
    <row r="57" spans="1:18">
      <c r="A57" s="155">
        <v>274</v>
      </c>
      <c r="B57" s="155">
        <v>274</v>
      </c>
      <c r="C57" t="s">
        <v>649</v>
      </c>
      <c r="D57" t="s">
        <v>1877</v>
      </c>
      <c r="E57" s="155">
        <v>8288433</v>
      </c>
      <c r="F57" s="156">
        <v>42645</v>
      </c>
      <c r="G57" s="151">
        <v>5.5</v>
      </c>
      <c r="H57" t="s">
        <v>229</v>
      </c>
      <c r="I57" s="156">
        <v>48123</v>
      </c>
      <c r="J57" s="154">
        <v>4.8000000000000001E-2</v>
      </c>
      <c r="K57" s="154">
        <v>1.9699999999999999E-2</v>
      </c>
      <c r="L57" s="151">
        <v>1052000</v>
      </c>
      <c r="M57" s="151">
        <v>139.1054</v>
      </c>
      <c r="N57" s="151">
        <v>1463.3890699999999</v>
      </c>
      <c r="O57" s="153"/>
      <c r="Q57" s="154">
        <v>1.794E-3</v>
      </c>
      <c r="R57" s="154">
        <v>3.5500000000000001E-4</v>
      </c>
    </row>
    <row r="58" spans="1:18">
      <c r="A58" s="155">
        <v>274</v>
      </c>
      <c r="B58" s="155">
        <v>274</v>
      </c>
      <c r="C58" t="s">
        <v>649</v>
      </c>
      <c r="D58" t="s">
        <v>1878</v>
      </c>
      <c r="E58" s="155">
        <v>8288680</v>
      </c>
      <c r="F58" s="156">
        <v>43405</v>
      </c>
      <c r="G58" s="151">
        <v>7.08</v>
      </c>
      <c r="H58" t="s">
        <v>229</v>
      </c>
      <c r="I58" s="156">
        <v>48884</v>
      </c>
      <c r="J58" s="154">
        <v>4.8000000000000001E-2</v>
      </c>
      <c r="K58" s="154">
        <v>1.95E-2</v>
      </c>
      <c r="L58" s="151">
        <v>533000</v>
      </c>
      <c r="M58" s="151">
        <v>143.11529999999999</v>
      </c>
      <c r="N58" s="151">
        <v>762.80449999999996</v>
      </c>
      <c r="O58" s="153"/>
      <c r="Q58" s="154">
        <v>9.3499999999999996E-4</v>
      </c>
      <c r="R58" s="154">
        <v>1.85E-4</v>
      </c>
    </row>
    <row r="59" spans="1:18">
      <c r="A59" s="155">
        <v>274</v>
      </c>
      <c r="B59" s="155">
        <v>274</v>
      </c>
      <c r="C59" t="s">
        <v>649</v>
      </c>
      <c r="D59" t="s">
        <v>1879</v>
      </c>
      <c r="E59" s="155">
        <v>8288748</v>
      </c>
      <c r="F59" s="156">
        <v>43586</v>
      </c>
      <c r="G59" s="151">
        <v>7.44</v>
      </c>
      <c r="H59" t="s">
        <v>229</v>
      </c>
      <c r="I59" s="156">
        <v>49065</v>
      </c>
      <c r="J59" s="154">
        <v>4.8000000000000001E-2</v>
      </c>
      <c r="K59" s="154">
        <v>1.95E-2</v>
      </c>
      <c r="L59" s="151">
        <v>3351000</v>
      </c>
      <c r="M59" s="151">
        <v>144.27189999999999</v>
      </c>
      <c r="N59" s="151">
        <v>4834.5513600000004</v>
      </c>
      <c r="O59" s="153"/>
      <c r="Q59" s="154">
        <v>5.927E-3</v>
      </c>
      <c r="R59" s="154">
        <v>1.1739999999999999E-3</v>
      </c>
    </row>
    <row r="60" spans="1:18">
      <c r="A60" s="155">
        <v>274</v>
      </c>
      <c r="B60" s="155">
        <v>274</v>
      </c>
      <c r="C60" t="s">
        <v>649</v>
      </c>
      <c r="D60" t="s">
        <v>1880</v>
      </c>
      <c r="E60" s="155">
        <v>8288060</v>
      </c>
      <c r="F60" s="156">
        <v>41518</v>
      </c>
      <c r="G60" s="151">
        <v>2.95</v>
      </c>
      <c r="H60" t="s">
        <v>229</v>
      </c>
      <c r="I60" s="156">
        <v>46999</v>
      </c>
      <c r="J60" s="154">
        <v>4.8000000000000001E-2</v>
      </c>
      <c r="K60" s="154">
        <v>2.0199999999999999E-2</v>
      </c>
      <c r="L60" s="151">
        <v>1115000</v>
      </c>
      <c r="M60" s="151">
        <v>128.8366</v>
      </c>
      <c r="N60" s="151">
        <v>1436.52781</v>
      </c>
      <c r="O60" s="153"/>
      <c r="Q60" s="154">
        <v>1.761E-3</v>
      </c>
      <c r="R60" s="154">
        <v>3.4900000000000003E-4</v>
      </c>
    </row>
    <row r="61" spans="1:18">
      <c r="A61" s="155">
        <v>274</v>
      </c>
      <c r="B61" s="155">
        <v>274</v>
      </c>
      <c r="C61" t="s">
        <v>649</v>
      </c>
      <c r="D61" t="s">
        <v>1881</v>
      </c>
      <c r="E61" s="155">
        <v>8288243</v>
      </c>
      <c r="F61" s="156">
        <v>42064</v>
      </c>
      <c r="G61" s="151">
        <v>4.21</v>
      </c>
      <c r="H61" t="s">
        <v>229</v>
      </c>
      <c r="I61" s="156">
        <v>47543</v>
      </c>
      <c r="J61" s="154">
        <v>4.8000000000000001E-2</v>
      </c>
      <c r="K61" s="154">
        <v>1.9900000000000001E-2</v>
      </c>
      <c r="L61" s="151">
        <v>6812000</v>
      </c>
      <c r="M61" s="151">
        <v>134.73580000000001</v>
      </c>
      <c r="N61" s="151">
        <v>9178.2057499999992</v>
      </c>
      <c r="O61" s="153"/>
      <c r="Q61" s="154">
        <v>1.1253000000000001E-2</v>
      </c>
      <c r="R61" s="154">
        <v>2.2290000000000001E-3</v>
      </c>
    </row>
    <row r="62" spans="1:18">
      <c r="A62" s="155">
        <v>274</v>
      </c>
      <c r="B62" s="155">
        <v>274</v>
      </c>
      <c r="C62" t="s">
        <v>649</v>
      </c>
      <c r="D62" t="s">
        <v>1882</v>
      </c>
      <c r="E62" s="155">
        <v>8288755</v>
      </c>
      <c r="F62" s="156">
        <v>43618</v>
      </c>
      <c r="G62" s="151">
        <v>7.53</v>
      </c>
      <c r="H62" t="s">
        <v>229</v>
      </c>
      <c r="I62" s="156">
        <v>49097</v>
      </c>
      <c r="J62" s="154">
        <v>4.8000000000000001E-2</v>
      </c>
      <c r="K62" s="154">
        <v>1.95E-2</v>
      </c>
      <c r="L62" s="151">
        <v>4144000</v>
      </c>
      <c r="M62" s="151">
        <v>143.62389999999999</v>
      </c>
      <c r="N62" s="151">
        <v>5951.7755399999996</v>
      </c>
      <c r="O62" s="153"/>
      <c r="Q62" s="154">
        <v>7.2969999999999997E-3</v>
      </c>
      <c r="R62" s="154">
        <v>1.446E-3</v>
      </c>
    </row>
    <row r="63" spans="1:18">
      <c r="A63" s="155">
        <v>274</v>
      </c>
      <c r="B63" s="155">
        <v>274</v>
      </c>
      <c r="C63" t="s">
        <v>649</v>
      </c>
      <c r="D63" t="s">
        <v>1883</v>
      </c>
      <c r="E63" s="155">
        <v>8288201</v>
      </c>
      <c r="F63" s="156">
        <v>41945</v>
      </c>
      <c r="G63" s="151">
        <v>3.97</v>
      </c>
      <c r="H63" t="s">
        <v>229</v>
      </c>
      <c r="I63" s="156">
        <v>47424</v>
      </c>
      <c r="J63" s="154">
        <v>4.8000000000000001E-2</v>
      </c>
      <c r="K63" s="154">
        <v>0.02</v>
      </c>
      <c r="L63" s="151">
        <v>6036000</v>
      </c>
      <c r="M63" s="151">
        <v>131.65600000000001</v>
      </c>
      <c r="N63" s="151">
        <v>7946.7589799999996</v>
      </c>
      <c r="O63" s="153"/>
      <c r="Q63" s="154">
        <v>9.7429999999999999E-3</v>
      </c>
      <c r="R63" s="154">
        <v>1.9300000000000001E-3</v>
      </c>
    </row>
    <row r="64" spans="1:18">
      <c r="A64" s="155">
        <v>274</v>
      </c>
      <c r="B64" s="155">
        <v>274</v>
      </c>
      <c r="C64" t="s">
        <v>649</v>
      </c>
      <c r="D64" t="s">
        <v>1884</v>
      </c>
      <c r="E64" s="155">
        <v>8288656</v>
      </c>
      <c r="F64" s="156">
        <v>43313</v>
      </c>
      <c r="G64" s="151">
        <v>6.83</v>
      </c>
      <c r="H64" t="s">
        <v>229</v>
      </c>
      <c r="I64" s="156">
        <v>48792</v>
      </c>
      <c r="J64" s="154">
        <v>4.8000000000000001E-2</v>
      </c>
      <c r="K64" s="154">
        <v>1.9599999999999999E-2</v>
      </c>
      <c r="L64" s="151">
        <v>22000</v>
      </c>
      <c r="M64" s="151">
        <v>144.07740000000001</v>
      </c>
      <c r="N64" s="151">
        <v>31.697040000000001</v>
      </c>
      <c r="O64" s="153"/>
      <c r="Q64" s="154">
        <v>3.8000000000000002E-5</v>
      </c>
      <c r="R64" s="154">
        <v>6.9999999999999999E-6</v>
      </c>
    </row>
    <row r="65" spans="1:18">
      <c r="A65" s="155">
        <v>274</v>
      </c>
      <c r="B65" s="155">
        <v>274</v>
      </c>
      <c r="C65" t="s">
        <v>649</v>
      </c>
      <c r="D65" t="s">
        <v>1885</v>
      </c>
      <c r="E65" s="155">
        <v>8288573</v>
      </c>
      <c r="F65" s="156">
        <v>43070</v>
      </c>
      <c r="G65" s="151">
        <v>6.43</v>
      </c>
      <c r="H65" t="s">
        <v>229</v>
      </c>
      <c r="I65" s="156">
        <v>48549</v>
      </c>
      <c r="J65" s="154">
        <v>4.8000000000000001E-2</v>
      </c>
      <c r="K65" s="154">
        <v>1.9599999999999999E-2</v>
      </c>
      <c r="L65" s="151">
        <v>3172000</v>
      </c>
      <c r="M65" s="151">
        <v>141.24549999999999</v>
      </c>
      <c r="N65" s="151">
        <v>4480.3064999999997</v>
      </c>
      <c r="O65" s="153"/>
      <c r="Q65" s="154">
        <v>5.4929999999999996E-3</v>
      </c>
      <c r="R65" s="154">
        <v>1.088E-3</v>
      </c>
    </row>
    <row r="66" spans="1:18">
      <c r="A66" s="155">
        <v>274</v>
      </c>
      <c r="B66" s="155">
        <v>274</v>
      </c>
      <c r="C66" t="s">
        <v>649</v>
      </c>
      <c r="D66" t="s">
        <v>1886</v>
      </c>
      <c r="E66" s="155">
        <v>8288342</v>
      </c>
      <c r="F66" s="156">
        <v>42370</v>
      </c>
      <c r="G66" s="151">
        <v>4.8499999999999996</v>
      </c>
      <c r="H66" t="s">
        <v>229</v>
      </c>
      <c r="I66" s="156">
        <v>47849</v>
      </c>
      <c r="J66" s="154">
        <v>4.8000000000000001E-2</v>
      </c>
      <c r="K66" s="154">
        <v>1.9800000000000002E-2</v>
      </c>
      <c r="L66" s="151">
        <v>2301000</v>
      </c>
      <c r="M66" s="151">
        <v>138.23509999999999</v>
      </c>
      <c r="N66" s="151">
        <v>3180.7899299999999</v>
      </c>
      <c r="O66" s="153"/>
      <c r="Q66" s="154">
        <v>3.8990000000000001E-3</v>
      </c>
      <c r="R66" s="154">
        <v>7.7200000000000001E-4</v>
      </c>
    </row>
    <row r="67" spans="1:18">
      <c r="A67" s="155">
        <v>274</v>
      </c>
      <c r="B67" s="155">
        <v>274</v>
      </c>
      <c r="C67" t="s">
        <v>649</v>
      </c>
      <c r="D67" t="s">
        <v>1887</v>
      </c>
      <c r="E67" s="155">
        <v>8288250</v>
      </c>
      <c r="F67" s="156">
        <v>42095</v>
      </c>
      <c r="G67" s="151">
        <v>4.3</v>
      </c>
      <c r="H67" t="s">
        <v>229</v>
      </c>
      <c r="I67" s="156">
        <v>47574</v>
      </c>
      <c r="J67" s="154">
        <v>4.8000000000000001E-2</v>
      </c>
      <c r="K67" s="154">
        <v>1.9900000000000001E-2</v>
      </c>
      <c r="L67" s="151">
        <v>20343000</v>
      </c>
      <c r="M67" s="151">
        <v>135.46619999999999</v>
      </c>
      <c r="N67" s="151">
        <v>27557.885289999998</v>
      </c>
      <c r="O67" s="153"/>
      <c r="Q67" s="154">
        <v>3.3786999999999998E-2</v>
      </c>
      <c r="R67" s="154">
        <v>6.6950000000000004E-3</v>
      </c>
    </row>
    <row r="68" spans="1:18">
      <c r="A68" s="155">
        <v>274</v>
      </c>
      <c r="B68" s="155">
        <v>274</v>
      </c>
      <c r="C68" t="s">
        <v>649</v>
      </c>
      <c r="D68" t="s">
        <v>1888</v>
      </c>
      <c r="E68" s="155">
        <v>8288169</v>
      </c>
      <c r="F68" s="156">
        <v>41821</v>
      </c>
      <c r="G68" s="151">
        <v>3.63</v>
      </c>
      <c r="H68" t="s">
        <v>229</v>
      </c>
      <c r="I68" s="156">
        <v>47300</v>
      </c>
      <c r="J68" s="154">
        <v>4.8000000000000001E-2</v>
      </c>
      <c r="K68" s="154">
        <v>0.02</v>
      </c>
      <c r="L68" s="151">
        <v>10396000</v>
      </c>
      <c r="M68" s="151">
        <v>132.52019999999999</v>
      </c>
      <c r="N68" s="151">
        <v>13776.80298</v>
      </c>
      <c r="O68" s="153"/>
      <c r="Q68" s="154">
        <v>1.6891E-2</v>
      </c>
      <c r="R68" s="154">
        <v>3.3470000000000001E-3</v>
      </c>
    </row>
    <row r="69" spans="1:18">
      <c r="A69" s="155">
        <v>274</v>
      </c>
      <c r="B69" s="155">
        <v>274</v>
      </c>
      <c r="C69" t="s">
        <v>649</v>
      </c>
      <c r="D69" t="s">
        <v>1889</v>
      </c>
      <c r="E69" s="155">
        <v>8288664</v>
      </c>
      <c r="F69" s="156">
        <v>43345</v>
      </c>
      <c r="G69" s="151">
        <v>6.92</v>
      </c>
      <c r="H69" t="s">
        <v>229</v>
      </c>
      <c r="I69" s="156">
        <v>48824</v>
      </c>
      <c r="J69" s="154">
        <v>4.8000000000000001E-2</v>
      </c>
      <c r="K69" s="154">
        <v>1.95E-2</v>
      </c>
      <c r="L69" s="151">
        <v>6557000</v>
      </c>
      <c r="M69" s="151">
        <v>143.8586</v>
      </c>
      <c r="N69" s="151">
        <v>9432.8109600000007</v>
      </c>
      <c r="O69" s="153"/>
      <c r="Q69" s="154">
        <v>1.1565000000000001E-2</v>
      </c>
      <c r="R69" s="154">
        <v>2.2910000000000001E-3</v>
      </c>
    </row>
    <row r="70" spans="1:18">
      <c r="A70" s="155">
        <v>274</v>
      </c>
      <c r="B70" s="155">
        <v>274</v>
      </c>
      <c r="C70" t="s">
        <v>649</v>
      </c>
      <c r="D70" t="s">
        <v>1890</v>
      </c>
      <c r="E70" s="155">
        <v>8288995</v>
      </c>
      <c r="F70" s="156">
        <v>44378</v>
      </c>
      <c r="G70" s="151">
        <v>8.84</v>
      </c>
      <c r="H70" t="s">
        <v>229</v>
      </c>
      <c r="I70" s="156">
        <v>49857</v>
      </c>
      <c r="J70" s="154">
        <v>4.8000000000000001E-2</v>
      </c>
      <c r="K70" s="154">
        <v>1.9400000000000001E-2</v>
      </c>
      <c r="L70" s="151">
        <v>94000</v>
      </c>
      <c r="M70" s="151">
        <v>150.8895</v>
      </c>
      <c r="N70" s="151">
        <v>141.83609000000001</v>
      </c>
      <c r="O70" s="153"/>
      <c r="Q70" s="154">
        <v>1.73E-4</v>
      </c>
      <c r="R70" s="154">
        <v>3.4E-5</v>
      </c>
    </row>
    <row r="71" spans="1:18">
      <c r="A71" s="155">
        <v>274</v>
      </c>
      <c r="B71" s="155">
        <v>274</v>
      </c>
      <c r="C71" t="s">
        <v>649</v>
      </c>
      <c r="D71" t="s">
        <v>1891</v>
      </c>
      <c r="E71" s="155">
        <v>8288284</v>
      </c>
      <c r="F71" s="156">
        <v>42186</v>
      </c>
      <c r="G71" s="151">
        <v>4.45</v>
      </c>
      <c r="H71" t="s">
        <v>229</v>
      </c>
      <c r="I71" s="156">
        <v>47665</v>
      </c>
      <c r="J71" s="154">
        <v>4.8000000000000001E-2</v>
      </c>
      <c r="K71" s="154">
        <v>1.9900000000000001E-2</v>
      </c>
      <c r="L71" s="151">
        <v>11403000</v>
      </c>
      <c r="M71" s="151">
        <v>136.1567</v>
      </c>
      <c r="N71" s="151">
        <v>15525.94829</v>
      </c>
      <c r="O71" s="153"/>
      <c r="Q71" s="154">
        <v>1.9035E-2</v>
      </c>
      <c r="R71" s="154">
        <v>3.7720000000000002E-3</v>
      </c>
    </row>
    <row r="72" spans="1:18">
      <c r="A72" s="155">
        <v>274</v>
      </c>
      <c r="B72" s="155">
        <v>274</v>
      </c>
      <c r="C72" t="s">
        <v>649</v>
      </c>
      <c r="D72" t="s">
        <v>1892</v>
      </c>
      <c r="E72" s="155">
        <v>8288177</v>
      </c>
      <c r="F72" s="156">
        <v>41852</v>
      </c>
      <c r="G72" s="151">
        <v>3.72</v>
      </c>
      <c r="H72" t="s">
        <v>229</v>
      </c>
      <c r="I72" s="156">
        <v>47331</v>
      </c>
      <c r="J72" s="154">
        <v>4.8000000000000001E-2</v>
      </c>
      <c r="K72" s="154">
        <v>0.02</v>
      </c>
      <c r="L72" s="151">
        <v>6149000</v>
      </c>
      <c r="M72" s="151">
        <v>131.90809999999999</v>
      </c>
      <c r="N72" s="151">
        <v>8111.0321000000004</v>
      </c>
      <c r="O72" s="153"/>
      <c r="Q72" s="154">
        <v>9.9439999999999997E-3</v>
      </c>
      <c r="R72" s="154">
        <v>1.97E-3</v>
      </c>
    </row>
    <row r="73" spans="1:18">
      <c r="A73" s="155">
        <v>274</v>
      </c>
      <c r="B73" s="155">
        <v>274</v>
      </c>
      <c r="C73" t="s">
        <v>649</v>
      </c>
      <c r="D73" t="s">
        <v>1893</v>
      </c>
      <c r="E73" s="155">
        <v>8288193</v>
      </c>
      <c r="F73" s="156">
        <v>41913</v>
      </c>
      <c r="G73" s="151">
        <v>3.89</v>
      </c>
      <c r="H73" t="s">
        <v>229</v>
      </c>
      <c r="I73" s="156">
        <v>47393</v>
      </c>
      <c r="J73" s="154">
        <v>4.8000000000000001E-2</v>
      </c>
      <c r="K73" s="154">
        <v>0.02</v>
      </c>
      <c r="L73" s="151">
        <v>18501000</v>
      </c>
      <c r="M73" s="151">
        <v>131.4914</v>
      </c>
      <c r="N73" s="151">
        <v>24327.22682</v>
      </c>
      <c r="O73" s="153"/>
      <c r="Q73" s="154">
        <v>2.9825999999999998E-2</v>
      </c>
      <c r="R73" s="154">
        <v>5.9100000000000003E-3</v>
      </c>
    </row>
    <row r="74" spans="1:18">
      <c r="A74" s="155">
        <v>274</v>
      </c>
      <c r="B74" s="155">
        <v>274</v>
      </c>
      <c r="C74" t="s">
        <v>649</v>
      </c>
      <c r="D74" t="s">
        <v>1894</v>
      </c>
      <c r="E74" s="155">
        <v>8288334</v>
      </c>
      <c r="F74" s="156">
        <v>42339</v>
      </c>
      <c r="G74" s="151">
        <v>4.87</v>
      </c>
      <c r="H74" t="s">
        <v>229</v>
      </c>
      <c r="I74" s="156">
        <v>47818</v>
      </c>
      <c r="J74" s="154">
        <v>4.8000000000000001E-2</v>
      </c>
      <c r="K74" s="154">
        <v>1.9800000000000002E-2</v>
      </c>
      <c r="L74" s="151">
        <v>7278000</v>
      </c>
      <c r="M74" s="151">
        <v>135.08269999999999</v>
      </c>
      <c r="N74" s="151">
        <v>9831.3206399999999</v>
      </c>
      <c r="O74" s="153"/>
      <c r="Q74" s="154">
        <v>1.2052999999999999E-2</v>
      </c>
      <c r="R74" s="154">
        <v>2.3879999999999999E-3</v>
      </c>
    </row>
    <row r="75" spans="1:18">
      <c r="A75" s="155">
        <v>274</v>
      </c>
      <c r="B75" s="155">
        <v>274</v>
      </c>
      <c r="C75" t="s">
        <v>649</v>
      </c>
      <c r="D75" t="s">
        <v>1895</v>
      </c>
      <c r="E75" s="155">
        <v>8288805</v>
      </c>
      <c r="F75" s="156">
        <v>43770</v>
      </c>
      <c r="G75" s="151">
        <v>7.8</v>
      </c>
      <c r="H75" t="s">
        <v>229</v>
      </c>
      <c r="I75" s="156">
        <v>49249</v>
      </c>
      <c r="J75" s="154">
        <v>4.8000000000000001E-2</v>
      </c>
      <c r="K75" s="154">
        <v>1.95E-2</v>
      </c>
      <c r="L75" s="151">
        <v>2830000</v>
      </c>
      <c r="M75" s="151">
        <v>145.54839999999999</v>
      </c>
      <c r="N75" s="151">
        <v>4119.0211200000003</v>
      </c>
      <c r="O75" s="153"/>
      <c r="Q75" s="154">
        <v>5.0499999999999998E-3</v>
      </c>
      <c r="R75" s="154">
        <v>1E-3</v>
      </c>
    </row>
    <row r="76" spans="1:18">
      <c r="A76" s="155">
        <v>274</v>
      </c>
      <c r="B76" s="155">
        <v>274</v>
      </c>
      <c r="C76" t="s">
        <v>649</v>
      </c>
      <c r="D76" t="s">
        <v>1896</v>
      </c>
      <c r="E76" s="155">
        <v>8288961</v>
      </c>
      <c r="F76" s="156">
        <v>44287</v>
      </c>
      <c r="G76" s="151">
        <v>8.75</v>
      </c>
      <c r="H76" t="s">
        <v>229</v>
      </c>
      <c r="I76" s="156">
        <v>49766</v>
      </c>
      <c r="J76" s="154">
        <v>4.8000000000000001E-2</v>
      </c>
      <c r="K76" s="154">
        <v>1.9400000000000001E-2</v>
      </c>
      <c r="L76" s="151">
        <v>1557000</v>
      </c>
      <c r="M76" s="151">
        <v>150.7518</v>
      </c>
      <c r="N76" s="151">
        <v>2347.20516</v>
      </c>
      <c r="O76" s="153"/>
      <c r="Q76" s="154">
        <v>2.8770000000000002E-3</v>
      </c>
      <c r="R76" s="154">
        <v>5.6999999999999998E-4</v>
      </c>
    </row>
    <row r="77" spans="1:18">
      <c r="A77" s="155">
        <v>274</v>
      </c>
      <c r="B77" s="155">
        <v>274</v>
      </c>
      <c r="C77" t="s">
        <v>649</v>
      </c>
      <c r="D77" t="s">
        <v>1897</v>
      </c>
      <c r="E77" s="155">
        <v>8287948</v>
      </c>
      <c r="F77" s="156">
        <v>41154</v>
      </c>
      <c r="G77" s="151">
        <v>2.06</v>
      </c>
      <c r="H77" t="s">
        <v>229</v>
      </c>
      <c r="I77" s="156">
        <v>46632</v>
      </c>
      <c r="J77" s="154">
        <v>4.8000000000000001E-2</v>
      </c>
      <c r="K77" s="154">
        <v>2.07E-2</v>
      </c>
      <c r="L77" s="151">
        <v>10809000</v>
      </c>
      <c r="M77" s="151">
        <v>128.40459999999999</v>
      </c>
      <c r="N77" s="151">
        <v>13879.250770000001</v>
      </c>
      <c r="O77" s="153"/>
      <c r="Q77" s="154">
        <v>1.7016E-2</v>
      </c>
      <c r="R77" s="154">
        <v>3.372E-3</v>
      </c>
    </row>
    <row r="78" spans="1:18">
      <c r="A78" s="155">
        <v>274</v>
      </c>
      <c r="B78" s="155">
        <v>274</v>
      </c>
      <c r="C78" t="s">
        <v>649</v>
      </c>
      <c r="D78" t="s">
        <v>1898</v>
      </c>
      <c r="E78" s="155">
        <v>8288565</v>
      </c>
      <c r="F78" s="156">
        <v>43040</v>
      </c>
      <c r="G78" s="151">
        <v>6.34</v>
      </c>
      <c r="H78" t="s">
        <v>229</v>
      </c>
      <c r="I78" s="156">
        <v>48519</v>
      </c>
      <c r="J78" s="154">
        <v>4.8000000000000001E-2</v>
      </c>
      <c r="K78" s="154">
        <v>1.9599999999999999E-2</v>
      </c>
      <c r="L78" s="151">
        <v>1162000</v>
      </c>
      <c r="M78" s="151">
        <v>141.87299999999999</v>
      </c>
      <c r="N78" s="151">
        <v>1648.56384</v>
      </c>
      <c r="O78" s="153"/>
      <c r="Q78" s="154">
        <v>2.0209999999999998E-3</v>
      </c>
      <c r="R78" s="154">
        <v>4.0000000000000002E-4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/>
  <cols>
    <col min="1" max="1" width="8.75" style="2" bestFit="1" customWidth="1"/>
    <col min="2" max="2" width="10.625" style="2" bestFit="1" customWidth="1"/>
    <col min="3" max="3" width="11" style="2" bestFit="1" customWidth="1"/>
    <col min="4" max="4" width="11.375" bestFit="1" customWidth="1"/>
    <col min="5" max="5" width="7" bestFit="1" customWidth="1"/>
    <col min="6" max="6" width="11.375" bestFit="1" customWidth="1"/>
    <col min="7" max="7" width="10" style="2" bestFit="1" customWidth="1"/>
    <col min="8" max="16384" width="9" style="2" hidden="1"/>
  </cols>
  <sheetData>
    <row r="1" spans="1:7" ht="38.25">
      <c r="A1" s="17" t="s">
        <v>784</v>
      </c>
      <c r="B1" s="17" t="s">
        <v>0</v>
      </c>
      <c r="C1" s="17" t="s">
        <v>1</v>
      </c>
      <c r="D1" s="158" t="s">
        <v>758</v>
      </c>
      <c r="E1" s="158" t="s">
        <v>757</v>
      </c>
      <c r="F1" s="150" t="s">
        <v>1161</v>
      </c>
      <c r="G1" s="159" t="s">
        <v>30</v>
      </c>
    </row>
    <row r="2" spans="1:7">
      <c r="A2" s="155">
        <v>274</v>
      </c>
      <c r="B2" s="155">
        <v>274</v>
      </c>
      <c r="C2"/>
      <c r="D2" s="156"/>
      <c r="E2" s="156"/>
      <c r="F2" s="151"/>
      <c r="G2" s="154"/>
    </row>
    <row r="3" spans="1:7">
      <c r="A3" s="18"/>
      <c r="B3" s="18"/>
      <c r="C3" s="19"/>
      <c r="G3" s="18"/>
    </row>
    <row r="4" spans="1:7">
      <c r="A4" s="18"/>
      <c r="B4" s="18"/>
      <c r="C4" s="19"/>
      <c r="G4" s="18"/>
    </row>
    <row r="5" spans="1:7">
      <c r="A5" s="18"/>
      <c r="B5" s="18"/>
      <c r="C5" s="19"/>
      <c r="G5" s="18"/>
    </row>
    <row r="6" spans="1:7">
      <c r="A6" s="18"/>
      <c r="B6" s="18"/>
      <c r="C6" s="19"/>
      <c r="G6" s="18"/>
    </row>
    <row r="7" spans="1:7">
      <c r="A7" s="18"/>
      <c r="B7" s="18"/>
      <c r="C7" s="19"/>
      <c r="G7" s="18"/>
    </row>
    <row r="8" spans="1:7">
      <c r="A8" s="18"/>
      <c r="B8" s="18"/>
      <c r="C8" s="19"/>
      <c r="G8" s="18"/>
    </row>
    <row r="9" spans="1:7">
      <c r="A9" s="18"/>
      <c r="B9" s="18"/>
      <c r="C9" s="19"/>
      <c r="G9" s="18"/>
    </row>
    <row r="10" spans="1:7">
      <c r="A10" s="18"/>
      <c r="B10" s="18"/>
      <c r="C10" s="19"/>
      <c r="G10" s="18"/>
    </row>
    <row r="11" spans="1:7">
      <c r="A11" s="18"/>
      <c r="B11" s="18"/>
      <c r="C11" s="19"/>
      <c r="G11" s="18"/>
    </row>
    <row r="12" spans="1:7">
      <c r="A12" s="18"/>
      <c r="B12" s="18"/>
      <c r="C12" s="19"/>
      <c r="G12" s="18"/>
    </row>
    <row r="13" spans="1:7">
      <c r="A13" s="18"/>
      <c r="B13" s="18"/>
      <c r="C13" s="19"/>
      <c r="G13" s="18"/>
    </row>
    <row r="14" spans="1:7">
      <c r="A14" s="18"/>
      <c r="B14" s="18"/>
      <c r="C14" s="19"/>
      <c r="G14" s="18"/>
    </row>
    <row r="15" spans="1:7">
      <c r="A15" s="18"/>
      <c r="B15" s="18"/>
      <c r="C15" s="19"/>
      <c r="G15" s="18"/>
    </row>
    <row r="16" spans="1:7">
      <c r="A16" s="18"/>
      <c r="B16" s="18"/>
      <c r="C16" s="19"/>
      <c r="G16" s="18"/>
    </row>
    <row r="17" spans="1:7">
      <c r="A17" s="18"/>
      <c r="B17" s="18"/>
      <c r="C17" s="19"/>
      <c r="G17" s="18"/>
    </row>
    <row r="18" spans="1:7">
      <c r="A18" s="18"/>
      <c r="B18" s="18"/>
      <c r="C18" s="19"/>
      <c r="G18" s="18"/>
    </row>
    <row r="19" spans="1:7">
      <c r="A19" s="18"/>
      <c r="B19" s="18"/>
      <c r="C19" s="19"/>
      <c r="G19" s="18"/>
    </row>
    <row r="20" spans="1:7">
      <c r="C20" s="19"/>
    </row>
    <row r="21" spans="1:7">
      <c r="C21"/>
    </row>
    <row r="22" spans="1:7">
      <c r="C22"/>
    </row>
    <row r="23" spans="1:7">
      <c r="C23"/>
    </row>
    <row r="24" spans="1:7">
      <c r="C24"/>
    </row>
    <row r="25" spans="1:7">
      <c r="C25"/>
    </row>
    <row r="26" spans="1:7">
      <c r="C26"/>
    </row>
    <row r="27" spans="1:7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/>
  <cols>
    <col min="1" max="2" width="10.625" bestFit="1" customWidth="1"/>
    <col min="3" max="3" width="8.875" bestFit="1" customWidth="1"/>
    <col min="4" max="4" width="10.75" bestFit="1" customWidth="1"/>
    <col min="5" max="5" width="10.375" style="4" bestFit="1" customWidth="1"/>
    <col min="6" max="6" width="10.625" bestFit="1" customWidth="1"/>
    <col min="7" max="7" width="9.375" bestFit="1" customWidth="1"/>
    <col min="8" max="8" width="9.125" bestFit="1" customWidth="1"/>
    <col min="9" max="9" width="11" bestFit="1" customWidth="1"/>
    <col min="10" max="10" width="10" bestFit="1" customWidth="1"/>
    <col min="11" max="11" width="9.25" bestFit="1" customWidth="1"/>
    <col min="12" max="12" width="8.875" style="2" bestFit="1" customWidth="1"/>
    <col min="13" max="13" width="11" bestFit="1" customWidth="1"/>
    <col min="14" max="14" width="11.625" customWidth="1"/>
    <col min="15" max="15" width="5" bestFit="1" customWidth="1"/>
    <col min="16" max="16" width="8.125" bestFit="1" customWidth="1"/>
    <col min="17" max="17" width="11.625" customWidth="1"/>
    <col min="18" max="18" width="11.25" bestFit="1" customWidth="1"/>
    <col min="19" max="19" width="5.875" bestFit="1" customWidth="1"/>
    <col min="20" max="20" width="9.625" bestFit="1" customWidth="1"/>
    <col min="21" max="21" width="9" bestFit="1" customWidth="1"/>
    <col min="22" max="22" width="9.125" bestFit="1" customWidth="1"/>
    <col min="23" max="23" width="10.625" bestFit="1" customWidth="1"/>
    <col min="24" max="24" width="7.125" bestFit="1" customWidth="1"/>
    <col min="25" max="25" width="11.375" style="4" bestFit="1" customWidth="1"/>
    <col min="26" max="26" width="10.125" style="4" bestFit="1" customWidth="1"/>
    <col min="27" max="27" width="8.25" bestFit="1" customWidth="1"/>
    <col min="28" max="28" width="7.875" bestFit="1" customWidth="1"/>
    <col min="29" max="29" width="8.25" bestFit="1" customWidth="1"/>
    <col min="30" max="30" width="11" bestFit="1" customWidth="1"/>
    <col min="31" max="31" width="11.625" customWidth="1"/>
    <col min="32" max="32" width="9.125" bestFit="1" customWidth="1"/>
    <col min="33" max="33" width="10.375" bestFit="1" customWidth="1"/>
    <col min="34" max="34" width="9" bestFit="1" customWidth="1"/>
    <col min="35" max="36" width="10.875" bestFit="1" customWidth="1"/>
    <col min="37" max="37" width="8.125" bestFit="1" customWidth="1"/>
    <col min="38" max="38" width="10.125" bestFit="1" customWidth="1"/>
    <col min="39" max="39" width="11.125" bestFit="1" customWidth="1"/>
    <col min="40" max="40" width="10" bestFit="1" customWidth="1"/>
    <col min="41" max="16384" width="9" hidden="1"/>
  </cols>
  <sheetData>
    <row r="1" spans="1:40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58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50" t="s">
        <v>13</v>
      </c>
      <c r="T1" s="17" t="s">
        <v>282</v>
      </c>
      <c r="U1" s="17" t="s">
        <v>309</v>
      </c>
      <c r="V1" s="158" t="s">
        <v>421</v>
      </c>
      <c r="W1" s="159" t="s">
        <v>14</v>
      </c>
      <c r="X1" s="159" t="s">
        <v>621</v>
      </c>
      <c r="Y1" s="17" t="s">
        <v>925</v>
      </c>
      <c r="Z1" s="17" t="s">
        <v>669</v>
      </c>
      <c r="AA1" s="17" t="s">
        <v>917</v>
      </c>
      <c r="AB1" s="17" t="s">
        <v>372</v>
      </c>
      <c r="AC1" s="17" t="s">
        <v>731</v>
      </c>
      <c r="AD1" s="158" t="s">
        <v>16</v>
      </c>
      <c r="AE1" s="158" t="s">
        <v>1147</v>
      </c>
      <c r="AF1" s="150" t="s">
        <v>773</v>
      </c>
      <c r="AG1" s="150" t="s">
        <v>11</v>
      </c>
      <c r="AH1" s="150" t="s">
        <v>15</v>
      </c>
      <c r="AI1" s="150" t="s">
        <v>1153</v>
      </c>
      <c r="AJ1" s="150" t="s">
        <v>1154</v>
      </c>
      <c r="AK1" s="150" t="s">
        <v>788</v>
      </c>
      <c r="AL1" s="17" t="s">
        <v>26</v>
      </c>
      <c r="AM1" s="159" t="s">
        <v>19</v>
      </c>
      <c r="AN1" s="159" t="s">
        <v>30</v>
      </c>
    </row>
    <row r="2" spans="1:40">
      <c r="A2" s="155">
        <v>274</v>
      </c>
      <c r="B2" s="155">
        <v>274</v>
      </c>
      <c r="D2" s="155"/>
      <c r="E2"/>
      <c r="G2" s="155"/>
      <c r="L2"/>
      <c r="N2" s="156"/>
      <c r="S2" s="151"/>
      <c r="V2" s="156"/>
      <c r="W2" s="154"/>
      <c r="X2" s="154"/>
      <c r="Y2"/>
      <c r="Z2"/>
      <c r="AD2" s="156"/>
      <c r="AE2" s="156"/>
      <c r="AF2" s="151"/>
      <c r="AG2" s="151"/>
      <c r="AH2" s="151"/>
      <c r="AI2" s="151"/>
      <c r="AJ2" s="151"/>
      <c r="AK2" s="151"/>
      <c r="AM2" s="154"/>
      <c r="AN2" s="154"/>
    </row>
    <row r="3" spans="1:40">
      <c r="A3" s="18"/>
      <c r="B3" s="18"/>
      <c r="C3" s="18"/>
      <c r="D3" s="18"/>
      <c r="E3" s="16"/>
      <c r="F3" s="18"/>
      <c r="G3" s="18"/>
      <c r="H3" s="16"/>
      <c r="I3" s="18"/>
      <c r="J3" s="16"/>
      <c r="K3" s="16"/>
      <c r="L3" s="18"/>
      <c r="M3" s="18"/>
      <c r="N3" s="18"/>
      <c r="O3" s="18"/>
      <c r="P3" s="18"/>
      <c r="Q3" s="18"/>
      <c r="R3" s="16"/>
      <c r="S3" s="18"/>
      <c r="T3" s="18"/>
      <c r="U3" s="18"/>
      <c r="V3" s="18"/>
      <c r="W3" s="18"/>
      <c r="X3" s="18"/>
      <c r="Y3" s="16"/>
      <c r="Z3" s="16"/>
      <c r="AA3" s="18"/>
      <c r="AB3" s="18"/>
      <c r="AC3" s="35"/>
      <c r="AF3" s="18"/>
      <c r="AG3" s="19"/>
      <c r="AH3" s="18"/>
      <c r="AI3" s="18"/>
      <c r="AK3" s="18"/>
      <c r="AL3" s="18"/>
    </row>
    <row r="4" spans="1:40">
      <c r="A4" s="18"/>
      <c r="B4" s="18"/>
      <c r="C4" s="18"/>
      <c r="D4" s="18"/>
      <c r="E4" s="16"/>
      <c r="F4" s="18"/>
      <c r="G4" s="18"/>
      <c r="H4" s="16"/>
      <c r="I4" s="18"/>
      <c r="J4" s="16"/>
      <c r="K4" s="16"/>
      <c r="L4" s="18"/>
      <c r="M4" s="18"/>
      <c r="N4" s="18"/>
      <c r="O4" s="18"/>
      <c r="P4" s="18"/>
      <c r="Q4" s="18"/>
      <c r="R4" s="16"/>
      <c r="S4" s="18"/>
      <c r="T4" s="18"/>
      <c r="U4" s="18"/>
      <c r="V4" s="18"/>
      <c r="W4" s="18"/>
      <c r="X4" s="18"/>
      <c r="Y4" s="16"/>
      <c r="Z4" s="16"/>
      <c r="AA4" s="18"/>
      <c r="AB4" s="18"/>
      <c r="AD4" s="19"/>
      <c r="AE4" s="18"/>
      <c r="AF4" s="18"/>
      <c r="AG4" s="18"/>
      <c r="AH4" s="18"/>
      <c r="AI4" s="18"/>
      <c r="AK4" s="18"/>
      <c r="AL4" s="18"/>
    </row>
    <row r="5" spans="1:40">
      <c r="A5" s="18"/>
      <c r="B5" s="18"/>
      <c r="C5" s="18"/>
      <c r="D5" s="18"/>
      <c r="E5" s="16"/>
      <c r="F5" s="18"/>
      <c r="G5" s="18"/>
      <c r="H5" s="16"/>
      <c r="I5" s="18"/>
      <c r="J5" s="16"/>
      <c r="K5" s="16"/>
      <c r="L5" s="18"/>
      <c r="M5" s="18"/>
      <c r="N5" s="18"/>
      <c r="O5" s="18"/>
      <c r="P5" s="18"/>
      <c r="Q5" s="18"/>
      <c r="R5" s="16"/>
      <c r="S5" s="18"/>
      <c r="T5" s="18"/>
      <c r="U5" s="18"/>
      <c r="V5" s="18"/>
      <c r="W5" s="18"/>
      <c r="X5" s="18"/>
      <c r="Y5" s="16"/>
      <c r="Z5" s="16"/>
      <c r="AA5" s="18"/>
      <c r="AB5" s="18"/>
      <c r="AD5" s="19"/>
      <c r="AE5" s="18"/>
      <c r="AF5" s="18"/>
      <c r="AG5" s="18"/>
      <c r="AH5" s="18"/>
      <c r="AI5" s="18"/>
      <c r="AK5" s="18"/>
      <c r="AL5" s="18"/>
    </row>
    <row r="6" spans="1:40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8"/>
      <c r="M6" s="18"/>
      <c r="N6" s="18"/>
      <c r="O6" s="18"/>
      <c r="P6" s="18"/>
      <c r="Q6" s="18"/>
      <c r="R6" s="16"/>
      <c r="S6" s="18"/>
      <c r="T6" s="18"/>
      <c r="U6" s="18"/>
      <c r="V6" s="18"/>
      <c r="W6" s="18"/>
      <c r="X6" s="18"/>
      <c r="Y6" s="16"/>
      <c r="Z6" s="16"/>
      <c r="AA6" s="18"/>
      <c r="AB6" s="18"/>
      <c r="AD6" s="19"/>
      <c r="AE6" s="18"/>
      <c r="AF6" s="18"/>
      <c r="AG6" s="18"/>
      <c r="AH6" s="18"/>
      <c r="AI6" s="18"/>
      <c r="AK6" s="18"/>
      <c r="AL6" s="18"/>
    </row>
    <row r="7" spans="1:40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8"/>
      <c r="M7" s="18"/>
      <c r="N7" s="18"/>
      <c r="O7" s="18"/>
      <c r="P7" s="18"/>
      <c r="Q7" s="18"/>
      <c r="R7" s="16"/>
      <c r="S7" s="18"/>
      <c r="T7" s="18"/>
      <c r="U7" s="18"/>
      <c r="V7" s="18"/>
      <c r="W7" s="18"/>
      <c r="X7" s="18"/>
      <c r="Y7" s="16"/>
      <c r="Z7" s="16"/>
      <c r="AA7" s="18"/>
      <c r="AB7" s="18"/>
      <c r="AD7" s="19"/>
      <c r="AE7" s="18"/>
      <c r="AF7" s="18"/>
      <c r="AG7" s="18"/>
      <c r="AH7" s="18"/>
      <c r="AI7" s="18"/>
      <c r="AK7" s="18"/>
      <c r="AL7" s="18"/>
    </row>
    <row r="8" spans="1:40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8"/>
      <c r="M8" s="18"/>
      <c r="N8" s="18"/>
      <c r="O8" s="18"/>
      <c r="P8" s="18"/>
      <c r="Q8" s="18"/>
      <c r="R8" s="16"/>
      <c r="S8" s="18"/>
      <c r="T8" s="18"/>
      <c r="U8" s="18"/>
      <c r="V8" s="18"/>
      <c r="W8" s="18"/>
      <c r="X8" s="18"/>
      <c r="Y8" s="16"/>
      <c r="Z8" s="16"/>
      <c r="AA8" s="18"/>
      <c r="AB8" s="18"/>
      <c r="AD8" s="19"/>
      <c r="AE8" s="18"/>
      <c r="AF8" s="18"/>
      <c r="AG8" s="18"/>
      <c r="AH8" s="18"/>
      <c r="AI8" s="18"/>
      <c r="AK8" s="18"/>
      <c r="AL8" s="18"/>
    </row>
    <row r="9" spans="1:40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8"/>
      <c r="M9" s="18"/>
      <c r="N9" s="18"/>
      <c r="O9" s="18"/>
      <c r="P9" s="18"/>
      <c r="Q9" s="18"/>
      <c r="R9" s="16"/>
      <c r="S9" s="18"/>
      <c r="T9" s="18"/>
      <c r="U9" s="18"/>
      <c r="V9" s="18"/>
      <c r="W9" s="18"/>
      <c r="X9" s="18"/>
      <c r="Y9" s="16"/>
      <c r="Z9" s="16"/>
      <c r="AA9" s="18"/>
      <c r="AB9" s="18"/>
      <c r="AD9" s="19"/>
      <c r="AE9" s="18"/>
      <c r="AF9" s="18"/>
      <c r="AG9" s="18"/>
      <c r="AH9" s="18"/>
      <c r="AL9" s="18"/>
    </row>
    <row r="10" spans="1:40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8"/>
      <c r="N10" s="18"/>
      <c r="O10" s="18"/>
      <c r="P10" s="18"/>
      <c r="Q10" s="18"/>
      <c r="R10" s="16"/>
      <c r="S10" s="18"/>
      <c r="T10" s="18"/>
      <c r="U10" s="18"/>
      <c r="V10" s="18"/>
      <c r="W10" s="18"/>
      <c r="X10" s="18"/>
      <c r="Y10" s="16"/>
      <c r="Z10" s="16"/>
      <c r="AA10" s="18"/>
      <c r="AB10" s="18"/>
      <c r="AD10" s="19"/>
      <c r="AE10" s="18"/>
      <c r="AF10" s="18"/>
      <c r="AG10" s="18"/>
      <c r="AH10" s="18"/>
      <c r="AL10" s="18"/>
    </row>
    <row r="11" spans="1:40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8"/>
      <c r="N11" s="18"/>
      <c r="O11" s="18"/>
      <c r="P11" s="18"/>
      <c r="Q11" s="18"/>
      <c r="R11" s="16"/>
      <c r="S11" s="18"/>
      <c r="T11" s="18"/>
      <c r="U11" s="18"/>
      <c r="V11" s="18"/>
      <c r="W11" s="18"/>
      <c r="X11" s="18"/>
      <c r="Y11" s="16"/>
      <c r="Z11" s="16"/>
      <c r="AA11" s="18"/>
      <c r="AB11" s="18"/>
      <c r="AD11" s="19"/>
      <c r="AE11" s="18"/>
      <c r="AF11" s="18"/>
      <c r="AG11" s="18"/>
      <c r="AH11" s="18"/>
      <c r="AI11" s="18"/>
      <c r="AK11" s="18"/>
      <c r="AL11" s="18"/>
    </row>
    <row r="12" spans="1:40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8"/>
      <c r="N12" s="18"/>
      <c r="O12" s="18"/>
      <c r="P12" s="18"/>
      <c r="Q12" s="18"/>
      <c r="R12" s="16"/>
      <c r="S12" s="18"/>
      <c r="T12" s="18"/>
      <c r="U12" s="18"/>
      <c r="V12" s="18"/>
      <c r="W12" s="18"/>
      <c r="X12" s="18"/>
      <c r="Y12" s="16"/>
      <c r="Z12" s="16"/>
      <c r="AA12" s="18"/>
      <c r="AB12" s="18"/>
      <c r="AD12" s="19"/>
      <c r="AE12" s="18"/>
      <c r="AF12" s="18"/>
      <c r="AG12" s="18"/>
      <c r="AH12" s="18"/>
      <c r="AI12" s="18"/>
      <c r="AK12" s="18"/>
      <c r="AL12" s="18"/>
    </row>
    <row r="13" spans="1:40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8"/>
      <c r="N13" s="18"/>
      <c r="O13" s="18"/>
      <c r="P13" s="18"/>
      <c r="Q13" s="18"/>
      <c r="R13" s="16"/>
      <c r="S13" s="18"/>
      <c r="T13" s="18"/>
      <c r="U13" s="18"/>
      <c r="V13" s="18"/>
      <c r="W13" s="18"/>
      <c r="X13" s="18"/>
      <c r="Y13" s="16"/>
      <c r="Z13" s="16"/>
      <c r="AA13" s="18"/>
      <c r="AB13" s="18"/>
      <c r="AD13" s="19"/>
      <c r="AE13" s="18"/>
      <c r="AF13" s="18"/>
      <c r="AG13" s="18"/>
      <c r="AH13" s="18"/>
      <c r="AI13" s="18"/>
      <c r="AK13" s="18"/>
      <c r="AL13" s="18"/>
    </row>
    <row r="14" spans="1:40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8"/>
      <c r="N14" s="18"/>
      <c r="O14" s="18"/>
      <c r="P14" s="18"/>
      <c r="Q14" s="18"/>
      <c r="R14" s="16"/>
      <c r="S14" s="18"/>
      <c r="T14" s="18"/>
      <c r="U14" s="18"/>
      <c r="V14" s="18"/>
      <c r="W14" s="18"/>
      <c r="X14" s="18"/>
      <c r="Y14" s="16"/>
      <c r="Z14" s="16"/>
      <c r="AA14" s="18"/>
      <c r="AB14" s="18"/>
      <c r="AD14" s="19"/>
      <c r="AE14" s="18"/>
      <c r="AF14" s="18"/>
      <c r="AG14" s="18"/>
      <c r="AH14" s="18"/>
      <c r="AI14" s="18"/>
      <c r="AK14" s="18"/>
      <c r="AL14" s="18"/>
    </row>
    <row r="15" spans="1:40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8"/>
      <c r="N15" s="18"/>
      <c r="O15" s="18"/>
      <c r="P15" s="18"/>
      <c r="Q15" s="18"/>
      <c r="R15" s="16"/>
      <c r="S15" s="18"/>
      <c r="T15" s="18"/>
      <c r="U15" s="18"/>
      <c r="V15" s="18"/>
      <c r="W15" s="18"/>
      <c r="X15" s="18"/>
      <c r="Y15" s="16"/>
      <c r="Z15" s="16"/>
      <c r="AA15" s="18"/>
      <c r="AB15" s="18"/>
      <c r="AD15" s="19"/>
      <c r="AE15" s="18"/>
      <c r="AF15" s="18"/>
      <c r="AG15" s="18"/>
      <c r="AH15" s="18"/>
      <c r="AI15" s="18"/>
      <c r="AK15" s="18"/>
      <c r="AL15" s="18"/>
    </row>
    <row r="16" spans="1:40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8"/>
      <c r="M16" s="18"/>
      <c r="N16" s="18"/>
      <c r="O16" s="18"/>
      <c r="P16" s="18"/>
      <c r="Q16" s="18"/>
      <c r="R16" s="16"/>
      <c r="S16" s="18"/>
      <c r="T16" s="18"/>
      <c r="U16" s="18"/>
      <c r="V16" s="18"/>
      <c r="W16" s="18"/>
      <c r="X16" s="18"/>
      <c r="Y16" s="16"/>
      <c r="Z16" s="16"/>
      <c r="AA16" s="18"/>
      <c r="AB16" s="18"/>
      <c r="AD16" s="19"/>
      <c r="AE16" s="18"/>
      <c r="AF16" s="18"/>
      <c r="AG16" s="18"/>
      <c r="AH16" s="18"/>
      <c r="AI16" s="18"/>
      <c r="AK16" s="18"/>
      <c r="AL16" s="18"/>
    </row>
    <row r="17" spans="1:38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8"/>
      <c r="M17" s="18"/>
      <c r="N17" s="18"/>
      <c r="O17" s="18"/>
      <c r="P17" s="18"/>
      <c r="Q17" s="18"/>
      <c r="R17" s="16"/>
      <c r="S17" s="18"/>
      <c r="T17" s="18"/>
      <c r="U17" s="18"/>
      <c r="V17" s="18"/>
      <c r="W17" s="18"/>
      <c r="X17" s="18"/>
      <c r="Y17" s="16"/>
      <c r="Z17" s="16"/>
      <c r="AA17" s="18"/>
      <c r="AB17" s="18"/>
      <c r="AD17" s="19"/>
      <c r="AE17" s="18"/>
      <c r="AF17" s="18"/>
      <c r="AG17" s="18"/>
      <c r="AH17" s="18"/>
      <c r="AI17" s="18"/>
      <c r="AK17" s="18"/>
      <c r="AL17" s="18"/>
    </row>
    <row r="18" spans="1:38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8"/>
      <c r="M18" s="18"/>
      <c r="N18" s="18"/>
      <c r="O18" s="18"/>
      <c r="P18" s="18"/>
      <c r="Q18" s="18"/>
      <c r="R18" s="16"/>
      <c r="S18" s="18"/>
      <c r="T18" s="18"/>
      <c r="U18" s="18"/>
      <c r="V18" s="18"/>
      <c r="W18" s="18"/>
      <c r="X18" s="18"/>
      <c r="Y18" s="16"/>
      <c r="Z18" s="16"/>
      <c r="AA18" s="18"/>
      <c r="AB18" s="18"/>
      <c r="AD18" s="19"/>
      <c r="AE18" s="18"/>
      <c r="AF18" s="18"/>
      <c r="AG18" s="18"/>
      <c r="AH18" s="18"/>
      <c r="AI18" s="18"/>
      <c r="AK18" s="18"/>
      <c r="AL18" s="18"/>
    </row>
    <row r="19" spans="1:38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8"/>
      <c r="M19" s="18"/>
      <c r="N19" s="18"/>
      <c r="O19" s="18"/>
      <c r="P19" s="18"/>
      <c r="Q19" s="18"/>
      <c r="R19" s="16"/>
      <c r="S19" s="18"/>
      <c r="T19" s="18"/>
      <c r="U19" s="18"/>
      <c r="V19" s="18"/>
      <c r="W19" s="18"/>
      <c r="X19" s="18"/>
      <c r="Y19" s="16"/>
      <c r="Z19" s="16"/>
      <c r="AA19" s="18"/>
      <c r="AB19" s="18"/>
      <c r="AD19" s="19"/>
      <c r="AE19" s="18"/>
      <c r="AF19" s="18"/>
      <c r="AG19" s="18"/>
      <c r="AH19" s="18"/>
      <c r="AI19" s="18"/>
      <c r="AK19" s="18"/>
      <c r="AL19" s="18"/>
    </row>
    <row r="20" spans="1:38">
      <c r="E20" s="16"/>
      <c r="H20" s="16"/>
      <c r="I20" s="18"/>
      <c r="J20" s="16"/>
      <c r="K20" s="16"/>
      <c r="L20" s="18"/>
      <c r="M20" s="18"/>
      <c r="P20" s="18"/>
      <c r="Q20" s="18"/>
      <c r="T20" s="18"/>
      <c r="U20" s="18"/>
      <c r="Y20" s="16"/>
      <c r="Z20" s="16"/>
      <c r="AA20" s="18"/>
      <c r="AB20" s="18"/>
      <c r="AL20" s="18"/>
    </row>
    <row r="21" spans="1:38">
      <c r="E21"/>
      <c r="L21"/>
      <c r="Y21" s="37"/>
      <c r="Z21"/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/>
  <cols>
    <col min="1" max="2" width="10.625" style="2" bestFit="1" customWidth="1"/>
    <col min="3" max="3" width="29.125" style="2" bestFit="1" customWidth="1"/>
    <col min="4" max="4" width="10.75" style="2" bestFit="1" customWidth="1"/>
    <col min="5" max="5" width="10.375" style="4" bestFit="1" customWidth="1"/>
    <col min="6" max="6" width="26.75" style="2" bestFit="1" customWidth="1"/>
    <col min="7" max="7" width="12.375" style="2" bestFit="1" customWidth="1"/>
    <col min="8" max="8" width="9.125" style="2" bestFit="1" customWidth="1"/>
    <col min="9" max="9" width="24.625" style="2" bestFit="1" customWidth="1"/>
    <col min="10" max="10" width="10" style="2" bestFit="1" customWidth="1"/>
    <col min="11" max="11" width="9.25" style="2" bestFit="1" customWidth="1"/>
    <col min="12" max="12" width="7.875" style="4" bestFit="1" customWidth="1"/>
    <col min="13" max="13" width="15.375" style="2" bestFit="1" customWidth="1"/>
    <col min="14" max="14" width="11" style="2" bestFit="1" customWidth="1"/>
    <col min="15" max="15" width="11.625" style="2" customWidth="1"/>
    <col min="16" max="16" width="6" style="2" bestFit="1" customWidth="1"/>
    <col min="17" max="17" width="13.375" style="2" bestFit="1" customWidth="1"/>
    <col min="18" max="18" width="11.625" style="2" customWidth="1"/>
    <col min="19" max="19" width="11.25" style="2" bestFit="1" customWidth="1"/>
    <col min="20" max="20" width="6.375" style="2" bestFit="1" customWidth="1"/>
    <col min="21" max="21" width="10.75" style="2" bestFit="1" customWidth="1"/>
    <col min="22" max="22" width="7.125" style="2" bestFit="1" customWidth="1"/>
    <col min="23" max="23" width="10.625" style="2" bestFit="1" customWidth="1"/>
    <col min="24" max="24" width="11.75" style="4" bestFit="1" customWidth="1"/>
    <col min="25" max="25" width="10.125" style="4" bestFit="1" customWidth="1"/>
    <col min="26" max="26" width="10" style="2" bestFit="1" customWidth="1"/>
    <col min="27" max="27" width="7.875" style="2" bestFit="1" customWidth="1"/>
    <col min="28" max="28" width="11" style="2" bestFit="1" customWidth="1"/>
    <col min="29" max="29" width="11.625" style="2" customWidth="1"/>
    <col min="30" max="30" width="13.75" style="2" bestFit="1" customWidth="1"/>
    <col min="31" max="31" width="9.875" style="2" bestFit="1" customWidth="1"/>
    <col min="32" max="32" width="8.375" style="2" bestFit="1" customWidth="1"/>
    <col min="33" max="34" width="10.875" style="2" bestFit="1" customWidth="1"/>
    <col min="35" max="35" width="8.125" style="2" bestFit="1" customWidth="1"/>
    <col min="36" max="36" width="10.125" style="2" bestFit="1" customWidth="1"/>
    <col min="37" max="37" width="11.125" style="2" bestFit="1" customWidth="1"/>
    <col min="38" max="38" width="10" style="2" bestFit="1" customWidth="1"/>
    <col min="39" max="16384" width="9" style="2" hidden="1"/>
  </cols>
  <sheetData>
    <row r="1" spans="1:38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621</v>
      </c>
      <c r="W1" s="17" t="s">
        <v>14</v>
      </c>
      <c r="X1" s="17" t="s">
        <v>925</v>
      </c>
      <c r="Y1" s="17" t="s">
        <v>669</v>
      </c>
      <c r="Z1" s="17" t="s">
        <v>917</v>
      </c>
      <c r="AA1" s="17" t="s">
        <v>372</v>
      </c>
      <c r="AB1" s="17" t="s">
        <v>16</v>
      </c>
      <c r="AC1" s="158" t="s">
        <v>1147</v>
      </c>
      <c r="AD1" s="17" t="s">
        <v>773</v>
      </c>
      <c r="AE1" s="17" t="s">
        <v>11</v>
      </c>
      <c r="AF1" s="17" t="s">
        <v>15</v>
      </c>
      <c r="AG1" s="17" t="s">
        <v>1153</v>
      </c>
      <c r="AH1" s="150" t="s">
        <v>1154</v>
      </c>
      <c r="AI1" s="150" t="s">
        <v>788</v>
      </c>
      <c r="AJ1" s="17" t="s">
        <v>26</v>
      </c>
      <c r="AK1" s="17" t="s">
        <v>19</v>
      </c>
      <c r="AL1" s="17" t="s">
        <v>30</v>
      </c>
    </row>
    <row r="2" spans="1:38">
      <c r="A2" s="155">
        <v>274</v>
      </c>
      <c r="B2" s="155">
        <v>274</v>
      </c>
      <c r="C2" t="s">
        <v>1326</v>
      </c>
      <c r="D2" s="155">
        <v>520010869</v>
      </c>
      <c r="E2" t="s">
        <v>429</v>
      </c>
      <c r="F2" t="s">
        <v>1899</v>
      </c>
      <c r="G2" s="155" t="s">
        <v>1900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56">
        <v>39076</v>
      </c>
      <c r="P2" t="s">
        <v>1217</v>
      </c>
      <c r="Q2" t="s">
        <v>65</v>
      </c>
      <c r="R2" t="s">
        <v>57</v>
      </c>
      <c r="S2" t="s">
        <v>1222</v>
      </c>
      <c r="T2" s="151">
        <v>5.24</v>
      </c>
      <c r="U2" s="156">
        <v>50034</v>
      </c>
      <c r="V2" s="154">
        <v>2.7E-2</v>
      </c>
      <c r="W2" s="154">
        <v>4.9000000000000002E-2</v>
      </c>
      <c r="X2" t="s">
        <v>620</v>
      </c>
      <c r="Y2"/>
      <c r="Z2" t="s">
        <v>775</v>
      </c>
      <c r="AA2" t="s">
        <v>305</v>
      </c>
      <c r="AB2" s="156">
        <v>45838</v>
      </c>
      <c r="AC2" s="156"/>
      <c r="AD2" s="151">
        <v>1100612.3400000001</v>
      </c>
      <c r="AE2" s="151">
        <v>1</v>
      </c>
      <c r="AF2" s="151">
        <v>161.44999999999999</v>
      </c>
      <c r="AG2" s="151">
        <v>1776.9386199999999</v>
      </c>
      <c r="AH2" s="151"/>
      <c r="AI2" s="151"/>
      <c r="AJ2"/>
      <c r="AK2" s="154">
        <v>0.12549199999999999</v>
      </c>
      <c r="AL2" s="154">
        <v>4.3100000000000001E-4</v>
      </c>
    </row>
    <row r="3" spans="1:38">
      <c r="A3" s="155">
        <v>274</v>
      </c>
      <c r="B3" s="155">
        <v>274</v>
      </c>
      <c r="C3" t="s">
        <v>1302</v>
      </c>
      <c r="D3" s="155">
        <v>513436394</v>
      </c>
      <c r="E3" t="s">
        <v>429</v>
      </c>
      <c r="F3" t="s">
        <v>1901</v>
      </c>
      <c r="G3" s="155" t="s">
        <v>1902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56">
        <v>39084</v>
      </c>
      <c r="P3" t="s">
        <v>1296</v>
      </c>
      <c r="Q3" t="s">
        <v>70</v>
      </c>
      <c r="R3" t="s">
        <v>57</v>
      </c>
      <c r="S3" t="s">
        <v>1222</v>
      </c>
      <c r="T3" s="151">
        <v>0.83</v>
      </c>
      <c r="U3" s="156">
        <v>46385</v>
      </c>
      <c r="V3" s="154">
        <v>2.8899999999999999E-2</v>
      </c>
      <c r="W3" s="154">
        <v>5.6000000000000001E-2</v>
      </c>
      <c r="X3" t="s">
        <v>620</v>
      </c>
      <c r="Y3"/>
      <c r="Z3" t="s">
        <v>775</v>
      </c>
      <c r="AA3" t="s">
        <v>305</v>
      </c>
      <c r="AB3" s="156">
        <v>45838</v>
      </c>
      <c r="AC3" s="156"/>
      <c r="AD3" s="151">
        <v>269338.36</v>
      </c>
      <c r="AE3" s="151">
        <v>1</v>
      </c>
      <c r="AF3" s="151">
        <v>144.6</v>
      </c>
      <c r="AG3" s="151">
        <v>389.46327000000002</v>
      </c>
      <c r="AH3" s="153"/>
      <c r="AI3" s="153"/>
      <c r="AJ3"/>
      <c r="AK3" s="154">
        <v>2.7504000000000001E-2</v>
      </c>
      <c r="AL3" s="154">
        <v>9.3999999999999994E-5</v>
      </c>
    </row>
    <row r="4" spans="1:38">
      <c r="A4" s="155">
        <v>274</v>
      </c>
      <c r="B4" s="155">
        <v>274</v>
      </c>
      <c r="C4" t="s">
        <v>1326</v>
      </c>
      <c r="D4" s="155">
        <v>520010869</v>
      </c>
      <c r="E4" t="s">
        <v>429</v>
      </c>
      <c r="F4" t="s">
        <v>1903</v>
      </c>
      <c r="G4" s="155" t="s">
        <v>1904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56">
        <v>40738</v>
      </c>
      <c r="P4" t="s">
        <v>1217</v>
      </c>
      <c r="Q4" t="s">
        <v>65</v>
      </c>
      <c r="R4" t="s">
        <v>57</v>
      </c>
      <c r="S4" t="s">
        <v>1222</v>
      </c>
      <c r="T4" s="151">
        <v>8.8800000000000008</v>
      </c>
      <c r="U4" s="156">
        <v>54253</v>
      </c>
      <c r="V4" s="154">
        <v>3.0800000000000001E-2</v>
      </c>
      <c r="W4" s="154">
        <v>4.1000000000000002E-2</v>
      </c>
      <c r="X4" t="s">
        <v>620</v>
      </c>
      <c r="Y4"/>
      <c r="Z4" t="s">
        <v>775</v>
      </c>
      <c r="AA4" t="s">
        <v>305</v>
      </c>
      <c r="AB4" s="156">
        <v>45838</v>
      </c>
      <c r="AC4" s="156"/>
      <c r="AD4" s="151">
        <v>4647667.26</v>
      </c>
      <c r="AE4" s="151">
        <v>1</v>
      </c>
      <c r="AF4" s="151">
        <v>137.31</v>
      </c>
      <c r="AG4" s="151">
        <v>6381.71191</v>
      </c>
      <c r="AH4" s="153"/>
      <c r="AI4" s="153"/>
      <c r="AJ4"/>
      <c r="AK4" s="154">
        <v>0.45069300000000001</v>
      </c>
      <c r="AL4" s="154">
        <v>1.5499999999999999E-3</v>
      </c>
    </row>
    <row r="5" spans="1:38">
      <c r="A5" s="155">
        <v>274</v>
      </c>
      <c r="B5" s="155">
        <v>274</v>
      </c>
      <c r="C5" t="s">
        <v>1302</v>
      </c>
      <c r="D5" s="155">
        <v>513436394</v>
      </c>
      <c r="E5" t="s">
        <v>429</v>
      </c>
      <c r="F5" t="s">
        <v>1905</v>
      </c>
      <c r="G5" s="155" t="s">
        <v>1906</v>
      </c>
      <c r="H5" t="s">
        <v>76</v>
      </c>
      <c r="I5" t="s">
        <v>229</v>
      </c>
      <c r="J5" t="s">
        <v>53</v>
      </c>
      <c r="K5" t="s">
        <v>53</v>
      </c>
      <c r="L5" t="s">
        <v>958</v>
      </c>
      <c r="M5" t="s">
        <v>258</v>
      </c>
      <c r="N5" t="s">
        <v>62</v>
      </c>
      <c r="O5" s="156">
        <v>40910</v>
      </c>
      <c r="P5" t="s">
        <v>1296</v>
      </c>
      <c r="Q5" t="s">
        <v>70</v>
      </c>
      <c r="R5" t="s">
        <v>57</v>
      </c>
      <c r="S5" t="s">
        <v>1222</v>
      </c>
      <c r="T5" s="151">
        <v>3.29</v>
      </c>
      <c r="U5" s="156">
        <v>48213</v>
      </c>
      <c r="V5" s="154">
        <v>2.86E-2</v>
      </c>
      <c r="W5" s="154">
        <v>4.8000000000000001E-2</v>
      </c>
      <c r="X5" t="s">
        <v>620</v>
      </c>
      <c r="Y5"/>
      <c r="Z5" t="s">
        <v>775</v>
      </c>
      <c r="AA5" t="s">
        <v>305</v>
      </c>
      <c r="AB5" s="156">
        <v>45838</v>
      </c>
      <c r="AC5" s="156"/>
      <c r="AD5" s="151">
        <v>2541899.92</v>
      </c>
      <c r="AE5" s="151">
        <v>1</v>
      </c>
      <c r="AF5" s="151">
        <v>128.66999999999999</v>
      </c>
      <c r="AG5" s="151">
        <v>3270.6626299999998</v>
      </c>
      <c r="AH5" s="153"/>
      <c r="AI5" s="153"/>
      <c r="AJ5"/>
      <c r="AK5" s="154">
        <v>0.23098199999999999</v>
      </c>
      <c r="AL5" s="154">
        <v>7.94E-4</v>
      </c>
    </row>
    <row r="6" spans="1:38">
      <c r="A6" s="155">
        <v>274</v>
      </c>
      <c r="B6" s="155">
        <v>274</v>
      </c>
      <c r="C6" t="s">
        <v>1907</v>
      </c>
      <c r="D6" s="155">
        <v>510687403</v>
      </c>
      <c r="E6" t="s">
        <v>429</v>
      </c>
      <c r="F6" t="s">
        <v>1908</v>
      </c>
      <c r="G6" s="155" t="s">
        <v>1909</v>
      </c>
      <c r="H6" t="s">
        <v>76</v>
      </c>
      <c r="I6" t="s">
        <v>228</v>
      </c>
      <c r="J6" t="s">
        <v>53</v>
      </c>
      <c r="K6" t="s">
        <v>53</v>
      </c>
      <c r="L6" t="s">
        <v>958</v>
      </c>
      <c r="M6" t="s">
        <v>635</v>
      </c>
      <c r="N6" t="s">
        <v>62</v>
      </c>
      <c r="O6" s="156">
        <v>42598</v>
      </c>
      <c r="P6" t="s">
        <v>1910</v>
      </c>
      <c r="Q6" t="s">
        <v>65</v>
      </c>
      <c r="R6" t="s">
        <v>57</v>
      </c>
      <c r="S6" t="s">
        <v>1222</v>
      </c>
      <c r="T6" s="151">
        <v>1.46</v>
      </c>
      <c r="U6" s="156">
        <v>46568</v>
      </c>
      <c r="V6" s="154">
        <v>4.6300000000000001E-2</v>
      </c>
      <c r="W6" s="154">
        <v>3.1E-2</v>
      </c>
      <c r="X6" t="s">
        <v>620</v>
      </c>
      <c r="Y6"/>
      <c r="Z6" t="s">
        <v>775</v>
      </c>
      <c r="AA6" t="s">
        <v>305</v>
      </c>
      <c r="AB6" s="156">
        <v>45838</v>
      </c>
      <c r="AC6" s="156"/>
      <c r="AD6" s="151">
        <v>448000.13</v>
      </c>
      <c r="AE6" s="151">
        <v>1</v>
      </c>
      <c r="AF6" s="151">
        <v>97.91</v>
      </c>
      <c r="AG6" s="151">
        <v>438.63693000000001</v>
      </c>
      <c r="AH6" s="153"/>
      <c r="AI6" s="153"/>
      <c r="AJ6"/>
      <c r="AK6" s="154">
        <v>3.0977000000000001E-2</v>
      </c>
      <c r="AL6" s="154">
        <v>1.06E-4</v>
      </c>
    </row>
    <row r="7" spans="1:38">
      <c r="A7" s="155">
        <v>274</v>
      </c>
      <c r="B7" s="155">
        <v>274</v>
      </c>
      <c r="C7" t="s">
        <v>1528</v>
      </c>
      <c r="D7" s="155">
        <v>880326081</v>
      </c>
      <c r="E7" t="s">
        <v>429</v>
      </c>
      <c r="F7" t="s">
        <v>1911</v>
      </c>
      <c r="G7" s="155" t="s">
        <v>1912</v>
      </c>
      <c r="H7" t="s">
        <v>76</v>
      </c>
      <c r="I7" t="s">
        <v>228</v>
      </c>
      <c r="J7" t="s">
        <v>53</v>
      </c>
      <c r="K7" t="s">
        <v>53</v>
      </c>
      <c r="L7" t="s">
        <v>958</v>
      </c>
      <c r="M7" t="s">
        <v>631</v>
      </c>
      <c r="N7" t="s">
        <v>62</v>
      </c>
      <c r="O7" s="156">
        <v>44014</v>
      </c>
      <c r="P7" t="s">
        <v>1290</v>
      </c>
      <c r="Q7" t="s">
        <v>65</v>
      </c>
      <c r="R7" t="s">
        <v>57</v>
      </c>
      <c r="S7" t="s">
        <v>1222</v>
      </c>
      <c r="T7" s="151">
        <v>3.2</v>
      </c>
      <c r="U7" s="156">
        <v>48014</v>
      </c>
      <c r="V7" s="154">
        <v>5.1200000000000002E-2</v>
      </c>
      <c r="W7" s="154">
        <v>3.3500000000000002E-2</v>
      </c>
      <c r="X7" t="s">
        <v>620</v>
      </c>
      <c r="Y7"/>
      <c r="Z7" t="s">
        <v>775</v>
      </c>
      <c r="AA7" t="s">
        <v>305</v>
      </c>
      <c r="AB7" s="156">
        <v>45838</v>
      </c>
      <c r="AC7" s="156"/>
      <c r="AD7" s="151">
        <v>213678.6</v>
      </c>
      <c r="AE7" s="151">
        <v>1</v>
      </c>
      <c r="AF7" s="151">
        <v>94.87</v>
      </c>
      <c r="AG7" s="151">
        <v>202.71689000000001</v>
      </c>
      <c r="AH7" s="153"/>
      <c r="AI7" s="153"/>
      <c r="AJ7"/>
      <c r="AK7" s="154">
        <v>1.4316000000000001E-2</v>
      </c>
      <c r="AL7" s="154">
        <v>4.8999999999999998E-5</v>
      </c>
    </row>
    <row r="8" spans="1:38">
      <c r="A8" s="155">
        <v>274</v>
      </c>
      <c r="B8" s="155">
        <v>274</v>
      </c>
      <c r="C8" t="s">
        <v>1913</v>
      </c>
      <c r="D8" s="155">
        <v>500102868</v>
      </c>
      <c r="E8" t="s">
        <v>429</v>
      </c>
      <c r="F8" t="s">
        <v>1914</v>
      </c>
      <c r="G8" s="155" t="s">
        <v>1915</v>
      </c>
      <c r="H8" t="s">
        <v>76</v>
      </c>
      <c r="I8" t="s">
        <v>229</v>
      </c>
      <c r="J8" t="s">
        <v>53</v>
      </c>
      <c r="K8" t="s">
        <v>53</v>
      </c>
      <c r="L8" t="s">
        <v>958</v>
      </c>
      <c r="M8" t="s">
        <v>258</v>
      </c>
      <c r="N8" t="s">
        <v>62</v>
      </c>
      <c r="O8" s="156">
        <v>44740</v>
      </c>
      <c r="P8" t="s">
        <v>1285</v>
      </c>
      <c r="Q8" t="s">
        <v>70</v>
      </c>
      <c r="R8" t="s">
        <v>57</v>
      </c>
      <c r="S8" t="s">
        <v>1222</v>
      </c>
      <c r="T8" s="151">
        <v>3.51</v>
      </c>
      <c r="U8" s="156">
        <v>48213</v>
      </c>
      <c r="V8" s="154">
        <v>2.8299999999999999E-2</v>
      </c>
      <c r="W8" s="154">
        <v>1.55E-2</v>
      </c>
      <c r="X8" t="s">
        <v>620</v>
      </c>
      <c r="Y8"/>
      <c r="Z8" t="s">
        <v>775</v>
      </c>
      <c r="AA8" t="s">
        <v>305</v>
      </c>
      <c r="AB8" s="156">
        <v>45838</v>
      </c>
      <c r="AC8" s="156"/>
      <c r="AD8" s="151">
        <v>787500</v>
      </c>
      <c r="AE8" s="151">
        <v>1</v>
      </c>
      <c r="AF8" s="151">
        <v>106.05</v>
      </c>
      <c r="AG8" s="151">
        <v>835.14374999999995</v>
      </c>
      <c r="AH8" s="153"/>
      <c r="AI8" s="153"/>
      <c r="AJ8"/>
      <c r="AK8" s="154">
        <v>5.8979999999999998E-2</v>
      </c>
      <c r="AL8" s="154">
        <v>2.02E-4</v>
      </c>
    </row>
    <row r="9" spans="1:38">
      <c r="A9" s="155">
        <v>274</v>
      </c>
      <c r="B9" s="155">
        <v>274</v>
      </c>
      <c r="C9" t="s">
        <v>1913</v>
      </c>
      <c r="D9" s="155">
        <v>500102868</v>
      </c>
      <c r="E9" t="s">
        <v>429</v>
      </c>
      <c r="F9" t="s">
        <v>1916</v>
      </c>
      <c r="G9" s="155" t="s">
        <v>1917</v>
      </c>
      <c r="H9" t="s">
        <v>76</v>
      </c>
      <c r="I9" t="s">
        <v>229</v>
      </c>
      <c r="J9" t="s">
        <v>53</v>
      </c>
      <c r="K9" t="s">
        <v>53</v>
      </c>
      <c r="L9" t="s">
        <v>958</v>
      </c>
      <c r="M9" t="s">
        <v>258</v>
      </c>
      <c r="N9" t="s">
        <v>62</v>
      </c>
      <c r="O9" s="156">
        <v>44740</v>
      </c>
      <c r="P9" t="s">
        <v>1285</v>
      </c>
      <c r="Q9" t="s">
        <v>70</v>
      </c>
      <c r="R9" t="s">
        <v>57</v>
      </c>
      <c r="S9" t="s">
        <v>1222</v>
      </c>
      <c r="T9" s="151">
        <v>6.42</v>
      </c>
      <c r="U9" s="156">
        <v>50040</v>
      </c>
      <c r="V9" s="154">
        <v>2.81E-2</v>
      </c>
      <c r="W9" s="154">
        <v>1.7500000000000002E-2</v>
      </c>
      <c r="X9" t="s">
        <v>620</v>
      </c>
      <c r="Y9"/>
      <c r="Z9" t="s">
        <v>775</v>
      </c>
      <c r="AA9" t="s">
        <v>305</v>
      </c>
      <c r="AB9" s="156">
        <v>45838</v>
      </c>
      <c r="AC9" s="156"/>
      <c r="AD9" s="151">
        <v>712800</v>
      </c>
      <c r="AE9" s="151">
        <v>1</v>
      </c>
      <c r="AF9" s="151">
        <v>103.68</v>
      </c>
      <c r="AG9" s="151">
        <v>739.03103999999996</v>
      </c>
      <c r="AH9" s="153"/>
      <c r="AI9" s="153"/>
      <c r="AJ9"/>
      <c r="AK9" s="154">
        <v>5.2192000000000002E-2</v>
      </c>
      <c r="AL9" s="154">
        <v>1.7899999999999999E-4</v>
      </c>
    </row>
    <row r="10" spans="1:38">
      <c r="A10" s="155">
        <v>274</v>
      </c>
      <c r="B10" s="155">
        <v>274</v>
      </c>
      <c r="C10" t="s">
        <v>1517</v>
      </c>
      <c r="D10" s="155">
        <v>520029083</v>
      </c>
      <c r="E10" t="s">
        <v>429</v>
      </c>
      <c r="F10" t="s">
        <v>1918</v>
      </c>
      <c r="G10" s="155">
        <v>6014211</v>
      </c>
      <c r="H10" t="s">
        <v>78</v>
      </c>
      <c r="I10" t="s">
        <v>229</v>
      </c>
      <c r="J10" t="s">
        <v>53</v>
      </c>
      <c r="K10" t="s">
        <v>53</v>
      </c>
      <c r="L10" t="s">
        <v>958</v>
      </c>
      <c r="M10" t="s">
        <v>256</v>
      </c>
      <c r="N10" t="s">
        <v>62</v>
      </c>
      <c r="O10" s="156">
        <v>40625</v>
      </c>
      <c r="P10" t="s">
        <v>1919</v>
      </c>
      <c r="Q10" t="s">
        <v>65</v>
      </c>
      <c r="R10" t="s">
        <v>57</v>
      </c>
      <c r="S10" t="s">
        <v>1222</v>
      </c>
      <c r="T10" s="151">
        <v>0.73</v>
      </c>
      <c r="U10" s="156">
        <v>46104</v>
      </c>
      <c r="V10" s="154">
        <v>2.47E-2</v>
      </c>
      <c r="W10" s="154">
        <v>3.95E-2</v>
      </c>
      <c r="X10" t="s">
        <v>620</v>
      </c>
      <c r="Y10"/>
      <c r="Z10" t="s">
        <v>775</v>
      </c>
      <c r="AA10" t="s">
        <v>305</v>
      </c>
      <c r="AB10" s="156">
        <v>45838</v>
      </c>
      <c r="AC10" s="156"/>
      <c r="AD10" s="151">
        <v>100000</v>
      </c>
      <c r="AE10" s="151">
        <v>1</v>
      </c>
      <c r="AF10" s="151">
        <v>125.47</v>
      </c>
      <c r="AG10" s="151">
        <v>125.47</v>
      </c>
      <c r="AH10" s="153"/>
      <c r="AI10" s="153"/>
      <c r="AJ10"/>
      <c r="AK10" s="154">
        <v>8.8610000000000008E-3</v>
      </c>
      <c r="AL10" s="154">
        <v>3.0000000000000001E-5</v>
      </c>
    </row>
    <row r="11" spans="1:38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8"/>
      <c r="M11" s="18"/>
      <c r="N11" s="18"/>
      <c r="O11" s="18"/>
      <c r="P11" s="18"/>
      <c r="Q11" s="18"/>
      <c r="R11" s="18"/>
      <c r="S11" s="16"/>
      <c r="T11" s="18"/>
      <c r="U11" s="18"/>
      <c r="V11" s="18"/>
      <c r="W11"/>
      <c r="X11" s="16"/>
      <c r="Y11" s="16"/>
      <c r="Z11" s="18"/>
      <c r="AA11" s="18"/>
      <c r="AC11" s="18"/>
      <c r="AD11" s="18"/>
      <c r="AE11" s="18"/>
      <c r="AF11" s="18"/>
      <c r="AG11" s="18"/>
      <c r="AH11" s="18"/>
      <c r="AI11" s="18"/>
      <c r="AJ11" s="19"/>
    </row>
    <row r="12" spans="1:38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8"/>
      <c r="M12" s="18"/>
      <c r="N12" s="18"/>
      <c r="O12" s="18"/>
      <c r="P12" s="18"/>
      <c r="Q12" s="18"/>
      <c r="R12" s="18"/>
      <c r="S12" s="16"/>
      <c r="T12" s="18"/>
      <c r="U12" s="18"/>
      <c r="V12" s="18"/>
      <c r="W12"/>
      <c r="X12" s="16"/>
      <c r="Y12" s="16"/>
      <c r="Z12" s="18"/>
      <c r="AA12" s="18"/>
      <c r="AC12" s="18"/>
      <c r="AD12" s="18"/>
      <c r="AE12" s="18"/>
      <c r="AF12" s="18"/>
      <c r="AG12" s="18"/>
      <c r="AH12" s="18"/>
      <c r="AI12" s="18"/>
      <c r="AJ12" s="19"/>
    </row>
    <row r="13" spans="1:38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8"/>
      <c r="M13" s="18"/>
      <c r="N13" s="18"/>
      <c r="O13" s="18"/>
      <c r="P13" s="18"/>
      <c r="Q13" s="18"/>
      <c r="R13" s="18"/>
      <c r="S13" s="16"/>
      <c r="T13" s="18"/>
      <c r="U13" s="18"/>
      <c r="V13" s="18"/>
      <c r="W13"/>
      <c r="X13" s="16"/>
      <c r="Y13" s="16"/>
      <c r="Z13" s="18"/>
      <c r="AA13" s="18"/>
      <c r="AC13" s="18"/>
      <c r="AD13" s="18"/>
      <c r="AE13" s="18"/>
      <c r="AF13" s="18"/>
      <c r="AG13" s="18"/>
      <c r="AH13" s="18"/>
      <c r="AI13" s="18"/>
      <c r="AJ13" s="19"/>
    </row>
    <row r="14" spans="1:38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8"/>
      <c r="M14" s="18"/>
      <c r="N14" s="18"/>
      <c r="O14" s="18"/>
      <c r="P14" s="18"/>
      <c r="Q14" s="18"/>
      <c r="R14" s="18"/>
      <c r="S14" s="16"/>
      <c r="T14" s="18"/>
      <c r="U14" s="18"/>
      <c r="V14" s="18"/>
      <c r="W14"/>
      <c r="X14" s="16"/>
      <c r="Y14" s="16"/>
      <c r="Z14" s="18"/>
      <c r="AA14" s="18"/>
      <c r="AC14" s="18"/>
      <c r="AD14" s="18"/>
      <c r="AE14" s="18"/>
      <c r="AF14" s="18"/>
      <c r="AG14" s="18"/>
      <c r="AH14" s="18"/>
      <c r="AI14" s="18"/>
      <c r="AJ14" s="19"/>
    </row>
    <row r="15" spans="1:38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8"/>
      <c r="M15" s="18"/>
      <c r="N15" s="18"/>
      <c r="O15" s="18"/>
      <c r="P15" s="18"/>
      <c r="Q15" s="18"/>
      <c r="R15" s="18"/>
      <c r="S15" s="16"/>
      <c r="T15" s="18"/>
      <c r="U15" s="18"/>
      <c r="V15" s="18"/>
      <c r="W15"/>
      <c r="X15" s="16"/>
      <c r="Y15" s="16"/>
      <c r="Z15" s="18"/>
      <c r="AA15" s="18"/>
      <c r="AC15" s="18"/>
      <c r="AD15" s="18"/>
      <c r="AE15" s="18"/>
      <c r="AF15" s="18"/>
      <c r="AG15" s="18"/>
      <c r="AH15" s="18"/>
      <c r="AI15" s="18"/>
      <c r="AJ15" s="19"/>
    </row>
    <row r="16" spans="1:38">
      <c r="A16" s="18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8"/>
      <c r="M16" s="18"/>
      <c r="N16" s="18"/>
      <c r="O16" s="18"/>
      <c r="P16" s="18"/>
      <c r="Q16" s="18"/>
      <c r="R16" s="18"/>
      <c r="S16" s="16"/>
      <c r="T16" s="18"/>
      <c r="U16" s="18"/>
      <c r="V16" s="18"/>
      <c r="W16"/>
      <c r="X16" s="16"/>
      <c r="Y16" s="16"/>
      <c r="Z16" s="18"/>
      <c r="AA16" s="18"/>
      <c r="AC16" s="18"/>
      <c r="AD16" s="18"/>
      <c r="AE16" s="18"/>
      <c r="AF16" s="18"/>
      <c r="AG16" s="18"/>
      <c r="AH16" s="18"/>
      <c r="AI16" s="18"/>
      <c r="AJ16" s="19"/>
    </row>
    <row r="17" spans="1:36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8"/>
      <c r="M17" s="18"/>
      <c r="N17" s="18"/>
      <c r="O17" s="18"/>
      <c r="P17" s="18"/>
      <c r="Q17" s="18"/>
      <c r="R17" s="18"/>
      <c r="S17" s="16"/>
      <c r="T17" s="18"/>
      <c r="U17" s="18"/>
      <c r="V17" s="18"/>
      <c r="W17"/>
      <c r="X17" s="16"/>
      <c r="Y17" s="16"/>
      <c r="Z17" s="18"/>
      <c r="AA17" s="18"/>
      <c r="AC17" s="18"/>
      <c r="AD17" s="18"/>
      <c r="AE17" s="18"/>
      <c r="AF17" s="18"/>
      <c r="AG17" s="18"/>
      <c r="AH17" s="18"/>
      <c r="AI17" s="18"/>
      <c r="AJ17" s="19"/>
    </row>
    <row r="18" spans="1:36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8"/>
      <c r="M18" s="18"/>
      <c r="N18" s="18"/>
      <c r="O18" s="18"/>
      <c r="P18" s="18"/>
      <c r="Q18" s="18"/>
      <c r="R18" s="18"/>
      <c r="S18" s="16"/>
      <c r="T18" s="18"/>
      <c r="U18" s="18"/>
      <c r="V18" s="18"/>
      <c r="W18"/>
      <c r="X18" s="16"/>
      <c r="Y18" s="16"/>
      <c r="Z18" s="18"/>
      <c r="AA18" s="18"/>
      <c r="AC18" s="18"/>
      <c r="AD18" s="18"/>
      <c r="AE18" s="18"/>
      <c r="AF18" s="18"/>
      <c r="AG18" s="18"/>
      <c r="AH18" s="18"/>
      <c r="AI18" s="18"/>
      <c r="AJ18" s="19"/>
    </row>
    <row r="19" spans="1:36">
      <c r="A19" s="18"/>
      <c r="B19" s="18"/>
      <c r="C19" s="18"/>
      <c r="D19" s="18"/>
      <c r="E19" s="16"/>
      <c r="F19" s="18"/>
      <c r="G19" s="18"/>
      <c r="H19" s="18"/>
      <c r="I19" s="18"/>
      <c r="J19" s="16"/>
      <c r="K19" s="16"/>
      <c r="L19" s="18"/>
      <c r="M19" s="18"/>
      <c r="N19" s="18"/>
      <c r="O19" s="18"/>
      <c r="P19" s="18"/>
      <c r="Q19" s="18"/>
      <c r="R19" s="18"/>
      <c r="S19" s="16"/>
      <c r="T19" s="18"/>
      <c r="U19" s="18"/>
      <c r="V19" s="18"/>
      <c r="W19"/>
      <c r="X19" s="16"/>
      <c r="Y19" s="16"/>
      <c r="Z19" s="18"/>
      <c r="AA19" s="18"/>
      <c r="AC19" s="18"/>
      <c r="AD19" s="18"/>
      <c r="AE19" s="18"/>
      <c r="AF19" s="18"/>
      <c r="AG19" s="18"/>
      <c r="AH19" s="18"/>
      <c r="AI19" s="18"/>
      <c r="AJ19" s="19"/>
    </row>
    <row r="20" spans="1:36">
      <c r="E20" s="16"/>
      <c r="H20" s="18"/>
      <c r="I20" s="18"/>
      <c r="J20" s="16"/>
      <c r="K20" s="16"/>
      <c r="L20" s="18"/>
      <c r="M20" s="18"/>
      <c r="N20" s="18"/>
      <c r="Q20" s="18"/>
      <c r="R20" s="18"/>
      <c r="W20"/>
      <c r="X20" s="16"/>
      <c r="Y20" s="16"/>
      <c r="AA20" s="18"/>
      <c r="AJ20" s="19"/>
    </row>
    <row r="21" spans="1:36" customFormat="1">
      <c r="L21" s="36"/>
      <c r="X21" s="37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/>
  <cols>
    <col min="1" max="2" width="10.625" style="2" bestFit="1" customWidth="1"/>
    <col min="3" max="3" width="8.875" style="2" bestFit="1" customWidth="1"/>
    <col min="4" max="4" width="10.75" style="2" bestFit="1" customWidth="1"/>
    <col min="5" max="5" width="10.375" style="4" bestFit="1" customWidth="1"/>
    <col min="6" max="6" width="10.625" style="2" bestFit="1" customWidth="1"/>
    <col min="7" max="7" width="9.375" style="2" bestFit="1" customWidth="1"/>
    <col min="8" max="8" width="9.125" style="2" bestFit="1" customWidth="1"/>
    <col min="9" max="9" width="11" style="2" bestFit="1" customWidth="1"/>
    <col min="10" max="10" width="10" style="2" bestFit="1" customWidth="1"/>
    <col min="11" max="11" width="9.25" style="2" bestFit="1" customWidth="1"/>
    <col min="12" max="12" width="7.875" style="4" bestFit="1" customWidth="1"/>
    <col min="13" max="13" width="8.875" style="2" bestFit="1" customWidth="1"/>
    <col min="14" max="14" width="11" style="2" bestFit="1" customWidth="1"/>
    <col min="15" max="15" width="11.625" style="2" customWidth="1"/>
    <col min="16" max="16" width="11.25" style="2" bestFit="1" customWidth="1"/>
    <col min="17" max="17" width="8.25" style="2" bestFit="1" customWidth="1"/>
    <col min="18" max="18" width="7.875" style="2" bestFit="1" customWidth="1"/>
    <col min="19" max="19" width="11" style="2" bestFit="1" customWidth="1"/>
    <col min="20" max="20" width="11.625" style="2" customWidth="1"/>
    <col min="21" max="21" width="9.125" style="2" bestFit="1" customWidth="1"/>
    <col min="22" max="22" width="10.375" style="2" bestFit="1" customWidth="1"/>
    <col min="23" max="23" width="9" style="2" bestFit="1" customWidth="1"/>
    <col min="24" max="24" width="10.875" style="2" bestFit="1" customWidth="1"/>
    <col min="25" max="25" width="11.125" style="2" bestFit="1" customWidth="1"/>
    <col min="26" max="26" width="10" style="2" bestFit="1" customWidth="1"/>
    <col min="27" max="16384" width="9" style="2" hidden="1"/>
  </cols>
  <sheetData>
    <row r="1" spans="1:26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58" t="s">
        <v>12</v>
      </c>
      <c r="P1" s="17" t="s">
        <v>396</v>
      </c>
      <c r="Q1" s="17" t="s">
        <v>917</v>
      </c>
      <c r="R1" s="17" t="s">
        <v>372</v>
      </c>
      <c r="S1" s="158" t="s">
        <v>16</v>
      </c>
      <c r="T1" s="158" t="s">
        <v>1147</v>
      </c>
      <c r="U1" s="150" t="s">
        <v>773</v>
      </c>
      <c r="V1" s="150" t="s">
        <v>11</v>
      </c>
      <c r="W1" s="150" t="s">
        <v>15</v>
      </c>
      <c r="X1" s="150" t="s">
        <v>1153</v>
      </c>
      <c r="Y1" s="159" t="s">
        <v>19</v>
      </c>
      <c r="Z1" s="159" t="s">
        <v>30</v>
      </c>
    </row>
    <row r="2" spans="1:26">
      <c r="A2" s="155">
        <v>274</v>
      </c>
      <c r="B2" s="155">
        <v>274</v>
      </c>
      <c r="C2"/>
      <c r="D2" s="155"/>
      <c r="E2"/>
      <c r="F2"/>
      <c r="G2" s="155"/>
      <c r="H2"/>
      <c r="I2"/>
      <c r="J2"/>
      <c r="K2"/>
      <c r="L2"/>
      <c r="M2"/>
      <c r="N2"/>
      <c r="O2" s="156"/>
      <c r="P2"/>
      <c r="Q2"/>
      <c r="R2"/>
      <c r="S2" s="156"/>
      <c r="T2" s="156"/>
      <c r="U2" s="151"/>
      <c r="V2" s="151"/>
      <c r="W2" s="151"/>
      <c r="X2" s="151"/>
      <c r="Y2" s="154"/>
      <c r="Z2" s="154"/>
    </row>
    <row r="3" spans="1:26">
      <c r="A3" s="18"/>
      <c r="B3" s="18"/>
      <c r="C3" s="18"/>
      <c r="D3" s="18"/>
      <c r="E3" s="16"/>
      <c r="F3" s="18"/>
      <c r="G3" s="18"/>
      <c r="H3" s="16"/>
      <c r="I3" s="18"/>
      <c r="J3" s="16"/>
      <c r="K3" s="16"/>
      <c r="L3" s="18"/>
      <c r="M3" s="18"/>
      <c r="N3" s="18"/>
      <c r="O3" s="18"/>
      <c r="P3" s="16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18"/>
      <c r="B4" s="18"/>
      <c r="C4" s="18"/>
      <c r="D4" s="18"/>
      <c r="E4" s="16"/>
      <c r="F4" s="18"/>
      <c r="G4" s="18"/>
      <c r="H4" s="16"/>
      <c r="I4" s="18"/>
      <c r="J4" s="16"/>
      <c r="K4" s="16"/>
      <c r="L4" s="18"/>
      <c r="M4" s="18"/>
      <c r="N4" s="18"/>
      <c r="P4" s="16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>
      <c r="A5" s="18"/>
      <c r="B5" s="18"/>
      <c r="C5" s="18"/>
      <c r="D5" s="18"/>
      <c r="E5" s="16"/>
      <c r="F5" s="18"/>
      <c r="G5" s="18"/>
      <c r="H5" s="16"/>
      <c r="I5" s="18"/>
      <c r="J5" s="16"/>
      <c r="K5" s="16"/>
      <c r="L5" s="18"/>
      <c r="M5" s="18"/>
      <c r="N5" s="18"/>
      <c r="O5" s="18"/>
      <c r="P5" s="16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8"/>
      <c r="M6" s="18"/>
      <c r="N6" s="18"/>
      <c r="O6" s="18"/>
      <c r="P6" s="16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8"/>
      <c r="M7" s="18"/>
      <c r="N7" s="18"/>
      <c r="O7" s="18"/>
      <c r="P7" s="16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8"/>
      <c r="M8" s="18"/>
      <c r="N8" s="18"/>
      <c r="O8" s="18"/>
      <c r="P8" s="16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8"/>
      <c r="M9" s="18"/>
      <c r="N9" s="18"/>
      <c r="O9" s="18"/>
      <c r="P9" s="16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8"/>
      <c r="N10" s="18"/>
      <c r="O10" s="18"/>
      <c r="P10" s="16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8"/>
      <c r="N11" s="18"/>
      <c r="O11" s="18"/>
      <c r="P11" s="16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8"/>
      <c r="N12" s="18"/>
      <c r="O12" s="18"/>
      <c r="P12" s="16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8"/>
      <c r="N13" s="18"/>
      <c r="O13" s="18"/>
      <c r="P13" s="16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8"/>
      <c r="N14" s="18"/>
      <c r="O14" s="18"/>
      <c r="P14" s="16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8"/>
      <c r="N15" s="18"/>
      <c r="O15" s="18"/>
      <c r="P15" s="16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8"/>
      <c r="M16" s="18"/>
      <c r="N16" s="18"/>
      <c r="O16" s="18"/>
      <c r="P16" s="16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8"/>
      <c r="M17" s="18"/>
      <c r="N17" s="18"/>
      <c r="O17" s="18"/>
      <c r="P17" s="16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8"/>
      <c r="M18" s="18"/>
      <c r="N18" s="18"/>
      <c r="O18" s="18"/>
      <c r="P18" s="16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4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8"/>
      <c r="M19" s="18"/>
      <c r="N19" s="18"/>
      <c r="O19" s="18"/>
      <c r="P19" s="16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>
      <c r="E20" s="16"/>
      <c r="H20" s="4"/>
      <c r="I20" s="18"/>
      <c r="J20" s="16"/>
      <c r="K20" s="16"/>
      <c r="L20" s="18"/>
      <c r="M20" s="18"/>
      <c r="N20" s="18"/>
      <c r="R20" s="18"/>
    </row>
    <row r="21" spans="1:26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A4" sqref="A4"/>
    </sheetView>
  </sheetViews>
  <sheetFormatPr defaultColWidth="0" defaultRowHeight="14.25"/>
  <cols>
    <col min="1" max="2" width="10.625" style="2" bestFit="1" customWidth="1"/>
    <col min="3" max="3" width="9.125" style="2" bestFit="1" customWidth="1"/>
    <col min="4" max="4" width="10.875" style="2" bestFit="1" customWidth="1"/>
    <col min="5" max="5" width="12.125" style="2" bestFit="1" customWidth="1"/>
    <col min="6" max="6" width="14.75" style="2" bestFit="1" customWidth="1"/>
    <col min="7" max="7" width="10.75" style="2" bestFit="1" customWidth="1"/>
    <col min="8" max="8" width="9.125" style="2" bestFit="1" customWidth="1"/>
    <col min="9" max="9" width="16.375" style="2" bestFit="1" customWidth="1"/>
    <col min="10" max="10" width="11.25" style="2" bestFit="1" customWidth="1"/>
    <col min="11" max="11" width="10" style="2" bestFit="1" customWidth="1"/>
    <col min="12" max="12" width="10.125" style="2" bestFit="1" customWidth="1"/>
    <col min="13" max="13" width="11.375" style="2" bestFit="1" customWidth="1"/>
    <col min="14" max="14" width="9.25" style="2" bestFit="1" customWidth="1"/>
    <col min="15" max="15" width="11" style="2" bestFit="1" customWidth="1"/>
    <col min="16" max="16" width="11.625" customWidth="1"/>
    <col min="17" max="17" width="11.25" style="2" bestFit="1" customWidth="1"/>
    <col min="18" max="18" width="13.75" style="2" bestFit="1" customWidth="1"/>
    <col min="19" max="19" width="7.875" style="2" bestFit="1" customWidth="1"/>
    <col min="20" max="20" width="11" style="2" bestFit="1" customWidth="1"/>
    <col min="21" max="21" width="9.875" style="2" bestFit="1" customWidth="1"/>
    <col min="22" max="22" width="9.375" style="2" bestFit="1" customWidth="1"/>
    <col min="23" max="23" width="10.875" style="2" bestFit="1" customWidth="1"/>
    <col min="24" max="25" width="11.125" style="2" bestFit="1" customWidth="1"/>
    <col min="26" max="26" width="10" style="2" bestFit="1" customWidth="1"/>
    <col min="27" max="16384" width="9" style="2" hidden="1"/>
  </cols>
  <sheetData>
    <row r="1" spans="1:26" ht="63.75">
      <c r="A1" s="17" t="s">
        <v>651</v>
      </c>
      <c r="B1" s="17" t="s">
        <v>0</v>
      </c>
      <c r="C1" s="17" t="s">
        <v>780</v>
      </c>
      <c r="D1" s="17" t="s">
        <v>793</v>
      </c>
      <c r="E1" s="17" t="s">
        <v>781</v>
      </c>
      <c r="F1" s="17" t="s">
        <v>747</v>
      </c>
      <c r="G1" s="17" t="s">
        <v>746</v>
      </c>
      <c r="H1" s="17" t="s">
        <v>751</v>
      </c>
      <c r="I1" s="17" t="s">
        <v>1</v>
      </c>
      <c r="J1" s="17" t="s">
        <v>289</v>
      </c>
      <c r="K1" s="17" t="s">
        <v>604</v>
      </c>
      <c r="L1" s="17" t="s">
        <v>739</v>
      </c>
      <c r="M1" s="17" t="s">
        <v>754</v>
      </c>
      <c r="N1" s="17" t="s">
        <v>605</v>
      </c>
      <c r="O1" s="17" t="s">
        <v>606</v>
      </c>
      <c r="P1" s="24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11</v>
      </c>
      <c r="V1" s="111" t="s">
        <v>936</v>
      </c>
      <c r="W1" s="17" t="s">
        <v>1153</v>
      </c>
      <c r="X1" s="17" t="s">
        <v>736</v>
      </c>
      <c r="Y1" s="17" t="s">
        <v>19</v>
      </c>
      <c r="Z1" s="17" t="s">
        <v>30</v>
      </c>
    </row>
    <row r="2" spans="1:26">
      <c r="A2" s="155">
        <v>274</v>
      </c>
      <c r="B2" s="155">
        <v>274</v>
      </c>
      <c r="C2" t="s">
        <v>1920</v>
      </c>
      <c r="D2" s="155"/>
      <c r="E2"/>
      <c r="F2" t="s">
        <v>1921</v>
      </c>
      <c r="G2" s="155">
        <v>6254</v>
      </c>
      <c r="H2" t="s">
        <v>78</v>
      </c>
      <c r="I2" t="s">
        <v>242</v>
      </c>
      <c r="J2"/>
      <c r="K2" t="s">
        <v>53</v>
      </c>
      <c r="L2"/>
      <c r="M2"/>
      <c r="N2" t="s">
        <v>53</v>
      </c>
      <c r="O2" t="s">
        <v>62</v>
      </c>
      <c r="P2" s="156">
        <v>40542</v>
      </c>
      <c r="Q2" t="s">
        <v>1222</v>
      </c>
      <c r="R2" t="s">
        <v>303</v>
      </c>
      <c r="S2" t="s">
        <v>305</v>
      </c>
      <c r="T2" s="156">
        <v>45838</v>
      </c>
      <c r="U2" s="151">
        <v>1</v>
      </c>
      <c r="V2" s="153">
        <v>2505.4179600000002</v>
      </c>
      <c r="W2" s="151">
        <v>2505.4179600000002</v>
      </c>
      <c r="X2" s="154">
        <v>1.8E-5</v>
      </c>
      <c r="Y2" s="154">
        <v>1</v>
      </c>
      <c r="Z2" s="154">
        <v>6.0800000000000003E-4</v>
      </c>
    </row>
    <row r="3" spans="1:26">
      <c r="A3" s="18"/>
      <c r="B3" s="18"/>
      <c r="C3" s="18"/>
      <c r="D3"/>
      <c r="E3" s="19"/>
      <c r="F3" s="18"/>
      <c r="G3" s="18"/>
      <c r="H3" s="19"/>
      <c r="J3" s="18"/>
      <c r="K3" s="16"/>
      <c r="L3" s="19"/>
      <c r="M3" s="19"/>
      <c r="N3" s="16"/>
      <c r="O3" s="18"/>
      <c r="Q3" s="16"/>
      <c r="R3" s="18"/>
      <c r="S3" s="18"/>
      <c r="T3" s="34"/>
      <c r="U3" s="18"/>
      <c r="V3" s="18"/>
      <c r="W3" s="18"/>
      <c r="X3" s="23"/>
      <c r="Y3" s="18"/>
      <c r="Z3" s="18"/>
    </row>
    <row r="4" spans="1:26">
      <c r="A4" s="18"/>
      <c r="B4" s="18"/>
      <c r="C4" s="18"/>
      <c r="D4"/>
      <c r="E4" s="19"/>
      <c r="F4" s="18"/>
      <c r="G4" s="18"/>
      <c r="H4" s="19"/>
      <c r="J4" s="18"/>
      <c r="K4" s="16"/>
      <c r="L4" s="19"/>
      <c r="M4" s="19"/>
      <c r="N4" s="16"/>
      <c r="O4" s="18"/>
      <c r="Q4" s="16"/>
      <c r="R4" s="18"/>
      <c r="S4" s="18"/>
      <c r="T4" s="19"/>
      <c r="U4" s="18"/>
      <c r="V4" s="18"/>
      <c r="W4" s="18"/>
      <c r="X4" s="23"/>
      <c r="Y4" s="18"/>
      <c r="Z4" s="18"/>
    </row>
    <row r="5" spans="1:26">
      <c r="A5" s="18"/>
      <c r="B5" s="18"/>
      <c r="C5" s="18"/>
      <c r="D5"/>
      <c r="E5" s="19"/>
      <c r="F5" s="18"/>
      <c r="G5" s="18"/>
      <c r="H5" s="19"/>
      <c r="J5" s="18"/>
      <c r="K5" s="16"/>
      <c r="L5" s="19"/>
      <c r="M5" s="19"/>
      <c r="N5" s="16"/>
      <c r="O5" s="18"/>
      <c r="Q5" s="16"/>
      <c r="R5" s="18"/>
      <c r="S5" s="18"/>
      <c r="T5" s="19"/>
      <c r="U5" s="18"/>
      <c r="V5" s="18"/>
      <c r="W5" s="18"/>
      <c r="X5" s="23"/>
      <c r="Y5" s="18"/>
      <c r="Z5" s="18"/>
    </row>
    <row r="6" spans="1:26">
      <c r="A6" s="18"/>
      <c r="B6" s="18"/>
      <c r="C6" s="18"/>
      <c r="D6"/>
      <c r="E6" s="19"/>
      <c r="F6" s="18"/>
      <c r="G6" s="18"/>
      <c r="H6" s="19"/>
      <c r="J6" s="18"/>
      <c r="K6" s="16"/>
      <c r="L6" s="19"/>
      <c r="M6" s="19"/>
      <c r="N6" s="16"/>
      <c r="O6" s="18"/>
      <c r="Q6" s="16"/>
      <c r="R6" s="18"/>
      <c r="S6" s="18"/>
      <c r="T6" s="19"/>
      <c r="U6" s="18"/>
      <c r="V6" s="18"/>
      <c r="W6" s="18"/>
      <c r="X6" s="18"/>
      <c r="Y6" s="18"/>
      <c r="Z6" s="18"/>
    </row>
    <row r="7" spans="1:26">
      <c r="A7" s="18"/>
      <c r="B7" s="18"/>
      <c r="C7" s="18"/>
      <c r="D7"/>
      <c r="E7" s="19"/>
      <c r="F7" s="18"/>
      <c r="G7" s="18"/>
      <c r="H7" s="19"/>
      <c r="J7" s="18"/>
      <c r="K7" s="16"/>
      <c r="L7" s="19"/>
      <c r="M7" s="19"/>
      <c r="N7" s="16"/>
      <c r="O7" s="18"/>
      <c r="Q7" s="16"/>
      <c r="R7" s="18"/>
      <c r="S7" s="18"/>
      <c r="T7" s="19"/>
      <c r="U7" s="18"/>
      <c r="V7" s="18"/>
      <c r="W7" s="18"/>
      <c r="X7" s="18"/>
      <c r="Y7" s="18"/>
      <c r="Z7" s="18"/>
    </row>
    <row r="8" spans="1:26">
      <c r="A8" s="18"/>
      <c r="B8" s="18"/>
      <c r="C8" s="18"/>
      <c r="D8"/>
      <c r="E8" s="19"/>
      <c r="F8" s="18"/>
      <c r="G8" s="18"/>
      <c r="H8" s="19"/>
      <c r="J8" s="18"/>
      <c r="K8" s="16"/>
      <c r="L8" s="19"/>
      <c r="M8" s="19"/>
      <c r="N8" s="16"/>
      <c r="O8" s="18"/>
      <c r="Q8" s="16"/>
      <c r="R8" s="18"/>
      <c r="S8" s="18"/>
      <c r="T8" s="19"/>
      <c r="U8" s="18"/>
      <c r="V8" s="18"/>
      <c r="W8" s="18"/>
      <c r="X8" s="18"/>
      <c r="Y8" s="18"/>
      <c r="Z8" s="18"/>
    </row>
    <row r="9" spans="1:26">
      <c r="A9" s="18"/>
      <c r="B9" s="18"/>
      <c r="C9" s="18"/>
      <c r="D9"/>
      <c r="E9" s="19"/>
      <c r="F9" s="18"/>
      <c r="G9" s="18"/>
      <c r="H9" s="19"/>
      <c r="J9" s="18"/>
      <c r="K9" s="16"/>
      <c r="L9" s="19"/>
      <c r="M9" s="19"/>
      <c r="N9" s="16"/>
      <c r="O9" s="18"/>
      <c r="Q9" s="16"/>
      <c r="R9" s="18"/>
      <c r="S9" s="18"/>
      <c r="T9" s="19"/>
      <c r="U9" s="18"/>
      <c r="V9" s="18"/>
      <c r="W9" s="18"/>
      <c r="X9" s="18"/>
      <c r="Y9" s="18"/>
      <c r="Z9" s="18"/>
    </row>
    <row r="10" spans="1:26">
      <c r="A10" s="18"/>
      <c r="B10" s="18"/>
      <c r="C10" s="18"/>
      <c r="D10"/>
      <c r="E10" s="19"/>
      <c r="F10" s="18"/>
      <c r="G10" s="18"/>
      <c r="H10" s="19"/>
      <c r="J10" s="18"/>
      <c r="K10" s="16"/>
      <c r="L10" s="19"/>
      <c r="M10" s="19"/>
      <c r="N10" s="16"/>
      <c r="O10" s="18"/>
      <c r="Q10" s="16"/>
      <c r="R10" s="18"/>
      <c r="S10" s="18"/>
      <c r="T10" s="19"/>
      <c r="U10" s="18"/>
      <c r="V10" s="18"/>
      <c r="W10" s="18"/>
      <c r="X10" s="18"/>
      <c r="Y10" s="18"/>
      <c r="Z10" s="18"/>
    </row>
    <row r="11" spans="1:26">
      <c r="A11" s="18"/>
      <c r="B11" s="18"/>
      <c r="C11" s="18"/>
      <c r="D11"/>
      <c r="E11" s="19"/>
      <c r="F11" s="18"/>
      <c r="G11" s="18"/>
      <c r="H11" s="19"/>
      <c r="J11" s="18"/>
      <c r="K11" s="16"/>
      <c r="L11" s="19"/>
      <c r="M11" s="19"/>
      <c r="N11" s="16"/>
      <c r="O11" s="18"/>
      <c r="Q11" s="16"/>
      <c r="R11" s="18"/>
      <c r="S11" s="18"/>
      <c r="T11" s="19"/>
      <c r="U11" s="18"/>
      <c r="V11" s="18"/>
      <c r="W11" s="18"/>
      <c r="X11" s="18"/>
      <c r="Y11" s="18"/>
      <c r="Z11" s="18"/>
    </row>
    <row r="12" spans="1:26">
      <c r="A12" s="18"/>
      <c r="B12" s="18"/>
      <c r="C12" s="18"/>
      <c r="D12"/>
      <c r="E12" s="19"/>
      <c r="F12" s="18"/>
      <c r="G12" s="18"/>
      <c r="H12" s="19"/>
      <c r="J12" s="18"/>
      <c r="K12" s="16"/>
      <c r="L12" s="19"/>
      <c r="M12" s="19"/>
      <c r="N12" s="16"/>
      <c r="O12" s="18"/>
      <c r="Q12" s="16"/>
      <c r="R12" s="18"/>
      <c r="S12" s="18"/>
      <c r="T12" s="19"/>
      <c r="U12" s="18"/>
      <c r="V12" s="18"/>
      <c r="W12" s="18"/>
      <c r="X12" s="18"/>
      <c r="Y12" s="18"/>
      <c r="Z12" s="18"/>
    </row>
    <row r="13" spans="1:26">
      <c r="A13" s="18"/>
      <c r="B13" s="18"/>
      <c r="C13" s="18"/>
      <c r="D13"/>
      <c r="E13" s="19"/>
      <c r="F13" s="18"/>
      <c r="G13" s="18"/>
      <c r="H13" s="19"/>
      <c r="J13" s="18"/>
      <c r="K13" s="16"/>
      <c r="L13" s="19"/>
      <c r="M13" s="19"/>
      <c r="N13" s="16"/>
      <c r="O13" s="18"/>
      <c r="Q13" s="16"/>
      <c r="R13" s="18"/>
      <c r="S13" s="18"/>
      <c r="T13" s="19"/>
      <c r="U13" s="18"/>
      <c r="V13" s="18"/>
      <c r="W13" s="18"/>
      <c r="X13" s="18"/>
      <c r="Y13" s="18"/>
      <c r="Z13" s="18"/>
    </row>
    <row r="14" spans="1:26">
      <c r="A14" s="18"/>
      <c r="B14" s="18"/>
      <c r="C14" s="18"/>
      <c r="D14"/>
      <c r="E14" s="19"/>
      <c r="F14" s="18"/>
      <c r="G14" s="18"/>
      <c r="H14" s="19"/>
      <c r="J14" s="18"/>
      <c r="K14" s="16"/>
      <c r="L14" s="19"/>
      <c r="M14" s="19"/>
      <c r="N14" s="16"/>
      <c r="O14" s="18"/>
      <c r="Q14" s="16"/>
      <c r="R14" s="18"/>
      <c r="S14" s="18"/>
      <c r="T14" s="19"/>
      <c r="U14" s="18"/>
      <c r="V14" s="18"/>
      <c r="W14" s="18"/>
      <c r="X14" s="18"/>
      <c r="Y14" s="18"/>
      <c r="Z14" s="18"/>
    </row>
    <row r="15" spans="1:26">
      <c r="A15" s="18"/>
      <c r="B15" s="18"/>
      <c r="C15" s="18"/>
      <c r="D15"/>
      <c r="E15" s="19"/>
      <c r="F15" s="18"/>
      <c r="G15" s="18"/>
      <c r="H15" s="19"/>
      <c r="J15" s="18"/>
      <c r="K15" s="16"/>
      <c r="L15" s="19"/>
      <c r="M15" s="19"/>
      <c r="N15" s="16"/>
      <c r="O15" s="18"/>
      <c r="Q15" s="16"/>
      <c r="R15" s="18"/>
      <c r="S15" s="18"/>
      <c r="T15" s="19"/>
      <c r="U15" s="18"/>
      <c r="V15" s="18"/>
      <c r="W15" s="18"/>
      <c r="X15" s="18"/>
      <c r="Y15" s="18"/>
      <c r="Z15" s="18"/>
    </row>
    <row r="16" spans="1:26">
      <c r="A16" s="18"/>
      <c r="B16" s="18"/>
      <c r="C16" s="18"/>
      <c r="D16"/>
      <c r="E16" s="19"/>
      <c r="F16" s="18"/>
      <c r="G16" s="18"/>
      <c r="H16" s="19"/>
      <c r="J16" s="18"/>
      <c r="K16" s="16"/>
      <c r="L16" s="19"/>
      <c r="M16" s="19"/>
      <c r="N16" s="16"/>
      <c r="O16" s="18"/>
      <c r="Q16" s="16"/>
      <c r="R16" s="18"/>
      <c r="S16" s="18"/>
      <c r="T16" s="19"/>
      <c r="U16" s="18"/>
      <c r="V16" s="18"/>
      <c r="W16" s="18"/>
      <c r="X16" s="18"/>
      <c r="Y16" s="18"/>
      <c r="Z16" s="18"/>
    </row>
    <row r="17" spans="1:26">
      <c r="A17" s="18"/>
      <c r="B17" s="18"/>
      <c r="C17" s="18"/>
      <c r="D17"/>
      <c r="E17" s="19"/>
      <c r="F17" s="18"/>
      <c r="G17" s="18"/>
      <c r="H17" s="19"/>
      <c r="J17" s="18"/>
      <c r="K17" s="16"/>
      <c r="L17" s="19"/>
      <c r="M17" s="19"/>
      <c r="N17" s="16"/>
      <c r="O17" s="18"/>
      <c r="Q17" s="16"/>
      <c r="R17" s="18"/>
      <c r="S17" s="18"/>
      <c r="T17" s="19"/>
      <c r="U17" s="18"/>
      <c r="V17" s="18"/>
      <c r="W17" s="18"/>
      <c r="X17" s="18"/>
      <c r="Y17" s="18"/>
      <c r="Z17" s="18"/>
    </row>
    <row r="18" spans="1:26">
      <c r="A18" s="18"/>
      <c r="B18" s="18"/>
      <c r="C18" s="18"/>
      <c r="D18"/>
      <c r="E18" s="19"/>
      <c r="F18" s="18"/>
      <c r="G18" s="18"/>
      <c r="H18" s="19"/>
      <c r="J18" s="18"/>
      <c r="K18" s="16"/>
      <c r="L18" s="19"/>
      <c r="M18" s="19"/>
      <c r="N18" s="16"/>
      <c r="O18" s="18"/>
      <c r="Q18" s="16"/>
      <c r="R18" s="18"/>
      <c r="S18" s="18"/>
      <c r="T18" s="19"/>
      <c r="U18" s="18"/>
      <c r="V18" s="18"/>
      <c r="W18" s="18"/>
      <c r="X18" s="18"/>
      <c r="Y18" s="18"/>
      <c r="Z18" s="18"/>
    </row>
    <row r="19" spans="1:26">
      <c r="A19" s="18"/>
      <c r="B19" s="18"/>
      <c r="C19" s="18"/>
      <c r="D19"/>
      <c r="E19" s="19"/>
      <c r="F19" s="18"/>
      <c r="G19" s="18"/>
      <c r="H19" s="19"/>
      <c r="J19" s="18"/>
      <c r="K19" s="16"/>
      <c r="L19" s="19"/>
      <c r="M19" s="19"/>
      <c r="N19" s="16"/>
      <c r="O19" s="18"/>
      <c r="Q19" s="16"/>
      <c r="R19" s="18"/>
      <c r="S19" s="18"/>
      <c r="T19" s="19"/>
      <c r="U19" s="18"/>
      <c r="V19" s="18"/>
      <c r="W19" s="18"/>
      <c r="X19" s="18"/>
      <c r="Y19" s="18"/>
      <c r="Z19" s="18"/>
    </row>
    <row r="20" spans="1:26">
      <c r="D20"/>
      <c r="E20" s="19"/>
      <c r="H20" s="19"/>
      <c r="J20" s="18"/>
      <c r="K20" s="16"/>
      <c r="L20" s="19"/>
      <c r="M20" s="19"/>
      <c r="N20" s="16"/>
      <c r="O20" s="18"/>
      <c r="R20" s="18"/>
      <c r="S20" s="1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/>
  </sheetViews>
  <sheetFormatPr defaultColWidth="0" defaultRowHeight="14.25"/>
  <cols>
    <col min="1" max="2" width="10.625" style="2" bestFit="1" customWidth="1"/>
    <col min="3" max="3" width="8.875" style="2" bestFit="1" customWidth="1"/>
    <col min="4" max="4" width="10.75" style="2" bestFit="1" customWidth="1"/>
    <col min="5" max="5" width="10.375" style="4" bestFit="1" customWidth="1"/>
    <col min="6" max="6" width="10.625" style="2" bestFit="1" customWidth="1"/>
    <col min="7" max="7" width="9.375" style="2" bestFit="1" customWidth="1"/>
    <col min="8" max="8" width="9.125" style="2" bestFit="1" customWidth="1"/>
    <col min="9" max="9" width="10" style="2" bestFit="1" customWidth="1"/>
    <col min="10" max="10" width="9.25" style="2" bestFit="1" customWidth="1"/>
    <col min="11" max="11" width="7.875" style="4" bestFit="1" customWidth="1"/>
    <col min="12" max="12" width="11.375" style="2" bestFit="1" customWidth="1"/>
    <col min="13" max="13" width="8.875" style="2" bestFit="1" customWidth="1"/>
    <col min="14" max="14" width="11.625" style="2" customWidth="1"/>
    <col min="15" max="15" width="11" style="2" bestFit="1" customWidth="1"/>
    <col min="16" max="16" width="11.625" style="2" customWidth="1"/>
    <col min="17" max="17" width="11.25" style="2" bestFit="1" customWidth="1"/>
    <col min="18" max="18" width="8.25" style="2" bestFit="1" customWidth="1"/>
    <col min="19" max="19" width="7.875" style="2" bestFit="1" customWidth="1"/>
    <col min="20" max="20" width="11" style="2" bestFit="1" customWidth="1"/>
    <col min="21" max="21" width="10.375" style="2" bestFit="1" customWidth="1"/>
    <col min="22" max="22" width="9.375" style="2" bestFit="1" customWidth="1"/>
    <col min="23" max="23" width="9.125" style="2" bestFit="1" customWidth="1"/>
    <col min="24" max="24" width="9" style="2" bestFit="1" customWidth="1"/>
    <col min="25" max="25" width="10.375" style="2" bestFit="1" customWidth="1"/>
    <col min="26" max="26" width="10.875" style="2" bestFit="1" customWidth="1"/>
    <col min="27" max="27" width="11.125" style="2" bestFit="1" customWidth="1"/>
    <col min="28" max="28" width="10" style="2" bestFit="1" customWidth="1"/>
    <col min="29" max="29" width="11.625" style="2" hidden="1" customWidth="1"/>
    <col min="30" max="16384" width="9" style="2" hidden="1"/>
  </cols>
  <sheetData>
    <row r="1" spans="1:28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738</v>
      </c>
      <c r="M1" s="17" t="s">
        <v>9</v>
      </c>
      <c r="N1" s="158" t="s">
        <v>666</v>
      </c>
      <c r="O1" s="17" t="s">
        <v>606</v>
      </c>
      <c r="P1" s="158" t="s">
        <v>12</v>
      </c>
      <c r="Q1" s="17" t="s">
        <v>396</v>
      </c>
      <c r="R1" s="17" t="s">
        <v>917</v>
      </c>
      <c r="S1" s="17" t="s">
        <v>372</v>
      </c>
      <c r="T1" s="158" t="s">
        <v>16</v>
      </c>
      <c r="U1" s="150" t="s">
        <v>23</v>
      </c>
      <c r="V1" s="150" t="s">
        <v>613</v>
      </c>
      <c r="W1" s="150" t="s">
        <v>773</v>
      </c>
      <c r="X1" s="150" t="s">
        <v>15</v>
      </c>
      <c r="Y1" s="150" t="s">
        <v>11</v>
      </c>
      <c r="Z1" s="150" t="s">
        <v>1153</v>
      </c>
      <c r="AA1" s="159" t="s">
        <v>19</v>
      </c>
      <c r="AB1" s="159" t="s">
        <v>30</v>
      </c>
    </row>
    <row r="2" spans="1:28">
      <c r="A2" s="155">
        <v>274</v>
      </c>
      <c r="B2" s="155">
        <v>274</v>
      </c>
      <c r="C2"/>
      <c r="D2" s="155"/>
      <c r="E2"/>
      <c r="F2"/>
      <c r="G2" s="155"/>
      <c r="H2"/>
      <c r="I2"/>
      <c r="J2"/>
      <c r="K2"/>
      <c r="L2"/>
      <c r="M2"/>
      <c r="N2" s="156"/>
      <c r="O2"/>
      <c r="P2" s="156"/>
      <c r="Q2"/>
      <c r="R2"/>
      <c r="S2"/>
      <c r="T2" s="156"/>
      <c r="U2" s="151"/>
      <c r="V2" s="151"/>
      <c r="W2" s="151"/>
      <c r="X2" s="151"/>
      <c r="Y2" s="151"/>
      <c r="Z2" s="151"/>
      <c r="AA2" s="154"/>
      <c r="AB2" s="154"/>
    </row>
    <row r="3" spans="1:28">
      <c r="A3" s="18"/>
      <c r="B3" s="18"/>
      <c r="C3" s="18"/>
      <c r="D3" s="18"/>
      <c r="E3" s="16"/>
      <c r="F3" s="18"/>
      <c r="G3" s="18"/>
      <c r="H3" s="18"/>
      <c r="I3" s="16"/>
      <c r="J3" s="16"/>
      <c r="K3" s="18"/>
      <c r="L3" s="18"/>
      <c r="M3" s="18"/>
      <c r="N3" s="18"/>
      <c r="O3" s="18"/>
      <c r="P3" s="18"/>
      <c r="Q3" s="16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>
      <c r="A4" s="18"/>
      <c r="B4" s="18"/>
      <c r="C4" s="18"/>
      <c r="D4" s="18"/>
      <c r="E4" s="16"/>
      <c r="F4" s="18"/>
      <c r="G4" s="18"/>
      <c r="H4" s="18"/>
      <c r="I4" s="16"/>
      <c r="J4" s="16"/>
      <c r="K4" s="18"/>
      <c r="L4" s="18"/>
      <c r="M4" s="18"/>
      <c r="N4" s="18"/>
      <c r="O4" s="18"/>
      <c r="P4" s="18"/>
      <c r="Q4" s="1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>
      <c r="A5" s="18"/>
      <c r="B5" s="18"/>
      <c r="C5" s="18"/>
      <c r="D5" s="18"/>
      <c r="E5" s="16"/>
      <c r="F5" s="18"/>
      <c r="G5" s="18"/>
      <c r="H5" s="18"/>
      <c r="I5" s="16"/>
      <c r="J5" s="16"/>
      <c r="K5" s="18"/>
      <c r="L5" s="18"/>
      <c r="M5" s="18"/>
      <c r="N5" s="18"/>
      <c r="O5" s="18"/>
      <c r="P5" s="18"/>
      <c r="Q5" s="16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>
      <c r="A6" s="18"/>
      <c r="B6" s="18"/>
      <c r="C6" s="18"/>
      <c r="D6" s="18"/>
      <c r="E6" s="16"/>
      <c r="F6" s="18"/>
      <c r="G6" s="18"/>
      <c r="H6" s="18"/>
      <c r="I6" s="16"/>
      <c r="J6" s="16"/>
      <c r="K6" s="18"/>
      <c r="L6" s="18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>
      <c r="A7" s="18"/>
      <c r="B7" s="18"/>
      <c r="C7" s="18"/>
      <c r="D7" s="18"/>
      <c r="E7" s="16"/>
      <c r="F7" s="18"/>
      <c r="G7" s="18"/>
      <c r="H7" s="18"/>
      <c r="I7" s="16"/>
      <c r="J7" s="16"/>
      <c r="K7" s="18"/>
      <c r="L7" s="18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>
      <c r="A8" s="18"/>
      <c r="B8" s="18"/>
      <c r="C8" s="18"/>
      <c r="D8" s="18"/>
      <c r="E8" s="16"/>
      <c r="F8" s="18"/>
      <c r="G8" s="18"/>
      <c r="H8" s="18"/>
      <c r="I8" s="16"/>
      <c r="J8" s="16"/>
      <c r="K8" s="18"/>
      <c r="L8" s="18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>
      <c r="A9" s="18"/>
      <c r="B9" s="18"/>
      <c r="C9" s="18"/>
      <c r="D9" s="18"/>
      <c r="E9" s="16"/>
      <c r="F9" s="18"/>
      <c r="G9" s="18"/>
      <c r="H9" s="18"/>
      <c r="I9" s="16"/>
      <c r="J9" s="16"/>
      <c r="K9" s="18"/>
      <c r="L9" s="18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>
      <c r="A10" s="18"/>
      <c r="B10" s="18"/>
      <c r="C10" s="18"/>
      <c r="D10" s="18"/>
      <c r="E10" s="16"/>
      <c r="F10" s="18"/>
      <c r="G10" s="18"/>
      <c r="H10" s="18"/>
      <c r="I10" s="16"/>
      <c r="J10" s="16"/>
      <c r="K10" s="18"/>
      <c r="L10" s="18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>
      <c r="A11" s="18"/>
      <c r="B11" s="18"/>
      <c r="C11" s="18"/>
      <c r="D11" s="18"/>
      <c r="E11" s="16"/>
      <c r="F11" s="18"/>
      <c r="G11" s="18"/>
      <c r="H11" s="18"/>
      <c r="I11" s="16"/>
      <c r="J11" s="16"/>
      <c r="K11" s="18"/>
      <c r="L11" s="18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>
      <c r="A12" s="18"/>
      <c r="B12" s="18"/>
      <c r="C12" s="18"/>
      <c r="D12" s="18"/>
      <c r="E12" s="16"/>
      <c r="F12" s="18"/>
      <c r="G12" s="18"/>
      <c r="H12" s="18"/>
      <c r="I12" s="16"/>
      <c r="J12" s="16"/>
      <c r="K12" s="18"/>
      <c r="L12" s="18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>
      <c r="A13" s="18"/>
      <c r="B13" s="18"/>
      <c r="C13" s="18"/>
      <c r="D13" s="18"/>
      <c r="E13" s="16"/>
      <c r="F13" s="18"/>
      <c r="G13" s="18"/>
      <c r="H13" s="18"/>
      <c r="I13" s="16"/>
      <c r="J13" s="16"/>
      <c r="K13" s="18"/>
      <c r="L13" s="18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>
      <c r="A14" s="18"/>
      <c r="B14" s="18"/>
      <c r="C14" s="18"/>
      <c r="D14" s="18"/>
      <c r="E14" s="16"/>
      <c r="F14" s="18"/>
      <c r="G14" s="18"/>
      <c r="H14" s="18"/>
      <c r="I14" s="16"/>
      <c r="J14" s="16"/>
      <c r="K14" s="18"/>
      <c r="L14" s="18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>
      <c r="A15" s="18"/>
      <c r="B15" s="18"/>
      <c r="C15" s="18"/>
      <c r="D15" s="18"/>
      <c r="E15" s="16"/>
      <c r="F15" s="18"/>
      <c r="G15" s="18"/>
      <c r="H15" s="18"/>
      <c r="I15" s="16"/>
      <c r="J15" s="16"/>
      <c r="K15" s="18"/>
      <c r="L15" s="18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>
      <c r="A16" s="18"/>
      <c r="B16" s="18"/>
      <c r="C16" s="18"/>
      <c r="D16" s="18"/>
      <c r="E16" s="16"/>
      <c r="F16" s="18"/>
      <c r="G16" s="18"/>
      <c r="H16" s="18"/>
      <c r="I16" s="16"/>
      <c r="J16" s="16"/>
      <c r="K16" s="18"/>
      <c r="L16" s="18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>
      <c r="A17" s="18"/>
      <c r="B17" s="18"/>
      <c r="C17" s="18"/>
      <c r="D17" s="18"/>
      <c r="E17" s="16"/>
      <c r="F17" s="18"/>
      <c r="G17" s="18"/>
      <c r="H17" s="18"/>
      <c r="I17" s="16"/>
      <c r="J17" s="16"/>
      <c r="K17" s="18"/>
      <c r="L17" s="18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>
      <c r="A18" s="18"/>
      <c r="B18" s="18"/>
      <c r="C18" s="18"/>
      <c r="D18" s="18"/>
      <c r="E18" s="16"/>
      <c r="F18" s="18"/>
      <c r="G18" s="18"/>
      <c r="H18" s="18"/>
      <c r="I18" s="16"/>
      <c r="J18" s="16"/>
      <c r="K18" s="18"/>
      <c r="L18" s="18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>
      <c r="A19" s="18"/>
      <c r="B19" s="18"/>
      <c r="C19" s="18"/>
      <c r="D19" s="18"/>
      <c r="E19" s="16"/>
      <c r="F19" s="18"/>
      <c r="G19" s="18"/>
      <c r="H19" s="18"/>
      <c r="I19" s="16"/>
      <c r="J19" s="16"/>
      <c r="K19" s="18"/>
      <c r="L19" s="18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>
      <c r="E20" s="16"/>
      <c r="H20" s="18"/>
      <c r="I20" s="16"/>
      <c r="J20" s="16"/>
      <c r="K20" s="18"/>
      <c r="M20" s="18"/>
      <c r="O20" s="18"/>
      <c r="S20" s="18"/>
    </row>
    <row r="21" spans="1:28">
      <c r="E21"/>
      <c r="H21"/>
      <c r="K21"/>
    </row>
    <row r="23" spans="1:28">
      <c r="H23" s="36"/>
    </row>
    <row r="24" spans="1:28">
      <c r="H24" s="36"/>
      <c r="K24" s="2"/>
    </row>
    <row r="25" spans="1:28">
      <c r="H25" s="36"/>
    </row>
    <row r="26" spans="1:28">
      <c r="H26" s="36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/>
  </sheetViews>
  <sheetFormatPr defaultColWidth="0" defaultRowHeight="14.25"/>
  <cols>
    <col min="1" max="2" width="10.625" style="2" bestFit="1" customWidth="1"/>
    <col min="3" max="3" width="8.875" style="2" bestFit="1" customWidth="1"/>
    <col min="4" max="4" width="10.75" style="2" bestFit="1" customWidth="1"/>
    <col min="5" max="5" width="10.375" style="4" bestFit="1" customWidth="1"/>
    <col min="6" max="6" width="10.625" style="2" bestFit="1" customWidth="1"/>
    <col min="7" max="7" width="9.375" style="2" bestFit="1" customWidth="1"/>
    <col min="8" max="8" width="9.125" style="2" bestFit="1" customWidth="1"/>
    <col min="9" max="9" width="11" style="2" bestFit="1" customWidth="1"/>
    <col min="10" max="10" width="10" style="2" bestFit="1" customWidth="1"/>
    <col min="11" max="11" width="9.25" style="2" bestFit="1" customWidth="1"/>
    <col min="12" max="12" width="8.875" style="2" bestFit="1" customWidth="1"/>
    <col min="13" max="13" width="8.125" style="2" bestFit="1" customWidth="1"/>
    <col min="14" max="14" width="11.625" style="2" customWidth="1"/>
    <col min="15" max="15" width="11" style="2" bestFit="1" customWidth="1"/>
    <col min="16" max="16" width="11.625" style="2" customWidth="1"/>
    <col min="17" max="17" width="11.25" style="2" bestFit="1" customWidth="1"/>
    <col min="18" max="18" width="8.25" style="2" bestFit="1" customWidth="1"/>
    <col min="19" max="19" width="7.875" style="2" bestFit="1" customWidth="1"/>
    <col min="20" max="20" width="11" style="2" bestFit="1" customWidth="1"/>
    <col min="21" max="21" width="10.375" style="2" bestFit="1" customWidth="1"/>
    <col min="22" max="22" width="9.375" style="2" bestFit="1" customWidth="1"/>
    <col min="23" max="23" width="9.125" style="2" bestFit="1" customWidth="1"/>
    <col min="24" max="24" width="9" style="2" bestFit="1" customWidth="1"/>
    <col min="25" max="25" width="5.875" style="2" bestFit="1" customWidth="1"/>
    <col min="26" max="26" width="8.375" style="2" bestFit="1" customWidth="1"/>
    <col min="27" max="27" width="11.125" style="2" bestFit="1" customWidth="1"/>
    <col min="28" max="28" width="10" style="2" bestFit="1" customWidth="1"/>
    <col min="29" max="29" width="11.625" style="2" hidden="1" customWidth="1"/>
    <col min="30" max="16384" width="9" style="2" hidden="1"/>
  </cols>
  <sheetData>
    <row r="1" spans="1:28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10</v>
      </c>
      <c r="N1" s="158" t="s">
        <v>666</v>
      </c>
      <c r="O1" s="17" t="s">
        <v>606</v>
      </c>
      <c r="P1" s="158" t="s">
        <v>12</v>
      </c>
      <c r="Q1" s="17" t="s">
        <v>396</v>
      </c>
      <c r="R1" s="17" t="s">
        <v>917</v>
      </c>
      <c r="S1" s="17" t="s">
        <v>372</v>
      </c>
      <c r="T1" s="158" t="s">
        <v>16</v>
      </c>
      <c r="U1" s="150" t="s">
        <v>23</v>
      </c>
      <c r="V1" s="150" t="s">
        <v>613</v>
      </c>
      <c r="W1" s="150" t="s">
        <v>773</v>
      </c>
      <c r="X1" s="150" t="s">
        <v>15</v>
      </c>
      <c r="Y1" s="150" t="s">
        <v>11</v>
      </c>
      <c r="Z1" s="17" t="s">
        <v>771</v>
      </c>
      <c r="AA1" s="159" t="s">
        <v>19</v>
      </c>
      <c r="AB1" s="159" t="s">
        <v>30</v>
      </c>
    </row>
    <row r="2" spans="1:28">
      <c r="A2" s="155">
        <v>274</v>
      </c>
      <c r="B2" s="155">
        <v>274</v>
      </c>
      <c r="C2"/>
      <c r="D2" s="155"/>
      <c r="E2"/>
      <c r="F2"/>
      <c r="G2" s="155"/>
      <c r="H2"/>
      <c r="I2"/>
      <c r="J2"/>
      <c r="K2"/>
      <c r="L2"/>
      <c r="M2"/>
      <c r="N2" s="156"/>
      <c r="O2"/>
      <c r="P2" s="156"/>
      <c r="Q2"/>
      <c r="R2"/>
      <c r="S2"/>
      <c r="T2" s="156"/>
      <c r="U2" s="151"/>
      <c r="V2" s="151"/>
      <c r="W2" s="151"/>
      <c r="X2" s="151"/>
      <c r="Y2" s="151"/>
      <c r="Z2" s="153"/>
      <c r="AA2" s="154"/>
      <c r="AB2" s="154"/>
    </row>
    <row r="3" spans="1:28">
      <c r="A3" s="18"/>
      <c r="B3" s="18"/>
      <c r="C3" s="18"/>
      <c r="D3" s="18"/>
      <c r="E3" s="16"/>
      <c r="F3" s="18"/>
      <c r="G3" s="18"/>
      <c r="H3" s="18"/>
      <c r="I3" s="18"/>
      <c r="J3" s="16"/>
      <c r="K3" s="16"/>
      <c r="L3" s="18"/>
      <c r="M3" s="18"/>
      <c r="N3" s="18"/>
      <c r="O3" s="18"/>
      <c r="P3" s="18"/>
      <c r="Q3" s="16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>
      <c r="A4" s="18"/>
      <c r="B4" s="18"/>
      <c r="C4" s="18"/>
      <c r="D4" s="18"/>
      <c r="E4" s="16"/>
      <c r="F4" s="18"/>
      <c r="G4" s="18"/>
      <c r="H4" s="18"/>
      <c r="I4" s="18"/>
      <c r="J4" s="16"/>
      <c r="K4" s="16"/>
      <c r="L4" s="18"/>
      <c r="M4" s="18"/>
      <c r="N4" s="18"/>
      <c r="O4" s="18"/>
      <c r="P4" s="18"/>
      <c r="Q4" s="1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>
      <c r="A5" s="18"/>
      <c r="B5" s="18"/>
      <c r="C5" s="18"/>
      <c r="D5" s="18"/>
      <c r="E5" s="16"/>
      <c r="F5" s="18"/>
      <c r="G5" s="18"/>
      <c r="H5" s="18"/>
      <c r="I5" s="18"/>
      <c r="J5" s="16"/>
      <c r="K5" s="16"/>
      <c r="L5" s="18"/>
      <c r="M5" s="18"/>
      <c r="N5" s="18"/>
      <c r="O5" s="18"/>
      <c r="P5" s="18"/>
      <c r="Q5" s="16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8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8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8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8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8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8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8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8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8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8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>
      <c r="A16" s="18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8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8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8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>
      <c r="A19" s="18"/>
      <c r="B19" s="18"/>
      <c r="C19" s="18"/>
      <c r="D19" s="18"/>
      <c r="E19" s="16"/>
      <c r="F19" s="18"/>
      <c r="G19" s="18"/>
      <c r="H19" s="18"/>
      <c r="I19" s="18"/>
      <c r="J19" s="16"/>
      <c r="K19" s="16"/>
      <c r="L19" s="18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>
      <c r="E20" s="16"/>
      <c r="H20" s="18"/>
      <c r="I20" s="18"/>
      <c r="J20" s="16"/>
      <c r="K20" s="16"/>
      <c r="L20" s="18"/>
      <c r="M20" s="18"/>
      <c r="O20" s="18"/>
      <c r="R20" s="18"/>
      <c r="S20" s="18"/>
    </row>
    <row r="21" spans="1:28" s="36" customFormat="1">
      <c r="E21"/>
      <c r="H21" s="35"/>
    </row>
    <row r="23" spans="1:28">
      <c r="H23" s="36"/>
    </row>
    <row r="24" spans="1:28">
      <c r="H24" s="36"/>
    </row>
    <row r="25" spans="1:28">
      <c r="H25" s="36"/>
    </row>
    <row r="26" spans="1:28">
      <c r="H26" s="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2"/>
  <sheetViews>
    <sheetView rightToLeft="1" topLeftCell="T1" workbookViewId="0">
      <selection activeCell="AH8" sqref="AH8"/>
    </sheetView>
  </sheetViews>
  <sheetFormatPr defaultColWidth="0" defaultRowHeight="14.25"/>
  <cols>
    <col min="1" max="2" width="10.625" style="8" bestFit="1" customWidth="1"/>
    <col min="3" max="3" width="31.25" style="8" bestFit="1" customWidth="1"/>
    <col min="4" max="4" width="9.875" style="8" bestFit="1" customWidth="1"/>
    <col min="5" max="5" width="7" style="8" bestFit="1" customWidth="1"/>
    <col min="6" max="6" width="9.875" style="8" bestFit="1" customWidth="1"/>
    <col min="7" max="7" width="14.375" style="8" bestFit="1" customWidth="1"/>
    <col min="8" max="8" width="10.75" style="8" customWidth="1"/>
    <col min="9" max="9" width="10.875" style="8" bestFit="1" customWidth="1"/>
    <col min="10" max="11" width="10" style="8" bestFit="1" customWidth="1"/>
    <col min="12" max="12" width="7" style="8" bestFit="1" customWidth="1"/>
    <col min="13" max="13" width="10.375" style="152" bestFit="1" customWidth="1"/>
    <col min="14" max="14" width="14.375" style="8" bestFit="1" customWidth="1"/>
    <col min="15" max="15" width="10.75" style="8" customWidth="1"/>
    <col min="16" max="16" width="9.875" style="8" bestFit="1" customWidth="1"/>
    <col min="17" max="17" width="10" style="8" bestFit="1" customWidth="1"/>
    <col min="18" max="18" width="10.375" style="8" bestFit="1" customWidth="1"/>
    <col min="19" max="19" width="10" style="8" bestFit="1" customWidth="1"/>
    <col min="20" max="20" width="9.25" style="8" bestFit="1" customWidth="1"/>
    <col min="21" max="21" width="19" style="8" bestFit="1" customWidth="1"/>
    <col min="22" max="22" width="10.75" style="8" customWidth="1"/>
    <col min="23" max="24" width="9" style="8" customWidth="1"/>
    <col min="25" max="25" width="7.625" style="8" bestFit="1" customWidth="1"/>
    <col min="26" max="27" width="10.75" style="8" customWidth="1"/>
    <col min="28" max="28" width="7.25" style="8" bestFit="1" customWidth="1"/>
    <col min="29" max="29" width="11.625" style="8" bestFit="1" customWidth="1"/>
    <col min="30" max="30" width="10.875" style="8" bestFit="1" customWidth="1"/>
    <col min="31" max="31" width="9.625" style="8" bestFit="1" customWidth="1"/>
    <col min="32" max="33" width="9" style="8" bestFit="1" customWidth="1"/>
    <col min="34" max="34" width="9" bestFit="1" customWidth="1"/>
    <col min="35" max="35" width="10.625" style="8" bestFit="1" customWidth="1"/>
    <col min="36" max="36" width="10.875" style="8" bestFit="1" customWidth="1"/>
    <col min="37" max="37" width="9" style="8" bestFit="1" customWidth="1"/>
    <col min="38" max="38" width="9.25" style="8" bestFit="1" customWidth="1"/>
    <col min="39" max="39" width="13.875" style="8" bestFit="1" customWidth="1"/>
    <col min="40" max="40" width="10.625" style="2" bestFit="1" customWidth="1"/>
    <col min="41" max="41" width="10" style="2" bestFit="1" customWidth="1"/>
    <col min="42" max="42" width="9" style="8" hidden="1" customWidth="1"/>
    <col min="43" max="43" width="10.75" style="8" hidden="1" customWidth="1"/>
    <col min="44" max="16384" width="10.75" style="8" hidden="1"/>
  </cols>
  <sheetData>
    <row r="1" spans="1:41" ht="51">
      <c r="A1" s="17" t="s">
        <v>651</v>
      </c>
      <c r="B1" s="17" t="s">
        <v>0</v>
      </c>
      <c r="C1" s="17" t="s">
        <v>1</v>
      </c>
      <c r="D1" s="17" t="s">
        <v>418</v>
      </c>
      <c r="E1" s="17" t="s">
        <v>798</v>
      </c>
      <c r="F1" s="17" t="s">
        <v>11</v>
      </c>
      <c r="G1" s="17" t="s">
        <v>326</v>
      </c>
      <c r="H1" s="17" t="s">
        <v>330</v>
      </c>
      <c r="I1" s="17" t="s">
        <v>328</v>
      </c>
      <c r="J1" s="17" t="s">
        <v>329</v>
      </c>
      <c r="K1" s="17" t="s">
        <v>419</v>
      </c>
      <c r="L1" s="17" t="s">
        <v>799</v>
      </c>
      <c r="M1" s="150" t="s">
        <v>11</v>
      </c>
      <c r="N1" s="17" t="s">
        <v>327</v>
      </c>
      <c r="O1" s="17" t="s">
        <v>331</v>
      </c>
      <c r="P1" s="17" t="s">
        <v>943</v>
      </c>
      <c r="Q1" s="17" t="s">
        <v>348</v>
      </c>
      <c r="R1" s="17" t="s">
        <v>1155</v>
      </c>
      <c r="S1" s="17" t="s">
        <v>604</v>
      </c>
      <c r="T1" s="17" t="s">
        <v>605</v>
      </c>
      <c r="U1" s="17" t="s">
        <v>464</v>
      </c>
      <c r="V1" s="17" t="s">
        <v>343</v>
      </c>
      <c r="W1" s="17" t="s">
        <v>463</v>
      </c>
      <c r="X1" s="17" t="s">
        <v>99</v>
      </c>
      <c r="Y1" s="17" t="s">
        <v>606</v>
      </c>
      <c r="Z1" s="17" t="s">
        <v>365</v>
      </c>
      <c r="AA1" s="17" t="s">
        <v>366</v>
      </c>
      <c r="AB1" s="17" t="s">
        <v>612</v>
      </c>
      <c r="AC1" s="17" t="s">
        <v>308</v>
      </c>
      <c r="AD1" s="17" t="s">
        <v>368</v>
      </c>
      <c r="AE1" s="17" t="s">
        <v>737</v>
      </c>
      <c r="AF1" s="17" t="s">
        <v>309</v>
      </c>
      <c r="AG1" s="17" t="s">
        <v>310</v>
      </c>
      <c r="AH1" s="17" t="s">
        <v>349</v>
      </c>
      <c r="AI1" s="17" t="s">
        <v>367</v>
      </c>
      <c r="AJ1" s="17" t="s">
        <v>617</v>
      </c>
      <c r="AK1" s="17" t="s">
        <v>364</v>
      </c>
      <c r="AL1" s="17" t="s">
        <v>458</v>
      </c>
      <c r="AM1" s="17" t="s">
        <v>436</v>
      </c>
      <c r="AN1" s="17" t="s">
        <v>19</v>
      </c>
      <c r="AO1" s="17" t="s">
        <v>30</v>
      </c>
    </row>
    <row r="2" spans="1:41">
      <c r="A2" s="155">
        <v>274</v>
      </c>
      <c r="B2" s="155">
        <v>274</v>
      </c>
      <c r="C2" t="s">
        <v>353</v>
      </c>
      <c r="D2" s="155">
        <v>76020372</v>
      </c>
      <c r="E2" t="s">
        <v>1218</v>
      </c>
      <c r="F2" s="151">
        <v>3.3719999999999999</v>
      </c>
      <c r="G2" s="151">
        <v>-700000</v>
      </c>
      <c r="H2" s="151">
        <v>-700</v>
      </c>
      <c r="I2" s="154">
        <v>-2.6056670494701679E-2</v>
      </c>
      <c r="J2" s="154">
        <v>-5.7347770035214355E-4</v>
      </c>
      <c r="K2" s="155">
        <v>760203720</v>
      </c>
      <c r="L2" t="s">
        <v>1222</v>
      </c>
      <c r="M2" s="151">
        <v>1</v>
      </c>
      <c r="N2" s="151">
        <v>700000</v>
      </c>
      <c r="O2" s="151">
        <v>2527.62003</v>
      </c>
      <c r="P2" s="154">
        <v>6.1410511869531268E-4</v>
      </c>
      <c r="Q2" s="154">
        <v>-0.43851715921662859</v>
      </c>
      <c r="R2" s="151">
        <v>167.22003000000001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1929</v>
      </c>
      <c r="Y2" t="s">
        <v>62</v>
      </c>
      <c r="Z2" s="156">
        <v>45530</v>
      </c>
      <c r="AA2" s="156">
        <v>45909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54"/>
      <c r="AI2" s="151">
        <v>3.6659999999999999</v>
      </c>
      <c r="AJ2" s="151"/>
      <c r="AK2"/>
      <c r="AL2" s="154"/>
      <c r="AM2" t="s">
        <v>1922</v>
      </c>
      <c r="AN2" s="154">
        <v>4.4209708391397422E-2</v>
      </c>
      <c r="AO2" s="154">
        <v>4.0627418343169143E-5</v>
      </c>
    </row>
    <row r="3" spans="1:41">
      <c r="A3" s="155">
        <v>274</v>
      </c>
      <c r="B3" s="155">
        <v>274</v>
      </c>
      <c r="C3" t="s">
        <v>351</v>
      </c>
      <c r="D3" s="155">
        <v>31011130</v>
      </c>
      <c r="E3" t="s">
        <v>1222</v>
      </c>
      <c r="F3" s="151">
        <v>1</v>
      </c>
      <c r="G3" s="151">
        <v>1900000</v>
      </c>
      <c r="H3" s="151">
        <v>2441.0869600000001</v>
      </c>
      <c r="I3" s="154">
        <v>9.0866569379475751E-2</v>
      </c>
      <c r="J3" s="154">
        <v>5.9308123037637897E-4</v>
      </c>
      <c r="K3" s="155">
        <v>310111300</v>
      </c>
      <c r="L3" t="s">
        <v>1222</v>
      </c>
      <c r="M3" s="151">
        <v>1</v>
      </c>
      <c r="N3" s="151">
        <v>-1900000</v>
      </c>
      <c r="O3" s="151">
        <v>-2386.2840000000001</v>
      </c>
      <c r="P3" s="154">
        <v>-5.7976642124517644E-4</v>
      </c>
      <c r="Q3" s="154">
        <v>0.41399675123008634</v>
      </c>
      <c r="R3" s="151">
        <v>54.802959999999999</v>
      </c>
      <c r="S3" t="s">
        <v>53</v>
      </c>
      <c r="T3" t="s">
        <v>53</v>
      </c>
      <c r="U3" t="s">
        <v>79</v>
      </c>
      <c r="V3" t="s">
        <v>102</v>
      </c>
      <c r="W3" t="s">
        <v>688</v>
      </c>
      <c r="X3" t="s">
        <v>1931</v>
      </c>
      <c r="Y3" t="s">
        <v>62</v>
      </c>
      <c r="Z3" s="156">
        <v>44718</v>
      </c>
      <c r="AA3" s="156">
        <v>48219</v>
      </c>
      <c r="AB3" t="s">
        <v>362</v>
      </c>
      <c r="AC3" t="s">
        <v>370</v>
      </c>
      <c r="AD3" t="s">
        <v>339</v>
      </c>
      <c r="AE3" t="s">
        <v>341</v>
      </c>
      <c r="AF3" t="s">
        <v>362</v>
      </c>
      <c r="AG3" t="s">
        <v>362</v>
      </c>
      <c r="AH3" s="154"/>
      <c r="AI3" s="151">
        <v>1</v>
      </c>
      <c r="AJ3" s="151"/>
      <c r="AK3"/>
      <c r="AL3" s="154"/>
      <c r="AM3" t="s">
        <v>1923</v>
      </c>
      <c r="AN3" s="154">
        <v>1.4488831754099178E-2</v>
      </c>
      <c r="AO3" s="154">
        <v>1.3314809131202552E-5</v>
      </c>
    </row>
    <row r="4" spans="1:41">
      <c r="A4" s="155">
        <v>274</v>
      </c>
      <c r="B4" s="155">
        <v>274</v>
      </c>
      <c r="C4" t="s">
        <v>351</v>
      </c>
      <c r="D4" s="155">
        <v>31011191</v>
      </c>
      <c r="E4" t="s">
        <v>1222</v>
      </c>
      <c r="F4" s="151">
        <v>1</v>
      </c>
      <c r="G4" s="151">
        <v>1600000</v>
      </c>
      <c r="H4" s="151">
        <v>2005.77693</v>
      </c>
      <c r="I4" s="154">
        <v>7.4662669358406167E-2</v>
      </c>
      <c r="J4" s="154">
        <v>4.873192430248188E-4</v>
      </c>
      <c r="K4" s="155">
        <v>310111910</v>
      </c>
      <c r="L4" t="s">
        <v>1222</v>
      </c>
      <c r="M4" s="151">
        <v>1</v>
      </c>
      <c r="N4" s="151">
        <v>-1600000</v>
      </c>
      <c r="O4" s="151">
        <v>-2054.1379999999999</v>
      </c>
      <c r="P4" s="154">
        <v>-4.9906894443566821E-4</v>
      </c>
      <c r="Q4" s="154">
        <v>0.356372694355855</v>
      </c>
      <c r="R4" s="151">
        <v>-48.361069999999998</v>
      </c>
      <c r="S4" t="s">
        <v>53</v>
      </c>
      <c r="T4" t="s">
        <v>53</v>
      </c>
      <c r="U4" t="s">
        <v>79</v>
      </c>
      <c r="V4" t="s">
        <v>102</v>
      </c>
      <c r="W4" t="s">
        <v>688</v>
      </c>
      <c r="X4" t="s">
        <v>1931</v>
      </c>
      <c r="Y4" t="s">
        <v>62</v>
      </c>
      <c r="Z4" s="156">
        <v>44718</v>
      </c>
      <c r="AA4" s="156">
        <v>48715</v>
      </c>
      <c r="AB4" t="s">
        <v>362</v>
      </c>
      <c r="AC4" t="s">
        <v>370</v>
      </c>
      <c r="AD4" t="s">
        <v>339</v>
      </c>
      <c r="AE4" t="s">
        <v>341</v>
      </c>
      <c r="AF4" t="s">
        <v>362</v>
      </c>
      <c r="AG4" t="s">
        <v>362</v>
      </c>
      <c r="AH4" s="154"/>
      <c r="AI4" s="151">
        <v>1</v>
      </c>
      <c r="AJ4" s="151"/>
      <c r="AK4"/>
      <c r="AL4" s="154"/>
      <c r="AM4" t="s">
        <v>1924</v>
      </c>
      <c r="AN4" s="154">
        <v>-1.2785721914988042E-2</v>
      </c>
      <c r="AO4" s="154">
        <v>-1.1749701410849446E-5</v>
      </c>
    </row>
    <row r="5" spans="1:41">
      <c r="A5" s="155">
        <v>274</v>
      </c>
      <c r="B5" s="155">
        <v>274</v>
      </c>
      <c r="C5" t="s">
        <v>351</v>
      </c>
      <c r="D5" s="155">
        <v>31010411</v>
      </c>
      <c r="E5" t="s">
        <v>1222</v>
      </c>
      <c r="F5" s="151">
        <v>1</v>
      </c>
      <c r="G5" s="151">
        <v>1082000</v>
      </c>
      <c r="H5" s="151">
        <v>1404.61421</v>
      </c>
      <c r="I5" s="154">
        <v>5.2285099488779581E-2</v>
      </c>
      <c r="J5" s="154">
        <v>3.412620433116178E-4</v>
      </c>
      <c r="K5" s="155">
        <v>310104110</v>
      </c>
      <c r="L5" t="s">
        <v>1222</v>
      </c>
      <c r="M5" s="151">
        <v>1</v>
      </c>
      <c r="N5" s="151">
        <v>-1082000</v>
      </c>
      <c r="O5" s="151">
        <v>-1376.9649999999999</v>
      </c>
      <c r="P5" s="154">
        <v>-3.3454445079875834E-4</v>
      </c>
      <c r="Q5" s="154">
        <v>0.23888985408171692</v>
      </c>
      <c r="R5" s="151">
        <v>27.64921</v>
      </c>
      <c r="S5" t="s">
        <v>53</v>
      </c>
      <c r="T5" t="s">
        <v>53</v>
      </c>
      <c r="U5" t="s">
        <v>79</v>
      </c>
      <c r="V5" t="s">
        <v>102</v>
      </c>
      <c r="W5" t="s">
        <v>688</v>
      </c>
      <c r="X5" t="s">
        <v>1931</v>
      </c>
      <c r="Y5" t="s">
        <v>62</v>
      </c>
      <c r="Z5" s="156">
        <v>45628</v>
      </c>
      <c r="AA5" s="156">
        <v>49023</v>
      </c>
      <c r="AB5" t="s">
        <v>362</v>
      </c>
      <c r="AC5" t="s">
        <v>370</v>
      </c>
      <c r="AD5" t="s">
        <v>339</v>
      </c>
      <c r="AE5" t="s">
        <v>341</v>
      </c>
      <c r="AF5" t="s">
        <v>362</v>
      </c>
      <c r="AG5" t="s">
        <v>362</v>
      </c>
      <c r="AH5" s="154"/>
      <c r="AI5" s="151">
        <v>1</v>
      </c>
      <c r="AJ5" s="151"/>
      <c r="AK5"/>
      <c r="AL5" s="154"/>
      <c r="AM5" t="s">
        <v>1923</v>
      </c>
      <c r="AN5" s="154">
        <v>7.3099108483146991E-3</v>
      </c>
      <c r="AO5" s="154">
        <v>6.717592512859468E-6</v>
      </c>
    </row>
    <row r="6" spans="1:41">
      <c r="A6" s="155">
        <v>274</v>
      </c>
      <c r="B6" s="155">
        <v>274</v>
      </c>
      <c r="C6" t="s">
        <v>351</v>
      </c>
      <c r="D6" s="155">
        <v>31011190</v>
      </c>
      <c r="E6" t="s">
        <v>1222</v>
      </c>
      <c r="F6" s="151">
        <v>1</v>
      </c>
      <c r="G6" s="151">
        <v>900000</v>
      </c>
      <c r="H6" s="151">
        <v>1134.47794</v>
      </c>
      <c r="I6" s="154">
        <v>4.2229596951554205E-2</v>
      </c>
      <c r="J6" s="154">
        <v>2.7563031695112568E-4</v>
      </c>
      <c r="K6" s="155">
        <v>310111900</v>
      </c>
      <c r="L6" t="s">
        <v>1222</v>
      </c>
      <c r="M6" s="151">
        <v>1</v>
      </c>
      <c r="N6" s="151">
        <v>-900000</v>
      </c>
      <c r="O6" s="151">
        <v>-1165.635</v>
      </c>
      <c r="P6" s="154">
        <v>-2.8320016914504779E-4</v>
      </c>
      <c r="Q6" s="154">
        <v>0.20222618226501191</v>
      </c>
      <c r="R6" s="151">
        <v>-31.157060000000001</v>
      </c>
      <c r="S6" t="s">
        <v>53</v>
      </c>
      <c r="T6" t="s">
        <v>53</v>
      </c>
      <c r="U6" t="s">
        <v>79</v>
      </c>
      <c r="V6" t="s">
        <v>102</v>
      </c>
      <c r="W6" t="s">
        <v>688</v>
      </c>
      <c r="X6" t="s">
        <v>1931</v>
      </c>
      <c r="Y6" t="s">
        <v>62</v>
      </c>
      <c r="Z6" s="156">
        <v>44648</v>
      </c>
      <c r="AA6" s="156">
        <v>48652</v>
      </c>
      <c r="AB6" t="s">
        <v>362</v>
      </c>
      <c r="AC6" t="s">
        <v>370</v>
      </c>
      <c r="AD6" t="s">
        <v>339</v>
      </c>
      <c r="AE6" t="s">
        <v>341</v>
      </c>
      <c r="AF6" t="s">
        <v>362</v>
      </c>
      <c r="AG6" t="s">
        <v>362</v>
      </c>
      <c r="AH6" s="154"/>
      <c r="AI6" s="151">
        <v>1</v>
      </c>
      <c r="AJ6" s="151"/>
      <c r="AK6"/>
      <c r="AL6" s="154"/>
      <c r="AM6" t="s">
        <v>1924</v>
      </c>
      <c r="AN6" s="154">
        <v>-8.237317843641536E-3</v>
      </c>
      <c r="AO6" s="154">
        <v>-7.5698521939221129E-6</v>
      </c>
    </row>
    <row r="7" spans="1:41">
      <c r="A7" s="155">
        <v>274</v>
      </c>
      <c r="B7" s="155">
        <v>274</v>
      </c>
      <c r="C7" t="s">
        <v>353</v>
      </c>
      <c r="D7" s="155">
        <v>76020204</v>
      </c>
      <c r="E7" t="s">
        <v>1218</v>
      </c>
      <c r="F7" s="151">
        <v>3.3719999999999999</v>
      </c>
      <c r="G7" s="151">
        <v>-1500000</v>
      </c>
      <c r="H7" s="151">
        <v>-1500</v>
      </c>
      <c r="I7" s="154">
        <v>-5.5835722488646454E-2</v>
      </c>
      <c r="J7" s="154">
        <v>-1.2288807864688789E-3</v>
      </c>
      <c r="K7" s="155">
        <v>760202040</v>
      </c>
      <c r="L7" t="s">
        <v>1222</v>
      </c>
      <c r="M7" s="151">
        <v>1</v>
      </c>
      <c r="N7" s="151">
        <v>1500000</v>
      </c>
      <c r="O7" s="151">
        <v>5366.77394</v>
      </c>
      <c r="P7" s="154">
        <v>1.3038998379177312E-3</v>
      </c>
      <c r="Q7" s="154">
        <v>-0.93108237567124885</v>
      </c>
      <c r="R7" s="151">
        <v>308.77393999999998</v>
      </c>
      <c r="S7" t="s">
        <v>53</v>
      </c>
      <c r="T7" t="s">
        <v>53</v>
      </c>
      <c r="U7" t="s">
        <v>72</v>
      </c>
      <c r="V7" t="s">
        <v>102</v>
      </c>
      <c r="W7" t="s">
        <v>691</v>
      </c>
      <c r="X7" t="s">
        <v>1929</v>
      </c>
      <c r="Y7" t="s">
        <v>62</v>
      </c>
      <c r="Z7" s="156">
        <v>45490</v>
      </c>
      <c r="AA7" s="156">
        <v>45855</v>
      </c>
      <c r="AB7" t="s">
        <v>362</v>
      </c>
      <c r="AC7" t="s">
        <v>363</v>
      </c>
      <c r="AD7" t="s">
        <v>339</v>
      </c>
      <c r="AE7" t="s">
        <v>341</v>
      </c>
      <c r="AF7" t="s">
        <v>362</v>
      </c>
      <c r="AG7" t="s">
        <v>362</v>
      </c>
      <c r="AH7" s="154"/>
      <c r="AI7" s="151">
        <v>3.6269999999999998</v>
      </c>
      <c r="AJ7" s="151"/>
      <c r="AK7"/>
      <c r="AL7" s="154"/>
      <c r="AM7" t="s">
        <v>1923</v>
      </c>
      <c r="AN7" s="154">
        <v>8.1633796180175563E-2</v>
      </c>
      <c r="AO7" s="154">
        <v>7.5019051448852199E-5</v>
      </c>
    </row>
    <row r="8" spans="1:41">
      <c r="A8" s="155">
        <v>274</v>
      </c>
      <c r="B8" s="155">
        <v>274</v>
      </c>
      <c r="C8" t="s">
        <v>353</v>
      </c>
      <c r="D8" s="155">
        <v>76020460</v>
      </c>
      <c r="E8" t="s">
        <v>1218</v>
      </c>
      <c r="F8" s="151">
        <v>3.3719999999999999</v>
      </c>
      <c r="G8" s="151">
        <v>-1100000</v>
      </c>
      <c r="H8" s="151">
        <v>-1100</v>
      </c>
      <c r="I8" s="154">
        <v>-4.0946196491674067E-2</v>
      </c>
      <c r="J8" s="154">
        <v>-9.0117924341051115E-4</v>
      </c>
      <c r="K8" s="155">
        <v>760204600</v>
      </c>
      <c r="L8" t="s">
        <v>1222</v>
      </c>
      <c r="M8" s="151">
        <v>1</v>
      </c>
      <c r="N8" s="151">
        <v>1100000</v>
      </c>
      <c r="O8" s="151">
        <v>4111.0306399999999</v>
      </c>
      <c r="P8" s="154">
        <v>9.9880715027300475E-4</v>
      </c>
      <c r="Q8" s="154">
        <v>-0.71322329159787456</v>
      </c>
      <c r="R8" s="151">
        <v>401.83064000000002</v>
      </c>
      <c r="S8" t="s">
        <v>53</v>
      </c>
      <c r="T8" t="s">
        <v>53</v>
      </c>
      <c r="U8" t="s">
        <v>72</v>
      </c>
      <c r="V8" t="s">
        <v>102</v>
      </c>
      <c r="W8" t="s">
        <v>691</v>
      </c>
      <c r="X8" t="s">
        <v>1929</v>
      </c>
      <c r="Y8" t="s">
        <v>62</v>
      </c>
      <c r="Z8" s="156">
        <v>45553</v>
      </c>
      <c r="AA8" s="156">
        <v>45951</v>
      </c>
      <c r="AB8" t="s">
        <v>362</v>
      </c>
      <c r="AC8" t="s">
        <v>363</v>
      </c>
      <c r="AD8" t="s">
        <v>339</v>
      </c>
      <c r="AE8" t="s">
        <v>341</v>
      </c>
      <c r="AF8" t="s">
        <v>362</v>
      </c>
      <c r="AG8" t="s">
        <v>362</v>
      </c>
      <c r="AH8" s="154"/>
      <c r="AI8" s="151">
        <v>3.7730000000000001</v>
      </c>
      <c r="AJ8" s="151"/>
      <c r="AK8"/>
      <c r="AL8" s="154"/>
      <c r="AM8" t="s">
        <v>1925</v>
      </c>
      <c r="AN8" s="154">
        <v>0.1062361692981911</v>
      </c>
      <c r="AO8" s="154">
        <v>9.7627906862493661E-5</v>
      </c>
    </row>
    <row r="9" spans="1:41">
      <c r="A9" s="155">
        <v>274</v>
      </c>
      <c r="B9" s="155">
        <v>274</v>
      </c>
      <c r="C9" t="s">
        <v>353</v>
      </c>
      <c r="D9" s="155">
        <v>76021292</v>
      </c>
      <c r="E9" t="s">
        <v>1218</v>
      </c>
      <c r="F9" s="151">
        <v>3.3719999999999999</v>
      </c>
      <c r="G9" s="151">
        <v>-2000000</v>
      </c>
      <c r="H9" s="151">
        <v>-2000</v>
      </c>
      <c r="I9" s="154">
        <v>-7.4447629984861943E-2</v>
      </c>
      <c r="J9" s="154">
        <v>-1.6385077152918385E-3</v>
      </c>
      <c r="K9" s="155">
        <v>760212920</v>
      </c>
      <c r="L9" t="s">
        <v>1222</v>
      </c>
      <c r="M9" s="151">
        <v>1</v>
      </c>
      <c r="N9" s="151">
        <v>2000000</v>
      </c>
      <c r="O9" s="151">
        <v>7237.1098499999998</v>
      </c>
      <c r="P9" s="154">
        <v>1.7583126224257947E-3</v>
      </c>
      <c r="Q9" s="154">
        <v>-1.2555672192393099</v>
      </c>
      <c r="R9" s="151">
        <v>493.10984999999999</v>
      </c>
      <c r="S9" t="s">
        <v>53</v>
      </c>
      <c r="T9" t="s">
        <v>53</v>
      </c>
      <c r="U9" t="s">
        <v>72</v>
      </c>
      <c r="V9" t="s">
        <v>102</v>
      </c>
      <c r="W9" t="s">
        <v>691</v>
      </c>
      <c r="X9" t="s">
        <v>1929</v>
      </c>
      <c r="Y9" t="s">
        <v>62</v>
      </c>
      <c r="Z9" s="156">
        <v>45775</v>
      </c>
      <c r="AA9" s="156">
        <v>45867</v>
      </c>
      <c r="AB9" t="s">
        <v>362</v>
      </c>
      <c r="AC9" t="s">
        <v>363</v>
      </c>
      <c r="AD9" t="s">
        <v>339</v>
      </c>
      <c r="AE9" t="s">
        <v>341</v>
      </c>
      <c r="AF9" t="s">
        <v>362</v>
      </c>
      <c r="AG9" t="s">
        <v>362</v>
      </c>
      <c r="AH9" s="154"/>
      <c r="AI9" s="151">
        <v>3.6309999999999998</v>
      </c>
      <c r="AJ9" s="151"/>
      <c r="AK9"/>
      <c r="AL9" s="154"/>
      <c r="AM9" t="s">
        <v>1925</v>
      </c>
      <c r="AN9" s="154">
        <v>0.13036860879301196</v>
      </c>
      <c r="AO9" s="154">
        <v>1.1980490713395628E-4</v>
      </c>
    </row>
    <row r="10" spans="1:41">
      <c r="A10" s="155">
        <v>274</v>
      </c>
      <c r="B10" s="155">
        <v>274</v>
      </c>
      <c r="C10" t="s">
        <v>351</v>
      </c>
      <c r="D10" s="155">
        <v>31011197</v>
      </c>
      <c r="E10" t="s">
        <v>1222</v>
      </c>
      <c r="F10" s="151">
        <v>1</v>
      </c>
      <c r="G10" s="151">
        <v>1200000</v>
      </c>
      <c r="H10" s="151">
        <v>-1472.280311904218</v>
      </c>
      <c r="I10" s="154">
        <v>-5.4803889947321174E-2</v>
      </c>
      <c r="J10" s="154">
        <v>-3.5770205369622417E-4</v>
      </c>
      <c r="K10" s="155">
        <v>310111970</v>
      </c>
      <c r="L10" t="s">
        <v>1222</v>
      </c>
      <c r="M10" s="151">
        <v>1</v>
      </c>
      <c r="N10" s="151">
        <v>-1200000</v>
      </c>
      <c r="O10" s="151">
        <v>1491.7299319042181</v>
      </c>
      <c r="P10" s="154">
        <v>3.6242749148232952E-4</v>
      </c>
      <c r="Q10" s="154">
        <v>-0.25880043847296641</v>
      </c>
      <c r="R10" s="151">
        <v>19.449619999999999</v>
      </c>
      <c r="S10" t="s">
        <v>53</v>
      </c>
      <c r="T10" t="s">
        <v>53</v>
      </c>
      <c r="U10" t="s">
        <v>79</v>
      </c>
      <c r="V10" t="s">
        <v>102</v>
      </c>
      <c r="W10" t="s">
        <v>688</v>
      </c>
      <c r="X10" t="s">
        <v>1931</v>
      </c>
      <c r="Y10" t="s">
        <v>62</v>
      </c>
      <c r="Z10" s="156">
        <v>45768</v>
      </c>
      <c r="AA10" s="156">
        <v>49420</v>
      </c>
      <c r="AB10" t="s">
        <v>362</v>
      </c>
      <c r="AC10" t="s">
        <v>370</v>
      </c>
      <c r="AD10" t="s">
        <v>339</v>
      </c>
      <c r="AE10" t="s">
        <v>341</v>
      </c>
      <c r="AF10" t="s">
        <v>362</v>
      </c>
      <c r="AG10" t="s">
        <v>362</v>
      </c>
      <c r="AH10" s="154"/>
      <c r="AI10" s="151">
        <v>1</v>
      </c>
      <c r="AJ10" s="151"/>
      <c r="AK10"/>
      <c r="AL10" s="154"/>
      <c r="AM10" t="s">
        <v>1923</v>
      </c>
      <c r="AN10" s="154">
        <v>5.1420994753050278E-3</v>
      </c>
      <c r="AO10" s="154">
        <v>4.7254377861053448E-6</v>
      </c>
    </row>
    <row r="11" spans="1:41">
      <c r="A11" s="155">
        <v>274</v>
      </c>
      <c r="B11" s="155">
        <v>274</v>
      </c>
      <c r="C11" t="s">
        <v>353</v>
      </c>
      <c r="D11" s="155">
        <v>76020524</v>
      </c>
      <c r="E11" t="s">
        <v>1218</v>
      </c>
      <c r="F11" s="151">
        <v>3.3719999999999999</v>
      </c>
      <c r="G11" s="151">
        <v>-631010</v>
      </c>
      <c r="H11" s="151">
        <v>-631.01</v>
      </c>
      <c r="I11" s="154">
        <v>-2.3488599498373865E-2</v>
      </c>
      <c r="J11" s="154">
        <v>-5.1695737671315152E-4</v>
      </c>
      <c r="K11" s="155">
        <v>760205240</v>
      </c>
      <c r="L11" t="s">
        <v>1222</v>
      </c>
      <c r="M11" s="151">
        <v>1</v>
      </c>
      <c r="N11" s="151">
        <v>631010</v>
      </c>
      <c r="O11" s="151">
        <v>2338.7882399999999</v>
      </c>
      <c r="P11" s="154">
        <v>5.6822695368828884E-4</v>
      </c>
      <c r="Q11" s="154">
        <v>-0.40575670505905054</v>
      </c>
      <c r="R11" s="151">
        <v>211.02251999999999</v>
      </c>
      <c r="S11" t="s">
        <v>53</v>
      </c>
      <c r="T11" t="s">
        <v>53</v>
      </c>
      <c r="U11" t="s">
        <v>72</v>
      </c>
      <c r="V11" t="s">
        <v>102</v>
      </c>
      <c r="W11" t="s">
        <v>691</v>
      </c>
      <c r="X11" t="s">
        <v>1929</v>
      </c>
      <c r="Y11" t="s">
        <v>62</v>
      </c>
      <c r="Z11" s="156">
        <v>45560</v>
      </c>
      <c r="AA11" s="156">
        <v>45973</v>
      </c>
      <c r="AB11" t="s">
        <v>362</v>
      </c>
      <c r="AC11" t="s">
        <v>363</v>
      </c>
      <c r="AD11" t="s">
        <v>339</v>
      </c>
      <c r="AE11" t="s">
        <v>341</v>
      </c>
      <c r="AF11" t="s">
        <v>362</v>
      </c>
      <c r="AG11" t="s">
        <v>362</v>
      </c>
      <c r="AH11" s="154"/>
      <c r="AI11" s="151">
        <v>3.758</v>
      </c>
      <c r="AJ11" s="151"/>
      <c r="AK11"/>
      <c r="AL11" s="154"/>
      <c r="AM11" t="s">
        <v>1923</v>
      </c>
      <c r="AN11" s="154">
        <v>5.5790230830707478E-2</v>
      </c>
      <c r="AO11" s="154">
        <v>5.1269576975137345E-5</v>
      </c>
    </row>
    <row r="12" spans="1:41">
      <c r="A12" s="155">
        <v>274</v>
      </c>
      <c r="B12" s="155">
        <v>274</v>
      </c>
      <c r="C12" t="s">
        <v>353</v>
      </c>
      <c r="D12" s="155">
        <v>76021332</v>
      </c>
      <c r="E12" t="s">
        <v>1218</v>
      </c>
      <c r="F12" s="151">
        <v>3.3719999999999999</v>
      </c>
      <c r="G12" s="151">
        <v>1000000</v>
      </c>
      <c r="H12" s="151">
        <v>1000</v>
      </c>
      <c r="I12" s="154">
        <v>3.7223814992430972E-2</v>
      </c>
      <c r="J12" s="154">
        <v>8.1925385764591927E-4</v>
      </c>
      <c r="K12" s="155">
        <v>760213320</v>
      </c>
      <c r="L12" t="s">
        <v>1222</v>
      </c>
      <c r="M12" s="151">
        <v>1</v>
      </c>
      <c r="N12" s="151">
        <v>-1000000</v>
      </c>
      <c r="O12" s="151">
        <v>-3569.6104100000002</v>
      </c>
      <c r="P12" s="154">
        <v>-8.6726485726142696E-4</v>
      </c>
      <c r="Q12" s="154">
        <v>0.61929221873720675</v>
      </c>
      <c r="R12" s="151">
        <v>-197.61041</v>
      </c>
      <c r="S12" t="s">
        <v>53</v>
      </c>
      <c r="T12" t="s">
        <v>53</v>
      </c>
      <c r="U12" t="s">
        <v>72</v>
      </c>
      <c r="V12" t="s">
        <v>102</v>
      </c>
      <c r="W12" t="s">
        <v>691</v>
      </c>
      <c r="X12" t="s">
        <v>1929</v>
      </c>
      <c r="Y12" t="s">
        <v>62</v>
      </c>
      <c r="Z12" s="156">
        <v>45790</v>
      </c>
      <c r="AA12" s="156">
        <v>45848</v>
      </c>
      <c r="AB12" t="s">
        <v>362</v>
      </c>
      <c r="AC12" t="s">
        <v>363</v>
      </c>
      <c r="AD12" t="s">
        <v>339</v>
      </c>
      <c r="AE12" t="s">
        <v>341</v>
      </c>
      <c r="AF12" t="s">
        <v>362</v>
      </c>
      <c r="AG12" t="s">
        <v>362</v>
      </c>
      <c r="AH12" s="154"/>
      <c r="AI12" s="151">
        <v>3.5760000000000001</v>
      </c>
      <c r="AJ12" s="151"/>
      <c r="AK12"/>
      <c r="AL12" s="154"/>
      <c r="AM12" t="s">
        <v>1925</v>
      </c>
      <c r="AN12" s="154">
        <v>-5.2244331024246825E-2</v>
      </c>
      <c r="AO12" s="154">
        <v>-4.8010999615507634E-5</v>
      </c>
    </row>
    <row r="13" spans="1:41">
      <c r="A13" s="155">
        <v>274</v>
      </c>
      <c r="B13" s="155">
        <v>274</v>
      </c>
      <c r="C13" t="s">
        <v>353</v>
      </c>
      <c r="D13" s="155">
        <v>76020356</v>
      </c>
      <c r="E13" t="s">
        <v>1218</v>
      </c>
      <c r="F13" s="151">
        <v>3.3719999999999999</v>
      </c>
      <c r="G13" s="151">
        <v>-1264000</v>
      </c>
      <c r="H13" s="151">
        <v>-1264</v>
      </c>
      <c r="I13" s="154">
        <v>-4.7050902150432748E-2</v>
      </c>
      <c r="J13" s="154">
        <v>-1.0355368760644418E-3</v>
      </c>
      <c r="K13" s="155">
        <v>760203560</v>
      </c>
      <c r="L13" t="s">
        <v>1222</v>
      </c>
      <c r="M13" s="151">
        <v>1</v>
      </c>
      <c r="N13" s="151">
        <v>1264000</v>
      </c>
      <c r="O13" s="151">
        <v>4644.5417499999994</v>
      </c>
      <c r="P13" s="154">
        <v>1.1284278605234366E-3</v>
      </c>
      <c r="Q13" s="154">
        <v>-0.8057822101026112</v>
      </c>
      <c r="R13" s="151">
        <v>382.33375000000001</v>
      </c>
      <c r="S13" t="s">
        <v>53</v>
      </c>
      <c r="T13" t="s">
        <v>53</v>
      </c>
      <c r="U13" t="s">
        <v>72</v>
      </c>
      <c r="V13" t="s">
        <v>102</v>
      </c>
      <c r="W13" t="s">
        <v>691</v>
      </c>
      <c r="X13" t="s">
        <v>1929</v>
      </c>
      <c r="Y13" t="s">
        <v>62</v>
      </c>
      <c r="Z13" s="156">
        <v>45525</v>
      </c>
      <c r="AA13" s="156">
        <v>45894</v>
      </c>
      <c r="AB13" t="s">
        <v>362</v>
      </c>
      <c r="AC13" t="s">
        <v>363</v>
      </c>
      <c r="AD13" t="s">
        <v>339</v>
      </c>
      <c r="AE13" t="s">
        <v>341</v>
      </c>
      <c r="AF13" t="s">
        <v>362</v>
      </c>
      <c r="AG13" t="s">
        <v>362</v>
      </c>
      <c r="AH13" s="154"/>
      <c r="AI13" s="151">
        <v>3.722</v>
      </c>
      <c r="AJ13" s="151"/>
      <c r="AK13"/>
      <c r="AL13" s="154"/>
      <c r="AM13" t="s">
        <v>1923</v>
      </c>
      <c r="AN13" s="154">
        <v>0.10108157255855918</v>
      </c>
      <c r="AO13" s="154">
        <v>9.2890984458994806E-5</v>
      </c>
    </row>
    <row r="14" spans="1:41">
      <c r="A14" s="155">
        <v>274</v>
      </c>
      <c r="B14" s="155">
        <v>274</v>
      </c>
      <c r="C14" t="s">
        <v>351</v>
      </c>
      <c r="D14" s="155">
        <v>31011170</v>
      </c>
      <c r="E14" t="s">
        <v>1222</v>
      </c>
      <c r="F14" s="151">
        <v>1</v>
      </c>
      <c r="G14" s="151">
        <v>2500000</v>
      </c>
      <c r="H14" s="151">
        <v>3266.2848281905999</v>
      </c>
      <c r="I14" s="154">
        <v>0.12158358215715107</v>
      </c>
      <c r="J14" s="154">
        <v>7.935695271843083E-4</v>
      </c>
      <c r="K14" s="155">
        <v>310111700</v>
      </c>
      <c r="L14" t="s">
        <v>1222</v>
      </c>
      <c r="M14" s="151">
        <v>1</v>
      </c>
      <c r="N14" s="151">
        <v>-2500000</v>
      </c>
      <c r="O14" s="151">
        <v>-3156.7688381906</v>
      </c>
      <c r="P14" s="154">
        <v>-7.669617581210189E-4</v>
      </c>
      <c r="Q14" s="154">
        <v>0.54766827560981113</v>
      </c>
      <c r="R14" s="151">
        <v>109.51599</v>
      </c>
      <c r="S14" t="s">
        <v>53</v>
      </c>
      <c r="T14" t="s">
        <v>53</v>
      </c>
      <c r="U14" t="s">
        <v>79</v>
      </c>
      <c r="V14" t="s">
        <v>102</v>
      </c>
      <c r="W14" t="s">
        <v>688</v>
      </c>
      <c r="X14" t="s">
        <v>1931</v>
      </c>
      <c r="Y14" t="s">
        <v>62</v>
      </c>
      <c r="Z14" s="156">
        <v>45152</v>
      </c>
      <c r="AA14" s="156">
        <v>46425</v>
      </c>
      <c r="AB14" t="s">
        <v>362</v>
      </c>
      <c r="AC14" t="s">
        <v>370</v>
      </c>
      <c r="AD14" t="s">
        <v>339</v>
      </c>
      <c r="AE14" t="s">
        <v>341</v>
      </c>
      <c r="AF14" t="s">
        <v>362</v>
      </c>
      <c r="AG14" t="s">
        <v>362</v>
      </c>
      <c r="AH14" s="154"/>
      <c r="AI14" s="151">
        <v>1</v>
      </c>
      <c r="AJ14" s="151"/>
      <c r="AK14"/>
      <c r="AL14" s="154"/>
      <c r="AM14" t="s">
        <v>1925</v>
      </c>
      <c r="AN14" s="154">
        <v>2.8953887773463478E-2</v>
      </c>
      <c r="AO14" s="154">
        <v>2.6607769063289419E-5</v>
      </c>
    </row>
    <row r="15" spans="1:41">
      <c r="A15" s="155">
        <v>274</v>
      </c>
      <c r="B15" s="155">
        <v>274</v>
      </c>
      <c r="C15" t="s">
        <v>400</v>
      </c>
      <c r="D15" s="155">
        <v>31011193</v>
      </c>
      <c r="E15" t="s">
        <v>1218</v>
      </c>
      <c r="F15" s="151">
        <v>3.3719999999999999</v>
      </c>
      <c r="G15" s="151">
        <v>347</v>
      </c>
      <c r="H15" s="151">
        <v>382.98667999999998</v>
      </c>
      <c r="I15" s="154">
        <v>1.4256225320885363E-2</v>
      </c>
      <c r="J15" s="154">
        <v>3.137633150170032E-4</v>
      </c>
      <c r="K15" s="155">
        <v>31011194</v>
      </c>
      <c r="L15" t="s">
        <v>1218</v>
      </c>
      <c r="M15" s="151">
        <v>3.3719999999999999</v>
      </c>
      <c r="N15" s="151">
        <v>-4073388.93</v>
      </c>
      <c r="O15" s="151">
        <v>-128.10355999999999</v>
      </c>
      <c r="P15" s="154">
        <v>-1.0494933570817547E-4</v>
      </c>
      <c r="Q15" s="154">
        <v>2.2224704880478785E-2</v>
      </c>
      <c r="R15" s="151">
        <v>859.46588064000002</v>
      </c>
      <c r="S15" t="s">
        <v>61</v>
      </c>
      <c r="T15" t="s">
        <v>316</v>
      </c>
      <c r="U15" t="s">
        <v>97</v>
      </c>
      <c r="V15" t="s">
        <v>102</v>
      </c>
      <c r="W15" t="s">
        <v>688</v>
      </c>
      <c r="X15" s="164" t="s">
        <v>1936</v>
      </c>
      <c r="Y15" t="s">
        <v>62</v>
      </c>
      <c r="Z15" s="156">
        <v>45593</v>
      </c>
      <c r="AA15" s="156">
        <v>45960</v>
      </c>
      <c r="AB15" t="s">
        <v>362</v>
      </c>
      <c r="AC15" t="s">
        <v>370</v>
      </c>
      <c r="AD15" t="s">
        <v>339</v>
      </c>
      <c r="AE15" t="s">
        <v>341</v>
      </c>
      <c r="AF15" t="s">
        <v>362</v>
      </c>
      <c r="AG15" t="s">
        <v>362</v>
      </c>
      <c r="AH15" s="154"/>
      <c r="AI15" s="151">
        <v>3.7280000000000002</v>
      </c>
      <c r="AJ15" s="151"/>
      <c r="AK15"/>
      <c r="AL15" s="154"/>
      <c r="AM15" t="s">
        <v>1926</v>
      </c>
      <c r="AN15" s="154">
        <v>0.22722598456327259</v>
      </c>
      <c r="AO15" s="154">
        <v>2.0881397930882776E-4</v>
      </c>
    </row>
    <row r="16" spans="1:41">
      <c r="A16" s="155">
        <v>274</v>
      </c>
      <c r="B16" s="155">
        <v>274</v>
      </c>
      <c r="C16" t="s">
        <v>351</v>
      </c>
      <c r="D16" s="155">
        <v>31010401</v>
      </c>
      <c r="E16" t="s">
        <v>1222</v>
      </c>
      <c r="F16" s="151">
        <v>1</v>
      </c>
      <c r="G16" s="151">
        <v>3250000</v>
      </c>
      <c r="H16" s="151">
        <v>3953.7251200000001</v>
      </c>
      <c r="I16" s="154">
        <v>0.14717273239780695</v>
      </c>
      <c r="J16" s="154">
        <v>9.6058853992632713E-4</v>
      </c>
      <c r="K16" s="155">
        <v>310104010</v>
      </c>
      <c r="L16" t="s">
        <v>1222</v>
      </c>
      <c r="M16" s="151">
        <v>1</v>
      </c>
      <c r="N16" s="151">
        <v>-3250000</v>
      </c>
      <c r="O16" s="151">
        <v>-3657.0430000000001</v>
      </c>
      <c r="P16" s="154">
        <v>-8.885072910222436E-4</v>
      </c>
      <c r="Q16" s="154">
        <v>0.63446091123635273</v>
      </c>
      <c r="R16" s="151">
        <v>296.68212</v>
      </c>
      <c r="S16" t="s">
        <v>61</v>
      </c>
      <c r="T16" t="s">
        <v>53</v>
      </c>
      <c r="U16" t="s">
        <v>79</v>
      </c>
      <c r="V16" t="s">
        <v>102</v>
      </c>
      <c r="W16" t="s">
        <v>688</v>
      </c>
      <c r="X16" t="s">
        <v>1931</v>
      </c>
      <c r="Y16" t="s">
        <v>62</v>
      </c>
      <c r="Z16" s="156">
        <v>44384</v>
      </c>
      <c r="AA16" s="156">
        <v>46941</v>
      </c>
      <c r="AB16" t="s">
        <v>362</v>
      </c>
      <c r="AC16" t="s">
        <v>370</v>
      </c>
      <c r="AD16" t="s">
        <v>339</v>
      </c>
      <c r="AE16" t="s">
        <v>341</v>
      </c>
      <c r="AF16" t="s">
        <v>362</v>
      </c>
      <c r="AG16" t="s">
        <v>362</v>
      </c>
      <c r="AH16" s="154"/>
      <c r="AI16" s="151">
        <v>1</v>
      </c>
      <c r="AJ16" s="151"/>
      <c r="AK16"/>
      <c r="AL16" s="154"/>
      <c r="AM16" t="s">
        <v>1927</v>
      </c>
      <c r="AN16" s="154">
        <v>7.8436955250764967E-2</v>
      </c>
      <c r="AO16" s="154">
        <v>7.2081248904083491E-5</v>
      </c>
    </row>
    <row r="17" spans="1:41">
      <c r="A17" s="155">
        <v>274</v>
      </c>
      <c r="B17" s="155">
        <v>274</v>
      </c>
      <c r="C17" t="s">
        <v>351</v>
      </c>
      <c r="D17" s="155">
        <v>31009600</v>
      </c>
      <c r="E17" t="s">
        <v>1222</v>
      </c>
      <c r="F17" s="151">
        <v>1</v>
      </c>
      <c r="G17" s="151">
        <v>1100000</v>
      </c>
      <c r="H17" s="151">
        <v>1375.92561</v>
      </c>
      <c r="I17" s="154">
        <v>5.1217200349987731E-2</v>
      </c>
      <c r="J17" s="154">
        <v>3.3429192284291657E-4</v>
      </c>
      <c r="K17" s="155">
        <v>310096000</v>
      </c>
      <c r="L17" t="s">
        <v>1222</v>
      </c>
      <c r="M17" s="151">
        <v>1</v>
      </c>
      <c r="N17" s="151">
        <v>-1100000</v>
      </c>
      <c r="O17" s="151">
        <v>-1489.73929</v>
      </c>
      <c r="P17" s="154">
        <v>-3.61943849412572E-4</v>
      </c>
      <c r="Q17" s="154">
        <v>0.25845508172531662</v>
      </c>
      <c r="R17" s="151">
        <v>-113.81368000000001</v>
      </c>
      <c r="S17" t="s">
        <v>61</v>
      </c>
      <c r="T17" t="s">
        <v>53</v>
      </c>
      <c r="U17" t="s">
        <v>79</v>
      </c>
      <c r="V17" t="s">
        <v>102</v>
      </c>
      <c r="W17" t="s">
        <v>688</v>
      </c>
      <c r="X17" t="s">
        <v>1931</v>
      </c>
      <c r="Y17" t="s">
        <v>62</v>
      </c>
      <c r="Z17" s="156">
        <v>41816</v>
      </c>
      <c r="AA17" s="156">
        <v>46913</v>
      </c>
      <c r="AB17" t="s">
        <v>362</v>
      </c>
      <c r="AC17" t="s">
        <v>370</v>
      </c>
      <c r="AD17" t="s">
        <v>339</v>
      </c>
      <c r="AE17" t="s">
        <v>341</v>
      </c>
      <c r="AF17" t="s">
        <v>362</v>
      </c>
      <c r="AG17" t="s">
        <v>362</v>
      </c>
      <c r="AH17" s="154"/>
      <c r="AI17" s="151">
        <v>1</v>
      </c>
      <c r="AJ17" s="151"/>
      <c r="AK17"/>
      <c r="AL17" s="154"/>
      <c r="AM17" t="s">
        <v>1928</v>
      </c>
      <c r="AN17" s="154">
        <v>-3.0090113031027568E-2</v>
      </c>
      <c r="AO17" s="154">
        <v>-2.7651926569655461E-5</v>
      </c>
    </row>
    <row r="18" spans="1:41">
      <c r="A18" s="155">
        <v>274</v>
      </c>
      <c r="B18" s="155">
        <v>274</v>
      </c>
      <c r="C18" t="s">
        <v>400</v>
      </c>
      <c r="D18" s="155">
        <v>31011195</v>
      </c>
      <c r="E18" t="s">
        <v>1218</v>
      </c>
      <c r="F18" s="151">
        <v>3.3719999999999999</v>
      </c>
      <c r="G18" s="151">
        <v>357</v>
      </c>
      <c r="H18" s="151">
        <v>349.44481000000002</v>
      </c>
      <c r="I18" s="154">
        <v>1.3007668957505193E-2</v>
      </c>
      <c r="J18" s="154">
        <v>2.8628400862684526E-4</v>
      </c>
      <c r="K18" s="155">
        <v>31011196</v>
      </c>
      <c r="L18" t="s">
        <v>1218</v>
      </c>
      <c r="M18" s="151">
        <v>3.3719999999999999</v>
      </c>
      <c r="N18" s="151">
        <v>-4235356.6100000003</v>
      </c>
      <c r="O18" s="151">
        <v>-127.89588999999999</v>
      </c>
      <c r="P18" s="154">
        <v>-1.0477920125955814E-4</v>
      </c>
      <c r="Q18" s="154">
        <v>2.2188676182583668E-2</v>
      </c>
      <c r="R18" s="151">
        <v>747.06295823999994</v>
      </c>
      <c r="S18" t="s">
        <v>61</v>
      </c>
      <c r="T18" t="s">
        <v>316</v>
      </c>
      <c r="U18" t="s">
        <v>97</v>
      </c>
      <c r="V18" t="s">
        <v>102</v>
      </c>
      <c r="W18" t="s">
        <v>688</v>
      </c>
      <c r="X18" s="164" t="s">
        <v>1936</v>
      </c>
      <c r="Y18" t="s">
        <v>62</v>
      </c>
      <c r="Z18" s="156">
        <v>45617</v>
      </c>
      <c r="AA18" s="156">
        <v>45979</v>
      </c>
      <c r="AB18" t="s">
        <v>362</v>
      </c>
      <c r="AC18" t="s">
        <v>370</v>
      </c>
      <c r="AD18" t="s">
        <v>339</v>
      </c>
      <c r="AE18" t="s">
        <v>341</v>
      </c>
      <c r="AF18" t="s">
        <v>362</v>
      </c>
      <c r="AG18" t="s">
        <v>362</v>
      </c>
      <c r="AH18" s="154"/>
      <c r="AI18" s="151">
        <v>3.7330000000000001</v>
      </c>
      <c r="AJ18" s="151"/>
      <c r="AK18"/>
      <c r="AL18" s="154"/>
      <c r="AM18" t="s">
        <v>1926</v>
      </c>
      <c r="AN18" s="154">
        <v>0.19750884827496507</v>
      </c>
      <c r="AO18" s="154">
        <v>1.8150480736728715E-4</v>
      </c>
    </row>
    <row r="19" spans="1:41">
      <c r="A19" s="155">
        <v>274</v>
      </c>
      <c r="B19" s="155">
        <v>274</v>
      </c>
      <c r="C19" t="s">
        <v>351</v>
      </c>
      <c r="D19" s="155">
        <v>31010410</v>
      </c>
      <c r="E19" t="s">
        <v>1222</v>
      </c>
      <c r="F19" s="151">
        <v>1</v>
      </c>
      <c r="G19" s="151">
        <v>1500000</v>
      </c>
      <c r="H19" s="151">
        <v>1877.35301</v>
      </c>
      <c r="I19" s="154">
        <v>6.9882241119723409E-2</v>
      </c>
      <c r="J19" s="154">
        <v>4.5611764401117379E-4</v>
      </c>
      <c r="K19" s="155">
        <v>310104100</v>
      </c>
      <c r="L19" t="s">
        <v>1222</v>
      </c>
      <c r="M19" s="151">
        <v>1</v>
      </c>
      <c r="N19" s="151">
        <v>-1500000</v>
      </c>
      <c r="O19" s="151">
        <v>-1938.942</v>
      </c>
      <c r="P19" s="154">
        <v>-4.7108117237594721E-4</v>
      </c>
      <c r="Q19" s="154">
        <v>0.33638732389923665</v>
      </c>
      <c r="R19" s="151">
        <v>-61.588990000000003</v>
      </c>
      <c r="S19" t="s">
        <v>61</v>
      </c>
      <c r="T19" t="s">
        <v>53</v>
      </c>
      <c r="U19" t="s">
        <v>79</v>
      </c>
      <c r="V19" t="s">
        <v>102</v>
      </c>
      <c r="W19" t="s">
        <v>688</v>
      </c>
      <c r="X19" t="s">
        <v>1931</v>
      </c>
      <c r="Y19" t="s">
        <v>62</v>
      </c>
      <c r="Z19" s="156">
        <v>45066</v>
      </c>
      <c r="AA19" s="156">
        <v>48731</v>
      </c>
      <c r="AB19" t="s">
        <v>362</v>
      </c>
      <c r="AC19" t="s">
        <v>370</v>
      </c>
      <c r="AD19" t="s">
        <v>339</v>
      </c>
      <c r="AE19" t="s">
        <v>341</v>
      </c>
      <c r="AF19" t="s">
        <v>362</v>
      </c>
      <c r="AG19" t="s">
        <v>362</v>
      </c>
      <c r="AH19" s="154"/>
      <c r="AI19" s="151">
        <v>1</v>
      </c>
      <c r="AJ19" s="151"/>
      <c r="AK19"/>
      <c r="AL19" s="154"/>
      <c r="AM19" t="s">
        <v>1928</v>
      </c>
      <c r="AN19" s="154">
        <v>-1.628292548458873E-2</v>
      </c>
      <c r="AO19" s="154">
        <v>-1.4963528364773412E-5</v>
      </c>
    </row>
    <row r="20" spans="1:41">
      <c r="A20" s="155">
        <v>274</v>
      </c>
      <c r="B20" s="155">
        <v>274</v>
      </c>
      <c r="C20" t="s">
        <v>351</v>
      </c>
      <c r="D20" s="155">
        <v>31010403</v>
      </c>
      <c r="E20" t="s">
        <v>1222</v>
      </c>
      <c r="F20" s="151">
        <v>1</v>
      </c>
      <c r="G20" s="151">
        <v>2250000</v>
      </c>
      <c r="H20" s="151">
        <v>2812.97192</v>
      </c>
      <c r="I20" s="154">
        <v>0.10470954632898333</v>
      </c>
      <c r="J20" s="154">
        <v>6.8343359932077346E-4</v>
      </c>
      <c r="K20" s="155">
        <v>310104030</v>
      </c>
      <c r="L20" t="s">
        <v>1222</v>
      </c>
      <c r="M20" s="151">
        <v>1</v>
      </c>
      <c r="N20" s="151">
        <v>-2250000</v>
      </c>
      <c r="O20" s="151">
        <v>-2875.9780000000001</v>
      </c>
      <c r="P20" s="154">
        <v>-6.9874142081992753E-4</v>
      </c>
      <c r="Q20" s="154">
        <v>0.4989538330765329</v>
      </c>
      <c r="R20" s="151">
        <v>-63.006079999999997</v>
      </c>
      <c r="S20" t="s">
        <v>61</v>
      </c>
      <c r="T20" t="s">
        <v>53</v>
      </c>
      <c r="U20" t="s">
        <v>79</v>
      </c>
      <c r="V20" t="s">
        <v>102</v>
      </c>
      <c r="W20" t="s">
        <v>688</v>
      </c>
      <c r="X20" t="s">
        <v>1931</v>
      </c>
      <c r="Y20" t="s">
        <v>62</v>
      </c>
      <c r="Z20" s="156">
        <v>45036</v>
      </c>
      <c r="AA20" s="156">
        <v>48689</v>
      </c>
      <c r="AB20" t="s">
        <v>362</v>
      </c>
      <c r="AC20" t="s">
        <v>370</v>
      </c>
      <c r="AD20" t="s">
        <v>339</v>
      </c>
      <c r="AE20" t="s">
        <v>341</v>
      </c>
      <c r="AF20" t="s">
        <v>362</v>
      </c>
      <c r="AG20" t="s">
        <v>362</v>
      </c>
      <c r="AH20" s="154"/>
      <c r="AI20" s="151">
        <v>1</v>
      </c>
      <c r="AJ20" s="151"/>
      <c r="AK20"/>
      <c r="AL20" s="154"/>
      <c r="AM20" t="s">
        <v>1927</v>
      </c>
      <c r="AN20" s="154">
        <v>-1.6657576390131355E-2</v>
      </c>
      <c r="AO20" s="154">
        <v>-1.5307821499154032E-5</v>
      </c>
    </row>
    <row r="21" spans="1:41">
      <c r="A21" s="155">
        <v>274</v>
      </c>
      <c r="B21" s="155">
        <v>274</v>
      </c>
      <c r="C21" t="s">
        <v>351</v>
      </c>
      <c r="D21" s="155">
        <v>31010404</v>
      </c>
      <c r="E21" t="s">
        <v>1222</v>
      </c>
      <c r="F21" s="151">
        <v>1</v>
      </c>
      <c r="G21" s="151">
        <v>1600000</v>
      </c>
      <c r="H21" s="151">
        <v>1996.78305</v>
      </c>
      <c r="I21" s="154">
        <v>7.4327882833222045E-2</v>
      </c>
      <c r="J21" s="154">
        <v>4.8513410931034536E-4</v>
      </c>
      <c r="K21" s="155">
        <v>310104040</v>
      </c>
      <c r="L21" t="s">
        <v>1222</v>
      </c>
      <c r="M21" s="151">
        <v>1</v>
      </c>
      <c r="N21" s="151">
        <v>-1600000</v>
      </c>
      <c r="O21" s="151">
        <v>-2053.136</v>
      </c>
      <c r="P21" s="154">
        <v>-4.9882550067369873E-4</v>
      </c>
      <c r="Q21" s="154">
        <v>0.35619885723305966</v>
      </c>
      <c r="R21" s="151">
        <v>-56.35295</v>
      </c>
      <c r="S21" t="s">
        <v>61</v>
      </c>
      <c r="T21" t="s">
        <v>53</v>
      </c>
      <c r="U21" t="s">
        <v>79</v>
      </c>
      <c r="V21" t="s">
        <v>102</v>
      </c>
      <c r="W21" t="s">
        <v>688</v>
      </c>
      <c r="X21" t="s">
        <v>1931</v>
      </c>
      <c r="Y21" t="s">
        <v>62</v>
      </c>
      <c r="Z21" s="156">
        <v>45036</v>
      </c>
      <c r="AA21" s="156">
        <v>48715</v>
      </c>
      <c r="AB21" t="s">
        <v>362</v>
      </c>
      <c r="AC21" t="s">
        <v>370</v>
      </c>
      <c r="AD21" t="s">
        <v>339</v>
      </c>
      <c r="AE21" t="s">
        <v>341</v>
      </c>
      <c r="AF21" t="s">
        <v>362</v>
      </c>
      <c r="AG21" t="s">
        <v>362</v>
      </c>
      <c r="AH21" s="154"/>
      <c r="AI21" s="151">
        <v>1</v>
      </c>
      <c r="AJ21" s="151"/>
      <c r="AK21"/>
      <c r="AL21" s="154"/>
      <c r="AM21" t="s">
        <v>1927</v>
      </c>
      <c r="AN21" s="154">
        <v>-1.4898618822727153E-2</v>
      </c>
      <c r="AO21" s="154">
        <v>-1.3691391363353383E-5</v>
      </c>
    </row>
    <row r="22" spans="1:41">
      <c r="A22" s="155">
        <v>274</v>
      </c>
      <c r="B22" s="155">
        <v>274</v>
      </c>
      <c r="C22" t="s">
        <v>351</v>
      </c>
      <c r="D22" s="155">
        <v>31003402</v>
      </c>
      <c r="E22" t="s">
        <v>1218</v>
      </c>
      <c r="F22" s="151">
        <v>3.3719999999999999</v>
      </c>
      <c r="G22" s="151">
        <v>-1000000</v>
      </c>
      <c r="H22" s="151">
        <v>-1104.6818000000001</v>
      </c>
      <c r="I22" s="154">
        <v>-4.1120470948705634E-2</v>
      </c>
      <c r="J22" s="154">
        <v>-9.0501482612123782E-4</v>
      </c>
      <c r="K22" s="155">
        <v>31003401</v>
      </c>
      <c r="L22" t="s">
        <v>1222</v>
      </c>
      <c r="M22" s="151">
        <v>1</v>
      </c>
      <c r="N22" s="151">
        <v>3541500</v>
      </c>
      <c r="O22" s="151">
        <v>4030.9571000000001</v>
      </c>
      <c r="P22" s="154">
        <v>9.7935265545083267E-4</v>
      </c>
      <c r="Q22" s="154">
        <v>-0.6993313217319691</v>
      </c>
      <c r="R22" s="151">
        <v>305.97007000000002</v>
      </c>
      <c r="S22" t="s">
        <v>61</v>
      </c>
      <c r="T22" t="s">
        <v>315</v>
      </c>
      <c r="U22" t="s">
        <v>72</v>
      </c>
      <c r="V22" t="s">
        <v>102</v>
      </c>
      <c r="W22" t="s">
        <v>691</v>
      </c>
      <c r="X22" t="s">
        <v>1929</v>
      </c>
      <c r="Y22" t="s">
        <v>62</v>
      </c>
      <c r="Z22" s="156">
        <v>40617</v>
      </c>
      <c r="AA22" s="156">
        <v>46736</v>
      </c>
      <c r="AB22" t="s">
        <v>362</v>
      </c>
      <c r="AC22" t="s">
        <v>370</v>
      </c>
      <c r="AD22" t="s">
        <v>339</v>
      </c>
      <c r="AE22" t="s">
        <v>341</v>
      </c>
      <c r="AF22" t="s">
        <v>362</v>
      </c>
      <c r="AG22" t="s">
        <v>362</v>
      </c>
      <c r="AH22" s="154"/>
      <c r="AI22" s="151">
        <v>3.56</v>
      </c>
      <c r="AJ22" s="151"/>
      <c r="AK22"/>
      <c r="AL22" s="154"/>
      <c r="AM22" t="s">
        <v>1928</v>
      </c>
      <c r="AN22" s="154">
        <v>8.0892507740821823E-2</v>
      </c>
      <c r="AO22" s="154">
        <v>7.4337829232411622E-5</v>
      </c>
    </row>
    <row r="23" spans="1:41">
      <c r="A23" s="155">
        <v>274</v>
      </c>
      <c r="B23" s="155">
        <v>274</v>
      </c>
      <c r="C23" t="s">
        <v>351</v>
      </c>
      <c r="D23" s="155">
        <v>31010405</v>
      </c>
      <c r="E23" t="s">
        <v>1222</v>
      </c>
      <c r="F23" s="151">
        <v>1</v>
      </c>
      <c r="G23" s="151">
        <v>3000000</v>
      </c>
      <c r="H23" s="151">
        <v>3748.3798000000002</v>
      </c>
      <c r="I23" s="154">
        <v>0.13952899619656542</v>
      </c>
      <c r="J23" s="154">
        <v>9.1069828323607342E-4</v>
      </c>
      <c r="K23" s="155">
        <v>310104050</v>
      </c>
      <c r="L23" t="s">
        <v>1222</v>
      </c>
      <c r="M23" s="151">
        <v>1</v>
      </c>
      <c r="N23" s="151">
        <v>-3000000</v>
      </c>
      <c r="O23" s="151">
        <v>-3874.1060000000002</v>
      </c>
      <c r="P23" s="154">
        <v>-9.4124445000866004E-4</v>
      </c>
      <c r="Q23" s="154">
        <v>0.67211920204006936</v>
      </c>
      <c r="R23" s="151">
        <v>-125.72620000000001</v>
      </c>
      <c r="S23" t="s">
        <v>61</v>
      </c>
      <c r="T23" t="s">
        <v>53</v>
      </c>
      <c r="U23" t="s">
        <v>79</v>
      </c>
      <c r="V23" t="s">
        <v>102</v>
      </c>
      <c r="W23" t="s">
        <v>688</v>
      </c>
      <c r="X23" t="s">
        <v>1931</v>
      </c>
      <c r="Y23" t="s">
        <v>62</v>
      </c>
      <c r="Z23" s="156">
        <v>45062</v>
      </c>
      <c r="AA23" s="156">
        <v>48730</v>
      </c>
      <c r="AB23" t="s">
        <v>362</v>
      </c>
      <c r="AC23" t="s">
        <v>370</v>
      </c>
      <c r="AD23" t="s">
        <v>339</v>
      </c>
      <c r="AE23" t="s">
        <v>341</v>
      </c>
      <c r="AF23" t="s">
        <v>362</v>
      </c>
      <c r="AG23" t="s">
        <v>362</v>
      </c>
      <c r="AH23" s="154"/>
      <c r="AI23" s="151">
        <v>1</v>
      </c>
      <c r="AJ23" s="151"/>
      <c r="AK23"/>
      <c r="AL23" s="154"/>
      <c r="AM23" t="s">
        <v>1927</v>
      </c>
      <c r="AN23" s="154">
        <v>-3.3239550544025796E-2</v>
      </c>
      <c r="AO23" s="154">
        <v>-3.0546166772586709E-5</v>
      </c>
    </row>
    <row r="24" spans="1:41">
      <c r="A24" s="155">
        <v>274</v>
      </c>
      <c r="B24" s="155">
        <v>274</v>
      </c>
      <c r="C24" t="s">
        <v>351</v>
      </c>
      <c r="D24" s="155">
        <v>31010402</v>
      </c>
      <c r="E24" t="s">
        <v>1222</v>
      </c>
      <c r="F24" s="151">
        <v>1</v>
      </c>
      <c r="G24" s="151">
        <v>6100000</v>
      </c>
      <c r="H24" s="151">
        <v>7796.1461899999995</v>
      </c>
      <c r="I24" s="154">
        <v>0.29020230343050557</v>
      </c>
      <c r="J24" s="154">
        <v>1.8941348875827508E-3</v>
      </c>
      <c r="K24" s="155">
        <v>310104020</v>
      </c>
      <c r="L24" t="s">
        <v>1222</v>
      </c>
      <c r="M24" s="151">
        <v>1</v>
      </c>
      <c r="N24" s="151">
        <v>-6100000</v>
      </c>
      <c r="O24" s="151">
        <v>-7702.5159999999996</v>
      </c>
      <c r="P24" s="154">
        <v>-1.8713866982738479E-3</v>
      </c>
      <c r="Q24" s="154">
        <v>1.3363105985279873</v>
      </c>
      <c r="R24" s="151">
        <v>93.630189999999999</v>
      </c>
      <c r="S24" t="s">
        <v>61</v>
      </c>
      <c r="T24" t="s">
        <v>53</v>
      </c>
      <c r="U24" t="s">
        <v>79</v>
      </c>
      <c r="V24" t="s">
        <v>102</v>
      </c>
      <c r="W24" t="s">
        <v>688</v>
      </c>
      <c r="X24" t="s">
        <v>1931</v>
      </c>
      <c r="Y24" t="s">
        <v>62</v>
      </c>
      <c r="Z24" s="156">
        <v>44636</v>
      </c>
      <c r="AA24" s="156">
        <v>48289</v>
      </c>
      <c r="AB24" t="s">
        <v>362</v>
      </c>
      <c r="AC24" t="s">
        <v>370</v>
      </c>
      <c r="AD24" t="s">
        <v>339</v>
      </c>
      <c r="AE24" t="s">
        <v>341</v>
      </c>
      <c r="AF24" t="s">
        <v>362</v>
      </c>
      <c r="AG24" t="s">
        <v>362</v>
      </c>
      <c r="AH24" s="154"/>
      <c r="AI24" s="151">
        <v>1</v>
      </c>
      <c r="AJ24" s="151"/>
      <c r="AK24"/>
      <c r="AL24" s="154"/>
      <c r="AM24" t="s">
        <v>1927</v>
      </c>
      <c r="AN24" s="154">
        <v>2.4753992667810996E-2</v>
      </c>
      <c r="AO24" s="154">
        <v>2.274818930890284E-5</v>
      </c>
    </row>
    <row r="25" spans="1:41">
      <c r="A25" s="155">
        <v>274</v>
      </c>
      <c r="B25" s="155">
        <v>274</v>
      </c>
      <c r="C25" t="s">
        <v>353</v>
      </c>
      <c r="D25" s="155">
        <v>76009030</v>
      </c>
      <c r="E25" t="s">
        <v>1218</v>
      </c>
      <c r="F25" s="151">
        <v>3.3719999999999999</v>
      </c>
      <c r="G25" s="151">
        <v>-129000</v>
      </c>
      <c r="H25" s="151">
        <v>-129</v>
      </c>
      <c r="I25" s="154">
        <v>-4.8018721340235956E-3</v>
      </c>
      <c r="J25" s="154">
        <v>-1.0568374763632359E-4</v>
      </c>
      <c r="K25" s="155">
        <v>760090300</v>
      </c>
      <c r="L25" t="s">
        <v>1222</v>
      </c>
      <c r="M25" s="151">
        <v>1</v>
      </c>
      <c r="N25" s="151">
        <v>129000</v>
      </c>
      <c r="O25" s="151">
        <v>409.65165000000002</v>
      </c>
      <c r="P25" s="154">
        <v>9.952808260780425E-5</v>
      </c>
      <c r="Q25" s="154">
        <v>-7.1070523138085998E-2</v>
      </c>
      <c r="R25" s="151">
        <v>-25.336349999999999</v>
      </c>
      <c r="S25" t="s">
        <v>61</v>
      </c>
      <c r="T25" t="s">
        <v>53</v>
      </c>
      <c r="U25" t="s">
        <v>72</v>
      </c>
      <c r="V25" t="s">
        <v>102</v>
      </c>
      <c r="W25" t="s">
        <v>691</v>
      </c>
      <c r="X25" t="s">
        <v>1929</v>
      </c>
      <c r="Y25" t="s">
        <v>62</v>
      </c>
      <c r="Z25" s="156">
        <v>44279</v>
      </c>
      <c r="AA25" s="156">
        <v>46661</v>
      </c>
      <c r="AB25" t="s">
        <v>362</v>
      </c>
      <c r="AC25" t="s">
        <v>363</v>
      </c>
      <c r="AD25" t="s">
        <v>339</v>
      </c>
      <c r="AE25" t="s">
        <v>341</v>
      </c>
      <c r="AF25" t="s">
        <v>362</v>
      </c>
      <c r="AG25" t="s">
        <v>362</v>
      </c>
      <c r="AH25" s="154"/>
      <c r="AI25" s="151">
        <v>3.2949999999999999</v>
      </c>
      <c r="AJ25" s="151"/>
      <c r="AK25"/>
      <c r="AL25" s="154"/>
      <c r="AM25" t="s">
        <v>1930</v>
      </c>
      <c r="AN25" s="154">
        <v>-6.6984358584457971E-3</v>
      </c>
      <c r="AO25" s="154">
        <v>-6.1556650285193311E-6</v>
      </c>
    </row>
    <row r="26" spans="1:41">
      <c r="A26" s="155">
        <v>274</v>
      </c>
      <c r="B26" s="155">
        <v>274</v>
      </c>
      <c r="C26" t="s">
        <v>351</v>
      </c>
      <c r="D26" s="155">
        <v>31010400</v>
      </c>
      <c r="E26" t="s">
        <v>1222</v>
      </c>
      <c r="F26" s="151">
        <v>1</v>
      </c>
      <c r="G26" s="151">
        <v>1250000</v>
      </c>
      <c r="H26" s="151">
        <v>1568.3220800000001</v>
      </c>
      <c r="I26" s="154">
        <v>5.8378930954464531E-2</v>
      </c>
      <c r="J26" s="154">
        <v>3.8103615482540691E-4</v>
      </c>
      <c r="K26" s="155">
        <v>310104000</v>
      </c>
      <c r="L26" t="s">
        <v>1222</v>
      </c>
      <c r="M26" s="151">
        <v>1</v>
      </c>
      <c r="N26" s="151">
        <v>-1250000</v>
      </c>
      <c r="O26" s="151">
        <v>-1626.854</v>
      </c>
      <c r="P26" s="154">
        <v>-3.9525694404706239E-4</v>
      </c>
      <c r="Q26" s="154">
        <v>0.28224313230347725</v>
      </c>
      <c r="R26" s="151">
        <v>-58.53192</v>
      </c>
      <c r="S26" t="s">
        <v>61</v>
      </c>
      <c r="T26" t="s">
        <v>53</v>
      </c>
      <c r="U26" t="s">
        <v>79</v>
      </c>
      <c r="V26" t="s">
        <v>102</v>
      </c>
      <c r="W26" t="s">
        <v>688</v>
      </c>
      <c r="X26" t="s">
        <v>1931</v>
      </c>
      <c r="Y26" t="s">
        <v>62</v>
      </c>
      <c r="Z26" s="156">
        <v>41934</v>
      </c>
      <c r="AA26" s="156">
        <v>47048</v>
      </c>
      <c r="AB26" t="s">
        <v>362</v>
      </c>
      <c r="AC26" t="s">
        <v>370</v>
      </c>
      <c r="AD26" t="s">
        <v>339</v>
      </c>
      <c r="AE26" t="s">
        <v>341</v>
      </c>
      <c r="AF26" t="s">
        <v>362</v>
      </c>
      <c r="AG26" t="s">
        <v>362</v>
      </c>
      <c r="AH26" s="154"/>
      <c r="AI26" s="151">
        <v>1</v>
      </c>
      <c r="AJ26" s="151"/>
      <c r="AK26"/>
      <c r="AL26" s="154"/>
      <c r="AM26" t="s">
        <v>1928</v>
      </c>
      <c r="AN26" s="154">
        <v>-1.547469591285567E-2</v>
      </c>
      <c r="AO26" s="154">
        <v>-1.4220789221655496E-5</v>
      </c>
    </row>
    <row r="27" spans="1:41">
      <c r="A27" s="155">
        <v>274</v>
      </c>
      <c r="B27" s="155">
        <v>274</v>
      </c>
      <c r="C27" t="s">
        <v>351</v>
      </c>
      <c r="D27" s="155">
        <v>31028202</v>
      </c>
      <c r="E27" t="s">
        <v>1218</v>
      </c>
      <c r="F27" s="151">
        <v>3.3719999999999999</v>
      </c>
      <c r="G27" s="151">
        <v>-359000</v>
      </c>
      <c r="H27" s="151">
        <v>-348.78494000000001</v>
      </c>
      <c r="I27" s="154">
        <v>-1.2983106078706137E-2</v>
      </c>
      <c r="J27" s="154">
        <v>-2.8574340758380051E-4</v>
      </c>
      <c r="K27" s="155">
        <v>31028201</v>
      </c>
      <c r="L27" t="s">
        <v>1222</v>
      </c>
      <c r="M27" s="151">
        <v>1</v>
      </c>
      <c r="N27" s="151">
        <v>1284502</v>
      </c>
      <c r="O27" s="151">
        <v>1261.4956099999999</v>
      </c>
      <c r="P27" s="154">
        <v>3.0649025649344365E-4</v>
      </c>
      <c r="Q27" s="154">
        <v>-0.2188570531550377</v>
      </c>
      <c r="R27" s="151">
        <v>85.392780000000002</v>
      </c>
      <c r="S27" t="s">
        <v>61</v>
      </c>
      <c r="T27" t="s">
        <v>314</v>
      </c>
      <c r="U27" t="s">
        <v>72</v>
      </c>
      <c r="V27" t="s">
        <v>102</v>
      </c>
      <c r="W27" t="s">
        <v>691</v>
      </c>
      <c r="X27" t="s">
        <v>1929</v>
      </c>
      <c r="Y27" t="s">
        <v>62</v>
      </c>
      <c r="Z27" s="156">
        <v>43924</v>
      </c>
      <c r="AA27" s="156">
        <v>47667</v>
      </c>
      <c r="AB27" t="s">
        <v>362</v>
      </c>
      <c r="AC27" t="s">
        <v>370</v>
      </c>
      <c r="AD27" t="s">
        <v>339</v>
      </c>
      <c r="AE27" t="s">
        <v>341</v>
      </c>
      <c r="AF27" t="s">
        <v>362</v>
      </c>
      <c r="AG27" t="s">
        <v>362</v>
      </c>
      <c r="AH27" s="154"/>
      <c r="AI27" s="151">
        <v>3.6360000000000001</v>
      </c>
      <c r="AJ27" s="151"/>
      <c r="AK27"/>
      <c r="AL27" s="154"/>
      <c r="AM27" t="s">
        <v>1925</v>
      </c>
      <c r="AN27" s="154">
        <v>2.2576182425817971E-2</v>
      </c>
      <c r="AO27" s="154">
        <v>2.0746845916402522E-5</v>
      </c>
    </row>
    <row r="28" spans="1:41">
      <c r="C28" s="9"/>
      <c r="E28" s="9"/>
      <c r="T28" s="16"/>
    </row>
    <row r="29" spans="1:41">
      <c r="C29" s="9"/>
      <c r="E29" s="9"/>
      <c r="T29" s="16"/>
    </row>
    <row r="30" spans="1:41">
      <c r="C30" s="9"/>
      <c r="E30" s="9"/>
      <c r="T30" s="16"/>
    </row>
    <row r="31" spans="1:41">
      <c r="C31" s="9"/>
      <c r="T31" s="16"/>
    </row>
    <row r="32" spans="1:41">
      <c r="C32" s="9"/>
      <c r="T32" s="16"/>
    </row>
  </sheetData>
  <dataValidations count="14">
    <dataValidation type="list" allowBlank="1" showInputMessage="1" showErrorMessage="1" sqref="U2:U32" xr:uid="{00000000-0002-0000-1600-000000000000}">
      <formula1>Underlying_Asset</formula1>
    </dataValidation>
    <dataValidation type="list" allowBlank="1" showInputMessage="1" showErrorMessage="1" sqref="AB2:AB1048576 AG2:AG1048576" xr:uid="{00000000-0002-0000-1600-000001000000}">
      <formula1>Reset_frequency</formula1>
    </dataValidation>
    <dataValidation type="list" allowBlank="1" showInputMessage="1" showErrorMessage="1" sqref="S2:S23" xr:uid="{00000000-0002-0000-1600-000002000000}">
      <formula1>israel_abroad</formula1>
    </dataValidation>
    <dataValidation type="list" allowBlank="1" showInputMessage="1" showErrorMessage="1" sqref="AL19:AL1048576 Y2:Y32 AD2:AD1048576" xr:uid="{00000000-0002-0000-1600-000003000000}">
      <formula1>Holding_interest</formula1>
    </dataValidation>
    <dataValidation type="list" allowBlank="1" showInputMessage="1" showErrorMessage="1" sqref="AC2:AC32" xr:uid="{00000000-0002-0000-1600-000004000000}">
      <formula1>Delivery</formula1>
    </dataValidation>
    <dataValidation type="list" allowBlank="1" showInputMessage="1" showErrorMessage="1" sqref="E21:E30" xr:uid="{00000000-0002-0000-1600-000005000000}">
      <formula1>Currency_Abbreviation</formula1>
    </dataValidation>
    <dataValidation type="list" allowBlank="1" showInputMessage="1" showErrorMessage="1" sqref="T2:T32" xr:uid="{00000000-0002-0000-1600-000007000000}">
      <formula1>Country_list</formula1>
    </dataValidation>
    <dataValidation type="list" allowBlank="1" showInputMessage="1" showErrorMessage="1" sqref="AF20:AF24" xr:uid="{00000000-0002-0000-1600-00000A000000}">
      <formula1>Underlying_Interest_Rates_Der</formula1>
    </dataValidation>
    <dataValidation type="list" allowBlank="1" showInputMessage="1" showErrorMessage="1" sqref="C20:C32 AE3:AE24" xr:uid="{00000000-0002-0000-1600-00000D000000}">
      <formula1>#REF!</formula1>
    </dataValidation>
    <dataValidation type="list" allowBlank="1" showInputMessage="1" showErrorMessage="1" sqref="V2:V19" xr:uid="{00000000-0002-0000-1600-000006000000}">
      <formula1>Leading_factor</formula1>
    </dataValidation>
    <dataValidation type="list" allowBlank="1" showInputMessage="1" showErrorMessage="1" sqref="W2:W19" xr:uid="{00000000-0002-0000-1600-000008000000}">
      <formula1>Additional_Factor</formula1>
    </dataValidation>
    <dataValidation allowBlank="1" showInputMessage="1" showErrorMessage="1" sqref="D2:D18 I2:K18 P2:R18 M2:N18 Z2:Z18" xr:uid="{00000000-0002-0000-1600-000009000000}"/>
    <dataValidation type="list" allowBlank="1" showInputMessage="1" showErrorMessage="1" sqref="AF2:AF19" xr:uid="{00000000-0002-0000-1600-00000B000000}">
      <formula1>Underlying_Interest_Rates</formula1>
    </dataValidation>
    <dataValidation type="list" allowBlank="1" showInputMessage="1" showErrorMessage="1" sqref="AK2:AK19" xr:uid="{00000000-0002-0000-1600-00000C000000}">
      <formula1>Penalty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C2:C19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5"/>
  <sheetViews>
    <sheetView rightToLeft="1" workbookViewId="0">
      <selection activeCell="A2" sqref="A2"/>
    </sheetView>
  </sheetViews>
  <sheetFormatPr defaultColWidth="0" defaultRowHeight="14.25"/>
  <cols>
    <col min="1" max="2" width="10.625" style="2" bestFit="1" customWidth="1"/>
    <col min="3" max="3" width="10.75" style="2" bestFit="1" customWidth="1"/>
    <col min="4" max="4" width="12.125" style="2" bestFit="1" customWidth="1"/>
    <col min="5" max="5" width="49.625" style="2" bestFit="1" customWidth="1"/>
    <col min="6" max="6" width="11.375" style="2" bestFit="1" customWidth="1"/>
    <col min="7" max="7" width="11" style="2" bestFit="1" customWidth="1"/>
    <col min="8" max="8" width="17.75" style="2" bestFit="1" customWidth="1"/>
    <col min="9" max="9" width="10" style="2" bestFit="1" customWidth="1"/>
    <col min="10" max="10" width="9.25" style="2" bestFit="1" customWidth="1"/>
    <col min="11" max="11" width="8.875" style="2" bestFit="1" customWidth="1"/>
    <col min="12" max="12" width="11" style="2" bestFit="1" customWidth="1"/>
    <col min="13" max="14" width="10.625" style="2" bestFit="1" customWidth="1"/>
    <col min="15" max="15" width="10.75" style="2" bestFit="1" customWidth="1"/>
    <col min="16" max="16" width="6" style="2" bestFit="1" customWidth="1"/>
    <col min="17" max="17" width="13.375" style="2" bestFit="1" customWidth="1"/>
    <col min="18" max="18" width="11.125" style="2" bestFit="1" customWidth="1"/>
    <col min="19" max="19" width="11.25" style="2" bestFit="1" customWidth="1"/>
    <col min="20" max="20" width="6.375" style="2" bestFit="1" customWidth="1"/>
    <col min="21" max="21" width="9.75" style="2" bestFit="1" customWidth="1"/>
    <col min="22" max="22" width="10.625" style="2" bestFit="1" customWidth="1"/>
    <col min="23" max="23" width="22" style="2" bestFit="1" customWidth="1"/>
    <col min="24" max="24" width="9" style="2" bestFit="1" customWidth="1"/>
    <col min="25" max="25" width="10.375" style="2" bestFit="1" customWidth="1"/>
    <col min="26" max="26" width="7.125" style="2" bestFit="1" customWidth="1"/>
    <col min="27" max="27" width="10.75" style="2" bestFit="1" customWidth="1"/>
    <col min="28" max="28" width="11.75" style="4" bestFit="1" customWidth="1"/>
    <col min="29" max="29" width="9.125" style="2" bestFit="1" customWidth="1"/>
    <col min="30" max="30" width="11.625" style="2" customWidth="1"/>
    <col min="31" max="31" width="8.375" style="2" bestFit="1" customWidth="1"/>
    <col min="32" max="32" width="10.625" style="2" bestFit="1" customWidth="1"/>
    <col min="33" max="33" width="9" style="2" bestFit="1" customWidth="1"/>
    <col min="34" max="34" width="8.75" style="2" bestFit="1" customWidth="1"/>
    <col min="35" max="35" width="18.125" style="2" bestFit="1" customWidth="1"/>
    <col min="36" max="36" width="10.375" style="2" bestFit="1" customWidth="1"/>
    <col min="37" max="37" width="10" style="2" bestFit="1" customWidth="1"/>
    <col min="38" max="38" width="13.75" style="2" bestFit="1" customWidth="1"/>
    <col min="39" max="39" width="7.875" style="2" bestFit="1" customWidth="1"/>
    <col min="40" max="40" width="11" style="2" bestFit="1" customWidth="1"/>
    <col min="41" max="41" width="11.625" style="2" customWidth="1"/>
    <col min="42" max="42" width="11.125" style="2" bestFit="1" customWidth="1"/>
    <col min="43" max="43" width="13.75" style="2" bestFit="1" customWidth="1"/>
    <col min="44" max="44" width="10.375" style="2" bestFit="1" customWidth="1"/>
    <col min="45" max="45" width="9.875" style="2" bestFit="1" customWidth="1"/>
    <col min="46" max="46" width="10.875" style="2" bestFit="1" customWidth="1"/>
    <col min="47" max="47" width="10" style="2" bestFit="1" customWidth="1"/>
    <col min="48" max="48" width="10.875" style="2" bestFit="1" customWidth="1"/>
    <col min="49" max="49" width="8.125" style="2" bestFit="1" customWidth="1"/>
    <col min="50" max="50" width="10.125" style="4" bestFit="1" customWidth="1"/>
    <col min="51" max="51" width="10.125" style="2" bestFit="1" customWidth="1"/>
    <col min="52" max="52" width="11.125" style="2" bestFit="1" customWidth="1"/>
    <col min="53" max="53" width="10" style="2" bestFit="1" customWidth="1"/>
    <col min="54" max="16384" width="9" style="2" hidden="1"/>
  </cols>
  <sheetData>
    <row r="1" spans="1:53" ht="51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1</v>
      </c>
      <c r="H1" s="17" t="s">
        <v>916</v>
      </c>
      <c r="I1" s="17" t="s">
        <v>604</v>
      </c>
      <c r="J1" s="17" t="s">
        <v>605</v>
      </c>
      <c r="K1" s="17" t="s">
        <v>9</v>
      </c>
      <c r="L1" s="17" t="s">
        <v>606</v>
      </c>
      <c r="M1" s="17" t="s">
        <v>297</v>
      </c>
      <c r="N1" s="17" t="s">
        <v>592</v>
      </c>
      <c r="O1" s="17" t="s">
        <v>732</v>
      </c>
      <c r="P1" s="17" t="s">
        <v>6</v>
      </c>
      <c r="Q1" s="17" t="s">
        <v>8</v>
      </c>
      <c r="R1" s="17" t="s">
        <v>1148</v>
      </c>
      <c r="S1" s="17" t="s">
        <v>396</v>
      </c>
      <c r="T1" s="17" t="s">
        <v>13</v>
      </c>
      <c r="U1" s="17" t="s">
        <v>440</v>
      </c>
      <c r="V1" s="17" t="s">
        <v>14</v>
      </c>
      <c r="W1" s="17" t="s">
        <v>282</v>
      </c>
      <c r="X1" s="17" t="s">
        <v>309</v>
      </c>
      <c r="Y1" s="17" t="s">
        <v>673</v>
      </c>
      <c r="Z1" s="17" t="s">
        <v>621</v>
      </c>
      <c r="AA1" s="17" t="s">
        <v>421</v>
      </c>
      <c r="AB1" s="17" t="s">
        <v>925</v>
      </c>
      <c r="AC1" s="17" t="s">
        <v>20</v>
      </c>
      <c r="AD1" s="150" t="s">
        <v>768</v>
      </c>
      <c r="AE1" s="159" t="s">
        <v>658</v>
      </c>
      <c r="AF1" s="158" t="s">
        <v>659</v>
      </c>
      <c r="AG1" s="17" t="s">
        <v>850</v>
      </c>
      <c r="AH1" s="17" t="s">
        <v>420</v>
      </c>
      <c r="AI1" s="17" t="s">
        <v>21</v>
      </c>
      <c r="AJ1" s="17" t="s">
        <v>674</v>
      </c>
      <c r="AK1" s="17" t="s">
        <v>917</v>
      </c>
      <c r="AL1" s="17" t="s">
        <v>731</v>
      </c>
      <c r="AM1" s="17" t="s">
        <v>372</v>
      </c>
      <c r="AN1" s="17" t="s">
        <v>16</v>
      </c>
      <c r="AO1" s="158" t="s">
        <v>1147</v>
      </c>
      <c r="AP1" s="17" t="s">
        <v>622</v>
      </c>
      <c r="AQ1" s="17" t="s">
        <v>948</v>
      </c>
      <c r="AR1" s="17" t="s">
        <v>729</v>
      </c>
      <c r="AS1" s="17" t="s">
        <v>11</v>
      </c>
      <c r="AT1" s="17" t="s">
        <v>1153</v>
      </c>
      <c r="AU1" s="17" t="s">
        <v>787</v>
      </c>
      <c r="AV1" s="150" t="s">
        <v>1154</v>
      </c>
      <c r="AW1" s="150" t="s">
        <v>788</v>
      </c>
      <c r="AX1" s="17" t="s">
        <v>669</v>
      </c>
      <c r="AY1" s="17" t="s">
        <v>26</v>
      </c>
      <c r="AZ1" s="17" t="s">
        <v>19</v>
      </c>
      <c r="BA1" s="17" t="s">
        <v>30</v>
      </c>
    </row>
    <row r="2" spans="1:53">
      <c r="A2" s="155">
        <v>274</v>
      </c>
      <c r="B2" s="155">
        <v>274</v>
      </c>
      <c r="C2" s="155"/>
      <c r="D2"/>
      <c r="E2"/>
      <c r="F2" s="155">
        <v>24554</v>
      </c>
      <c r="G2" t="s">
        <v>245</v>
      </c>
      <c r="H2" t="s">
        <v>1184</v>
      </c>
      <c r="I2" t="s">
        <v>53</v>
      </c>
      <c r="J2"/>
      <c r="K2" t="s">
        <v>163</v>
      </c>
      <c r="L2" t="s">
        <v>62</v>
      </c>
      <c r="M2" t="s">
        <v>55</v>
      </c>
      <c r="N2" s="155"/>
      <c r="O2" s="156">
        <v>40570</v>
      </c>
      <c r="P2" t="s">
        <v>1290</v>
      </c>
      <c r="Q2" t="s">
        <v>65</v>
      </c>
      <c r="R2" t="s">
        <v>779</v>
      </c>
      <c r="S2" t="s">
        <v>1222</v>
      </c>
      <c r="T2" s="151">
        <v>3.07</v>
      </c>
      <c r="U2" t="s">
        <v>1932</v>
      </c>
      <c r="V2" s="154">
        <v>5.5E-2</v>
      </c>
      <c r="W2"/>
      <c r="X2"/>
      <c r="Y2" s="154"/>
      <c r="Z2" s="154">
        <v>2.9700000000000001E-2</v>
      </c>
      <c r="AA2" s="156">
        <v>47986</v>
      </c>
      <c r="AB2" t="s">
        <v>620</v>
      </c>
      <c r="AC2"/>
      <c r="AD2" s="151"/>
      <c r="AE2" s="154"/>
      <c r="AF2" s="156"/>
      <c r="AG2"/>
      <c r="AH2"/>
      <c r="AI2"/>
      <c r="AJ2" t="s">
        <v>55</v>
      </c>
      <c r="AK2" t="s">
        <v>775</v>
      </c>
      <c r="AL2"/>
      <c r="AM2" t="s">
        <v>305</v>
      </c>
      <c r="AN2" s="156">
        <v>45838</v>
      </c>
      <c r="AO2" s="156"/>
      <c r="AP2" s="154"/>
      <c r="AQ2" s="151">
        <v>1084485.76</v>
      </c>
      <c r="AR2" s="151">
        <v>132.28</v>
      </c>
      <c r="AS2" s="151">
        <v>1</v>
      </c>
      <c r="AT2" s="151">
        <v>1434.5577599999999</v>
      </c>
      <c r="AU2" s="151">
        <v>1434.5577599999999</v>
      </c>
      <c r="AV2" s="151"/>
      <c r="AW2" s="151"/>
      <c r="AX2"/>
      <c r="AY2"/>
      <c r="AZ2" s="154">
        <v>7.8226000000000004E-2</v>
      </c>
      <c r="BA2" s="154">
        <v>3.48E-4</v>
      </c>
    </row>
    <row r="3" spans="1:53">
      <c r="A3" s="155">
        <v>274</v>
      </c>
      <c r="B3" s="155">
        <v>274</v>
      </c>
      <c r="C3" s="155"/>
      <c r="D3"/>
      <c r="E3"/>
      <c r="F3" s="155">
        <v>8070146</v>
      </c>
      <c r="G3" t="s">
        <v>245</v>
      </c>
      <c r="H3" t="s">
        <v>1184</v>
      </c>
      <c r="I3" t="s">
        <v>53</v>
      </c>
      <c r="J3"/>
      <c r="K3" t="s">
        <v>163</v>
      </c>
      <c r="L3" t="s">
        <v>62</v>
      </c>
      <c r="M3" t="s">
        <v>55</v>
      </c>
      <c r="N3" s="155"/>
      <c r="O3" s="156">
        <v>38258</v>
      </c>
      <c r="P3" t="s">
        <v>1296</v>
      </c>
      <c r="Q3" t="s">
        <v>70</v>
      </c>
      <c r="R3" t="s">
        <v>779</v>
      </c>
      <c r="S3" t="s">
        <v>1222</v>
      </c>
      <c r="T3" s="151">
        <v>1.23</v>
      </c>
      <c r="U3" t="s">
        <v>1932</v>
      </c>
      <c r="V3" s="154">
        <v>5.1694999999999998E-2</v>
      </c>
      <c r="W3"/>
      <c r="X3"/>
      <c r="Y3" s="154"/>
      <c r="Z3" s="154">
        <v>2.5999999999999999E-2</v>
      </c>
      <c r="AA3" s="156">
        <v>46568</v>
      </c>
      <c r="AB3" t="s">
        <v>620</v>
      </c>
      <c r="AC3"/>
      <c r="AD3" s="153"/>
      <c r="AE3" s="154"/>
      <c r="AF3" s="156"/>
      <c r="AG3"/>
      <c r="AH3"/>
      <c r="AI3"/>
      <c r="AJ3" t="s">
        <v>55</v>
      </c>
      <c r="AK3" t="s">
        <v>775</v>
      </c>
      <c r="AL3"/>
      <c r="AM3" t="s">
        <v>305</v>
      </c>
      <c r="AN3" s="156">
        <v>45838</v>
      </c>
      <c r="AO3" s="156"/>
      <c r="AP3" s="154"/>
      <c r="AQ3" s="151">
        <v>99659.73</v>
      </c>
      <c r="AR3" s="151">
        <v>147.72999999999999</v>
      </c>
      <c r="AS3" s="151">
        <v>1</v>
      </c>
      <c r="AT3" s="151">
        <v>147.22731999999999</v>
      </c>
      <c r="AU3" s="151">
        <v>147.22731999999999</v>
      </c>
      <c r="AV3" s="153"/>
      <c r="AW3" s="153"/>
      <c r="AX3"/>
      <c r="AY3"/>
      <c r="AZ3" s="154">
        <v>8.0280000000000004E-3</v>
      </c>
      <c r="BA3" s="154">
        <v>3.4999999999999997E-5</v>
      </c>
    </row>
    <row r="4" spans="1:53">
      <c r="A4" s="155">
        <v>274</v>
      </c>
      <c r="B4" s="155">
        <v>274</v>
      </c>
      <c r="C4" s="155"/>
      <c r="D4"/>
      <c r="E4"/>
      <c r="F4" s="155">
        <v>63883</v>
      </c>
      <c r="G4" t="s">
        <v>245</v>
      </c>
      <c r="H4" t="s">
        <v>1184</v>
      </c>
      <c r="I4" t="s">
        <v>53</v>
      </c>
      <c r="J4"/>
      <c r="K4" t="s">
        <v>140</v>
      </c>
      <c r="L4" t="s">
        <v>62</v>
      </c>
      <c r="M4" t="s">
        <v>55</v>
      </c>
      <c r="N4" s="155"/>
      <c r="O4" s="156">
        <v>42942</v>
      </c>
      <c r="P4" t="s">
        <v>1919</v>
      </c>
      <c r="Q4" t="s">
        <v>65</v>
      </c>
      <c r="R4" t="s">
        <v>779</v>
      </c>
      <c r="S4" t="s">
        <v>1222</v>
      </c>
      <c r="T4" s="151">
        <v>5.47</v>
      </c>
      <c r="U4" t="s">
        <v>1932</v>
      </c>
      <c r="V4" s="154">
        <v>3.4099999999999998E-2</v>
      </c>
      <c r="W4"/>
      <c r="X4"/>
      <c r="Y4" s="154"/>
      <c r="Z4" s="154">
        <v>3.0700000000000002E-2</v>
      </c>
      <c r="AA4" s="156">
        <v>50040</v>
      </c>
      <c r="AB4" t="s">
        <v>620</v>
      </c>
      <c r="AC4"/>
      <c r="AD4" s="153"/>
      <c r="AE4" s="154"/>
      <c r="AF4" s="156"/>
      <c r="AG4"/>
      <c r="AH4"/>
      <c r="AI4"/>
      <c r="AJ4" t="s">
        <v>55</v>
      </c>
      <c r="AK4" t="s">
        <v>775</v>
      </c>
      <c r="AL4"/>
      <c r="AM4" t="s">
        <v>305</v>
      </c>
      <c r="AN4" s="156">
        <v>45838</v>
      </c>
      <c r="AO4" s="156"/>
      <c r="AP4" s="154"/>
      <c r="AQ4" s="151">
        <v>3271795.13</v>
      </c>
      <c r="AR4" s="151">
        <v>120.26</v>
      </c>
      <c r="AS4" s="151">
        <v>1</v>
      </c>
      <c r="AT4" s="151">
        <v>3934.6608200000001</v>
      </c>
      <c r="AU4" s="151">
        <v>3934.6608200000001</v>
      </c>
      <c r="AV4" s="153"/>
      <c r="AW4" s="153"/>
      <c r="AX4"/>
      <c r="AY4"/>
      <c r="AZ4" s="154">
        <v>0.214557</v>
      </c>
      <c r="BA4" s="154">
        <v>9.5500000000000001E-4</v>
      </c>
    </row>
    <row r="5" spans="1:53">
      <c r="A5" s="155">
        <v>274</v>
      </c>
      <c r="B5" s="155">
        <v>274</v>
      </c>
      <c r="C5" s="155"/>
      <c r="D5"/>
      <c r="E5"/>
      <c r="F5" s="155">
        <v>8070153</v>
      </c>
      <c r="G5" t="s">
        <v>245</v>
      </c>
      <c r="H5" t="s">
        <v>1184</v>
      </c>
      <c r="I5" t="s">
        <v>53</v>
      </c>
      <c r="J5"/>
      <c r="K5" t="s">
        <v>163</v>
      </c>
      <c r="L5" t="s">
        <v>62</v>
      </c>
      <c r="M5" t="s">
        <v>55</v>
      </c>
      <c r="N5" s="155"/>
      <c r="O5" s="156">
        <v>38258</v>
      </c>
      <c r="P5" t="s">
        <v>1296</v>
      </c>
      <c r="Q5" t="s">
        <v>70</v>
      </c>
      <c r="R5" t="s">
        <v>779</v>
      </c>
      <c r="S5" t="s">
        <v>1222</v>
      </c>
      <c r="T5" s="151">
        <v>1.23</v>
      </c>
      <c r="U5" t="s">
        <v>1932</v>
      </c>
      <c r="V5" s="154">
        <v>5.1694999999999998E-2</v>
      </c>
      <c r="W5"/>
      <c r="X5"/>
      <c r="Y5" s="154"/>
      <c r="Z5" s="154">
        <v>2.5999999999999999E-2</v>
      </c>
      <c r="AA5" s="156">
        <v>46568</v>
      </c>
      <c r="AB5" t="s">
        <v>620</v>
      </c>
      <c r="AC5"/>
      <c r="AD5" s="153"/>
      <c r="AE5" s="154"/>
      <c r="AF5" s="156"/>
      <c r="AG5"/>
      <c r="AH5"/>
      <c r="AI5"/>
      <c r="AJ5" t="s">
        <v>55</v>
      </c>
      <c r="AK5" t="s">
        <v>775</v>
      </c>
      <c r="AL5"/>
      <c r="AM5" t="s">
        <v>305</v>
      </c>
      <c r="AN5" s="156">
        <v>45838</v>
      </c>
      <c r="AO5" s="156"/>
      <c r="AP5" s="154"/>
      <c r="AQ5" s="151">
        <v>87808.06</v>
      </c>
      <c r="AR5" s="151">
        <v>147.28</v>
      </c>
      <c r="AS5" s="151">
        <v>1</v>
      </c>
      <c r="AT5" s="151">
        <v>129.32371000000001</v>
      </c>
      <c r="AU5" s="151">
        <v>129.32371000000001</v>
      </c>
      <c r="AV5" s="153"/>
      <c r="AW5" s="153"/>
      <c r="AX5"/>
      <c r="AY5"/>
      <c r="AZ5" s="154">
        <v>7.0520000000000001E-3</v>
      </c>
      <c r="BA5" s="154">
        <v>3.1000000000000001E-5</v>
      </c>
    </row>
    <row r="6" spans="1:53">
      <c r="A6" s="155">
        <v>274</v>
      </c>
      <c r="B6" s="155">
        <v>274</v>
      </c>
      <c r="C6" s="155"/>
      <c r="D6"/>
      <c r="E6"/>
      <c r="F6" s="155">
        <v>63289</v>
      </c>
      <c r="G6" t="s">
        <v>245</v>
      </c>
      <c r="H6" t="s">
        <v>1184</v>
      </c>
      <c r="I6" t="s">
        <v>53</v>
      </c>
      <c r="J6"/>
      <c r="K6" t="s">
        <v>140</v>
      </c>
      <c r="L6" t="s">
        <v>62</v>
      </c>
      <c r="M6" t="s">
        <v>55</v>
      </c>
      <c r="N6" s="155"/>
      <c r="O6" s="156">
        <v>43067</v>
      </c>
      <c r="P6" t="s">
        <v>1919</v>
      </c>
      <c r="Q6" t="s">
        <v>65</v>
      </c>
      <c r="R6" t="s">
        <v>779</v>
      </c>
      <c r="S6" t="s">
        <v>1222</v>
      </c>
      <c r="T6" s="151">
        <v>5.44</v>
      </c>
      <c r="U6" t="s">
        <v>1932</v>
      </c>
      <c r="V6" s="154">
        <v>3.3099999999999997E-2</v>
      </c>
      <c r="W6"/>
      <c r="X6"/>
      <c r="Y6" s="154"/>
      <c r="Z6" s="154">
        <v>3.3500000000000002E-2</v>
      </c>
      <c r="AA6" s="156">
        <v>50040</v>
      </c>
      <c r="AB6" t="s">
        <v>620</v>
      </c>
      <c r="AC6"/>
      <c r="AD6" s="153"/>
      <c r="AE6" s="154"/>
      <c r="AF6" s="156"/>
      <c r="AG6"/>
      <c r="AH6"/>
      <c r="AI6"/>
      <c r="AJ6" t="s">
        <v>55</v>
      </c>
      <c r="AK6" t="s">
        <v>775</v>
      </c>
      <c r="AL6"/>
      <c r="AM6" t="s">
        <v>305</v>
      </c>
      <c r="AN6" s="156">
        <v>45838</v>
      </c>
      <c r="AO6" s="156"/>
      <c r="AP6" s="154"/>
      <c r="AQ6" s="151">
        <v>134064.6</v>
      </c>
      <c r="AR6" s="151">
        <v>117.75</v>
      </c>
      <c r="AS6" s="151">
        <v>1</v>
      </c>
      <c r="AT6" s="151">
        <v>157.86107000000001</v>
      </c>
      <c r="AU6" s="151">
        <v>157.86107000000001</v>
      </c>
      <c r="AV6" s="153"/>
      <c r="AW6" s="153"/>
      <c r="AX6"/>
      <c r="AY6"/>
      <c r="AZ6" s="154">
        <v>8.6079999999999993E-3</v>
      </c>
      <c r="BA6" s="154">
        <v>3.8000000000000002E-5</v>
      </c>
    </row>
    <row r="7" spans="1:53">
      <c r="A7" s="155">
        <v>274</v>
      </c>
      <c r="B7" s="155">
        <v>274</v>
      </c>
      <c r="C7" s="155"/>
      <c r="D7"/>
      <c r="E7"/>
      <c r="F7" s="155">
        <v>8070161</v>
      </c>
      <c r="G7" t="s">
        <v>245</v>
      </c>
      <c r="H7" t="s">
        <v>1184</v>
      </c>
      <c r="I7" t="s">
        <v>53</v>
      </c>
      <c r="J7"/>
      <c r="K7" t="s">
        <v>163</v>
      </c>
      <c r="L7" t="s">
        <v>62</v>
      </c>
      <c r="M7" t="s">
        <v>55</v>
      </c>
      <c r="N7" s="155"/>
      <c r="O7" s="156">
        <v>38258</v>
      </c>
      <c r="P7" t="s">
        <v>1296</v>
      </c>
      <c r="Q7" t="s">
        <v>70</v>
      </c>
      <c r="R7" t="s">
        <v>779</v>
      </c>
      <c r="S7" t="s">
        <v>1222</v>
      </c>
      <c r="T7" s="151">
        <v>1.23</v>
      </c>
      <c r="U7" t="s">
        <v>1932</v>
      </c>
      <c r="V7" s="154">
        <v>5.1694999999999998E-2</v>
      </c>
      <c r="W7"/>
      <c r="X7"/>
      <c r="Y7" s="154"/>
      <c r="Z7" s="154">
        <v>2.6100000000000002E-2</v>
      </c>
      <c r="AA7" s="156">
        <v>46568</v>
      </c>
      <c r="AB7" t="s">
        <v>620</v>
      </c>
      <c r="AC7"/>
      <c r="AD7" s="153"/>
      <c r="AE7" s="154"/>
      <c r="AF7" s="156"/>
      <c r="AG7"/>
      <c r="AH7"/>
      <c r="AI7"/>
      <c r="AJ7" t="s">
        <v>55</v>
      </c>
      <c r="AK7" t="s">
        <v>775</v>
      </c>
      <c r="AL7"/>
      <c r="AM7" t="s">
        <v>305</v>
      </c>
      <c r="AN7" s="156">
        <v>45838</v>
      </c>
      <c r="AO7" s="156"/>
      <c r="AP7" s="154"/>
      <c r="AQ7" s="151">
        <v>91035.26</v>
      </c>
      <c r="AR7" s="151">
        <v>148</v>
      </c>
      <c r="AS7" s="151">
        <v>1</v>
      </c>
      <c r="AT7" s="151">
        <v>134.73218</v>
      </c>
      <c r="AU7" s="151">
        <v>134.73218</v>
      </c>
      <c r="AV7" s="153"/>
      <c r="AW7" s="153"/>
      <c r="AX7"/>
      <c r="AY7"/>
      <c r="AZ7" s="154">
        <v>7.3460000000000001E-3</v>
      </c>
      <c r="BA7" s="154">
        <v>3.1999999999999999E-5</v>
      </c>
    </row>
    <row r="8" spans="1:53">
      <c r="A8" s="155">
        <v>274</v>
      </c>
      <c r="B8" s="155">
        <v>274</v>
      </c>
      <c r="C8" s="155"/>
      <c r="D8"/>
      <c r="E8"/>
      <c r="F8" s="155">
        <v>6205</v>
      </c>
      <c r="G8" t="s">
        <v>245</v>
      </c>
      <c r="H8" t="s">
        <v>1184</v>
      </c>
      <c r="I8" t="s">
        <v>53</v>
      </c>
      <c r="J8"/>
      <c r="K8" t="s">
        <v>163</v>
      </c>
      <c r="L8" t="s">
        <v>62</v>
      </c>
      <c r="M8" t="s">
        <v>55</v>
      </c>
      <c r="N8" s="155"/>
      <c r="O8" s="156">
        <v>39922</v>
      </c>
      <c r="P8" t="s">
        <v>1910</v>
      </c>
      <c r="Q8" t="s">
        <v>65</v>
      </c>
      <c r="R8" t="s">
        <v>779</v>
      </c>
      <c r="S8" t="s">
        <v>1222</v>
      </c>
      <c r="T8" s="151">
        <v>2.61</v>
      </c>
      <c r="U8" t="s">
        <v>1932</v>
      </c>
      <c r="V8" s="154">
        <v>4.2700000000000002E-2</v>
      </c>
      <c r="W8"/>
      <c r="X8"/>
      <c r="Y8" s="154"/>
      <c r="Z8" s="154">
        <v>4.3299999999999998E-2</v>
      </c>
      <c r="AA8" s="156">
        <v>47762</v>
      </c>
      <c r="AB8" t="s">
        <v>620</v>
      </c>
      <c r="AC8"/>
      <c r="AD8" s="153"/>
      <c r="AE8" s="154"/>
      <c r="AF8" s="156"/>
      <c r="AG8"/>
      <c r="AH8"/>
      <c r="AI8"/>
      <c r="AJ8" t="s">
        <v>55</v>
      </c>
      <c r="AK8" t="s">
        <v>775</v>
      </c>
      <c r="AL8"/>
      <c r="AM8" t="s">
        <v>305</v>
      </c>
      <c r="AN8" s="156">
        <v>45838</v>
      </c>
      <c r="AO8" s="156"/>
      <c r="AP8" s="154"/>
      <c r="AQ8" s="151">
        <v>2613946.41</v>
      </c>
      <c r="AR8" s="151">
        <v>135.80000000000001</v>
      </c>
      <c r="AS8" s="151">
        <v>1</v>
      </c>
      <c r="AT8" s="151">
        <v>3549.7392199999999</v>
      </c>
      <c r="AU8" s="151">
        <v>3549.7392199999999</v>
      </c>
      <c r="AV8" s="153"/>
      <c r="AW8" s="153"/>
      <c r="AX8"/>
      <c r="AY8"/>
      <c r="AZ8" s="154">
        <v>0.19356699999999999</v>
      </c>
      <c r="BA8" s="154">
        <v>8.6200000000000003E-4</v>
      </c>
    </row>
    <row r="9" spans="1:53">
      <c r="A9" s="155">
        <v>274</v>
      </c>
      <c r="B9" s="155">
        <v>274</v>
      </c>
      <c r="C9" s="155"/>
      <c r="D9"/>
      <c r="E9"/>
      <c r="F9" s="155">
        <v>8070179</v>
      </c>
      <c r="G9" t="s">
        <v>245</v>
      </c>
      <c r="H9" t="s">
        <v>1184</v>
      </c>
      <c r="I9" t="s">
        <v>53</v>
      </c>
      <c r="J9"/>
      <c r="K9" t="s">
        <v>163</v>
      </c>
      <c r="L9" t="s">
        <v>62</v>
      </c>
      <c r="M9" t="s">
        <v>55</v>
      </c>
      <c r="N9" s="155"/>
      <c r="O9" s="156">
        <v>38258</v>
      </c>
      <c r="P9" t="s">
        <v>1296</v>
      </c>
      <c r="Q9" t="s">
        <v>70</v>
      </c>
      <c r="R9" t="s">
        <v>779</v>
      </c>
      <c r="S9" t="s">
        <v>1222</v>
      </c>
      <c r="T9" s="151">
        <v>1.23</v>
      </c>
      <c r="U9" t="s">
        <v>1932</v>
      </c>
      <c r="V9" s="154">
        <v>5.1694999999999998E-2</v>
      </c>
      <c r="W9"/>
      <c r="X9"/>
      <c r="Y9" s="154"/>
      <c r="Z9" s="154">
        <v>2.5999999999999999E-2</v>
      </c>
      <c r="AA9" s="156">
        <v>46568</v>
      </c>
      <c r="AB9" t="s">
        <v>620</v>
      </c>
      <c r="AC9"/>
      <c r="AD9" s="153"/>
      <c r="AE9" s="154"/>
      <c r="AF9" s="156"/>
      <c r="AG9"/>
      <c r="AH9"/>
      <c r="AI9"/>
      <c r="AJ9" t="s">
        <v>55</v>
      </c>
      <c r="AK9" t="s">
        <v>775</v>
      </c>
      <c r="AL9"/>
      <c r="AM9" t="s">
        <v>305</v>
      </c>
      <c r="AN9" s="156">
        <v>45838</v>
      </c>
      <c r="AO9" s="156"/>
      <c r="AP9" s="154"/>
      <c r="AQ9" s="151">
        <v>64576.72</v>
      </c>
      <c r="AR9" s="151">
        <v>149.63</v>
      </c>
      <c r="AS9" s="151">
        <v>1</v>
      </c>
      <c r="AT9" s="151">
        <v>96.626149999999996</v>
      </c>
      <c r="AU9" s="151">
        <v>96.626149999999996</v>
      </c>
      <c r="AV9" s="153"/>
      <c r="AW9" s="153"/>
      <c r="AX9"/>
      <c r="AY9"/>
      <c r="AZ9" s="154">
        <v>5.2690000000000002E-3</v>
      </c>
      <c r="BA9" s="154">
        <v>2.3E-5</v>
      </c>
    </row>
    <row r="10" spans="1:53">
      <c r="A10" s="155">
        <v>274</v>
      </c>
      <c r="B10" s="155">
        <v>274</v>
      </c>
      <c r="C10" s="155"/>
      <c r="D10"/>
      <c r="E10"/>
      <c r="F10" s="155">
        <v>6189</v>
      </c>
      <c r="G10" t="s">
        <v>245</v>
      </c>
      <c r="H10" t="s">
        <v>1184</v>
      </c>
      <c r="I10" t="s">
        <v>53</v>
      </c>
      <c r="J10"/>
      <c r="K10" t="s">
        <v>163</v>
      </c>
      <c r="L10" t="s">
        <v>62</v>
      </c>
      <c r="M10" t="s">
        <v>55</v>
      </c>
      <c r="N10" s="155"/>
      <c r="O10" s="156">
        <v>39261</v>
      </c>
      <c r="P10" t="s">
        <v>1317</v>
      </c>
      <c r="Q10" t="s">
        <v>70</v>
      </c>
      <c r="R10" t="s">
        <v>779</v>
      </c>
      <c r="S10" t="s">
        <v>1222</v>
      </c>
      <c r="T10" s="151">
        <v>1.24</v>
      </c>
      <c r="U10" t="s">
        <v>1932</v>
      </c>
      <c r="V10" s="154">
        <v>4.7039999999999998E-2</v>
      </c>
      <c r="W10"/>
      <c r="X10"/>
      <c r="Y10" s="154"/>
      <c r="Z10" s="154">
        <v>3.5499999999999997E-2</v>
      </c>
      <c r="AA10" s="156">
        <v>46568</v>
      </c>
      <c r="AB10" t="s">
        <v>620</v>
      </c>
      <c r="AC10"/>
      <c r="AD10" s="153"/>
      <c r="AE10" s="154"/>
      <c r="AF10" s="156"/>
      <c r="AG10"/>
      <c r="AH10"/>
      <c r="AI10"/>
      <c r="AJ10" t="s">
        <v>55</v>
      </c>
      <c r="AK10" t="s">
        <v>775</v>
      </c>
      <c r="AL10"/>
      <c r="AM10" t="s">
        <v>305</v>
      </c>
      <c r="AN10" s="156">
        <v>45838</v>
      </c>
      <c r="AO10" s="156"/>
      <c r="AP10" s="154"/>
      <c r="AQ10" s="151">
        <v>119490.2</v>
      </c>
      <c r="AR10" s="151">
        <v>143.05000000000001</v>
      </c>
      <c r="AS10" s="151">
        <v>1</v>
      </c>
      <c r="AT10" s="151">
        <v>170.93073000000001</v>
      </c>
      <c r="AU10" s="151">
        <v>170.93073000000001</v>
      </c>
      <c r="AV10" s="153"/>
      <c r="AW10" s="153"/>
      <c r="AX10"/>
      <c r="AY10"/>
      <c r="AZ10" s="154">
        <v>9.3200000000000002E-3</v>
      </c>
      <c r="BA10" s="154">
        <v>4.1E-5</v>
      </c>
    </row>
    <row r="11" spans="1:53">
      <c r="A11" s="155">
        <v>274</v>
      </c>
      <c r="B11" s="155">
        <v>274</v>
      </c>
      <c r="C11" s="155"/>
      <c r="D11"/>
      <c r="E11"/>
      <c r="F11" s="155">
        <v>8070187</v>
      </c>
      <c r="G11" t="s">
        <v>245</v>
      </c>
      <c r="H11" t="s">
        <v>1184</v>
      </c>
      <c r="I11" t="s">
        <v>53</v>
      </c>
      <c r="J11"/>
      <c r="K11" t="s">
        <v>163</v>
      </c>
      <c r="L11" t="s">
        <v>62</v>
      </c>
      <c r="M11" t="s">
        <v>55</v>
      </c>
      <c r="N11" s="155"/>
      <c r="O11" s="156">
        <v>38258</v>
      </c>
      <c r="P11" t="s">
        <v>1296</v>
      </c>
      <c r="Q11" t="s">
        <v>70</v>
      </c>
      <c r="R11" t="s">
        <v>779</v>
      </c>
      <c r="S11" t="s">
        <v>1222</v>
      </c>
      <c r="T11" s="151">
        <v>1.23</v>
      </c>
      <c r="U11" t="s">
        <v>1932</v>
      </c>
      <c r="V11" s="154">
        <v>5.1694999999999998E-2</v>
      </c>
      <c r="W11"/>
      <c r="X11"/>
      <c r="Y11" s="154"/>
      <c r="Z11" s="154">
        <v>2.5999999999999999E-2</v>
      </c>
      <c r="AA11" s="156">
        <v>46568</v>
      </c>
      <c r="AB11" t="s">
        <v>620</v>
      </c>
      <c r="AC11"/>
      <c r="AD11" s="153"/>
      <c r="AE11" s="154"/>
      <c r="AF11" s="156"/>
      <c r="AG11"/>
      <c r="AH11"/>
      <c r="AI11"/>
      <c r="AJ11" t="s">
        <v>55</v>
      </c>
      <c r="AK11" t="s">
        <v>775</v>
      </c>
      <c r="AL11"/>
      <c r="AM11" t="s">
        <v>305</v>
      </c>
      <c r="AN11" s="156">
        <v>45838</v>
      </c>
      <c r="AO11" s="156"/>
      <c r="AP11" s="154"/>
      <c r="AQ11" s="151">
        <v>38917.86</v>
      </c>
      <c r="AR11" s="151">
        <v>150.68</v>
      </c>
      <c r="AS11" s="151">
        <v>1</v>
      </c>
      <c r="AT11" s="151">
        <v>58.64143</v>
      </c>
      <c r="AU11" s="151">
        <v>58.64143</v>
      </c>
      <c r="AV11" s="153"/>
      <c r="AW11" s="153"/>
      <c r="AX11"/>
      <c r="AY11"/>
      <c r="AZ11" s="154">
        <v>3.1970000000000002E-3</v>
      </c>
      <c r="BA11" s="154">
        <v>1.4E-5</v>
      </c>
    </row>
    <row r="12" spans="1:53">
      <c r="A12" s="155">
        <v>274</v>
      </c>
      <c r="B12" s="155">
        <v>274</v>
      </c>
      <c r="C12" s="155"/>
      <c r="D12"/>
      <c r="E12"/>
      <c r="F12" s="155">
        <v>54130</v>
      </c>
      <c r="G12" t="s">
        <v>245</v>
      </c>
      <c r="H12" t="s">
        <v>1184</v>
      </c>
      <c r="I12" t="s">
        <v>53</v>
      </c>
      <c r="J12"/>
      <c r="K12" t="s">
        <v>163</v>
      </c>
      <c r="L12" t="s">
        <v>62</v>
      </c>
      <c r="M12" t="s">
        <v>55</v>
      </c>
      <c r="N12" s="155"/>
      <c r="O12" s="156">
        <v>42054</v>
      </c>
      <c r="P12" t="s">
        <v>1290</v>
      </c>
      <c r="Q12" t="s">
        <v>65</v>
      </c>
      <c r="R12" t="s">
        <v>779</v>
      </c>
      <c r="S12" t="s">
        <v>1222</v>
      </c>
      <c r="T12" s="151">
        <v>3.07</v>
      </c>
      <c r="U12" t="s">
        <v>1932</v>
      </c>
      <c r="V12" s="154">
        <v>5.5E-2</v>
      </c>
      <c r="W12"/>
      <c r="X12"/>
      <c r="Y12" s="154"/>
      <c r="Z12" s="154">
        <v>2.98E-2</v>
      </c>
      <c r="AA12" s="156">
        <v>47986</v>
      </c>
      <c r="AB12" t="s">
        <v>620</v>
      </c>
      <c r="AC12"/>
      <c r="AD12" s="153"/>
      <c r="AE12" s="154"/>
      <c r="AF12" s="156"/>
      <c r="AG12"/>
      <c r="AH12"/>
      <c r="AI12"/>
      <c r="AJ12" t="s">
        <v>55</v>
      </c>
      <c r="AK12" t="s">
        <v>775</v>
      </c>
      <c r="AL12"/>
      <c r="AM12" t="s">
        <v>305</v>
      </c>
      <c r="AN12" s="156">
        <v>45838</v>
      </c>
      <c r="AO12" s="156"/>
      <c r="AP12" s="154"/>
      <c r="AQ12" s="151">
        <v>175216.08</v>
      </c>
      <c r="AR12" s="151">
        <v>126.46</v>
      </c>
      <c r="AS12" s="151">
        <v>1</v>
      </c>
      <c r="AT12" s="151">
        <v>221.57825</v>
      </c>
      <c r="AU12" s="151">
        <v>221.57825</v>
      </c>
      <c r="AV12" s="153"/>
      <c r="AW12" s="153"/>
      <c r="AX12"/>
      <c r="AY12"/>
      <c r="AZ12" s="154">
        <v>1.2082000000000001E-2</v>
      </c>
      <c r="BA12" s="154">
        <v>5.3000000000000001E-5</v>
      </c>
    </row>
    <row r="13" spans="1:53">
      <c r="A13" s="155">
        <v>274</v>
      </c>
      <c r="B13" s="155">
        <v>274</v>
      </c>
      <c r="C13" s="155"/>
      <c r="D13"/>
      <c r="E13"/>
      <c r="F13" s="155">
        <v>8070195</v>
      </c>
      <c r="G13" t="s">
        <v>245</v>
      </c>
      <c r="H13" t="s">
        <v>1184</v>
      </c>
      <c r="I13" t="s">
        <v>53</v>
      </c>
      <c r="J13"/>
      <c r="K13" t="s">
        <v>163</v>
      </c>
      <c r="L13" t="s">
        <v>62</v>
      </c>
      <c r="M13" t="s">
        <v>55</v>
      </c>
      <c r="N13" s="155"/>
      <c r="O13" s="156">
        <v>38258</v>
      </c>
      <c r="P13" t="s">
        <v>1296</v>
      </c>
      <c r="Q13" t="s">
        <v>70</v>
      </c>
      <c r="R13" t="s">
        <v>779</v>
      </c>
      <c r="S13" t="s">
        <v>1222</v>
      </c>
      <c r="T13" s="151">
        <v>1.23</v>
      </c>
      <c r="U13" t="s">
        <v>1932</v>
      </c>
      <c r="V13" s="154">
        <v>5.1694999999999998E-2</v>
      </c>
      <c r="W13"/>
      <c r="X13"/>
      <c r="Y13" s="154"/>
      <c r="Z13" s="154">
        <v>2.5999999999999999E-2</v>
      </c>
      <c r="AA13" s="156">
        <v>46568</v>
      </c>
      <c r="AB13" t="s">
        <v>620</v>
      </c>
      <c r="AC13"/>
      <c r="AD13" s="153"/>
      <c r="AE13" s="154"/>
      <c r="AF13" s="156"/>
      <c r="AG13"/>
      <c r="AH13"/>
      <c r="AI13"/>
      <c r="AJ13" t="s">
        <v>55</v>
      </c>
      <c r="AK13" t="s">
        <v>775</v>
      </c>
      <c r="AL13"/>
      <c r="AM13" t="s">
        <v>305</v>
      </c>
      <c r="AN13" s="156">
        <v>45838</v>
      </c>
      <c r="AO13" s="156"/>
      <c r="AP13" s="154"/>
      <c r="AQ13" s="151">
        <v>39133.79</v>
      </c>
      <c r="AR13" s="151">
        <v>151.13999999999999</v>
      </c>
      <c r="AS13" s="151">
        <v>1</v>
      </c>
      <c r="AT13" s="151">
        <v>59.146810000000002</v>
      </c>
      <c r="AU13" s="151">
        <v>59.146810000000002</v>
      </c>
      <c r="AV13" s="153"/>
      <c r="AW13" s="153"/>
      <c r="AX13"/>
      <c r="AY13"/>
      <c r="AZ13" s="154">
        <v>3.225E-3</v>
      </c>
      <c r="BA13" s="154">
        <v>1.4E-5</v>
      </c>
    </row>
    <row r="14" spans="1:53">
      <c r="A14" s="155">
        <v>274</v>
      </c>
      <c r="B14" s="155">
        <v>274</v>
      </c>
      <c r="C14" s="155"/>
      <c r="D14"/>
      <c r="E14"/>
      <c r="F14" s="155">
        <v>54122</v>
      </c>
      <c r="G14" t="s">
        <v>245</v>
      </c>
      <c r="H14" t="s">
        <v>1184</v>
      </c>
      <c r="I14" t="s">
        <v>53</v>
      </c>
      <c r="J14"/>
      <c r="K14" t="s">
        <v>163</v>
      </c>
      <c r="L14" t="s">
        <v>62</v>
      </c>
      <c r="M14" t="s">
        <v>55</v>
      </c>
      <c r="N14" s="155"/>
      <c r="O14" s="156">
        <v>42033</v>
      </c>
      <c r="P14" t="s">
        <v>1290</v>
      </c>
      <c r="Q14" t="s">
        <v>65</v>
      </c>
      <c r="R14" t="s">
        <v>779</v>
      </c>
      <c r="S14" t="s">
        <v>1222</v>
      </c>
      <c r="T14" s="151">
        <v>3.07</v>
      </c>
      <c r="U14" t="s">
        <v>1932</v>
      </c>
      <c r="V14" s="154">
        <v>5.5E-2</v>
      </c>
      <c r="W14"/>
      <c r="X14"/>
      <c r="Y14" s="154"/>
      <c r="Z14" s="154">
        <v>2.98E-2</v>
      </c>
      <c r="AA14" s="156">
        <v>47986</v>
      </c>
      <c r="AB14" t="s">
        <v>620</v>
      </c>
      <c r="AC14"/>
      <c r="AD14" s="153"/>
      <c r="AE14" s="154"/>
      <c r="AF14" s="156"/>
      <c r="AG14"/>
      <c r="AH14"/>
      <c r="AI14"/>
      <c r="AJ14" t="s">
        <v>55</v>
      </c>
      <c r="AK14" t="s">
        <v>775</v>
      </c>
      <c r="AL14"/>
      <c r="AM14" t="s">
        <v>305</v>
      </c>
      <c r="AN14" s="156">
        <v>45838</v>
      </c>
      <c r="AO14" s="156"/>
      <c r="AP14" s="154"/>
      <c r="AQ14" s="151">
        <v>89697.33</v>
      </c>
      <c r="AR14" s="151">
        <v>125.33</v>
      </c>
      <c r="AS14" s="151">
        <v>1</v>
      </c>
      <c r="AT14" s="151">
        <v>112.41766</v>
      </c>
      <c r="AU14" s="151">
        <v>112.41766</v>
      </c>
      <c r="AV14" s="153"/>
      <c r="AW14" s="153"/>
      <c r="AX14"/>
      <c r="AY14"/>
      <c r="AZ14" s="154">
        <v>6.13E-3</v>
      </c>
      <c r="BA14" s="154">
        <v>2.6999999999999999E-5</v>
      </c>
    </row>
    <row r="15" spans="1:53">
      <c r="A15" s="155">
        <v>274</v>
      </c>
      <c r="B15" s="155">
        <v>274</v>
      </c>
      <c r="C15" s="155"/>
      <c r="D15"/>
      <c r="E15"/>
      <c r="F15" s="155">
        <v>54114</v>
      </c>
      <c r="G15" t="s">
        <v>245</v>
      </c>
      <c r="H15" t="s">
        <v>1184</v>
      </c>
      <c r="I15" t="s">
        <v>53</v>
      </c>
      <c r="J15"/>
      <c r="K15" t="s">
        <v>163</v>
      </c>
      <c r="L15" t="s">
        <v>62</v>
      </c>
      <c r="M15" t="s">
        <v>55</v>
      </c>
      <c r="N15" s="155"/>
      <c r="O15" s="156">
        <v>41911</v>
      </c>
      <c r="P15" t="s">
        <v>1290</v>
      </c>
      <c r="Q15" t="s">
        <v>65</v>
      </c>
      <c r="R15" t="s">
        <v>779</v>
      </c>
      <c r="S15" t="s">
        <v>1222</v>
      </c>
      <c r="T15" s="151">
        <v>3.07</v>
      </c>
      <c r="U15" t="s">
        <v>1932</v>
      </c>
      <c r="V15" s="154">
        <v>5.5E-2</v>
      </c>
      <c r="W15"/>
      <c r="X15"/>
      <c r="Y15" s="154"/>
      <c r="Z15" s="154">
        <v>2.98E-2</v>
      </c>
      <c r="AA15" s="156">
        <v>47986</v>
      </c>
      <c r="AB15" t="s">
        <v>620</v>
      </c>
      <c r="AC15"/>
      <c r="AD15" s="153"/>
      <c r="AE15" s="154"/>
      <c r="AF15" s="156"/>
      <c r="AG15"/>
      <c r="AH15"/>
      <c r="AI15"/>
      <c r="AJ15" t="s">
        <v>55</v>
      </c>
      <c r="AK15" t="s">
        <v>775</v>
      </c>
      <c r="AL15"/>
      <c r="AM15" t="s">
        <v>305</v>
      </c>
      <c r="AN15" s="156">
        <v>45838</v>
      </c>
      <c r="AO15" s="156"/>
      <c r="AP15" s="154"/>
      <c r="AQ15" s="151">
        <v>13475.13</v>
      </c>
      <c r="AR15" s="151">
        <v>125.08</v>
      </c>
      <c r="AS15" s="151">
        <v>1</v>
      </c>
      <c r="AT15" s="151">
        <v>16.854690000000002</v>
      </c>
      <c r="AU15" s="151">
        <v>16.854690000000002</v>
      </c>
      <c r="AV15" s="153"/>
      <c r="AW15" s="153"/>
      <c r="AX15"/>
      <c r="AY15"/>
      <c r="AZ15" s="154">
        <v>9.19E-4</v>
      </c>
      <c r="BA15" s="154">
        <v>3.9999999999999998E-6</v>
      </c>
    </row>
    <row r="16" spans="1:53">
      <c r="A16" s="155">
        <v>274</v>
      </c>
      <c r="B16" s="155">
        <v>274</v>
      </c>
      <c r="C16" s="155"/>
      <c r="D16"/>
      <c r="E16"/>
      <c r="F16" s="155">
        <v>54106</v>
      </c>
      <c r="G16" t="s">
        <v>245</v>
      </c>
      <c r="H16" t="s">
        <v>1184</v>
      </c>
      <c r="I16" t="s">
        <v>53</v>
      </c>
      <c r="J16"/>
      <c r="K16" t="s">
        <v>163</v>
      </c>
      <c r="L16" t="s">
        <v>62</v>
      </c>
      <c r="M16" t="s">
        <v>55</v>
      </c>
      <c r="N16" s="155"/>
      <c r="O16" s="156">
        <v>41836</v>
      </c>
      <c r="P16" t="s">
        <v>1290</v>
      </c>
      <c r="Q16" t="s">
        <v>65</v>
      </c>
      <c r="R16" t="s">
        <v>779</v>
      </c>
      <c r="S16" t="s">
        <v>1222</v>
      </c>
      <c r="T16" s="151">
        <v>3.07</v>
      </c>
      <c r="U16" t="s">
        <v>1932</v>
      </c>
      <c r="V16" s="154">
        <v>5.5E-2</v>
      </c>
      <c r="W16"/>
      <c r="X16"/>
      <c r="Y16" s="154"/>
      <c r="Z16" s="154">
        <v>2.98E-2</v>
      </c>
      <c r="AA16" s="156">
        <v>47986</v>
      </c>
      <c r="AB16" t="s">
        <v>620</v>
      </c>
      <c r="AC16"/>
      <c r="AD16" s="153"/>
      <c r="AE16" s="154"/>
      <c r="AF16" s="156"/>
      <c r="AG16"/>
      <c r="AH16"/>
      <c r="AI16"/>
      <c r="AJ16" t="s">
        <v>55</v>
      </c>
      <c r="AK16" t="s">
        <v>775</v>
      </c>
      <c r="AL16"/>
      <c r="AM16" t="s">
        <v>305</v>
      </c>
      <c r="AN16" s="156">
        <v>45838</v>
      </c>
      <c r="AO16" s="156"/>
      <c r="AP16" s="154"/>
      <c r="AQ16" s="151">
        <v>34331.660000000003</v>
      </c>
      <c r="AR16" s="151">
        <v>125.08</v>
      </c>
      <c r="AS16" s="151">
        <v>1</v>
      </c>
      <c r="AT16" s="151">
        <v>42.942039999999999</v>
      </c>
      <c r="AU16" s="151">
        <v>42.942039999999999</v>
      </c>
      <c r="AV16" s="153"/>
      <c r="AW16" s="153"/>
      <c r="AX16"/>
      <c r="AY16"/>
      <c r="AZ16" s="154">
        <v>2.3410000000000002E-3</v>
      </c>
      <c r="BA16" s="154">
        <v>1.0000000000000001E-5</v>
      </c>
    </row>
    <row r="17" spans="1:53">
      <c r="A17" s="155">
        <v>274</v>
      </c>
      <c r="B17" s="155">
        <v>274</v>
      </c>
      <c r="C17" s="155"/>
      <c r="D17"/>
      <c r="E17"/>
      <c r="F17" s="155">
        <v>54098</v>
      </c>
      <c r="G17" t="s">
        <v>245</v>
      </c>
      <c r="H17" t="s">
        <v>1184</v>
      </c>
      <c r="I17" t="s">
        <v>53</v>
      </c>
      <c r="J17"/>
      <c r="K17" t="s">
        <v>163</v>
      </c>
      <c r="L17" t="s">
        <v>62</v>
      </c>
      <c r="M17" t="s">
        <v>55</v>
      </c>
      <c r="N17" s="155"/>
      <c r="O17" s="156">
        <v>41815</v>
      </c>
      <c r="P17" t="s">
        <v>1290</v>
      </c>
      <c r="Q17" t="s">
        <v>65</v>
      </c>
      <c r="R17" t="s">
        <v>779</v>
      </c>
      <c r="S17" t="s">
        <v>1222</v>
      </c>
      <c r="T17" s="151">
        <v>3.07</v>
      </c>
      <c r="U17" t="s">
        <v>1932</v>
      </c>
      <c r="V17" s="154">
        <v>5.5E-2</v>
      </c>
      <c r="W17"/>
      <c r="X17"/>
      <c r="Y17" s="154"/>
      <c r="Z17" s="154">
        <v>2.98E-2</v>
      </c>
      <c r="AA17" s="156">
        <v>47986</v>
      </c>
      <c r="AB17" t="s">
        <v>620</v>
      </c>
      <c r="AC17"/>
      <c r="AD17" s="153"/>
      <c r="AE17" s="154"/>
      <c r="AF17" s="156"/>
      <c r="AG17"/>
      <c r="AH17"/>
      <c r="AI17"/>
      <c r="AJ17" t="s">
        <v>55</v>
      </c>
      <c r="AK17" t="s">
        <v>775</v>
      </c>
      <c r="AL17"/>
      <c r="AM17" t="s">
        <v>305</v>
      </c>
      <c r="AN17" s="156">
        <v>45838</v>
      </c>
      <c r="AO17" s="156"/>
      <c r="AP17" s="154"/>
      <c r="AQ17" s="151">
        <v>11548.08</v>
      </c>
      <c r="AR17" s="151">
        <v>125.45</v>
      </c>
      <c r="AS17" s="151">
        <v>1</v>
      </c>
      <c r="AT17" s="151">
        <v>14.487069999999999</v>
      </c>
      <c r="AU17" s="151">
        <v>14.487069999999999</v>
      </c>
      <c r="AV17" s="153"/>
      <c r="AW17" s="153"/>
      <c r="AX17"/>
      <c r="AY17"/>
      <c r="AZ17" s="154">
        <v>7.8899999999999999E-4</v>
      </c>
      <c r="BA17" s="154">
        <v>3.0000000000000001E-6</v>
      </c>
    </row>
    <row r="18" spans="1:53">
      <c r="A18" s="155">
        <v>274</v>
      </c>
      <c r="B18" s="155">
        <v>274</v>
      </c>
      <c r="C18" s="155"/>
      <c r="D18"/>
      <c r="E18"/>
      <c r="F18" s="155">
        <v>54080</v>
      </c>
      <c r="G18" t="s">
        <v>245</v>
      </c>
      <c r="H18" t="s">
        <v>1184</v>
      </c>
      <c r="I18" t="s">
        <v>53</v>
      </c>
      <c r="J18"/>
      <c r="K18" t="s">
        <v>163</v>
      </c>
      <c r="L18" t="s">
        <v>62</v>
      </c>
      <c r="M18" t="s">
        <v>55</v>
      </c>
      <c r="N18" s="155"/>
      <c r="O18" s="156">
        <v>41787</v>
      </c>
      <c r="P18" t="s">
        <v>1290</v>
      </c>
      <c r="Q18" t="s">
        <v>65</v>
      </c>
      <c r="R18" t="s">
        <v>779</v>
      </c>
      <c r="S18" t="s">
        <v>1222</v>
      </c>
      <c r="T18" s="151">
        <v>3.07</v>
      </c>
      <c r="U18" t="s">
        <v>1932</v>
      </c>
      <c r="V18" s="154">
        <v>5.5E-2</v>
      </c>
      <c r="W18"/>
      <c r="X18"/>
      <c r="Y18" s="154"/>
      <c r="Z18" s="154">
        <v>2.98E-2</v>
      </c>
      <c r="AA18" s="156">
        <v>47986</v>
      </c>
      <c r="AB18" t="s">
        <v>620</v>
      </c>
      <c r="AC18"/>
      <c r="AD18" s="153"/>
      <c r="AE18" s="154"/>
      <c r="AF18" s="156"/>
      <c r="AG18"/>
      <c r="AH18"/>
      <c r="AI18"/>
      <c r="AJ18" t="s">
        <v>55</v>
      </c>
      <c r="AK18" t="s">
        <v>775</v>
      </c>
      <c r="AL18"/>
      <c r="AM18" t="s">
        <v>305</v>
      </c>
      <c r="AN18" s="156">
        <v>45838</v>
      </c>
      <c r="AO18" s="156"/>
      <c r="AP18" s="154"/>
      <c r="AQ18" s="151">
        <v>20539.3</v>
      </c>
      <c r="AR18" s="151">
        <v>125.57</v>
      </c>
      <c r="AS18" s="151">
        <v>1</v>
      </c>
      <c r="AT18" s="151">
        <v>25.7912</v>
      </c>
      <c r="AU18" s="151">
        <v>25.7912</v>
      </c>
      <c r="AV18" s="153"/>
      <c r="AW18" s="153"/>
      <c r="AX18"/>
      <c r="AY18"/>
      <c r="AZ18" s="154">
        <v>1.4059999999999999E-3</v>
      </c>
      <c r="BA18" s="154">
        <v>6.0000000000000002E-6</v>
      </c>
    </row>
    <row r="19" spans="1:53">
      <c r="A19" s="155">
        <v>274</v>
      </c>
      <c r="B19" s="155">
        <v>274</v>
      </c>
      <c r="C19" s="155"/>
      <c r="D19"/>
      <c r="E19"/>
      <c r="F19" s="155">
        <v>54072</v>
      </c>
      <c r="G19" t="s">
        <v>245</v>
      </c>
      <c r="H19" t="s">
        <v>1184</v>
      </c>
      <c r="I19" t="s">
        <v>53</v>
      </c>
      <c r="J19"/>
      <c r="K19" t="s">
        <v>163</v>
      </c>
      <c r="L19" t="s">
        <v>62</v>
      </c>
      <c r="M19" t="s">
        <v>55</v>
      </c>
      <c r="N19" s="155"/>
      <c r="O19" s="156">
        <v>41725</v>
      </c>
      <c r="P19" t="s">
        <v>1290</v>
      </c>
      <c r="Q19" t="s">
        <v>65</v>
      </c>
      <c r="R19" t="s">
        <v>779</v>
      </c>
      <c r="S19" t="s">
        <v>1222</v>
      </c>
      <c r="T19" s="151">
        <v>3.07</v>
      </c>
      <c r="U19" t="s">
        <v>1932</v>
      </c>
      <c r="V19" s="154">
        <v>5.5E-2</v>
      </c>
      <c r="W19"/>
      <c r="X19"/>
      <c r="Y19" s="154"/>
      <c r="Z19" s="154">
        <v>2.98E-2</v>
      </c>
      <c r="AA19" s="156">
        <v>47986</v>
      </c>
      <c r="AB19" t="s">
        <v>620</v>
      </c>
      <c r="AC19"/>
      <c r="AD19" s="153"/>
      <c r="AE19" s="154"/>
      <c r="AF19" s="156"/>
      <c r="AG19"/>
      <c r="AH19"/>
      <c r="AI19"/>
      <c r="AJ19" t="s">
        <v>55</v>
      </c>
      <c r="AK19" t="s">
        <v>775</v>
      </c>
      <c r="AL19"/>
      <c r="AM19" t="s">
        <v>305</v>
      </c>
      <c r="AN19" s="156">
        <v>45838</v>
      </c>
      <c r="AO19" s="156"/>
      <c r="AP19" s="154"/>
      <c r="AQ19" s="151">
        <v>32624.48</v>
      </c>
      <c r="AR19" s="151">
        <v>126.07</v>
      </c>
      <c r="AS19" s="151">
        <v>1</v>
      </c>
      <c r="AT19" s="151">
        <v>41.12968</v>
      </c>
      <c r="AU19" s="151">
        <v>41.12968</v>
      </c>
      <c r="AV19" s="153"/>
      <c r="AW19" s="153"/>
      <c r="AX19"/>
      <c r="AY19"/>
      <c r="AZ19" s="154">
        <v>2.2420000000000001E-3</v>
      </c>
      <c r="BA19" s="154">
        <v>9.0000000000000002E-6</v>
      </c>
    </row>
    <row r="20" spans="1:53">
      <c r="A20" s="155">
        <v>274</v>
      </c>
      <c r="B20" s="155">
        <v>274</v>
      </c>
      <c r="C20" s="155"/>
      <c r="D20"/>
      <c r="E20"/>
      <c r="F20" s="155">
        <v>54064</v>
      </c>
      <c r="G20" t="s">
        <v>245</v>
      </c>
      <c r="H20" t="s">
        <v>1184</v>
      </c>
      <c r="I20" t="s">
        <v>53</v>
      </c>
      <c r="J20"/>
      <c r="K20" t="s">
        <v>163</v>
      </c>
      <c r="L20" t="s">
        <v>62</v>
      </c>
      <c r="M20" t="s">
        <v>55</v>
      </c>
      <c r="N20" s="155"/>
      <c r="O20" s="156">
        <v>41696</v>
      </c>
      <c r="P20" t="s">
        <v>1290</v>
      </c>
      <c r="Q20" t="s">
        <v>65</v>
      </c>
      <c r="R20" t="s">
        <v>779</v>
      </c>
      <c r="S20" t="s">
        <v>1222</v>
      </c>
      <c r="T20" s="151">
        <v>3.07</v>
      </c>
      <c r="U20" t="s">
        <v>1932</v>
      </c>
      <c r="V20" s="154">
        <v>5.5E-2</v>
      </c>
      <c r="W20"/>
      <c r="X20"/>
      <c r="Y20" s="154"/>
      <c r="Z20" s="154">
        <v>2.98E-2</v>
      </c>
      <c r="AA20" s="156">
        <v>47986</v>
      </c>
      <c r="AB20" t="s">
        <v>620</v>
      </c>
      <c r="AC20"/>
      <c r="AD20" s="153"/>
      <c r="AE20" s="154"/>
      <c r="AF20" s="156"/>
      <c r="AG20"/>
      <c r="AH20"/>
      <c r="AI20"/>
      <c r="AJ20" t="s">
        <v>55</v>
      </c>
      <c r="AK20" t="s">
        <v>775</v>
      </c>
      <c r="AL20"/>
      <c r="AM20" t="s">
        <v>305</v>
      </c>
      <c r="AN20" s="156">
        <v>45838</v>
      </c>
      <c r="AO20" s="156"/>
      <c r="AP20" s="154"/>
      <c r="AQ20" s="151">
        <v>16381.49</v>
      </c>
      <c r="AR20" s="151">
        <v>125.82</v>
      </c>
      <c r="AS20" s="151">
        <v>1</v>
      </c>
      <c r="AT20" s="151">
        <v>20.611190000000001</v>
      </c>
      <c r="AU20" s="151">
        <v>20.611190000000001</v>
      </c>
      <c r="AV20" s="153"/>
      <c r="AW20" s="153"/>
      <c r="AX20"/>
      <c r="AY20"/>
      <c r="AZ20" s="154">
        <v>1.1230000000000001E-3</v>
      </c>
      <c r="BA20" s="154">
        <v>5.0000000000000004E-6</v>
      </c>
    </row>
    <row r="21" spans="1:53" s="36" customFormat="1">
      <c r="A21" s="155">
        <v>274</v>
      </c>
      <c r="B21" s="155">
        <v>274</v>
      </c>
      <c r="C21" s="155"/>
      <c r="D21"/>
      <c r="E21"/>
      <c r="F21" s="155">
        <v>54056</v>
      </c>
      <c r="G21" t="s">
        <v>245</v>
      </c>
      <c r="H21" t="s">
        <v>1184</v>
      </c>
      <c r="I21" t="s">
        <v>53</v>
      </c>
      <c r="J21"/>
      <c r="K21" t="s">
        <v>163</v>
      </c>
      <c r="L21" t="s">
        <v>62</v>
      </c>
      <c r="M21" t="s">
        <v>55</v>
      </c>
      <c r="N21" s="155"/>
      <c r="O21" s="156">
        <v>41666</v>
      </c>
      <c r="P21" t="s">
        <v>1290</v>
      </c>
      <c r="Q21" t="s">
        <v>65</v>
      </c>
      <c r="R21" t="s">
        <v>779</v>
      </c>
      <c r="S21" t="s">
        <v>1222</v>
      </c>
      <c r="T21" s="151">
        <v>3.07</v>
      </c>
      <c r="U21" t="s">
        <v>1932</v>
      </c>
      <c r="V21" s="154">
        <v>5.5E-2</v>
      </c>
      <c r="W21"/>
      <c r="X21"/>
      <c r="Y21" s="154"/>
      <c r="Z21" s="154">
        <v>2.98E-2</v>
      </c>
      <c r="AA21" s="156">
        <v>47986</v>
      </c>
      <c r="AB21" t="s">
        <v>620</v>
      </c>
      <c r="AC21"/>
      <c r="AD21" s="153"/>
      <c r="AE21" s="154"/>
      <c r="AF21" s="156"/>
      <c r="AG21"/>
      <c r="AH21"/>
      <c r="AI21"/>
      <c r="AJ21" t="s">
        <v>55</v>
      </c>
      <c r="AK21" t="s">
        <v>775</v>
      </c>
      <c r="AL21"/>
      <c r="AM21" t="s">
        <v>305</v>
      </c>
      <c r="AN21" s="156">
        <v>45838</v>
      </c>
      <c r="AO21" s="156"/>
      <c r="AP21" s="154"/>
      <c r="AQ21" s="151">
        <v>17019.72</v>
      </c>
      <c r="AR21" s="151">
        <v>125.08</v>
      </c>
      <c r="AS21" s="151">
        <v>1</v>
      </c>
      <c r="AT21" s="151">
        <v>21.288270000000001</v>
      </c>
      <c r="AU21" s="151">
        <v>21.288270000000001</v>
      </c>
      <c r="AV21" s="153"/>
      <c r="AW21" s="153"/>
      <c r="AX21"/>
      <c r="AY21"/>
      <c r="AZ21" s="154">
        <v>1.16E-3</v>
      </c>
      <c r="BA21" s="154">
        <v>5.0000000000000004E-6</v>
      </c>
    </row>
    <row r="22" spans="1:53">
      <c r="A22" s="155">
        <v>274</v>
      </c>
      <c r="B22" s="155">
        <v>274</v>
      </c>
      <c r="C22" s="155"/>
      <c r="D22"/>
      <c r="E22"/>
      <c r="F22" s="155">
        <v>63941</v>
      </c>
      <c r="G22" t="s">
        <v>245</v>
      </c>
      <c r="H22" t="s">
        <v>1184</v>
      </c>
      <c r="I22" t="s">
        <v>53</v>
      </c>
      <c r="J22"/>
      <c r="K22" t="s">
        <v>140</v>
      </c>
      <c r="L22" t="s">
        <v>62</v>
      </c>
      <c r="M22" t="s">
        <v>55</v>
      </c>
      <c r="N22" s="155"/>
      <c r="O22" s="156">
        <v>43222</v>
      </c>
      <c r="P22" t="s">
        <v>1919</v>
      </c>
      <c r="Q22" t="s">
        <v>65</v>
      </c>
      <c r="R22" t="s">
        <v>779</v>
      </c>
      <c r="S22" t="s">
        <v>1222</v>
      </c>
      <c r="T22" s="151">
        <v>5.44</v>
      </c>
      <c r="U22" t="s">
        <v>1932</v>
      </c>
      <c r="V22" s="154">
        <v>3.3099999999999997E-2</v>
      </c>
      <c r="W22"/>
      <c r="X22"/>
      <c r="Y22" s="154"/>
      <c r="Z22" s="154">
        <v>3.3500000000000002E-2</v>
      </c>
      <c r="AA22" s="156">
        <v>50040</v>
      </c>
      <c r="AB22" t="s">
        <v>620</v>
      </c>
      <c r="AC22"/>
      <c r="AD22" s="153"/>
      <c r="AE22" s="154"/>
      <c r="AF22" s="156"/>
      <c r="AG22"/>
      <c r="AH22"/>
      <c r="AI22"/>
      <c r="AJ22" t="s">
        <v>55</v>
      </c>
      <c r="AK22" t="s">
        <v>775</v>
      </c>
      <c r="AL22"/>
      <c r="AM22" t="s">
        <v>305</v>
      </c>
      <c r="AN22" s="156">
        <v>45838</v>
      </c>
      <c r="AO22" s="156"/>
      <c r="AP22" s="154"/>
      <c r="AQ22" s="151">
        <v>33164.43</v>
      </c>
      <c r="AR22" s="151">
        <v>118.1</v>
      </c>
      <c r="AS22" s="151">
        <v>1</v>
      </c>
      <c r="AT22" s="151">
        <v>39.167189999999998</v>
      </c>
      <c r="AU22" s="151">
        <v>39.167189999999998</v>
      </c>
      <c r="AV22" s="153"/>
      <c r="AW22" s="153"/>
      <c r="AX22"/>
      <c r="AY22"/>
      <c r="AZ22" s="154">
        <v>2.1350000000000002E-3</v>
      </c>
      <c r="BA22" s="154">
        <v>9.0000000000000002E-6</v>
      </c>
    </row>
    <row r="23" spans="1:53">
      <c r="A23" s="155">
        <v>274</v>
      </c>
      <c r="B23" s="155">
        <v>274</v>
      </c>
      <c r="C23" s="155"/>
      <c r="D23"/>
      <c r="E23"/>
      <c r="F23" s="155">
        <v>54049</v>
      </c>
      <c r="G23" t="s">
        <v>245</v>
      </c>
      <c r="H23" t="s">
        <v>1184</v>
      </c>
      <c r="I23" t="s">
        <v>53</v>
      </c>
      <c r="J23"/>
      <c r="K23" t="s">
        <v>163</v>
      </c>
      <c r="L23" t="s">
        <v>62</v>
      </c>
      <c r="M23" t="s">
        <v>55</v>
      </c>
      <c r="N23" s="155"/>
      <c r="O23" s="156">
        <v>41630</v>
      </c>
      <c r="P23" t="s">
        <v>1290</v>
      </c>
      <c r="Q23" t="s">
        <v>65</v>
      </c>
      <c r="R23" t="s">
        <v>779</v>
      </c>
      <c r="S23" t="s">
        <v>1222</v>
      </c>
      <c r="T23" s="151">
        <v>3.07</v>
      </c>
      <c r="U23" t="s">
        <v>1932</v>
      </c>
      <c r="V23" s="154">
        <v>5.5E-2</v>
      </c>
      <c r="W23"/>
      <c r="X23"/>
      <c r="Y23" s="154"/>
      <c r="Z23" s="154">
        <v>2.98E-2</v>
      </c>
      <c r="AA23" s="156">
        <v>47986</v>
      </c>
      <c r="AB23" t="s">
        <v>620</v>
      </c>
      <c r="AC23"/>
      <c r="AD23" s="153"/>
      <c r="AE23" s="154"/>
      <c r="AF23" s="156"/>
      <c r="AG23"/>
      <c r="AH23"/>
      <c r="AI23"/>
      <c r="AJ23" t="s">
        <v>55</v>
      </c>
      <c r="AK23" t="s">
        <v>775</v>
      </c>
      <c r="AL23"/>
      <c r="AM23" t="s">
        <v>305</v>
      </c>
      <c r="AN23" s="156">
        <v>45838</v>
      </c>
      <c r="AO23" s="156"/>
      <c r="AP23" s="154"/>
      <c r="AQ23" s="151">
        <v>87994.75</v>
      </c>
      <c r="AR23" s="151">
        <v>125.2</v>
      </c>
      <c r="AS23" s="151">
        <v>1</v>
      </c>
      <c r="AT23" s="151">
        <v>110.16943000000001</v>
      </c>
      <c r="AU23" s="151">
        <v>110.16943000000001</v>
      </c>
      <c r="AV23" s="153"/>
      <c r="AW23" s="153"/>
      <c r="AX23"/>
      <c r="AY23"/>
      <c r="AZ23" s="154">
        <v>6.0070000000000002E-3</v>
      </c>
      <c r="BA23" s="154">
        <v>2.5999999999999998E-5</v>
      </c>
    </row>
    <row r="24" spans="1:53">
      <c r="A24" s="155">
        <v>274</v>
      </c>
      <c r="B24" s="155">
        <v>274</v>
      </c>
      <c r="C24" s="155"/>
      <c r="D24"/>
      <c r="E24"/>
      <c r="F24" s="155">
        <v>71000205</v>
      </c>
      <c r="G24" t="s">
        <v>245</v>
      </c>
      <c r="H24" t="s">
        <v>1184</v>
      </c>
      <c r="I24" t="s">
        <v>53</v>
      </c>
      <c r="J24"/>
      <c r="K24" t="s">
        <v>264</v>
      </c>
      <c r="L24" t="s">
        <v>62</v>
      </c>
      <c r="M24" t="s">
        <v>55</v>
      </c>
      <c r="N24" s="155"/>
      <c r="O24" s="156">
        <v>44858</v>
      </c>
      <c r="P24" t="s">
        <v>1933</v>
      </c>
      <c r="Q24" t="s">
        <v>70</v>
      </c>
      <c r="R24" t="s">
        <v>779</v>
      </c>
      <c r="S24" t="s">
        <v>1222</v>
      </c>
      <c r="T24" s="151">
        <v>4.7</v>
      </c>
      <c r="U24" t="s">
        <v>1932</v>
      </c>
      <c r="V24" s="154">
        <v>3.49E-2</v>
      </c>
      <c r="W24"/>
      <c r="X24"/>
      <c r="Y24" s="154"/>
      <c r="Z24" s="154">
        <v>3.3700000000000001E-2</v>
      </c>
      <c r="AA24" s="156">
        <v>48667</v>
      </c>
      <c r="AB24" t="s">
        <v>620</v>
      </c>
      <c r="AC24"/>
      <c r="AD24" s="153"/>
      <c r="AE24" s="154"/>
      <c r="AF24" s="156"/>
      <c r="AG24"/>
      <c r="AH24"/>
      <c r="AI24"/>
      <c r="AJ24" t="s">
        <v>55</v>
      </c>
      <c r="AK24" t="s">
        <v>775</v>
      </c>
      <c r="AL24"/>
      <c r="AM24" t="s">
        <v>305</v>
      </c>
      <c r="AN24" s="156">
        <v>45838</v>
      </c>
      <c r="AO24" s="156"/>
      <c r="AP24" s="154"/>
      <c r="AQ24" s="151">
        <v>51317.46</v>
      </c>
      <c r="AR24" s="151">
        <v>111.08</v>
      </c>
      <c r="AS24" s="151">
        <v>1</v>
      </c>
      <c r="AT24" s="151">
        <v>57.003430000000002</v>
      </c>
      <c r="AU24" s="151">
        <v>57.003430000000002</v>
      </c>
      <c r="AV24" s="153"/>
      <c r="AW24" s="153"/>
      <c r="AX24"/>
      <c r="AY24"/>
      <c r="AZ24" s="154">
        <v>3.1080000000000001E-3</v>
      </c>
      <c r="BA24" s="154">
        <v>1.2999999999999999E-5</v>
      </c>
    </row>
    <row r="25" spans="1:53">
      <c r="A25" s="155">
        <v>274</v>
      </c>
      <c r="B25" s="155">
        <v>274</v>
      </c>
      <c r="C25" s="155"/>
      <c r="D25"/>
      <c r="E25"/>
      <c r="F25" s="155">
        <v>71000207</v>
      </c>
      <c r="G25" t="s">
        <v>245</v>
      </c>
      <c r="H25" t="s">
        <v>1184</v>
      </c>
      <c r="I25" t="s">
        <v>53</v>
      </c>
      <c r="J25"/>
      <c r="K25" t="s">
        <v>264</v>
      </c>
      <c r="L25" t="s">
        <v>62</v>
      </c>
      <c r="M25" t="s">
        <v>55</v>
      </c>
      <c r="N25" s="155"/>
      <c r="O25" s="156">
        <v>44858</v>
      </c>
      <c r="P25" t="s">
        <v>1933</v>
      </c>
      <c r="Q25" t="s">
        <v>70</v>
      </c>
      <c r="R25" t="s">
        <v>779</v>
      </c>
      <c r="S25" t="s">
        <v>1222</v>
      </c>
      <c r="T25" s="151">
        <v>4.72</v>
      </c>
      <c r="U25" t="s">
        <v>1932</v>
      </c>
      <c r="V25" s="154">
        <v>3.49E-2</v>
      </c>
      <c r="W25"/>
      <c r="X25"/>
      <c r="Y25" s="154"/>
      <c r="Z25" s="154">
        <v>3.3599999999999998E-2</v>
      </c>
      <c r="AA25" s="156">
        <v>48667</v>
      </c>
      <c r="AB25" t="s">
        <v>620</v>
      </c>
      <c r="AC25"/>
      <c r="AD25" s="153"/>
      <c r="AE25" s="154"/>
      <c r="AF25" s="156"/>
      <c r="AG25"/>
      <c r="AH25"/>
      <c r="AI25"/>
      <c r="AJ25" t="s">
        <v>55</v>
      </c>
      <c r="AK25" t="s">
        <v>775</v>
      </c>
      <c r="AL25"/>
      <c r="AM25" t="s">
        <v>305</v>
      </c>
      <c r="AN25" s="156">
        <v>45838</v>
      </c>
      <c r="AO25" s="156"/>
      <c r="AP25" s="154"/>
      <c r="AQ25" s="151">
        <v>62730.77</v>
      </c>
      <c r="AR25" s="151">
        <v>111.1</v>
      </c>
      <c r="AS25" s="151">
        <v>1</v>
      </c>
      <c r="AT25" s="151">
        <v>69.693889999999996</v>
      </c>
      <c r="AU25" s="151">
        <v>69.693889999999996</v>
      </c>
      <c r="AV25" s="153"/>
      <c r="AW25" s="153"/>
      <c r="AX25"/>
      <c r="AY25"/>
      <c r="AZ25" s="154">
        <v>3.8E-3</v>
      </c>
      <c r="BA25" s="154">
        <v>1.5999999999999999E-5</v>
      </c>
    </row>
    <row r="26" spans="1:53">
      <c r="A26" s="155">
        <v>274</v>
      </c>
      <c r="B26" s="155">
        <v>274</v>
      </c>
      <c r="C26" s="155"/>
      <c r="D26"/>
      <c r="E26"/>
      <c r="F26" s="155">
        <v>8070112</v>
      </c>
      <c r="G26" t="s">
        <v>245</v>
      </c>
      <c r="H26" t="s">
        <v>1184</v>
      </c>
      <c r="I26" t="s">
        <v>53</v>
      </c>
      <c r="J26"/>
      <c r="K26" t="s">
        <v>163</v>
      </c>
      <c r="L26" t="s">
        <v>62</v>
      </c>
      <c r="M26" t="s">
        <v>55</v>
      </c>
      <c r="N26" s="155"/>
      <c r="O26" s="156">
        <v>38258</v>
      </c>
      <c r="P26" t="s">
        <v>1296</v>
      </c>
      <c r="Q26" t="s">
        <v>70</v>
      </c>
      <c r="R26" t="s">
        <v>779</v>
      </c>
      <c r="S26" t="s">
        <v>1222</v>
      </c>
      <c r="T26" s="151">
        <v>1.23</v>
      </c>
      <c r="U26" t="s">
        <v>1932</v>
      </c>
      <c r="V26" s="154">
        <v>5.1694999999999998E-2</v>
      </c>
      <c r="W26"/>
      <c r="X26"/>
      <c r="Y26" s="154"/>
      <c r="Z26" s="154">
        <v>2.5999999999999999E-2</v>
      </c>
      <c r="AA26" s="156">
        <v>46568</v>
      </c>
      <c r="AB26" t="s">
        <v>620</v>
      </c>
      <c r="AC26"/>
      <c r="AD26" s="153"/>
      <c r="AE26" s="154"/>
      <c r="AF26" s="156"/>
      <c r="AG26"/>
      <c r="AH26"/>
      <c r="AI26"/>
      <c r="AJ26" t="s">
        <v>55</v>
      </c>
      <c r="AK26" t="s">
        <v>775</v>
      </c>
      <c r="AL26"/>
      <c r="AM26" t="s">
        <v>305</v>
      </c>
      <c r="AN26" s="156">
        <v>45838</v>
      </c>
      <c r="AO26" s="156"/>
      <c r="AP26" s="154"/>
      <c r="AQ26" s="151">
        <v>106902.02</v>
      </c>
      <c r="AR26" s="151">
        <v>154.87</v>
      </c>
      <c r="AS26" s="151">
        <v>1</v>
      </c>
      <c r="AT26" s="151">
        <v>165.55915999999999</v>
      </c>
      <c r="AU26" s="151">
        <v>165.55915999999999</v>
      </c>
      <c r="AV26" s="153"/>
      <c r="AW26" s="153"/>
      <c r="AX26"/>
      <c r="AY26"/>
      <c r="AZ26" s="154">
        <v>9.0270000000000003E-3</v>
      </c>
      <c r="BA26" s="154">
        <v>4.0000000000000003E-5</v>
      </c>
    </row>
    <row r="27" spans="1:53">
      <c r="A27" s="155">
        <v>274</v>
      </c>
      <c r="B27" s="155">
        <v>274</v>
      </c>
      <c r="C27" s="155"/>
      <c r="D27"/>
      <c r="E27"/>
      <c r="F27" s="155">
        <v>8070104</v>
      </c>
      <c r="G27" t="s">
        <v>245</v>
      </c>
      <c r="H27" t="s">
        <v>1184</v>
      </c>
      <c r="I27" t="s">
        <v>53</v>
      </c>
      <c r="J27"/>
      <c r="K27" t="s">
        <v>163</v>
      </c>
      <c r="L27" t="s">
        <v>62</v>
      </c>
      <c r="M27" t="s">
        <v>55</v>
      </c>
      <c r="N27" s="155"/>
      <c r="O27" s="156">
        <v>38258</v>
      </c>
      <c r="P27" t="s">
        <v>1296</v>
      </c>
      <c r="Q27" t="s">
        <v>70</v>
      </c>
      <c r="R27" t="s">
        <v>779</v>
      </c>
      <c r="S27" t="s">
        <v>1222</v>
      </c>
      <c r="T27" s="151">
        <v>1.23</v>
      </c>
      <c r="U27" t="s">
        <v>1932</v>
      </c>
      <c r="V27" s="154">
        <v>5.1694999999999998E-2</v>
      </c>
      <c r="W27"/>
      <c r="X27"/>
      <c r="Y27" s="154"/>
      <c r="Z27" s="154">
        <v>2.5999999999999999E-2</v>
      </c>
      <c r="AA27" s="156">
        <v>46568</v>
      </c>
      <c r="AB27" t="s">
        <v>620</v>
      </c>
      <c r="AC27"/>
      <c r="AD27" s="153"/>
      <c r="AE27" s="154"/>
      <c r="AF27" s="156"/>
      <c r="AG27"/>
      <c r="AH27"/>
      <c r="AI27"/>
      <c r="AJ27" t="s">
        <v>55</v>
      </c>
      <c r="AK27" t="s">
        <v>775</v>
      </c>
      <c r="AL27"/>
      <c r="AM27" t="s">
        <v>305</v>
      </c>
      <c r="AN27" s="156">
        <v>45838</v>
      </c>
      <c r="AO27" s="156"/>
      <c r="AP27" s="154"/>
      <c r="AQ27" s="151">
        <v>144183.31</v>
      </c>
      <c r="AR27" s="151">
        <v>157.61000000000001</v>
      </c>
      <c r="AS27" s="151">
        <v>1</v>
      </c>
      <c r="AT27" s="151">
        <v>227.24731</v>
      </c>
      <c r="AU27" s="151">
        <v>227.24731</v>
      </c>
      <c r="AV27" s="153"/>
      <c r="AW27" s="153"/>
      <c r="AX27"/>
      <c r="AY27"/>
      <c r="AZ27" s="154">
        <v>1.2390999999999999E-2</v>
      </c>
      <c r="BA27" s="154">
        <v>5.5000000000000002E-5</v>
      </c>
    </row>
    <row r="28" spans="1:53">
      <c r="A28" s="155">
        <v>274</v>
      </c>
      <c r="B28" s="155">
        <v>274</v>
      </c>
      <c r="C28" s="155"/>
      <c r="D28"/>
      <c r="E28"/>
      <c r="F28" s="155">
        <v>8070096</v>
      </c>
      <c r="G28" t="s">
        <v>245</v>
      </c>
      <c r="H28" t="s">
        <v>1184</v>
      </c>
      <c r="I28" t="s">
        <v>53</v>
      </c>
      <c r="J28"/>
      <c r="K28" t="s">
        <v>163</v>
      </c>
      <c r="L28" t="s">
        <v>62</v>
      </c>
      <c r="M28" t="s">
        <v>55</v>
      </c>
      <c r="N28" s="155"/>
      <c r="O28" s="156">
        <v>38258</v>
      </c>
      <c r="P28" t="s">
        <v>1296</v>
      </c>
      <c r="Q28" t="s">
        <v>70</v>
      </c>
      <c r="R28" t="s">
        <v>779</v>
      </c>
      <c r="S28" t="s">
        <v>1222</v>
      </c>
      <c r="T28" s="151">
        <v>1.23</v>
      </c>
      <c r="U28" t="s">
        <v>1932</v>
      </c>
      <c r="V28" s="154">
        <v>5.1694999999999998E-2</v>
      </c>
      <c r="W28"/>
      <c r="X28"/>
      <c r="Y28" s="154"/>
      <c r="Z28" s="154">
        <v>2.5999999999999999E-2</v>
      </c>
      <c r="AA28" s="156">
        <v>46568</v>
      </c>
      <c r="AB28" t="s">
        <v>620</v>
      </c>
      <c r="AC28"/>
      <c r="AD28" s="153"/>
      <c r="AE28" s="154"/>
      <c r="AF28" s="156"/>
      <c r="AG28"/>
      <c r="AH28"/>
      <c r="AI28"/>
      <c r="AJ28" t="s">
        <v>55</v>
      </c>
      <c r="AK28" t="s">
        <v>775</v>
      </c>
      <c r="AL28"/>
      <c r="AM28" t="s">
        <v>305</v>
      </c>
      <c r="AN28" s="156">
        <v>45838</v>
      </c>
      <c r="AO28" s="156"/>
      <c r="AP28" s="154"/>
      <c r="AQ28" s="151">
        <v>217083.1</v>
      </c>
      <c r="AR28" s="151">
        <v>157.13999999999999</v>
      </c>
      <c r="AS28" s="151">
        <v>1</v>
      </c>
      <c r="AT28" s="151">
        <v>341.12437999999997</v>
      </c>
      <c r="AU28" s="151">
        <v>341.12437999999997</v>
      </c>
      <c r="AV28" s="153"/>
      <c r="AW28" s="153"/>
      <c r="AX28"/>
      <c r="AY28"/>
      <c r="AZ28" s="154">
        <v>1.8600999999999999E-2</v>
      </c>
      <c r="BA28" s="154">
        <v>8.2000000000000001E-5</v>
      </c>
    </row>
    <row r="29" spans="1:53">
      <c r="A29" s="155">
        <v>274</v>
      </c>
      <c r="B29" s="155">
        <v>274</v>
      </c>
      <c r="C29" s="155"/>
      <c r="D29"/>
      <c r="E29"/>
      <c r="F29" s="155">
        <v>8070088</v>
      </c>
      <c r="G29" t="s">
        <v>245</v>
      </c>
      <c r="H29" t="s">
        <v>1184</v>
      </c>
      <c r="I29" t="s">
        <v>53</v>
      </c>
      <c r="J29"/>
      <c r="K29" t="s">
        <v>163</v>
      </c>
      <c r="L29" t="s">
        <v>62</v>
      </c>
      <c r="M29" t="s">
        <v>55</v>
      </c>
      <c r="N29" s="155"/>
      <c r="O29" s="156">
        <v>38258</v>
      </c>
      <c r="P29" t="s">
        <v>1296</v>
      </c>
      <c r="Q29" t="s">
        <v>70</v>
      </c>
      <c r="R29" t="s">
        <v>779</v>
      </c>
      <c r="S29" t="s">
        <v>1222</v>
      </c>
      <c r="T29" s="151">
        <v>1.23</v>
      </c>
      <c r="U29" t="s">
        <v>1932</v>
      </c>
      <c r="V29" s="154">
        <v>5.1694999999999998E-2</v>
      </c>
      <c r="W29"/>
      <c r="X29"/>
      <c r="Y29" s="154"/>
      <c r="Z29" s="154">
        <v>2.5999999999999999E-2</v>
      </c>
      <c r="AA29" s="156">
        <v>46568</v>
      </c>
      <c r="AB29" t="s">
        <v>620</v>
      </c>
      <c r="AC29"/>
      <c r="AD29" s="153"/>
      <c r="AE29" s="154"/>
      <c r="AF29" s="156"/>
      <c r="AG29"/>
      <c r="AH29"/>
      <c r="AI29"/>
      <c r="AJ29" t="s">
        <v>55</v>
      </c>
      <c r="AK29" t="s">
        <v>775</v>
      </c>
      <c r="AL29"/>
      <c r="AM29" t="s">
        <v>305</v>
      </c>
      <c r="AN29" s="156">
        <v>45838</v>
      </c>
      <c r="AO29" s="156"/>
      <c r="AP29" s="154"/>
      <c r="AQ29" s="151">
        <v>16749.439999999999</v>
      </c>
      <c r="AR29" s="151">
        <v>158.69999999999999</v>
      </c>
      <c r="AS29" s="151">
        <v>1</v>
      </c>
      <c r="AT29" s="151">
        <v>26.58136</v>
      </c>
      <c r="AU29" s="151">
        <v>26.58136</v>
      </c>
      <c r="AV29" s="153"/>
      <c r="AW29" s="153"/>
      <c r="AX29"/>
      <c r="AY29"/>
      <c r="AZ29" s="154">
        <v>1.449E-3</v>
      </c>
      <c r="BA29" s="154">
        <v>6.0000000000000002E-6</v>
      </c>
    </row>
    <row r="30" spans="1:53">
      <c r="A30" s="155">
        <v>274</v>
      </c>
      <c r="B30" s="155">
        <v>274</v>
      </c>
      <c r="C30" s="155"/>
      <c r="D30"/>
      <c r="E30"/>
      <c r="F30" s="155">
        <v>8070070</v>
      </c>
      <c r="G30" t="s">
        <v>245</v>
      </c>
      <c r="H30" t="s">
        <v>1184</v>
      </c>
      <c r="I30" t="s">
        <v>53</v>
      </c>
      <c r="J30"/>
      <c r="K30" t="s">
        <v>163</v>
      </c>
      <c r="L30" t="s">
        <v>62</v>
      </c>
      <c r="M30" t="s">
        <v>55</v>
      </c>
      <c r="N30" s="155"/>
      <c r="O30" s="156">
        <v>38258</v>
      </c>
      <c r="P30" t="s">
        <v>1296</v>
      </c>
      <c r="Q30" t="s">
        <v>70</v>
      </c>
      <c r="R30" t="s">
        <v>779</v>
      </c>
      <c r="S30" t="s">
        <v>1222</v>
      </c>
      <c r="T30" s="151">
        <v>1.23</v>
      </c>
      <c r="U30" t="s">
        <v>1932</v>
      </c>
      <c r="V30" s="154">
        <v>5.1694999999999998E-2</v>
      </c>
      <c r="W30"/>
      <c r="X30"/>
      <c r="Y30" s="154"/>
      <c r="Z30" s="154">
        <v>2.5999999999999999E-2</v>
      </c>
      <c r="AA30" s="156">
        <v>46568</v>
      </c>
      <c r="AB30" t="s">
        <v>620</v>
      </c>
      <c r="AC30"/>
      <c r="AD30" s="153"/>
      <c r="AE30" s="154"/>
      <c r="AF30" s="156"/>
      <c r="AG30"/>
      <c r="AH30"/>
      <c r="AI30"/>
      <c r="AJ30" t="s">
        <v>55</v>
      </c>
      <c r="AK30" t="s">
        <v>775</v>
      </c>
      <c r="AL30"/>
      <c r="AM30" t="s">
        <v>305</v>
      </c>
      <c r="AN30" s="156">
        <v>45838</v>
      </c>
      <c r="AO30" s="156"/>
      <c r="AP30" s="154"/>
      <c r="AQ30" s="151">
        <v>65949.72</v>
      </c>
      <c r="AR30" s="151">
        <v>161.09</v>
      </c>
      <c r="AS30" s="151">
        <v>1</v>
      </c>
      <c r="AT30" s="151">
        <v>106.2384</v>
      </c>
      <c r="AU30" s="151">
        <v>106.2384</v>
      </c>
      <c r="AV30" s="153"/>
      <c r="AW30" s="153"/>
      <c r="AX30"/>
      <c r="AY30"/>
      <c r="AZ30" s="154">
        <v>5.7930000000000004E-3</v>
      </c>
      <c r="BA30" s="154">
        <v>2.5000000000000001E-5</v>
      </c>
    </row>
    <row r="31" spans="1:53">
      <c r="A31" s="155">
        <v>274</v>
      </c>
      <c r="B31" s="155">
        <v>274</v>
      </c>
      <c r="C31" s="155"/>
      <c r="D31"/>
      <c r="E31"/>
      <c r="F31" s="155">
        <v>8070062</v>
      </c>
      <c r="G31" t="s">
        <v>245</v>
      </c>
      <c r="H31" t="s">
        <v>1184</v>
      </c>
      <c r="I31" t="s">
        <v>53</v>
      </c>
      <c r="J31"/>
      <c r="K31" t="s">
        <v>163</v>
      </c>
      <c r="L31" t="s">
        <v>62</v>
      </c>
      <c r="M31" t="s">
        <v>55</v>
      </c>
      <c r="N31" s="155"/>
      <c r="O31" s="156">
        <v>38258</v>
      </c>
      <c r="P31" t="s">
        <v>1296</v>
      </c>
      <c r="Q31" t="s">
        <v>70</v>
      </c>
      <c r="R31" t="s">
        <v>779</v>
      </c>
      <c r="S31" t="s">
        <v>1222</v>
      </c>
      <c r="T31" s="151">
        <v>1.23</v>
      </c>
      <c r="U31" t="s">
        <v>1932</v>
      </c>
      <c r="V31" s="154">
        <v>5.1694999999999998E-2</v>
      </c>
      <c r="W31"/>
      <c r="X31"/>
      <c r="Y31" s="154"/>
      <c r="Z31" s="154">
        <v>2.5999999999999999E-2</v>
      </c>
      <c r="AA31" s="156">
        <v>46568</v>
      </c>
      <c r="AB31" t="s">
        <v>620</v>
      </c>
      <c r="AC31"/>
      <c r="AD31" s="153"/>
      <c r="AE31" s="154"/>
      <c r="AF31" s="156"/>
      <c r="AG31"/>
      <c r="AH31"/>
      <c r="AI31"/>
      <c r="AJ31" t="s">
        <v>55</v>
      </c>
      <c r="AK31" t="s">
        <v>775</v>
      </c>
      <c r="AL31"/>
      <c r="AM31" t="s">
        <v>305</v>
      </c>
      <c r="AN31" s="156">
        <v>45838</v>
      </c>
      <c r="AO31" s="156"/>
      <c r="AP31" s="154"/>
      <c r="AQ31" s="151">
        <v>70217.850000000006</v>
      </c>
      <c r="AR31" s="151">
        <v>159.84</v>
      </c>
      <c r="AS31" s="151">
        <v>1</v>
      </c>
      <c r="AT31" s="151">
        <v>112.23621</v>
      </c>
      <c r="AU31" s="151">
        <v>112.23621</v>
      </c>
      <c r="AV31" s="153"/>
      <c r="AW31" s="153"/>
      <c r="AX31"/>
      <c r="AY31"/>
      <c r="AZ31" s="154">
        <v>6.1199999999999996E-3</v>
      </c>
      <c r="BA31" s="154">
        <v>2.6999999999999999E-5</v>
      </c>
    </row>
    <row r="32" spans="1:53">
      <c r="A32" s="155">
        <v>274</v>
      </c>
      <c r="B32" s="155">
        <v>274</v>
      </c>
      <c r="C32" s="155"/>
      <c r="D32"/>
      <c r="E32"/>
      <c r="F32" s="155">
        <v>8070054</v>
      </c>
      <c r="G32" t="s">
        <v>245</v>
      </c>
      <c r="H32" t="s">
        <v>1184</v>
      </c>
      <c r="I32" t="s">
        <v>53</v>
      </c>
      <c r="J32"/>
      <c r="K32" t="s">
        <v>163</v>
      </c>
      <c r="L32" t="s">
        <v>62</v>
      </c>
      <c r="M32" t="s">
        <v>55</v>
      </c>
      <c r="N32" s="155"/>
      <c r="O32" s="156">
        <v>38258</v>
      </c>
      <c r="P32" t="s">
        <v>1296</v>
      </c>
      <c r="Q32" t="s">
        <v>70</v>
      </c>
      <c r="R32" t="s">
        <v>779</v>
      </c>
      <c r="S32" t="s">
        <v>1222</v>
      </c>
      <c r="T32" s="151">
        <v>1.23</v>
      </c>
      <c r="U32" t="s">
        <v>1932</v>
      </c>
      <c r="V32" s="154">
        <v>5.1694999999999998E-2</v>
      </c>
      <c r="W32"/>
      <c r="X32"/>
      <c r="Y32" s="154"/>
      <c r="Z32" s="154">
        <v>2.5999999999999999E-2</v>
      </c>
      <c r="AA32" s="156">
        <v>46568</v>
      </c>
      <c r="AB32" t="s">
        <v>620</v>
      </c>
      <c r="AC32"/>
      <c r="AD32" s="153"/>
      <c r="AE32" s="154"/>
      <c r="AF32" s="156"/>
      <c r="AG32"/>
      <c r="AH32"/>
      <c r="AI32"/>
      <c r="AJ32" t="s">
        <v>55</v>
      </c>
      <c r="AK32" t="s">
        <v>775</v>
      </c>
      <c r="AL32"/>
      <c r="AM32" t="s">
        <v>305</v>
      </c>
      <c r="AN32" s="156">
        <v>45838</v>
      </c>
      <c r="AO32" s="156"/>
      <c r="AP32" s="154"/>
      <c r="AQ32" s="151">
        <v>69262.649999999994</v>
      </c>
      <c r="AR32" s="151">
        <v>159.84</v>
      </c>
      <c r="AS32" s="151">
        <v>1</v>
      </c>
      <c r="AT32" s="151">
        <v>110.70941999999999</v>
      </c>
      <c r="AU32" s="151">
        <v>110.70941999999999</v>
      </c>
      <c r="AV32" s="153"/>
      <c r="AW32" s="153"/>
      <c r="AX32"/>
      <c r="AY32"/>
      <c r="AZ32" s="154">
        <v>6.0359999999999997E-3</v>
      </c>
      <c r="BA32" s="154">
        <v>2.5999999999999998E-5</v>
      </c>
    </row>
    <row r="33" spans="1:53">
      <c r="A33" s="155">
        <v>274</v>
      </c>
      <c r="B33" s="155">
        <v>274</v>
      </c>
      <c r="C33" s="155"/>
      <c r="D33"/>
      <c r="E33"/>
      <c r="F33" s="155">
        <v>8070047</v>
      </c>
      <c r="G33" t="s">
        <v>245</v>
      </c>
      <c r="H33" t="s">
        <v>1184</v>
      </c>
      <c r="I33" t="s">
        <v>53</v>
      </c>
      <c r="J33"/>
      <c r="K33" t="s">
        <v>163</v>
      </c>
      <c r="L33" t="s">
        <v>62</v>
      </c>
      <c r="M33" t="s">
        <v>55</v>
      </c>
      <c r="N33" s="155"/>
      <c r="O33" s="156">
        <v>38258</v>
      </c>
      <c r="P33" t="s">
        <v>1296</v>
      </c>
      <c r="Q33" t="s">
        <v>70</v>
      </c>
      <c r="R33" t="s">
        <v>779</v>
      </c>
      <c r="S33" t="s">
        <v>1222</v>
      </c>
      <c r="T33" s="151">
        <v>1.23</v>
      </c>
      <c r="U33" t="s">
        <v>1932</v>
      </c>
      <c r="V33" s="154">
        <v>5.1694999999999998E-2</v>
      </c>
      <c r="W33"/>
      <c r="X33"/>
      <c r="Y33" s="154"/>
      <c r="Z33" s="154">
        <v>2.5999999999999999E-2</v>
      </c>
      <c r="AA33" s="156">
        <v>46568</v>
      </c>
      <c r="AB33" t="s">
        <v>620</v>
      </c>
      <c r="AC33"/>
      <c r="AD33" s="153"/>
      <c r="AE33" s="154"/>
      <c r="AF33" s="156"/>
      <c r="AG33"/>
      <c r="AH33"/>
      <c r="AI33"/>
      <c r="AJ33" t="s">
        <v>55</v>
      </c>
      <c r="AK33" t="s">
        <v>775</v>
      </c>
      <c r="AL33"/>
      <c r="AM33" t="s">
        <v>305</v>
      </c>
      <c r="AN33" s="156">
        <v>45838</v>
      </c>
      <c r="AO33" s="156"/>
      <c r="AP33" s="154"/>
      <c r="AQ33" s="151">
        <v>59350.27</v>
      </c>
      <c r="AR33" s="151">
        <v>159.84</v>
      </c>
      <c r="AS33" s="151">
        <v>1</v>
      </c>
      <c r="AT33" s="151">
        <v>94.865470000000002</v>
      </c>
      <c r="AU33" s="151">
        <v>94.865470000000002</v>
      </c>
      <c r="AV33" s="153"/>
      <c r="AW33" s="153"/>
      <c r="AX33"/>
      <c r="AY33"/>
      <c r="AZ33" s="154">
        <v>5.1729999999999996E-3</v>
      </c>
      <c r="BA33" s="154">
        <v>2.3E-5</v>
      </c>
    </row>
    <row r="34" spans="1:53">
      <c r="A34" s="155">
        <v>274</v>
      </c>
      <c r="B34" s="155">
        <v>274</v>
      </c>
      <c r="C34" s="155"/>
      <c r="D34"/>
      <c r="E34"/>
      <c r="F34" s="155">
        <v>8070039</v>
      </c>
      <c r="G34" t="s">
        <v>245</v>
      </c>
      <c r="H34" t="s">
        <v>1184</v>
      </c>
      <c r="I34" t="s">
        <v>53</v>
      </c>
      <c r="J34"/>
      <c r="K34" t="s">
        <v>163</v>
      </c>
      <c r="L34" t="s">
        <v>62</v>
      </c>
      <c r="M34" t="s">
        <v>55</v>
      </c>
      <c r="N34" s="155"/>
      <c r="O34" s="156">
        <v>38258</v>
      </c>
      <c r="P34" t="s">
        <v>1296</v>
      </c>
      <c r="Q34" t="s">
        <v>70</v>
      </c>
      <c r="R34" t="s">
        <v>779</v>
      </c>
      <c r="S34" t="s">
        <v>1222</v>
      </c>
      <c r="T34" s="151">
        <v>1.23</v>
      </c>
      <c r="U34" t="s">
        <v>1932</v>
      </c>
      <c r="V34" s="154">
        <v>5.1694999999999998E-2</v>
      </c>
      <c r="W34"/>
      <c r="X34"/>
      <c r="Y34" s="154"/>
      <c r="Z34" s="154">
        <v>2.5999999999999999E-2</v>
      </c>
      <c r="AA34" s="156">
        <v>46568</v>
      </c>
      <c r="AB34" t="s">
        <v>620</v>
      </c>
      <c r="AC34"/>
      <c r="AD34" s="153"/>
      <c r="AE34" s="154"/>
      <c r="AF34" s="156"/>
      <c r="AG34"/>
      <c r="AH34"/>
      <c r="AI34"/>
      <c r="AJ34" t="s">
        <v>55</v>
      </c>
      <c r="AK34" t="s">
        <v>775</v>
      </c>
      <c r="AL34"/>
      <c r="AM34" t="s">
        <v>305</v>
      </c>
      <c r="AN34" s="156">
        <v>45838</v>
      </c>
      <c r="AO34" s="156"/>
      <c r="AP34" s="154"/>
      <c r="AQ34" s="151">
        <v>51790.57</v>
      </c>
      <c r="AR34" s="151">
        <v>161.5</v>
      </c>
      <c r="AS34" s="151">
        <v>1</v>
      </c>
      <c r="AT34" s="151">
        <v>83.641769999999994</v>
      </c>
      <c r="AU34" s="151">
        <v>83.641769999999994</v>
      </c>
      <c r="AV34" s="153"/>
      <c r="AW34" s="153"/>
      <c r="AX34"/>
      <c r="AY34"/>
      <c r="AZ34" s="154">
        <v>4.5599999999999998E-3</v>
      </c>
      <c r="BA34" s="154">
        <v>2.0000000000000002E-5</v>
      </c>
    </row>
    <row r="35" spans="1:53">
      <c r="A35" s="155">
        <v>274</v>
      </c>
      <c r="B35" s="155">
        <v>274</v>
      </c>
      <c r="C35" s="155"/>
      <c r="D35"/>
      <c r="E35"/>
      <c r="F35" s="155">
        <v>8070021</v>
      </c>
      <c r="G35" t="s">
        <v>245</v>
      </c>
      <c r="H35" t="s">
        <v>1184</v>
      </c>
      <c r="I35" t="s">
        <v>53</v>
      </c>
      <c r="J35"/>
      <c r="K35" t="s">
        <v>163</v>
      </c>
      <c r="L35" t="s">
        <v>62</v>
      </c>
      <c r="M35" t="s">
        <v>55</v>
      </c>
      <c r="N35" s="155"/>
      <c r="O35" s="156">
        <v>38258</v>
      </c>
      <c r="P35" t="s">
        <v>1296</v>
      </c>
      <c r="Q35" t="s">
        <v>70</v>
      </c>
      <c r="R35" t="s">
        <v>779</v>
      </c>
      <c r="S35" t="s">
        <v>1222</v>
      </c>
      <c r="T35" s="151">
        <v>1.23</v>
      </c>
      <c r="U35" t="s">
        <v>1932</v>
      </c>
      <c r="V35" s="154">
        <v>5.1694999999999998E-2</v>
      </c>
      <c r="W35"/>
      <c r="X35"/>
      <c r="Y35" s="154"/>
      <c r="Z35" s="154">
        <v>2.5999999999999999E-2</v>
      </c>
      <c r="AA35" s="156">
        <v>46568</v>
      </c>
      <c r="AB35" t="s">
        <v>620</v>
      </c>
      <c r="AC35"/>
      <c r="AD35" s="153"/>
      <c r="AE35" s="154"/>
      <c r="AF35" s="156"/>
      <c r="AG35"/>
      <c r="AH35"/>
      <c r="AI35"/>
      <c r="AJ35" t="s">
        <v>55</v>
      </c>
      <c r="AK35" t="s">
        <v>775</v>
      </c>
      <c r="AL35"/>
      <c r="AM35" t="s">
        <v>305</v>
      </c>
      <c r="AN35" s="156">
        <v>45838</v>
      </c>
      <c r="AO35" s="156"/>
      <c r="AP35" s="154"/>
      <c r="AQ35" s="151">
        <v>4602.6400000000003</v>
      </c>
      <c r="AR35" s="151">
        <v>159.99</v>
      </c>
      <c r="AS35" s="151">
        <v>1</v>
      </c>
      <c r="AT35" s="151">
        <v>7.3637600000000001</v>
      </c>
      <c r="AU35" s="151">
        <v>7.3637600000000001</v>
      </c>
      <c r="AV35" s="153"/>
      <c r="AW35" s="153"/>
      <c r="AX35"/>
      <c r="AY35"/>
      <c r="AZ35" s="154">
        <v>4.0099999999999999E-4</v>
      </c>
      <c r="BA35" s="154">
        <v>9.9999999999999995E-7</v>
      </c>
    </row>
    <row r="36" spans="1:53">
      <c r="A36" s="155">
        <v>274</v>
      </c>
      <c r="B36" s="155">
        <v>274</v>
      </c>
      <c r="C36" s="155"/>
      <c r="D36"/>
      <c r="E36"/>
      <c r="F36" s="155">
        <v>8070013</v>
      </c>
      <c r="G36" t="s">
        <v>245</v>
      </c>
      <c r="H36" t="s">
        <v>1184</v>
      </c>
      <c r="I36" t="s">
        <v>53</v>
      </c>
      <c r="J36"/>
      <c r="K36" t="s">
        <v>163</v>
      </c>
      <c r="L36" t="s">
        <v>62</v>
      </c>
      <c r="M36" t="s">
        <v>55</v>
      </c>
      <c r="N36" s="155"/>
      <c r="O36" s="156">
        <v>38258</v>
      </c>
      <c r="P36" t="s">
        <v>1296</v>
      </c>
      <c r="Q36" t="s">
        <v>70</v>
      </c>
      <c r="R36" t="s">
        <v>779</v>
      </c>
      <c r="S36" t="s">
        <v>1222</v>
      </c>
      <c r="T36" s="151">
        <v>1.23</v>
      </c>
      <c r="U36" t="s">
        <v>1932</v>
      </c>
      <c r="V36" s="154">
        <v>5.1694999999999998E-2</v>
      </c>
      <c r="W36"/>
      <c r="X36"/>
      <c r="Y36" s="154"/>
      <c r="Z36" s="154">
        <v>2.5999999999999999E-2</v>
      </c>
      <c r="AA36" s="156">
        <v>46568</v>
      </c>
      <c r="AB36" t="s">
        <v>620</v>
      </c>
      <c r="AC36"/>
      <c r="AD36" s="153"/>
      <c r="AE36" s="154"/>
      <c r="AF36" s="156"/>
      <c r="AG36"/>
      <c r="AH36"/>
      <c r="AI36"/>
      <c r="AJ36" t="s">
        <v>55</v>
      </c>
      <c r="AK36" t="s">
        <v>775</v>
      </c>
      <c r="AL36"/>
      <c r="AM36" t="s">
        <v>305</v>
      </c>
      <c r="AN36" s="156">
        <v>45838</v>
      </c>
      <c r="AO36" s="156"/>
      <c r="AP36" s="154"/>
      <c r="AQ36" s="151">
        <v>119625.79</v>
      </c>
      <c r="AR36" s="151">
        <v>160.74</v>
      </c>
      <c r="AS36" s="151">
        <v>1</v>
      </c>
      <c r="AT36" s="151">
        <v>192.28648999999999</v>
      </c>
      <c r="AU36" s="151">
        <v>192.28648999999999</v>
      </c>
      <c r="AV36" s="153"/>
      <c r="AW36" s="153"/>
      <c r="AX36"/>
      <c r="AY36"/>
      <c r="AZ36" s="154">
        <v>1.0485E-2</v>
      </c>
      <c r="BA36" s="154">
        <v>4.6E-5</v>
      </c>
    </row>
    <row r="37" spans="1:53">
      <c r="A37" s="155">
        <v>274</v>
      </c>
      <c r="B37" s="155">
        <v>274</v>
      </c>
      <c r="C37" s="155"/>
      <c r="D37"/>
      <c r="E37"/>
      <c r="F37" s="155">
        <v>71000209</v>
      </c>
      <c r="G37" t="s">
        <v>245</v>
      </c>
      <c r="H37" t="s">
        <v>1184</v>
      </c>
      <c r="I37" t="s">
        <v>53</v>
      </c>
      <c r="J37"/>
      <c r="K37" t="s">
        <v>264</v>
      </c>
      <c r="L37" t="s">
        <v>62</v>
      </c>
      <c r="M37" t="s">
        <v>55</v>
      </c>
      <c r="N37" s="155"/>
      <c r="O37" s="156">
        <v>44858</v>
      </c>
      <c r="P37" t="s">
        <v>1933</v>
      </c>
      <c r="Q37" t="s">
        <v>70</v>
      </c>
      <c r="R37" t="s">
        <v>779</v>
      </c>
      <c r="S37" t="s">
        <v>1222</v>
      </c>
      <c r="T37" s="151">
        <v>4.8099999999999996</v>
      </c>
      <c r="U37" t="s">
        <v>1932</v>
      </c>
      <c r="V37" s="154">
        <v>3.49E-2</v>
      </c>
      <c r="W37"/>
      <c r="X37"/>
      <c r="Y37" s="154"/>
      <c r="Z37" s="154">
        <v>3.3599999999999998E-2</v>
      </c>
      <c r="AA37" s="156">
        <v>48667</v>
      </c>
      <c r="AB37" t="s">
        <v>620</v>
      </c>
      <c r="AC37"/>
      <c r="AD37" s="153"/>
      <c r="AE37" s="154"/>
      <c r="AF37" s="156"/>
      <c r="AG37"/>
      <c r="AH37"/>
      <c r="AI37"/>
      <c r="AJ37" t="s">
        <v>55</v>
      </c>
      <c r="AK37" t="s">
        <v>775</v>
      </c>
      <c r="AL37"/>
      <c r="AM37" t="s">
        <v>305</v>
      </c>
      <c r="AN37" s="156">
        <v>45838</v>
      </c>
      <c r="AO37" s="156"/>
      <c r="AP37" s="154"/>
      <c r="AQ37" s="151">
        <v>41212.589999999997</v>
      </c>
      <c r="AR37" s="151">
        <v>111.15</v>
      </c>
      <c r="AS37" s="151">
        <v>1</v>
      </c>
      <c r="AT37" s="151">
        <v>45.807789999999997</v>
      </c>
      <c r="AU37" s="151">
        <v>45.807789999999997</v>
      </c>
      <c r="AV37" s="153"/>
      <c r="AW37" s="153"/>
      <c r="AX37"/>
      <c r="AY37"/>
      <c r="AZ37" s="154">
        <v>2.4970000000000001E-3</v>
      </c>
      <c r="BA37" s="154">
        <v>1.1E-5</v>
      </c>
    </row>
    <row r="38" spans="1:53">
      <c r="A38" s="155">
        <v>274</v>
      </c>
      <c r="B38" s="155">
        <v>274</v>
      </c>
      <c r="C38" s="155"/>
      <c r="D38"/>
      <c r="E38"/>
      <c r="F38" s="155">
        <v>71000208</v>
      </c>
      <c r="G38" t="s">
        <v>245</v>
      </c>
      <c r="H38" t="s">
        <v>1184</v>
      </c>
      <c r="I38" t="s">
        <v>53</v>
      </c>
      <c r="J38"/>
      <c r="K38" t="s">
        <v>264</v>
      </c>
      <c r="L38" t="s">
        <v>62</v>
      </c>
      <c r="M38" t="s">
        <v>55</v>
      </c>
      <c r="N38" s="155"/>
      <c r="O38" s="156">
        <v>44858</v>
      </c>
      <c r="P38" t="s">
        <v>1933</v>
      </c>
      <c r="Q38" t="s">
        <v>70</v>
      </c>
      <c r="R38" t="s">
        <v>779</v>
      </c>
      <c r="S38" t="s">
        <v>1222</v>
      </c>
      <c r="T38" s="151">
        <v>4.91</v>
      </c>
      <c r="U38" t="s">
        <v>1932</v>
      </c>
      <c r="V38" s="154">
        <v>3.49E-2</v>
      </c>
      <c r="W38"/>
      <c r="X38"/>
      <c r="Y38" s="154"/>
      <c r="Z38" s="154">
        <v>3.3500000000000002E-2</v>
      </c>
      <c r="AA38" s="156">
        <v>48667</v>
      </c>
      <c r="AB38" t="s">
        <v>620</v>
      </c>
      <c r="AC38"/>
      <c r="AD38" s="153"/>
      <c r="AE38" s="154"/>
      <c r="AF38" s="156"/>
      <c r="AG38"/>
      <c r="AH38"/>
      <c r="AI38"/>
      <c r="AJ38" t="s">
        <v>55</v>
      </c>
      <c r="AK38" t="s">
        <v>775</v>
      </c>
      <c r="AL38"/>
      <c r="AM38" t="s">
        <v>305</v>
      </c>
      <c r="AN38" s="156">
        <v>45838</v>
      </c>
      <c r="AO38" s="156"/>
      <c r="AP38" s="154"/>
      <c r="AQ38" s="151">
        <v>37354.04</v>
      </c>
      <c r="AR38" s="151">
        <v>111.2</v>
      </c>
      <c r="AS38" s="151">
        <v>1</v>
      </c>
      <c r="AT38" s="151">
        <v>41.537689999999998</v>
      </c>
      <c r="AU38" s="151">
        <v>41.537689999999998</v>
      </c>
      <c r="AV38" s="153"/>
      <c r="AW38" s="153"/>
      <c r="AX38"/>
      <c r="AY38"/>
      <c r="AZ38" s="154">
        <v>2.2650000000000001E-3</v>
      </c>
      <c r="BA38" s="154">
        <v>1.0000000000000001E-5</v>
      </c>
    </row>
    <row r="39" spans="1:53">
      <c r="A39" s="155">
        <v>274</v>
      </c>
      <c r="B39" s="155">
        <v>274</v>
      </c>
      <c r="C39" s="155"/>
      <c r="D39"/>
      <c r="E39"/>
      <c r="F39" s="155">
        <v>71000206</v>
      </c>
      <c r="G39" t="s">
        <v>245</v>
      </c>
      <c r="H39" t="s">
        <v>1184</v>
      </c>
      <c r="I39" t="s">
        <v>53</v>
      </c>
      <c r="J39"/>
      <c r="K39" t="s">
        <v>264</v>
      </c>
      <c r="L39" t="s">
        <v>62</v>
      </c>
      <c r="M39" t="s">
        <v>55</v>
      </c>
      <c r="N39" s="155"/>
      <c r="O39" s="156">
        <v>44858</v>
      </c>
      <c r="P39" t="s">
        <v>1933</v>
      </c>
      <c r="Q39" t="s">
        <v>70</v>
      </c>
      <c r="R39" t="s">
        <v>779</v>
      </c>
      <c r="S39" t="s">
        <v>1222</v>
      </c>
      <c r="T39" s="151">
        <v>4.8499999999999996</v>
      </c>
      <c r="U39" t="s">
        <v>1932</v>
      </c>
      <c r="V39" s="154">
        <v>3.49E-2</v>
      </c>
      <c r="W39"/>
      <c r="X39"/>
      <c r="Y39" s="154"/>
      <c r="Z39" s="154">
        <v>3.3500000000000002E-2</v>
      </c>
      <c r="AA39" s="156">
        <v>48844</v>
      </c>
      <c r="AB39" t="s">
        <v>620</v>
      </c>
      <c r="AC39"/>
      <c r="AD39" s="153"/>
      <c r="AE39" s="154"/>
      <c r="AF39" s="156"/>
      <c r="AG39"/>
      <c r="AH39"/>
      <c r="AI39"/>
      <c r="AJ39" t="s">
        <v>55</v>
      </c>
      <c r="AK39" t="s">
        <v>775</v>
      </c>
      <c r="AL39"/>
      <c r="AM39" t="s">
        <v>305</v>
      </c>
      <c r="AN39" s="156">
        <v>45838</v>
      </c>
      <c r="AO39" s="156"/>
      <c r="AP39" s="154"/>
      <c r="AQ39" s="151">
        <v>49573.78</v>
      </c>
      <c r="AR39" s="151">
        <v>111.16</v>
      </c>
      <c r="AS39" s="151">
        <v>1</v>
      </c>
      <c r="AT39" s="151">
        <v>55.106209999999997</v>
      </c>
      <c r="AU39" s="151">
        <v>55.106209999999997</v>
      </c>
      <c r="AV39" s="153"/>
      <c r="AW39" s="153"/>
      <c r="AX39"/>
      <c r="AY39"/>
      <c r="AZ39" s="154">
        <v>3.0040000000000002E-3</v>
      </c>
      <c r="BA39" s="154">
        <v>1.2999999999999999E-5</v>
      </c>
    </row>
    <row r="40" spans="1:53">
      <c r="A40" s="155">
        <v>274</v>
      </c>
      <c r="B40" s="155">
        <v>274</v>
      </c>
      <c r="C40" s="155"/>
      <c r="D40"/>
      <c r="E40"/>
      <c r="F40" s="155">
        <v>54031</v>
      </c>
      <c r="G40" t="s">
        <v>245</v>
      </c>
      <c r="H40" t="s">
        <v>1184</v>
      </c>
      <c r="I40" t="s">
        <v>53</v>
      </c>
      <c r="J40"/>
      <c r="K40" t="s">
        <v>163</v>
      </c>
      <c r="L40" t="s">
        <v>62</v>
      </c>
      <c r="M40" t="s">
        <v>55</v>
      </c>
      <c r="N40" s="155"/>
      <c r="O40" s="156">
        <v>41597</v>
      </c>
      <c r="P40" t="s">
        <v>1290</v>
      </c>
      <c r="Q40" t="s">
        <v>65</v>
      </c>
      <c r="R40" t="s">
        <v>779</v>
      </c>
      <c r="S40" t="s">
        <v>1222</v>
      </c>
      <c r="T40" s="151">
        <v>3.07</v>
      </c>
      <c r="U40" t="s">
        <v>1932</v>
      </c>
      <c r="V40" s="154">
        <v>5.5E-2</v>
      </c>
      <c r="W40"/>
      <c r="X40"/>
      <c r="Y40" s="154"/>
      <c r="Z40" s="154">
        <v>2.9700000000000001E-2</v>
      </c>
      <c r="AA40" s="156">
        <v>47986</v>
      </c>
      <c r="AB40" t="s">
        <v>620</v>
      </c>
      <c r="AC40"/>
      <c r="AD40" s="153"/>
      <c r="AE40" s="154"/>
      <c r="AF40" s="156"/>
      <c r="AG40"/>
      <c r="AH40"/>
      <c r="AI40"/>
      <c r="AJ40" t="s">
        <v>55</v>
      </c>
      <c r="AK40" t="s">
        <v>775</v>
      </c>
      <c r="AL40"/>
      <c r="AM40" t="s">
        <v>305</v>
      </c>
      <c r="AN40" s="156">
        <v>45838</v>
      </c>
      <c r="AO40" s="156"/>
      <c r="AP40" s="154"/>
      <c r="AQ40" s="151">
        <v>7734.55</v>
      </c>
      <c r="AR40" s="151">
        <v>124.75</v>
      </c>
      <c r="AS40" s="151">
        <v>1</v>
      </c>
      <c r="AT40" s="151">
        <v>9.6488499999999995</v>
      </c>
      <c r="AU40" s="151">
        <v>9.6488499999999995</v>
      </c>
      <c r="AV40" s="153"/>
      <c r="AW40" s="153"/>
      <c r="AX40"/>
      <c r="AY40"/>
      <c r="AZ40" s="154">
        <v>5.2599999999999999E-4</v>
      </c>
      <c r="BA40" s="154">
        <v>1.9999999999999999E-6</v>
      </c>
    </row>
    <row r="41" spans="1:53">
      <c r="A41" s="155">
        <v>274</v>
      </c>
      <c r="B41" s="155">
        <v>274</v>
      </c>
      <c r="C41" s="155"/>
      <c r="D41"/>
      <c r="E41"/>
      <c r="F41" s="155">
        <v>54023</v>
      </c>
      <c r="G41" t="s">
        <v>245</v>
      </c>
      <c r="H41" t="s">
        <v>1184</v>
      </c>
      <c r="I41" t="s">
        <v>53</v>
      </c>
      <c r="J41"/>
      <c r="K41" t="s">
        <v>163</v>
      </c>
      <c r="L41" t="s">
        <v>62</v>
      </c>
      <c r="M41" t="s">
        <v>55</v>
      </c>
      <c r="N41" s="155"/>
      <c r="O41" s="156">
        <v>41571</v>
      </c>
      <c r="P41" t="s">
        <v>1290</v>
      </c>
      <c r="Q41" t="s">
        <v>65</v>
      </c>
      <c r="R41" t="s">
        <v>779</v>
      </c>
      <c r="S41" t="s">
        <v>1222</v>
      </c>
      <c r="T41" s="151">
        <v>3.07</v>
      </c>
      <c r="U41" t="s">
        <v>1932</v>
      </c>
      <c r="V41" s="154">
        <v>5.5E-2</v>
      </c>
      <c r="W41"/>
      <c r="X41"/>
      <c r="Y41" s="154"/>
      <c r="Z41" s="154">
        <v>2.9700000000000001E-2</v>
      </c>
      <c r="AA41" s="156">
        <v>47986</v>
      </c>
      <c r="AB41" t="s">
        <v>620</v>
      </c>
      <c r="AC41"/>
      <c r="AD41" s="153"/>
      <c r="AE41" s="154"/>
      <c r="AF41" s="156"/>
      <c r="AG41"/>
      <c r="AH41"/>
      <c r="AI41"/>
      <c r="AJ41" t="s">
        <v>55</v>
      </c>
      <c r="AK41" t="s">
        <v>775</v>
      </c>
      <c r="AL41"/>
      <c r="AM41" t="s">
        <v>305</v>
      </c>
      <c r="AN41" s="156">
        <v>45838</v>
      </c>
      <c r="AO41" s="156"/>
      <c r="AP41" s="154"/>
      <c r="AQ41" s="151">
        <v>29948.65</v>
      </c>
      <c r="AR41" s="151">
        <v>125.11</v>
      </c>
      <c r="AS41" s="151">
        <v>1</v>
      </c>
      <c r="AT41" s="151">
        <v>37.468760000000003</v>
      </c>
      <c r="AU41" s="151">
        <v>37.468760000000003</v>
      </c>
      <c r="AV41" s="153"/>
      <c r="AW41" s="153"/>
      <c r="AX41"/>
      <c r="AY41"/>
      <c r="AZ41" s="154">
        <v>2.0430000000000001E-3</v>
      </c>
      <c r="BA41" s="154">
        <v>9.0000000000000002E-6</v>
      </c>
    </row>
    <row r="42" spans="1:53">
      <c r="A42" s="155">
        <v>274</v>
      </c>
      <c r="B42" s="155">
        <v>274</v>
      </c>
      <c r="C42" s="155"/>
      <c r="D42"/>
      <c r="E42"/>
      <c r="F42" s="155">
        <v>54015</v>
      </c>
      <c r="G42" t="s">
        <v>245</v>
      </c>
      <c r="H42" t="s">
        <v>1184</v>
      </c>
      <c r="I42" t="s">
        <v>53</v>
      </c>
      <c r="J42"/>
      <c r="K42" t="s">
        <v>163</v>
      </c>
      <c r="L42" t="s">
        <v>62</v>
      </c>
      <c r="M42" t="s">
        <v>55</v>
      </c>
      <c r="N42" s="155"/>
      <c r="O42" s="156">
        <v>41547</v>
      </c>
      <c r="P42" t="s">
        <v>1290</v>
      </c>
      <c r="Q42" t="s">
        <v>65</v>
      </c>
      <c r="R42" t="s">
        <v>779</v>
      </c>
      <c r="S42" t="s">
        <v>1222</v>
      </c>
      <c r="T42" s="151">
        <v>3.06</v>
      </c>
      <c r="U42" t="s">
        <v>1932</v>
      </c>
      <c r="V42" s="154">
        <v>5.5E-2</v>
      </c>
      <c r="W42"/>
      <c r="X42"/>
      <c r="Y42" s="154"/>
      <c r="Z42" s="154">
        <v>3.0599999999999999E-2</v>
      </c>
      <c r="AA42" s="156">
        <v>47986</v>
      </c>
      <c r="AB42" t="s">
        <v>620</v>
      </c>
      <c r="AC42"/>
      <c r="AD42" s="153"/>
      <c r="AE42" s="154"/>
      <c r="AF42" s="156"/>
      <c r="AG42"/>
      <c r="AH42"/>
      <c r="AI42"/>
      <c r="AJ42" t="s">
        <v>55</v>
      </c>
      <c r="AK42" t="s">
        <v>775</v>
      </c>
      <c r="AL42"/>
      <c r="AM42" t="s">
        <v>305</v>
      </c>
      <c r="AN42" s="156">
        <v>45838</v>
      </c>
      <c r="AO42" s="156"/>
      <c r="AP42" s="154"/>
      <c r="AQ42" s="151">
        <v>61421.81</v>
      </c>
      <c r="AR42" s="151">
        <v>124.78</v>
      </c>
      <c r="AS42" s="151">
        <v>1</v>
      </c>
      <c r="AT42" s="151">
        <v>76.642129999999995</v>
      </c>
      <c r="AU42" s="151">
        <v>76.642129999999995</v>
      </c>
      <c r="AV42" s="153"/>
      <c r="AW42" s="153"/>
      <c r="AX42"/>
      <c r="AY42"/>
      <c r="AZ42" s="154">
        <v>4.1790000000000004E-3</v>
      </c>
      <c r="BA42" s="154">
        <v>1.8E-5</v>
      </c>
    </row>
    <row r="43" spans="1:53">
      <c r="A43" s="155">
        <v>274</v>
      </c>
      <c r="B43" s="155">
        <v>274</v>
      </c>
      <c r="C43" s="155"/>
      <c r="D43"/>
      <c r="E43"/>
      <c r="F43" s="155">
        <v>33290</v>
      </c>
      <c r="G43" t="s">
        <v>245</v>
      </c>
      <c r="H43" t="s">
        <v>1184</v>
      </c>
      <c r="I43" t="s">
        <v>53</v>
      </c>
      <c r="J43"/>
      <c r="K43" t="s">
        <v>163</v>
      </c>
      <c r="L43" t="s">
        <v>62</v>
      </c>
      <c r="M43" t="s">
        <v>55</v>
      </c>
      <c r="N43" s="155"/>
      <c r="O43" s="156">
        <v>40933</v>
      </c>
      <c r="P43" t="s">
        <v>1290</v>
      </c>
      <c r="Q43" t="s">
        <v>65</v>
      </c>
      <c r="R43" t="s">
        <v>779</v>
      </c>
      <c r="S43" t="s">
        <v>1222</v>
      </c>
      <c r="T43" s="151">
        <v>3.07</v>
      </c>
      <c r="U43" t="s">
        <v>1932</v>
      </c>
      <c r="V43" s="154">
        <v>5.5309999999999998E-2</v>
      </c>
      <c r="W43"/>
      <c r="X43"/>
      <c r="Y43" s="154"/>
      <c r="Z43" s="154">
        <v>2.98E-2</v>
      </c>
      <c r="AA43" s="156">
        <v>47986</v>
      </c>
      <c r="AB43" t="s">
        <v>620</v>
      </c>
      <c r="AC43"/>
      <c r="AD43" s="153"/>
      <c r="AE43" s="154"/>
      <c r="AF43" s="156"/>
      <c r="AG43"/>
      <c r="AH43"/>
      <c r="AI43"/>
      <c r="AJ43" t="s">
        <v>55</v>
      </c>
      <c r="AK43" t="s">
        <v>775</v>
      </c>
      <c r="AL43"/>
      <c r="AM43" t="s">
        <v>305</v>
      </c>
      <c r="AN43" s="156">
        <v>45838</v>
      </c>
      <c r="AO43" s="156"/>
      <c r="AP43" s="154"/>
      <c r="AQ43" s="151">
        <v>159846.99</v>
      </c>
      <c r="AR43" s="151">
        <v>129.56</v>
      </c>
      <c r="AS43" s="151">
        <v>1</v>
      </c>
      <c r="AT43" s="151">
        <v>207.09775999999999</v>
      </c>
      <c r="AU43" s="151">
        <v>207.09775999999999</v>
      </c>
      <c r="AV43" s="153"/>
      <c r="AW43" s="153"/>
      <c r="AX43"/>
      <c r="AY43"/>
      <c r="AZ43" s="154">
        <v>1.1292999999999999E-2</v>
      </c>
      <c r="BA43" s="154">
        <v>5.0000000000000002E-5</v>
      </c>
    </row>
    <row r="44" spans="1:53">
      <c r="A44" s="155">
        <v>274</v>
      </c>
      <c r="B44" s="155">
        <v>274</v>
      </c>
      <c r="C44" s="155"/>
      <c r="D44"/>
      <c r="E44"/>
      <c r="F44" s="155">
        <v>33266</v>
      </c>
      <c r="G44" t="s">
        <v>245</v>
      </c>
      <c r="H44" t="s">
        <v>1184</v>
      </c>
      <c r="I44" t="s">
        <v>53</v>
      </c>
      <c r="J44"/>
      <c r="K44" t="s">
        <v>163</v>
      </c>
      <c r="L44" t="s">
        <v>62</v>
      </c>
      <c r="M44" t="s">
        <v>55</v>
      </c>
      <c r="N44" s="155"/>
      <c r="O44" s="156">
        <v>40903</v>
      </c>
      <c r="P44" t="s">
        <v>1290</v>
      </c>
      <c r="Q44" t="s">
        <v>65</v>
      </c>
      <c r="R44" t="s">
        <v>779</v>
      </c>
      <c r="S44" t="s">
        <v>1222</v>
      </c>
      <c r="T44" s="151">
        <v>3.06</v>
      </c>
      <c r="U44" t="s">
        <v>1932</v>
      </c>
      <c r="V44" s="154">
        <v>5.6619999999999997E-2</v>
      </c>
      <c r="W44"/>
      <c r="X44"/>
      <c r="Y44" s="154"/>
      <c r="Z44" s="154">
        <v>3.0599999999999999E-2</v>
      </c>
      <c r="AA44" s="156">
        <v>47986</v>
      </c>
      <c r="AB44" t="s">
        <v>620</v>
      </c>
      <c r="AC44"/>
      <c r="AD44" s="153"/>
      <c r="AE44" s="154"/>
      <c r="AF44" s="156"/>
      <c r="AG44"/>
      <c r="AH44"/>
      <c r="AI44"/>
      <c r="AJ44" t="s">
        <v>55</v>
      </c>
      <c r="AK44" t="s">
        <v>775</v>
      </c>
      <c r="AL44"/>
      <c r="AM44" t="s">
        <v>305</v>
      </c>
      <c r="AN44" s="156">
        <v>45838</v>
      </c>
      <c r="AO44" s="156"/>
      <c r="AP44" s="154"/>
      <c r="AQ44" s="151">
        <v>43347.43</v>
      </c>
      <c r="AR44" s="151">
        <v>129.76</v>
      </c>
      <c r="AS44" s="151">
        <v>1</v>
      </c>
      <c r="AT44" s="151">
        <v>56.247630000000001</v>
      </c>
      <c r="AU44" s="151">
        <v>56.247630000000001</v>
      </c>
      <c r="AV44" s="153"/>
      <c r="AW44" s="153"/>
      <c r="AX44"/>
      <c r="AY44"/>
      <c r="AZ44" s="154">
        <v>3.0669999999999998E-3</v>
      </c>
      <c r="BA44" s="154">
        <v>1.2999999999999999E-5</v>
      </c>
    </row>
    <row r="45" spans="1:53">
      <c r="A45" s="155">
        <v>274</v>
      </c>
      <c r="B45" s="155">
        <v>274</v>
      </c>
      <c r="C45" s="155"/>
      <c r="D45"/>
      <c r="E45"/>
      <c r="F45" s="155">
        <v>33241</v>
      </c>
      <c r="G45" t="s">
        <v>245</v>
      </c>
      <c r="H45" t="s">
        <v>1184</v>
      </c>
      <c r="I45" t="s">
        <v>53</v>
      </c>
      <c r="J45"/>
      <c r="K45" t="s">
        <v>163</v>
      </c>
      <c r="L45" t="s">
        <v>62</v>
      </c>
      <c r="M45" t="s">
        <v>55</v>
      </c>
      <c r="N45" s="155"/>
      <c r="O45" s="156">
        <v>40993</v>
      </c>
      <c r="P45" t="s">
        <v>1290</v>
      </c>
      <c r="Q45" t="s">
        <v>65</v>
      </c>
      <c r="R45" t="s">
        <v>779</v>
      </c>
      <c r="S45" t="s">
        <v>1222</v>
      </c>
      <c r="T45" s="151">
        <v>3.06</v>
      </c>
      <c r="U45" t="s">
        <v>1932</v>
      </c>
      <c r="V45" s="154">
        <v>5.5452000000000001E-2</v>
      </c>
      <c r="W45"/>
      <c r="X45"/>
      <c r="Y45" s="154"/>
      <c r="Z45" s="154">
        <v>2.98E-2</v>
      </c>
      <c r="AA45" s="156">
        <v>47986</v>
      </c>
      <c r="AB45" t="s">
        <v>620</v>
      </c>
      <c r="AC45"/>
      <c r="AD45" s="153"/>
      <c r="AE45" s="154"/>
      <c r="AF45" s="156"/>
      <c r="AG45"/>
      <c r="AH45"/>
      <c r="AI45"/>
      <c r="AJ45" t="s">
        <v>55</v>
      </c>
      <c r="AK45" t="s">
        <v>775</v>
      </c>
      <c r="AL45"/>
      <c r="AM45" t="s">
        <v>305</v>
      </c>
      <c r="AN45" s="156">
        <v>45838</v>
      </c>
      <c r="AO45" s="156"/>
      <c r="AP45" s="154"/>
      <c r="AQ45" s="151">
        <v>93026.76</v>
      </c>
      <c r="AR45" s="151">
        <v>129.61000000000001</v>
      </c>
      <c r="AS45" s="151">
        <v>1</v>
      </c>
      <c r="AT45" s="151">
        <v>120.57198</v>
      </c>
      <c r="AU45" s="151">
        <v>120.57198</v>
      </c>
      <c r="AV45" s="153"/>
      <c r="AW45" s="153"/>
      <c r="AX45"/>
      <c r="AY45"/>
      <c r="AZ45" s="154">
        <v>6.574E-3</v>
      </c>
      <c r="BA45" s="154">
        <v>2.9E-5</v>
      </c>
    </row>
    <row r="46" spans="1:53">
      <c r="A46" s="155">
        <v>274</v>
      </c>
      <c r="B46" s="155">
        <v>274</v>
      </c>
      <c r="C46" s="155"/>
      <c r="D46"/>
      <c r="E46"/>
      <c r="F46" s="155">
        <v>33084</v>
      </c>
      <c r="G46" t="s">
        <v>245</v>
      </c>
      <c r="H46" t="s">
        <v>1184</v>
      </c>
      <c r="I46" t="s">
        <v>53</v>
      </c>
      <c r="J46"/>
      <c r="K46" t="s">
        <v>163</v>
      </c>
      <c r="L46" t="s">
        <v>62</v>
      </c>
      <c r="M46" t="s">
        <v>55</v>
      </c>
      <c r="N46" s="155"/>
      <c r="O46" s="156">
        <v>40871</v>
      </c>
      <c r="P46" t="s">
        <v>1290</v>
      </c>
      <c r="Q46" t="s">
        <v>65</v>
      </c>
      <c r="R46" t="s">
        <v>779</v>
      </c>
      <c r="S46" t="s">
        <v>1222</v>
      </c>
      <c r="T46" s="151">
        <v>3.06</v>
      </c>
      <c r="U46" t="s">
        <v>1932</v>
      </c>
      <c r="V46" s="154">
        <v>5.5888E-2</v>
      </c>
      <c r="W46"/>
      <c r="X46"/>
      <c r="Y46" s="154"/>
      <c r="Z46" s="154">
        <v>2.98E-2</v>
      </c>
      <c r="AA46" s="156">
        <v>47986</v>
      </c>
      <c r="AB46" t="s">
        <v>620</v>
      </c>
      <c r="AC46"/>
      <c r="AD46" s="153"/>
      <c r="AE46" s="154"/>
      <c r="AF46" s="156"/>
      <c r="AG46"/>
      <c r="AH46"/>
      <c r="AI46"/>
      <c r="AJ46" t="s">
        <v>55</v>
      </c>
      <c r="AK46" t="s">
        <v>775</v>
      </c>
      <c r="AL46"/>
      <c r="AM46" t="s">
        <v>305</v>
      </c>
      <c r="AN46" s="156">
        <v>45838</v>
      </c>
      <c r="AO46" s="156"/>
      <c r="AP46" s="154"/>
      <c r="AQ46" s="151">
        <v>42245.19</v>
      </c>
      <c r="AR46" s="151">
        <v>129.65</v>
      </c>
      <c r="AS46" s="151">
        <v>1</v>
      </c>
      <c r="AT46" s="151">
        <v>54.770890000000001</v>
      </c>
      <c r="AU46" s="151">
        <v>54.770890000000001</v>
      </c>
      <c r="AV46" s="153"/>
      <c r="AW46" s="153"/>
      <c r="AX46"/>
      <c r="AY46"/>
      <c r="AZ46" s="154">
        <v>2.9859999999999999E-3</v>
      </c>
      <c r="BA46" s="154">
        <v>1.2999999999999999E-5</v>
      </c>
    </row>
    <row r="47" spans="1:53">
      <c r="A47" s="155">
        <v>274</v>
      </c>
      <c r="B47" s="155">
        <v>274</v>
      </c>
      <c r="C47" s="155"/>
      <c r="D47"/>
      <c r="E47"/>
      <c r="F47" s="155">
        <v>28498</v>
      </c>
      <c r="G47" t="s">
        <v>245</v>
      </c>
      <c r="H47" t="s">
        <v>1184</v>
      </c>
      <c r="I47" t="s">
        <v>53</v>
      </c>
      <c r="J47"/>
      <c r="K47" t="s">
        <v>163</v>
      </c>
      <c r="L47" t="s">
        <v>62</v>
      </c>
      <c r="M47" t="s">
        <v>55</v>
      </c>
      <c r="N47" s="155"/>
      <c r="O47" s="156">
        <v>41512</v>
      </c>
      <c r="P47" t="s">
        <v>1290</v>
      </c>
      <c r="Q47" t="s">
        <v>65</v>
      </c>
      <c r="R47" t="s">
        <v>779</v>
      </c>
      <c r="S47" t="s">
        <v>1222</v>
      </c>
      <c r="T47" s="151">
        <v>3.06</v>
      </c>
      <c r="U47" t="s">
        <v>1932</v>
      </c>
      <c r="V47" s="154">
        <v>5.5E-2</v>
      </c>
      <c r="W47"/>
      <c r="X47"/>
      <c r="Y47" s="154"/>
      <c r="Z47" s="154">
        <v>3.0599999999999999E-2</v>
      </c>
      <c r="AA47" s="156">
        <v>47986</v>
      </c>
      <c r="AB47" t="s">
        <v>620</v>
      </c>
      <c r="AC47"/>
      <c r="AD47" s="153"/>
      <c r="AE47" s="154"/>
      <c r="AF47" s="156"/>
      <c r="AG47"/>
      <c r="AH47"/>
      <c r="AI47"/>
      <c r="AJ47" t="s">
        <v>55</v>
      </c>
      <c r="AK47" t="s">
        <v>775</v>
      </c>
      <c r="AL47"/>
      <c r="AM47" t="s">
        <v>305</v>
      </c>
      <c r="AN47" s="156">
        <v>45838</v>
      </c>
      <c r="AO47" s="156"/>
      <c r="AP47" s="154"/>
      <c r="AQ47" s="151">
        <v>83942.66</v>
      </c>
      <c r="AR47" s="151">
        <v>125.02</v>
      </c>
      <c r="AS47" s="151">
        <v>1</v>
      </c>
      <c r="AT47" s="151">
        <v>104.94511</v>
      </c>
      <c r="AU47" s="151">
        <v>104.94511</v>
      </c>
      <c r="AV47" s="153"/>
      <c r="AW47" s="153"/>
      <c r="AX47"/>
      <c r="AY47"/>
      <c r="AZ47" s="154">
        <v>5.7219999999999997E-3</v>
      </c>
      <c r="BA47" s="154">
        <v>2.5000000000000001E-5</v>
      </c>
    </row>
    <row r="48" spans="1:53">
      <c r="A48" s="155">
        <v>274</v>
      </c>
      <c r="B48" s="155">
        <v>274</v>
      </c>
      <c r="C48" s="155"/>
      <c r="D48"/>
      <c r="E48"/>
      <c r="F48" s="155">
        <v>28464</v>
      </c>
      <c r="G48" t="s">
        <v>245</v>
      </c>
      <c r="H48" t="s">
        <v>1184</v>
      </c>
      <c r="I48" t="s">
        <v>53</v>
      </c>
      <c r="J48"/>
      <c r="K48" t="s">
        <v>163</v>
      </c>
      <c r="L48" t="s">
        <v>62</v>
      </c>
      <c r="M48" t="s">
        <v>55</v>
      </c>
      <c r="N48" s="155"/>
      <c r="O48" s="156">
        <v>41480</v>
      </c>
      <c r="P48" t="s">
        <v>1290</v>
      </c>
      <c r="Q48" t="s">
        <v>65</v>
      </c>
      <c r="R48" t="s">
        <v>779</v>
      </c>
      <c r="S48" t="s">
        <v>1222</v>
      </c>
      <c r="T48" s="151">
        <v>3.07</v>
      </c>
      <c r="U48" t="s">
        <v>1932</v>
      </c>
      <c r="V48" s="154">
        <v>5.5E-2</v>
      </c>
      <c r="W48"/>
      <c r="X48"/>
      <c r="Y48" s="154"/>
      <c r="Z48" s="154">
        <v>2.9700000000000001E-2</v>
      </c>
      <c r="AA48" s="156">
        <v>47986</v>
      </c>
      <c r="AB48" t="s">
        <v>620</v>
      </c>
      <c r="AC48"/>
      <c r="AD48" s="153"/>
      <c r="AE48" s="154"/>
      <c r="AF48" s="156"/>
      <c r="AG48"/>
      <c r="AH48"/>
      <c r="AI48"/>
      <c r="AJ48" t="s">
        <v>55</v>
      </c>
      <c r="AK48" t="s">
        <v>775</v>
      </c>
      <c r="AL48"/>
      <c r="AM48" t="s">
        <v>305</v>
      </c>
      <c r="AN48" s="156">
        <v>45838</v>
      </c>
      <c r="AO48" s="156"/>
      <c r="AP48" s="154"/>
      <c r="AQ48" s="151">
        <v>26924.959999999999</v>
      </c>
      <c r="AR48" s="151">
        <v>125.73</v>
      </c>
      <c r="AS48" s="151">
        <v>1</v>
      </c>
      <c r="AT48" s="151">
        <v>33.85275</v>
      </c>
      <c r="AU48" s="151">
        <v>33.85275</v>
      </c>
      <c r="AV48" s="153"/>
      <c r="AW48" s="153"/>
      <c r="AX48"/>
      <c r="AY48"/>
      <c r="AZ48" s="154">
        <v>1.8450000000000001E-3</v>
      </c>
      <c r="BA48" s="154">
        <v>7.9999999999999996E-6</v>
      </c>
    </row>
    <row r="49" spans="1:53">
      <c r="A49" s="155">
        <v>274</v>
      </c>
      <c r="B49" s="155">
        <v>274</v>
      </c>
      <c r="C49" s="155"/>
      <c r="D49"/>
      <c r="E49"/>
      <c r="F49" s="155">
        <v>28449</v>
      </c>
      <c r="G49" t="s">
        <v>245</v>
      </c>
      <c r="H49" t="s">
        <v>1184</v>
      </c>
      <c r="I49" t="s">
        <v>53</v>
      </c>
      <c r="J49"/>
      <c r="K49" t="s">
        <v>163</v>
      </c>
      <c r="L49" t="s">
        <v>62</v>
      </c>
      <c r="M49" t="s">
        <v>55</v>
      </c>
      <c r="N49" s="155"/>
      <c r="O49" s="156">
        <v>41450</v>
      </c>
      <c r="P49" t="s">
        <v>1290</v>
      </c>
      <c r="Q49" t="s">
        <v>65</v>
      </c>
      <c r="R49" t="s">
        <v>779</v>
      </c>
      <c r="S49" t="s">
        <v>1222</v>
      </c>
      <c r="T49" s="151">
        <v>3.07</v>
      </c>
      <c r="U49" t="s">
        <v>1932</v>
      </c>
      <c r="V49" s="154">
        <v>5.5E-2</v>
      </c>
      <c r="W49"/>
      <c r="X49"/>
      <c r="Y49" s="154"/>
      <c r="Z49" s="154">
        <v>2.9700000000000001E-2</v>
      </c>
      <c r="AA49" s="156">
        <v>47986</v>
      </c>
      <c r="AB49" t="s">
        <v>620</v>
      </c>
      <c r="AC49"/>
      <c r="AD49" s="153"/>
      <c r="AE49" s="154"/>
      <c r="AF49" s="156"/>
      <c r="AG49"/>
      <c r="AH49"/>
      <c r="AI49"/>
      <c r="AJ49" t="s">
        <v>55</v>
      </c>
      <c r="AK49" t="s">
        <v>775</v>
      </c>
      <c r="AL49"/>
      <c r="AM49" t="s">
        <v>305</v>
      </c>
      <c r="AN49" s="156">
        <v>45838</v>
      </c>
      <c r="AO49" s="156"/>
      <c r="AP49" s="154"/>
      <c r="AQ49" s="151">
        <v>30659.23</v>
      </c>
      <c r="AR49" s="151">
        <v>126.73</v>
      </c>
      <c r="AS49" s="151">
        <v>1</v>
      </c>
      <c r="AT49" s="151">
        <v>38.854439999999997</v>
      </c>
      <c r="AU49" s="151">
        <v>38.854439999999997</v>
      </c>
      <c r="AV49" s="153"/>
      <c r="AW49" s="153"/>
      <c r="AX49"/>
      <c r="AY49"/>
      <c r="AZ49" s="154">
        <v>2.1180000000000001E-3</v>
      </c>
      <c r="BA49" s="154">
        <v>9.0000000000000002E-6</v>
      </c>
    </row>
    <row r="50" spans="1:53">
      <c r="A50" s="155">
        <v>274</v>
      </c>
      <c r="B50" s="155">
        <v>274</v>
      </c>
      <c r="C50" s="155"/>
      <c r="D50"/>
      <c r="E50"/>
      <c r="F50" s="155">
        <v>28415</v>
      </c>
      <c r="G50" t="s">
        <v>245</v>
      </c>
      <c r="H50" t="s">
        <v>1184</v>
      </c>
      <c r="I50" t="s">
        <v>53</v>
      </c>
      <c r="J50"/>
      <c r="K50" t="s">
        <v>163</v>
      </c>
      <c r="L50" t="s">
        <v>62</v>
      </c>
      <c r="M50" t="s">
        <v>55</v>
      </c>
      <c r="N50" s="155"/>
      <c r="O50" s="156">
        <v>41422</v>
      </c>
      <c r="P50" t="s">
        <v>1290</v>
      </c>
      <c r="Q50" t="s">
        <v>65</v>
      </c>
      <c r="R50" t="s">
        <v>779</v>
      </c>
      <c r="S50" t="s">
        <v>1222</v>
      </c>
      <c r="T50" s="151">
        <v>3.07</v>
      </c>
      <c r="U50" t="s">
        <v>1932</v>
      </c>
      <c r="V50" s="154">
        <v>5.5E-2</v>
      </c>
      <c r="W50"/>
      <c r="X50"/>
      <c r="Y50" s="154"/>
      <c r="Z50" s="154">
        <v>2.9700000000000001E-2</v>
      </c>
      <c r="AA50" s="156">
        <v>47986</v>
      </c>
      <c r="AB50" t="s">
        <v>620</v>
      </c>
      <c r="AC50"/>
      <c r="AD50" s="153"/>
      <c r="AE50" s="154"/>
      <c r="AF50" s="156"/>
      <c r="AG50"/>
      <c r="AH50"/>
      <c r="AI50"/>
      <c r="AJ50" t="s">
        <v>55</v>
      </c>
      <c r="AK50" t="s">
        <v>775</v>
      </c>
      <c r="AL50"/>
      <c r="AM50" t="s">
        <v>305</v>
      </c>
      <c r="AN50" s="156">
        <v>45838</v>
      </c>
      <c r="AO50" s="156"/>
      <c r="AP50" s="154"/>
      <c r="AQ50" s="151">
        <v>18609.900000000001</v>
      </c>
      <c r="AR50" s="151">
        <v>126.85</v>
      </c>
      <c r="AS50" s="151">
        <v>1</v>
      </c>
      <c r="AT50" s="151">
        <v>23.606660000000002</v>
      </c>
      <c r="AU50" s="151">
        <v>23.606660000000002</v>
      </c>
      <c r="AV50" s="153"/>
      <c r="AW50" s="153"/>
      <c r="AX50"/>
      <c r="AY50"/>
      <c r="AZ50" s="154">
        <v>1.2869999999999999E-3</v>
      </c>
      <c r="BA50" s="154">
        <v>5.0000000000000004E-6</v>
      </c>
    </row>
    <row r="51" spans="1:53">
      <c r="A51" s="155">
        <v>274</v>
      </c>
      <c r="B51" s="155">
        <v>274</v>
      </c>
      <c r="C51" s="155"/>
      <c r="D51"/>
      <c r="E51"/>
      <c r="F51" s="155">
        <v>28134</v>
      </c>
      <c r="G51" t="s">
        <v>245</v>
      </c>
      <c r="H51" t="s">
        <v>1184</v>
      </c>
      <c r="I51" t="s">
        <v>53</v>
      </c>
      <c r="J51"/>
      <c r="K51" t="s">
        <v>163</v>
      </c>
      <c r="L51" t="s">
        <v>62</v>
      </c>
      <c r="M51" t="s">
        <v>55</v>
      </c>
      <c r="N51" s="155"/>
      <c r="O51" s="156">
        <v>42565</v>
      </c>
      <c r="P51" t="s">
        <v>1290</v>
      </c>
      <c r="Q51" t="s">
        <v>65</v>
      </c>
      <c r="R51" t="s">
        <v>779</v>
      </c>
      <c r="S51" t="s">
        <v>1222</v>
      </c>
      <c r="T51" s="151">
        <v>3.06</v>
      </c>
      <c r="U51" t="s">
        <v>1932</v>
      </c>
      <c r="V51" s="154">
        <v>5.5E-2</v>
      </c>
      <c r="W51"/>
      <c r="X51"/>
      <c r="Y51" s="154"/>
      <c r="Z51" s="154">
        <v>2.98E-2</v>
      </c>
      <c r="AA51" s="156">
        <v>47986</v>
      </c>
      <c r="AB51" t="s">
        <v>620</v>
      </c>
      <c r="AC51"/>
      <c r="AD51" s="153"/>
      <c r="AE51" s="154"/>
      <c r="AF51" s="156"/>
      <c r="AG51"/>
      <c r="AH51"/>
      <c r="AI51"/>
      <c r="AJ51" t="s">
        <v>55</v>
      </c>
      <c r="AK51" t="s">
        <v>775</v>
      </c>
      <c r="AL51"/>
      <c r="AM51" t="s">
        <v>305</v>
      </c>
      <c r="AN51" s="156">
        <v>45838</v>
      </c>
      <c r="AO51" s="156"/>
      <c r="AP51" s="154"/>
      <c r="AQ51" s="151">
        <v>213803.58</v>
      </c>
      <c r="AR51" s="151">
        <v>126.97</v>
      </c>
      <c r="AS51" s="151">
        <v>1</v>
      </c>
      <c r="AT51" s="151">
        <v>271.46641</v>
      </c>
      <c r="AU51" s="151">
        <v>271.46641</v>
      </c>
      <c r="AV51" s="153"/>
      <c r="AW51" s="153"/>
      <c r="AX51"/>
      <c r="AY51"/>
      <c r="AZ51" s="154">
        <v>1.4803E-2</v>
      </c>
      <c r="BA51" s="154">
        <v>6.4999999999999994E-5</v>
      </c>
    </row>
    <row r="52" spans="1:53">
      <c r="A52" s="155">
        <v>274</v>
      </c>
      <c r="B52" s="155">
        <v>274</v>
      </c>
      <c r="C52" s="155"/>
      <c r="D52"/>
      <c r="E52"/>
      <c r="F52" s="155">
        <v>24869</v>
      </c>
      <c r="G52" t="s">
        <v>245</v>
      </c>
      <c r="H52" t="s">
        <v>1184</v>
      </c>
      <c r="I52" t="s">
        <v>53</v>
      </c>
      <c r="J52"/>
      <c r="K52" t="s">
        <v>163</v>
      </c>
      <c r="L52" t="s">
        <v>62</v>
      </c>
      <c r="M52" t="s">
        <v>55</v>
      </c>
      <c r="N52" s="155"/>
      <c r="O52" s="156">
        <v>41239</v>
      </c>
      <c r="P52" t="s">
        <v>1290</v>
      </c>
      <c r="Q52" t="s">
        <v>65</v>
      </c>
      <c r="R52" t="s">
        <v>779</v>
      </c>
      <c r="S52" t="s">
        <v>1222</v>
      </c>
      <c r="T52" s="151">
        <v>3.07</v>
      </c>
      <c r="U52" t="s">
        <v>1932</v>
      </c>
      <c r="V52" s="154">
        <v>5.5E-2</v>
      </c>
      <c r="W52"/>
      <c r="X52"/>
      <c r="Y52" s="154"/>
      <c r="Z52" s="154">
        <v>2.98E-2</v>
      </c>
      <c r="AA52" s="156">
        <v>47986</v>
      </c>
      <c r="AB52" t="s">
        <v>620</v>
      </c>
      <c r="AC52"/>
      <c r="AD52" s="153"/>
      <c r="AE52" s="154"/>
      <c r="AF52" s="156"/>
      <c r="AG52"/>
      <c r="AH52"/>
      <c r="AI52"/>
      <c r="AJ52" t="s">
        <v>55</v>
      </c>
      <c r="AK52" t="s">
        <v>775</v>
      </c>
      <c r="AL52"/>
      <c r="AM52" t="s">
        <v>305</v>
      </c>
      <c r="AN52" s="156">
        <v>45838</v>
      </c>
      <c r="AO52" s="156"/>
      <c r="AP52" s="154"/>
      <c r="AQ52" s="151">
        <v>135788.54</v>
      </c>
      <c r="AR52" s="151">
        <v>126.99</v>
      </c>
      <c r="AS52" s="151">
        <v>1</v>
      </c>
      <c r="AT52" s="151">
        <v>172.43787</v>
      </c>
      <c r="AU52" s="151">
        <v>172.43787</v>
      </c>
      <c r="AV52" s="153"/>
      <c r="AW52" s="153"/>
      <c r="AX52"/>
      <c r="AY52"/>
      <c r="AZ52" s="154">
        <v>9.4029999999999999E-3</v>
      </c>
      <c r="BA52" s="154">
        <v>4.1E-5</v>
      </c>
    </row>
    <row r="53" spans="1:53">
      <c r="A53" s="155">
        <v>274</v>
      </c>
      <c r="B53" s="155">
        <v>274</v>
      </c>
      <c r="C53" s="155"/>
      <c r="D53"/>
      <c r="E53"/>
      <c r="F53" s="155">
        <v>24851</v>
      </c>
      <c r="G53" t="s">
        <v>245</v>
      </c>
      <c r="H53" t="s">
        <v>1184</v>
      </c>
      <c r="I53" t="s">
        <v>53</v>
      </c>
      <c r="J53"/>
      <c r="K53" t="s">
        <v>163</v>
      </c>
      <c r="L53" t="s">
        <v>62</v>
      </c>
      <c r="M53" t="s">
        <v>55</v>
      </c>
      <c r="N53" s="155"/>
      <c r="O53" s="156">
        <v>41207</v>
      </c>
      <c r="P53" t="s">
        <v>1290</v>
      </c>
      <c r="Q53" t="s">
        <v>65</v>
      </c>
      <c r="R53" t="s">
        <v>779</v>
      </c>
      <c r="S53" t="s">
        <v>1222</v>
      </c>
      <c r="T53" s="151">
        <v>3.07</v>
      </c>
      <c r="U53" t="s">
        <v>1932</v>
      </c>
      <c r="V53" s="154">
        <v>5.5E-2</v>
      </c>
      <c r="W53"/>
      <c r="X53"/>
      <c r="Y53" s="154"/>
      <c r="Z53" s="154">
        <v>2.9700000000000001E-2</v>
      </c>
      <c r="AA53" s="156">
        <v>47986</v>
      </c>
      <c r="AB53" t="s">
        <v>620</v>
      </c>
      <c r="AC53"/>
      <c r="AD53" s="153"/>
      <c r="AE53" s="154"/>
      <c r="AF53" s="156"/>
      <c r="AG53"/>
      <c r="AH53"/>
      <c r="AI53"/>
      <c r="AJ53" t="s">
        <v>55</v>
      </c>
      <c r="AK53" t="s">
        <v>775</v>
      </c>
      <c r="AL53"/>
      <c r="AM53" t="s">
        <v>305</v>
      </c>
      <c r="AN53" s="156">
        <v>45838</v>
      </c>
      <c r="AO53" s="156"/>
      <c r="AP53" s="154"/>
      <c r="AQ53" s="151">
        <v>15415.24</v>
      </c>
      <c r="AR53" s="151">
        <v>126.79</v>
      </c>
      <c r="AS53" s="151">
        <v>1</v>
      </c>
      <c r="AT53" s="151">
        <v>19.544979999999999</v>
      </c>
      <c r="AU53" s="151">
        <v>19.544979999999999</v>
      </c>
      <c r="AV53" s="153"/>
      <c r="AW53" s="153"/>
      <c r="AX53"/>
      <c r="AY53"/>
      <c r="AZ53" s="154">
        <v>1.065E-3</v>
      </c>
      <c r="BA53" s="154">
        <v>3.9999999999999998E-6</v>
      </c>
    </row>
    <row r="54" spans="1:53">
      <c r="A54" s="155">
        <v>274</v>
      </c>
      <c r="B54" s="155">
        <v>274</v>
      </c>
      <c r="C54" s="155"/>
      <c r="D54"/>
      <c r="E54"/>
      <c r="F54" s="155">
        <v>24828</v>
      </c>
      <c r="G54" t="s">
        <v>245</v>
      </c>
      <c r="H54" t="s">
        <v>1184</v>
      </c>
      <c r="I54" t="s">
        <v>53</v>
      </c>
      <c r="J54"/>
      <c r="K54" t="s">
        <v>163</v>
      </c>
      <c r="L54" t="s">
        <v>62</v>
      </c>
      <c r="M54" t="s">
        <v>55</v>
      </c>
      <c r="N54" s="155"/>
      <c r="O54" s="156">
        <v>41115</v>
      </c>
      <c r="P54" t="s">
        <v>1290</v>
      </c>
      <c r="Q54" t="s">
        <v>65</v>
      </c>
      <c r="R54" t="s">
        <v>779</v>
      </c>
      <c r="S54" t="s">
        <v>1222</v>
      </c>
      <c r="T54" s="151">
        <v>3.07</v>
      </c>
      <c r="U54" t="s">
        <v>1932</v>
      </c>
      <c r="V54" s="154">
        <v>5.5E-2</v>
      </c>
      <c r="W54"/>
      <c r="X54"/>
      <c r="Y54" s="154"/>
      <c r="Z54" s="154">
        <v>2.98E-2</v>
      </c>
      <c r="AA54" s="156">
        <v>47986</v>
      </c>
      <c r="AB54" t="s">
        <v>620</v>
      </c>
      <c r="AC54"/>
      <c r="AD54" s="153"/>
      <c r="AE54" s="154"/>
      <c r="AF54" s="156"/>
      <c r="AG54"/>
      <c r="AH54"/>
      <c r="AI54"/>
      <c r="AJ54" t="s">
        <v>55</v>
      </c>
      <c r="AK54" t="s">
        <v>775</v>
      </c>
      <c r="AL54"/>
      <c r="AM54" t="s">
        <v>305</v>
      </c>
      <c r="AN54" s="156">
        <v>45838</v>
      </c>
      <c r="AO54" s="156"/>
      <c r="AP54" s="154"/>
      <c r="AQ54" s="151">
        <v>53467.49</v>
      </c>
      <c r="AR54" s="151">
        <v>128.19999999999999</v>
      </c>
      <c r="AS54" s="151">
        <v>1</v>
      </c>
      <c r="AT54" s="151">
        <v>68.545320000000004</v>
      </c>
      <c r="AU54" s="151">
        <v>68.545320000000004</v>
      </c>
      <c r="AV54" s="153"/>
      <c r="AW54" s="153"/>
      <c r="AX54"/>
      <c r="AY54"/>
      <c r="AZ54" s="154">
        <v>3.7369999999999999E-3</v>
      </c>
      <c r="BA54" s="154">
        <v>1.5999999999999999E-5</v>
      </c>
    </row>
    <row r="55" spans="1:53">
      <c r="A55" s="155">
        <v>274</v>
      </c>
      <c r="B55" s="155">
        <v>274</v>
      </c>
      <c r="C55" s="155"/>
      <c r="D55"/>
      <c r="E55"/>
      <c r="F55" s="155">
        <v>24794</v>
      </c>
      <c r="G55" t="s">
        <v>245</v>
      </c>
      <c r="H55" t="s">
        <v>1184</v>
      </c>
      <c r="I55" t="s">
        <v>53</v>
      </c>
      <c r="J55"/>
      <c r="K55" t="s">
        <v>163</v>
      </c>
      <c r="L55" t="s">
        <v>62</v>
      </c>
      <c r="M55" t="s">
        <v>55</v>
      </c>
      <c r="N55" s="155"/>
      <c r="O55" s="156">
        <v>41085</v>
      </c>
      <c r="P55" t="s">
        <v>1290</v>
      </c>
      <c r="Q55" t="s">
        <v>65</v>
      </c>
      <c r="R55" t="s">
        <v>779</v>
      </c>
      <c r="S55" t="s">
        <v>1222</v>
      </c>
      <c r="T55" s="151">
        <v>3.07</v>
      </c>
      <c r="U55" t="s">
        <v>1932</v>
      </c>
      <c r="V55" s="154">
        <v>5.5E-2</v>
      </c>
      <c r="W55"/>
      <c r="X55"/>
      <c r="Y55" s="154"/>
      <c r="Z55" s="154">
        <v>2.98E-2</v>
      </c>
      <c r="AA55" s="156">
        <v>47986</v>
      </c>
      <c r="AB55" t="s">
        <v>620</v>
      </c>
      <c r="AC55"/>
      <c r="AD55" s="153"/>
      <c r="AE55" s="154"/>
      <c r="AF55" s="156"/>
      <c r="AG55"/>
      <c r="AH55"/>
      <c r="AI55"/>
      <c r="AJ55" t="s">
        <v>55</v>
      </c>
      <c r="AK55" t="s">
        <v>775</v>
      </c>
      <c r="AL55"/>
      <c r="AM55" t="s">
        <v>305</v>
      </c>
      <c r="AN55" s="156">
        <v>45838</v>
      </c>
      <c r="AO55" s="156"/>
      <c r="AP55" s="154"/>
      <c r="AQ55" s="151">
        <v>120572.11</v>
      </c>
      <c r="AR55" s="151">
        <v>127.84</v>
      </c>
      <c r="AS55" s="151">
        <v>1</v>
      </c>
      <c r="AT55" s="151">
        <v>154.13938999999999</v>
      </c>
      <c r="AU55" s="151">
        <v>154.13938999999999</v>
      </c>
      <c r="AV55" s="153"/>
      <c r="AW55" s="153"/>
      <c r="AX55"/>
      <c r="AY55"/>
      <c r="AZ55" s="154">
        <v>8.4049999999999993E-3</v>
      </c>
      <c r="BA55" s="154">
        <v>3.6999999999999998E-5</v>
      </c>
    </row>
    <row r="56" spans="1:53">
      <c r="A56" s="155">
        <v>274</v>
      </c>
      <c r="B56" s="155">
        <v>274</v>
      </c>
      <c r="C56" s="155"/>
      <c r="D56"/>
      <c r="E56"/>
      <c r="F56" s="155">
        <v>33357</v>
      </c>
      <c r="G56" t="s">
        <v>245</v>
      </c>
      <c r="H56" t="s">
        <v>1184</v>
      </c>
      <c r="I56" t="s">
        <v>53</v>
      </c>
      <c r="J56"/>
      <c r="K56" t="s">
        <v>163</v>
      </c>
      <c r="L56" t="s">
        <v>62</v>
      </c>
      <c r="M56" t="s">
        <v>55</v>
      </c>
      <c r="N56" s="155"/>
      <c r="O56" s="156">
        <v>41053</v>
      </c>
      <c r="P56" t="s">
        <v>1290</v>
      </c>
      <c r="Q56" t="s">
        <v>65</v>
      </c>
      <c r="R56" t="s">
        <v>779</v>
      </c>
      <c r="S56" t="s">
        <v>1222</v>
      </c>
      <c r="T56" s="151">
        <v>3.07</v>
      </c>
      <c r="U56" t="s">
        <v>1932</v>
      </c>
      <c r="V56" s="154">
        <v>5.5E-2</v>
      </c>
      <c r="W56"/>
      <c r="X56"/>
      <c r="Y56" s="154"/>
      <c r="Z56" s="154">
        <v>2.98E-2</v>
      </c>
      <c r="AA56" s="156">
        <v>47986</v>
      </c>
      <c r="AB56" t="s">
        <v>620</v>
      </c>
      <c r="AC56"/>
      <c r="AD56" s="153"/>
      <c r="AE56" s="154"/>
      <c r="AF56" s="156"/>
      <c r="AG56"/>
      <c r="AH56"/>
      <c r="AI56"/>
      <c r="AJ56" t="s">
        <v>55</v>
      </c>
      <c r="AK56" t="s">
        <v>775</v>
      </c>
      <c r="AL56"/>
      <c r="AM56" t="s">
        <v>305</v>
      </c>
      <c r="AN56" s="156">
        <v>45838</v>
      </c>
      <c r="AO56" s="156"/>
      <c r="AP56" s="154"/>
      <c r="AQ56" s="151">
        <v>65525.72</v>
      </c>
      <c r="AR56" s="151">
        <v>127.84</v>
      </c>
      <c r="AS56" s="151">
        <v>1</v>
      </c>
      <c r="AT56" s="151">
        <v>83.768079999999998</v>
      </c>
      <c r="AU56" s="151">
        <v>83.768079999999998</v>
      </c>
      <c r="AV56" s="153"/>
      <c r="AW56" s="153"/>
      <c r="AX56"/>
      <c r="AY56"/>
      <c r="AZ56" s="154">
        <v>4.5669999999999999E-3</v>
      </c>
      <c r="BA56" s="154">
        <v>2.0000000000000002E-5</v>
      </c>
    </row>
    <row r="57" spans="1:53">
      <c r="A57" s="155">
        <v>274</v>
      </c>
      <c r="B57" s="155">
        <v>274</v>
      </c>
      <c r="C57" s="155"/>
      <c r="D57"/>
      <c r="E57"/>
      <c r="F57" s="155">
        <v>34488</v>
      </c>
      <c r="G57" t="s">
        <v>245</v>
      </c>
      <c r="H57" t="s">
        <v>1184</v>
      </c>
      <c r="I57" t="s">
        <v>53</v>
      </c>
      <c r="J57"/>
      <c r="K57" t="s">
        <v>163</v>
      </c>
      <c r="L57" t="s">
        <v>62</v>
      </c>
      <c r="M57" t="s">
        <v>55</v>
      </c>
      <c r="N57" s="155"/>
      <c r="O57" s="156">
        <v>41179</v>
      </c>
      <c r="P57" t="s">
        <v>1290</v>
      </c>
      <c r="Q57" t="s">
        <v>65</v>
      </c>
      <c r="R57" t="s">
        <v>779</v>
      </c>
      <c r="S57" t="s">
        <v>1222</v>
      </c>
      <c r="T57" s="151">
        <v>3.07</v>
      </c>
      <c r="U57" t="s">
        <v>1932</v>
      </c>
      <c r="V57" s="154">
        <v>5.5E-2</v>
      </c>
      <c r="W57"/>
      <c r="X57"/>
      <c r="Y57" s="154"/>
      <c r="Z57" s="154">
        <v>2.98E-2</v>
      </c>
      <c r="AA57" s="156">
        <v>47986</v>
      </c>
      <c r="AB57" t="s">
        <v>620</v>
      </c>
      <c r="AC57"/>
      <c r="AD57" s="153"/>
      <c r="AE57" s="154"/>
      <c r="AF57" s="156"/>
      <c r="AG57"/>
      <c r="AH57"/>
      <c r="AI57"/>
      <c r="AJ57" t="s">
        <v>55</v>
      </c>
      <c r="AK57" t="s">
        <v>775</v>
      </c>
      <c r="AL57"/>
      <c r="AM57" t="s">
        <v>305</v>
      </c>
      <c r="AN57" s="156">
        <v>45838</v>
      </c>
      <c r="AO57" s="156"/>
      <c r="AP57" s="154"/>
      <c r="AQ57" s="151">
        <v>67422.929999999993</v>
      </c>
      <c r="AR57" s="151">
        <v>126.75</v>
      </c>
      <c r="AS57" s="151">
        <v>1</v>
      </c>
      <c r="AT57" s="151">
        <v>85.458560000000006</v>
      </c>
      <c r="AU57" s="151">
        <v>85.458560000000006</v>
      </c>
      <c r="AV57" s="153"/>
      <c r="AW57" s="153"/>
      <c r="AX57"/>
      <c r="AY57"/>
      <c r="AZ57" s="154">
        <v>4.6600000000000001E-3</v>
      </c>
      <c r="BA57" s="154">
        <v>2.0000000000000002E-5</v>
      </c>
    </row>
    <row r="58" spans="1:53">
      <c r="A58" s="155">
        <v>274</v>
      </c>
      <c r="B58" s="155">
        <v>274</v>
      </c>
      <c r="C58" s="155"/>
      <c r="D58"/>
      <c r="E58"/>
      <c r="F58" s="155">
        <v>34777</v>
      </c>
      <c r="G58" t="s">
        <v>245</v>
      </c>
      <c r="H58" t="s">
        <v>1184</v>
      </c>
      <c r="I58" t="s">
        <v>53</v>
      </c>
      <c r="J58"/>
      <c r="K58" t="s">
        <v>156</v>
      </c>
      <c r="L58" t="s">
        <v>62</v>
      </c>
      <c r="M58" t="s">
        <v>55</v>
      </c>
      <c r="N58" s="155"/>
      <c r="O58" s="156">
        <v>41281</v>
      </c>
      <c r="P58" t="s">
        <v>1325</v>
      </c>
      <c r="Q58" t="s">
        <v>70</v>
      </c>
      <c r="R58" t="s">
        <v>779</v>
      </c>
      <c r="S58" t="s">
        <v>1222</v>
      </c>
      <c r="T58" s="151">
        <v>3.56</v>
      </c>
      <c r="U58" t="s">
        <v>1932</v>
      </c>
      <c r="V58" s="154">
        <v>5.3499999999999999E-2</v>
      </c>
      <c r="W58"/>
      <c r="X58"/>
      <c r="Y58" s="154"/>
      <c r="Z58" s="154">
        <v>2.4500000000000001E-2</v>
      </c>
      <c r="AA58" s="156">
        <v>48479</v>
      </c>
      <c r="AB58" t="s">
        <v>620</v>
      </c>
      <c r="AC58"/>
      <c r="AD58" s="153"/>
      <c r="AE58" s="154"/>
      <c r="AF58" s="156"/>
      <c r="AG58"/>
      <c r="AH58"/>
      <c r="AI58"/>
      <c r="AJ58" t="s">
        <v>55</v>
      </c>
      <c r="AK58" t="s">
        <v>775</v>
      </c>
      <c r="AL58"/>
      <c r="AM58" t="s">
        <v>305</v>
      </c>
      <c r="AN58" s="156">
        <v>45838</v>
      </c>
      <c r="AO58" s="156"/>
      <c r="AP58" s="154"/>
      <c r="AQ58" s="151">
        <v>106972.5</v>
      </c>
      <c r="AR58" s="151">
        <v>133.58000000000001</v>
      </c>
      <c r="AS58" s="151">
        <v>1</v>
      </c>
      <c r="AT58" s="151">
        <v>142.89386999999999</v>
      </c>
      <c r="AU58" s="151">
        <v>142.89386999999999</v>
      </c>
      <c r="AV58" s="153"/>
      <c r="AW58" s="153"/>
      <c r="AX58"/>
      <c r="AY58"/>
      <c r="AZ58" s="154">
        <v>7.7920000000000003E-3</v>
      </c>
      <c r="BA58" s="154">
        <v>3.4E-5</v>
      </c>
    </row>
    <row r="59" spans="1:53">
      <c r="A59" s="155">
        <v>274</v>
      </c>
      <c r="B59" s="155">
        <v>274</v>
      </c>
      <c r="C59" s="155"/>
      <c r="D59"/>
      <c r="E59"/>
      <c r="F59" s="155">
        <v>34835</v>
      </c>
      <c r="G59" t="s">
        <v>245</v>
      </c>
      <c r="H59" t="s">
        <v>1184</v>
      </c>
      <c r="I59" t="s">
        <v>53</v>
      </c>
      <c r="J59"/>
      <c r="K59" t="s">
        <v>163</v>
      </c>
      <c r="L59" t="s">
        <v>62</v>
      </c>
      <c r="M59" t="s">
        <v>55</v>
      </c>
      <c r="N59" s="155"/>
      <c r="O59" s="156">
        <v>41298</v>
      </c>
      <c r="P59" t="s">
        <v>1290</v>
      </c>
      <c r="Q59" t="s">
        <v>65</v>
      </c>
      <c r="R59" t="s">
        <v>779</v>
      </c>
      <c r="S59" t="s">
        <v>1222</v>
      </c>
      <c r="T59" s="151">
        <v>3.07</v>
      </c>
      <c r="U59" t="s">
        <v>1932</v>
      </c>
      <c r="V59" s="154">
        <v>5.5E-2</v>
      </c>
      <c r="W59"/>
      <c r="X59"/>
      <c r="Y59" s="154"/>
      <c r="Z59" s="154">
        <v>2.98E-2</v>
      </c>
      <c r="AA59" s="156">
        <v>47986</v>
      </c>
      <c r="AB59" t="s">
        <v>620</v>
      </c>
      <c r="AC59"/>
      <c r="AD59" s="153"/>
      <c r="AE59" s="154"/>
      <c r="AF59" s="156"/>
      <c r="AG59"/>
      <c r="AH59"/>
      <c r="AI59"/>
      <c r="AJ59" t="s">
        <v>55</v>
      </c>
      <c r="AK59" t="s">
        <v>775</v>
      </c>
      <c r="AL59"/>
      <c r="AM59" t="s">
        <v>305</v>
      </c>
      <c r="AN59" s="156">
        <v>45838</v>
      </c>
      <c r="AO59" s="156"/>
      <c r="AP59" s="154"/>
      <c r="AQ59" s="151">
        <v>74886</v>
      </c>
      <c r="AR59" s="151">
        <v>127.35</v>
      </c>
      <c r="AS59" s="151">
        <v>1</v>
      </c>
      <c r="AT59" s="151">
        <v>95.367320000000007</v>
      </c>
      <c r="AU59" s="151">
        <v>95.367320000000007</v>
      </c>
      <c r="AV59" s="153"/>
      <c r="AW59" s="153"/>
      <c r="AX59"/>
      <c r="AY59"/>
      <c r="AZ59" s="154">
        <v>5.1999999999999998E-3</v>
      </c>
      <c r="BA59" s="154">
        <v>2.3E-5</v>
      </c>
    </row>
    <row r="60" spans="1:53">
      <c r="A60" s="155">
        <v>274</v>
      </c>
      <c r="B60" s="155">
        <v>274</v>
      </c>
      <c r="C60" s="155"/>
      <c r="D60"/>
      <c r="E60"/>
      <c r="F60" s="155">
        <v>50000327</v>
      </c>
      <c r="G60" t="s">
        <v>245</v>
      </c>
      <c r="H60" t="s">
        <v>1184</v>
      </c>
      <c r="I60" t="s">
        <v>53</v>
      </c>
      <c r="J60"/>
      <c r="K60" t="s">
        <v>140</v>
      </c>
      <c r="L60" t="s">
        <v>62</v>
      </c>
      <c r="M60" t="s">
        <v>55</v>
      </c>
      <c r="N60" s="155"/>
      <c r="O60" s="156">
        <v>43675</v>
      </c>
      <c r="P60" t="s">
        <v>1325</v>
      </c>
      <c r="Q60" t="s">
        <v>70</v>
      </c>
      <c r="R60" t="s">
        <v>779</v>
      </c>
      <c r="S60" t="s">
        <v>1222</v>
      </c>
      <c r="T60" s="151">
        <v>7.06</v>
      </c>
      <c r="U60" t="s">
        <v>1932</v>
      </c>
      <c r="V60" s="154">
        <v>2.9756999999999999E-2</v>
      </c>
      <c r="W60"/>
      <c r="X60"/>
      <c r="Y60" s="154"/>
      <c r="Z60" s="154">
        <v>2.9499999999999998E-2</v>
      </c>
      <c r="AA60" s="156">
        <v>50770</v>
      </c>
      <c r="AB60" t="s">
        <v>620</v>
      </c>
      <c r="AC60"/>
      <c r="AD60" s="153"/>
      <c r="AE60" s="154"/>
      <c r="AF60" s="156"/>
      <c r="AG60"/>
      <c r="AH60"/>
      <c r="AI60"/>
      <c r="AJ60" t="s">
        <v>55</v>
      </c>
      <c r="AK60" t="s">
        <v>775</v>
      </c>
      <c r="AL60"/>
      <c r="AM60" t="s">
        <v>305</v>
      </c>
      <c r="AN60" s="156">
        <v>45838</v>
      </c>
      <c r="AO60" s="156"/>
      <c r="AP60" s="154"/>
      <c r="AQ60" s="151">
        <v>2452645.2999999998</v>
      </c>
      <c r="AR60" s="151">
        <v>116.44</v>
      </c>
      <c r="AS60" s="151">
        <v>1</v>
      </c>
      <c r="AT60" s="151">
        <v>2855.8601899999999</v>
      </c>
      <c r="AU60" s="151">
        <v>2855.8601899999999</v>
      </c>
      <c r="AV60" s="153"/>
      <c r="AW60" s="153"/>
      <c r="AX60"/>
      <c r="AY60"/>
      <c r="AZ60" s="154">
        <v>0.15573000000000001</v>
      </c>
      <c r="BA60" s="154">
        <v>6.9300000000000004E-4</v>
      </c>
    </row>
    <row r="61" spans="1:53">
      <c r="A61" s="155">
        <v>274</v>
      </c>
      <c r="B61" s="155">
        <v>274</v>
      </c>
      <c r="C61" s="155"/>
      <c r="D61"/>
      <c r="E61"/>
      <c r="F61" s="155">
        <v>50000324</v>
      </c>
      <c r="G61" t="s">
        <v>245</v>
      </c>
      <c r="H61" t="s">
        <v>1184</v>
      </c>
      <c r="I61" t="s">
        <v>53</v>
      </c>
      <c r="J61"/>
      <c r="K61" t="s">
        <v>140</v>
      </c>
      <c r="L61" t="s">
        <v>62</v>
      </c>
      <c r="M61" t="s">
        <v>55</v>
      </c>
      <c r="N61" s="155"/>
      <c r="O61" s="156">
        <v>43675</v>
      </c>
      <c r="P61" t="s">
        <v>1342</v>
      </c>
      <c r="Q61" t="s">
        <v>70</v>
      </c>
      <c r="R61" t="s">
        <v>779</v>
      </c>
      <c r="S61" t="s">
        <v>1222</v>
      </c>
      <c r="T61" s="151">
        <v>1.88</v>
      </c>
      <c r="U61" t="s">
        <v>1932</v>
      </c>
      <c r="V61" s="154">
        <v>2.1111000000000001E-2</v>
      </c>
      <c r="W61"/>
      <c r="X61"/>
      <c r="Y61" s="154"/>
      <c r="Z61" s="154">
        <v>3.1899999999999998E-2</v>
      </c>
      <c r="AA61" s="156">
        <v>47118</v>
      </c>
      <c r="AB61" t="s">
        <v>620</v>
      </c>
      <c r="AC61"/>
      <c r="AD61" s="153"/>
      <c r="AE61" s="154"/>
      <c r="AF61" s="156"/>
      <c r="AG61"/>
      <c r="AH61"/>
      <c r="AI61"/>
      <c r="AJ61" t="s">
        <v>55</v>
      </c>
      <c r="AK61" t="s">
        <v>775</v>
      </c>
      <c r="AL61"/>
      <c r="AM61" t="s">
        <v>305</v>
      </c>
      <c r="AN61" s="156">
        <v>45838</v>
      </c>
      <c r="AO61" s="156"/>
      <c r="AP61" s="154"/>
      <c r="AQ61" s="151">
        <v>228835.32</v>
      </c>
      <c r="AR61" s="151">
        <v>113.75</v>
      </c>
      <c r="AS61" s="151">
        <v>1</v>
      </c>
      <c r="AT61" s="151">
        <v>260.30018000000001</v>
      </c>
      <c r="AU61" s="151">
        <v>260.30018000000001</v>
      </c>
      <c r="AV61" s="153"/>
      <c r="AW61" s="153"/>
      <c r="AX61"/>
      <c r="AY61"/>
      <c r="AZ61" s="154">
        <v>1.4194E-2</v>
      </c>
      <c r="BA61" s="154">
        <v>6.3E-5</v>
      </c>
    </row>
    <row r="62" spans="1:53">
      <c r="A62" s="155">
        <v>274</v>
      </c>
      <c r="B62" s="155">
        <v>274</v>
      </c>
      <c r="C62" s="155"/>
      <c r="D62"/>
      <c r="E62"/>
      <c r="F62" s="155">
        <v>44164</v>
      </c>
      <c r="G62" t="s">
        <v>245</v>
      </c>
      <c r="H62" t="s">
        <v>1184</v>
      </c>
      <c r="I62" t="s">
        <v>53</v>
      </c>
      <c r="J62"/>
      <c r="K62" t="s">
        <v>163</v>
      </c>
      <c r="L62" t="s">
        <v>62</v>
      </c>
      <c r="M62" t="s">
        <v>55</v>
      </c>
      <c r="N62" s="155"/>
      <c r="O62" s="156">
        <v>41330</v>
      </c>
      <c r="P62" t="s">
        <v>1290</v>
      </c>
      <c r="Q62" t="s">
        <v>65</v>
      </c>
      <c r="R62" t="s">
        <v>779</v>
      </c>
      <c r="S62" t="s">
        <v>1222</v>
      </c>
      <c r="T62" s="151">
        <v>3.07</v>
      </c>
      <c r="U62" t="s">
        <v>1932</v>
      </c>
      <c r="V62" s="154">
        <v>5.5E-2</v>
      </c>
      <c r="W62"/>
      <c r="X62"/>
      <c r="Y62" s="154"/>
      <c r="Z62" s="154">
        <v>2.98E-2</v>
      </c>
      <c r="AA62" s="156">
        <v>47986</v>
      </c>
      <c r="AB62" t="s">
        <v>620</v>
      </c>
      <c r="AC62"/>
      <c r="AD62" s="153"/>
      <c r="AE62" s="154"/>
      <c r="AF62" s="156"/>
      <c r="AG62"/>
      <c r="AH62"/>
      <c r="AI62"/>
      <c r="AJ62" t="s">
        <v>55</v>
      </c>
      <c r="AK62" t="s">
        <v>775</v>
      </c>
      <c r="AL62"/>
      <c r="AM62" t="s">
        <v>305</v>
      </c>
      <c r="AN62" s="156">
        <v>45838</v>
      </c>
      <c r="AO62" s="156"/>
      <c r="AP62" s="154"/>
      <c r="AQ62" s="151">
        <v>116085.97</v>
      </c>
      <c r="AR62" s="151">
        <v>127.58</v>
      </c>
      <c r="AS62" s="151">
        <v>1</v>
      </c>
      <c r="AT62" s="151">
        <v>148.10248000000001</v>
      </c>
      <c r="AU62" s="151">
        <v>148.10248000000001</v>
      </c>
      <c r="AV62" s="153"/>
      <c r="AW62" s="153"/>
      <c r="AX62"/>
      <c r="AY62"/>
      <c r="AZ62" s="154">
        <v>8.0759999999999998E-3</v>
      </c>
      <c r="BA62" s="154">
        <v>3.4999999999999997E-5</v>
      </c>
    </row>
    <row r="63" spans="1:53">
      <c r="A63" s="155">
        <v>274</v>
      </c>
      <c r="B63" s="155">
        <v>274</v>
      </c>
      <c r="C63" s="155"/>
      <c r="D63"/>
      <c r="E63"/>
      <c r="F63" s="155">
        <v>44131</v>
      </c>
      <c r="G63" t="s">
        <v>245</v>
      </c>
      <c r="H63" t="s">
        <v>1184</v>
      </c>
      <c r="I63" t="s">
        <v>53</v>
      </c>
      <c r="J63"/>
      <c r="K63" t="s">
        <v>163</v>
      </c>
      <c r="L63" t="s">
        <v>62</v>
      </c>
      <c r="M63" t="s">
        <v>55</v>
      </c>
      <c r="N63" s="155"/>
      <c r="O63" s="156">
        <v>41269</v>
      </c>
      <c r="P63" t="s">
        <v>1290</v>
      </c>
      <c r="Q63" t="s">
        <v>65</v>
      </c>
      <c r="R63" t="s">
        <v>779</v>
      </c>
      <c r="S63" t="s">
        <v>1222</v>
      </c>
      <c r="T63" s="151">
        <v>3.07</v>
      </c>
      <c r="U63" t="s">
        <v>1932</v>
      </c>
      <c r="V63" s="154">
        <v>5.5E-2</v>
      </c>
      <c r="W63"/>
      <c r="X63"/>
      <c r="Y63" s="154"/>
      <c r="Z63" s="154">
        <v>2.9700000000000001E-2</v>
      </c>
      <c r="AA63" s="156">
        <v>47986</v>
      </c>
      <c r="AB63" t="s">
        <v>620</v>
      </c>
      <c r="AC63"/>
      <c r="AD63" s="153"/>
      <c r="AE63" s="154"/>
      <c r="AF63" s="156"/>
      <c r="AG63"/>
      <c r="AH63"/>
      <c r="AI63"/>
      <c r="AJ63" t="s">
        <v>55</v>
      </c>
      <c r="AK63" t="s">
        <v>775</v>
      </c>
      <c r="AL63"/>
      <c r="AM63" t="s">
        <v>305</v>
      </c>
      <c r="AN63" s="156">
        <v>45838</v>
      </c>
      <c r="AO63" s="156"/>
      <c r="AP63" s="154"/>
      <c r="AQ63" s="151">
        <v>37009.08</v>
      </c>
      <c r="AR63" s="151">
        <v>127.63</v>
      </c>
      <c r="AS63" s="151">
        <v>1</v>
      </c>
      <c r="AT63" s="151">
        <v>47.234690000000001</v>
      </c>
      <c r="AU63" s="151">
        <v>47.234690000000001</v>
      </c>
      <c r="AV63" s="153"/>
      <c r="AW63" s="153"/>
      <c r="AX63"/>
      <c r="AY63"/>
      <c r="AZ63" s="154">
        <v>2.575E-3</v>
      </c>
      <c r="BA63" s="154">
        <v>1.1E-5</v>
      </c>
    </row>
    <row r="64" spans="1:53">
      <c r="A64" s="155">
        <v>274</v>
      </c>
      <c r="B64" s="155">
        <v>274</v>
      </c>
      <c r="C64" s="155"/>
      <c r="D64"/>
      <c r="E64"/>
      <c r="F64" s="155">
        <v>44123</v>
      </c>
      <c r="G64" t="s">
        <v>245</v>
      </c>
      <c r="H64" t="s">
        <v>1184</v>
      </c>
      <c r="I64" t="s">
        <v>53</v>
      </c>
      <c r="J64"/>
      <c r="K64" t="s">
        <v>156</v>
      </c>
      <c r="L64" t="s">
        <v>62</v>
      </c>
      <c r="M64" t="s">
        <v>55</v>
      </c>
      <c r="N64" s="155"/>
      <c r="O64" s="156">
        <v>41269</v>
      </c>
      <c r="P64" t="s">
        <v>1325</v>
      </c>
      <c r="Q64" t="s">
        <v>70</v>
      </c>
      <c r="R64" t="s">
        <v>779</v>
      </c>
      <c r="S64" t="s">
        <v>1222</v>
      </c>
      <c r="T64" s="151">
        <v>3.56</v>
      </c>
      <c r="U64" t="s">
        <v>1932</v>
      </c>
      <c r="V64" s="154">
        <v>5.3499999999999999E-2</v>
      </c>
      <c r="W64"/>
      <c r="X64"/>
      <c r="Y64" s="154"/>
      <c r="Z64" s="154">
        <v>2.4400000000000002E-2</v>
      </c>
      <c r="AA64" s="156">
        <v>48479</v>
      </c>
      <c r="AB64" t="s">
        <v>620</v>
      </c>
      <c r="AC64"/>
      <c r="AD64" s="153"/>
      <c r="AE64" s="154"/>
      <c r="AF64" s="156"/>
      <c r="AG64"/>
      <c r="AH64"/>
      <c r="AI64"/>
      <c r="AJ64" t="s">
        <v>55</v>
      </c>
      <c r="AK64" t="s">
        <v>775</v>
      </c>
      <c r="AL64"/>
      <c r="AM64" t="s">
        <v>305</v>
      </c>
      <c r="AN64" s="156">
        <v>45838</v>
      </c>
      <c r="AO64" s="156"/>
      <c r="AP64" s="154"/>
      <c r="AQ64" s="151">
        <v>79913.83</v>
      </c>
      <c r="AR64" s="151">
        <v>133.6</v>
      </c>
      <c r="AS64" s="151">
        <v>1</v>
      </c>
      <c r="AT64" s="151">
        <v>106.76488000000001</v>
      </c>
      <c r="AU64" s="151">
        <v>106.76488000000001</v>
      </c>
      <c r="AV64" s="153"/>
      <c r="AW64" s="153"/>
      <c r="AX64"/>
      <c r="AY64"/>
      <c r="AZ64" s="154">
        <v>5.8209999999999998E-3</v>
      </c>
      <c r="BA64" s="154">
        <v>2.5000000000000001E-5</v>
      </c>
    </row>
    <row r="65" spans="1:53">
      <c r="A65" s="155">
        <v>274</v>
      </c>
      <c r="B65" s="155">
        <v>274</v>
      </c>
      <c r="C65" s="155"/>
      <c r="D65"/>
      <c r="E65"/>
      <c r="F65" s="155">
        <v>44115</v>
      </c>
      <c r="G65" t="s">
        <v>245</v>
      </c>
      <c r="H65" t="s">
        <v>1184</v>
      </c>
      <c r="I65" t="s">
        <v>53</v>
      </c>
      <c r="J65"/>
      <c r="K65" t="s">
        <v>156</v>
      </c>
      <c r="L65" t="s">
        <v>62</v>
      </c>
      <c r="M65" t="s">
        <v>55</v>
      </c>
      <c r="N65" s="155"/>
      <c r="O65" s="156">
        <v>41269</v>
      </c>
      <c r="P65" t="s">
        <v>1325</v>
      </c>
      <c r="Q65" t="s">
        <v>70</v>
      </c>
      <c r="R65" t="s">
        <v>779</v>
      </c>
      <c r="S65" t="s">
        <v>1222</v>
      </c>
      <c r="T65" s="151">
        <v>3.56</v>
      </c>
      <c r="U65" t="s">
        <v>1932</v>
      </c>
      <c r="V65" s="154">
        <v>5.3499999999999999E-2</v>
      </c>
      <c r="W65"/>
      <c r="X65"/>
      <c r="Y65" s="154"/>
      <c r="Z65" s="154">
        <v>2.4400000000000002E-2</v>
      </c>
      <c r="AA65" s="156">
        <v>48479</v>
      </c>
      <c r="AB65" t="s">
        <v>620</v>
      </c>
      <c r="AC65"/>
      <c r="AD65" s="153"/>
      <c r="AE65" s="154"/>
      <c r="AF65" s="156"/>
      <c r="AG65"/>
      <c r="AH65"/>
      <c r="AI65"/>
      <c r="AJ65" t="s">
        <v>55</v>
      </c>
      <c r="AK65" t="s">
        <v>775</v>
      </c>
      <c r="AL65"/>
      <c r="AM65" t="s">
        <v>305</v>
      </c>
      <c r="AN65" s="156">
        <v>45838</v>
      </c>
      <c r="AO65" s="156"/>
      <c r="AP65" s="154"/>
      <c r="AQ65" s="151">
        <v>84908.53</v>
      </c>
      <c r="AR65" s="151">
        <v>133.6</v>
      </c>
      <c r="AS65" s="151">
        <v>1</v>
      </c>
      <c r="AT65" s="151">
        <v>113.4378</v>
      </c>
      <c r="AU65" s="151">
        <v>113.4378</v>
      </c>
      <c r="AV65" s="153"/>
      <c r="AW65" s="153"/>
      <c r="AX65"/>
      <c r="AY65"/>
      <c r="AZ65" s="154">
        <v>6.1850000000000004E-3</v>
      </c>
      <c r="BA65" s="154">
        <v>2.6999999999999999E-5</v>
      </c>
    </row>
    <row r="66" spans="1:53">
      <c r="A66" s="155">
        <v>274</v>
      </c>
      <c r="B66" s="155">
        <v>274</v>
      </c>
      <c r="C66" s="155"/>
      <c r="D66"/>
      <c r="E66"/>
      <c r="F66" s="155">
        <v>8070120</v>
      </c>
      <c r="G66" t="s">
        <v>245</v>
      </c>
      <c r="H66" t="s">
        <v>1184</v>
      </c>
      <c r="I66" t="s">
        <v>53</v>
      </c>
      <c r="J66"/>
      <c r="K66" t="s">
        <v>163</v>
      </c>
      <c r="L66" t="s">
        <v>62</v>
      </c>
      <c r="M66" t="s">
        <v>55</v>
      </c>
      <c r="N66" s="155"/>
      <c r="O66" s="156">
        <v>38258</v>
      </c>
      <c r="P66" t="s">
        <v>1296</v>
      </c>
      <c r="Q66" t="s">
        <v>70</v>
      </c>
      <c r="R66" t="s">
        <v>779</v>
      </c>
      <c r="S66" t="s">
        <v>1222</v>
      </c>
      <c r="T66" s="151">
        <v>1.23</v>
      </c>
      <c r="U66" t="s">
        <v>1932</v>
      </c>
      <c r="V66" s="154">
        <v>5.1694999999999998E-2</v>
      </c>
      <c r="W66"/>
      <c r="X66"/>
      <c r="Y66" s="154"/>
      <c r="Z66" s="154">
        <v>2.5999999999999999E-2</v>
      </c>
      <c r="AA66" s="156">
        <v>46568</v>
      </c>
      <c r="AB66" t="s">
        <v>620</v>
      </c>
      <c r="AC66"/>
      <c r="AD66" s="153"/>
      <c r="AE66" s="154"/>
      <c r="AF66" s="156"/>
      <c r="AG66"/>
      <c r="AH66"/>
      <c r="AI66"/>
      <c r="AJ66" t="s">
        <v>55</v>
      </c>
      <c r="AK66" t="s">
        <v>775</v>
      </c>
      <c r="AL66"/>
      <c r="AM66" t="s">
        <v>305</v>
      </c>
      <c r="AN66" s="156">
        <v>45838</v>
      </c>
      <c r="AO66" s="156"/>
      <c r="AP66" s="154"/>
      <c r="AQ66" s="151">
        <v>83184.41</v>
      </c>
      <c r="AR66" s="151">
        <v>150.36000000000001</v>
      </c>
      <c r="AS66" s="151">
        <v>1</v>
      </c>
      <c r="AT66" s="151">
        <v>125.07608</v>
      </c>
      <c r="AU66" s="151">
        <v>125.07608</v>
      </c>
      <c r="AV66" s="153"/>
      <c r="AW66" s="153"/>
      <c r="AX66"/>
      <c r="AY66"/>
      <c r="AZ66" s="154">
        <v>6.8199999999999997E-3</v>
      </c>
      <c r="BA66" s="154">
        <v>3.0000000000000001E-5</v>
      </c>
    </row>
    <row r="67" spans="1:53">
      <c r="A67" s="155">
        <v>274</v>
      </c>
      <c r="B67" s="155">
        <v>274</v>
      </c>
      <c r="C67" s="155"/>
      <c r="D67"/>
      <c r="E67"/>
      <c r="F67" s="155">
        <v>36640</v>
      </c>
      <c r="G67" t="s">
        <v>245</v>
      </c>
      <c r="H67" t="s">
        <v>1184</v>
      </c>
      <c r="I67" t="s">
        <v>53</v>
      </c>
      <c r="J67"/>
      <c r="K67" t="s">
        <v>156</v>
      </c>
      <c r="L67" t="s">
        <v>62</v>
      </c>
      <c r="M67" t="s">
        <v>55</v>
      </c>
      <c r="N67" s="155"/>
      <c r="O67" s="156">
        <v>41767</v>
      </c>
      <c r="P67" t="s">
        <v>1325</v>
      </c>
      <c r="Q67" t="s">
        <v>70</v>
      </c>
      <c r="R67" t="s">
        <v>779</v>
      </c>
      <c r="S67" t="s">
        <v>1222</v>
      </c>
      <c r="T67" s="151">
        <v>3.55</v>
      </c>
      <c r="U67" t="s">
        <v>1932</v>
      </c>
      <c r="V67" s="154">
        <v>5.3499999999999999E-2</v>
      </c>
      <c r="W67"/>
      <c r="X67"/>
      <c r="Y67" s="154"/>
      <c r="Z67" s="154">
        <v>2.7099999999999999E-2</v>
      </c>
      <c r="AA67" s="156">
        <v>48479</v>
      </c>
      <c r="AB67" t="s">
        <v>620</v>
      </c>
      <c r="AC67"/>
      <c r="AD67" s="153"/>
      <c r="AE67" s="154"/>
      <c r="AF67" s="156"/>
      <c r="AG67"/>
      <c r="AH67"/>
      <c r="AI67"/>
      <c r="AJ67" t="s">
        <v>55</v>
      </c>
      <c r="AK67" t="s">
        <v>775</v>
      </c>
      <c r="AL67"/>
      <c r="AM67" t="s">
        <v>305</v>
      </c>
      <c r="AN67" s="156">
        <v>45838</v>
      </c>
      <c r="AO67" s="156"/>
      <c r="AP67" s="154"/>
      <c r="AQ67" s="151">
        <v>15390.65</v>
      </c>
      <c r="AR67" s="151">
        <v>130.4</v>
      </c>
      <c r="AS67" s="151">
        <v>1</v>
      </c>
      <c r="AT67" s="151">
        <v>20.069410000000001</v>
      </c>
      <c r="AU67" s="151">
        <v>20.069410000000001</v>
      </c>
      <c r="AV67" s="153"/>
      <c r="AW67" s="153"/>
      <c r="AX67"/>
      <c r="AY67"/>
      <c r="AZ67" s="154">
        <v>1.0939999999999999E-3</v>
      </c>
      <c r="BA67" s="154">
        <v>3.9999999999999998E-6</v>
      </c>
    </row>
    <row r="68" spans="1:53">
      <c r="A68" s="155">
        <v>274</v>
      </c>
      <c r="B68" s="155">
        <v>274</v>
      </c>
      <c r="C68" s="155"/>
      <c r="D68"/>
      <c r="E68"/>
      <c r="F68" s="155">
        <v>36624</v>
      </c>
      <c r="G68" t="s">
        <v>245</v>
      </c>
      <c r="H68" t="s">
        <v>1184</v>
      </c>
      <c r="I68" t="s">
        <v>53</v>
      </c>
      <c r="J68"/>
      <c r="K68" t="s">
        <v>156</v>
      </c>
      <c r="L68" t="s">
        <v>62</v>
      </c>
      <c r="M68" t="s">
        <v>55</v>
      </c>
      <c r="N68" s="155"/>
      <c r="O68" s="156">
        <v>41767</v>
      </c>
      <c r="P68" t="s">
        <v>1325</v>
      </c>
      <c r="Q68" t="s">
        <v>70</v>
      </c>
      <c r="R68" t="s">
        <v>779</v>
      </c>
      <c r="S68" t="s">
        <v>1222</v>
      </c>
      <c r="T68" s="151">
        <v>3.55</v>
      </c>
      <c r="U68" t="s">
        <v>1932</v>
      </c>
      <c r="V68" s="154">
        <v>5.3499999999999999E-2</v>
      </c>
      <c r="W68"/>
      <c r="X68"/>
      <c r="Y68" s="154"/>
      <c r="Z68" s="154">
        <v>2.7099999999999999E-2</v>
      </c>
      <c r="AA68" s="156">
        <v>48479</v>
      </c>
      <c r="AB68" t="s">
        <v>620</v>
      </c>
      <c r="AC68"/>
      <c r="AD68" s="153"/>
      <c r="AE68" s="154"/>
      <c r="AF68" s="156"/>
      <c r="AG68"/>
      <c r="AH68"/>
      <c r="AI68"/>
      <c r="AJ68" t="s">
        <v>55</v>
      </c>
      <c r="AK68" t="s">
        <v>775</v>
      </c>
      <c r="AL68"/>
      <c r="AM68" t="s">
        <v>305</v>
      </c>
      <c r="AN68" s="156">
        <v>45838</v>
      </c>
      <c r="AO68" s="156"/>
      <c r="AP68" s="154"/>
      <c r="AQ68" s="151">
        <v>12592.35</v>
      </c>
      <c r="AR68" s="151">
        <v>130.4</v>
      </c>
      <c r="AS68" s="151">
        <v>1</v>
      </c>
      <c r="AT68" s="151">
        <v>16.42042</v>
      </c>
      <c r="AU68" s="151">
        <v>16.42042</v>
      </c>
      <c r="AV68" s="153"/>
      <c r="AW68" s="153"/>
      <c r="AX68"/>
      <c r="AY68"/>
      <c r="AZ68" s="154">
        <v>8.9499999999999996E-4</v>
      </c>
      <c r="BA68" s="154">
        <v>3.0000000000000001E-6</v>
      </c>
    </row>
    <row r="69" spans="1:53">
      <c r="A69" s="155">
        <v>274</v>
      </c>
      <c r="B69" s="155">
        <v>274</v>
      </c>
      <c r="C69" s="155"/>
      <c r="D69"/>
      <c r="E69"/>
      <c r="F69" s="155">
        <v>36616</v>
      </c>
      <c r="G69" t="s">
        <v>245</v>
      </c>
      <c r="H69" t="s">
        <v>1184</v>
      </c>
      <c r="I69" t="s">
        <v>53</v>
      </c>
      <c r="J69"/>
      <c r="K69" t="s">
        <v>156</v>
      </c>
      <c r="L69" t="s">
        <v>62</v>
      </c>
      <c r="M69" t="s">
        <v>55</v>
      </c>
      <c r="N69" s="155"/>
      <c r="O69" s="156">
        <v>41767</v>
      </c>
      <c r="P69" t="s">
        <v>1325</v>
      </c>
      <c r="Q69" t="s">
        <v>70</v>
      </c>
      <c r="R69" t="s">
        <v>779</v>
      </c>
      <c r="S69" t="s">
        <v>1222</v>
      </c>
      <c r="T69" s="151">
        <v>3.55</v>
      </c>
      <c r="U69" t="s">
        <v>1932</v>
      </c>
      <c r="V69" s="154">
        <v>5.3499999999999999E-2</v>
      </c>
      <c r="W69"/>
      <c r="X69"/>
      <c r="Y69" s="154"/>
      <c r="Z69" s="154">
        <v>2.7099999999999999E-2</v>
      </c>
      <c r="AA69" s="156">
        <v>48479</v>
      </c>
      <c r="AB69" t="s">
        <v>620</v>
      </c>
      <c r="AC69"/>
      <c r="AD69" s="153"/>
      <c r="AE69" s="154"/>
      <c r="AF69" s="156"/>
      <c r="AG69"/>
      <c r="AH69"/>
      <c r="AI69"/>
      <c r="AJ69" t="s">
        <v>55</v>
      </c>
      <c r="AK69" t="s">
        <v>775</v>
      </c>
      <c r="AL69"/>
      <c r="AM69" t="s">
        <v>305</v>
      </c>
      <c r="AN69" s="156">
        <v>45838</v>
      </c>
      <c r="AO69" s="156"/>
      <c r="AP69" s="154"/>
      <c r="AQ69" s="151">
        <v>16090.24</v>
      </c>
      <c r="AR69" s="151">
        <v>130.4</v>
      </c>
      <c r="AS69" s="151">
        <v>1</v>
      </c>
      <c r="AT69" s="151">
        <v>20.981670000000001</v>
      </c>
      <c r="AU69" s="151">
        <v>20.981670000000001</v>
      </c>
      <c r="AV69" s="153"/>
      <c r="AW69" s="153"/>
      <c r="AX69"/>
      <c r="AY69"/>
      <c r="AZ69" s="154">
        <v>1.1440000000000001E-3</v>
      </c>
      <c r="BA69" s="154">
        <v>5.0000000000000004E-6</v>
      </c>
    </row>
    <row r="70" spans="1:53">
      <c r="A70" s="155">
        <v>274</v>
      </c>
      <c r="B70" s="155">
        <v>274</v>
      </c>
      <c r="C70" s="155"/>
      <c r="D70"/>
      <c r="E70"/>
      <c r="F70" s="155">
        <v>36608</v>
      </c>
      <c r="G70" t="s">
        <v>245</v>
      </c>
      <c r="H70" t="s">
        <v>1184</v>
      </c>
      <c r="I70" t="s">
        <v>53</v>
      </c>
      <c r="J70"/>
      <c r="K70" t="s">
        <v>156</v>
      </c>
      <c r="L70" t="s">
        <v>62</v>
      </c>
      <c r="M70" t="s">
        <v>55</v>
      </c>
      <c r="N70" s="155"/>
      <c r="O70" s="156">
        <v>41767</v>
      </c>
      <c r="P70" t="s">
        <v>1325</v>
      </c>
      <c r="Q70" t="s">
        <v>70</v>
      </c>
      <c r="R70" t="s">
        <v>779</v>
      </c>
      <c r="S70" t="s">
        <v>1222</v>
      </c>
      <c r="T70" s="151">
        <v>3.55</v>
      </c>
      <c r="U70" t="s">
        <v>1932</v>
      </c>
      <c r="V70" s="154">
        <v>5.3499999999999999E-2</v>
      </c>
      <c r="W70"/>
      <c r="X70"/>
      <c r="Y70" s="154"/>
      <c r="Z70" s="154">
        <v>2.7099999999999999E-2</v>
      </c>
      <c r="AA70" s="156">
        <v>48479</v>
      </c>
      <c r="AB70" t="s">
        <v>620</v>
      </c>
      <c r="AC70"/>
      <c r="AD70" s="153"/>
      <c r="AE70" s="154"/>
      <c r="AF70" s="156"/>
      <c r="AG70"/>
      <c r="AH70"/>
      <c r="AI70"/>
      <c r="AJ70" t="s">
        <v>55</v>
      </c>
      <c r="AK70" t="s">
        <v>775</v>
      </c>
      <c r="AL70"/>
      <c r="AM70" t="s">
        <v>305</v>
      </c>
      <c r="AN70" s="156">
        <v>45838</v>
      </c>
      <c r="AO70" s="156"/>
      <c r="AP70" s="154"/>
      <c r="AQ70" s="151">
        <v>16090.24</v>
      </c>
      <c r="AR70" s="151">
        <v>130.4</v>
      </c>
      <c r="AS70" s="151">
        <v>1</v>
      </c>
      <c r="AT70" s="151">
        <v>20.981670000000001</v>
      </c>
      <c r="AU70" s="151">
        <v>20.981670000000001</v>
      </c>
      <c r="AV70" s="153"/>
      <c r="AW70" s="153"/>
      <c r="AX70"/>
      <c r="AY70"/>
      <c r="AZ70" s="154">
        <v>1.1440000000000001E-3</v>
      </c>
      <c r="BA70" s="154">
        <v>5.0000000000000004E-6</v>
      </c>
    </row>
    <row r="71" spans="1:53">
      <c r="A71" s="155">
        <v>274</v>
      </c>
      <c r="B71" s="155">
        <v>274</v>
      </c>
      <c r="C71" s="155"/>
      <c r="D71"/>
      <c r="E71"/>
      <c r="F71" s="155">
        <v>34918</v>
      </c>
      <c r="G71" t="s">
        <v>245</v>
      </c>
      <c r="H71" t="s">
        <v>1184</v>
      </c>
      <c r="I71" t="s">
        <v>53</v>
      </c>
      <c r="J71"/>
      <c r="K71" t="s">
        <v>156</v>
      </c>
      <c r="L71" t="s">
        <v>62</v>
      </c>
      <c r="M71" t="s">
        <v>55</v>
      </c>
      <c r="N71" s="155"/>
      <c r="O71" s="156">
        <v>41281</v>
      </c>
      <c r="P71" t="s">
        <v>1325</v>
      </c>
      <c r="Q71" t="s">
        <v>70</v>
      </c>
      <c r="R71" t="s">
        <v>779</v>
      </c>
      <c r="S71" t="s">
        <v>1222</v>
      </c>
      <c r="T71" s="151">
        <v>3.56</v>
      </c>
      <c r="U71" t="s">
        <v>1932</v>
      </c>
      <c r="V71" s="154">
        <v>5.3499999999999999E-2</v>
      </c>
      <c r="W71"/>
      <c r="X71"/>
      <c r="Y71" s="154"/>
      <c r="Z71" s="154">
        <v>2.4500000000000001E-2</v>
      </c>
      <c r="AA71" s="156">
        <v>48479</v>
      </c>
      <c r="AB71" t="s">
        <v>620</v>
      </c>
      <c r="AC71"/>
      <c r="AD71" s="153"/>
      <c r="AE71" s="154"/>
      <c r="AF71" s="156"/>
      <c r="AG71"/>
      <c r="AH71"/>
      <c r="AI71"/>
      <c r="AJ71" t="s">
        <v>55</v>
      </c>
      <c r="AK71" t="s">
        <v>775</v>
      </c>
      <c r="AL71"/>
      <c r="AM71" t="s">
        <v>305</v>
      </c>
      <c r="AN71" s="156">
        <v>45838</v>
      </c>
      <c r="AO71" s="156"/>
      <c r="AP71" s="154"/>
      <c r="AQ71" s="151">
        <v>77056.460000000006</v>
      </c>
      <c r="AR71" s="151">
        <v>133.58000000000001</v>
      </c>
      <c r="AS71" s="151">
        <v>1</v>
      </c>
      <c r="AT71" s="151">
        <v>102.93201999999999</v>
      </c>
      <c r="AU71" s="151">
        <v>102.93201999999999</v>
      </c>
      <c r="AV71" s="153"/>
      <c r="AW71" s="153"/>
      <c r="AX71"/>
      <c r="AY71"/>
      <c r="AZ71" s="154">
        <v>5.6119999999999998E-3</v>
      </c>
      <c r="BA71" s="154">
        <v>2.5000000000000001E-5</v>
      </c>
    </row>
    <row r="72" spans="1:53">
      <c r="A72" s="155">
        <v>274</v>
      </c>
      <c r="B72" s="155">
        <v>274</v>
      </c>
      <c r="C72" s="155"/>
      <c r="D72"/>
      <c r="E72"/>
      <c r="F72" s="155">
        <v>34900</v>
      </c>
      <c r="G72" t="s">
        <v>245</v>
      </c>
      <c r="H72" t="s">
        <v>1184</v>
      </c>
      <c r="I72" t="s">
        <v>53</v>
      </c>
      <c r="J72"/>
      <c r="K72" t="s">
        <v>156</v>
      </c>
      <c r="L72" t="s">
        <v>62</v>
      </c>
      <c r="M72" t="s">
        <v>55</v>
      </c>
      <c r="N72" s="155"/>
      <c r="O72" s="156">
        <v>41281</v>
      </c>
      <c r="P72" t="s">
        <v>1325</v>
      </c>
      <c r="Q72" t="s">
        <v>70</v>
      </c>
      <c r="R72" t="s">
        <v>779</v>
      </c>
      <c r="S72" t="s">
        <v>1222</v>
      </c>
      <c r="T72" s="151">
        <v>3.56</v>
      </c>
      <c r="U72" t="s">
        <v>1932</v>
      </c>
      <c r="V72" s="154">
        <v>5.3499999999999999E-2</v>
      </c>
      <c r="W72"/>
      <c r="X72"/>
      <c r="Y72" s="154"/>
      <c r="Z72" s="154">
        <v>2.4500000000000001E-2</v>
      </c>
      <c r="AA72" s="156">
        <v>48479</v>
      </c>
      <c r="AB72" t="s">
        <v>620</v>
      </c>
      <c r="AC72"/>
      <c r="AD72" s="153"/>
      <c r="AE72" s="154"/>
      <c r="AF72" s="156"/>
      <c r="AG72"/>
      <c r="AH72"/>
      <c r="AI72"/>
      <c r="AJ72" t="s">
        <v>55</v>
      </c>
      <c r="AK72" t="s">
        <v>775</v>
      </c>
      <c r="AL72"/>
      <c r="AM72" t="s">
        <v>305</v>
      </c>
      <c r="AN72" s="156">
        <v>45838</v>
      </c>
      <c r="AO72" s="156"/>
      <c r="AP72" s="154"/>
      <c r="AQ72" s="151">
        <v>92543.31</v>
      </c>
      <c r="AR72" s="151">
        <v>133.58000000000001</v>
      </c>
      <c r="AS72" s="151">
        <v>1</v>
      </c>
      <c r="AT72" s="151">
        <v>123.61935</v>
      </c>
      <c r="AU72" s="151">
        <v>123.61935</v>
      </c>
      <c r="AV72" s="153"/>
      <c r="AW72" s="153"/>
      <c r="AX72"/>
      <c r="AY72"/>
      <c r="AZ72" s="154">
        <v>6.7400000000000003E-3</v>
      </c>
      <c r="BA72" s="154">
        <v>3.0000000000000001E-5</v>
      </c>
    </row>
    <row r="73" spans="1:53">
      <c r="A73" s="155">
        <v>274</v>
      </c>
      <c r="B73" s="155">
        <v>274</v>
      </c>
      <c r="C73" s="155"/>
      <c r="D73"/>
      <c r="E73"/>
      <c r="F73" s="155">
        <v>34850</v>
      </c>
      <c r="G73" t="s">
        <v>245</v>
      </c>
      <c r="H73" t="s">
        <v>1184</v>
      </c>
      <c r="I73" t="s">
        <v>53</v>
      </c>
      <c r="J73"/>
      <c r="K73" t="s">
        <v>163</v>
      </c>
      <c r="L73" t="s">
        <v>62</v>
      </c>
      <c r="M73" t="s">
        <v>55</v>
      </c>
      <c r="N73" s="155"/>
      <c r="O73" s="156">
        <v>41389</v>
      </c>
      <c r="P73" t="s">
        <v>1290</v>
      </c>
      <c r="Q73" t="s">
        <v>65</v>
      </c>
      <c r="R73" t="s">
        <v>779</v>
      </c>
      <c r="S73" t="s">
        <v>1222</v>
      </c>
      <c r="T73" s="151">
        <v>3.07</v>
      </c>
      <c r="U73" t="s">
        <v>1932</v>
      </c>
      <c r="V73" s="154">
        <v>5.5E-2</v>
      </c>
      <c r="W73"/>
      <c r="X73"/>
      <c r="Y73" s="154"/>
      <c r="Z73" s="154">
        <v>2.9700000000000001E-2</v>
      </c>
      <c r="AA73" s="156">
        <v>47986</v>
      </c>
      <c r="AB73" t="s">
        <v>620</v>
      </c>
      <c r="AC73"/>
      <c r="AD73" s="153"/>
      <c r="AE73" s="154"/>
      <c r="AF73" s="156"/>
      <c r="AG73"/>
      <c r="AH73"/>
      <c r="AI73"/>
      <c r="AJ73" t="s">
        <v>55</v>
      </c>
      <c r="AK73" t="s">
        <v>775</v>
      </c>
      <c r="AL73"/>
      <c r="AM73" t="s">
        <v>305</v>
      </c>
      <c r="AN73" s="156">
        <v>45838</v>
      </c>
      <c r="AO73" s="156"/>
      <c r="AP73" s="154"/>
      <c r="AQ73" s="151">
        <v>50811.92</v>
      </c>
      <c r="AR73" s="151">
        <v>127.36</v>
      </c>
      <c r="AS73" s="151">
        <v>1</v>
      </c>
      <c r="AT73" s="151">
        <v>64.714060000000003</v>
      </c>
      <c r="AU73" s="151">
        <v>64.714060000000003</v>
      </c>
      <c r="AV73" s="153"/>
      <c r="AW73" s="153"/>
      <c r="AX73"/>
      <c r="AY73"/>
      <c r="AZ73" s="154">
        <v>3.5279999999999999E-3</v>
      </c>
      <c r="BA73" s="154">
        <v>1.5E-5</v>
      </c>
    </row>
    <row r="74" spans="1:53">
      <c r="A74" s="155">
        <v>274</v>
      </c>
      <c r="B74" s="155">
        <v>274</v>
      </c>
      <c r="C74" s="155"/>
      <c r="D74"/>
      <c r="E74"/>
      <c r="F74" s="155">
        <v>36632</v>
      </c>
      <c r="G74" t="s">
        <v>245</v>
      </c>
      <c r="H74" t="s">
        <v>1184</v>
      </c>
      <c r="I74" t="s">
        <v>53</v>
      </c>
      <c r="J74"/>
      <c r="K74" t="s">
        <v>156</v>
      </c>
      <c r="L74" t="s">
        <v>62</v>
      </c>
      <c r="M74" t="s">
        <v>55</v>
      </c>
      <c r="N74" s="155"/>
      <c r="O74" s="156">
        <v>41767</v>
      </c>
      <c r="P74" t="s">
        <v>1325</v>
      </c>
      <c r="Q74" t="s">
        <v>70</v>
      </c>
      <c r="R74" t="s">
        <v>779</v>
      </c>
      <c r="S74" t="s">
        <v>1222</v>
      </c>
      <c r="T74" s="151">
        <v>3.55</v>
      </c>
      <c r="U74" t="s">
        <v>1932</v>
      </c>
      <c r="V74" s="154">
        <v>5.3499999999999999E-2</v>
      </c>
      <c r="W74"/>
      <c r="X74"/>
      <c r="Y74" s="154"/>
      <c r="Z74" s="154">
        <v>2.7099999999999999E-2</v>
      </c>
      <c r="AA74" s="156">
        <v>48479</v>
      </c>
      <c r="AB74" t="s">
        <v>620</v>
      </c>
      <c r="AC74"/>
      <c r="AD74" s="153"/>
      <c r="AE74" s="154"/>
      <c r="AF74" s="156"/>
      <c r="AG74"/>
      <c r="AH74"/>
      <c r="AI74"/>
      <c r="AJ74" t="s">
        <v>55</v>
      </c>
      <c r="AK74" t="s">
        <v>775</v>
      </c>
      <c r="AL74"/>
      <c r="AM74" t="s">
        <v>305</v>
      </c>
      <c r="AN74" s="156">
        <v>45838</v>
      </c>
      <c r="AO74" s="156"/>
      <c r="AP74" s="154"/>
      <c r="AQ74" s="151">
        <v>18888.55</v>
      </c>
      <c r="AR74" s="151">
        <v>130.4</v>
      </c>
      <c r="AS74" s="151">
        <v>1</v>
      </c>
      <c r="AT74" s="151">
        <v>24.630669999999999</v>
      </c>
      <c r="AU74" s="151">
        <v>24.630669999999999</v>
      </c>
      <c r="AV74" s="153"/>
      <c r="AW74" s="153"/>
      <c r="AX74"/>
      <c r="AY74"/>
      <c r="AZ74" s="154">
        <v>1.343E-3</v>
      </c>
      <c r="BA74" s="154">
        <v>5.0000000000000004E-6</v>
      </c>
    </row>
    <row r="75" spans="1:53">
      <c r="A75" s="155">
        <v>274</v>
      </c>
      <c r="B75" s="155">
        <v>274</v>
      </c>
      <c r="C75" s="155"/>
      <c r="D75"/>
      <c r="E75"/>
      <c r="F75" s="155">
        <v>8070138</v>
      </c>
      <c r="G75" t="s">
        <v>245</v>
      </c>
      <c r="H75" t="s">
        <v>1184</v>
      </c>
      <c r="I75" t="s">
        <v>53</v>
      </c>
      <c r="J75"/>
      <c r="K75" t="s">
        <v>163</v>
      </c>
      <c r="L75" t="s">
        <v>62</v>
      </c>
      <c r="M75" t="s">
        <v>55</v>
      </c>
      <c r="N75" s="155"/>
      <c r="O75" s="156">
        <v>38258</v>
      </c>
      <c r="P75" t="s">
        <v>1296</v>
      </c>
      <c r="Q75" t="s">
        <v>70</v>
      </c>
      <c r="R75" t="s">
        <v>779</v>
      </c>
      <c r="S75" t="s">
        <v>1222</v>
      </c>
      <c r="T75" s="151">
        <v>1.23</v>
      </c>
      <c r="U75" t="s">
        <v>1932</v>
      </c>
      <c r="V75" s="154">
        <v>5.1694999999999998E-2</v>
      </c>
      <c r="W75"/>
      <c r="X75"/>
      <c r="Y75" s="154"/>
      <c r="Z75" s="154">
        <v>2.5999999999999999E-2</v>
      </c>
      <c r="AA75" s="156">
        <v>46568</v>
      </c>
      <c r="AB75" t="s">
        <v>620</v>
      </c>
      <c r="AC75"/>
      <c r="AD75" s="153"/>
      <c r="AE75" s="154"/>
      <c r="AF75" s="156"/>
      <c r="AG75"/>
      <c r="AH75"/>
      <c r="AI75"/>
      <c r="AJ75" t="s">
        <v>55</v>
      </c>
      <c r="AK75" t="s">
        <v>775</v>
      </c>
      <c r="AL75"/>
      <c r="AM75" t="s">
        <v>305</v>
      </c>
      <c r="AN75" s="156">
        <v>45838</v>
      </c>
      <c r="AO75" s="156"/>
      <c r="AP75" s="154"/>
      <c r="AQ75" s="151">
        <v>103491.18</v>
      </c>
      <c r="AR75" s="151">
        <v>148</v>
      </c>
      <c r="AS75" s="151">
        <v>1</v>
      </c>
      <c r="AT75" s="151">
        <v>153.16695000000001</v>
      </c>
      <c r="AU75" s="151">
        <v>153.16695000000001</v>
      </c>
      <c r="AV75" s="153"/>
      <c r="AW75" s="153"/>
      <c r="AX75"/>
      <c r="AY75"/>
      <c r="AZ75" s="154">
        <v>8.352E-3</v>
      </c>
      <c r="BA75" s="154">
        <v>3.6999999999999998E-5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/>
  <cols>
    <col min="1" max="2" width="10.625" style="2" bestFit="1" customWidth="1"/>
    <col min="3" max="3" width="8.875" style="2" bestFit="1" customWidth="1"/>
    <col min="4" max="4" width="10.75" style="2" bestFit="1" customWidth="1"/>
    <col min="5" max="5" width="10.375" style="4" bestFit="1" customWidth="1"/>
    <col min="6" max="6" width="10.625" style="2" bestFit="1" customWidth="1"/>
    <col min="7" max="7" width="9.375" style="2" bestFit="1" customWidth="1"/>
    <col min="8" max="8" width="9.125" style="2" bestFit="1" customWidth="1"/>
    <col min="9" max="9" width="11" style="2" bestFit="1" customWidth="1"/>
    <col min="10" max="10" width="10" style="2" bestFit="1" customWidth="1"/>
    <col min="11" max="11" width="9.25" style="2" bestFit="1" customWidth="1"/>
    <col min="12" max="12" width="11" style="2" bestFit="1" customWidth="1"/>
    <col min="13" max="13" width="8.125" style="2" bestFit="1" customWidth="1"/>
    <col min="14" max="14" width="11.625" style="2" customWidth="1"/>
    <col min="15" max="15" width="5" style="2" bestFit="1" customWidth="1"/>
    <col min="16" max="16" width="8.125" style="2" bestFit="1" customWidth="1"/>
    <col min="17" max="17" width="11.625" style="2" bestFit="1" customWidth="1"/>
    <col min="18" max="18" width="11.25" style="2" bestFit="1" customWidth="1"/>
    <col min="19" max="19" width="5.875" style="2" bestFit="1" customWidth="1"/>
    <col min="20" max="20" width="10.625" style="2" bestFit="1" customWidth="1"/>
    <col min="21" max="21" width="7.125" style="2" bestFit="1" customWidth="1"/>
    <col min="22" max="22" width="8.25" style="2" bestFit="1" customWidth="1"/>
    <col min="23" max="23" width="7.875" style="2" bestFit="1" customWidth="1"/>
    <col min="24" max="24" width="11" style="2" bestFit="1" customWidth="1"/>
    <col min="25" max="25" width="9.125" style="2" bestFit="1" customWidth="1"/>
    <col min="26" max="26" width="5.875" style="2" bestFit="1" customWidth="1"/>
    <col min="27" max="27" width="9" style="2" bestFit="1" customWidth="1"/>
    <col min="28" max="28" width="10.875" style="2" bestFit="1" customWidth="1"/>
    <col min="29" max="29" width="11.125" style="2" bestFit="1" customWidth="1"/>
    <col min="30" max="30" width="10" style="2" bestFit="1" customWidth="1"/>
    <col min="31" max="16384" width="9" style="2" hidden="1"/>
  </cols>
  <sheetData>
    <row r="1" spans="1:30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606</v>
      </c>
      <c r="M1" s="17" t="s">
        <v>10</v>
      </c>
      <c r="N1" s="158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50" t="s">
        <v>13</v>
      </c>
      <c r="T1" s="159" t="s">
        <v>14</v>
      </c>
      <c r="U1" s="159" t="s">
        <v>621</v>
      </c>
      <c r="V1" s="17" t="s">
        <v>917</v>
      </c>
      <c r="W1" s="17" t="s">
        <v>372</v>
      </c>
      <c r="X1" s="158" t="s">
        <v>16</v>
      </c>
      <c r="Y1" s="150" t="s">
        <v>773</v>
      </c>
      <c r="Z1" s="150" t="s">
        <v>11</v>
      </c>
      <c r="AA1" s="150" t="s">
        <v>15</v>
      </c>
      <c r="AB1" s="150" t="s">
        <v>1153</v>
      </c>
      <c r="AC1" s="159" t="s">
        <v>19</v>
      </c>
      <c r="AD1" s="159" t="s">
        <v>30</v>
      </c>
    </row>
    <row r="2" spans="1:30">
      <c r="A2" s="155">
        <v>274</v>
      </c>
      <c r="B2" s="155">
        <v>274</v>
      </c>
      <c r="C2"/>
      <c r="D2" s="155"/>
      <c r="E2"/>
      <c r="F2"/>
      <c r="G2" s="155"/>
      <c r="H2"/>
      <c r="I2"/>
      <c r="J2"/>
      <c r="K2"/>
      <c r="L2"/>
      <c r="M2"/>
      <c r="N2" s="156"/>
      <c r="O2"/>
      <c r="P2"/>
      <c r="Q2"/>
      <c r="R2"/>
      <c r="S2" s="151"/>
      <c r="T2" s="154"/>
      <c r="U2" s="154"/>
      <c r="V2"/>
      <c r="W2"/>
      <c r="X2" s="156"/>
      <c r="Y2" s="151"/>
      <c r="Z2" s="151"/>
      <c r="AA2" s="151"/>
      <c r="AB2" s="151"/>
      <c r="AC2" s="154"/>
      <c r="AD2" s="154"/>
    </row>
    <row r="3" spans="1:30">
      <c r="A3" s="18"/>
      <c r="B3" s="18"/>
      <c r="C3" s="18"/>
      <c r="D3" s="18"/>
      <c r="E3" s="16"/>
      <c r="F3" s="18"/>
      <c r="G3" s="18"/>
      <c r="H3" s="18"/>
      <c r="I3" s="18"/>
      <c r="J3" s="16"/>
      <c r="K3" s="16"/>
      <c r="L3" s="18"/>
      <c r="M3" s="19"/>
      <c r="N3" s="18"/>
      <c r="O3" s="18"/>
      <c r="P3" s="18"/>
      <c r="Q3" s="18"/>
      <c r="R3" s="16"/>
      <c r="S3" s="18"/>
      <c r="T3" s="18"/>
      <c r="U3" s="18"/>
      <c r="V3" s="18"/>
      <c r="W3" s="18"/>
      <c r="Y3" s="18"/>
      <c r="Z3" s="18"/>
      <c r="AA3" s="18"/>
      <c r="AB3" s="18"/>
      <c r="AC3" s="18"/>
      <c r="AD3" s="18"/>
    </row>
    <row r="4" spans="1:30">
      <c r="A4" s="18"/>
      <c r="B4" s="18"/>
      <c r="C4" s="18"/>
      <c r="D4" s="18"/>
      <c r="E4" s="16"/>
      <c r="F4" s="18"/>
      <c r="G4" s="18"/>
      <c r="H4" s="18"/>
      <c r="I4" s="18"/>
      <c r="J4" s="16"/>
      <c r="K4" s="16"/>
      <c r="L4" s="18"/>
      <c r="M4" s="19"/>
      <c r="N4" s="18"/>
      <c r="O4" s="18"/>
      <c r="P4" s="18"/>
      <c r="Q4" s="18"/>
      <c r="R4" s="16"/>
      <c r="S4" s="18"/>
      <c r="T4" s="18"/>
      <c r="U4" s="18"/>
      <c r="V4" s="18"/>
      <c r="W4" s="18"/>
      <c r="Y4" s="18"/>
      <c r="Z4" s="18"/>
      <c r="AA4" s="18"/>
      <c r="AB4" s="18"/>
      <c r="AC4" s="18"/>
      <c r="AD4" s="18"/>
    </row>
    <row r="5" spans="1:30">
      <c r="A5" s="18"/>
      <c r="B5" s="18"/>
      <c r="C5" s="18"/>
      <c r="D5" s="18"/>
      <c r="E5" s="16"/>
      <c r="F5" s="18"/>
      <c r="G5" s="18"/>
      <c r="H5" s="18"/>
      <c r="I5" s="18"/>
      <c r="J5" s="16"/>
      <c r="K5" s="16"/>
      <c r="L5" s="18"/>
      <c r="M5" s="19"/>
      <c r="N5" s="18"/>
      <c r="O5" s="18"/>
      <c r="P5" s="18"/>
      <c r="Q5" s="18"/>
      <c r="R5" s="16"/>
      <c r="S5" s="18"/>
      <c r="T5" s="18"/>
      <c r="U5" s="18"/>
      <c r="V5" s="18"/>
      <c r="W5" s="18"/>
      <c r="Y5" s="18"/>
      <c r="Z5" s="18"/>
      <c r="AA5" s="18"/>
      <c r="AB5" s="18"/>
      <c r="AC5" s="18"/>
      <c r="AD5" s="18"/>
    </row>
    <row r="6" spans="1:30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8"/>
      <c r="M6" s="19"/>
      <c r="N6" s="18"/>
      <c r="O6" s="18"/>
      <c r="P6" s="18"/>
      <c r="Q6" s="18"/>
      <c r="R6" s="16"/>
      <c r="S6" s="18"/>
      <c r="T6" s="18"/>
      <c r="U6" s="18"/>
      <c r="V6" s="18"/>
      <c r="W6" s="18"/>
      <c r="Y6" s="18"/>
      <c r="Z6" s="18"/>
      <c r="AA6" s="18"/>
      <c r="AB6" s="18"/>
      <c r="AC6" s="18"/>
      <c r="AD6" s="18"/>
    </row>
    <row r="7" spans="1:30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8"/>
      <c r="M7" s="19"/>
      <c r="N7" s="18"/>
      <c r="O7" s="18"/>
      <c r="P7" s="18"/>
      <c r="Q7" s="18"/>
      <c r="R7" s="16"/>
      <c r="S7" s="18"/>
      <c r="T7" s="18"/>
      <c r="U7" s="18"/>
      <c r="V7" s="18"/>
      <c r="W7" s="18"/>
      <c r="Y7" s="18"/>
      <c r="Z7" s="18"/>
      <c r="AA7" s="18"/>
      <c r="AB7" s="18"/>
      <c r="AC7" s="18"/>
      <c r="AD7" s="18"/>
    </row>
    <row r="8" spans="1:30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8"/>
      <c r="M8" s="19"/>
      <c r="N8" s="18"/>
      <c r="O8" s="18"/>
      <c r="P8" s="18"/>
      <c r="Q8" s="18"/>
      <c r="R8" s="16"/>
      <c r="S8" s="18"/>
      <c r="T8" s="18"/>
      <c r="U8" s="18"/>
      <c r="V8" s="18"/>
      <c r="W8" s="18"/>
      <c r="Y8" s="18"/>
      <c r="Z8" s="18"/>
      <c r="AA8" s="18"/>
      <c r="AB8" s="18"/>
      <c r="AC8" s="18"/>
      <c r="AD8" s="18"/>
    </row>
    <row r="9" spans="1:30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8"/>
      <c r="M9" s="19"/>
      <c r="N9" s="18"/>
      <c r="O9" s="18"/>
      <c r="P9" s="18"/>
      <c r="Q9" s="18"/>
      <c r="R9" s="16"/>
      <c r="S9" s="18"/>
      <c r="T9" s="18"/>
      <c r="U9" s="18"/>
      <c r="V9" s="18"/>
      <c r="W9" s="18"/>
      <c r="Y9" s="18"/>
      <c r="Z9" s="18"/>
      <c r="AA9" s="18"/>
      <c r="AB9" s="18"/>
      <c r="AC9" s="18"/>
      <c r="AD9" s="18"/>
    </row>
    <row r="10" spans="1:30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8"/>
      <c r="M10" s="19"/>
      <c r="N10" s="18"/>
      <c r="O10" s="18"/>
      <c r="P10" s="18"/>
      <c r="Q10" s="18"/>
      <c r="R10" s="16"/>
      <c r="S10" s="18"/>
      <c r="T10" s="18"/>
      <c r="U10" s="18"/>
      <c r="V10" s="18"/>
      <c r="W10" s="18"/>
      <c r="Y10" s="18"/>
      <c r="Z10" s="18"/>
      <c r="AA10" s="18"/>
      <c r="AB10" s="18"/>
      <c r="AC10" s="18"/>
      <c r="AD10" s="18"/>
    </row>
    <row r="11" spans="1:30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8"/>
      <c r="M11" s="19"/>
      <c r="N11" s="18"/>
      <c r="O11" s="18"/>
      <c r="P11" s="18"/>
      <c r="Q11" s="18"/>
      <c r="R11" s="16"/>
      <c r="S11" s="18"/>
      <c r="T11" s="18"/>
      <c r="U11" s="18"/>
      <c r="V11" s="18"/>
      <c r="W11" s="18"/>
      <c r="Y11" s="18"/>
      <c r="Z11" s="18"/>
      <c r="AA11" s="18"/>
      <c r="AB11" s="18"/>
      <c r="AC11" s="18"/>
      <c r="AD11" s="18"/>
    </row>
    <row r="12" spans="1:30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8"/>
      <c r="M12" s="19"/>
      <c r="N12" s="18"/>
      <c r="O12" s="18"/>
      <c r="P12" s="18"/>
      <c r="Q12" s="18"/>
      <c r="R12" s="16"/>
      <c r="S12" s="18"/>
      <c r="T12" s="18"/>
      <c r="U12" s="18"/>
      <c r="V12" s="18"/>
      <c r="W12" s="18"/>
      <c r="Y12" s="18"/>
      <c r="Z12" s="18"/>
      <c r="AA12" s="18"/>
      <c r="AB12" s="18"/>
      <c r="AC12" s="18"/>
      <c r="AD12" s="18"/>
    </row>
    <row r="13" spans="1:30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8"/>
      <c r="M13" s="19"/>
      <c r="N13" s="18"/>
      <c r="O13" s="18"/>
      <c r="P13" s="18"/>
      <c r="Q13" s="18"/>
      <c r="R13" s="16"/>
      <c r="S13" s="18"/>
      <c r="T13" s="18"/>
      <c r="U13" s="18"/>
      <c r="V13" s="18"/>
      <c r="W13" s="18"/>
      <c r="Y13" s="18"/>
      <c r="Z13" s="18"/>
      <c r="AA13" s="18"/>
      <c r="AB13" s="18"/>
      <c r="AC13" s="18"/>
      <c r="AD13" s="18"/>
    </row>
    <row r="14" spans="1:30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8"/>
      <c r="M14" s="19"/>
      <c r="N14" s="18"/>
      <c r="O14" s="18"/>
      <c r="P14" s="18"/>
      <c r="Q14" s="18"/>
      <c r="R14" s="16"/>
      <c r="S14" s="18"/>
      <c r="T14" s="18"/>
      <c r="U14" s="18"/>
      <c r="V14" s="18"/>
      <c r="W14" s="18"/>
      <c r="Y14" s="18"/>
      <c r="Z14" s="18"/>
      <c r="AA14" s="18"/>
      <c r="AB14" s="18"/>
      <c r="AC14" s="18"/>
      <c r="AD14" s="18"/>
    </row>
    <row r="15" spans="1:30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8"/>
      <c r="M15" s="19"/>
      <c r="N15" s="18"/>
      <c r="O15" s="18"/>
      <c r="P15" s="18"/>
      <c r="Q15" s="18"/>
      <c r="R15" s="16"/>
      <c r="S15" s="18"/>
      <c r="T15" s="18"/>
      <c r="U15" s="18"/>
      <c r="V15" s="18"/>
      <c r="W15" s="18"/>
      <c r="Y15" s="18"/>
      <c r="Z15" s="18"/>
      <c r="AA15" s="18"/>
      <c r="AB15" s="18"/>
      <c r="AC15" s="18"/>
      <c r="AD15" s="18"/>
    </row>
    <row r="16" spans="1:30">
      <c r="A16" s="18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8"/>
      <c r="M16" s="19"/>
      <c r="N16" s="18"/>
      <c r="O16" s="18"/>
      <c r="P16" s="18"/>
      <c r="Q16" s="18"/>
      <c r="R16" s="16"/>
      <c r="S16" s="18"/>
      <c r="T16" s="18"/>
      <c r="U16" s="18"/>
      <c r="V16" s="18"/>
      <c r="W16" s="18"/>
      <c r="Y16" s="18"/>
      <c r="Z16" s="18"/>
      <c r="AA16" s="18"/>
      <c r="AB16" s="18"/>
      <c r="AC16" s="18"/>
      <c r="AD16" s="18"/>
    </row>
    <row r="17" spans="1:30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8"/>
      <c r="M17" s="19"/>
      <c r="N17" s="18"/>
      <c r="O17" s="18"/>
      <c r="P17" s="18"/>
      <c r="Q17" s="18"/>
      <c r="R17" s="16"/>
      <c r="S17" s="18"/>
      <c r="T17" s="18"/>
      <c r="U17" s="18"/>
      <c r="V17" s="18"/>
      <c r="W17" s="18"/>
      <c r="Y17" s="18"/>
      <c r="Z17" s="18"/>
      <c r="AA17" s="18"/>
      <c r="AB17" s="18"/>
      <c r="AC17" s="18"/>
      <c r="AD17" s="18"/>
    </row>
    <row r="18" spans="1:30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8"/>
      <c r="M18" s="19"/>
      <c r="N18" s="18"/>
      <c r="O18" s="18"/>
      <c r="P18" s="18"/>
      <c r="Q18" s="18"/>
      <c r="R18" s="16"/>
      <c r="S18" s="18"/>
      <c r="T18" s="18"/>
      <c r="U18" s="18"/>
      <c r="V18" s="18"/>
      <c r="W18" s="18"/>
      <c r="Y18" s="18"/>
      <c r="Z18" s="18"/>
      <c r="AA18" s="18"/>
      <c r="AB18" s="18"/>
      <c r="AC18" s="18"/>
      <c r="AD18" s="18"/>
    </row>
    <row r="19" spans="1:30">
      <c r="A19" s="18"/>
      <c r="B19" s="18"/>
      <c r="C19" s="18"/>
      <c r="D19" s="18"/>
      <c r="E19" s="16"/>
      <c r="F19" s="18"/>
      <c r="G19" s="18"/>
      <c r="H19" s="18"/>
      <c r="I19" s="18"/>
      <c r="J19" s="16"/>
      <c r="K19" s="16"/>
      <c r="L19" s="18"/>
      <c r="M19" s="19"/>
      <c r="N19" s="18"/>
      <c r="O19" s="18"/>
      <c r="P19" s="18"/>
      <c r="Q19" s="18"/>
      <c r="R19" s="16"/>
      <c r="S19" s="18"/>
      <c r="T19" s="18"/>
      <c r="U19" s="18"/>
      <c r="V19" s="18"/>
      <c r="W19" s="18"/>
      <c r="Y19" s="18"/>
      <c r="Z19" s="18"/>
      <c r="AA19" s="18"/>
      <c r="AB19" s="18"/>
      <c r="AC19" s="18"/>
      <c r="AD19" s="18"/>
    </row>
    <row r="20" spans="1:30">
      <c r="E20" s="16"/>
      <c r="H20" s="18"/>
      <c r="I20" s="18"/>
      <c r="J20" s="16"/>
      <c r="K20" s="16"/>
      <c r="L20" s="18"/>
      <c r="M20" s="19"/>
      <c r="P20" s="18"/>
      <c r="Q20" s="18"/>
      <c r="V20" s="18"/>
      <c r="W20" s="18"/>
    </row>
    <row r="21" spans="1:30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O2" sqref="O2:O6"/>
    </sheetView>
  </sheetViews>
  <sheetFormatPr defaultColWidth="0" defaultRowHeight="14.25"/>
  <cols>
    <col min="1" max="2" width="10.625" style="2" bestFit="1" customWidth="1"/>
    <col min="3" max="3" width="11" style="36" bestFit="1" customWidth="1"/>
    <col min="4" max="4" width="10.75" style="2" bestFit="1" customWidth="1"/>
    <col min="5" max="5" width="9.125" style="4" bestFit="1" customWidth="1"/>
    <col min="6" max="6" width="24.625" style="2" bestFit="1" customWidth="1"/>
    <col min="7" max="7" width="10.75" style="2" bestFit="1" customWidth="1"/>
    <col min="8" max="8" width="10" style="2" bestFit="1" customWidth="1"/>
    <col min="9" max="9" width="9.25" style="2" bestFit="1" customWidth="1"/>
    <col min="10" max="10" width="11" style="2" bestFit="1" customWidth="1"/>
    <col min="11" max="11" width="9.625" style="2" bestFit="1" customWidth="1"/>
    <col min="12" max="12" width="13.375" style="2" bestFit="1" customWidth="1"/>
    <col min="13" max="13" width="11.25" style="2" bestFit="1" customWidth="1"/>
    <col min="14" max="14" width="7.375" style="2" bestFit="1" customWidth="1"/>
    <col min="15" max="15" width="10.625" style="2" bestFit="1" customWidth="1"/>
    <col min="16" max="16" width="7.125" style="2" bestFit="1" customWidth="1"/>
    <col min="17" max="17" width="11" style="2" bestFit="1" customWidth="1"/>
    <col min="18" max="18" width="9.875" style="2" bestFit="1" customWidth="1"/>
    <col min="19" max="19" width="10" style="2" bestFit="1" customWidth="1"/>
    <col min="20" max="20" width="11" style="2" bestFit="1" customWidth="1"/>
    <col min="21" max="21" width="11.125" style="2" bestFit="1" customWidth="1"/>
    <col min="22" max="22" width="10" style="2" bestFit="1" customWidth="1"/>
    <col min="23" max="16384" width="9" style="2" hidden="1"/>
  </cols>
  <sheetData>
    <row r="1" spans="1:22" ht="51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625</v>
      </c>
      <c r="H1" s="17" t="s">
        <v>604</v>
      </c>
      <c r="I1" s="17" t="s">
        <v>605</v>
      </c>
      <c r="J1" s="17" t="s">
        <v>606</v>
      </c>
      <c r="K1" s="17" t="s">
        <v>772</v>
      </c>
      <c r="L1" s="17" t="s">
        <v>8</v>
      </c>
      <c r="M1" s="17" t="s">
        <v>396</v>
      </c>
      <c r="N1" s="17" t="s">
        <v>13</v>
      </c>
      <c r="O1" s="17" t="s">
        <v>14</v>
      </c>
      <c r="P1" s="17" t="s">
        <v>621</v>
      </c>
      <c r="Q1" s="17" t="s">
        <v>922</v>
      </c>
      <c r="R1" s="17" t="s">
        <v>11</v>
      </c>
      <c r="S1" s="17" t="s">
        <v>795</v>
      </c>
      <c r="T1" s="17" t="s">
        <v>1153</v>
      </c>
      <c r="U1" s="17" t="s">
        <v>19</v>
      </c>
      <c r="V1" s="17" t="s">
        <v>30</v>
      </c>
    </row>
    <row r="2" spans="1:22">
      <c r="A2" s="155">
        <v>274</v>
      </c>
      <c r="B2" s="155">
        <v>274</v>
      </c>
      <c r="C2" t="s">
        <v>1219</v>
      </c>
      <c r="D2" t="s">
        <v>1220</v>
      </c>
      <c r="E2" t="s">
        <v>776</v>
      </c>
      <c r="F2" t="s">
        <v>247</v>
      </c>
      <c r="G2" s="156"/>
      <c r="H2" t="s">
        <v>53</v>
      </c>
      <c r="I2" t="s">
        <v>315</v>
      </c>
      <c r="J2" t="s">
        <v>62</v>
      </c>
      <c r="K2" t="s">
        <v>1274</v>
      </c>
      <c r="L2" t="s">
        <v>84</v>
      </c>
      <c r="M2" t="s">
        <v>1218</v>
      </c>
      <c r="N2" s="151"/>
      <c r="O2" s="154"/>
      <c r="P2" s="154">
        <v>0</v>
      </c>
      <c r="Q2" s="151">
        <v>-3.0200000000000001E-3</v>
      </c>
      <c r="R2" s="151">
        <v>3.3719999999999999</v>
      </c>
      <c r="S2" s="151">
        <v>100</v>
      </c>
      <c r="T2" s="151">
        <v>-1.018E-2</v>
      </c>
      <c r="U2" s="154">
        <v>0</v>
      </c>
      <c r="V2" s="154">
        <v>0</v>
      </c>
    </row>
    <row r="3" spans="1:22">
      <c r="A3" s="155">
        <v>274</v>
      </c>
      <c r="B3" s="155">
        <v>274</v>
      </c>
      <c r="C3" t="s">
        <v>1219</v>
      </c>
      <c r="D3" t="s">
        <v>1220</v>
      </c>
      <c r="E3" t="s">
        <v>776</v>
      </c>
      <c r="F3" t="s">
        <v>247</v>
      </c>
      <c r="G3" s="156"/>
      <c r="H3" t="s">
        <v>53</v>
      </c>
      <c r="I3" t="s">
        <v>315</v>
      </c>
      <c r="J3" t="s">
        <v>62</v>
      </c>
      <c r="K3" t="s">
        <v>1447</v>
      </c>
      <c r="L3" t="s">
        <v>96</v>
      </c>
      <c r="M3" t="s">
        <v>1218</v>
      </c>
      <c r="N3" s="151"/>
      <c r="O3" s="154"/>
      <c r="P3" s="154">
        <v>0</v>
      </c>
      <c r="Q3" s="151">
        <v>-270</v>
      </c>
      <c r="R3" s="151">
        <v>3.3719999999999999</v>
      </c>
      <c r="S3" s="151">
        <v>100</v>
      </c>
      <c r="T3" s="151">
        <v>-910.44</v>
      </c>
      <c r="U3" s="154">
        <v>-3.2661000000000003E-2</v>
      </c>
      <c r="V3" s="154">
        <v>-2.2100000000000001E-4</v>
      </c>
    </row>
    <row r="4" spans="1:22">
      <c r="A4" s="155">
        <v>274</v>
      </c>
      <c r="B4" s="155">
        <v>274</v>
      </c>
      <c r="C4" t="s">
        <v>1215</v>
      </c>
      <c r="D4" t="s">
        <v>1216</v>
      </c>
      <c r="E4" t="s">
        <v>776</v>
      </c>
      <c r="F4" t="s">
        <v>228</v>
      </c>
      <c r="G4" s="156">
        <v>45965</v>
      </c>
      <c r="H4" t="s">
        <v>53</v>
      </c>
      <c r="I4" t="s">
        <v>53</v>
      </c>
      <c r="J4" t="s">
        <v>62</v>
      </c>
      <c r="K4" t="s">
        <v>1285</v>
      </c>
      <c r="L4" t="s">
        <v>70</v>
      </c>
      <c r="M4" t="s">
        <v>1222</v>
      </c>
      <c r="N4" s="151">
        <v>0.35</v>
      </c>
      <c r="O4" s="154"/>
      <c r="P4" s="154">
        <v>4.5900000000000003E-2</v>
      </c>
      <c r="Q4" s="151">
        <v>12370.8</v>
      </c>
      <c r="R4" s="151">
        <v>1</v>
      </c>
      <c r="S4" s="151">
        <v>103.09</v>
      </c>
      <c r="T4" s="151">
        <v>12370.8</v>
      </c>
      <c r="U4" s="154">
        <v>0.44379999999999997</v>
      </c>
      <c r="V4" s="154">
        <v>3.0049999999999999E-3</v>
      </c>
    </row>
    <row r="5" spans="1:22">
      <c r="A5" s="155">
        <v>274</v>
      </c>
      <c r="B5" s="155">
        <v>274</v>
      </c>
      <c r="C5" t="s">
        <v>1215</v>
      </c>
      <c r="D5" t="s">
        <v>1216</v>
      </c>
      <c r="E5" t="s">
        <v>776</v>
      </c>
      <c r="F5" t="s">
        <v>229</v>
      </c>
      <c r="G5" s="156">
        <v>50895</v>
      </c>
      <c r="H5" t="s">
        <v>53</v>
      </c>
      <c r="I5" t="s">
        <v>53</v>
      </c>
      <c r="J5" t="s">
        <v>62</v>
      </c>
      <c r="K5" t="s">
        <v>1285</v>
      </c>
      <c r="L5" t="s">
        <v>70</v>
      </c>
      <c r="M5" t="s">
        <v>1222</v>
      </c>
      <c r="N5" s="151">
        <v>13.86</v>
      </c>
      <c r="O5" s="154"/>
      <c r="P5" s="154">
        <v>2.8400000000000002E-2</v>
      </c>
      <c r="Q5" s="151">
        <v>2844.76838</v>
      </c>
      <c r="R5" s="151">
        <v>1</v>
      </c>
      <c r="S5" s="151">
        <v>106.26</v>
      </c>
      <c r="T5" s="151">
        <v>2844.76838</v>
      </c>
      <c r="U5" s="154">
        <v>0.10205500000000001</v>
      </c>
      <c r="V5" s="154">
        <v>6.9099999999999999E-4</v>
      </c>
    </row>
    <row r="6" spans="1:22">
      <c r="A6" s="155">
        <v>274</v>
      </c>
      <c r="B6" s="155">
        <v>274</v>
      </c>
      <c r="C6" t="s">
        <v>1228</v>
      </c>
      <c r="D6" t="s">
        <v>1229</v>
      </c>
      <c r="E6" t="s">
        <v>776</v>
      </c>
      <c r="F6" t="s">
        <v>228</v>
      </c>
      <c r="G6" s="156">
        <v>45991</v>
      </c>
      <c r="H6" t="s">
        <v>53</v>
      </c>
      <c r="I6" t="s">
        <v>53</v>
      </c>
      <c r="J6" t="s">
        <v>62</v>
      </c>
      <c r="K6" t="s">
        <v>1285</v>
      </c>
      <c r="L6" t="s">
        <v>70</v>
      </c>
      <c r="M6" t="s">
        <v>1222</v>
      </c>
      <c r="N6" s="151">
        <v>0.42</v>
      </c>
      <c r="O6" s="154"/>
      <c r="P6" s="154">
        <v>4.5499999999999999E-2</v>
      </c>
      <c r="Q6" s="151">
        <v>13569.6</v>
      </c>
      <c r="R6" s="151">
        <v>1</v>
      </c>
      <c r="S6" s="151">
        <v>102.8</v>
      </c>
      <c r="T6" s="151">
        <v>13569.6</v>
      </c>
      <c r="U6" s="154">
        <v>0.48680600000000002</v>
      </c>
      <c r="V6" s="154">
        <v>3.2959999999999999E-3</v>
      </c>
    </row>
    <row r="7" spans="1:22">
      <c r="A7" s="18"/>
      <c r="B7" s="18"/>
      <c r="C7" s="19"/>
      <c r="E7" s="16"/>
      <c r="F7" s="18"/>
      <c r="G7" s="18"/>
      <c r="H7" s="25"/>
      <c r="I7" s="25"/>
      <c r="J7" s="18"/>
      <c r="K7" s="18"/>
      <c r="M7" s="16"/>
      <c r="N7" s="18"/>
      <c r="O7" s="18"/>
      <c r="P7" s="18"/>
      <c r="R7" s="18"/>
      <c r="S7" s="18"/>
      <c r="T7" s="18"/>
      <c r="U7" s="18"/>
      <c r="V7" s="18"/>
    </row>
    <row r="8" spans="1:22">
      <c r="A8" s="18"/>
      <c r="B8" s="18"/>
      <c r="C8" s="19"/>
      <c r="E8" s="16"/>
      <c r="F8" s="18"/>
      <c r="G8" s="18"/>
      <c r="H8" s="25"/>
      <c r="I8" s="25"/>
      <c r="J8" s="18"/>
      <c r="K8" s="18"/>
      <c r="M8" s="16"/>
      <c r="N8" s="18"/>
      <c r="O8" s="18"/>
      <c r="P8" s="18"/>
      <c r="R8" s="18"/>
      <c r="S8" s="18"/>
      <c r="T8" s="18"/>
      <c r="U8" s="18"/>
      <c r="V8" s="18"/>
    </row>
    <row r="9" spans="1:22">
      <c r="A9" s="18"/>
      <c r="B9" s="18"/>
      <c r="C9" s="19"/>
      <c r="E9" s="16"/>
      <c r="F9" s="18"/>
      <c r="G9" s="18"/>
      <c r="H9" s="25"/>
      <c r="I9" s="25"/>
      <c r="J9" s="18"/>
      <c r="K9" s="18"/>
      <c r="M9" s="16"/>
      <c r="N9" s="18"/>
      <c r="O9" s="18"/>
      <c r="P9" s="18"/>
      <c r="R9" s="18"/>
      <c r="S9" s="18"/>
      <c r="T9" s="18"/>
      <c r="U9" s="18"/>
      <c r="V9" s="18"/>
    </row>
    <row r="10" spans="1:22">
      <c r="A10" s="18"/>
      <c r="B10" s="18"/>
      <c r="C10" s="19"/>
      <c r="E10" s="16"/>
      <c r="F10" s="18"/>
      <c r="G10" s="18"/>
      <c r="H10" s="25"/>
      <c r="I10" s="25"/>
      <c r="J10" s="18"/>
      <c r="K10" s="18"/>
      <c r="M10" s="16"/>
      <c r="N10" s="18"/>
      <c r="O10" s="18"/>
      <c r="P10" s="18"/>
      <c r="R10" s="18"/>
      <c r="S10" s="18"/>
      <c r="T10" s="18"/>
      <c r="U10" s="18"/>
      <c r="V10" s="18"/>
    </row>
    <row r="11" spans="1:22">
      <c r="A11" s="18"/>
      <c r="B11" s="18"/>
      <c r="C11" s="19"/>
      <c r="E11" s="16"/>
      <c r="F11" s="18"/>
      <c r="G11" s="18"/>
      <c r="H11" s="25"/>
      <c r="I11" s="25"/>
      <c r="J11" s="18"/>
      <c r="K11" s="18"/>
      <c r="M11" s="16"/>
      <c r="N11" s="18"/>
      <c r="O11" s="18"/>
      <c r="P11" s="18"/>
      <c r="R11" s="18"/>
      <c r="S11" s="18"/>
      <c r="T11" s="18"/>
      <c r="U11" s="18"/>
      <c r="V11" s="18"/>
    </row>
    <row r="12" spans="1:22">
      <c r="A12" s="18"/>
      <c r="B12" s="18"/>
      <c r="C12" s="19"/>
      <c r="E12" s="16"/>
      <c r="F12" s="18"/>
      <c r="G12" s="18"/>
      <c r="H12" s="25"/>
      <c r="I12" s="25"/>
      <c r="J12" s="18"/>
      <c r="K12" s="18"/>
      <c r="M12" s="16"/>
      <c r="N12" s="18"/>
      <c r="O12" s="18"/>
      <c r="P12" s="18"/>
      <c r="R12" s="18"/>
      <c r="S12" s="18"/>
      <c r="T12" s="18"/>
      <c r="U12" s="18"/>
      <c r="V12" s="18"/>
    </row>
    <row r="13" spans="1:22">
      <c r="A13" s="18"/>
      <c r="B13" s="18"/>
      <c r="C13" s="19"/>
      <c r="E13" s="16"/>
      <c r="F13" s="18"/>
      <c r="G13" s="18"/>
      <c r="H13" s="25"/>
      <c r="I13" s="25"/>
      <c r="J13" s="18"/>
      <c r="K13" s="18"/>
      <c r="M13" s="16"/>
      <c r="N13" s="18"/>
      <c r="O13" s="18"/>
      <c r="P13" s="18"/>
      <c r="R13" s="18"/>
      <c r="S13" s="18"/>
      <c r="T13" s="18"/>
      <c r="U13" s="18"/>
      <c r="V13" s="18"/>
    </row>
    <row r="14" spans="1:22">
      <c r="A14" s="18"/>
      <c r="B14" s="18"/>
      <c r="C14" s="19"/>
      <c r="E14" s="16"/>
      <c r="F14" s="18"/>
      <c r="G14" s="18"/>
      <c r="H14" s="25"/>
      <c r="I14" s="25"/>
      <c r="J14" s="18"/>
      <c r="K14" s="18"/>
      <c r="M14" s="16"/>
      <c r="N14" s="18"/>
      <c r="O14" s="18"/>
      <c r="P14" s="18"/>
      <c r="R14" s="18"/>
      <c r="S14" s="18"/>
      <c r="T14" s="18"/>
      <c r="U14" s="18"/>
      <c r="V14" s="18"/>
    </row>
    <row r="15" spans="1:22">
      <c r="A15" s="18"/>
      <c r="B15" s="18"/>
      <c r="C15" s="19"/>
      <c r="E15" s="16"/>
      <c r="F15" s="18"/>
      <c r="G15" s="18"/>
      <c r="H15" s="25"/>
      <c r="I15" s="25"/>
      <c r="J15" s="18"/>
      <c r="K15" s="18"/>
      <c r="M15" s="16"/>
      <c r="N15" s="18"/>
      <c r="O15" s="18"/>
      <c r="P15" s="18"/>
      <c r="R15" s="18"/>
      <c r="S15" s="18"/>
      <c r="T15" s="18"/>
      <c r="U15" s="18"/>
      <c r="V15" s="18"/>
    </row>
    <row r="16" spans="1:22">
      <c r="A16" s="18"/>
      <c r="B16" s="18"/>
      <c r="C16" s="19"/>
      <c r="E16" s="16"/>
      <c r="F16" s="18"/>
      <c r="G16" s="18"/>
      <c r="H16" s="25"/>
      <c r="I16" s="25"/>
      <c r="J16" s="18"/>
      <c r="K16" s="18"/>
      <c r="M16" s="16"/>
      <c r="N16" s="18"/>
      <c r="O16" s="18"/>
      <c r="P16" s="18"/>
      <c r="R16" s="18"/>
      <c r="S16" s="18"/>
      <c r="T16" s="18"/>
      <c r="U16" s="18"/>
      <c r="V16" s="18"/>
    </row>
    <row r="17" spans="1:22">
      <c r="A17" s="18"/>
      <c r="B17" s="18"/>
      <c r="C17" s="19"/>
      <c r="E17" s="16"/>
      <c r="F17" s="18"/>
      <c r="G17" s="18"/>
      <c r="H17" s="25"/>
      <c r="I17" s="25"/>
      <c r="J17" s="18"/>
      <c r="K17" s="18"/>
      <c r="M17" s="16"/>
      <c r="N17" s="18"/>
      <c r="O17" s="18"/>
      <c r="P17" s="18"/>
      <c r="R17" s="18"/>
      <c r="S17" s="18"/>
      <c r="T17" s="18"/>
      <c r="U17" s="18"/>
      <c r="V17" s="18"/>
    </row>
    <row r="18" spans="1:22">
      <c r="A18" s="18"/>
      <c r="B18" s="18"/>
      <c r="C18" s="19"/>
      <c r="E18" s="16"/>
      <c r="F18" s="18"/>
      <c r="G18" s="18"/>
      <c r="H18" s="25"/>
      <c r="I18" s="25"/>
      <c r="J18" s="18"/>
      <c r="K18" s="18"/>
      <c r="M18" s="16"/>
      <c r="N18" s="18"/>
      <c r="O18" s="18"/>
      <c r="P18" s="18"/>
      <c r="R18" s="18"/>
      <c r="S18" s="18"/>
      <c r="T18" s="18"/>
      <c r="U18" s="18"/>
      <c r="V18" s="18"/>
    </row>
    <row r="19" spans="1:22">
      <c r="A19" s="18"/>
      <c r="B19" s="18"/>
      <c r="C19" s="19"/>
      <c r="E19" s="16"/>
      <c r="F19" s="18"/>
      <c r="G19" s="18"/>
      <c r="H19" s="25"/>
      <c r="I19" s="25"/>
      <c r="J19" s="18"/>
      <c r="K19" s="18"/>
      <c r="M19" s="16"/>
      <c r="N19" s="18"/>
      <c r="O19" s="18"/>
      <c r="P19" s="18"/>
      <c r="R19" s="18"/>
      <c r="S19" s="18"/>
      <c r="T19" s="18"/>
      <c r="U19" s="18"/>
      <c r="V19" s="18"/>
    </row>
    <row r="20" spans="1:22">
      <c r="E20" s="16"/>
      <c r="F20" s="18"/>
      <c r="H20" s="25"/>
      <c r="I20" s="25"/>
      <c r="J20" s="18"/>
    </row>
    <row r="21" spans="1:22" s="36" customFormat="1">
      <c r="E21" s="37"/>
      <c r="L21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/>
  <cols>
    <col min="1" max="2" width="10.625" style="2" bestFit="1" customWidth="1"/>
    <col min="3" max="3" width="8" style="2" bestFit="1" customWidth="1"/>
    <col min="4" max="4" width="11" style="2" bestFit="1" customWidth="1"/>
    <col min="5" max="5" width="11.375" style="2" bestFit="1" customWidth="1"/>
    <col min="6" max="6" width="11" style="2" bestFit="1" customWidth="1"/>
    <col min="7" max="8" width="11.625" style="2" customWidth="1"/>
    <col min="9" max="9" width="9" style="2" bestFit="1" customWidth="1"/>
    <col min="10" max="10" width="10.375" style="2" bestFit="1" customWidth="1"/>
    <col min="11" max="11" width="7.125" style="2" bestFit="1" customWidth="1"/>
    <col min="12" max="12" width="11.25" style="2" bestFit="1" customWidth="1"/>
    <col min="13" max="14" width="8.25" style="2" bestFit="1" customWidth="1"/>
    <col min="15" max="15" width="7.875" style="2" bestFit="1" customWidth="1"/>
    <col min="16" max="16" width="11" style="2" bestFit="1" customWidth="1"/>
    <col min="17" max="17" width="11.25" style="2" bestFit="1" customWidth="1"/>
    <col min="18" max="18" width="9" style="2" bestFit="1" customWidth="1"/>
    <col min="19" max="20" width="10.875" style="2" bestFit="1" customWidth="1"/>
    <col min="21" max="21" width="8.125" style="2" bestFit="1" customWidth="1"/>
    <col min="22" max="22" width="10.125" style="2" bestFit="1" customWidth="1"/>
    <col min="23" max="23" width="11.125" style="2" bestFit="1" customWidth="1"/>
    <col min="24" max="24" width="10" style="2" bestFit="1" customWidth="1"/>
    <col min="25" max="16384" width="9" style="2" hidden="1"/>
  </cols>
  <sheetData>
    <row r="1" spans="1:24" ht="63.75">
      <c r="A1" s="17" t="s">
        <v>651</v>
      </c>
      <c r="B1" s="17" t="s">
        <v>0</v>
      </c>
      <c r="C1" s="17" t="s">
        <v>299</v>
      </c>
      <c r="D1" s="17" t="s">
        <v>1</v>
      </c>
      <c r="E1" s="17" t="s">
        <v>782</v>
      </c>
      <c r="F1" s="17" t="s">
        <v>606</v>
      </c>
      <c r="G1" s="158" t="s">
        <v>12</v>
      </c>
      <c r="H1" s="17" t="s">
        <v>24</v>
      </c>
      <c r="I1" s="17" t="s">
        <v>286</v>
      </c>
      <c r="J1" s="17" t="s">
        <v>25</v>
      </c>
      <c r="K1" s="159" t="s">
        <v>949</v>
      </c>
      <c r="L1" s="17" t="s">
        <v>1149</v>
      </c>
      <c r="M1" s="17" t="s">
        <v>917</v>
      </c>
      <c r="N1" s="17" t="s">
        <v>731</v>
      </c>
      <c r="O1" s="17" t="s">
        <v>372</v>
      </c>
      <c r="P1" s="158" t="s">
        <v>16</v>
      </c>
      <c r="Q1" s="17" t="s">
        <v>396</v>
      </c>
      <c r="R1" s="150" t="s">
        <v>787</v>
      </c>
      <c r="S1" s="150" t="s">
        <v>1153</v>
      </c>
      <c r="T1" s="150" t="s">
        <v>1154</v>
      </c>
      <c r="U1" s="150" t="s">
        <v>788</v>
      </c>
      <c r="V1" s="17" t="s">
        <v>26</v>
      </c>
      <c r="W1" s="159" t="s">
        <v>19</v>
      </c>
      <c r="X1" s="159" t="s">
        <v>30</v>
      </c>
    </row>
    <row r="2" spans="1:24">
      <c r="A2" s="155">
        <v>274</v>
      </c>
      <c r="B2" s="155">
        <v>274</v>
      </c>
      <c r="C2"/>
      <c r="D2"/>
      <c r="E2"/>
      <c r="F2"/>
      <c r="G2" s="156"/>
      <c r="H2"/>
      <c r="I2"/>
      <c r="J2"/>
      <c r="K2" s="154"/>
      <c r="L2"/>
      <c r="M2"/>
      <c r="N2"/>
      <c r="O2"/>
      <c r="P2" s="156"/>
      <c r="Q2"/>
      <c r="R2" s="151"/>
      <c r="S2" s="151"/>
      <c r="T2" s="151"/>
      <c r="U2" s="151"/>
      <c r="V2"/>
      <c r="W2" s="154"/>
      <c r="X2" s="154"/>
    </row>
    <row r="3" spans="1:2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  <c r="M3" s="18"/>
      <c r="N3" s="19"/>
      <c r="O3" s="18"/>
      <c r="P3" s="18"/>
      <c r="Q3" s="16"/>
      <c r="R3" s="18"/>
      <c r="S3" s="18"/>
      <c r="T3" s="18"/>
      <c r="U3" s="18"/>
      <c r="V3" s="18"/>
      <c r="W3" s="18"/>
      <c r="X3" s="18"/>
    </row>
    <row r="4" spans="1:2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8"/>
      <c r="N4" s="18"/>
      <c r="O4" s="18"/>
      <c r="P4" s="18"/>
      <c r="Q4" s="16"/>
      <c r="R4" s="18"/>
      <c r="S4" s="18"/>
      <c r="T4" s="18"/>
      <c r="U4" s="18"/>
      <c r="V4" s="18"/>
      <c r="W4" s="18"/>
      <c r="X4" s="18"/>
    </row>
    <row r="5" spans="1:24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9"/>
      <c r="M5" s="18"/>
      <c r="N5" s="18"/>
      <c r="O5" s="18"/>
      <c r="P5" s="18"/>
      <c r="Q5" s="16"/>
      <c r="R5" s="18"/>
      <c r="S5" s="18"/>
      <c r="T5" s="18"/>
      <c r="U5" s="18"/>
      <c r="V5" s="18"/>
      <c r="W5" s="18"/>
      <c r="X5" s="18"/>
    </row>
    <row r="6" spans="1:24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9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</row>
    <row r="7" spans="1:24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</row>
    <row r="8" spans="1:2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</row>
    <row r="9" spans="1:24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</row>
    <row r="10" spans="1:24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</row>
    <row r="11" spans="1:24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</row>
    <row r="12" spans="1:24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</row>
    <row r="13" spans="1:24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</row>
    <row r="14" spans="1:2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</row>
    <row r="15" spans="1:24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</row>
    <row r="16" spans="1:24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</row>
    <row r="17" spans="1:24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</row>
    <row r="18" spans="1:24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</row>
    <row r="19" spans="1:24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</row>
    <row r="20" spans="1:24">
      <c r="D20" s="18"/>
      <c r="E20" s="18"/>
      <c r="F20" s="18"/>
      <c r="H20" s="18"/>
      <c r="I20" s="18"/>
      <c r="L20" s="19"/>
      <c r="M20" s="18"/>
      <c r="O20" s="18"/>
      <c r="V20" s="18"/>
    </row>
    <row r="21" spans="1:24" s="36" customFormat="1">
      <c r="D21" s="18"/>
      <c r="E21" s="19"/>
    </row>
    <row r="22" spans="1:24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/>
  <cols>
    <col min="1" max="2" width="10.625" style="2" bestFit="1" customWidth="1"/>
    <col min="3" max="3" width="8.875" style="2" bestFit="1" customWidth="1"/>
    <col min="4" max="4" width="10.75" style="2" bestFit="1" customWidth="1"/>
    <col min="5" max="5" width="10.375" style="4" bestFit="1" customWidth="1"/>
    <col min="6" max="6" width="10.625" style="2" bestFit="1" customWidth="1"/>
    <col min="7" max="7" width="9.375" style="2" bestFit="1" customWidth="1"/>
    <col min="8" max="8" width="9.125" style="2" bestFit="1" customWidth="1"/>
    <col min="9" max="9" width="11" style="2" bestFit="1" customWidth="1"/>
    <col min="10" max="10" width="10" style="2" bestFit="1" customWidth="1"/>
    <col min="11" max="11" width="9.25" style="2" bestFit="1" customWidth="1"/>
    <col min="12" max="12" width="8.875" style="2" bestFit="1" customWidth="1"/>
    <col min="13" max="13" width="11" style="2" bestFit="1" customWidth="1"/>
    <col min="14" max="14" width="11.25" style="2" bestFit="1" customWidth="1"/>
    <col min="15" max="15" width="8.25" style="2" bestFit="1" customWidth="1"/>
    <col min="16" max="16" width="7.875" style="2" bestFit="1" customWidth="1"/>
    <col min="17" max="17" width="11" style="2" bestFit="1" customWidth="1"/>
    <col min="18" max="18" width="11.625" style="2" customWidth="1"/>
    <col min="19" max="19" width="7.375" style="2" bestFit="1" customWidth="1"/>
    <col min="20" max="21" width="10.875" style="2" bestFit="1" customWidth="1"/>
    <col min="22" max="22" width="11.125" style="2" bestFit="1" customWidth="1"/>
    <col min="23" max="23" width="10" style="2" bestFit="1" customWidth="1"/>
    <col min="24" max="16384" width="9" style="2" hidden="1"/>
  </cols>
  <sheetData>
    <row r="1" spans="1:23" ht="51">
      <c r="A1" s="17" t="s">
        <v>651</v>
      </c>
      <c r="B1" s="17" t="s">
        <v>0</v>
      </c>
      <c r="C1" s="17" t="s">
        <v>724</v>
      </c>
      <c r="D1" s="157" t="s">
        <v>2</v>
      </c>
      <c r="E1" s="17" t="s">
        <v>740</v>
      </c>
      <c r="F1" s="17" t="s">
        <v>1145</v>
      </c>
      <c r="G1" s="15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396</v>
      </c>
      <c r="O1" s="17" t="s">
        <v>917</v>
      </c>
      <c r="P1" s="17" t="s">
        <v>372</v>
      </c>
      <c r="Q1" s="158" t="s">
        <v>16</v>
      </c>
      <c r="R1" s="158" t="s">
        <v>1147</v>
      </c>
      <c r="S1" s="159" t="s">
        <v>618</v>
      </c>
      <c r="T1" s="150" t="s">
        <v>1156</v>
      </c>
      <c r="U1" s="150" t="s">
        <v>1153</v>
      </c>
      <c r="V1" s="159" t="s">
        <v>19</v>
      </c>
      <c r="W1" s="159" t="s">
        <v>30</v>
      </c>
    </row>
    <row r="2" spans="1:23">
      <c r="A2" s="155">
        <v>274</v>
      </c>
      <c r="B2" s="155">
        <v>274</v>
      </c>
      <c r="C2"/>
      <c r="D2" s="155"/>
      <c r="E2"/>
      <c r="F2"/>
      <c r="G2" s="155"/>
      <c r="H2"/>
      <c r="I2"/>
      <c r="J2"/>
      <c r="K2"/>
      <c r="L2"/>
      <c r="M2"/>
      <c r="N2"/>
      <c r="O2"/>
      <c r="P2"/>
      <c r="Q2" s="156"/>
      <c r="R2" s="156"/>
      <c r="S2" s="154"/>
      <c r="T2" s="151"/>
      <c r="U2" s="151"/>
      <c r="V2" s="154"/>
      <c r="W2" s="154"/>
    </row>
    <row r="3" spans="1:23">
      <c r="A3" s="18"/>
      <c r="B3" s="18"/>
      <c r="C3" s="18"/>
      <c r="D3" s="18"/>
      <c r="E3" s="16"/>
      <c r="F3" s="18"/>
      <c r="G3" s="18"/>
      <c r="H3" s="18"/>
      <c r="I3" s="18"/>
      <c r="J3" s="16"/>
      <c r="K3" s="16"/>
      <c r="L3" s="19"/>
      <c r="M3" s="18"/>
      <c r="N3" s="16"/>
      <c r="O3" s="18"/>
      <c r="P3" s="18"/>
      <c r="Q3" s="18"/>
      <c r="R3" s="18"/>
      <c r="S3" s="18"/>
      <c r="T3" s="18"/>
      <c r="U3" s="18"/>
      <c r="V3" s="18"/>
      <c r="W3" s="18"/>
    </row>
    <row r="4" spans="1:23">
      <c r="A4" s="18"/>
      <c r="B4" s="18"/>
      <c r="C4" s="18"/>
      <c r="D4" s="18"/>
      <c r="E4" s="16"/>
      <c r="F4" s="18"/>
      <c r="G4" s="18"/>
      <c r="H4" s="18"/>
      <c r="I4" s="18"/>
      <c r="J4" s="16"/>
      <c r="K4" s="16"/>
      <c r="L4" s="19"/>
      <c r="M4" s="18"/>
      <c r="N4" s="16"/>
      <c r="O4" s="18"/>
      <c r="P4" s="18"/>
      <c r="Q4" s="18"/>
      <c r="R4" s="18"/>
      <c r="S4" s="18"/>
      <c r="T4" s="18"/>
      <c r="U4" s="18"/>
      <c r="V4" s="18"/>
      <c r="W4" s="18"/>
    </row>
    <row r="5" spans="1:23">
      <c r="A5" s="18"/>
      <c r="B5" s="18"/>
      <c r="C5" s="18"/>
      <c r="D5" s="18"/>
      <c r="E5" s="16"/>
      <c r="F5" s="18"/>
      <c r="G5" s="18"/>
      <c r="H5" s="18"/>
      <c r="I5" s="18"/>
      <c r="J5" s="16"/>
      <c r="K5" s="16"/>
      <c r="L5" s="19"/>
      <c r="M5" s="18"/>
      <c r="N5" s="16"/>
      <c r="O5" s="18"/>
      <c r="P5" s="18"/>
      <c r="Q5" s="18"/>
      <c r="R5" s="18"/>
      <c r="S5" s="18"/>
      <c r="T5" s="18"/>
      <c r="U5" s="18"/>
      <c r="V5" s="18"/>
      <c r="W5" s="18"/>
    </row>
    <row r="6" spans="1:23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9"/>
      <c r="M6" s="18"/>
      <c r="N6" s="16"/>
      <c r="O6" s="18"/>
      <c r="P6" s="18"/>
      <c r="Q6" s="18"/>
      <c r="R6" s="18"/>
      <c r="S6" s="18"/>
      <c r="T6" s="18"/>
      <c r="U6" s="18"/>
      <c r="V6" s="18"/>
      <c r="W6" s="18"/>
    </row>
    <row r="7" spans="1:23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9"/>
      <c r="M7" s="18"/>
      <c r="N7" s="16"/>
      <c r="O7" s="18"/>
      <c r="P7" s="18"/>
      <c r="Q7" s="18"/>
      <c r="R7" s="18"/>
      <c r="S7" s="18"/>
      <c r="T7" s="18"/>
      <c r="U7" s="18"/>
      <c r="V7" s="18"/>
      <c r="W7" s="18"/>
    </row>
    <row r="8" spans="1:23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9"/>
      <c r="M8" s="18"/>
      <c r="N8" s="16"/>
      <c r="O8" s="18"/>
      <c r="P8" s="18"/>
      <c r="Q8" s="18"/>
      <c r="R8" s="18"/>
      <c r="S8" s="18"/>
      <c r="T8" s="18"/>
      <c r="U8" s="18"/>
      <c r="V8" s="18"/>
      <c r="W8" s="18"/>
    </row>
    <row r="9" spans="1:23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9"/>
      <c r="M9" s="18"/>
      <c r="N9" s="16"/>
      <c r="O9" s="18"/>
      <c r="P9" s="18"/>
      <c r="Q9" s="18"/>
      <c r="R9" s="18"/>
      <c r="S9" s="18"/>
      <c r="T9" s="18"/>
      <c r="U9" s="18"/>
      <c r="V9" s="18"/>
      <c r="W9" s="18"/>
    </row>
    <row r="10" spans="1:23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9"/>
      <c r="M10" s="18"/>
      <c r="N10" s="16"/>
      <c r="O10" s="18"/>
      <c r="P10" s="18"/>
      <c r="Q10" s="18"/>
      <c r="R10" s="18"/>
      <c r="S10" s="18"/>
      <c r="T10" s="18"/>
      <c r="U10" s="18"/>
      <c r="V10" s="18"/>
      <c r="W10" s="18"/>
    </row>
    <row r="11" spans="1:23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9"/>
      <c r="M11" s="18"/>
      <c r="N11" s="16"/>
      <c r="O11" s="18"/>
      <c r="P11" s="18"/>
      <c r="Q11" s="18"/>
      <c r="R11" s="18"/>
      <c r="S11" s="18"/>
      <c r="T11" s="18"/>
      <c r="U11" s="18"/>
      <c r="V11" s="18"/>
      <c r="W11" s="18"/>
    </row>
    <row r="12" spans="1:23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9"/>
      <c r="M12" s="18"/>
      <c r="N12" s="16"/>
      <c r="O12" s="18"/>
      <c r="P12" s="18"/>
      <c r="Q12" s="18"/>
      <c r="R12" s="18"/>
      <c r="S12" s="18"/>
      <c r="T12" s="18"/>
      <c r="U12" s="18"/>
      <c r="V12" s="18"/>
      <c r="W12" s="18"/>
    </row>
    <row r="13" spans="1:23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9"/>
      <c r="M13" s="18"/>
      <c r="N13" s="16"/>
      <c r="O13" s="18"/>
      <c r="P13" s="18"/>
      <c r="Q13" s="18"/>
      <c r="R13" s="18"/>
      <c r="S13" s="18"/>
      <c r="T13" s="18"/>
      <c r="U13" s="18"/>
      <c r="V13" s="18"/>
      <c r="W13" s="18"/>
    </row>
    <row r="14" spans="1:23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9"/>
      <c r="M14" s="18"/>
      <c r="N14" s="16"/>
      <c r="O14" s="18"/>
      <c r="P14" s="18"/>
      <c r="Q14" s="18"/>
      <c r="R14" s="18"/>
      <c r="S14" s="18"/>
      <c r="T14" s="18"/>
      <c r="U14" s="18"/>
      <c r="V14" s="18"/>
      <c r="W14" s="18"/>
    </row>
    <row r="15" spans="1:23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9"/>
      <c r="M15" s="18"/>
      <c r="N15" s="16"/>
      <c r="O15" s="18"/>
      <c r="P15" s="18"/>
      <c r="Q15" s="18"/>
      <c r="R15" s="18"/>
      <c r="S15" s="18"/>
      <c r="T15" s="18"/>
      <c r="U15" s="18"/>
      <c r="V15" s="18"/>
      <c r="W15" s="18"/>
    </row>
    <row r="16" spans="1:23" ht="15">
      <c r="A16" s="26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9"/>
      <c r="M16" s="18"/>
      <c r="N16" s="16"/>
      <c r="O16" s="18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9"/>
      <c r="M17" s="18"/>
      <c r="N17" s="16"/>
      <c r="O17" s="18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9"/>
      <c r="M18" s="18"/>
      <c r="N18" s="16"/>
      <c r="O18" s="18"/>
      <c r="P18" s="18"/>
      <c r="Q18" s="18"/>
      <c r="R18" s="18"/>
      <c r="S18" s="18"/>
      <c r="T18" s="18"/>
      <c r="U18" s="18"/>
      <c r="V18" s="18"/>
      <c r="W18" s="18"/>
    </row>
    <row r="19" spans="1:23">
      <c r="A19" s="23"/>
      <c r="B19" s="18"/>
      <c r="C19" s="18"/>
      <c r="D19" s="18"/>
      <c r="E19" s="16"/>
      <c r="F19" s="18"/>
      <c r="G19" s="18"/>
      <c r="H19" s="18"/>
      <c r="J19" s="16"/>
      <c r="K19" s="16"/>
      <c r="L19" s="19"/>
      <c r="M19" s="18"/>
      <c r="N19" s="16"/>
      <c r="O19" s="18"/>
      <c r="P19" s="18"/>
      <c r="Q19" s="18"/>
      <c r="R19" s="18"/>
      <c r="S19" s="18"/>
      <c r="T19" s="18"/>
      <c r="U19" s="18"/>
      <c r="V19" s="18"/>
      <c r="W19" s="18"/>
    </row>
    <row r="20" spans="1:23">
      <c r="A20" s="8"/>
      <c r="E20" s="16"/>
      <c r="H20" s="18"/>
      <c r="I20" s="18"/>
      <c r="J20" s="16"/>
      <c r="K20" s="16"/>
      <c r="L20" s="19"/>
      <c r="M20" s="18"/>
      <c r="O20" s="18"/>
      <c r="P20" s="18"/>
    </row>
    <row r="21" spans="1:23" customFormat="1"/>
    <row r="22" spans="1:23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"/>
    </sheetView>
  </sheetViews>
  <sheetFormatPr defaultColWidth="0" defaultRowHeight="14.25"/>
  <cols>
    <col min="1" max="2" width="10.625" style="2" bestFit="1" customWidth="1"/>
    <col min="3" max="3" width="30" style="2" bestFit="1" customWidth="1"/>
    <col min="4" max="4" width="10.375" style="2" bestFit="1" customWidth="1"/>
    <col min="5" max="5" width="43.75" style="2" bestFit="1" customWidth="1"/>
    <col min="6" max="6" width="10" style="2" bestFit="1" customWidth="1"/>
    <col min="7" max="7" width="9.25" style="2" bestFit="1" customWidth="1"/>
    <col min="8" max="9" width="11" style="2" bestFit="1" customWidth="1"/>
    <col min="10" max="10" width="11.25" style="2" bestFit="1" customWidth="1"/>
    <col min="11" max="11" width="11" style="2" bestFit="1" customWidth="1"/>
    <col min="12" max="12" width="13.75" style="2" bestFit="1" customWidth="1"/>
    <col min="13" max="13" width="9.875" style="2" bestFit="1" customWidth="1"/>
    <col min="14" max="14" width="13.75" style="2" bestFit="1" customWidth="1"/>
    <col min="15" max="15" width="10.875" style="2" bestFit="1" customWidth="1"/>
    <col min="16" max="16" width="10.125" style="2" bestFit="1" customWidth="1"/>
    <col min="17" max="17" width="11.125" style="2" bestFit="1" customWidth="1"/>
    <col min="18" max="18" width="10" style="2" bestFit="1" customWidth="1"/>
    <col min="19" max="16384" width="9" style="2" hidden="1"/>
  </cols>
  <sheetData>
    <row r="1" spans="1:18" ht="51">
      <c r="A1" s="17" t="s">
        <v>651</v>
      </c>
      <c r="B1" s="17" t="s">
        <v>0</v>
      </c>
      <c r="C1" s="17" t="s">
        <v>785</v>
      </c>
      <c r="D1" s="17" t="s">
        <v>786</v>
      </c>
      <c r="E1" s="17" t="s">
        <v>1</v>
      </c>
      <c r="F1" s="17" t="s">
        <v>604</v>
      </c>
      <c r="G1" s="17" t="s">
        <v>605</v>
      </c>
      <c r="H1" s="17" t="s">
        <v>606</v>
      </c>
      <c r="I1" s="17" t="s">
        <v>794</v>
      </c>
      <c r="J1" s="17" t="s">
        <v>396</v>
      </c>
      <c r="K1" s="17" t="s">
        <v>16</v>
      </c>
      <c r="L1" s="17" t="s">
        <v>922</v>
      </c>
      <c r="M1" s="17" t="s">
        <v>11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>
      <c r="A2" s="155">
        <v>274</v>
      </c>
      <c r="B2" s="155">
        <v>274</v>
      </c>
      <c r="C2" t="s">
        <v>1934</v>
      </c>
      <c r="D2" s="155">
        <v>7893866</v>
      </c>
      <c r="E2" t="s">
        <v>694</v>
      </c>
      <c r="F2" t="s">
        <v>53</v>
      </c>
      <c r="G2" t="s">
        <v>53</v>
      </c>
      <c r="H2" t="s">
        <v>62</v>
      </c>
      <c r="I2" s="156">
        <v>37668</v>
      </c>
      <c r="J2" t="s">
        <v>1222</v>
      </c>
      <c r="K2" s="156">
        <v>45838</v>
      </c>
      <c r="L2" s="151">
        <v>2024580.7044800001</v>
      </c>
      <c r="M2" s="151">
        <v>1</v>
      </c>
      <c r="N2" s="151">
        <v>2024580.7044800001</v>
      </c>
      <c r="O2" s="151"/>
      <c r="P2"/>
      <c r="Q2" s="154">
        <v>0.96335999999999999</v>
      </c>
      <c r="R2" s="154">
        <v>0.49188700000000002</v>
      </c>
    </row>
    <row r="3" spans="1:18">
      <c r="A3" s="155">
        <v>274</v>
      </c>
      <c r="B3" s="155">
        <v>274</v>
      </c>
      <c r="C3" t="s">
        <v>1935</v>
      </c>
      <c r="D3" s="155">
        <v>7900000</v>
      </c>
      <c r="E3" t="s">
        <v>693</v>
      </c>
      <c r="F3" t="s">
        <v>53</v>
      </c>
      <c r="G3" t="s">
        <v>53</v>
      </c>
      <c r="H3" t="s">
        <v>62</v>
      </c>
      <c r="I3" s="156">
        <v>39658</v>
      </c>
      <c r="J3" t="s">
        <v>1222</v>
      </c>
      <c r="K3" s="156">
        <v>45838</v>
      </c>
      <c r="L3" s="151">
        <v>77000</v>
      </c>
      <c r="M3" s="151">
        <v>1</v>
      </c>
      <c r="N3" s="151">
        <v>77000</v>
      </c>
      <c r="O3" s="151"/>
      <c r="P3"/>
      <c r="Q3" s="154">
        <v>3.6638999999999998E-2</v>
      </c>
      <c r="R3" s="154">
        <v>1.8707000000000001E-2</v>
      </c>
    </row>
    <row r="4" spans="1:18">
      <c r="A4" s="18"/>
      <c r="B4" s="18"/>
      <c r="C4" s="23"/>
      <c r="D4" s="18"/>
      <c r="E4" s="34"/>
      <c r="F4" s="16"/>
      <c r="G4" s="16"/>
      <c r="H4" s="18"/>
      <c r="I4" s="18"/>
      <c r="J4" s="16"/>
      <c r="K4" s="18"/>
      <c r="M4" s="18"/>
      <c r="N4" s="18"/>
      <c r="O4" s="18"/>
      <c r="P4" s="16"/>
      <c r="Q4" s="18"/>
      <c r="R4" s="18"/>
    </row>
    <row r="5" spans="1:18">
      <c r="A5" s="18"/>
      <c r="B5" s="18"/>
      <c r="C5" s="23"/>
      <c r="D5" s="18"/>
      <c r="E5" s="34"/>
      <c r="F5" s="16"/>
      <c r="G5" s="16"/>
      <c r="H5" s="18"/>
      <c r="I5" s="18"/>
      <c r="J5" s="16"/>
      <c r="K5" s="18"/>
      <c r="M5" s="18"/>
      <c r="N5" s="18"/>
      <c r="O5" s="18"/>
      <c r="P5" s="16"/>
      <c r="Q5" s="18"/>
      <c r="R5" s="18"/>
    </row>
    <row r="6" spans="1:18">
      <c r="A6" s="18"/>
      <c r="B6" s="18"/>
      <c r="C6" s="23"/>
      <c r="D6" s="18"/>
      <c r="E6" s="34"/>
      <c r="F6" s="16"/>
      <c r="G6" s="16"/>
      <c r="H6" s="18"/>
      <c r="I6" s="18"/>
      <c r="J6" s="16"/>
      <c r="K6" s="18"/>
      <c r="M6" s="18"/>
      <c r="N6" s="18"/>
      <c r="O6" s="18"/>
      <c r="P6" s="16"/>
      <c r="Q6" s="18"/>
      <c r="R6" s="18"/>
    </row>
    <row r="7" spans="1:18">
      <c r="A7" s="18"/>
      <c r="B7" s="18"/>
      <c r="C7" s="23"/>
      <c r="D7" s="18"/>
      <c r="E7" s="34"/>
      <c r="F7" s="16"/>
      <c r="G7" s="16"/>
      <c r="H7" s="18"/>
      <c r="I7" s="18"/>
      <c r="J7" s="16"/>
      <c r="K7" s="18"/>
      <c r="M7" s="18"/>
      <c r="N7" s="18"/>
      <c r="O7" s="18"/>
      <c r="P7" s="16"/>
      <c r="Q7" s="18"/>
      <c r="R7" s="18"/>
    </row>
    <row r="8" spans="1:18">
      <c r="A8" s="18"/>
      <c r="B8" s="18"/>
      <c r="C8" s="23"/>
      <c r="D8" s="18"/>
      <c r="E8" s="34"/>
      <c r="F8" s="16"/>
      <c r="G8" s="16"/>
      <c r="H8" s="18"/>
      <c r="I8" s="18"/>
      <c r="J8" s="16"/>
      <c r="K8" s="18"/>
      <c r="M8" s="18"/>
      <c r="N8" s="18"/>
      <c r="O8" s="18"/>
      <c r="P8" s="16"/>
      <c r="Q8" s="18"/>
      <c r="R8" s="18"/>
    </row>
    <row r="9" spans="1:18">
      <c r="A9" s="18"/>
      <c r="B9" s="18"/>
      <c r="C9" s="23"/>
      <c r="D9" s="18"/>
      <c r="E9" s="34"/>
      <c r="F9" s="16"/>
      <c r="G9" s="16"/>
      <c r="H9" s="18"/>
      <c r="I9" s="18"/>
      <c r="J9" s="16"/>
      <c r="K9" s="18"/>
      <c r="M9" s="18"/>
      <c r="N9" s="18"/>
      <c r="O9" s="18"/>
      <c r="P9" s="16"/>
      <c r="Q9" s="18"/>
      <c r="R9" s="18"/>
    </row>
    <row r="10" spans="1:18">
      <c r="A10" s="18"/>
      <c r="B10" s="18"/>
      <c r="C10" s="23"/>
      <c r="D10" s="18"/>
      <c r="E10" s="34"/>
      <c r="F10" s="16"/>
      <c r="G10" s="16"/>
      <c r="H10" s="18"/>
      <c r="I10" s="18"/>
      <c r="J10" s="16"/>
      <c r="K10" s="18"/>
      <c r="M10" s="18"/>
      <c r="N10" s="18"/>
      <c r="O10" s="18"/>
      <c r="P10" s="16"/>
      <c r="Q10" s="18"/>
      <c r="R10" s="18"/>
    </row>
    <row r="11" spans="1:18">
      <c r="A11" s="18"/>
      <c r="B11" s="18"/>
      <c r="C11" s="23"/>
      <c r="D11" s="18"/>
      <c r="E11" s="34"/>
      <c r="F11" s="16"/>
      <c r="G11" s="16"/>
      <c r="H11" s="18"/>
      <c r="I11" s="18"/>
      <c r="J11" s="16"/>
      <c r="K11" s="18"/>
      <c r="M11" s="18"/>
      <c r="N11" s="18"/>
      <c r="O11" s="18"/>
      <c r="P11" s="16"/>
      <c r="Q11" s="18"/>
      <c r="R11" s="18"/>
    </row>
    <row r="12" spans="1:18">
      <c r="A12" s="18"/>
      <c r="B12" s="18"/>
      <c r="C12" s="23"/>
      <c r="D12" s="18"/>
      <c r="E12" s="34"/>
      <c r="F12" s="16"/>
      <c r="G12" s="16"/>
      <c r="H12" s="18"/>
      <c r="I12" s="18"/>
      <c r="J12" s="16"/>
      <c r="K12" s="18"/>
      <c r="M12" s="18"/>
      <c r="N12" s="18"/>
      <c r="O12" s="18"/>
      <c r="P12" s="16"/>
      <c r="Q12" s="18"/>
      <c r="R12" s="18"/>
    </row>
    <row r="13" spans="1:18">
      <c r="A13" s="18"/>
      <c r="B13" s="18"/>
      <c r="C13" s="23"/>
      <c r="D13" s="18"/>
      <c r="E13" s="34"/>
      <c r="F13" s="16"/>
      <c r="G13" s="16"/>
      <c r="H13" s="18"/>
      <c r="I13" s="18"/>
      <c r="J13" s="16"/>
      <c r="K13" s="18"/>
      <c r="M13" s="18"/>
      <c r="N13" s="18"/>
      <c r="O13" s="18"/>
      <c r="P13" s="16"/>
      <c r="Q13" s="18"/>
      <c r="R13" s="18"/>
    </row>
    <row r="14" spans="1:18">
      <c r="A14" s="18"/>
      <c r="B14" s="18"/>
      <c r="C14" s="23"/>
      <c r="D14" s="18"/>
      <c r="E14" s="34"/>
      <c r="F14" s="16"/>
      <c r="G14" s="16"/>
      <c r="H14" s="18"/>
      <c r="I14" s="18"/>
      <c r="J14" s="16"/>
      <c r="K14" s="18"/>
      <c r="M14" s="18"/>
      <c r="N14" s="18"/>
      <c r="O14" s="18"/>
      <c r="P14" s="16"/>
      <c r="Q14" s="18"/>
      <c r="R14" s="18"/>
    </row>
    <row r="15" spans="1:18">
      <c r="A15" s="18"/>
      <c r="B15" s="18"/>
      <c r="C15" s="23"/>
      <c r="D15" s="18"/>
      <c r="E15" s="34"/>
      <c r="F15" s="16"/>
      <c r="G15" s="16"/>
      <c r="H15" s="18"/>
      <c r="I15" s="18"/>
      <c r="J15" s="16"/>
      <c r="K15" s="18"/>
      <c r="M15" s="18"/>
      <c r="N15" s="18"/>
      <c r="O15" s="18"/>
      <c r="P15" s="16"/>
      <c r="Q15" s="18"/>
      <c r="R15" s="18"/>
    </row>
    <row r="16" spans="1:18">
      <c r="A16" s="18"/>
      <c r="B16" s="18"/>
      <c r="C16" s="23"/>
      <c r="D16" s="18"/>
      <c r="E16" s="34"/>
      <c r="F16" s="16"/>
      <c r="G16" s="16"/>
      <c r="H16" s="18"/>
      <c r="I16" s="18"/>
      <c r="J16" s="16"/>
      <c r="K16" s="18"/>
      <c r="M16" s="18"/>
      <c r="N16" s="18"/>
      <c r="O16" s="18"/>
      <c r="P16" s="16"/>
      <c r="Q16" s="18"/>
      <c r="R16" s="18"/>
    </row>
    <row r="17" spans="1:18">
      <c r="A17" s="18"/>
      <c r="B17" s="18"/>
      <c r="C17" s="23"/>
      <c r="D17" s="18"/>
      <c r="E17" s="34"/>
      <c r="F17" s="16"/>
      <c r="G17" s="16"/>
      <c r="H17" s="18"/>
      <c r="I17" s="18"/>
      <c r="J17" s="16"/>
      <c r="K17" s="18"/>
      <c r="M17" s="18"/>
      <c r="N17" s="18"/>
      <c r="O17" s="18"/>
      <c r="P17" s="16"/>
      <c r="Q17" s="18"/>
      <c r="R17" s="18"/>
    </row>
    <row r="18" spans="1:18">
      <c r="A18" s="18"/>
      <c r="B18" s="18"/>
      <c r="C18" s="23"/>
      <c r="D18" s="18"/>
      <c r="E18" s="34"/>
      <c r="F18" s="16"/>
      <c r="G18" s="16"/>
      <c r="H18" s="18"/>
      <c r="I18" s="18"/>
      <c r="J18" s="16"/>
      <c r="K18" s="18"/>
      <c r="M18" s="18"/>
      <c r="N18" s="18"/>
      <c r="O18" s="18"/>
      <c r="P18" s="16"/>
      <c r="Q18" s="18"/>
      <c r="R18" s="18"/>
    </row>
    <row r="19" spans="1:18">
      <c r="A19" s="18"/>
      <c r="B19" s="18"/>
      <c r="C19" s="23"/>
      <c r="D19" s="18"/>
      <c r="E19" s="34"/>
      <c r="F19" s="16"/>
      <c r="G19" s="16"/>
      <c r="H19" s="18"/>
      <c r="I19" s="18"/>
      <c r="J19" s="16"/>
      <c r="K19" s="18"/>
      <c r="M19" s="18"/>
      <c r="N19" s="18"/>
      <c r="O19" s="18"/>
      <c r="P19" s="16"/>
      <c r="Q19" s="18"/>
      <c r="R19" s="18"/>
    </row>
    <row r="20" spans="1:18">
      <c r="E20" s="34"/>
      <c r="F20" s="16"/>
      <c r="G20" s="16"/>
      <c r="H20" s="18"/>
      <c r="P20" s="16"/>
    </row>
    <row r="21" spans="1:18" s="36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zoomScaleNormal="100" workbookViewId="0">
      <selection activeCell="A2" sqref="A2"/>
    </sheetView>
  </sheetViews>
  <sheetFormatPr defaultColWidth="0" defaultRowHeight="14.1" customHeight="1"/>
  <cols>
    <col min="1" max="2" width="10.625" style="2" bestFit="1" customWidth="1"/>
    <col min="3" max="3" width="10.75" style="2" bestFit="1" customWidth="1"/>
    <col min="4" max="4" width="17.75" style="2" customWidth="1"/>
    <col min="5" max="5" width="26.75" style="2" customWidth="1"/>
    <col min="6" max="6" width="11.375" style="2" bestFit="1" customWidth="1"/>
    <col min="7" max="7" width="15.625" style="2" customWidth="1"/>
    <col min="8" max="8" width="10" style="2" bestFit="1" customWidth="1"/>
    <col min="9" max="9" width="9.25" style="2" bestFit="1" customWidth="1"/>
    <col min="10" max="10" width="11" style="2" bestFit="1" customWidth="1"/>
    <col min="11" max="11" width="5" style="2" bestFit="1" customWidth="1"/>
    <col min="12" max="12" width="10.875" style="2" customWidth="1"/>
    <col min="13" max="13" width="11.125" style="2" bestFit="1" customWidth="1"/>
    <col min="14" max="14" width="11.25" style="2" bestFit="1" customWidth="1"/>
    <col min="15" max="15" width="10.375" style="2" bestFit="1" customWidth="1"/>
    <col min="16" max="16" width="10.625" style="2" bestFit="1" customWidth="1"/>
    <col min="17" max="17" width="9.75" style="2" bestFit="1" customWidth="1"/>
    <col min="18" max="18" width="8.125" style="2" bestFit="1" customWidth="1"/>
    <col min="19" max="20" width="10.875" style="2" bestFit="1" customWidth="1"/>
    <col min="21" max="16384" width="11.625" style="2" hidden="1"/>
  </cols>
  <sheetData>
    <row r="1" spans="1:20" ht="76.5">
      <c r="A1" s="17" t="s">
        <v>651</v>
      </c>
      <c r="B1" s="17" t="s">
        <v>0</v>
      </c>
      <c r="C1" s="157" t="s">
        <v>725</v>
      </c>
      <c r="D1" s="17" t="s">
        <v>726</v>
      </c>
      <c r="E1" s="17" t="s">
        <v>727</v>
      </c>
      <c r="F1" s="157" t="s">
        <v>728</v>
      </c>
      <c r="G1" s="158" t="s">
        <v>733</v>
      </c>
      <c r="H1" s="17" t="s">
        <v>604</v>
      </c>
      <c r="I1" s="17" t="s">
        <v>605</v>
      </c>
      <c r="J1" s="17" t="s">
        <v>606</v>
      </c>
      <c r="K1" s="17" t="s">
        <v>6</v>
      </c>
      <c r="L1" s="17" t="s">
        <v>8</v>
      </c>
      <c r="M1" s="17" t="s">
        <v>1148</v>
      </c>
      <c r="N1" s="17" t="s">
        <v>396</v>
      </c>
      <c r="O1" s="150" t="s">
        <v>11</v>
      </c>
      <c r="P1" s="159" t="s">
        <v>14</v>
      </c>
      <c r="Q1" s="17" t="s">
        <v>440</v>
      </c>
      <c r="R1" s="150" t="s">
        <v>796</v>
      </c>
      <c r="S1" s="150" t="s">
        <v>1157</v>
      </c>
      <c r="T1" s="159" t="s">
        <v>748</v>
      </c>
    </row>
    <row r="2" spans="1:20" ht="14.1" customHeight="1">
      <c r="A2">
        <v>274</v>
      </c>
      <c r="B2">
        <v>274</v>
      </c>
      <c r="C2" s="1"/>
      <c r="D2"/>
      <c r="E2" s="165"/>
      <c r="F2">
        <v>71000300</v>
      </c>
      <c r="G2" s="156">
        <v>44858</v>
      </c>
      <c r="H2" t="s">
        <v>53</v>
      </c>
      <c r="I2"/>
      <c r="J2" t="s">
        <v>62</v>
      </c>
      <c r="K2" s="164" t="s">
        <v>1325</v>
      </c>
      <c r="L2" t="s">
        <v>70</v>
      </c>
      <c r="M2" t="s">
        <v>64</v>
      </c>
      <c r="N2" t="s">
        <v>1222</v>
      </c>
      <c r="O2" s="151">
        <v>1</v>
      </c>
      <c r="P2" s="154">
        <v>8.9999999999999993E-3</v>
      </c>
      <c r="Q2" t="s">
        <v>1932</v>
      </c>
      <c r="R2" s="153">
        <v>9.4194659999999999</v>
      </c>
      <c r="S2" s="153">
        <v>9.4194659999999999</v>
      </c>
      <c r="T2" s="166">
        <v>1</v>
      </c>
    </row>
    <row r="3" spans="1:20" ht="14.1" customHeight="1">
      <c r="A3">
        <v>274</v>
      </c>
      <c r="B3">
        <v>274</v>
      </c>
      <c r="C3" s="1"/>
      <c r="D3"/>
      <c r="E3" s="165"/>
      <c r="F3">
        <v>71000301</v>
      </c>
      <c r="G3" s="156">
        <v>44858</v>
      </c>
      <c r="H3" t="s">
        <v>53</v>
      </c>
      <c r="I3"/>
      <c r="J3" t="s">
        <v>62</v>
      </c>
      <c r="K3" s="164" t="s">
        <v>1325</v>
      </c>
      <c r="L3" t="s">
        <v>70</v>
      </c>
      <c r="M3" t="s">
        <v>64</v>
      </c>
      <c r="N3" t="s">
        <v>1222</v>
      </c>
      <c r="O3" s="151">
        <v>1</v>
      </c>
      <c r="P3" s="154">
        <v>8.9999999999999993E-3</v>
      </c>
      <c r="Q3" t="s">
        <v>1932</v>
      </c>
      <c r="R3" s="153">
        <v>10.149398</v>
      </c>
      <c r="S3" s="153">
        <v>10.149398</v>
      </c>
      <c r="T3" s="166">
        <v>1</v>
      </c>
    </row>
    <row r="4" spans="1:20" ht="14.1" customHeight="1">
      <c r="A4">
        <v>274</v>
      </c>
      <c r="B4">
        <v>274</v>
      </c>
      <c r="C4" s="1"/>
      <c r="D4"/>
      <c r="E4" s="165"/>
      <c r="F4">
        <v>71000302</v>
      </c>
      <c r="G4" s="156">
        <v>44858</v>
      </c>
      <c r="H4" t="s">
        <v>53</v>
      </c>
      <c r="I4"/>
      <c r="J4" t="s">
        <v>62</v>
      </c>
      <c r="K4" s="164" t="s">
        <v>1325</v>
      </c>
      <c r="L4" t="s">
        <v>70</v>
      </c>
      <c r="M4" t="s">
        <v>64</v>
      </c>
      <c r="N4" t="s">
        <v>1222</v>
      </c>
      <c r="O4" s="151">
        <v>1</v>
      </c>
      <c r="P4" s="154">
        <v>8.9999999999999993E-3</v>
      </c>
      <c r="Q4" t="s">
        <v>1932</v>
      </c>
      <c r="R4" s="153">
        <v>11.740204</v>
      </c>
      <c r="S4" s="153">
        <v>11.740204</v>
      </c>
      <c r="T4" s="166">
        <v>1</v>
      </c>
    </row>
    <row r="5" spans="1:20" ht="14.1" customHeight="1">
      <c r="A5">
        <v>274</v>
      </c>
      <c r="B5">
        <v>274</v>
      </c>
      <c r="C5" s="1"/>
      <c r="D5"/>
      <c r="E5" s="165"/>
      <c r="F5">
        <v>71000303</v>
      </c>
      <c r="G5" s="156">
        <v>44858</v>
      </c>
      <c r="H5" t="s">
        <v>53</v>
      </c>
      <c r="I5"/>
      <c r="J5" t="s">
        <v>62</v>
      </c>
      <c r="K5" s="164" t="s">
        <v>1325</v>
      </c>
      <c r="L5" t="s">
        <v>70</v>
      </c>
      <c r="M5" t="s">
        <v>64</v>
      </c>
      <c r="N5" t="s">
        <v>1222</v>
      </c>
      <c r="O5" s="151">
        <v>1</v>
      </c>
      <c r="P5" s="154">
        <v>8.9999999999999993E-3</v>
      </c>
      <c r="Q5" t="s">
        <v>1932</v>
      </c>
      <c r="R5" s="153">
        <v>8.6226699999999994</v>
      </c>
      <c r="S5" s="153">
        <v>8.6226699999999994</v>
      </c>
      <c r="T5" s="166">
        <v>1</v>
      </c>
    </row>
    <row r="6" spans="1:20" ht="14.1" customHeight="1">
      <c r="A6">
        <v>274</v>
      </c>
      <c r="B6">
        <v>274</v>
      </c>
      <c r="C6" s="1"/>
      <c r="D6"/>
      <c r="E6" s="165"/>
      <c r="F6">
        <v>71000304</v>
      </c>
      <c r="G6" s="156">
        <v>44858</v>
      </c>
      <c r="H6" t="s">
        <v>53</v>
      </c>
      <c r="I6"/>
      <c r="J6" t="s">
        <v>62</v>
      </c>
      <c r="K6" s="164" t="s">
        <v>1325</v>
      </c>
      <c r="L6" t="s">
        <v>70</v>
      </c>
      <c r="M6" t="s">
        <v>64</v>
      </c>
      <c r="N6" t="s">
        <v>1222</v>
      </c>
      <c r="O6" s="151">
        <v>1</v>
      </c>
      <c r="P6" s="154">
        <v>8.9999999999999993E-3</v>
      </c>
      <c r="Q6" t="s">
        <v>1932</v>
      </c>
      <c r="R6" s="153">
        <v>8.6310280000000006</v>
      </c>
      <c r="S6" s="153">
        <v>8.6310280000000006</v>
      </c>
      <c r="T6" s="166">
        <v>1</v>
      </c>
    </row>
    <row r="7" spans="1:20" ht="14.1" customHeight="1">
      <c r="A7">
        <v>274</v>
      </c>
      <c r="B7">
        <v>274</v>
      </c>
      <c r="C7" s="1"/>
      <c r="D7"/>
      <c r="E7" s="165"/>
      <c r="F7">
        <v>71000200</v>
      </c>
      <c r="G7" s="156">
        <v>44858</v>
      </c>
      <c r="H7" t="s">
        <v>53</v>
      </c>
      <c r="I7"/>
      <c r="J7" t="s">
        <v>62</v>
      </c>
      <c r="K7" s="164" t="s">
        <v>1325</v>
      </c>
      <c r="L7" t="s">
        <v>70</v>
      </c>
      <c r="M7" t="s">
        <v>64</v>
      </c>
      <c r="N7" t="s">
        <v>1222</v>
      </c>
      <c r="O7" s="151">
        <v>1</v>
      </c>
      <c r="P7" s="154">
        <v>8.9999999999999993E-3</v>
      </c>
      <c r="Q7" t="s">
        <v>1932</v>
      </c>
      <c r="R7" s="153">
        <v>3.5967259999999999</v>
      </c>
      <c r="S7" s="153">
        <v>3.5967259999999999</v>
      </c>
      <c r="T7" s="166">
        <v>1</v>
      </c>
    </row>
    <row r="8" spans="1:20" ht="14.1" customHeight="1">
      <c r="A8">
        <v>274</v>
      </c>
      <c r="B8">
        <v>274</v>
      </c>
      <c r="C8" s="1"/>
      <c r="D8"/>
      <c r="E8" s="165"/>
      <c r="F8">
        <v>71000201</v>
      </c>
      <c r="G8" s="156">
        <v>44858</v>
      </c>
      <c r="H8" t="s">
        <v>53</v>
      </c>
      <c r="I8"/>
      <c r="J8" t="s">
        <v>62</v>
      </c>
      <c r="K8" s="164" t="s">
        <v>1325</v>
      </c>
      <c r="L8" t="s">
        <v>70</v>
      </c>
      <c r="M8" t="s">
        <v>64</v>
      </c>
      <c r="N8" t="s">
        <v>1222</v>
      </c>
      <c r="O8" s="151">
        <v>1</v>
      </c>
      <c r="P8" s="154">
        <v>8.9999999999999993E-3</v>
      </c>
      <c r="Q8" t="s">
        <v>1932</v>
      </c>
      <c r="R8" s="153">
        <v>3.2902659999999995</v>
      </c>
      <c r="S8" s="153">
        <v>3.2902659999999995</v>
      </c>
      <c r="T8" s="166">
        <v>1</v>
      </c>
    </row>
    <row r="9" spans="1:20" ht="14.1" customHeight="1">
      <c r="A9">
        <v>274</v>
      </c>
      <c r="B9">
        <v>274</v>
      </c>
      <c r="C9" s="1"/>
      <c r="D9"/>
      <c r="E9" s="165"/>
      <c r="F9">
        <v>71000202</v>
      </c>
      <c r="G9" s="156">
        <v>44858</v>
      </c>
      <c r="H9" t="s">
        <v>53</v>
      </c>
      <c r="I9"/>
      <c r="J9" t="s">
        <v>62</v>
      </c>
      <c r="K9" s="164" t="s">
        <v>1325</v>
      </c>
      <c r="L9" t="s">
        <v>70</v>
      </c>
      <c r="M9" t="s">
        <v>64</v>
      </c>
      <c r="N9" t="s">
        <v>1222</v>
      </c>
      <c r="O9" s="151">
        <v>1</v>
      </c>
      <c r="P9" s="154">
        <v>8.9999999999999993E-3</v>
      </c>
      <c r="Q9" t="s">
        <v>1932</v>
      </c>
      <c r="R9" s="153">
        <v>4.5272500000000004</v>
      </c>
      <c r="S9" s="153">
        <v>4.5272500000000004</v>
      </c>
      <c r="T9" s="166">
        <v>1</v>
      </c>
    </row>
    <row r="10" spans="1:20" ht="13.7" customHeight="1">
      <c r="A10">
        <v>274</v>
      </c>
      <c r="B10">
        <v>274</v>
      </c>
      <c r="C10" s="1"/>
      <c r="D10"/>
      <c r="E10" s="165"/>
      <c r="F10">
        <v>71000203</v>
      </c>
      <c r="G10" s="156">
        <v>44858</v>
      </c>
      <c r="H10" t="s">
        <v>53</v>
      </c>
      <c r="I10"/>
      <c r="J10" t="s">
        <v>62</v>
      </c>
      <c r="K10" s="164" t="s">
        <v>1325</v>
      </c>
      <c r="L10" t="s">
        <v>70</v>
      </c>
      <c r="M10" t="s">
        <v>64</v>
      </c>
      <c r="N10" t="s">
        <v>1222</v>
      </c>
      <c r="O10" s="151">
        <v>1</v>
      </c>
      <c r="P10" s="154">
        <v>8.9999999999999993E-3</v>
      </c>
      <c r="Q10" t="s">
        <v>1932</v>
      </c>
      <c r="R10" s="153">
        <v>2.5185440000000003</v>
      </c>
      <c r="S10" s="153">
        <v>2.5185440000000003</v>
      </c>
      <c r="T10" s="166">
        <v>1</v>
      </c>
    </row>
    <row r="11" spans="1:20" ht="13.7" customHeight="1">
      <c r="A11">
        <v>274</v>
      </c>
      <c r="B11">
        <v>274</v>
      </c>
      <c r="C11" s="1"/>
      <c r="D11"/>
      <c r="E11" s="165"/>
      <c r="F11">
        <v>71000204</v>
      </c>
      <c r="G11" s="156">
        <v>44858</v>
      </c>
      <c r="H11" t="s">
        <v>53</v>
      </c>
      <c r="I11"/>
      <c r="J11" t="s">
        <v>62</v>
      </c>
      <c r="K11" s="164" t="s">
        <v>1325</v>
      </c>
      <c r="L11" t="s">
        <v>70</v>
      </c>
      <c r="M11" t="s">
        <v>64</v>
      </c>
      <c r="N11" t="s">
        <v>1222</v>
      </c>
      <c r="O11" s="151">
        <v>1</v>
      </c>
      <c r="P11" s="154">
        <v>8.9999999999999993E-3</v>
      </c>
      <c r="Q11" t="s">
        <v>1932</v>
      </c>
      <c r="R11" s="153">
        <v>2.8222179999999999</v>
      </c>
      <c r="S11" s="153">
        <v>2.8222179999999999</v>
      </c>
      <c r="T11" s="166">
        <v>1</v>
      </c>
    </row>
    <row r="12" spans="1:20" ht="14.1" customHeight="1">
      <c r="A12" s="5"/>
      <c r="B12" s="5"/>
      <c r="C12" s="5"/>
      <c r="D12" s="19"/>
      <c r="E12" s="5"/>
      <c r="F12" s="5"/>
      <c r="G12"/>
      <c r="H12" s="16"/>
      <c r="I12" s="16"/>
      <c r="J12" s="18"/>
      <c r="K12" s="18"/>
      <c r="L12" s="18"/>
      <c r="M12" s="18"/>
      <c r="N12" s="5"/>
      <c r="O12" s="5"/>
      <c r="P12" s="5"/>
      <c r="Q12" s="18"/>
      <c r="R12" s="5"/>
      <c r="S12" s="5"/>
      <c r="T12" s="5"/>
    </row>
    <row r="13" spans="1:20" ht="14.1" customHeight="1">
      <c r="A13" s="5"/>
      <c r="B13" s="5"/>
      <c r="C13" s="5"/>
      <c r="D13" s="19"/>
      <c r="E13" s="5"/>
      <c r="F13" s="5"/>
      <c r="G13"/>
      <c r="H13" s="16"/>
      <c r="I13" s="16"/>
      <c r="J13" s="18"/>
      <c r="K13" s="18"/>
      <c r="L13" s="18"/>
      <c r="M13" s="18"/>
      <c r="N13" s="5"/>
      <c r="O13" s="5"/>
      <c r="P13" s="5"/>
      <c r="Q13" s="18"/>
      <c r="R13" s="5"/>
      <c r="S13" s="5"/>
      <c r="T13" s="5"/>
    </row>
    <row r="14" spans="1:20" ht="14.1" customHeight="1">
      <c r="A14" s="5"/>
      <c r="B14" s="5"/>
      <c r="C14" s="5"/>
      <c r="D14" s="19"/>
      <c r="E14" s="5"/>
      <c r="F14" s="5"/>
      <c r="G14"/>
      <c r="H14" s="16"/>
      <c r="I14" s="16"/>
      <c r="J14" s="18"/>
      <c r="K14" s="18"/>
      <c r="L14" s="18"/>
      <c r="M14" s="18"/>
      <c r="N14" s="5"/>
      <c r="O14" s="5"/>
      <c r="P14" s="5"/>
      <c r="Q14" s="18"/>
      <c r="R14" s="5"/>
      <c r="S14" s="5"/>
      <c r="T14" s="5"/>
    </row>
    <row r="15" spans="1:20" ht="14.1" customHeight="1">
      <c r="A15" s="5"/>
      <c r="B15" s="5"/>
      <c r="C15" s="5"/>
      <c r="D15" s="19"/>
      <c r="E15" s="5"/>
      <c r="F15" s="5"/>
      <c r="G15"/>
      <c r="H15" s="16"/>
      <c r="I15" s="16"/>
      <c r="J15" s="18"/>
      <c r="K15" s="18"/>
      <c r="L15" s="18"/>
      <c r="M15" s="18"/>
      <c r="N15" s="5"/>
      <c r="O15" s="5"/>
      <c r="P15" s="5"/>
      <c r="Q15" s="18"/>
      <c r="R15" s="5"/>
      <c r="S15" s="5"/>
      <c r="T15" s="5"/>
    </row>
    <row r="16" spans="1:20" ht="14.1" customHeight="1">
      <c r="A16" s="5"/>
      <c r="B16" s="5"/>
      <c r="C16" s="5"/>
      <c r="D16" s="19"/>
      <c r="E16" s="5"/>
      <c r="F16" s="5"/>
      <c r="G16"/>
      <c r="H16" s="16"/>
      <c r="I16" s="16"/>
      <c r="J16" s="18"/>
      <c r="K16" s="18"/>
      <c r="L16" s="18"/>
      <c r="M16" s="18"/>
      <c r="N16" s="5"/>
      <c r="O16" s="5"/>
      <c r="P16" s="5"/>
      <c r="Q16" s="18"/>
      <c r="R16" s="5"/>
      <c r="S16" s="5"/>
      <c r="T16" s="5"/>
    </row>
    <row r="17" spans="1:20" ht="14.1" customHeight="1">
      <c r="A17" s="5"/>
      <c r="B17" s="5"/>
      <c r="C17" s="5"/>
      <c r="D17" s="19"/>
      <c r="E17" s="5"/>
      <c r="F17" s="5"/>
      <c r="G17"/>
      <c r="H17" s="16"/>
      <c r="I17" s="16"/>
      <c r="J17" s="18"/>
      <c r="K17" s="18"/>
      <c r="L17" s="18"/>
      <c r="M17" s="18"/>
      <c r="N17" s="5"/>
      <c r="O17" s="5"/>
      <c r="P17" s="5"/>
      <c r="Q17" s="18"/>
      <c r="R17" s="5"/>
      <c r="S17" s="5"/>
      <c r="T17" s="5"/>
    </row>
    <row r="18" spans="1:20" ht="14.1" customHeight="1">
      <c r="D18" s="19"/>
      <c r="G18"/>
      <c r="H18" s="16"/>
      <c r="I18" s="16"/>
      <c r="J18" s="18"/>
      <c r="K18" s="18"/>
      <c r="L18" s="18"/>
      <c r="M18" s="18"/>
      <c r="Q18" s="18"/>
    </row>
    <row r="19" spans="1:20" ht="14.1" customHeight="1">
      <c r="D19" s="19"/>
      <c r="G19"/>
      <c r="H19" s="16"/>
      <c r="I19" s="16"/>
      <c r="J19" s="18"/>
      <c r="K19" s="18"/>
      <c r="L19" s="18"/>
      <c r="M19" s="18"/>
      <c r="Q19" s="18"/>
    </row>
    <row r="20" spans="1:20" ht="14.1" customHeight="1">
      <c r="D20" s="19"/>
      <c r="G20"/>
      <c r="H20" s="16"/>
      <c r="I20" s="16"/>
      <c r="J20" s="18"/>
      <c r="L20" s="18"/>
      <c r="M20" s="18"/>
      <c r="Q20" s="18"/>
    </row>
    <row r="21" spans="1:20" s="36" customFormat="1" ht="14.1" customHeight="1">
      <c r="D21" s="37"/>
      <c r="J21"/>
    </row>
    <row r="22" spans="1:20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12:H20" xr:uid="{00000000-0002-0000-1D00-000000000000}">
      <formula1>israel_abroad</formula1>
    </dataValidation>
    <dataValidation type="list" allowBlank="1" showInputMessage="1" showErrorMessage="1" sqref="I12:I20" xr:uid="{00000000-0002-0000-1D00-000001000000}">
      <formula1>Country_list</formula1>
    </dataValidation>
    <dataValidation type="list" allowBlank="1" showInputMessage="1" showErrorMessage="1" sqref="D12:D20" xr:uid="{00000000-0002-0000-1D00-000003000000}">
      <formula1>issuer_number_loan</formula1>
    </dataValidation>
    <dataValidation type="list" allowBlank="1" showInputMessage="1" showErrorMessage="1" sqref="L12:L20" xr:uid="{00000000-0002-0000-1D00-000004000000}">
      <formula1>Rating_Agency</formula1>
    </dataValidation>
    <dataValidation type="list" allowBlank="1" showInputMessage="1" showErrorMessage="1" sqref="Q12:Q20" xr:uid="{00000000-0002-0000-1D00-000005000000}">
      <formula1>Type_of_Interest_Rate</formula1>
    </dataValidation>
    <dataValidation type="list" allowBlank="1" showInputMessage="1" showErrorMessage="1" sqref="J12:J20" xr:uid="{00000000-0002-0000-1D00-000006000000}">
      <formula1>Holding_interest</formula1>
    </dataValidation>
    <dataValidation type="list" allowBlank="1" showInputMessage="1" showErrorMessage="1" sqref="M12:M20" xr:uid="{00000000-0002-0000-1D00-000007000000}">
      <formula1>what_is_rated_loans</formula1>
    </dataValidation>
    <dataValidation allowBlank="1" showInputMessage="1" showErrorMessage="1" sqref="E2:E11" xr:uid="{710D0DA9-4C6C-4541-B24C-9560AD35B444}"/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/>
  <cols>
    <col min="1" max="2" width="10.625" style="2" bestFit="1" customWidth="1"/>
    <col min="3" max="3" width="11" style="2" bestFit="1" customWidth="1"/>
    <col min="4" max="4" width="9.125" style="2" bestFit="1" customWidth="1"/>
    <col min="5" max="5" width="10.875" style="2" bestFit="1" customWidth="1"/>
    <col min="6" max="6" width="10.75" style="2" bestFit="1" customWidth="1"/>
    <col min="7" max="7" width="7.375" style="2" bestFit="1" customWidth="1"/>
    <col min="8" max="8" width="10.75" style="2" bestFit="1" customWidth="1"/>
    <col min="9" max="9" width="9.125" style="2" bestFit="1" customWidth="1"/>
    <col min="10" max="10" width="11.25" style="2" bestFit="1" customWidth="1"/>
    <col min="11" max="11" width="11" style="2" bestFit="1" customWidth="1"/>
    <col min="12" max="12" width="9.375" style="2" bestFit="1" customWidth="1"/>
    <col min="13" max="13" width="10.875" style="2" bestFit="1" customWidth="1"/>
    <col min="14" max="14" width="9.375" style="2" bestFit="1" customWidth="1"/>
    <col min="15" max="16" width="10.875" style="2" bestFit="1" customWidth="1"/>
    <col min="17" max="17" width="7.875" style="2" bestFit="1" customWidth="1"/>
    <col min="18" max="16384" width="11.625" style="2" hidden="1"/>
  </cols>
  <sheetData>
    <row r="1" spans="1:17" ht="102">
      <c r="A1" s="17" t="s">
        <v>651</v>
      </c>
      <c r="B1" s="17" t="s">
        <v>0</v>
      </c>
      <c r="C1" s="17" t="s">
        <v>1</v>
      </c>
      <c r="D1" s="17" t="s">
        <v>780</v>
      </c>
      <c r="E1" s="157" t="s">
        <v>793</v>
      </c>
      <c r="F1" s="17" t="s">
        <v>781</v>
      </c>
      <c r="G1" s="17" t="s">
        <v>747</v>
      </c>
      <c r="H1" s="157" t="s">
        <v>746</v>
      </c>
      <c r="I1" s="17" t="s">
        <v>751</v>
      </c>
      <c r="J1" s="17" t="s">
        <v>396</v>
      </c>
      <c r="K1" s="158" t="s">
        <v>745</v>
      </c>
      <c r="L1" s="150" t="s">
        <v>923</v>
      </c>
      <c r="M1" s="150" t="s">
        <v>1158</v>
      </c>
      <c r="N1" s="150" t="s">
        <v>924</v>
      </c>
      <c r="O1" s="150" t="s">
        <v>1159</v>
      </c>
      <c r="P1" s="159" t="s">
        <v>22</v>
      </c>
      <c r="Q1" s="158" t="s">
        <v>797</v>
      </c>
    </row>
    <row r="2" spans="1:17" ht="14.1" customHeight="1">
      <c r="A2" s="155">
        <v>274</v>
      </c>
      <c r="B2" s="155">
        <v>274</v>
      </c>
      <c r="C2"/>
      <c r="D2"/>
      <c r="E2" s="155"/>
      <c r="F2"/>
      <c r="G2"/>
      <c r="H2" s="155"/>
      <c r="I2"/>
      <c r="J2"/>
      <c r="K2" s="156"/>
      <c r="L2" s="151"/>
      <c r="M2" s="151"/>
      <c r="N2" s="151"/>
      <c r="O2" s="151"/>
      <c r="P2" s="154"/>
      <c r="Q2" s="156"/>
    </row>
    <row r="3" spans="1:17" ht="14.1" customHeight="1">
      <c r="A3" s="5"/>
      <c r="B3" s="5"/>
      <c r="C3" s="5"/>
      <c r="D3" s="5"/>
      <c r="E3" s="5"/>
      <c r="F3" s="19"/>
      <c r="G3" s="5"/>
      <c r="H3"/>
      <c r="I3" s="19"/>
      <c r="J3"/>
      <c r="K3" s="18"/>
      <c r="L3"/>
      <c r="M3"/>
      <c r="N3"/>
      <c r="O3"/>
      <c r="P3" s="18"/>
      <c r="Q3"/>
    </row>
    <row r="4" spans="1:17" ht="13.7" customHeight="1">
      <c r="A4" s="5"/>
      <c r="B4" s="5"/>
      <c r="C4" s="5"/>
      <c r="D4" s="5"/>
      <c r="E4" s="5"/>
      <c r="F4" s="19"/>
      <c r="G4" s="5"/>
      <c r="H4"/>
      <c r="I4" s="19"/>
      <c r="J4"/>
      <c r="K4" s="18"/>
      <c r="L4"/>
      <c r="M4"/>
      <c r="N4"/>
      <c r="O4"/>
      <c r="P4" s="18"/>
      <c r="Q4"/>
    </row>
    <row r="5" spans="1:17" ht="13.7" customHeight="1">
      <c r="A5" s="5"/>
      <c r="B5" s="5"/>
      <c r="C5" s="5"/>
      <c r="D5" s="5"/>
      <c r="E5" s="5"/>
      <c r="F5" s="19"/>
      <c r="G5" s="5"/>
      <c r="H5"/>
      <c r="I5" s="19"/>
      <c r="J5"/>
      <c r="K5" s="18"/>
      <c r="L5"/>
      <c r="M5"/>
      <c r="N5"/>
      <c r="O5"/>
      <c r="P5" s="18"/>
      <c r="Q5"/>
    </row>
    <row r="6" spans="1:17" ht="14.1" customHeight="1">
      <c r="A6" s="5"/>
      <c r="B6" s="5"/>
      <c r="C6" s="5"/>
      <c r="D6" s="5"/>
      <c r="E6" s="5"/>
      <c r="F6" s="19"/>
      <c r="G6" s="5"/>
      <c r="H6"/>
      <c r="I6" s="19"/>
      <c r="J6"/>
      <c r="K6" s="18"/>
      <c r="L6"/>
      <c r="M6"/>
      <c r="N6"/>
      <c r="O6"/>
      <c r="P6" s="18"/>
      <c r="Q6"/>
    </row>
    <row r="7" spans="1:17" ht="14.1" customHeight="1">
      <c r="A7" s="5"/>
      <c r="B7" s="5"/>
      <c r="C7" s="5"/>
      <c r="D7" s="5"/>
      <c r="E7" s="5"/>
      <c r="F7" s="19"/>
      <c r="G7" s="5"/>
      <c r="H7"/>
      <c r="I7" s="19"/>
      <c r="J7"/>
      <c r="K7" s="18"/>
      <c r="L7"/>
      <c r="M7"/>
      <c r="N7"/>
      <c r="O7"/>
      <c r="P7" s="18"/>
      <c r="Q7"/>
    </row>
    <row r="8" spans="1:17" ht="14.1" customHeight="1">
      <c r="A8" s="5"/>
      <c r="B8" s="5"/>
      <c r="C8" s="5"/>
      <c r="D8" s="5"/>
      <c r="E8" s="5"/>
      <c r="F8" s="19"/>
      <c r="G8" s="5"/>
      <c r="H8"/>
      <c r="I8" s="19"/>
      <c r="J8"/>
      <c r="K8" s="18"/>
      <c r="L8"/>
      <c r="M8"/>
      <c r="N8"/>
      <c r="O8"/>
      <c r="P8" s="18"/>
      <c r="Q8"/>
    </row>
    <row r="9" spans="1:17" ht="14.1" customHeight="1">
      <c r="A9" s="5"/>
      <c r="B9" s="5"/>
      <c r="C9" s="5"/>
      <c r="D9" s="5"/>
      <c r="E9" s="5"/>
      <c r="F9" s="19"/>
      <c r="G9" s="5"/>
      <c r="H9"/>
      <c r="I9" s="19"/>
      <c r="J9"/>
      <c r="K9" s="18"/>
      <c r="L9"/>
      <c r="M9"/>
      <c r="N9"/>
      <c r="O9"/>
      <c r="P9" s="18"/>
      <c r="Q9"/>
    </row>
    <row r="10" spans="1:17" ht="14.1" customHeight="1">
      <c r="A10" s="5"/>
      <c r="B10" s="5"/>
      <c r="C10" s="5"/>
      <c r="D10" s="5"/>
      <c r="E10" s="5"/>
      <c r="F10" s="19"/>
      <c r="G10" s="5"/>
      <c r="H10"/>
      <c r="I10" s="19"/>
      <c r="J10"/>
      <c r="K10" s="18"/>
      <c r="L10"/>
      <c r="M10"/>
      <c r="N10"/>
      <c r="O10"/>
      <c r="P10" s="18"/>
      <c r="Q10"/>
    </row>
    <row r="11" spans="1:17" ht="14.1" customHeight="1">
      <c r="C11" s="5"/>
      <c r="F11" s="19"/>
      <c r="H11"/>
      <c r="I11" s="19"/>
      <c r="J11"/>
      <c r="K11" s="18"/>
      <c r="L11"/>
      <c r="M11"/>
      <c r="N11"/>
      <c r="O11"/>
      <c r="Q11"/>
    </row>
    <row r="12" spans="1:17" ht="14.1" customHeight="1">
      <c r="C12" s="5"/>
      <c r="F12" s="19"/>
      <c r="H12"/>
      <c r="I12" s="19"/>
      <c r="K12" s="18"/>
      <c r="L12"/>
      <c r="M12"/>
      <c r="N12"/>
      <c r="O12"/>
      <c r="Q12"/>
    </row>
    <row r="13" spans="1:17" ht="14.1" customHeight="1">
      <c r="C13" s="5"/>
      <c r="F13" s="19"/>
      <c r="H13"/>
      <c r="I13" s="19"/>
      <c r="K13" s="18"/>
      <c r="L13"/>
      <c r="M13"/>
      <c r="N13"/>
      <c r="O13"/>
      <c r="Q13"/>
    </row>
    <row r="14" spans="1:17" ht="14.1" customHeight="1">
      <c r="C14" s="5"/>
      <c r="F14" s="19"/>
      <c r="H14"/>
      <c r="I14" s="19"/>
      <c r="K14" s="18"/>
      <c r="L14"/>
      <c r="M14"/>
      <c r="N14"/>
      <c r="O14"/>
      <c r="Q14"/>
    </row>
    <row r="15" spans="1:17" ht="14.1" customHeight="1">
      <c r="C15" s="5"/>
      <c r="F15" s="19"/>
      <c r="H15"/>
      <c r="I15" s="19"/>
      <c r="K15" s="18"/>
      <c r="L15"/>
      <c r="M15"/>
      <c r="N15"/>
      <c r="O15"/>
      <c r="Q15"/>
    </row>
    <row r="16" spans="1:17" ht="14.1" customHeight="1">
      <c r="C16" s="5"/>
      <c r="F16" s="19"/>
      <c r="H16"/>
      <c r="I16" s="19"/>
      <c r="K16" s="18"/>
      <c r="L16"/>
      <c r="M16"/>
      <c r="N16"/>
      <c r="O16"/>
      <c r="Q16"/>
    </row>
    <row r="17" spans="3:17" ht="14.1" customHeight="1">
      <c r="C17" s="5"/>
      <c r="F17" s="19"/>
      <c r="H17"/>
      <c r="I17" s="19"/>
      <c r="K17" s="18"/>
      <c r="L17"/>
      <c r="M17"/>
      <c r="N17"/>
      <c r="O17"/>
      <c r="Q17"/>
    </row>
    <row r="18" spans="3:17" ht="14.1" customHeight="1">
      <c r="C18" s="5"/>
      <c r="F18" s="19"/>
      <c r="H18"/>
      <c r="I18" s="19"/>
      <c r="K18" s="18"/>
      <c r="L18"/>
      <c r="M18"/>
      <c r="N18"/>
      <c r="O18"/>
      <c r="Q18"/>
    </row>
    <row r="19" spans="3:17" ht="14.1" customHeight="1">
      <c r="C19" s="5"/>
      <c r="F19" s="19"/>
      <c r="H19"/>
      <c r="I19" s="19"/>
      <c r="K19" s="18"/>
      <c r="L19"/>
      <c r="M19"/>
      <c r="N19"/>
      <c r="O19"/>
      <c r="Q19"/>
    </row>
    <row r="20" spans="3:17" ht="14.1" customHeight="1">
      <c r="F20" s="19"/>
      <c r="H20"/>
      <c r="I20" s="19"/>
      <c r="L20"/>
      <c r="M20"/>
      <c r="N20"/>
      <c r="O20"/>
      <c r="Q20"/>
    </row>
    <row r="21" spans="3:17" ht="14.1" customHeight="1">
      <c r="H21"/>
      <c r="L21"/>
      <c r="M21"/>
      <c r="N21"/>
      <c r="O21"/>
      <c r="Q21"/>
    </row>
    <row r="22" spans="3:17" ht="14.1" customHeight="1">
      <c r="H22"/>
      <c r="L22"/>
      <c r="M22"/>
      <c r="N22"/>
      <c r="O22"/>
      <c r="Q22"/>
    </row>
    <row r="23" spans="3:17" ht="14.1" customHeight="1">
      <c r="H23"/>
      <c r="L23"/>
      <c r="M23"/>
      <c r="N23"/>
      <c r="O23"/>
      <c r="Q23"/>
    </row>
    <row r="24" spans="3:17" ht="14.1" customHeight="1">
      <c r="H24"/>
      <c r="K24" s="8"/>
      <c r="L24"/>
      <c r="M24"/>
      <c r="N24"/>
      <c r="O24"/>
      <c r="Q24"/>
    </row>
    <row r="25" spans="3:17" ht="14.1" customHeight="1">
      <c r="H25"/>
      <c r="K25" s="8"/>
      <c r="N25"/>
      <c r="O25"/>
      <c r="Q25"/>
    </row>
    <row r="26" spans="3:17" ht="14.1" customHeight="1">
      <c r="H26"/>
      <c r="K26" s="8"/>
      <c r="Q26"/>
    </row>
    <row r="27" spans="3:17" ht="14.1" customHeight="1">
      <c r="H27"/>
      <c r="Q27"/>
    </row>
    <row r="28" spans="3:17" ht="14.1" customHeight="1">
      <c r="H28"/>
      <c r="K28" s="8"/>
      <c r="Q28"/>
    </row>
    <row r="29" spans="3:17" ht="14.1" customHeight="1">
      <c r="H29"/>
      <c r="Q29"/>
    </row>
    <row r="30" spans="3:17" ht="14.1" customHeight="1">
      <c r="H30"/>
      <c r="Q30"/>
    </row>
    <row r="31" spans="3:17" ht="14.1" customHeight="1">
      <c r="H31"/>
      <c r="Q31"/>
    </row>
    <row r="32" spans="3:17" ht="14.1" customHeight="1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375" style="8" customWidth="1"/>
    <col min="2" max="2" width="30.375" style="13" customWidth="1"/>
    <col min="3" max="3" width="90.875" style="56" customWidth="1"/>
    <col min="4" max="4" width="68.875" style="8" customWidth="1"/>
    <col min="5" max="5" width="29.75" style="13" bestFit="1" customWidth="1"/>
    <col min="6" max="16384" width="9" style="13" hidden="1"/>
  </cols>
  <sheetData>
    <row r="1" spans="1:5" s="53" customFormat="1" ht="45">
      <c r="A1" s="52" t="s">
        <v>590</v>
      </c>
      <c r="B1" s="52" t="s">
        <v>334</v>
      </c>
      <c r="C1" s="52" t="s">
        <v>335</v>
      </c>
      <c r="D1" s="52" t="s">
        <v>373</v>
      </c>
      <c r="E1" s="13"/>
    </row>
    <row r="2" spans="1:5">
      <c r="A2" s="88"/>
      <c r="B2" s="88" t="s">
        <v>670</v>
      </c>
      <c r="C2" s="20" t="s">
        <v>53</v>
      </c>
      <c r="D2" s="20"/>
    </row>
    <row r="3" spans="1:5">
      <c r="A3" s="89"/>
      <c r="B3" s="89"/>
      <c r="C3" s="20" t="s">
        <v>61</v>
      </c>
      <c r="D3" s="20"/>
    </row>
    <row r="4" spans="1:5" ht="42.75">
      <c r="A4" s="81"/>
      <c r="B4" s="108" t="s">
        <v>783</v>
      </c>
      <c r="C4" s="21" t="s">
        <v>53</v>
      </c>
      <c r="D4" s="21"/>
    </row>
    <row r="5" spans="1:5">
      <c r="A5" s="82"/>
      <c r="B5" s="109"/>
      <c r="C5" s="21" t="s">
        <v>59</v>
      </c>
      <c r="D5" s="21"/>
    </row>
    <row r="6" spans="1:5">
      <c r="A6" s="82"/>
      <c r="B6" s="109"/>
      <c r="C6" s="21" t="s">
        <v>67</v>
      </c>
      <c r="D6" s="21"/>
    </row>
    <row r="7" spans="1:5">
      <c r="A7" s="82"/>
      <c r="B7" s="109"/>
      <c r="C7" s="21" t="s">
        <v>74</v>
      </c>
      <c r="D7" s="21"/>
    </row>
    <row r="8" spans="1:5">
      <c r="A8" s="82"/>
      <c r="B8" s="109"/>
      <c r="C8" s="21" t="s">
        <v>81</v>
      </c>
      <c r="D8" s="21"/>
    </row>
    <row r="9" spans="1:5">
      <c r="A9" s="82"/>
      <c r="B9" s="109"/>
      <c r="C9" s="21" t="s">
        <v>929</v>
      </c>
      <c r="D9" s="21"/>
    </row>
    <row r="10" spans="1:5">
      <c r="A10" s="82"/>
      <c r="B10" s="109"/>
      <c r="C10" s="21" t="s">
        <v>92</v>
      </c>
      <c r="D10" s="21"/>
    </row>
    <row r="11" spans="1:5">
      <c r="A11" s="82"/>
      <c r="B11" s="109"/>
      <c r="C11" s="21" t="s">
        <v>960</v>
      </c>
      <c r="D11" s="21"/>
      <c r="E11" s="13" t="s">
        <v>1182</v>
      </c>
    </row>
    <row r="12" spans="1:5">
      <c r="A12" s="82"/>
      <c r="B12" s="109"/>
      <c r="C12" s="21" t="s">
        <v>961</v>
      </c>
      <c r="D12" s="21"/>
      <c r="E12" s="13" t="s">
        <v>1182</v>
      </c>
    </row>
    <row r="13" spans="1:5">
      <c r="A13" s="82"/>
      <c r="B13" s="109"/>
      <c r="C13" s="21" t="s">
        <v>104</v>
      </c>
      <c r="D13" s="21"/>
    </row>
    <row r="14" spans="1:5">
      <c r="A14" s="82"/>
      <c r="B14" s="109"/>
      <c r="C14" s="21" t="s">
        <v>109</v>
      </c>
      <c r="D14" s="21"/>
    </row>
    <row r="15" spans="1:5">
      <c r="A15" s="82"/>
      <c r="B15" s="109"/>
      <c r="C15" s="21" t="s">
        <v>111</v>
      </c>
      <c r="D15" s="21"/>
    </row>
    <row r="16" spans="1:5">
      <c r="A16" s="82"/>
      <c r="B16" s="109"/>
      <c r="C16" s="21" t="s">
        <v>114</v>
      </c>
      <c r="D16" s="21"/>
    </row>
    <row r="17" spans="1:4">
      <c r="A17" s="82"/>
      <c r="B17" s="109"/>
      <c r="C17" s="21" t="s">
        <v>117</v>
      </c>
      <c r="D17" s="21"/>
    </row>
    <row r="18" spans="1:4">
      <c r="A18" s="82"/>
      <c r="B18" s="109"/>
      <c r="C18" s="21" t="s">
        <v>120</v>
      </c>
      <c r="D18" s="21"/>
    </row>
    <row r="19" spans="1:4">
      <c r="A19" s="82"/>
      <c r="B19" s="109"/>
      <c r="C19" s="21" t="s">
        <v>123</v>
      </c>
      <c r="D19" s="21"/>
    </row>
    <row r="20" spans="1:4">
      <c r="A20" s="82"/>
      <c r="B20" s="109"/>
      <c r="C20" s="21" t="s">
        <v>125</v>
      </c>
      <c r="D20" s="21"/>
    </row>
    <row r="21" spans="1:4">
      <c r="A21" s="82"/>
      <c r="B21" s="109"/>
      <c r="C21" s="21" t="s">
        <v>314</v>
      </c>
      <c r="D21" s="21"/>
    </row>
    <row r="22" spans="1:4">
      <c r="A22" s="82"/>
      <c r="B22" s="109"/>
      <c r="C22" s="21" t="s">
        <v>128</v>
      </c>
      <c r="D22" s="21"/>
    </row>
    <row r="23" spans="1:4">
      <c r="A23" s="82"/>
      <c r="B23" s="109"/>
      <c r="C23" s="21" t="s">
        <v>131</v>
      </c>
      <c r="D23" s="21"/>
    </row>
    <row r="24" spans="1:4">
      <c r="A24" s="82"/>
      <c r="B24" s="109"/>
      <c r="C24" s="21" t="s">
        <v>132</v>
      </c>
      <c r="D24" s="21"/>
    </row>
    <row r="25" spans="1:4">
      <c r="A25" s="82"/>
      <c r="B25" s="109"/>
      <c r="C25" s="21" t="s">
        <v>134</v>
      </c>
      <c r="D25" s="21"/>
    </row>
    <row r="26" spans="1:4">
      <c r="A26" s="82"/>
      <c r="B26" s="109"/>
      <c r="C26" s="21" t="s">
        <v>136</v>
      </c>
      <c r="D26" s="21"/>
    </row>
    <row r="27" spans="1:4">
      <c r="A27" s="82"/>
      <c r="B27" s="109"/>
      <c r="C27" s="21" t="s">
        <v>138</v>
      </c>
      <c r="D27" s="21"/>
    </row>
    <row r="28" spans="1:4">
      <c r="A28" s="82"/>
      <c r="B28" s="109"/>
      <c r="C28" s="21" t="s">
        <v>141</v>
      </c>
      <c r="D28" s="21"/>
    </row>
    <row r="29" spans="1:4">
      <c r="A29" s="82"/>
      <c r="B29" s="109"/>
      <c r="C29" s="21" t="s">
        <v>143</v>
      </c>
      <c r="D29" s="21"/>
    </row>
    <row r="30" spans="1:4">
      <c r="A30" s="82"/>
      <c r="B30" s="109"/>
      <c r="C30" s="21" t="s">
        <v>315</v>
      </c>
      <c r="D30" s="21"/>
    </row>
    <row r="31" spans="1:4">
      <c r="A31" s="82"/>
      <c r="B31" s="109"/>
      <c r="C31" s="21" t="s">
        <v>145</v>
      </c>
      <c r="D31" s="21"/>
    </row>
    <row r="32" spans="1:4">
      <c r="A32" s="82"/>
      <c r="B32" s="109"/>
      <c r="C32" s="21" t="s">
        <v>147</v>
      </c>
      <c r="D32" s="21"/>
    </row>
    <row r="33" spans="1:5">
      <c r="A33" s="82"/>
      <c r="B33" s="109"/>
      <c r="C33" s="21" t="s">
        <v>149</v>
      </c>
      <c r="D33" s="21"/>
    </row>
    <row r="34" spans="1:5">
      <c r="A34" s="82"/>
      <c r="B34" s="109"/>
      <c r="C34" s="21" t="s">
        <v>151</v>
      </c>
      <c r="D34" s="21"/>
    </row>
    <row r="35" spans="1:5">
      <c r="A35" s="82"/>
      <c r="B35" s="109"/>
      <c r="C35" s="21" t="s">
        <v>153</v>
      </c>
      <c r="D35" s="21"/>
    </row>
    <row r="36" spans="1:5">
      <c r="A36" s="82"/>
      <c r="B36" s="109"/>
      <c r="C36" s="21" t="s">
        <v>1124</v>
      </c>
      <c r="D36" s="21"/>
      <c r="E36" s="13" t="s">
        <v>1182</v>
      </c>
    </row>
    <row r="37" spans="1:5">
      <c r="A37" s="82"/>
      <c r="B37" s="109"/>
      <c r="C37" s="8" t="s">
        <v>1123</v>
      </c>
      <c r="D37" s="21"/>
      <c r="E37" s="13" t="s">
        <v>1182</v>
      </c>
    </row>
    <row r="38" spans="1:5">
      <c r="A38" s="82"/>
      <c r="B38" s="109"/>
      <c r="C38" s="21" t="s">
        <v>154</v>
      </c>
      <c r="D38" s="21"/>
    </row>
    <row r="39" spans="1:5">
      <c r="A39" s="82"/>
      <c r="B39" s="109"/>
      <c r="C39" s="21" t="s">
        <v>155</v>
      </c>
      <c r="D39" s="21"/>
    </row>
    <row r="40" spans="1:5">
      <c r="A40" s="82"/>
      <c r="B40" s="109"/>
      <c r="C40" s="21" t="s">
        <v>954</v>
      </c>
      <c r="D40" s="21"/>
      <c r="E40" s="13" t="s">
        <v>1182</v>
      </c>
    </row>
    <row r="41" spans="1:5">
      <c r="A41" s="82"/>
      <c r="B41" s="109"/>
      <c r="C41" s="21" t="s">
        <v>157</v>
      </c>
      <c r="D41" s="21"/>
    </row>
    <row r="42" spans="1:5">
      <c r="A42" s="82"/>
      <c r="B42" s="109"/>
      <c r="C42" s="21" t="s">
        <v>158</v>
      </c>
      <c r="D42" s="21"/>
    </row>
    <row r="43" spans="1:5">
      <c r="A43" s="82"/>
      <c r="B43" s="109"/>
      <c r="C43" s="21" t="s">
        <v>159</v>
      </c>
      <c r="D43" s="21"/>
    </row>
    <row r="44" spans="1:5">
      <c r="A44" s="82"/>
      <c r="B44" s="109"/>
      <c r="C44" s="21" t="s">
        <v>160</v>
      </c>
      <c r="D44" s="21"/>
    </row>
    <row r="45" spans="1:5">
      <c r="A45" s="82"/>
      <c r="B45" s="109"/>
      <c r="C45" s="21" t="s">
        <v>161</v>
      </c>
      <c r="D45" s="21"/>
    </row>
    <row r="46" spans="1:5">
      <c r="A46" s="82"/>
      <c r="B46" s="109"/>
      <c r="C46" s="21" t="s">
        <v>956</v>
      </c>
      <c r="D46" s="21"/>
      <c r="E46" s="13" t="s">
        <v>1182</v>
      </c>
    </row>
    <row r="47" spans="1:5">
      <c r="A47" s="82"/>
      <c r="B47" s="109"/>
      <c r="C47" s="21" t="s">
        <v>164</v>
      </c>
      <c r="D47" s="21"/>
    </row>
    <row r="48" spans="1:5">
      <c r="A48" s="82"/>
      <c r="B48" s="109"/>
      <c r="C48" s="21" t="s">
        <v>166</v>
      </c>
      <c r="D48" s="21"/>
    </row>
    <row r="49" spans="1:5">
      <c r="A49" s="82"/>
      <c r="B49" s="109"/>
      <c r="C49" s="21" t="s">
        <v>168</v>
      </c>
      <c r="D49" s="21"/>
    </row>
    <row r="50" spans="1:5">
      <c r="A50" s="82"/>
      <c r="B50" s="109"/>
      <c r="C50" s="21" t="s">
        <v>173</v>
      </c>
      <c r="D50" s="21"/>
    </row>
    <row r="51" spans="1:5">
      <c r="A51" s="82"/>
      <c r="B51" s="109"/>
      <c r="C51" s="21" t="s">
        <v>175</v>
      </c>
      <c r="D51" s="21"/>
    </row>
    <row r="52" spans="1:5">
      <c r="A52" s="82"/>
      <c r="B52" s="109"/>
      <c r="C52" s="21" t="s">
        <v>177</v>
      </c>
      <c r="D52" s="21"/>
    </row>
    <row r="53" spans="1:5">
      <c r="A53" s="82"/>
      <c r="B53" s="109"/>
      <c r="C53" s="21" t="s">
        <v>178</v>
      </c>
      <c r="D53" s="21"/>
    </row>
    <row r="54" spans="1:5">
      <c r="A54" s="82"/>
      <c r="B54" s="109"/>
      <c r="C54" s="21" t="s">
        <v>179</v>
      </c>
      <c r="D54" s="21"/>
    </row>
    <row r="55" spans="1:5">
      <c r="A55" s="82"/>
      <c r="B55" s="109"/>
      <c r="C55" s="21" t="s">
        <v>180</v>
      </c>
      <c r="D55" s="21"/>
    </row>
    <row r="56" spans="1:5">
      <c r="A56" s="82"/>
      <c r="B56" s="109"/>
      <c r="C56" s="21" t="s">
        <v>181</v>
      </c>
      <c r="D56" s="21"/>
    </row>
    <row r="57" spans="1:5">
      <c r="A57" s="82"/>
      <c r="B57" s="109"/>
      <c r="C57" s="21" t="s">
        <v>182</v>
      </c>
      <c r="D57" s="21"/>
    </row>
    <row r="58" spans="1:5">
      <c r="A58" s="82"/>
      <c r="B58" s="109"/>
      <c r="C58" s="21" t="s">
        <v>183</v>
      </c>
      <c r="D58" s="21"/>
    </row>
    <row r="59" spans="1:5">
      <c r="A59" s="82"/>
      <c r="B59" s="109"/>
      <c r="C59" s="21" t="s">
        <v>510</v>
      </c>
      <c r="D59" s="21"/>
    </row>
    <row r="60" spans="1:5">
      <c r="A60" s="82"/>
      <c r="B60" s="109"/>
      <c r="C60" s="21" t="s">
        <v>184</v>
      </c>
      <c r="D60" s="21"/>
    </row>
    <row r="61" spans="1:5">
      <c r="A61" s="82"/>
      <c r="B61" s="109"/>
      <c r="C61" s="21" t="s">
        <v>185</v>
      </c>
      <c r="D61" s="21"/>
    </row>
    <row r="62" spans="1:5">
      <c r="A62" s="82"/>
      <c r="B62" s="109"/>
      <c r="C62" s="21" t="s">
        <v>186</v>
      </c>
      <c r="D62" s="21"/>
    </row>
    <row r="63" spans="1:5">
      <c r="A63" s="82"/>
      <c r="B63" s="109"/>
      <c r="C63" s="21" t="s">
        <v>955</v>
      </c>
      <c r="D63" s="21"/>
      <c r="E63" s="13" t="s">
        <v>1182</v>
      </c>
    </row>
    <row r="64" spans="1:5">
      <c r="A64" s="82"/>
      <c r="B64" s="109"/>
      <c r="C64" s="21" t="s">
        <v>187</v>
      </c>
      <c r="D64" s="21"/>
    </row>
    <row r="65" spans="1:4">
      <c r="A65" s="82"/>
      <c r="B65" s="109"/>
      <c r="C65" s="21" t="s">
        <v>188</v>
      </c>
      <c r="D65" s="21"/>
    </row>
    <row r="66" spans="1:4">
      <c r="A66" s="82"/>
      <c r="B66" s="109"/>
      <c r="C66" s="21" t="s">
        <v>189</v>
      </c>
      <c r="D66" s="21"/>
    </row>
    <row r="67" spans="1:4">
      <c r="A67" s="82"/>
      <c r="B67" s="109"/>
      <c r="C67" s="21" t="s">
        <v>190</v>
      </c>
      <c r="D67" s="21"/>
    </row>
    <row r="68" spans="1:4">
      <c r="A68" s="82"/>
      <c r="B68" s="109"/>
      <c r="C68" s="21" t="s">
        <v>191</v>
      </c>
      <c r="D68" s="21"/>
    </row>
    <row r="69" spans="1:4">
      <c r="A69" s="82"/>
      <c r="B69" s="109"/>
      <c r="C69" s="21" t="s">
        <v>192</v>
      </c>
      <c r="D69" s="21"/>
    </row>
    <row r="70" spans="1:4">
      <c r="A70" s="82"/>
      <c r="B70" s="109"/>
      <c r="C70" s="21" t="s">
        <v>193</v>
      </c>
      <c r="D70" s="21"/>
    </row>
    <row r="71" spans="1:4">
      <c r="A71" s="82"/>
      <c r="B71" s="109"/>
      <c r="C71" s="21" t="s">
        <v>194</v>
      </c>
      <c r="D71" s="21"/>
    </row>
    <row r="72" spans="1:4">
      <c r="A72" s="82"/>
      <c r="B72" s="109"/>
      <c r="C72" s="21" t="s">
        <v>196</v>
      </c>
      <c r="D72" s="21"/>
    </row>
    <row r="73" spans="1:4">
      <c r="A73" s="82"/>
      <c r="B73" s="109"/>
      <c r="C73" s="21" t="s">
        <v>197</v>
      </c>
      <c r="D73" s="21"/>
    </row>
    <row r="74" spans="1:4">
      <c r="A74" s="82"/>
      <c r="B74" s="109"/>
      <c r="C74" s="21" t="s">
        <v>198</v>
      </c>
      <c r="D74" s="21"/>
    </row>
    <row r="75" spans="1:4">
      <c r="A75" s="82"/>
      <c r="B75" s="109"/>
      <c r="C75" s="21" t="s">
        <v>199</v>
      </c>
      <c r="D75" s="21"/>
    </row>
    <row r="76" spans="1:4">
      <c r="A76" s="82"/>
      <c r="B76" s="109"/>
      <c r="C76" s="21" t="s">
        <v>200</v>
      </c>
      <c r="D76" s="21"/>
    </row>
    <row r="77" spans="1:4">
      <c r="A77" s="82"/>
      <c r="B77" s="109"/>
      <c r="C77" s="21" t="s">
        <v>201</v>
      </c>
      <c r="D77" s="21"/>
    </row>
    <row r="78" spans="1:4">
      <c r="A78" s="82"/>
      <c r="B78" s="109"/>
      <c r="C78" s="21" t="s">
        <v>203</v>
      </c>
      <c r="D78" s="21"/>
    </row>
    <row r="79" spans="1:4">
      <c r="A79" s="82"/>
      <c r="B79" s="109"/>
      <c r="C79" s="21" t="s">
        <v>204</v>
      </c>
      <c r="D79" s="21"/>
    </row>
    <row r="80" spans="1:4">
      <c r="A80" s="82"/>
      <c r="B80" s="109"/>
      <c r="C80" s="21" t="s">
        <v>205</v>
      </c>
      <c r="D80" s="21"/>
    </row>
    <row r="81" spans="1:5">
      <c r="A81" s="82"/>
      <c r="B81" s="109"/>
      <c r="C81" s="21" t="s">
        <v>206</v>
      </c>
      <c r="D81" s="21"/>
    </row>
    <row r="82" spans="1:5">
      <c r="A82" s="82"/>
      <c r="B82" s="109"/>
      <c r="C82" s="21" t="s">
        <v>207</v>
      </c>
      <c r="D82" s="21"/>
    </row>
    <row r="83" spans="1:5">
      <c r="A83" s="82"/>
      <c r="B83" s="109"/>
      <c r="C83" s="21" t="s">
        <v>208</v>
      </c>
      <c r="D83" s="21"/>
    </row>
    <row r="84" spans="1:5">
      <c r="A84" s="82"/>
      <c r="B84" s="109"/>
      <c r="C84" s="21" t="s">
        <v>209</v>
      </c>
      <c r="D84" s="21"/>
    </row>
    <row r="85" spans="1:5">
      <c r="A85" s="82"/>
      <c r="B85" s="109"/>
      <c r="C85" s="21" t="s">
        <v>210</v>
      </c>
      <c r="D85" s="21"/>
    </row>
    <row r="86" spans="1:5">
      <c r="A86" s="82"/>
      <c r="B86" s="109"/>
      <c r="C86" s="21" t="s">
        <v>316</v>
      </c>
      <c r="D86" s="21"/>
    </row>
    <row r="87" spans="1:5">
      <c r="A87" s="82"/>
      <c r="B87" s="109"/>
      <c r="C87" s="21" t="s">
        <v>318</v>
      </c>
      <c r="D87" s="21"/>
    </row>
    <row r="88" spans="1:5">
      <c r="A88" s="82"/>
      <c r="B88" s="109"/>
      <c r="C88" s="21" t="s">
        <v>930</v>
      </c>
      <c r="D88" s="21"/>
    </row>
    <row r="89" spans="1:5">
      <c r="A89" s="82"/>
      <c r="B89" s="109"/>
      <c r="C89" s="21" t="s">
        <v>931</v>
      </c>
      <c r="D89" s="21"/>
    </row>
    <row r="90" spans="1:5">
      <c r="A90" s="82"/>
      <c r="B90" s="109"/>
      <c r="C90" s="21" t="s">
        <v>313</v>
      </c>
      <c r="D90" s="21"/>
    </row>
    <row r="91" spans="1:5">
      <c r="A91" s="82"/>
      <c r="B91" s="109"/>
      <c r="C91" s="21" t="s">
        <v>932</v>
      </c>
      <c r="D91" s="21"/>
    </row>
    <row r="92" spans="1:5">
      <c r="A92" s="82"/>
      <c r="B92" s="109"/>
      <c r="C92" s="21" t="s">
        <v>940</v>
      </c>
      <c r="D92" s="21"/>
    </row>
    <row r="93" spans="1:5">
      <c r="A93" s="82"/>
      <c r="B93" s="109"/>
      <c r="C93" s="21" t="s">
        <v>317</v>
      </c>
      <c r="D93" s="21"/>
    </row>
    <row r="94" spans="1:5">
      <c r="A94" s="82"/>
      <c r="B94" s="109"/>
      <c r="C94" s="21" t="s">
        <v>1168</v>
      </c>
      <c r="D94" s="21" t="s">
        <v>1167</v>
      </c>
      <c r="E94" s="13" t="s">
        <v>1182</v>
      </c>
    </row>
    <row r="95" spans="1:5">
      <c r="A95" s="82"/>
      <c r="B95" s="109"/>
      <c r="C95" s="21" t="s">
        <v>1169</v>
      </c>
      <c r="D95" s="21" t="s">
        <v>946</v>
      </c>
      <c r="E95" s="13" t="s">
        <v>1182</v>
      </c>
    </row>
    <row r="96" spans="1:5">
      <c r="A96" s="82"/>
      <c r="B96" s="109"/>
      <c r="C96" s="21" t="s">
        <v>1170</v>
      </c>
      <c r="D96" s="21" t="s">
        <v>946</v>
      </c>
      <c r="E96" s="13" t="s">
        <v>1182</v>
      </c>
    </row>
    <row r="97" spans="1:5">
      <c r="A97" s="82"/>
      <c r="B97" s="109"/>
      <c r="C97" s="21" t="s">
        <v>1164</v>
      </c>
      <c r="D97" s="21" t="s">
        <v>946</v>
      </c>
      <c r="E97" s="13" t="s">
        <v>1182</v>
      </c>
    </row>
    <row r="98" spans="1:5">
      <c r="A98" s="82"/>
      <c r="B98" s="109"/>
      <c r="C98" s="21" t="s">
        <v>1165</v>
      </c>
      <c r="D98" s="21" t="s">
        <v>946</v>
      </c>
      <c r="E98" s="13" t="s">
        <v>1182</v>
      </c>
    </row>
    <row r="99" spans="1:5">
      <c r="A99" s="82"/>
      <c r="B99" s="109"/>
      <c r="C99" s="21" t="s">
        <v>1166</v>
      </c>
      <c r="D99" s="21" t="s">
        <v>946</v>
      </c>
      <c r="E99" s="13" t="s">
        <v>1182</v>
      </c>
    </row>
    <row r="100" spans="1:5">
      <c r="A100" s="82"/>
      <c r="B100" s="109"/>
      <c r="C100" s="21" t="s">
        <v>1171</v>
      </c>
      <c r="D100" s="21" t="s">
        <v>946</v>
      </c>
      <c r="E100" s="13" t="s">
        <v>1182</v>
      </c>
    </row>
    <row r="101" spans="1:5">
      <c r="A101" s="82"/>
      <c r="B101" s="109"/>
      <c r="C101" s="21" t="s">
        <v>1172</v>
      </c>
      <c r="D101" s="21" t="s">
        <v>946</v>
      </c>
      <c r="E101" s="13" t="s">
        <v>1182</v>
      </c>
    </row>
    <row r="102" spans="1:5">
      <c r="A102" s="82"/>
      <c r="B102" s="109"/>
      <c r="C102" s="21" t="s">
        <v>1173</v>
      </c>
      <c r="D102" s="21" t="s">
        <v>946</v>
      </c>
      <c r="E102" s="13" t="s">
        <v>1182</v>
      </c>
    </row>
    <row r="103" spans="1:5">
      <c r="A103" s="82"/>
      <c r="B103" s="109"/>
      <c r="C103" s="21" t="s">
        <v>1174</v>
      </c>
      <c r="D103" s="21" t="s">
        <v>946</v>
      </c>
      <c r="E103" s="13" t="s">
        <v>1182</v>
      </c>
    </row>
    <row r="104" spans="1:5">
      <c r="A104" s="77"/>
      <c r="B104" s="77" t="s">
        <v>740</v>
      </c>
      <c r="C104" s="20" t="s">
        <v>429</v>
      </c>
      <c r="D104" s="20"/>
    </row>
    <row r="105" spans="1:5">
      <c r="A105" s="78"/>
      <c r="B105" s="78"/>
      <c r="C105" s="20" t="s">
        <v>2</v>
      </c>
      <c r="D105" s="20"/>
    </row>
    <row r="106" spans="1:5">
      <c r="A106" s="78"/>
      <c r="B106" s="78"/>
      <c r="C106" s="20" t="s">
        <v>432</v>
      </c>
      <c r="D106" s="20"/>
    </row>
    <row r="107" spans="1:5">
      <c r="A107" s="78"/>
      <c r="B107" s="78"/>
      <c r="C107" s="20" t="s">
        <v>767</v>
      </c>
      <c r="D107" s="20"/>
    </row>
    <row r="108" spans="1:5">
      <c r="A108" s="78"/>
      <c r="B108" s="78"/>
      <c r="C108" s="20" t="s">
        <v>78</v>
      </c>
      <c r="D108" s="20"/>
    </row>
    <row r="109" spans="1:5">
      <c r="A109" s="78"/>
      <c r="B109" s="78"/>
      <c r="C109" s="20" t="s">
        <v>430</v>
      </c>
      <c r="D109" s="20"/>
    </row>
    <row r="110" spans="1:5">
      <c r="A110" s="79"/>
      <c r="B110" s="79"/>
      <c r="C110" s="20" t="s">
        <v>102</v>
      </c>
      <c r="D110" s="20"/>
    </row>
    <row r="111" spans="1:5">
      <c r="A111" s="82"/>
      <c r="B111" s="68" t="s">
        <v>742</v>
      </c>
      <c r="C111" s="21" t="s">
        <v>429</v>
      </c>
      <c r="D111" s="21"/>
    </row>
    <row r="112" spans="1:5">
      <c r="A112" s="82"/>
      <c r="B112" s="69"/>
      <c r="C112" s="21" t="s">
        <v>776</v>
      </c>
      <c r="D112" s="21"/>
    </row>
    <row r="113" spans="1:4">
      <c r="A113" s="82"/>
      <c r="B113" s="70"/>
      <c r="C113" s="21" t="s">
        <v>431</v>
      </c>
      <c r="D113" s="21"/>
    </row>
    <row r="114" spans="1:4">
      <c r="A114" s="95"/>
      <c r="B114" s="95" t="s">
        <v>752</v>
      </c>
      <c r="C114" s="20" t="s">
        <v>429</v>
      </c>
      <c r="D114" s="20"/>
    </row>
    <row r="115" spans="1:4">
      <c r="A115" s="95"/>
      <c r="B115" s="95"/>
      <c r="C115" s="20" t="s">
        <v>432</v>
      </c>
      <c r="D115" s="20"/>
    </row>
    <row r="116" spans="1:4">
      <c r="A116" s="95"/>
      <c r="B116" s="95"/>
      <c r="C116" s="20" t="s">
        <v>767</v>
      </c>
      <c r="D116" s="20"/>
    </row>
    <row r="117" spans="1:4">
      <c r="A117" s="95"/>
      <c r="B117" s="95"/>
      <c r="C117" s="20" t="s">
        <v>430</v>
      </c>
      <c r="D117" s="20"/>
    </row>
    <row r="118" spans="1:4">
      <c r="A118" s="81"/>
      <c r="B118" s="96" t="s">
        <v>726</v>
      </c>
      <c r="C118" s="21" t="s">
        <v>429</v>
      </c>
      <c r="D118" s="21"/>
    </row>
    <row r="119" spans="1:4">
      <c r="A119" s="119"/>
      <c r="B119" s="118"/>
      <c r="C119" s="21" t="s">
        <v>433</v>
      </c>
      <c r="D119" s="21"/>
    </row>
    <row r="120" spans="1:4">
      <c r="A120" s="119"/>
      <c r="B120" s="118"/>
      <c r="C120" s="21" t="s">
        <v>767</v>
      </c>
      <c r="D120" s="21"/>
    </row>
    <row r="121" spans="1:4">
      <c r="A121" s="119"/>
      <c r="B121" s="118"/>
      <c r="C121" s="21" t="s">
        <v>78</v>
      </c>
      <c r="D121" s="21"/>
    </row>
    <row r="122" spans="1:4">
      <c r="A122" s="119"/>
      <c r="B122" s="118"/>
      <c r="C122" s="21" t="s">
        <v>432</v>
      </c>
      <c r="D122" s="21"/>
    </row>
    <row r="123" spans="1:4">
      <c r="A123" s="119"/>
      <c r="B123" s="118"/>
      <c r="C123" s="21" t="s">
        <v>435</v>
      </c>
      <c r="D123" s="21"/>
    </row>
    <row r="124" spans="1:4">
      <c r="A124" s="119"/>
      <c r="B124" s="118"/>
      <c r="C124" s="21" t="s">
        <v>434</v>
      </c>
      <c r="D124" s="21"/>
    </row>
    <row r="125" spans="1:4">
      <c r="A125" s="119"/>
      <c r="B125" s="118"/>
      <c r="C125" s="21" t="s">
        <v>430</v>
      </c>
      <c r="D125" s="21"/>
    </row>
    <row r="126" spans="1:4">
      <c r="A126" s="82"/>
      <c r="B126" s="97"/>
      <c r="C126" s="21" t="s">
        <v>102</v>
      </c>
      <c r="D126" s="21"/>
    </row>
    <row r="127" spans="1:4">
      <c r="A127" s="77"/>
      <c r="B127" s="77" t="s">
        <v>28</v>
      </c>
      <c r="C127" s="20" t="s">
        <v>76</v>
      </c>
      <c r="D127" s="20"/>
    </row>
    <row r="128" spans="1:4">
      <c r="A128" s="78"/>
      <c r="B128" s="78"/>
      <c r="C128" s="20" t="s">
        <v>88</v>
      </c>
      <c r="D128" s="20"/>
    </row>
    <row r="129" spans="1:5">
      <c r="A129" s="78"/>
      <c r="B129" s="78"/>
      <c r="C129" s="20" t="s">
        <v>94</v>
      </c>
      <c r="D129" s="20"/>
    </row>
    <row r="130" spans="1:5">
      <c r="A130" s="78"/>
      <c r="B130" s="78"/>
      <c r="C130" s="20" t="s">
        <v>99</v>
      </c>
      <c r="D130" s="20"/>
    </row>
    <row r="131" spans="1:5">
      <c r="A131" s="78"/>
      <c r="B131" s="78"/>
      <c r="C131" s="20" t="s">
        <v>78</v>
      </c>
      <c r="D131" s="20"/>
    </row>
    <row r="132" spans="1:5">
      <c r="A132" s="82"/>
      <c r="B132" s="69" t="s">
        <v>753</v>
      </c>
      <c r="C132" s="21" t="s">
        <v>76</v>
      </c>
      <c r="D132" s="21"/>
    </row>
    <row r="133" spans="1:5">
      <c r="A133" s="82"/>
      <c r="B133" s="69"/>
      <c r="C133" s="21" t="s">
        <v>78</v>
      </c>
      <c r="D133" s="21"/>
    </row>
    <row r="134" spans="1:5">
      <c r="A134" s="83"/>
      <c r="B134" s="70"/>
      <c r="C134" s="21" t="s">
        <v>102</v>
      </c>
      <c r="D134" s="21"/>
    </row>
    <row r="135" spans="1:5">
      <c r="A135" s="84"/>
      <c r="B135" s="84" t="s">
        <v>609</v>
      </c>
      <c r="C135" s="20" t="s">
        <v>805</v>
      </c>
      <c r="D135" s="20"/>
    </row>
    <row r="136" spans="1:5">
      <c r="A136" s="85"/>
      <c r="B136" s="85"/>
      <c r="C136" s="20" t="s">
        <v>958</v>
      </c>
      <c r="D136" s="20"/>
      <c r="E136" s="13" t="s">
        <v>1182</v>
      </c>
    </row>
    <row r="137" spans="1:5">
      <c r="A137" s="85"/>
      <c r="B137" s="85"/>
      <c r="C137" s="20" t="s">
        <v>54</v>
      </c>
      <c r="D137" s="20" t="s">
        <v>682</v>
      </c>
    </row>
    <row r="138" spans="1:5">
      <c r="A138" s="85"/>
      <c r="B138" s="85"/>
      <c r="C138" s="20" t="s">
        <v>69</v>
      </c>
      <c r="D138" s="20" t="s">
        <v>683</v>
      </c>
    </row>
    <row r="139" spans="1:5">
      <c r="A139" s="85"/>
      <c r="B139" s="85"/>
      <c r="C139" s="20" t="s">
        <v>608</v>
      </c>
      <c r="D139" s="20"/>
    </row>
    <row r="140" spans="1:5">
      <c r="A140" s="85"/>
      <c r="B140" s="85"/>
      <c r="C140" s="20" t="s">
        <v>678</v>
      </c>
      <c r="D140" s="20"/>
    </row>
    <row r="141" spans="1:5">
      <c r="A141" s="85"/>
      <c r="B141" s="85"/>
      <c r="C141" s="20" t="s">
        <v>679</v>
      </c>
      <c r="D141" s="20"/>
    </row>
    <row r="142" spans="1:5">
      <c r="A142" s="85"/>
      <c r="B142" s="85"/>
      <c r="C142" s="20" t="s">
        <v>680</v>
      </c>
      <c r="D142" s="20"/>
    </row>
    <row r="143" spans="1:5">
      <c r="A143" s="85"/>
      <c r="B143" s="85"/>
      <c r="C143" s="20" t="s">
        <v>681</v>
      </c>
      <c r="D143" s="20"/>
    </row>
    <row r="144" spans="1:5">
      <c r="A144" s="85"/>
      <c r="B144" s="85"/>
      <c r="C144" s="20" t="s">
        <v>939</v>
      </c>
      <c r="D144" s="20"/>
    </row>
    <row r="145" spans="1:4">
      <c r="A145" s="85"/>
      <c r="B145" s="85"/>
      <c r="C145" s="20" t="s">
        <v>102</v>
      </c>
      <c r="D145" s="20"/>
    </row>
    <row r="146" spans="1:4">
      <c r="A146" s="81"/>
      <c r="B146" s="74" t="s">
        <v>4</v>
      </c>
      <c r="C146" s="21" t="s">
        <v>55</v>
      </c>
      <c r="D146" s="21"/>
    </row>
    <row r="147" spans="1:4">
      <c r="A147" s="83"/>
      <c r="B147" s="76"/>
      <c r="C147" s="21" t="s">
        <v>62</v>
      </c>
      <c r="D147" s="21"/>
    </row>
    <row r="148" spans="1:4">
      <c r="A148" s="63"/>
      <c r="B148" s="117" t="s">
        <v>5</v>
      </c>
      <c r="C148" s="20" t="s">
        <v>311</v>
      </c>
      <c r="D148" s="20" t="s">
        <v>56</v>
      </c>
    </row>
    <row r="149" spans="1:4">
      <c r="A149" s="64"/>
      <c r="B149" s="64"/>
      <c r="C149" s="20" t="s">
        <v>927</v>
      </c>
      <c r="D149" s="20" t="s">
        <v>933</v>
      </c>
    </row>
    <row r="150" spans="1:4">
      <c r="A150" s="64"/>
      <c r="B150" s="64"/>
      <c r="C150" s="20" t="s">
        <v>476</v>
      </c>
      <c r="D150" s="20" t="s">
        <v>63</v>
      </c>
    </row>
    <row r="151" spans="1:4">
      <c r="A151" s="64"/>
      <c r="B151" s="64"/>
      <c r="C151" s="20" t="s">
        <v>479</v>
      </c>
      <c r="D151" s="20" t="s">
        <v>250</v>
      </c>
    </row>
    <row r="152" spans="1:4">
      <c r="A152" s="64"/>
      <c r="B152" s="64"/>
      <c r="C152" s="20" t="s">
        <v>480</v>
      </c>
      <c r="D152" s="20" t="s">
        <v>77</v>
      </c>
    </row>
    <row r="153" spans="1:4">
      <c r="A153" s="64"/>
      <c r="B153" s="64"/>
      <c r="C153" s="20" t="s">
        <v>477</v>
      </c>
      <c r="D153" s="20" t="s">
        <v>83</v>
      </c>
    </row>
    <row r="154" spans="1:4">
      <c r="A154" s="64"/>
      <c r="B154" s="64"/>
      <c r="C154" s="20" t="s">
        <v>481</v>
      </c>
      <c r="D154" s="20" t="s">
        <v>89</v>
      </c>
    </row>
    <row r="155" spans="1:4">
      <c r="A155" s="64"/>
      <c r="B155" s="64"/>
      <c r="C155" s="20" t="s">
        <v>478</v>
      </c>
      <c r="D155" s="20" t="s">
        <v>95</v>
      </c>
    </row>
    <row r="156" spans="1:4">
      <c r="A156" s="64"/>
      <c r="B156" s="64"/>
      <c r="C156" s="20" t="s">
        <v>482</v>
      </c>
      <c r="D156" s="20" t="s">
        <v>100</v>
      </c>
    </row>
    <row r="157" spans="1:4">
      <c r="A157" s="64"/>
      <c r="B157" s="64"/>
      <c r="C157" s="20" t="s">
        <v>483</v>
      </c>
      <c r="D157" s="20" t="s">
        <v>106</v>
      </c>
    </row>
    <row r="158" spans="1:4">
      <c r="A158" s="64"/>
      <c r="B158" s="64"/>
      <c r="C158" s="20" t="s">
        <v>485</v>
      </c>
      <c r="D158" s="20" t="s">
        <v>374</v>
      </c>
    </row>
    <row r="159" spans="1:4">
      <c r="A159" s="64"/>
      <c r="B159" s="64"/>
      <c r="C159" s="20" t="s">
        <v>484</v>
      </c>
      <c r="D159" s="20" t="s">
        <v>110</v>
      </c>
    </row>
    <row r="160" spans="1:4">
      <c r="A160" s="64"/>
      <c r="B160" s="64"/>
      <c r="C160" s="20" t="s">
        <v>486</v>
      </c>
      <c r="D160" s="20" t="s">
        <v>113</v>
      </c>
    </row>
    <row r="161" spans="1:4">
      <c r="A161" s="64"/>
      <c r="B161" s="64"/>
      <c r="C161" s="20" t="s">
        <v>487</v>
      </c>
      <c r="D161" s="20" t="s">
        <v>115</v>
      </c>
    </row>
    <row r="162" spans="1:4">
      <c r="A162" s="64"/>
      <c r="B162" s="64"/>
      <c r="C162" s="20" t="s">
        <v>488</v>
      </c>
      <c r="D162" s="20" t="s">
        <v>118</v>
      </c>
    </row>
    <row r="163" spans="1:4">
      <c r="A163" s="64"/>
      <c r="B163" s="64"/>
      <c r="C163" s="20" t="s">
        <v>489</v>
      </c>
      <c r="D163" s="20" t="s">
        <v>121</v>
      </c>
    </row>
    <row r="164" spans="1:4">
      <c r="A164" s="64"/>
      <c r="B164" s="64"/>
      <c r="C164" s="20" t="s">
        <v>490</v>
      </c>
      <c r="D164" s="20" t="s">
        <v>375</v>
      </c>
    </row>
    <row r="165" spans="1:4">
      <c r="A165" s="64"/>
      <c r="B165" s="64"/>
      <c r="C165" s="20" t="s">
        <v>491</v>
      </c>
      <c r="D165" s="20" t="s">
        <v>124</v>
      </c>
    </row>
    <row r="166" spans="1:4">
      <c r="A166" s="64"/>
      <c r="B166" s="64"/>
      <c r="C166" s="20" t="s">
        <v>492</v>
      </c>
      <c r="D166" s="20" t="s">
        <v>126</v>
      </c>
    </row>
    <row r="167" spans="1:4">
      <c r="A167" s="64"/>
      <c r="B167" s="64"/>
      <c r="C167" s="20" t="s">
        <v>493</v>
      </c>
      <c r="D167" s="20" t="s">
        <v>127</v>
      </c>
    </row>
    <row r="168" spans="1:4">
      <c r="A168" s="64"/>
      <c r="B168" s="64"/>
      <c r="C168" s="20" t="s">
        <v>494</v>
      </c>
      <c r="D168" s="20" t="s">
        <v>129</v>
      </c>
    </row>
    <row r="169" spans="1:4">
      <c r="A169" s="64"/>
      <c r="B169" s="64"/>
      <c r="C169" s="20" t="s">
        <v>495</v>
      </c>
      <c r="D169" s="20" t="s">
        <v>251</v>
      </c>
    </row>
    <row r="170" spans="1:4">
      <c r="A170" s="64"/>
      <c r="B170" s="64"/>
      <c r="C170" s="20" t="s">
        <v>593</v>
      </c>
      <c r="D170" s="20" t="s">
        <v>133</v>
      </c>
    </row>
    <row r="171" spans="1:4">
      <c r="A171" s="64"/>
      <c r="B171" s="64"/>
      <c r="C171" s="20" t="s">
        <v>496</v>
      </c>
      <c r="D171" s="20" t="s">
        <v>135</v>
      </c>
    </row>
    <row r="172" spans="1:4">
      <c r="A172" s="64"/>
      <c r="B172" s="64"/>
      <c r="C172" s="20" t="s">
        <v>497</v>
      </c>
      <c r="D172" s="20" t="s">
        <v>137</v>
      </c>
    </row>
    <row r="173" spans="1:4">
      <c r="A173" s="64"/>
      <c r="B173" s="64"/>
      <c r="C173" s="20" t="s">
        <v>498</v>
      </c>
      <c r="D173" s="20" t="s">
        <v>139</v>
      </c>
    </row>
    <row r="174" spans="1:4">
      <c r="A174" s="64"/>
      <c r="B174" s="64"/>
      <c r="C174" s="20" t="s">
        <v>499</v>
      </c>
      <c r="D174" s="20" t="s">
        <v>142</v>
      </c>
    </row>
    <row r="175" spans="1:4">
      <c r="A175" s="64"/>
      <c r="B175" s="64"/>
      <c r="C175" s="20" t="s">
        <v>500</v>
      </c>
      <c r="D175" s="20" t="s">
        <v>144</v>
      </c>
    </row>
    <row r="176" spans="1:4">
      <c r="A176" s="64"/>
      <c r="B176" s="64"/>
      <c r="C176" s="20" t="s">
        <v>501</v>
      </c>
      <c r="D176" s="20" t="s">
        <v>146</v>
      </c>
    </row>
    <row r="177" spans="1:5">
      <c r="A177" s="64"/>
      <c r="B177" s="64"/>
      <c r="C177" s="20" t="s">
        <v>502</v>
      </c>
      <c r="D177" s="20" t="s">
        <v>148</v>
      </c>
    </row>
    <row r="178" spans="1:5">
      <c r="A178" s="64"/>
      <c r="B178" s="64"/>
      <c r="C178" s="20" t="s">
        <v>503</v>
      </c>
      <c r="D178" s="20" t="s">
        <v>150</v>
      </c>
    </row>
    <row r="179" spans="1:5">
      <c r="A179" s="64"/>
      <c r="B179" s="64"/>
      <c r="C179" s="20" t="s">
        <v>504</v>
      </c>
      <c r="D179" s="20" t="s">
        <v>152</v>
      </c>
    </row>
    <row r="180" spans="1:5">
      <c r="A180" s="64"/>
      <c r="B180" s="64"/>
      <c r="C180" s="20" t="s">
        <v>1150</v>
      </c>
      <c r="D180" s="20" t="s">
        <v>1125</v>
      </c>
      <c r="E180" s="13" t="s">
        <v>1182</v>
      </c>
    </row>
    <row r="181" spans="1:5">
      <c r="A181" s="64"/>
      <c r="B181" s="64"/>
      <c r="C181" s="20" t="s">
        <v>102</v>
      </c>
      <c r="D181" s="20" t="s">
        <v>102</v>
      </c>
    </row>
    <row r="182" spans="1:5">
      <c r="A182" s="81"/>
      <c r="B182" s="74" t="s">
        <v>778</v>
      </c>
      <c r="C182" s="55" t="s">
        <v>57</v>
      </c>
      <c r="D182" s="55"/>
    </row>
    <row r="183" spans="1:5">
      <c r="A183" s="82"/>
      <c r="B183" s="75"/>
      <c r="C183" s="55" t="s">
        <v>779</v>
      </c>
      <c r="D183" s="55"/>
    </row>
    <row r="184" spans="1:5">
      <c r="A184" s="82"/>
      <c r="B184" s="75"/>
      <c r="C184" s="55" t="s">
        <v>64</v>
      </c>
      <c r="D184" s="55"/>
    </row>
    <row r="185" spans="1:5">
      <c r="A185" s="83"/>
      <c r="B185" s="76"/>
      <c r="C185" s="57" t="s">
        <v>298</v>
      </c>
      <c r="D185" s="57"/>
    </row>
    <row r="186" spans="1:5">
      <c r="A186" s="77"/>
      <c r="B186" s="77" t="s">
        <v>925</v>
      </c>
      <c r="C186" s="54" t="s">
        <v>619</v>
      </c>
      <c r="D186" s="54"/>
    </row>
    <row r="187" spans="1:5">
      <c r="A187" s="78"/>
      <c r="B187" s="78"/>
      <c r="C187" s="54" t="s">
        <v>620</v>
      </c>
      <c r="D187" s="54"/>
    </row>
    <row r="188" spans="1:5">
      <c r="A188" s="81"/>
      <c r="B188" s="74" t="s">
        <v>8</v>
      </c>
      <c r="C188" s="57" t="s">
        <v>65</v>
      </c>
      <c r="D188" s="57" t="s">
        <v>401</v>
      </c>
    </row>
    <row r="189" spans="1:5">
      <c r="A189" s="82"/>
      <c r="B189" s="75"/>
      <c r="C189" s="57" t="s">
        <v>70</v>
      </c>
      <c r="D189" s="57" t="s">
        <v>402</v>
      </c>
    </row>
    <row r="190" spans="1:5">
      <c r="A190" s="82"/>
      <c r="B190" s="75"/>
      <c r="C190" s="57" t="s">
        <v>78</v>
      </c>
      <c r="D190" s="57" t="s">
        <v>78</v>
      </c>
    </row>
    <row r="191" spans="1:5">
      <c r="A191" s="82"/>
      <c r="B191" s="75"/>
      <c r="C191" s="57" t="s">
        <v>90</v>
      </c>
      <c r="D191" s="57" t="s">
        <v>404</v>
      </c>
    </row>
    <row r="192" spans="1:5">
      <c r="A192" s="82"/>
      <c r="B192" s="75"/>
      <c r="C192" s="57" t="s">
        <v>107</v>
      </c>
      <c r="D192" s="57" t="s">
        <v>407</v>
      </c>
    </row>
    <row r="193" spans="1:4">
      <c r="A193" s="82"/>
      <c r="B193" s="75"/>
      <c r="C193" s="57" t="s">
        <v>413</v>
      </c>
      <c r="D193" s="57" t="s">
        <v>408</v>
      </c>
    </row>
    <row r="194" spans="1:4">
      <c r="A194" s="82"/>
      <c r="B194" s="75"/>
      <c r="C194" s="57" t="s">
        <v>101</v>
      </c>
      <c r="D194" s="57" t="s">
        <v>406</v>
      </c>
    </row>
    <row r="195" spans="1:4">
      <c r="A195" s="82"/>
      <c r="B195" s="75"/>
      <c r="C195" s="57" t="s">
        <v>438</v>
      </c>
      <c r="D195" s="57" t="s">
        <v>409</v>
      </c>
    </row>
    <row r="196" spans="1:4">
      <c r="A196" s="82"/>
      <c r="B196" s="75"/>
      <c r="C196" s="57" t="s">
        <v>119</v>
      </c>
      <c r="D196" s="57" t="s">
        <v>411</v>
      </c>
    </row>
    <row r="197" spans="1:4">
      <c r="A197" s="82"/>
      <c r="B197" s="75"/>
      <c r="C197" s="57" t="s">
        <v>116</v>
      </c>
      <c r="D197" s="57" t="s">
        <v>410</v>
      </c>
    </row>
    <row r="198" spans="1:4">
      <c r="A198" s="82"/>
      <c r="B198" s="75"/>
      <c r="C198" s="57" t="s">
        <v>84</v>
      </c>
      <c r="D198" s="57" t="s">
        <v>403</v>
      </c>
    </row>
    <row r="199" spans="1:4">
      <c r="A199" s="82"/>
      <c r="B199" s="75"/>
      <c r="C199" s="57" t="s">
        <v>96</v>
      </c>
      <c r="D199" s="57" t="s">
        <v>405</v>
      </c>
    </row>
    <row r="200" spans="1:4">
      <c r="A200" s="82"/>
      <c r="B200" s="75"/>
      <c r="C200" s="57" t="s">
        <v>102</v>
      </c>
      <c r="D200" s="57" t="s">
        <v>102</v>
      </c>
    </row>
    <row r="201" spans="1:4">
      <c r="A201" s="83"/>
      <c r="B201" s="76"/>
      <c r="C201" s="57" t="s">
        <v>298</v>
      </c>
      <c r="D201" s="57" t="s">
        <v>412</v>
      </c>
    </row>
    <row r="202" spans="1:4">
      <c r="A202" s="117"/>
      <c r="B202" s="117" t="s">
        <v>9</v>
      </c>
      <c r="C202" s="20" t="s">
        <v>414</v>
      </c>
      <c r="D202" s="20"/>
    </row>
    <row r="203" spans="1:4">
      <c r="A203" s="64"/>
      <c r="B203" s="64"/>
      <c r="C203" s="20" t="s">
        <v>262</v>
      </c>
      <c r="D203" s="20"/>
    </row>
    <row r="204" spans="1:4">
      <c r="A204" s="64"/>
      <c r="B204" s="64"/>
      <c r="C204" s="20" t="s">
        <v>172</v>
      </c>
      <c r="D204" s="20"/>
    </row>
    <row r="205" spans="1:4">
      <c r="A205" s="64"/>
      <c r="B205" s="64"/>
      <c r="C205" s="20" t="s">
        <v>637</v>
      </c>
      <c r="D205" s="20"/>
    </row>
    <row r="206" spans="1:4">
      <c r="A206" s="64"/>
      <c r="B206" s="64"/>
      <c r="C206" s="20" t="s">
        <v>156</v>
      </c>
      <c r="D206" s="20"/>
    </row>
    <row r="207" spans="1:4">
      <c r="A207" s="64"/>
      <c r="B207" s="64"/>
      <c r="C207" s="20" t="s">
        <v>631</v>
      </c>
      <c r="D207" s="20"/>
    </row>
    <row r="208" spans="1:4">
      <c r="A208" s="64"/>
      <c r="B208" s="64"/>
      <c r="C208" s="20" t="s">
        <v>176</v>
      </c>
      <c r="D208" s="20"/>
    </row>
    <row r="209" spans="1:5">
      <c r="A209" s="64"/>
      <c r="B209" s="64"/>
      <c r="C209" s="20" t="s">
        <v>633</v>
      </c>
      <c r="D209" s="20"/>
    </row>
    <row r="210" spans="1:5">
      <c r="A210" s="64"/>
      <c r="B210" s="64"/>
      <c r="C210" s="20" t="s">
        <v>66</v>
      </c>
      <c r="D210" s="20"/>
    </row>
    <row r="211" spans="1:5">
      <c r="A211" s="64"/>
      <c r="B211" s="64"/>
      <c r="C211" s="20" t="s">
        <v>269</v>
      </c>
      <c r="D211" s="20"/>
    </row>
    <row r="212" spans="1:5">
      <c r="A212" s="64"/>
      <c r="B212" s="64"/>
      <c r="C212" s="20" t="s">
        <v>638</v>
      </c>
      <c r="D212" s="20"/>
    </row>
    <row r="213" spans="1:5">
      <c r="A213" s="64"/>
      <c r="B213" s="64"/>
      <c r="C213" s="20" t="s">
        <v>140</v>
      </c>
      <c r="D213" s="20"/>
    </row>
    <row r="214" spans="1:5">
      <c r="A214" s="64"/>
      <c r="B214" s="64"/>
      <c r="C214" s="20" t="s">
        <v>256</v>
      </c>
      <c r="D214" s="20"/>
    </row>
    <row r="215" spans="1:5">
      <c r="A215" s="64"/>
      <c r="B215" s="64"/>
      <c r="C215" s="20" t="s">
        <v>122</v>
      </c>
      <c r="D215" s="20"/>
    </row>
    <row r="216" spans="1:5">
      <c r="A216" s="64"/>
      <c r="B216" s="64"/>
      <c r="C216" s="20" t="s">
        <v>270</v>
      </c>
      <c r="D216" s="20"/>
    </row>
    <row r="217" spans="1:5">
      <c r="A217" s="64"/>
      <c r="B217" s="64"/>
      <c r="C217" s="20" t="s">
        <v>692</v>
      </c>
      <c r="D217" s="20"/>
    </row>
    <row r="218" spans="1:5">
      <c r="A218" s="64"/>
      <c r="B218" s="64"/>
      <c r="C218" s="20" t="s">
        <v>1152</v>
      </c>
      <c r="D218" s="20" t="s">
        <v>639</v>
      </c>
      <c r="E218" s="13" t="s">
        <v>1182</v>
      </c>
    </row>
    <row r="219" spans="1:5">
      <c r="A219" s="64"/>
      <c r="B219" s="64"/>
      <c r="C219" s="20" t="s">
        <v>267</v>
      </c>
      <c r="D219" s="20"/>
    </row>
    <row r="220" spans="1:5">
      <c r="A220" s="64"/>
      <c r="B220" s="64"/>
      <c r="C220" s="20" t="s">
        <v>264</v>
      </c>
      <c r="D220" s="20"/>
    </row>
    <row r="221" spans="1:5">
      <c r="A221" s="64"/>
      <c r="B221" s="64"/>
      <c r="C221" s="20" t="s">
        <v>265</v>
      </c>
      <c r="D221" s="20"/>
    </row>
    <row r="222" spans="1:5">
      <c r="A222" s="64"/>
      <c r="B222" s="64"/>
      <c r="C222" s="20" t="s">
        <v>167</v>
      </c>
      <c r="D222" s="20"/>
    </row>
    <row r="223" spans="1:5">
      <c r="A223" s="64"/>
      <c r="B223" s="64"/>
      <c r="C223" s="20" t="s">
        <v>254</v>
      </c>
      <c r="D223" s="20"/>
    </row>
    <row r="224" spans="1:5">
      <c r="A224" s="64"/>
      <c r="B224" s="64"/>
      <c r="C224" s="20" t="s">
        <v>261</v>
      </c>
      <c r="D224" s="20"/>
    </row>
    <row r="225" spans="1:4">
      <c r="A225" s="64"/>
      <c r="B225" s="64"/>
      <c r="C225" s="20" t="s">
        <v>71</v>
      </c>
      <c r="D225" s="20"/>
    </row>
    <row r="226" spans="1:4">
      <c r="A226" s="64"/>
      <c r="B226" s="64"/>
      <c r="C226" s="20" t="s">
        <v>259</v>
      </c>
      <c r="D226" s="20"/>
    </row>
    <row r="227" spans="1:4">
      <c r="A227" s="64"/>
      <c r="B227" s="64"/>
      <c r="C227" s="20" t="s">
        <v>75</v>
      </c>
      <c r="D227" s="20"/>
    </row>
    <row r="228" spans="1:4">
      <c r="A228" s="64"/>
      <c r="B228" s="64"/>
      <c r="C228" s="20" t="s">
        <v>263</v>
      </c>
      <c r="D228" s="20"/>
    </row>
    <row r="229" spans="1:4">
      <c r="A229" s="64"/>
      <c r="B229" s="64"/>
      <c r="C229" s="20" t="s">
        <v>635</v>
      </c>
      <c r="D229" s="20"/>
    </row>
    <row r="230" spans="1:4">
      <c r="A230" s="64"/>
      <c r="B230" s="64"/>
      <c r="C230" s="20" t="s">
        <v>636</v>
      </c>
      <c r="D230" s="20"/>
    </row>
    <row r="231" spans="1:4">
      <c r="A231" s="64"/>
      <c r="B231" s="64"/>
      <c r="C231" s="20" t="s">
        <v>266</v>
      </c>
      <c r="D231" s="20"/>
    </row>
    <row r="232" spans="1:4">
      <c r="A232" s="64"/>
      <c r="B232" s="64"/>
      <c r="C232" s="20" t="s">
        <v>85</v>
      </c>
      <c r="D232" s="20"/>
    </row>
    <row r="233" spans="1:4">
      <c r="A233" s="64"/>
      <c r="B233" s="64"/>
      <c r="C233" s="20" t="s">
        <v>632</v>
      </c>
      <c r="D233" s="20"/>
    </row>
    <row r="234" spans="1:4">
      <c r="A234" s="64"/>
      <c r="B234" s="64"/>
      <c r="C234" s="20" t="s">
        <v>630</v>
      </c>
      <c r="D234" s="20"/>
    </row>
    <row r="235" spans="1:4">
      <c r="A235" s="64"/>
      <c r="B235" s="64"/>
      <c r="C235" s="20" t="s">
        <v>640</v>
      </c>
      <c r="D235" s="20"/>
    </row>
    <row r="236" spans="1:4">
      <c r="A236" s="64"/>
      <c r="B236" s="64"/>
      <c r="C236" s="20" t="s">
        <v>255</v>
      </c>
      <c r="D236" s="20"/>
    </row>
    <row r="237" spans="1:4">
      <c r="A237" s="64"/>
      <c r="B237" s="64"/>
      <c r="C237" s="20" t="s">
        <v>722</v>
      </c>
      <c r="D237" s="20"/>
    </row>
    <row r="238" spans="1:4">
      <c r="A238" s="64"/>
      <c r="B238" s="64"/>
      <c r="C238" s="20" t="s">
        <v>34</v>
      </c>
      <c r="D238" s="20"/>
    </row>
    <row r="239" spans="1:4">
      <c r="A239" s="64"/>
      <c r="B239" s="64"/>
      <c r="C239" s="20" t="s">
        <v>629</v>
      </c>
      <c r="D239" s="20"/>
    </row>
    <row r="240" spans="1:4">
      <c r="A240" s="64"/>
      <c r="B240" s="64"/>
      <c r="C240" s="20" t="s">
        <v>268</v>
      </c>
      <c r="D240" s="20"/>
    </row>
    <row r="241" spans="1:4">
      <c r="A241" s="64"/>
      <c r="B241" s="64"/>
      <c r="C241" s="20" t="s">
        <v>634</v>
      </c>
      <c r="D241" s="20"/>
    </row>
    <row r="242" spans="1:4">
      <c r="A242" s="64"/>
      <c r="B242" s="64"/>
      <c r="C242" s="20" t="s">
        <v>252</v>
      </c>
      <c r="D242" s="20"/>
    </row>
    <row r="243" spans="1:4">
      <c r="A243" s="64"/>
      <c r="B243" s="64"/>
      <c r="C243" s="20" t="s">
        <v>258</v>
      </c>
      <c r="D243" s="20"/>
    </row>
    <row r="244" spans="1:4">
      <c r="A244" s="64"/>
      <c r="B244" s="64"/>
      <c r="C244" s="20" t="s">
        <v>257</v>
      </c>
      <c r="D244" s="20"/>
    </row>
    <row r="245" spans="1:4">
      <c r="A245" s="64"/>
      <c r="B245" s="64"/>
      <c r="C245" s="20" t="s">
        <v>174</v>
      </c>
      <c r="D245" s="20"/>
    </row>
    <row r="246" spans="1:4">
      <c r="A246" s="64"/>
      <c r="B246" s="64"/>
      <c r="C246" s="20" t="s">
        <v>253</v>
      </c>
      <c r="D246" s="20"/>
    </row>
    <row r="247" spans="1:4">
      <c r="A247" s="64"/>
      <c r="B247" s="64"/>
      <c r="C247" s="20" t="s">
        <v>169</v>
      </c>
      <c r="D247" s="20"/>
    </row>
    <row r="248" spans="1:4">
      <c r="A248" s="64"/>
      <c r="B248" s="64"/>
      <c r="C248" s="20" t="s">
        <v>170</v>
      </c>
      <c r="D248" s="20"/>
    </row>
    <row r="249" spans="1:4">
      <c r="A249" s="64"/>
      <c r="B249" s="64"/>
      <c r="C249" s="20" t="s">
        <v>165</v>
      </c>
      <c r="D249" s="20"/>
    </row>
    <row r="250" spans="1:4">
      <c r="A250" s="64"/>
      <c r="B250" s="64"/>
      <c r="C250" s="20" t="s">
        <v>260</v>
      </c>
      <c r="D250" s="20"/>
    </row>
    <row r="251" spans="1:4">
      <c r="A251" s="64"/>
      <c r="B251" s="64"/>
      <c r="C251" s="20" t="s">
        <v>163</v>
      </c>
      <c r="D251" s="20"/>
    </row>
    <row r="252" spans="1:4">
      <c r="A252" s="64"/>
      <c r="B252" s="64"/>
      <c r="C252" s="20" t="s">
        <v>102</v>
      </c>
      <c r="D252" s="20"/>
    </row>
    <row r="253" spans="1:4">
      <c r="A253" s="64"/>
      <c r="B253" s="64"/>
      <c r="C253" s="20" t="s">
        <v>862</v>
      </c>
      <c r="D253" s="20"/>
    </row>
    <row r="254" spans="1:4">
      <c r="A254" s="64"/>
      <c r="B254" s="64"/>
      <c r="C254" s="20" t="s">
        <v>863</v>
      </c>
      <c r="D254" s="20"/>
    </row>
    <row r="255" spans="1:4">
      <c r="A255" s="64"/>
      <c r="B255" s="64"/>
      <c r="C255" s="20" t="s">
        <v>864</v>
      </c>
      <c r="D255" s="20"/>
    </row>
    <row r="256" spans="1:4">
      <c r="A256" s="64"/>
      <c r="B256" s="64"/>
      <c r="C256" s="20" t="s">
        <v>865</v>
      </c>
      <c r="D256" s="20"/>
    </row>
    <row r="257" spans="1:5">
      <c r="A257" s="64"/>
      <c r="B257" s="64"/>
      <c r="C257" s="20" t="s">
        <v>866</v>
      </c>
      <c r="D257" s="20"/>
    </row>
    <row r="258" spans="1:5">
      <c r="A258" s="64"/>
      <c r="B258" s="64"/>
      <c r="C258" s="20" t="s">
        <v>867</v>
      </c>
      <c r="D258" s="20"/>
    </row>
    <row r="259" spans="1:5">
      <c r="A259" s="64"/>
      <c r="B259" s="64"/>
      <c r="C259" s="20" t="s">
        <v>868</v>
      </c>
      <c r="D259" s="20"/>
    </row>
    <row r="260" spans="1:5">
      <c r="A260" s="64"/>
      <c r="B260" s="64"/>
      <c r="C260" s="20" t="s">
        <v>869</v>
      </c>
      <c r="D260" s="20"/>
    </row>
    <row r="261" spans="1:5">
      <c r="A261" s="64"/>
      <c r="B261" s="64"/>
      <c r="C261" s="20" t="s">
        <v>870</v>
      </c>
      <c r="D261" s="20"/>
    </row>
    <row r="262" spans="1:5">
      <c r="A262" s="64"/>
      <c r="B262" s="64"/>
      <c r="C262" s="20" t="s">
        <v>871</v>
      </c>
      <c r="D262" s="20"/>
    </row>
    <row r="263" spans="1:5">
      <c r="A263" s="64"/>
      <c r="B263" s="64"/>
      <c r="C263" s="20" t="s">
        <v>872</v>
      </c>
      <c r="D263" s="20"/>
    </row>
    <row r="264" spans="1:5">
      <c r="A264" s="64"/>
      <c r="B264" s="64"/>
      <c r="C264" s="20" t="s">
        <v>873</v>
      </c>
      <c r="D264" s="20"/>
    </row>
    <row r="265" spans="1:5">
      <c r="A265" s="64"/>
      <c r="B265" s="64"/>
      <c r="C265" s="20" t="s">
        <v>874</v>
      </c>
      <c r="D265" s="20"/>
    </row>
    <row r="266" spans="1:5">
      <c r="A266" s="64"/>
      <c r="B266" s="64"/>
      <c r="C266" s="20" t="s">
        <v>875</v>
      </c>
      <c r="D266" s="20"/>
    </row>
    <row r="267" spans="1:5">
      <c r="A267" s="64"/>
      <c r="B267" s="64"/>
      <c r="C267" s="20" t="s">
        <v>876</v>
      </c>
      <c r="D267" s="20"/>
    </row>
    <row r="268" spans="1:5">
      <c r="A268" s="64"/>
      <c r="B268" s="64"/>
      <c r="C268" s="20" t="s">
        <v>877</v>
      </c>
      <c r="D268" s="20"/>
    </row>
    <row r="269" spans="1:5">
      <c r="A269" s="64"/>
      <c r="B269" s="64"/>
      <c r="C269" s="20" t="s">
        <v>861</v>
      </c>
      <c r="D269" s="20"/>
    </row>
    <row r="270" spans="1:5">
      <c r="A270" s="64"/>
      <c r="B270" s="64"/>
      <c r="C270" s="20" t="s">
        <v>1128</v>
      </c>
      <c r="D270" s="20" t="s">
        <v>1127</v>
      </c>
      <c r="E270" s="13" t="s">
        <v>1182</v>
      </c>
    </row>
    <row r="271" spans="1:5">
      <c r="A271" s="64"/>
      <c r="B271" s="64"/>
      <c r="C271" s="20" t="s">
        <v>1130</v>
      </c>
      <c r="D271" s="20" t="s">
        <v>1129</v>
      </c>
      <c r="E271" s="13" t="s">
        <v>1182</v>
      </c>
    </row>
    <row r="272" spans="1:5">
      <c r="A272" s="64"/>
      <c r="B272" s="64"/>
      <c r="C272" s="20" t="s">
        <v>1132</v>
      </c>
      <c r="D272" s="20" t="s">
        <v>1131</v>
      </c>
      <c r="E272" s="13" t="s">
        <v>1182</v>
      </c>
    </row>
    <row r="273" spans="1:5">
      <c r="A273" s="64"/>
      <c r="B273" s="64"/>
      <c r="C273" s="20" t="s">
        <v>878</v>
      </c>
      <c r="D273" s="20"/>
    </row>
    <row r="274" spans="1:5">
      <c r="A274" s="64"/>
      <c r="B274" s="64"/>
      <c r="C274" s="20" t="s">
        <v>1134</v>
      </c>
      <c r="D274" s="20" t="s">
        <v>1133</v>
      </c>
      <c r="E274" s="13" t="s">
        <v>1182</v>
      </c>
    </row>
    <row r="275" spans="1:5">
      <c r="A275" s="64"/>
      <c r="B275" s="64"/>
      <c r="C275" s="20" t="s">
        <v>879</v>
      </c>
      <c r="D275" s="20"/>
    </row>
    <row r="276" spans="1:5">
      <c r="A276" s="64"/>
      <c r="B276" s="64"/>
      <c r="C276" s="20" t="s">
        <v>880</v>
      </c>
      <c r="D276" s="20"/>
    </row>
    <row r="277" spans="1:5">
      <c r="A277" s="64"/>
      <c r="B277" s="64"/>
      <c r="C277" s="20" t="s">
        <v>881</v>
      </c>
      <c r="D277" s="20"/>
    </row>
    <row r="278" spans="1:5">
      <c r="A278" s="64"/>
      <c r="B278" s="64"/>
      <c r="C278" s="20" t="s">
        <v>882</v>
      </c>
      <c r="D278" s="20"/>
    </row>
    <row r="279" spans="1:5">
      <c r="A279" s="64"/>
      <c r="B279" s="64"/>
      <c r="C279" s="20" t="s">
        <v>883</v>
      </c>
      <c r="D279" s="20"/>
    </row>
    <row r="280" spans="1:5">
      <c r="A280" s="64"/>
      <c r="B280" s="64"/>
      <c r="C280" s="20" t="s">
        <v>884</v>
      </c>
      <c r="D280" s="20"/>
    </row>
    <row r="281" spans="1:5">
      <c r="A281" s="64"/>
      <c r="B281" s="64"/>
      <c r="C281" s="20" t="s">
        <v>857</v>
      </c>
      <c r="D281" s="20"/>
    </row>
    <row r="282" spans="1:5">
      <c r="A282" s="64"/>
      <c r="B282" s="64"/>
      <c r="C282" s="20" t="s">
        <v>1136</v>
      </c>
      <c r="D282" s="20" t="s">
        <v>1135</v>
      </c>
      <c r="E282" s="13" t="s">
        <v>1182</v>
      </c>
    </row>
    <row r="283" spans="1:5">
      <c r="A283" s="64"/>
      <c r="B283" s="64"/>
      <c r="C283" s="20" t="s">
        <v>885</v>
      </c>
      <c r="D283" s="20"/>
    </row>
    <row r="284" spans="1:5">
      <c r="A284" s="64"/>
      <c r="B284" s="64"/>
      <c r="C284" s="20" t="s">
        <v>1138</v>
      </c>
      <c r="D284" s="20" t="s">
        <v>1137</v>
      </c>
      <c r="E284" s="13" t="s">
        <v>1182</v>
      </c>
    </row>
    <row r="285" spans="1:5">
      <c r="A285" s="64"/>
      <c r="B285" s="64"/>
      <c r="C285" s="20" t="s">
        <v>886</v>
      </c>
      <c r="D285" s="20"/>
    </row>
    <row r="286" spans="1:5">
      <c r="A286" s="64"/>
      <c r="B286" s="64"/>
      <c r="C286" s="20" t="s">
        <v>887</v>
      </c>
      <c r="D286" s="20"/>
    </row>
    <row r="287" spans="1:5">
      <c r="A287" s="64"/>
      <c r="B287" s="64"/>
      <c r="C287" s="20" t="s">
        <v>888</v>
      </c>
      <c r="D287" s="20"/>
    </row>
    <row r="288" spans="1:5">
      <c r="A288" s="64"/>
      <c r="B288" s="64"/>
      <c r="C288" s="20" t="s">
        <v>889</v>
      </c>
      <c r="D288" s="20"/>
    </row>
    <row r="289" spans="1:5">
      <c r="A289" s="64"/>
      <c r="B289" s="64"/>
      <c r="C289" s="20" t="s">
        <v>1140</v>
      </c>
      <c r="D289" s="20" t="s">
        <v>1139</v>
      </c>
      <c r="E289" s="13" t="s">
        <v>1182</v>
      </c>
    </row>
    <row r="290" spans="1:5">
      <c r="A290" s="64"/>
      <c r="B290" s="64"/>
      <c r="C290" s="20" t="s">
        <v>890</v>
      </c>
      <c r="D290" s="20"/>
    </row>
    <row r="291" spans="1:5">
      <c r="A291" s="64"/>
      <c r="B291" s="64"/>
      <c r="C291" s="20" t="s">
        <v>891</v>
      </c>
      <c r="D291" s="20"/>
    </row>
    <row r="292" spans="1:5">
      <c r="A292" s="64"/>
      <c r="B292" s="64"/>
      <c r="C292" s="20" t="s">
        <v>892</v>
      </c>
      <c r="D292" s="20"/>
    </row>
    <row r="293" spans="1:5">
      <c r="A293" s="64"/>
      <c r="B293" s="64"/>
      <c r="C293" s="20" t="s">
        <v>893</v>
      </c>
      <c r="D293" s="20"/>
    </row>
    <row r="294" spans="1:5">
      <c r="A294" s="64"/>
      <c r="B294" s="64"/>
      <c r="C294" s="20" t="s">
        <v>894</v>
      </c>
      <c r="D294" s="20"/>
    </row>
    <row r="295" spans="1:5">
      <c r="A295" s="64"/>
      <c r="B295" s="64"/>
      <c r="C295" s="20" t="s">
        <v>895</v>
      </c>
      <c r="D295" s="20"/>
    </row>
    <row r="296" spans="1:5">
      <c r="A296" s="64"/>
      <c r="B296" s="64"/>
      <c r="C296" s="20" t="s">
        <v>195</v>
      </c>
      <c r="D296" s="20"/>
    </row>
    <row r="297" spans="1:5">
      <c r="A297" s="64"/>
      <c r="B297" s="64"/>
      <c r="C297" s="20" t="s">
        <v>1141</v>
      </c>
      <c r="D297" s="20" t="s">
        <v>1142</v>
      </c>
      <c r="E297" s="13" t="s">
        <v>1182</v>
      </c>
    </row>
    <row r="298" spans="1:5">
      <c r="A298" s="64"/>
      <c r="B298" s="64"/>
      <c r="C298" s="20" t="s">
        <v>896</v>
      </c>
      <c r="D298" s="20"/>
    </row>
    <row r="299" spans="1:5">
      <c r="A299" s="64"/>
      <c r="B299" s="64"/>
      <c r="C299" s="20" t="s">
        <v>897</v>
      </c>
      <c r="D299" s="20"/>
    </row>
    <row r="300" spans="1:5">
      <c r="A300" s="64"/>
      <c r="B300" s="64"/>
      <c r="C300" s="20" t="s">
        <v>1143</v>
      </c>
      <c r="D300" s="20"/>
      <c r="E300" s="13" t="s">
        <v>1182</v>
      </c>
    </row>
    <row r="301" spans="1:5">
      <c r="A301" s="64"/>
      <c r="B301" s="64"/>
      <c r="C301" s="20" t="s">
        <v>249</v>
      </c>
      <c r="D301" s="20"/>
    </row>
    <row r="302" spans="1:5">
      <c r="A302" s="64"/>
      <c r="B302" s="64"/>
      <c r="C302" s="20" t="s">
        <v>898</v>
      </c>
      <c r="D302" s="20"/>
    </row>
    <row r="303" spans="1:5">
      <c r="A303" s="64"/>
      <c r="B303" s="64"/>
      <c r="C303" s="20" t="s">
        <v>899</v>
      </c>
      <c r="D303" s="20"/>
    </row>
    <row r="304" spans="1:5">
      <c r="A304" s="64"/>
      <c r="B304" s="64"/>
      <c r="C304" s="20" t="s">
        <v>900</v>
      </c>
      <c r="D304" s="20"/>
    </row>
    <row r="305" spans="1:5">
      <c r="A305" s="64"/>
      <c r="B305" s="64"/>
      <c r="C305" s="20" t="s">
        <v>901</v>
      </c>
      <c r="D305" s="20"/>
    </row>
    <row r="306" spans="1:5">
      <c r="A306" s="64"/>
      <c r="B306" s="64"/>
      <c r="C306" s="20" t="s">
        <v>902</v>
      </c>
      <c r="D306" s="20"/>
    </row>
    <row r="307" spans="1:5">
      <c r="A307" s="64"/>
      <c r="B307" s="64"/>
      <c r="C307" s="20" t="s">
        <v>202</v>
      </c>
      <c r="D307" s="20"/>
    </row>
    <row r="308" spans="1:5">
      <c r="A308" s="64"/>
      <c r="B308" s="64"/>
      <c r="C308" s="20" t="s">
        <v>903</v>
      </c>
      <c r="D308" s="20"/>
    </row>
    <row r="309" spans="1:5">
      <c r="A309" s="64"/>
      <c r="B309" s="64"/>
      <c r="C309" s="20" t="s">
        <v>904</v>
      </c>
      <c r="D309" s="20"/>
    </row>
    <row r="310" spans="1:5">
      <c r="A310" s="64"/>
      <c r="B310" s="64"/>
      <c r="C310" s="20" t="s">
        <v>951</v>
      </c>
      <c r="D310" s="20"/>
      <c r="E310" s="13" t="s">
        <v>1182</v>
      </c>
    </row>
    <row r="311" spans="1:5">
      <c r="A311" s="64"/>
      <c r="B311" s="64"/>
      <c r="C311" s="20" t="s">
        <v>952</v>
      </c>
      <c r="D311" s="20"/>
      <c r="E311" s="13" t="s">
        <v>1182</v>
      </c>
    </row>
    <row r="312" spans="1:5">
      <c r="A312" s="64"/>
      <c r="B312" s="64"/>
      <c r="C312" s="20" t="s">
        <v>953</v>
      </c>
      <c r="D312" s="20"/>
      <c r="E312" s="13" t="s">
        <v>1182</v>
      </c>
    </row>
    <row r="313" spans="1:5">
      <c r="A313" s="64"/>
      <c r="B313" s="64"/>
      <c r="C313" s="20" t="s">
        <v>905</v>
      </c>
      <c r="D313" s="20"/>
    </row>
    <row r="314" spans="1:5">
      <c r="A314" s="64"/>
      <c r="B314" s="64"/>
      <c r="C314" s="20" t="s">
        <v>906</v>
      </c>
      <c r="D314" s="20"/>
    </row>
    <row r="315" spans="1:5">
      <c r="A315" s="64"/>
      <c r="B315" s="64"/>
      <c r="C315" s="20" t="s">
        <v>907</v>
      </c>
      <c r="D315" s="20"/>
    </row>
    <row r="316" spans="1:5">
      <c r="A316" s="64"/>
      <c r="B316" s="64"/>
      <c r="C316" s="20" t="s">
        <v>908</v>
      </c>
      <c r="D316" s="20"/>
    </row>
    <row r="317" spans="1:5">
      <c r="A317" s="64"/>
      <c r="B317" s="64"/>
      <c r="C317" s="20" t="s">
        <v>909</v>
      </c>
      <c r="D317" s="20"/>
    </row>
    <row r="318" spans="1:5">
      <c r="A318" s="64"/>
      <c r="B318" s="64"/>
      <c r="C318" s="20" t="s">
        <v>950</v>
      </c>
      <c r="D318" s="131" t="s">
        <v>910</v>
      </c>
      <c r="E318" s="13" t="s">
        <v>1182</v>
      </c>
    </row>
    <row r="319" spans="1:5">
      <c r="A319" s="64"/>
      <c r="B319" s="64"/>
      <c r="C319" s="20" t="s">
        <v>911</v>
      </c>
      <c r="D319" s="20"/>
    </row>
    <row r="320" spans="1:5">
      <c r="A320" s="64"/>
      <c r="B320" s="64"/>
      <c r="C320" s="20" t="s">
        <v>912</v>
      </c>
      <c r="D320" s="20"/>
    </row>
    <row r="321" spans="1:5">
      <c r="A321" s="64"/>
      <c r="B321" s="64"/>
      <c r="C321" s="20" t="s">
        <v>858</v>
      </c>
      <c r="D321" s="20"/>
    </row>
    <row r="322" spans="1:5">
      <c r="A322" s="64"/>
      <c r="B322" s="64"/>
      <c r="C322" s="20" t="s">
        <v>859</v>
      </c>
      <c r="D322" s="20"/>
    </row>
    <row r="323" spans="1:5">
      <c r="A323" s="64"/>
      <c r="B323" s="64"/>
      <c r="C323" s="20" t="s">
        <v>913</v>
      </c>
      <c r="D323" s="20"/>
    </row>
    <row r="324" spans="1:5">
      <c r="A324" s="64"/>
      <c r="B324" s="64"/>
      <c r="C324" s="20" t="s">
        <v>860</v>
      </c>
      <c r="D324" s="20"/>
    </row>
    <row r="325" spans="1:5">
      <c r="A325" s="64"/>
      <c r="B325" s="64"/>
      <c r="C325" s="20" t="s">
        <v>914</v>
      </c>
      <c r="D325" s="20"/>
    </row>
    <row r="326" spans="1:5">
      <c r="A326" s="64"/>
      <c r="B326" s="64"/>
      <c r="C326" s="20" t="s">
        <v>915</v>
      </c>
      <c r="D326" s="20"/>
    </row>
    <row r="327" spans="1:5">
      <c r="A327" s="64"/>
      <c r="B327" s="64"/>
      <c r="C327" s="20" t="s">
        <v>130</v>
      </c>
      <c r="D327" s="20"/>
    </row>
    <row r="328" spans="1:5">
      <c r="A328" s="81"/>
      <c r="B328" s="71" t="s">
        <v>300</v>
      </c>
      <c r="C328" s="57" t="s">
        <v>962</v>
      </c>
      <c r="D328" s="57"/>
      <c r="E328" s="13" t="s">
        <v>1182</v>
      </c>
    </row>
    <row r="329" spans="1:5">
      <c r="A329" s="82"/>
      <c r="B329" s="72"/>
      <c r="C329" s="57" t="s">
        <v>1052</v>
      </c>
      <c r="D329" s="57"/>
      <c r="E329" s="13" t="s">
        <v>1182</v>
      </c>
    </row>
    <row r="330" spans="1:5">
      <c r="A330" s="82"/>
      <c r="B330" s="72"/>
      <c r="C330" s="133" t="s">
        <v>1053</v>
      </c>
      <c r="D330" s="57"/>
      <c r="E330" s="13" t="s">
        <v>1182</v>
      </c>
    </row>
    <row r="331" spans="1:5">
      <c r="A331" s="82"/>
      <c r="B331" s="72"/>
      <c r="C331" s="132" t="s">
        <v>963</v>
      </c>
      <c r="D331" s="57"/>
      <c r="E331" s="13" t="s">
        <v>1182</v>
      </c>
    </row>
    <row r="332" spans="1:5">
      <c r="A332" s="82"/>
      <c r="B332" s="72"/>
      <c r="C332" s="132" t="s">
        <v>1044</v>
      </c>
      <c r="D332" s="57"/>
      <c r="E332" s="13" t="s">
        <v>1182</v>
      </c>
    </row>
    <row r="333" spans="1:5">
      <c r="A333" s="82"/>
      <c r="B333" s="72"/>
      <c r="C333" s="132" t="s">
        <v>964</v>
      </c>
      <c r="D333" s="57"/>
      <c r="E333" s="13" t="s">
        <v>1182</v>
      </c>
    </row>
    <row r="334" spans="1:5">
      <c r="A334" s="82"/>
      <c r="B334" s="72"/>
      <c r="C334" s="132" t="s">
        <v>965</v>
      </c>
      <c r="D334" s="57"/>
      <c r="E334" s="13" t="s">
        <v>1182</v>
      </c>
    </row>
    <row r="335" spans="1:5">
      <c r="A335" s="82"/>
      <c r="B335" s="72"/>
      <c r="C335" s="57" t="s">
        <v>1045</v>
      </c>
      <c r="D335" s="57"/>
      <c r="E335" s="13" t="s">
        <v>1182</v>
      </c>
    </row>
    <row r="336" spans="1:5">
      <c r="A336" s="82"/>
      <c r="B336" s="72"/>
      <c r="C336" s="57" t="s">
        <v>1046</v>
      </c>
      <c r="D336" s="57"/>
      <c r="E336" s="13" t="s">
        <v>1182</v>
      </c>
    </row>
    <row r="337" spans="1:5">
      <c r="A337" s="82"/>
      <c r="B337" s="72"/>
      <c r="C337" s="57" t="s">
        <v>1047</v>
      </c>
      <c r="D337" s="57"/>
      <c r="E337" s="13" t="s">
        <v>1182</v>
      </c>
    </row>
    <row r="338" spans="1:5">
      <c r="A338" s="82"/>
      <c r="B338" s="72"/>
      <c r="C338" s="57" t="s">
        <v>1048</v>
      </c>
      <c r="D338" s="57"/>
      <c r="E338" s="13" t="s">
        <v>1182</v>
      </c>
    </row>
    <row r="339" spans="1:5">
      <c r="A339" s="82"/>
      <c r="B339" s="72"/>
      <c r="C339" s="57" t="s">
        <v>1049</v>
      </c>
      <c r="D339" s="57"/>
      <c r="E339" s="13" t="s">
        <v>1182</v>
      </c>
    </row>
    <row r="340" spans="1:5">
      <c r="A340" s="82"/>
      <c r="B340" s="72"/>
      <c r="C340" s="57" t="s">
        <v>1050</v>
      </c>
      <c r="D340" s="57"/>
      <c r="E340" s="13" t="s">
        <v>1182</v>
      </c>
    </row>
    <row r="341" spans="1:5">
      <c r="A341" s="82"/>
      <c r="B341" s="72"/>
      <c r="C341" s="57" t="s">
        <v>1051</v>
      </c>
      <c r="D341" s="57"/>
      <c r="E341" s="13" t="s">
        <v>1182</v>
      </c>
    </row>
    <row r="342" spans="1:5">
      <c r="A342" s="82"/>
      <c r="B342" s="72"/>
      <c r="C342" s="57" t="s">
        <v>1054</v>
      </c>
      <c r="D342" s="57"/>
      <c r="E342" s="13" t="s">
        <v>1182</v>
      </c>
    </row>
    <row r="343" spans="1:5">
      <c r="A343" s="82"/>
      <c r="B343" s="72"/>
      <c r="C343" s="57" t="s">
        <v>1055</v>
      </c>
      <c r="D343" s="57"/>
      <c r="E343" s="13" t="s">
        <v>1182</v>
      </c>
    </row>
    <row r="344" spans="1:5">
      <c r="A344" s="82"/>
      <c r="B344" s="72"/>
      <c r="C344" s="57" t="s">
        <v>1056</v>
      </c>
      <c r="D344" s="57"/>
      <c r="E344" s="13" t="s">
        <v>1182</v>
      </c>
    </row>
    <row r="345" spans="1:5">
      <c r="A345" s="82"/>
      <c r="B345" s="72"/>
      <c r="C345" s="57" t="s">
        <v>1057</v>
      </c>
      <c r="D345" s="57"/>
      <c r="E345" s="13" t="s">
        <v>1182</v>
      </c>
    </row>
    <row r="346" spans="1:5">
      <c r="A346" s="82"/>
      <c r="B346" s="72"/>
      <c r="C346" s="57" t="s">
        <v>1058</v>
      </c>
      <c r="D346" s="57"/>
      <c r="E346" s="13" t="s">
        <v>1182</v>
      </c>
    </row>
    <row r="347" spans="1:5">
      <c r="A347" s="82"/>
      <c r="B347" s="72"/>
      <c r="C347" s="57" t="s">
        <v>1059</v>
      </c>
      <c r="D347" s="57"/>
      <c r="E347" s="13" t="s">
        <v>1182</v>
      </c>
    </row>
    <row r="348" spans="1:5">
      <c r="A348" s="82"/>
      <c r="B348" s="72"/>
      <c r="C348" s="57" t="s">
        <v>1060</v>
      </c>
      <c r="D348" s="57"/>
      <c r="E348" s="13" t="s">
        <v>1182</v>
      </c>
    </row>
    <row r="349" spans="1:5">
      <c r="A349" s="82"/>
      <c r="B349" s="72"/>
      <c r="C349" s="57" t="s">
        <v>1061</v>
      </c>
      <c r="D349" s="57"/>
      <c r="E349" s="13" t="s">
        <v>1182</v>
      </c>
    </row>
    <row r="350" spans="1:5">
      <c r="A350" s="82"/>
      <c r="B350" s="72"/>
      <c r="C350" s="57" t="s">
        <v>1062</v>
      </c>
      <c r="D350" s="57"/>
      <c r="E350" s="13" t="s">
        <v>1182</v>
      </c>
    </row>
    <row r="351" spans="1:5">
      <c r="A351" s="82"/>
      <c r="B351" s="72"/>
      <c r="C351" s="57" t="s">
        <v>1063</v>
      </c>
      <c r="D351" s="57"/>
      <c r="E351" s="13" t="s">
        <v>1182</v>
      </c>
    </row>
    <row r="352" spans="1:5">
      <c r="A352" s="82"/>
      <c r="B352" s="72"/>
      <c r="C352" s="57" t="s">
        <v>1064</v>
      </c>
      <c r="D352" s="57"/>
      <c r="E352" s="13" t="s">
        <v>1182</v>
      </c>
    </row>
    <row r="353" spans="1:5">
      <c r="A353" s="82"/>
      <c r="B353" s="72"/>
      <c r="C353" s="57" t="s">
        <v>1065</v>
      </c>
      <c r="D353" s="57"/>
      <c r="E353" s="13" t="s">
        <v>1182</v>
      </c>
    </row>
    <row r="354" spans="1:5">
      <c r="A354" s="82"/>
      <c r="B354" s="72"/>
      <c r="C354" s="57" t="s">
        <v>1066</v>
      </c>
      <c r="D354" s="57"/>
      <c r="E354" s="13" t="s">
        <v>1182</v>
      </c>
    </row>
    <row r="355" spans="1:5">
      <c r="A355" s="82"/>
      <c r="B355" s="72"/>
      <c r="C355" s="57" t="s">
        <v>1067</v>
      </c>
      <c r="D355" s="57"/>
      <c r="E355" s="13" t="s">
        <v>1182</v>
      </c>
    </row>
    <row r="356" spans="1:5">
      <c r="A356" s="82"/>
      <c r="B356" s="72"/>
      <c r="C356" s="57" t="s">
        <v>1068</v>
      </c>
      <c r="D356" s="57"/>
      <c r="E356" s="13" t="s">
        <v>1182</v>
      </c>
    </row>
    <row r="357" spans="1:5">
      <c r="A357" s="82"/>
      <c r="B357" s="72"/>
      <c r="C357" s="57" t="s">
        <v>1069</v>
      </c>
      <c r="D357" s="57"/>
      <c r="E357" s="13" t="s">
        <v>1182</v>
      </c>
    </row>
    <row r="358" spans="1:5">
      <c r="A358" s="82"/>
      <c r="B358" s="72"/>
      <c r="C358" s="57" t="s">
        <v>1070</v>
      </c>
      <c r="D358" s="57"/>
      <c r="E358" s="13" t="s">
        <v>1182</v>
      </c>
    </row>
    <row r="359" spans="1:5">
      <c r="A359" s="82"/>
      <c r="B359" s="72"/>
      <c r="C359" s="57" t="s">
        <v>1071</v>
      </c>
      <c r="D359" s="57"/>
      <c r="E359" s="13" t="s">
        <v>1182</v>
      </c>
    </row>
    <row r="360" spans="1:5">
      <c r="A360" s="82"/>
      <c r="B360" s="72"/>
      <c r="C360" s="57" t="s">
        <v>1072</v>
      </c>
      <c r="D360" s="57"/>
      <c r="E360" s="13" t="s">
        <v>1182</v>
      </c>
    </row>
    <row r="361" spans="1:5">
      <c r="A361" s="82"/>
      <c r="B361" s="72"/>
      <c r="C361" s="57" t="s">
        <v>1073</v>
      </c>
      <c r="D361" s="57"/>
      <c r="E361" s="13" t="s">
        <v>1182</v>
      </c>
    </row>
    <row r="362" spans="1:5">
      <c r="A362" s="82"/>
      <c r="B362" s="72"/>
      <c r="C362" s="57" t="s">
        <v>1074</v>
      </c>
      <c r="D362" s="57"/>
      <c r="E362" s="13" t="s">
        <v>1182</v>
      </c>
    </row>
    <row r="363" spans="1:5">
      <c r="A363" s="82"/>
      <c r="B363" s="72"/>
      <c r="C363" s="57" t="s">
        <v>1075</v>
      </c>
      <c r="D363" s="57"/>
      <c r="E363" s="13" t="s">
        <v>1182</v>
      </c>
    </row>
    <row r="364" spans="1:5">
      <c r="A364" s="82"/>
      <c r="B364" s="72"/>
      <c r="C364" s="57" t="s">
        <v>1076</v>
      </c>
      <c r="D364" s="57"/>
      <c r="E364" s="13" t="s">
        <v>1182</v>
      </c>
    </row>
    <row r="365" spans="1:5">
      <c r="A365" s="82"/>
      <c r="B365" s="72"/>
      <c r="C365" s="57" t="s">
        <v>1077</v>
      </c>
      <c r="D365" s="57"/>
      <c r="E365" s="13" t="s">
        <v>1182</v>
      </c>
    </row>
    <row r="366" spans="1:5">
      <c r="A366" s="82"/>
      <c r="B366" s="72"/>
      <c r="C366" s="57" t="s">
        <v>1078</v>
      </c>
      <c r="D366" s="57"/>
      <c r="E366" s="13" t="s">
        <v>1182</v>
      </c>
    </row>
    <row r="367" spans="1:5">
      <c r="A367" s="82"/>
      <c r="B367" s="72"/>
      <c r="C367" s="57" t="s">
        <v>1079</v>
      </c>
      <c r="D367" s="57"/>
      <c r="E367" s="13" t="s">
        <v>1182</v>
      </c>
    </row>
    <row r="368" spans="1:5">
      <c r="A368" s="82"/>
      <c r="B368" s="72"/>
      <c r="C368" s="57" t="s">
        <v>1080</v>
      </c>
      <c r="D368" s="57"/>
      <c r="E368" s="13" t="s">
        <v>1182</v>
      </c>
    </row>
    <row r="369" spans="1:5">
      <c r="A369" s="82"/>
      <c r="B369" s="72"/>
      <c r="C369" s="57" t="s">
        <v>1081</v>
      </c>
      <c r="D369" s="57"/>
      <c r="E369" s="13" t="s">
        <v>1182</v>
      </c>
    </row>
    <row r="370" spans="1:5">
      <c r="A370" s="82"/>
      <c r="B370" s="72"/>
      <c r="C370" s="57" t="s">
        <v>1082</v>
      </c>
      <c r="D370" s="57"/>
      <c r="E370" s="13" t="s">
        <v>1182</v>
      </c>
    </row>
    <row r="371" spans="1:5">
      <c r="A371" s="82"/>
      <c r="B371" s="72"/>
      <c r="C371" s="57" t="s">
        <v>966</v>
      </c>
      <c r="D371" s="57"/>
      <c r="E371" s="13" t="s">
        <v>1182</v>
      </c>
    </row>
    <row r="372" spans="1:5">
      <c r="A372" s="82"/>
      <c r="B372" s="72"/>
      <c r="C372" s="57" t="s">
        <v>967</v>
      </c>
      <c r="D372" s="57"/>
      <c r="E372" s="13" t="s">
        <v>1182</v>
      </c>
    </row>
    <row r="373" spans="1:5">
      <c r="A373" s="82"/>
      <c r="B373" s="72"/>
      <c r="C373" s="57" t="s">
        <v>968</v>
      </c>
      <c r="D373" s="57"/>
      <c r="E373" s="13" t="s">
        <v>1182</v>
      </c>
    </row>
    <row r="374" spans="1:5">
      <c r="A374" s="82"/>
      <c r="B374" s="72"/>
      <c r="C374" s="57" t="s">
        <v>969</v>
      </c>
      <c r="D374" s="57"/>
      <c r="E374" s="13" t="s">
        <v>1182</v>
      </c>
    </row>
    <row r="375" spans="1:5">
      <c r="A375" s="82"/>
      <c r="B375" s="72"/>
      <c r="C375" s="57" t="s">
        <v>970</v>
      </c>
      <c r="D375" s="57"/>
      <c r="E375" s="13" t="s">
        <v>1182</v>
      </c>
    </row>
    <row r="376" spans="1:5">
      <c r="A376" s="82"/>
      <c r="B376" s="72"/>
      <c r="C376" s="57" t="s">
        <v>971</v>
      </c>
      <c r="D376" s="57"/>
      <c r="E376" s="13" t="s">
        <v>1182</v>
      </c>
    </row>
    <row r="377" spans="1:5">
      <c r="A377" s="82"/>
      <c r="B377" s="72"/>
      <c r="C377" s="57" t="s">
        <v>972</v>
      </c>
      <c r="D377" s="57"/>
      <c r="E377" s="13" t="s">
        <v>1182</v>
      </c>
    </row>
    <row r="378" spans="1:5">
      <c r="A378" s="82"/>
      <c r="B378" s="72"/>
      <c r="C378" s="57" t="s">
        <v>973</v>
      </c>
      <c r="D378" s="57"/>
      <c r="E378" s="13" t="s">
        <v>1182</v>
      </c>
    </row>
    <row r="379" spans="1:5">
      <c r="A379" s="82"/>
      <c r="B379" s="72"/>
      <c r="C379" s="57" t="s">
        <v>974</v>
      </c>
      <c r="D379" s="57"/>
      <c r="E379" s="13" t="s">
        <v>1182</v>
      </c>
    </row>
    <row r="380" spans="1:5">
      <c r="A380" s="82"/>
      <c r="B380" s="72"/>
      <c r="C380" s="57" t="s">
        <v>975</v>
      </c>
      <c r="D380" s="57"/>
      <c r="E380" s="13" t="s">
        <v>1182</v>
      </c>
    </row>
    <row r="381" spans="1:5">
      <c r="A381" s="82"/>
      <c r="B381" s="72"/>
      <c r="C381" s="57" t="s">
        <v>976</v>
      </c>
      <c r="D381" s="57"/>
      <c r="E381" s="13" t="s">
        <v>1182</v>
      </c>
    </row>
    <row r="382" spans="1:5">
      <c r="A382" s="82"/>
      <c r="B382" s="72"/>
      <c r="C382" s="57" t="s">
        <v>977</v>
      </c>
      <c r="D382" s="57"/>
      <c r="E382" s="13" t="s">
        <v>1182</v>
      </c>
    </row>
    <row r="383" spans="1:5">
      <c r="A383" s="82"/>
      <c r="B383" s="72"/>
      <c r="C383" s="57" t="s">
        <v>978</v>
      </c>
      <c r="D383" s="57"/>
      <c r="E383" s="13" t="s">
        <v>1182</v>
      </c>
    </row>
    <row r="384" spans="1:5">
      <c r="A384" s="82"/>
      <c r="B384" s="72"/>
      <c r="C384" s="57" t="s">
        <v>979</v>
      </c>
      <c r="D384" s="57"/>
      <c r="E384" s="13" t="s">
        <v>1182</v>
      </c>
    </row>
    <row r="385" spans="1:5">
      <c r="A385" s="82"/>
      <c r="B385" s="72"/>
      <c r="C385" s="57" t="s">
        <v>980</v>
      </c>
      <c r="D385" s="57"/>
      <c r="E385" s="13" t="s">
        <v>1182</v>
      </c>
    </row>
    <row r="386" spans="1:5">
      <c r="A386" s="82"/>
      <c r="B386" s="72"/>
      <c r="C386" s="57" t="s">
        <v>981</v>
      </c>
      <c r="D386" s="57"/>
      <c r="E386" s="13" t="s">
        <v>1182</v>
      </c>
    </row>
    <row r="387" spans="1:5">
      <c r="A387" s="82"/>
      <c r="B387" s="72"/>
      <c r="C387" s="57" t="s">
        <v>982</v>
      </c>
      <c r="D387" s="57"/>
      <c r="E387" s="13" t="s">
        <v>1182</v>
      </c>
    </row>
    <row r="388" spans="1:5">
      <c r="A388" s="82"/>
      <c r="B388" s="72"/>
      <c r="C388" s="57" t="s">
        <v>983</v>
      </c>
      <c r="D388" s="57"/>
      <c r="E388" s="13" t="s">
        <v>1182</v>
      </c>
    </row>
    <row r="389" spans="1:5">
      <c r="A389" s="82"/>
      <c r="B389" s="72"/>
      <c r="C389" s="57" t="s">
        <v>984</v>
      </c>
      <c r="D389" s="57"/>
      <c r="E389" s="13" t="s">
        <v>1182</v>
      </c>
    </row>
    <row r="390" spans="1:5">
      <c r="A390" s="82"/>
      <c r="B390" s="72"/>
      <c r="C390" s="57" t="s">
        <v>985</v>
      </c>
      <c r="D390" s="57"/>
      <c r="E390" s="13" t="s">
        <v>1182</v>
      </c>
    </row>
    <row r="391" spans="1:5">
      <c r="A391" s="82"/>
      <c r="B391" s="72"/>
      <c r="C391" s="57" t="s">
        <v>986</v>
      </c>
      <c r="D391" s="57"/>
      <c r="E391" s="13" t="s">
        <v>1182</v>
      </c>
    </row>
    <row r="392" spans="1:5">
      <c r="A392" s="82"/>
      <c r="B392" s="72"/>
      <c r="C392" s="57" t="s">
        <v>987</v>
      </c>
      <c r="D392" s="57"/>
      <c r="E392" s="13" t="s">
        <v>1182</v>
      </c>
    </row>
    <row r="393" spans="1:5">
      <c r="A393" s="82"/>
      <c r="B393" s="72"/>
      <c r="C393" s="57" t="s">
        <v>988</v>
      </c>
      <c r="D393" s="57"/>
      <c r="E393" s="13" t="s">
        <v>1182</v>
      </c>
    </row>
    <row r="394" spans="1:5">
      <c r="A394" s="82"/>
      <c r="B394" s="72"/>
      <c r="C394" s="57" t="s">
        <v>989</v>
      </c>
      <c r="D394" s="57"/>
      <c r="E394" s="13" t="s">
        <v>1182</v>
      </c>
    </row>
    <row r="395" spans="1:5">
      <c r="A395" s="82"/>
      <c r="B395" s="72"/>
      <c r="C395" s="57" t="s">
        <v>990</v>
      </c>
      <c r="D395" s="57"/>
      <c r="E395" s="13" t="s">
        <v>1182</v>
      </c>
    </row>
    <row r="396" spans="1:5">
      <c r="A396" s="82"/>
      <c r="B396" s="72"/>
      <c r="C396" s="57" t="s">
        <v>991</v>
      </c>
      <c r="D396" s="57"/>
      <c r="E396" s="13" t="s">
        <v>1182</v>
      </c>
    </row>
    <row r="397" spans="1:5">
      <c r="A397" s="82"/>
      <c r="B397" s="72"/>
      <c r="C397" s="57" t="s">
        <v>992</v>
      </c>
      <c r="D397" s="57"/>
      <c r="E397" s="13" t="s">
        <v>1182</v>
      </c>
    </row>
    <row r="398" spans="1:5">
      <c r="A398" s="82"/>
      <c r="B398" s="72"/>
      <c r="C398" s="57" t="s">
        <v>993</v>
      </c>
      <c r="D398" s="57"/>
      <c r="E398" s="13" t="s">
        <v>1182</v>
      </c>
    </row>
    <row r="399" spans="1:5">
      <c r="A399" s="82"/>
      <c r="B399" s="72"/>
      <c r="C399" s="57" t="s">
        <v>994</v>
      </c>
      <c r="D399" s="57"/>
      <c r="E399" s="13" t="s">
        <v>1182</v>
      </c>
    </row>
    <row r="400" spans="1:5">
      <c r="A400" s="82"/>
      <c r="B400" s="72"/>
      <c r="C400" s="57" t="s">
        <v>995</v>
      </c>
      <c r="D400" s="57"/>
      <c r="E400" s="13" t="s">
        <v>1182</v>
      </c>
    </row>
    <row r="401" spans="1:5">
      <c r="A401" s="82"/>
      <c r="B401" s="72"/>
      <c r="C401" s="57" t="s">
        <v>996</v>
      </c>
      <c r="D401" s="57"/>
      <c r="E401" s="13" t="s">
        <v>1182</v>
      </c>
    </row>
    <row r="402" spans="1:5">
      <c r="A402" s="82"/>
      <c r="B402" s="72"/>
      <c r="C402" s="57" t="s">
        <v>997</v>
      </c>
      <c r="D402" s="57"/>
      <c r="E402" s="13" t="s">
        <v>1182</v>
      </c>
    </row>
    <row r="403" spans="1:5">
      <c r="A403" s="82"/>
      <c r="B403" s="72"/>
      <c r="C403" s="57" t="s">
        <v>998</v>
      </c>
      <c r="D403" s="57"/>
      <c r="E403" s="13" t="s">
        <v>1182</v>
      </c>
    </row>
    <row r="404" spans="1:5">
      <c r="A404" s="82"/>
      <c r="B404" s="72"/>
      <c r="C404" s="57" t="s">
        <v>999</v>
      </c>
      <c r="D404" s="57"/>
      <c r="E404" s="13" t="s">
        <v>1182</v>
      </c>
    </row>
    <row r="405" spans="1:5">
      <c r="A405" s="82"/>
      <c r="B405" s="72"/>
      <c r="C405" s="57" t="s">
        <v>1000</v>
      </c>
      <c r="D405" s="57"/>
      <c r="E405" s="13" t="s">
        <v>1182</v>
      </c>
    </row>
    <row r="406" spans="1:5">
      <c r="A406" s="82"/>
      <c r="B406" s="72"/>
      <c r="C406" s="57" t="s">
        <v>1001</v>
      </c>
      <c r="D406" s="57"/>
      <c r="E406" s="13" t="s">
        <v>1182</v>
      </c>
    </row>
    <row r="407" spans="1:5">
      <c r="A407" s="82"/>
      <c r="B407" s="72"/>
      <c r="C407" s="57" t="s">
        <v>1002</v>
      </c>
      <c r="D407" s="57"/>
      <c r="E407" s="13" t="s">
        <v>1182</v>
      </c>
    </row>
    <row r="408" spans="1:5">
      <c r="A408" s="82"/>
      <c r="B408" s="72"/>
      <c r="C408" s="57" t="s">
        <v>1003</v>
      </c>
      <c r="D408" s="57"/>
      <c r="E408" s="13" t="s">
        <v>1182</v>
      </c>
    </row>
    <row r="409" spans="1:5">
      <c r="A409" s="82"/>
      <c r="B409" s="72"/>
      <c r="C409" s="57" t="s">
        <v>1004</v>
      </c>
      <c r="D409" s="57"/>
      <c r="E409" s="13" t="s">
        <v>1182</v>
      </c>
    </row>
    <row r="410" spans="1:5">
      <c r="A410" s="82"/>
      <c r="B410" s="72"/>
      <c r="C410" s="57" t="s">
        <v>1005</v>
      </c>
      <c r="D410" s="57"/>
      <c r="E410" s="13" t="s">
        <v>1182</v>
      </c>
    </row>
    <row r="411" spans="1:5">
      <c r="A411" s="82"/>
      <c r="B411" s="72"/>
      <c r="C411" s="57" t="s">
        <v>1006</v>
      </c>
      <c r="D411" s="57"/>
      <c r="E411" s="13" t="s">
        <v>1182</v>
      </c>
    </row>
    <row r="412" spans="1:5">
      <c r="A412" s="82"/>
      <c r="B412" s="72"/>
      <c r="C412" s="57" t="s">
        <v>1007</v>
      </c>
      <c r="D412" s="57"/>
      <c r="E412" s="13" t="s">
        <v>1182</v>
      </c>
    </row>
    <row r="413" spans="1:5">
      <c r="A413" s="82"/>
      <c r="B413" s="72"/>
      <c r="C413" s="57" t="s">
        <v>1008</v>
      </c>
      <c r="D413" s="57"/>
      <c r="E413" s="13" t="s">
        <v>1182</v>
      </c>
    </row>
    <row r="414" spans="1:5">
      <c r="A414" s="82"/>
      <c r="B414" s="72"/>
      <c r="C414" s="57" t="s">
        <v>1009</v>
      </c>
      <c r="D414" s="57"/>
      <c r="E414" s="13" t="s">
        <v>1182</v>
      </c>
    </row>
    <row r="415" spans="1:5">
      <c r="A415" s="82"/>
      <c r="B415" s="72"/>
      <c r="C415" s="57" t="s">
        <v>1010</v>
      </c>
      <c r="D415" s="57"/>
      <c r="E415" s="13" t="s">
        <v>1182</v>
      </c>
    </row>
    <row r="416" spans="1:5">
      <c r="A416" s="82"/>
      <c r="B416" s="72"/>
      <c r="C416" s="57" t="s">
        <v>1011</v>
      </c>
      <c r="D416" s="57"/>
      <c r="E416" s="13" t="s">
        <v>1182</v>
      </c>
    </row>
    <row r="417" spans="1:5">
      <c r="A417" s="82"/>
      <c r="B417" s="72"/>
      <c r="C417" s="57" t="s">
        <v>1012</v>
      </c>
      <c r="D417" s="57"/>
      <c r="E417" s="13" t="s">
        <v>1182</v>
      </c>
    </row>
    <row r="418" spans="1:5">
      <c r="A418" s="82"/>
      <c r="B418" s="72"/>
      <c r="C418" s="57" t="s">
        <v>1013</v>
      </c>
      <c r="D418" s="57"/>
      <c r="E418" s="13" t="s">
        <v>1182</v>
      </c>
    </row>
    <row r="419" spans="1:5">
      <c r="A419" s="82"/>
      <c r="B419" s="72"/>
      <c r="C419" s="57" t="s">
        <v>1014</v>
      </c>
      <c r="D419" s="57"/>
      <c r="E419" s="13" t="s">
        <v>1182</v>
      </c>
    </row>
    <row r="420" spans="1:5">
      <c r="A420" s="82"/>
      <c r="B420" s="72"/>
      <c r="C420" s="57" t="s">
        <v>1015</v>
      </c>
      <c r="D420" s="57"/>
      <c r="E420" s="13" t="s">
        <v>1182</v>
      </c>
    </row>
    <row r="421" spans="1:5">
      <c r="A421" s="82"/>
      <c r="B421" s="72"/>
      <c r="C421" s="57" t="s">
        <v>1016</v>
      </c>
      <c r="D421" s="57"/>
      <c r="E421" s="13" t="s">
        <v>1182</v>
      </c>
    </row>
    <row r="422" spans="1:5">
      <c r="A422" s="82"/>
      <c r="B422" s="72"/>
      <c r="C422" s="57" t="s">
        <v>1017</v>
      </c>
      <c r="D422" s="57"/>
      <c r="E422" s="13" t="s">
        <v>1182</v>
      </c>
    </row>
    <row r="423" spans="1:5">
      <c r="A423" s="82"/>
      <c r="B423" s="72"/>
      <c r="C423" s="57" t="s">
        <v>1018</v>
      </c>
      <c r="D423" s="57"/>
      <c r="E423" s="13" t="s">
        <v>1182</v>
      </c>
    </row>
    <row r="424" spans="1:5">
      <c r="A424" s="82"/>
      <c r="B424" s="72"/>
      <c r="C424" s="57" t="s">
        <v>1019</v>
      </c>
      <c r="D424" s="57"/>
      <c r="E424" s="13" t="s">
        <v>1182</v>
      </c>
    </row>
    <row r="425" spans="1:5">
      <c r="A425" s="82"/>
      <c r="B425" s="72"/>
      <c r="C425" s="57" t="s">
        <v>1020</v>
      </c>
      <c r="D425" s="57"/>
      <c r="E425" s="13" t="s">
        <v>1182</v>
      </c>
    </row>
    <row r="426" spans="1:5">
      <c r="A426" s="82"/>
      <c r="B426" s="72"/>
      <c r="C426" s="57" t="s">
        <v>1021</v>
      </c>
      <c r="D426" s="57"/>
      <c r="E426" s="13" t="s">
        <v>1182</v>
      </c>
    </row>
    <row r="427" spans="1:5">
      <c r="A427" s="82"/>
      <c r="B427" s="72"/>
      <c r="C427" s="57" t="s">
        <v>1022</v>
      </c>
      <c r="D427" s="57"/>
      <c r="E427" s="13" t="s">
        <v>1182</v>
      </c>
    </row>
    <row r="428" spans="1:5">
      <c r="A428" s="82"/>
      <c r="B428" s="72"/>
      <c r="C428" s="57" t="s">
        <v>1023</v>
      </c>
      <c r="D428" s="57"/>
      <c r="E428" s="13" t="s">
        <v>1182</v>
      </c>
    </row>
    <row r="429" spans="1:5">
      <c r="A429" s="82"/>
      <c r="B429" s="72"/>
      <c r="C429" s="57" t="s">
        <v>1024</v>
      </c>
      <c r="D429" s="57"/>
      <c r="E429" s="13" t="s">
        <v>1182</v>
      </c>
    </row>
    <row r="430" spans="1:5">
      <c r="A430" s="82"/>
      <c r="B430" s="72"/>
      <c r="C430" s="57" t="s">
        <v>1025</v>
      </c>
      <c r="D430" s="57"/>
      <c r="E430" s="13" t="s">
        <v>1182</v>
      </c>
    </row>
    <row r="431" spans="1:5">
      <c r="A431" s="82"/>
      <c r="B431" s="72"/>
      <c r="C431" s="57" t="s">
        <v>1026</v>
      </c>
      <c r="D431" s="57"/>
      <c r="E431" s="13" t="s">
        <v>1182</v>
      </c>
    </row>
    <row r="432" spans="1:5">
      <c r="A432" s="82"/>
      <c r="B432" s="72"/>
      <c r="C432" s="57" t="s">
        <v>1027</v>
      </c>
      <c r="D432" s="57"/>
      <c r="E432" s="13" t="s">
        <v>1182</v>
      </c>
    </row>
    <row r="433" spans="1:5">
      <c r="A433" s="82"/>
      <c r="B433" s="72"/>
      <c r="C433" s="57" t="s">
        <v>1083</v>
      </c>
      <c r="D433" s="57"/>
      <c r="E433" s="13" t="s">
        <v>1182</v>
      </c>
    </row>
    <row r="434" spans="1:5">
      <c r="A434" s="82"/>
      <c r="B434" s="72"/>
      <c r="C434" s="57" t="s">
        <v>1084</v>
      </c>
      <c r="D434" s="57"/>
      <c r="E434" s="13" t="s">
        <v>1182</v>
      </c>
    </row>
    <row r="435" spans="1:5">
      <c r="A435" s="82"/>
      <c r="B435" s="72"/>
      <c r="C435" s="57" t="s">
        <v>1085</v>
      </c>
      <c r="D435" s="57"/>
      <c r="E435" s="13" t="s">
        <v>1182</v>
      </c>
    </row>
    <row r="436" spans="1:5">
      <c r="A436" s="82"/>
      <c r="B436" s="72"/>
      <c r="C436" s="57" t="s">
        <v>1086</v>
      </c>
      <c r="D436" s="57"/>
      <c r="E436" s="13" t="s">
        <v>1182</v>
      </c>
    </row>
    <row r="437" spans="1:5">
      <c r="A437" s="82"/>
      <c r="B437" s="72"/>
      <c r="C437" s="57" t="s">
        <v>1087</v>
      </c>
      <c r="D437" s="57"/>
      <c r="E437" s="13" t="s">
        <v>1182</v>
      </c>
    </row>
    <row r="438" spans="1:5">
      <c r="A438" s="82"/>
      <c r="B438" s="72"/>
      <c r="C438" s="57" t="s">
        <v>1088</v>
      </c>
      <c r="D438" s="57"/>
      <c r="E438" s="13" t="s">
        <v>1182</v>
      </c>
    </row>
    <row r="439" spans="1:5">
      <c r="A439" s="82"/>
      <c r="B439" s="72"/>
      <c r="C439" s="57" t="s">
        <v>1089</v>
      </c>
      <c r="D439" s="57"/>
      <c r="E439" s="13" t="s">
        <v>1182</v>
      </c>
    </row>
    <row r="440" spans="1:5">
      <c r="A440" s="82"/>
      <c r="B440" s="72"/>
      <c r="C440" s="57" t="s">
        <v>1090</v>
      </c>
      <c r="D440" s="57"/>
      <c r="E440" s="13" t="s">
        <v>1182</v>
      </c>
    </row>
    <row r="441" spans="1:5">
      <c r="A441" s="82"/>
      <c r="B441" s="72"/>
      <c r="C441" s="57" t="s">
        <v>1028</v>
      </c>
      <c r="D441" s="57"/>
      <c r="E441" s="13" t="s">
        <v>1182</v>
      </c>
    </row>
    <row r="442" spans="1:5">
      <c r="A442" s="82"/>
      <c r="B442" s="72"/>
      <c r="C442" s="57" t="s">
        <v>1029</v>
      </c>
      <c r="D442" s="57"/>
      <c r="E442" s="13" t="s">
        <v>1182</v>
      </c>
    </row>
    <row r="443" spans="1:5">
      <c r="A443" s="82"/>
      <c r="B443" s="72"/>
      <c r="C443" s="57" t="s">
        <v>1030</v>
      </c>
      <c r="D443" s="57"/>
      <c r="E443" s="13" t="s">
        <v>1182</v>
      </c>
    </row>
    <row r="444" spans="1:5">
      <c r="A444" s="82"/>
      <c r="B444" s="72"/>
      <c r="C444" s="57" t="s">
        <v>1031</v>
      </c>
      <c r="D444" s="57"/>
      <c r="E444" s="13" t="s">
        <v>1182</v>
      </c>
    </row>
    <row r="445" spans="1:5">
      <c r="A445" s="82"/>
      <c r="B445" s="72"/>
      <c r="C445" s="57" t="s">
        <v>1032</v>
      </c>
      <c r="D445" s="57"/>
      <c r="E445" s="13" t="s">
        <v>1182</v>
      </c>
    </row>
    <row r="446" spans="1:5">
      <c r="A446" s="82"/>
      <c r="B446" s="72"/>
      <c r="C446" s="57" t="s">
        <v>1033</v>
      </c>
      <c r="D446" s="57"/>
      <c r="E446" s="13" t="s">
        <v>1182</v>
      </c>
    </row>
    <row r="447" spans="1:5">
      <c r="A447" s="82"/>
      <c r="B447" s="72"/>
      <c r="C447" s="57" t="s">
        <v>1034</v>
      </c>
      <c r="D447" s="57"/>
      <c r="E447" s="13" t="s">
        <v>1182</v>
      </c>
    </row>
    <row r="448" spans="1:5">
      <c r="A448" s="82"/>
      <c r="B448" s="72"/>
      <c r="C448" s="57" t="s">
        <v>1035</v>
      </c>
      <c r="D448" s="57"/>
      <c r="E448" s="13" t="s">
        <v>1182</v>
      </c>
    </row>
    <row r="449" spans="1:5">
      <c r="A449" s="82"/>
      <c r="B449" s="72"/>
      <c r="C449" s="57" t="s">
        <v>1091</v>
      </c>
      <c r="D449" s="57"/>
      <c r="E449" s="13" t="s">
        <v>1182</v>
      </c>
    </row>
    <row r="450" spans="1:5">
      <c r="A450" s="82"/>
      <c r="B450" s="72"/>
      <c r="C450" s="57" t="s">
        <v>1092</v>
      </c>
      <c r="D450" s="57"/>
      <c r="E450" s="13" t="s">
        <v>1182</v>
      </c>
    </row>
    <row r="451" spans="1:5">
      <c r="A451" s="82"/>
      <c r="B451" s="72"/>
      <c r="C451" s="57" t="s">
        <v>1093</v>
      </c>
      <c r="D451" s="57"/>
      <c r="E451" s="13" t="s">
        <v>1182</v>
      </c>
    </row>
    <row r="452" spans="1:5">
      <c r="A452" s="82"/>
      <c r="B452" s="72"/>
      <c r="C452" s="57" t="s">
        <v>1094</v>
      </c>
      <c r="D452" s="57"/>
      <c r="E452" s="13" t="s">
        <v>1182</v>
      </c>
    </row>
    <row r="453" spans="1:5">
      <c r="A453" s="82"/>
      <c r="B453" s="72"/>
      <c r="C453" s="57" t="s">
        <v>1095</v>
      </c>
      <c r="D453" s="57"/>
      <c r="E453" s="13" t="s">
        <v>1182</v>
      </c>
    </row>
    <row r="454" spans="1:5">
      <c r="A454" s="82"/>
      <c r="B454" s="72"/>
      <c r="C454" s="57" t="s">
        <v>1096</v>
      </c>
      <c r="D454" s="57"/>
      <c r="E454" s="13" t="s">
        <v>1182</v>
      </c>
    </row>
    <row r="455" spans="1:5">
      <c r="A455" s="82"/>
      <c r="B455" s="72"/>
      <c r="C455" s="57" t="s">
        <v>1097</v>
      </c>
      <c r="D455" s="57"/>
      <c r="E455" s="13" t="s">
        <v>1182</v>
      </c>
    </row>
    <row r="456" spans="1:5">
      <c r="A456" s="82"/>
      <c r="B456" s="72"/>
      <c r="C456" s="57" t="s">
        <v>1098</v>
      </c>
      <c r="D456" s="57"/>
      <c r="E456" s="13" t="s">
        <v>1182</v>
      </c>
    </row>
    <row r="457" spans="1:5">
      <c r="A457" s="82"/>
      <c r="B457" s="72"/>
      <c r="C457" s="57" t="s">
        <v>1099</v>
      </c>
      <c r="D457" s="57"/>
      <c r="E457" s="13" t="s">
        <v>1182</v>
      </c>
    </row>
    <row r="458" spans="1:5">
      <c r="A458" s="82"/>
      <c r="B458" s="72"/>
      <c r="C458" s="57" t="s">
        <v>1100</v>
      </c>
      <c r="D458" s="57"/>
      <c r="E458" s="13" t="s">
        <v>1182</v>
      </c>
    </row>
    <row r="459" spans="1:5">
      <c r="A459" s="82"/>
      <c r="B459" s="72"/>
      <c r="C459" s="57" t="s">
        <v>1101</v>
      </c>
      <c r="D459" s="57"/>
      <c r="E459" s="13" t="s">
        <v>1182</v>
      </c>
    </row>
    <row r="460" spans="1:5">
      <c r="A460" s="82"/>
      <c r="B460" s="72"/>
      <c r="C460" s="57" t="s">
        <v>1102</v>
      </c>
      <c r="D460" s="57"/>
      <c r="E460" s="13" t="s">
        <v>1182</v>
      </c>
    </row>
    <row r="461" spans="1:5">
      <c r="A461" s="82"/>
      <c r="B461" s="72"/>
      <c r="C461" s="57" t="s">
        <v>1103</v>
      </c>
      <c r="D461" s="57"/>
      <c r="E461" s="13" t="s">
        <v>1182</v>
      </c>
    </row>
    <row r="462" spans="1:5">
      <c r="A462" s="82"/>
      <c r="B462" s="72"/>
      <c r="C462" s="57" t="s">
        <v>1104</v>
      </c>
      <c r="D462" s="57"/>
      <c r="E462" s="13" t="s">
        <v>1182</v>
      </c>
    </row>
    <row r="463" spans="1:5">
      <c r="A463" s="82"/>
      <c r="B463" s="72"/>
      <c r="C463" s="57" t="s">
        <v>1105</v>
      </c>
      <c r="D463" s="57"/>
      <c r="E463" s="13" t="s">
        <v>1182</v>
      </c>
    </row>
    <row r="464" spans="1:5">
      <c r="A464" s="82"/>
      <c r="B464" s="72"/>
      <c r="C464" s="57" t="s">
        <v>1106</v>
      </c>
      <c r="D464" s="57"/>
      <c r="E464" s="13" t="s">
        <v>1182</v>
      </c>
    </row>
    <row r="465" spans="1:5">
      <c r="A465" s="82"/>
      <c r="B465" s="72"/>
      <c r="C465" s="57" t="s">
        <v>1107</v>
      </c>
      <c r="D465" s="57"/>
      <c r="E465" s="13" t="s">
        <v>1182</v>
      </c>
    </row>
    <row r="466" spans="1:5">
      <c r="A466" s="82"/>
      <c r="B466" s="72"/>
      <c r="C466" s="57" t="s">
        <v>1108</v>
      </c>
      <c r="D466" s="57"/>
      <c r="E466" s="13" t="s">
        <v>1182</v>
      </c>
    </row>
    <row r="467" spans="1:5">
      <c r="A467" s="82"/>
      <c r="B467" s="72"/>
      <c r="C467" s="57" t="s">
        <v>1109</v>
      </c>
      <c r="D467" s="57"/>
      <c r="E467" s="13" t="s">
        <v>1182</v>
      </c>
    </row>
    <row r="468" spans="1:5">
      <c r="A468" s="82"/>
      <c r="B468" s="72"/>
      <c r="C468" s="57" t="s">
        <v>1110</v>
      </c>
      <c r="D468" s="57"/>
      <c r="E468" s="13" t="s">
        <v>1182</v>
      </c>
    </row>
    <row r="469" spans="1:5">
      <c r="A469" s="82"/>
      <c r="B469" s="72"/>
      <c r="C469" s="57" t="s">
        <v>1111</v>
      </c>
      <c r="D469" s="57"/>
      <c r="E469" s="13" t="s">
        <v>1182</v>
      </c>
    </row>
    <row r="470" spans="1:5">
      <c r="A470" s="82"/>
      <c r="B470" s="72"/>
      <c r="C470" s="57" t="s">
        <v>1112</v>
      </c>
      <c r="D470" s="57"/>
      <c r="E470" s="13" t="s">
        <v>1182</v>
      </c>
    </row>
    <row r="471" spans="1:5">
      <c r="A471" s="82"/>
      <c r="B471" s="72"/>
      <c r="C471" s="57" t="s">
        <v>1113</v>
      </c>
      <c r="D471" s="57"/>
      <c r="E471" s="13" t="s">
        <v>1182</v>
      </c>
    </row>
    <row r="472" spans="1:5">
      <c r="A472" s="82"/>
      <c r="B472" s="72"/>
      <c r="C472" s="57" t="s">
        <v>1114</v>
      </c>
      <c r="D472" s="57"/>
      <c r="E472" s="13" t="s">
        <v>1182</v>
      </c>
    </row>
    <row r="473" spans="1:5">
      <c r="A473" s="82"/>
      <c r="B473" s="72"/>
      <c r="C473" s="57" t="s">
        <v>1115</v>
      </c>
      <c r="D473" s="57"/>
      <c r="E473" s="13" t="s">
        <v>1182</v>
      </c>
    </row>
    <row r="474" spans="1:5">
      <c r="A474" s="82"/>
      <c r="B474" s="72"/>
      <c r="C474" s="57" t="s">
        <v>1116</v>
      </c>
      <c r="D474" s="57"/>
      <c r="E474" s="13" t="s">
        <v>1182</v>
      </c>
    </row>
    <row r="475" spans="1:5">
      <c r="A475" s="82"/>
      <c r="B475" s="72"/>
      <c r="C475" s="57" t="s">
        <v>1117</v>
      </c>
      <c r="D475" s="57"/>
      <c r="E475" s="13" t="s">
        <v>1182</v>
      </c>
    </row>
    <row r="476" spans="1:5">
      <c r="A476" s="82"/>
      <c r="B476" s="72"/>
      <c r="C476" s="57" t="s">
        <v>1118</v>
      </c>
      <c r="D476" s="57"/>
      <c r="E476" s="13" t="s">
        <v>1182</v>
      </c>
    </row>
    <row r="477" spans="1:5">
      <c r="A477" s="82"/>
      <c r="B477" s="72"/>
      <c r="C477" s="57" t="s">
        <v>1119</v>
      </c>
      <c r="D477" s="57"/>
      <c r="E477" s="13" t="s">
        <v>1182</v>
      </c>
    </row>
    <row r="478" spans="1:5">
      <c r="A478" s="82"/>
      <c r="B478" s="72"/>
      <c r="C478" s="57" t="s">
        <v>1120</v>
      </c>
      <c r="D478" s="57"/>
      <c r="E478" s="13" t="s">
        <v>1182</v>
      </c>
    </row>
    <row r="479" spans="1:5">
      <c r="A479" s="82"/>
      <c r="B479" s="72"/>
      <c r="C479" s="57" t="s">
        <v>1121</v>
      </c>
      <c r="D479" s="57"/>
      <c r="E479" s="13" t="s">
        <v>1182</v>
      </c>
    </row>
    <row r="480" spans="1:5">
      <c r="A480" s="82"/>
      <c r="B480" s="72"/>
      <c r="C480" s="57" t="s">
        <v>1122</v>
      </c>
      <c r="D480" s="57"/>
      <c r="E480" s="13" t="s">
        <v>1182</v>
      </c>
    </row>
    <row r="481" spans="1:5">
      <c r="A481" s="82"/>
      <c r="B481" s="72"/>
      <c r="C481" s="57" t="s">
        <v>1036</v>
      </c>
      <c r="D481" s="57"/>
      <c r="E481" s="13" t="s">
        <v>1182</v>
      </c>
    </row>
    <row r="482" spans="1:5">
      <c r="A482" s="82"/>
      <c r="B482" s="72"/>
      <c r="C482" s="57" t="s">
        <v>1037</v>
      </c>
      <c r="D482" s="57"/>
      <c r="E482" s="13" t="s">
        <v>1182</v>
      </c>
    </row>
    <row r="483" spans="1:5">
      <c r="A483" s="82"/>
      <c r="B483" s="72"/>
      <c r="C483" s="57" t="s">
        <v>1038</v>
      </c>
      <c r="D483" s="57"/>
      <c r="E483" s="13" t="s">
        <v>1182</v>
      </c>
    </row>
    <row r="484" spans="1:5">
      <c r="A484" s="82"/>
      <c r="B484" s="72"/>
      <c r="C484" s="57" t="s">
        <v>1039</v>
      </c>
      <c r="D484" s="57"/>
      <c r="E484" s="13" t="s">
        <v>1182</v>
      </c>
    </row>
    <row r="485" spans="1:5">
      <c r="A485" s="82"/>
      <c r="B485" s="72"/>
      <c r="C485" s="57" t="s">
        <v>1040</v>
      </c>
      <c r="D485" s="57"/>
      <c r="E485" s="13" t="s">
        <v>1182</v>
      </c>
    </row>
    <row r="486" spans="1:5">
      <c r="A486" s="82"/>
      <c r="B486" s="72"/>
      <c r="C486" s="57" t="s">
        <v>1041</v>
      </c>
      <c r="D486" s="57"/>
      <c r="E486" s="13" t="s">
        <v>1182</v>
      </c>
    </row>
    <row r="487" spans="1:5">
      <c r="A487" s="82"/>
      <c r="B487" s="72"/>
      <c r="C487" s="57" t="s">
        <v>1042</v>
      </c>
      <c r="D487" s="57"/>
      <c r="E487" s="13" t="s">
        <v>1182</v>
      </c>
    </row>
    <row r="488" spans="1:5">
      <c r="A488" s="82"/>
      <c r="B488" s="72"/>
      <c r="C488" s="57" t="s">
        <v>1043</v>
      </c>
      <c r="D488" s="57"/>
      <c r="E488" s="13" t="s">
        <v>1182</v>
      </c>
    </row>
    <row r="489" spans="1:5">
      <c r="A489" s="82"/>
      <c r="B489" s="72"/>
      <c r="C489" s="57" t="s">
        <v>102</v>
      </c>
      <c r="D489" s="57"/>
    </row>
    <row r="490" spans="1:5">
      <c r="A490" s="82"/>
      <c r="B490" s="72"/>
      <c r="C490" s="57" t="s">
        <v>764</v>
      </c>
      <c r="D490" s="57"/>
    </row>
    <row r="491" spans="1:5">
      <c r="A491" s="82"/>
      <c r="B491" s="72"/>
      <c r="C491" s="57" t="s">
        <v>760</v>
      </c>
      <c r="D491" s="57"/>
    </row>
    <row r="492" spans="1:5">
      <c r="A492" s="82"/>
      <c r="B492" s="72"/>
      <c r="C492" s="57" t="s">
        <v>761</v>
      </c>
      <c r="D492" s="57"/>
    </row>
    <row r="493" spans="1:5">
      <c r="A493" s="82"/>
      <c r="B493" s="72"/>
      <c r="C493" s="57" t="s">
        <v>762</v>
      </c>
      <c r="D493" s="57"/>
    </row>
    <row r="494" spans="1:5">
      <c r="A494" s="82"/>
      <c r="B494" s="72"/>
      <c r="C494" s="57" t="s">
        <v>759</v>
      </c>
      <c r="D494" s="57"/>
    </row>
    <row r="495" spans="1:5">
      <c r="A495" s="82"/>
      <c r="B495" s="72"/>
      <c r="C495" s="57" t="s">
        <v>765</v>
      </c>
      <c r="D495" s="57"/>
    </row>
    <row r="496" spans="1:5">
      <c r="A496" s="82"/>
      <c r="B496" s="72"/>
      <c r="C496" s="57" t="s">
        <v>766</v>
      </c>
      <c r="D496" s="57"/>
    </row>
    <row r="497" spans="1:4">
      <c r="A497" s="82"/>
      <c r="B497" s="72"/>
      <c r="C497" s="57" t="s">
        <v>763</v>
      </c>
      <c r="D497" s="57"/>
    </row>
    <row r="498" spans="1:4">
      <c r="A498" s="83"/>
      <c r="B498" s="73"/>
      <c r="C498" s="57" t="s">
        <v>130</v>
      </c>
      <c r="D498" s="57"/>
    </row>
    <row r="499" spans="1:4">
      <c r="A499" s="117"/>
      <c r="B499" s="122" t="s">
        <v>626</v>
      </c>
      <c r="C499" s="54" t="s">
        <v>156</v>
      </c>
      <c r="D499" s="54"/>
    </row>
    <row r="500" spans="1:4">
      <c r="A500" s="64"/>
      <c r="B500" s="122"/>
      <c r="C500" s="54" t="s">
        <v>665</v>
      </c>
      <c r="D500" s="54"/>
    </row>
    <row r="501" spans="1:4">
      <c r="A501" s="64"/>
      <c r="B501" s="122"/>
      <c r="C501" s="54" t="s">
        <v>664</v>
      </c>
      <c r="D501" s="54"/>
    </row>
    <row r="502" spans="1:4">
      <c r="A502" s="64"/>
      <c r="B502" s="122"/>
      <c r="C502" s="54" t="s">
        <v>379</v>
      </c>
      <c r="D502" s="54"/>
    </row>
    <row r="503" spans="1:4">
      <c r="A503" s="64"/>
      <c r="B503" s="122"/>
      <c r="C503" s="54" t="s">
        <v>380</v>
      </c>
      <c r="D503" s="54"/>
    </row>
    <row r="504" spans="1:4">
      <c r="A504" s="64"/>
      <c r="B504" s="122"/>
      <c r="C504" s="54" t="s">
        <v>79</v>
      </c>
      <c r="D504" s="54"/>
    </row>
    <row r="505" spans="1:4">
      <c r="A505" s="64"/>
      <c r="B505" s="122"/>
      <c r="C505" s="54" t="s">
        <v>381</v>
      </c>
      <c r="D505" s="54"/>
    </row>
    <row r="506" spans="1:4">
      <c r="A506" s="64"/>
      <c r="B506" s="122"/>
      <c r="C506" s="54" t="s">
        <v>72</v>
      </c>
      <c r="D506" s="54"/>
    </row>
    <row r="507" spans="1:4">
      <c r="A507" s="64"/>
      <c r="B507" s="122"/>
      <c r="C507" s="54" t="s">
        <v>97</v>
      </c>
      <c r="D507" s="54"/>
    </row>
    <row r="508" spans="1:4">
      <c r="A508" s="64"/>
      <c r="B508" s="122"/>
      <c r="C508" s="54" t="s">
        <v>98</v>
      </c>
      <c r="D508" s="54"/>
    </row>
    <row r="509" spans="1:4">
      <c r="A509" s="64"/>
      <c r="B509" s="122"/>
      <c r="C509" s="54" t="s">
        <v>377</v>
      </c>
      <c r="D509" s="54"/>
    </row>
    <row r="510" spans="1:4">
      <c r="A510" s="64"/>
      <c r="B510" s="122"/>
      <c r="C510" s="54" t="s">
        <v>378</v>
      </c>
      <c r="D510" s="54"/>
    </row>
    <row r="511" spans="1:4">
      <c r="A511" s="64"/>
      <c r="B511" s="122"/>
      <c r="C511" s="54" t="s">
        <v>382</v>
      </c>
      <c r="D511" s="54"/>
    </row>
    <row r="512" spans="1:4">
      <c r="A512" s="64"/>
      <c r="B512" s="122"/>
      <c r="C512" s="54" t="s">
        <v>163</v>
      </c>
      <c r="D512" s="54"/>
    </row>
    <row r="513" spans="1:4">
      <c r="A513" s="64"/>
      <c r="B513" s="122"/>
      <c r="C513" s="54" t="s">
        <v>102</v>
      </c>
      <c r="D513" s="54"/>
    </row>
    <row r="514" spans="1:4">
      <c r="A514" s="82"/>
      <c r="B514" s="68" t="s">
        <v>623</v>
      </c>
      <c r="C514" s="57" t="s">
        <v>55</v>
      </c>
      <c r="D514" s="57"/>
    </row>
    <row r="515" spans="1:4">
      <c r="A515" s="83"/>
      <c r="B515" s="70"/>
      <c r="C515" s="57" t="s">
        <v>62</v>
      </c>
      <c r="D515" s="57"/>
    </row>
    <row r="516" spans="1:4">
      <c r="A516" s="64"/>
      <c r="B516" s="122" t="s">
        <v>282</v>
      </c>
      <c r="C516" s="54" t="s">
        <v>283</v>
      </c>
      <c r="D516" s="54"/>
    </row>
    <row r="517" spans="1:4">
      <c r="A517" s="64"/>
      <c r="B517" s="122"/>
      <c r="C517" s="54" t="s">
        <v>229</v>
      </c>
      <c r="D517" s="54"/>
    </row>
    <row r="518" spans="1:4">
      <c r="A518" s="64"/>
      <c r="B518" s="122"/>
      <c r="C518" s="54" t="s">
        <v>230</v>
      </c>
      <c r="D518" s="54"/>
    </row>
    <row r="519" spans="1:4">
      <c r="A519" s="64"/>
      <c r="B519" s="122"/>
      <c r="C519" s="54" t="s">
        <v>231</v>
      </c>
      <c r="D519" s="54"/>
    </row>
    <row r="520" spans="1:4">
      <c r="A520" s="120"/>
      <c r="B520" s="68" t="s">
        <v>20</v>
      </c>
      <c r="C520" s="57" t="s">
        <v>594</v>
      </c>
      <c r="D520" s="57"/>
    </row>
    <row r="521" spans="1:4">
      <c r="A521" s="80"/>
      <c r="B521" s="69"/>
      <c r="C521" s="57" t="s">
        <v>595</v>
      </c>
      <c r="D521" s="57"/>
    </row>
    <row r="522" spans="1:4">
      <c r="A522" s="80"/>
      <c r="B522" s="69"/>
      <c r="C522" s="57" t="s">
        <v>427</v>
      </c>
      <c r="D522" s="57"/>
    </row>
    <row r="523" spans="1:4">
      <c r="A523" s="80"/>
      <c r="B523" s="69"/>
      <c r="C523" s="57" t="s">
        <v>428</v>
      </c>
      <c r="D523" s="57"/>
    </row>
    <row r="524" spans="1:4">
      <c r="A524" s="80"/>
      <c r="B524" s="69"/>
      <c r="C524" s="57" t="s">
        <v>91</v>
      </c>
      <c r="D524" s="57"/>
    </row>
    <row r="525" spans="1:4">
      <c r="A525" s="80"/>
      <c r="B525" s="69"/>
      <c r="C525" s="57" t="s">
        <v>80</v>
      </c>
      <c r="D525" s="57"/>
    </row>
    <row r="526" spans="1:4">
      <c r="A526" s="80"/>
      <c r="B526" s="69"/>
      <c r="C526" s="57" t="s">
        <v>108</v>
      </c>
      <c r="D526" s="57"/>
    </row>
    <row r="527" spans="1:4">
      <c r="A527" s="80"/>
      <c r="B527" s="69"/>
      <c r="C527" s="57" t="s">
        <v>596</v>
      </c>
      <c r="D527" s="57"/>
    </row>
    <row r="528" spans="1:4">
      <c r="A528" s="80"/>
      <c r="B528" s="69"/>
      <c r="C528" s="57" t="s">
        <v>465</v>
      </c>
      <c r="D528" s="57"/>
    </row>
    <row r="529" spans="1:4">
      <c r="A529" s="80"/>
      <c r="B529" s="69"/>
      <c r="C529" s="57" t="s">
        <v>98</v>
      </c>
      <c r="D529" s="57"/>
    </row>
    <row r="530" spans="1:4">
      <c r="B530" s="69"/>
      <c r="C530" s="57" t="s">
        <v>425</v>
      </c>
      <c r="D530" s="57"/>
    </row>
    <row r="531" spans="1:4" ht="15">
      <c r="A531" s="80"/>
      <c r="B531" s="69"/>
      <c r="C531" s="57" t="s">
        <v>614</v>
      </c>
      <c r="D531" s="57" t="s">
        <v>920</v>
      </c>
    </row>
    <row r="532" spans="1:4" ht="15">
      <c r="A532" s="80"/>
      <c r="B532" s="69"/>
      <c r="C532" s="57" t="s">
        <v>615</v>
      </c>
      <c r="D532" s="57" t="s">
        <v>920</v>
      </c>
    </row>
    <row r="533" spans="1:4" ht="15">
      <c r="A533" s="80"/>
      <c r="B533" s="69"/>
      <c r="C533" s="57" t="s">
        <v>616</v>
      </c>
      <c r="D533" s="57" t="s">
        <v>920</v>
      </c>
    </row>
    <row r="534" spans="1:4">
      <c r="A534" s="80"/>
      <c r="B534" s="69"/>
      <c r="C534" s="57" t="s">
        <v>58</v>
      </c>
      <c r="D534" s="57"/>
    </row>
    <row r="535" spans="1:4">
      <c r="A535" s="80"/>
      <c r="B535" s="69"/>
      <c r="C535" s="57" t="s">
        <v>103</v>
      </c>
      <c r="D535" s="57"/>
    </row>
    <row r="536" spans="1:4">
      <c r="A536" s="80"/>
      <c r="B536" s="69"/>
      <c r="C536" s="57" t="s">
        <v>45</v>
      </c>
      <c r="D536" s="57"/>
    </row>
    <row r="537" spans="1:4">
      <c r="A537" s="80"/>
      <c r="B537" s="69"/>
      <c r="C537" s="57" t="s">
        <v>426</v>
      </c>
      <c r="D537" s="57"/>
    </row>
    <row r="538" spans="1:4">
      <c r="A538" s="80"/>
      <c r="B538" s="69"/>
      <c r="C538" s="57" t="s">
        <v>744</v>
      </c>
      <c r="D538" s="57"/>
    </row>
    <row r="539" spans="1:4">
      <c r="A539" s="80"/>
      <c r="B539" s="69"/>
      <c r="C539" s="57" t="s">
        <v>86</v>
      </c>
      <c r="D539" s="57"/>
    </row>
    <row r="540" spans="1:4">
      <c r="A540" s="80"/>
      <c r="B540" s="69"/>
      <c r="C540" s="57" t="s">
        <v>677</v>
      </c>
      <c r="D540" s="57"/>
    </row>
    <row r="541" spans="1:4">
      <c r="A541" s="80"/>
      <c r="B541" s="69"/>
      <c r="C541" s="57" t="s">
        <v>743</v>
      </c>
      <c r="D541" s="57"/>
    </row>
    <row r="542" spans="1:4">
      <c r="A542" s="80"/>
      <c r="B542" s="69"/>
      <c r="C542" s="57" t="s">
        <v>163</v>
      </c>
      <c r="D542" s="57"/>
    </row>
    <row r="543" spans="1:4">
      <c r="A543" s="80"/>
      <c r="B543" s="69"/>
      <c r="C543" s="57" t="s">
        <v>102</v>
      </c>
      <c r="D543" s="58"/>
    </row>
    <row r="544" spans="1:4">
      <c r="A544" s="86"/>
      <c r="B544" s="59" t="s">
        <v>850</v>
      </c>
      <c r="C544" s="54" t="s">
        <v>55</v>
      </c>
      <c r="D544" s="54"/>
    </row>
    <row r="545" spans="1:4">
      <c r="A545" s="87"/>
      <c r="B545" s="121"/>
      <c r="C545" s="54" t="s">
        <v>62</v>
      </c>
      <c r="D545" s="54"/>
    </row>
    <row r="546" spans="1:4">
      <c r="A546" s="80"/>
      <c r="B546" s="68" t="s">
        <v>420</v>
      </c>
      <c r="C546" s="57" t="s">
        <v>444</v>
      </c>
      <c r="D546" s="57"/>
    </row>
    <row r="547" spans="1:4">
      <c r="A547" s="80"/>
      <c r="B547" s="69"/>
      <c r="C547" s="57" t="s">
        <v>439</v>
      </c>
      <c r="D547" s="57"/>
    </row>
    <row r="548" spans="1:4">
      <c r="A548" s="80"/>
      <c r="B548" s="69"/>
      <c r="C548" s="57" t="s">
        <v>423</v>
      </c>
      <c r="D548" s="57"/>
    </row>
    <row r="549" spans="1:4">
      <c r="A549" s="80"/>
      <c r="B549" s="69"/>
      <c r="C549" s="57" t="s">
        <v>422</v>
      </c>
      <c r="D549" s="57"/>
    </row>
    <row r="550" spans="1:4">
      <c r="A550" s="80"/>
      <c r="B550" s="69"/>
      <c r="C550" s="57" t="s">
        <v>424</v>
      </c>
      <c r="D550" s="57"/>
    </row>
    <row r="551" spans="1:4">
      <c r="A551" s="86"/>
      <c r="B551" s="59" t="s">
        <v>674</v>
      </c>
      <c r="C551" s="54" t="s">
        <v>55</v>
      </c>
      <c r="D551" s="54"/>
    </row>
    <row r="552" spans="1:4">
      <c r="A552" s="87"/>
      <c r="B552" s="121"/>
      <c r="C552" s="54" t="s">
        <v>62</v>
      </c>
      <c r="D552" s="54"/>
    </row>
    <row r="553" spans="1:4">
      <c r="A553" s="65"/>
      <c r="B553" s="68" t="s">
        <v>817</v>
      </c>
      <c r="C553" s="57" t="s">
        <v>818</v>
      </c>
      <c r="D553" s="57"/>
    </row>
    <row r="554" spans="1:4">
      <c r="A554" s="66"/>
      <c r="B554" s="66"/>
      <c r="C554" s="57" t="s">
        <v>819</v>
      </c>
      <c r="D554" s="57"/>
    </row>
    <row r="555" spans="1:4">
      <c r="A555" s="66"/>
      <c r="B555" s="66"/>
      <c r="C555" s="57" t="s">
        <v>820</v>
      </c>
      <c r="D555" s="57"/>
    </row>
    <row r="556" spans="1:4">
      <c r="A556" s="66"/>
      <c r="B556" s="66"/>
      <c r="C556" s="57" t="s">
        <v>821</v>
      </c>
      <c r="D556" s="57"/>
    </row>
    <row r="557" spans="1:4">
      <c r="A557" s="66"/>
      <c r="B557" s="66"/>
      <c r="C557" s="57" t="s">
        <v>822</v>
      </c>
      <c r="D557" s="57"/>
    </row>
    <row r="558" spans="1:4">
      <c r="A558" s="66"/>
      <c r="B558" s="66"/>
      <c r="C558" s="57" t="s">
        <v>823</v>
      </c>
      <c r="D558" s="57"/>
    </row>
    <row r="559" spans="1:4">
      <c r="A559" s="66"/>
      <c r="B559" s="66"/>
      <c r="C559" s="57" t="s">
        <v>824</v>
      </c>
      <c r="D559" s="57"/>
    </row>
    <row r="560" spans="1:4">
      <c r="A560" s="66"/>
      <c r="B560" s="66"/>
      <c r="C560" s="57" t="s">
        <v>825</v>
      </c>
      <c r="D560" s="57"/>
    </row>
    <row r="561" spans="1:4">
      <c r="A561" s="66"/>
      <c r="B561" s="66"/>
      <c r="C561" s="57" t="s">
        <v>826</v>
      </c>
      <c r="D561" s="57"/>
    </row>
    <row r="562" spans="1:4">
      <c r="A562" s="66"/>
      <c r="B562" s="66"/>
      <c r="C562" s="57" t="s">
        <v>827</v>
      </c>
      <c r="D562" s="57"/>
    </row>
    <row r="563" spans="1:4">
      <c r="A563" s="66"/>
      <c r="B563" s="66"/>
      <c r="C563" s="57" t="s">
        <v>828</v>
      </c>
      <c r="D563" s="57"/>
    </row>
    <row r="564" spans="1:4">
      <c r="A564" s="66"/>
      <c r="B564" s="66"/>
      <c r="C564" s="57" t="s">
        <v>829</v>
      </c>
      <c r="D564" s="57"/>
    </row>
    <row r="565" spans="1:4">
      <c r="A565" s="66"/>
      <c r="B565" s="66"/>
      <c r="C565" s="57" t="s">
        <v>830</v>
      </c>
      <c r="D565" s="57"/>
    </row>
    <row r="566" spans="1:4">
      <c r="A566" s="66"/>
      <c r="B566" s="66"/>
      <c r="C566" s="57" t="s">
        <v>831</v>
      </c>
      <c r="D566" s="57"/>
    </row>
    <row r="567" spans="1:4">
      <c r="A567" s="66"/>
      <c r="B567" s="66"/>
      <c r="C567" s="57" t="s">
        <v>832</v>
      </c>
      <c r="D567" s="57"/>
    </row>
    <row r="568" spans="1:4">
      <c r="A568" s="66"/>
      <c r="B568" s="66"/>
      <c r="C568" s="57" t="s">
        <v>833</v>
      </c>
      <c r="D568" s="57"/>
    </row>
    <row r="569" spans="1:4">
      <c r="A569" s="66"/>
      <c r="B569" s="66"/>
      <c r="C569" s="57" t="s">
        <v>834</v>
      </c>
      <c r="D569" s="57"/>
    </row>
    <row r="570" spans="1:4">
      <c r="A570" s="66"/>
      <c r="B570" s="66"/>
      <c r="C570" s="57" t="s">
        <v>835</v>
      </c>
      <c r="D570" s="57"/>
    </row>
    <row r="571" spans="1:4">
      <c r="A571" s="66"/>
      <c r="B571" s="66"/>
      <c r="C571" s="57" t="s">
        <v>836</v>
      </c>
      <c r="D571" s="57"/>
    </row>
    <row r="572" spans="1:4">
      <c r="A572" s="66"/>
      <c r="B572" s="66"/>
      <c r="C572" s="57" t="s">
        <v>837</v>
      </c>
      <c r="D572" s="57"/>
    </row>
    <row r="573" spans="1:4">
      <c r="A573" s="66"/>
      <c r="B573" s="66"/>
      <c r="C573" s="57" t="s">
        <v>838</v>
      </c>
      <c r="D573" s="57"/>
    </row>
    <row r="574" spans="1:4">
      <c r="A574" s="66"/>
      <c r="B574" s="66"/>
      <c r="C574" s="57" t="s">
        <v>839</v>
      </c>
      <c r="D574" s="57"/>
    </row>
    <row r="575" spans="1:4">
      <c r="A575" s="66"/>
      <c r="B575" s="66"/>
      <c r="C575" s="57" t="s">
        <v>840</v>
      </c>
      <c r="D575" s="57"/>
    </row>
    <row r="576" spans="1:4">
      <c r="A576" s="66"/>
      <c r="B576" s="66"/>
      <c r="C576" s="57" t="s">
        <v>841</v>
      </c>
      <c r="D576" s="57"/>
    </row>
    <row r="577" spans="1:5">
      <c r="A577" s="66"/>
      <c r="B577" s="66"/>
      <c r="C577" s="57" t="s">
        <v>842</v>
      </c>
      <c r="D577" s="57"/>
    </row>
    <row r="578" spans="1:5">
      <c r="A578" s="66"/>
      <c r="B578" s="66"/>
      <c r="C578" s="57" t="s">
        <v>843</v>
      </c>
      <c r="D578" s="57"/>
    </row>
    <row r="579" spans="1:5">
      <c r="A579" s="66"/>
      <c r="B579" s="66"/>
      <c r="C579" s="57" t="s">
        <v>844</v>
      </c>
      <c r="D579" s="57"/>
    </row>
    <row r="580" spans="1:5">
      <c r="A580" s="66"/>
      <c r="B580" s="66"/>
      <c r="C580" s="57" t="s">
        <v>1184</v>
      </c>
      <c r="D580" s="57"/>
      <c r="E580" s="13" t="s">
        <v>1182</v>
      </c>
    </row>
    <row r="581" spans="1:5">
      <c r="A581" s="66"/>
      <c r="B581" s="66"/>
      <c r="C581" s="57" t="s">
        <v>1185</v>
      </c>
      <c r="D581" s="57"/>
      <c r="E581" s="13" t="s">
        <v>1182</v>
      </c>
    </row>
    <row r="582" spans="1:5">
      <c r="A582" s="66"/>
      <c r="B582" s="66"/>
      <c r="C582" s="57" t="s">
        <v>851</v>
      </c>
      <c r="D582" s="57"/>
    </row>
    <row r="583" spans="1:5">
      <c r="A583" s="66"/>
      <c r="B583" s="66"/>
      <c r="C583" s="57" t="s">
        <v>852</v>
      </c>
      <c r="D583" s="57"/>
    </row>
    <row r="584" spans="1:5">
      <c r="A584" s="66"/>
      <c r="B584" s="66"/>
      <c r="C584" s="57" t="s">
        <v>853</v>
      </c>
      <c r="D584" s="57"/>
    </row>
    <row r="585" spans="1:5">
      <c r="A585" s="66"/>
      <c r="B585" s="66"/>
      <c r="C585" s="57" t="s">
        <v>854</v>
      </c>
      <c r="D585" s="57"/>
    </row>
    <row r="586" spans="1:5">
      <c r="A586" s="66"/>
      <c r="B586" s="66"/>
      <c r="C586" s="57" t="s">
        <v>855</v>
      </c>
      <c r="D586" s="57"/>
    </row>
    <row r="587" spans="1:5">
      <c r="A587" s="66"/>
      <c r="B587" s="66"/>
      <c r="C587" s="57" t="s">
        <v>845</v>
      </c>
      <c r="D587" s="57"/>
    </row>
    <row r="588" spans="1:5">
      <c r="A588" s="66"/>
      <c r="B588" s="66"/>
      <c r="C588" s="57" t="s">
        <v>846</v>
      </c>
      <c r="D588" s="57"/>
    </row>
    <row r="589" spans="1:5">
      <c r="A589" s="66"/>
      <c r="B589" s="66"/>
      <c r="C589" s="57" t="s">
        <v>847</v>
      </c>
      <c r="D589" s="57"/>
    </row>
    <row r="590" spans="1:5">
      <c r="A590" s="66"/>
      <c r="B590" s="66"/>
      <c r="C590" s="57" t="s">
        <v>848</v>
      </c>
      <c r="D590" s="57"/>
    </row>
    <row r="591" spans="1:5">
      <c r="A591" s="67"/>
      <c r="B591" s="67"/>
      <c r="C591" s="57" t="s">
        <v>849</v>
      </c>
      <c r="D591" s="57"/>
    </row>
    <row r="592" spans="1:5">
      <c r="A592" s="64"/>
      <c r="B592" s="122" t="s">
        <v>440</v>
      </c>
      <c r="C592" s="54" t="s">
        <v>441</v>
      </c>
      <c r="D592" s="54"/>
    </row>
    <row r="593" spans="1:5">
      <c r="A593" s="64"/>
      <c r="B593" s="122"/>
      <c r="C593" s="54" t="s">
        <v>442</v>
      </c>
      <c r="D593" s="54"/>
    </row>
    <row r="594" spans="1:5">
      <c r="A594" s="64"/>
      <c r="B594" s="122"/>
      <c r="C594" s="54" t="s">
        <v>102</v>
      </c>
      <c r="D594" s="54"/>
    </row>
    <row r="595" spans="1:5">
      <c r="A595" s="68"/>
      <c r="B595" s="74" t="s">
        <v>669</v>
      </c>
      <c r="C595" s="57" t="s">
        <v>55</v>
      </c>
      <c r="D595" s="57"/>
      <c r="E595" s="129"/>
    </row>
    <row r="596" spans="1:5">
      <c r="A596" s="123"/>
      <c r="B596" s="125"/>
      <c r="C596" s="124" t="s">
        <v>62</v>
      </c>
      <c r="D596" s="57"/>
    </row>
    <row r="597" spans="1:5">
      <c r="A597" s="117"/>
      <c r="B597" s="117" t="s">
        <v>289</v>
      </c>
      <c r="C597" s="54" t="s">
        <v>273</v>
      </c>
      <c r="D597" s="54"/>
    </row>
    <row r="598" spans="1:5">
      <c r="A598" s="64"/>
      <c r="B598" s="64"/>
      <c r="C598" s="54" t="s">
        <v>445</v>
      </c>
      <c r="D598" s="54"/>
    </row>
    <row r="599" spans="1:5">
      <c r="A599" s="64"/>
      <c r="B599" s="64"/>
      <c r="C599" s="54" t="s">
        <v>271</v>
      </c>
      <c r="D599" s="54"/>
    </row>
    <row r="600" spans="1:5">
      <c r="A600" s="64"/>
      <c r="B600" s="64"/>
      <c r="C600" s="54" t="s">
        <v>272</v>
      </c>
      <c r="D600" s="54"/>
    </row>
    <row r="601" spans="1:5">
      <c r="A601" s="64"/>
      <c r="B601" s="64"/>
      <c r="C601" s="54" t="s">
        <v>383</v>
      </c>
      <c r="D601" s="54"/>
    </row>
    <row r="602" spans="1:5">
      <c r="A602" s="64"/>
      <c r="B602" s="64"/>
      <c r="C602" s="54" t="s">
        <v>384</v>
      </c>
      <c r="D602" s="54"/>
    </row>
    <row r="603" spans="1:5">
      <c r="A603" s="64"/>
      <c r="B603" s="64"/>
      <c r="C603" s="54" t="s">
        <v>385</v>
      </c>
      <c r="D603" s="54"/>
    </row>
    <row r="604" spans="1:5">
      <c r="A604" s="64"/>
      <c r="B604" s="64"/>
      <c r="C604" s="54" t="s">
        <v>386</v>
      </c>
      <c r="D604" s="54"/>
    </row>
    <row r="605" spans="1:5">
      <c r="A605" s="64"/>
      <c r="B605" s="64"/>
      <c r="C605" s="54" t="s">
        <v>274</v>
      </c>
      <c r="D605" s="54"/>
    </row>
    <row r="606" spans="1:5">
      <c r="A606" s="64"/>
      <c r="B606" s="64"/>
      <c r="C606" s="54" t="s">
        <v>387</v>
      </c>
      <c r="D606" s="54"/>
    </row>
    <row r="607" spans="1:5">
      <c r="A607" s="64"/>
      <c r="B607" s="64"/>
      <c r="C607" s="54" t="s">
        <v>388</v>
      </c>
      <c r="D607" s="54"/>
    </row>
    <row r="608" spans="1:5">
      <c r="A608" s="64"/>
      <c r="B608" s="64"/>
      <c r="C608" s="54" t="s">
        <v>389</v>
      </c>
      <c r="D608" s="54"/>
    </row>
    <row r="609" spans="1:5">
      <c r="A609" s="64"/>
      <c r="B609" s="64"/>
      <c r="C609" s="54" t="s">
        <v>390</v>
      </c>
      <c r="D609" s="54"/>
    </row>
    <row r="610" spans="1:5">
      <c r="A610" s="64"/>
      <c r="B610" s="64"/>
      <c r="C610" s="54" t="s">
        <v>391</v>
      </c>
      <c r="D610" s="54"/>
    </row>
    <row r="611" spans="1:5">
      <c r="A611" s="64"/>
      <c r="B611" s="64"/>
      <c r="C611" s="54" t="s">
        <v>275</v>
      </c>
      <c r="D611" s="54"/>
    </row>
    <row r="612" spans="1:5">
      <c r="A612" s="64"/>
      <c r="B612" s="64"/>
      <c r="C612" s="54" t="s">
        <v>392</v>
      </c>
      <c r="D612" s="54"/>
    </row>
    <row r="613" spans="1:5">
      <c r="A613" s="64"/>
      <c r="B613" s="64"/>
      <c r="C613" s="54" t="s">
        <v>276</v>
      </c>
      <c r="D613" s="54"/>
    </row>
    <row r="614" spans="1:5">
      <c r="A614" s="64"/>
      <c r="B614" s="64"/>
      <c r="C614" s="54" t="s">
        <v>277</v>
      </c>
      <c r="D614" s="54"/>
    </row>
    <row r="615" spans="1:5">
      <c r="A615" s="64"/>
      <c r="B615" s="64"/>
      <c r="C615" s="54" t="s">
        <v>393</v>
      </c>
      <c r="D615" s="54"/>
    </row>
    <row r="616" spans="1:5">
      <c r="A616" s="64"/>
      <c r="B616" s="64"/>
      <c r="C616" s="54" t="s">
        <v>394</v>
      </c>
      <c r="D616" s="54"/>
    </row>
    <row r="617" spans="1:5">
      <c r="A617" s="64"/>
      <c r="B617" s="64"/>
      <c r="C617" s="54" t="s">
        <v>395</v>
      </c>
      <c r="D617" s="54"/>
    </row>
    <row r="618" spans="1:5">
      <c r="A618" s="64"/>
      <c r="B618" s="64"/>
      <c r="C618" s="54" t="s">
        <v>278</v>
      </c>
      <c r="D618" s="54"/>
    </row>
    <row r="619" spans="1:5">
      <c r="A619" s="64"/>
      <c r="B619" s="64"/>
      <c r="C619" s="54" t="s">
        <v>279</v>
      </c>
      <c r="D619" s="54"/>
    </row>
    <row r="620" spans="1:5">
      <c r="A620" s="64"/>
      <c r="B620" s="64"/>
      <c r="C620" s="54" t="s">
        <v>130</v>
      </c>
      <c r="D620" s="54"/>
    </row>
    <row r="621" spans="1:5">
      <c r="A621" s="64"/>
      <c r="B621" s="64"/>
      <c r="C621" s="54" t="s">
        <v>1144</v>
      </c>
      <c r="D621" s="54"/>
      <c r="E621" s="13" t="s">
        <v>1182</v>
      </c>
    </row>
    <row r="622" spans="1:5">
      <c r="A622" s="68"/>
      <c r="B622" s="68" t="s">
        <v>24</v>
      </c>
      <c r="C622" s="57" t="s">
        <v>446</v>
      </c>
      <c r="D622" s="57"/>
    </row>
    <row r="623" spans="1:5">
      <c r="A623" s="69"/>
      <c r="B623" s="69"/>
      <c r="C623" s="57" t="s">
        <v>112</v>
      </c>
      <c r="D623" s="57"/>
    </row>
    <row r="624" spans="1:5">
      <c r="A624" s="69"/>
      <c r="B624" s="69"/>
      <c r="C624" s="57" t="s">
        <v>105</v>
      </c>
      <c r="D624" s="57"/>
    </row>
    <row r="625" spans="1:5">
      <c r="A625" s="69"/>
      <c r="B625" s="69"/>
      <c r="C625" s="57" t="s">
        <v>87</v>
      </c>
      <c r="D625" s="57"/>
    </row>
    <row r="626" spans="1:5">
      <c r="A626" s="69"/>
      <c r="B626" s="69"/>
      <c r="C626" s="57" t="s">
        <v>1163</v>
      </c>
      <c r="D626" s="57"/>
      <c r="E626" s="13" t="s">
        <v>1182</v>
      </c>
    </row>
    <row r="627" spans="1:5">
      <c r="A627" s="69"/>
      <c r="B627" s="69"/>
      <c r="C627" s="57" t="s">
        <v>60</v>
      </c>
      <c r="D627" s="57"/>
    </row>
    <row r="628" spans="1:5">
      <c r="A628" s="69"/>
      <c r="B628" s="69"/>
      <c r="C628" s="57" t="s">
        <v>93</v>
      </c>
      <c r="D628" s="57"/>
    </row>
    <row r="629" spans="1:5">
      <c r="A629" s="69"/>
      <c r="B629" s="69"/>
      <c r="C629" s="57" t="s">
        <v>75</v>
      </c>
      <c r="D629" s="57"/>
    </row>
    <row r="630" spans="1:5">
      <c r="A630" s="69"/>
      <c r="B630" s="69"/>
      <c r="C630" s="57" t="s">
        <v>68</v>
      </c>
      <c r="D630" s="57"/>
    </row>
    <row r="631" spans="1:5">
      <c r="A631" s="69"/>
      <c r="B631" s="69"/>
      <c r="C631" s="57" t="s">
        <v>82</v>
      </c>
      <c r="D631" s="57"/>
    </row>
    <row r="632" spans="1:5">
      <c r="A632" s="69"/>
      <c r="B632" s="69"/>
      <c r="C632" s="57" t="s">
        <v>397</v>
      </c>
      <c r="D632" s="57"/>
    </row>
    <row r="633" spans="1:5">
      <c r="A633" s="70"/>
      <c r="B633" s="70"/>
      <c r="C633" s="57" t="s">
        <v>102</v>
      </c>
      <c r="D633" s="57"/>
    </row>
    <row r="634" spans="1:5">
      <c r="A634" s="64"/>
      <c r="B634" s="122" t="s">
        <v>286</v>
      </c>
      <c r="C634" s="54" t="s">
        <v>600</v>
      </c>
      <c r="D634" s="54" t="s">
        <v>1162</v>
      </c>
    </row>
    <row r="635" spans="1:5">
      <c r="A635" s="64"/>
      <c r="B635" s="122"/>
      <c r="C635" s="54" t="s">
        <v>294</v>
      </c>
      <c r="D635" s="54" t="s">
        <v>336</v>
      </c>
    </row>
    <row r="636" spans="1:5">
      <c r="A636" s="64"/>
      <c r="B636" s="122"/>
      <c r="C636" s="54" t="s">
        <v>295</v>
      </c>
      <c r="D636" s="54" t="s">
        <v>337</v>
      </c>
    </row>
    <row r="637" spans="1:5">
      <c r="A637" s="64"/>
      <c r="B637" s="122"/>
      <c r="C637" s="54" t="s">
        <v>296</v>
      </c>
      <c r="D637" s="54" t="s">
        <v>338</v>
      </c>
    </row>
    <row r="638" spans="1:5">
      <c r="A638" s="64"/>
      <c r="B638" s="122"/>
      <c r="C638" s="54" t="s">
        <v>284</v>
      </c>
      <c r="D638" s="54" t="s">
        <v>292</v>
      </c>
    </row>
    <row r="639" spans="1:5">
      <c r="A639" s="64"/>
      <c r="B639" s="122"/>
      <c r="C639" s="54" t="s">
        <v>285</v>
      </c>
      <c r="D639" s="54" t="s">
        <v>293</v>
      </c>
    </row>
    <row r="640" spans="1:5">
      <c r="A640" s="64"/>
      <c r="B640" s="122"/>
      <c r="C640" s="54" t="s">
        <v>601</v>
      </c>
      <c r="D640" s="54" t="s">
        <v>602</v>
      </c>
    </row>
    <row r="641" spans="1:4">
      <c r="A641" s="64"/>
      <c r="B641" s="122"/>
      <c r="C641" s="54" t="s">
        <v>287</v>
      </c>
      <c r="D641" s="54" t="s">
        <v>287</v>
      </c>
    </row>
    <row r="642" spans="1:4">
      <c r="A642" s="64"/>
      <c r="B642" s="122"/>
      <c r="C642" s="54" t="s">
        <v>102</v>
      </c>
      <c r="D642" s="54"/>
    </row>
    <row r="643" spans="1:4">
      <c r="A643" s="71"/>
      <c r="B643" s="71" t="s">
        <v>288</v>
      </c>
      <c r="C643" s="57" t="s">
        <v>447</v>
      </c>
      <c r="D643" s="57" t="s">
        <v>448</v>
      </c>
    </row>
    <row r="644" spans="1:4">
      <c r="A644" s="72"/>
      <c r="B644" s="72"/>
      <c r="C644" s="57" t="s">
        <v>450</v>
      </c>
      <c r="D644" s="57" t="s">
        <v>449</v>
      </c>
    </row>
    <row r="645" spans="1:4">
      <c r="A645" s="72"/>
      <c r="B645" s="72"/>
      <c r="C645" s="57" t="s">
        <v>452</v>
      </c>
      <c r="D645" s="57" t="s">
        <v>451</v>
      </c>
    </row>
    <row r="646" spans="1:4">
      <c r="A646" s="72"/>
      <c r="B646" s="72"/>
      <c r="C646" s="57" t="s">
        <v>454</v>
      </c>
      <c r="D646" s="57" t="s">
        <v>453</v>
      </c>
    </row>
    <row r="647" spans="1:4">
      <c r="A647" s="72"/>
      <c r="B647" s="72"/>
      <c r="C647" s="57" t="s">
        <v>941</v>
      </c>
      <c r="D647" s="57"/>
    </row>
    <row r="648" spans="1:4">
      <c r="A648" s="73"/>
      <c r="B648" s="73"/>
      <c r="C648" s="57" t="s">
        <v>102</v>
      </c>
      <c r="D648" s="57"/>
    </row>
    <row r="649" spans="1:4">
      <c r="A649" s="64"/>
      <c r="B649" s="122" t="s">
        <v>917</v>
      </c>
      <c r="C649" s="54" t="s">
        <v>302</v>
      </c>
      <c r="D649" s="54"/>
    </row>
    <row r="650" spans="1:4">
      <c r="A650" s="64"/>
      <c r="B650" s="122"/>
      <c r="C650" s="54" t="s">
        <v>303</v>
      </c>
      <c r="D650" s="54"/>
    </row>
    <row r="651" spans="1:4">
      <c r="A651" s="64"/>
      <c r="B651" s="122"/>
      <c r="C651" s="54" t="s">
        <v>775</v>
      </c>
      <c r="D651" s="54"/>
    </row>
    <row r="652" spans="1:4">
      <c r="A652" s="64"/>
      <c r="B652" s="122"/>
      <c r="C652" s="54" t="s">
        <v>301</v>
      </c>
      <c r="D652" s="54"/>
    </row>
    <row r="653" spans="1:4">
      <c r="A653" s="64"/>
      <c r="B653" s="122"/>
      <c r="C653" s="54" t="s">
        <v>102</v>
      </c>
      <c r="D653" s="54"/>
    </row>
    <row r="654" spans="1:4">
      <c r="A654" s="71"/>
      <c r="B654" s="71" t="s">
        <v>372</v>
      </c>
      <c r="C654" s="57" t="s">
        <v>304</v>
      </c>
      <c r="D654" s="57"/>
    </row>
    <row r="655" spans="1:4">
      <c r="A655" s="72"/>
      <c r="B655" s="72"/>
      <c r="C655" s="57" t="s">
        <v>305</v>
      </c>
      <c r="D655" s="57"/>
    </row>
    <row r="656" spans="1:4">
      <c r="A656" s="64"/>
      <c r="B656" s="122" t="s">
        <v>26</v>
      </c>
      <c r="C656" s="54" t="s">
        <v>17</v>
      </c>
      <c r="D656" s="54"/>
    </row>
    <row r="657" spans="1:4">
      <c r="A657" s="64"/>
      <c r="B657" s="122"/>
      <c r="C657" s="54" t="s">
        <v>27</v>
      </c>
      <c r="D657" s="54"/>
    </row>
    <row r="658" spans="1:4">
      <c r="A658" s="71"/>
      <c r="B658" s="71" t="s">
        <v>612</v>
      </c>
      <c r="C658" s="57" t="s">
        <v>356</v>
      </c>
      <c r="D658" s="57"/>
    </row>
    <row r="659" spans="1:4">
      <c r="A659" s="72"/>
      <c r="B659" s="72"/>
      <c r="C659" s="57" t="s">
        <v>357</v>
      </c>
      <c r="D659" s="57"/>
    </row>
    <row r="660" spans="1:4">
      <c r="A660" s="72"/>
      <c r="B660" s="72"/>
      <c r="C660" s="57" t="s">
        <v>358</v>
      </c>
      <c r="D660" s="57"/>
    </row>
    <row r="661" spans="1:4">
      <c r="A661" s="72"/>
      <c r="B661" s="72"/>
      <c r="C661" s="57" t="s">
        <v>359</v>
      </c>
      <c r="D661" s="57"/>
    </row>
    <row r="662" spans="1:4">
      <c r="A662" s="72"/>
      <c r="B662" s="72"/>
      <c r="C662" s="57" t="s">
        <v>360</v>
      </c>
      <c r="D662" s="57"/>
    </row>
    <row r="663" spans="1:4">
      <c r="A663" s="72"/>
      <c r="B663" s="72"/>
      <c r="C663" s="57" t="s">
        <v>361</v>
      </c>
      <c r="D663" s="57"/>
    </row>
    <row r="664" spans="1:4">
      <c r="A664" s="72"/>
      <c r="B664" s="72"/>
      <c r="C664" s="57" t="s">
        <v>102</v>
      </c>
      <c r="D664" s="57"/>
    </row>
    <row r="665" spans="1:4">
      <c r="A665" s="73"/>
      <c r="B665" s="73"/>
      <c r="C665" s="57" t="s">
        <v>362</v>
      </c>
      <c r="D665" s="57"/>
    </row>
    <row r="666" spans="1:4">
      <c r="A666" s="64"/>
      <c r="B666" s="122" t="s">
        <v>308</v>
      </c>
      <c r="C666" s="54" t="s">
        <v>363</v>
      </c>
      <c r="D666" s="54"/>
    </row>
    <row r="667" spans="1:4">
      <c r="A667" s="64"/>
      <c r="B667" s="122"/>
      <c r="C667" s="54" t="s">
        <v>370</v>
      </c>
      <c r="D667" s="54"/>
    </row>
    <row r="668" spans="1:4">
      <c r="A668" s="71"/>
      <c r="B668" s="71" t="s">
        <v>309</v>
      </c>
      <c r="C668" s="57" t="s">
        <v>685</v>
      </c>
      <c r="D668" s="57"/>
    </row>
    <row r="669" spans="1:4">
      <c r="A669" s="72"/>
      <c r="B669" s="72"/>
      <c r="C669" s="57" t="s">
        <v>686</v>
      </c>
      <c r="D669" s="57"/>
    </row>
    <row r="670" spans="1:4">
      <c r="A670" s="72"/>
      <c r="B670" s="72"/>
      <c r="C670" s="57" t="s">
        <v>319</v>
      </c>
      <c r="D670" s="57"/>
    </row>
    <row r="671" spans="1:4">
      <c r="A671" s="72"/>
      <c r="B671" s="72"/>
      <c r="C671" s="57" t="s">
        <v>324</v>
      </c>
      <c r="D671" s="57"/>
    </row>
    <row r="672" spans="1:4">
      <c r="A672" s="72"/>
      <c r="B672" s="72"/>
      <c r="C672" s="57" t="s">
        <v>321</v>
      </c>
      <c r="D672" s="57"/>
    </row>
    <row r="673" spans="1:4">
      <c r="A673" s="72"/>
      <c r="B673" s="72"/>
      <c r="C673" s="57" t="s">
        <v>320</v>
      </c>
      <c r="D673" s="57"/>
    </row>
    <row r="674" spans="1:4">
      <c r="A674" s="72"/>
      <c r="B674" s="72"/>
      <c r="C674" s="57" t="s">
        <v>325</v>
      </c>
      <c r="D674" s="57"/>
    </row>
    <row r="675" spans="1:4">
      <c r="A675" s="72"/>
      <c r="B675" s="72"/>
      <c r="C675" s="57" t="s">
        <v>322</v>
      </c>
      <c r="D675" s="57"/>
    </row>
    <row r="676" spans="1:4">
      <c r="A676" s="72"/>
      <c r="B676" s="72"/>
      <c r="C676" s="57" t="s">
        <v>443</v>
      </c>
      <c r="D676" s="57"/>
    </row>
    <row r="677" spans="1:4">
      <c r="A677" s="72"/>
      <c r="B677" s="72"/>
      <c r="C677" s="57" t="s">
        <v>323</v>
      </c>
      <c r="D677" s="57"/>
    </row>
    <row r="678" spans="1:4">
      <c r="A678" s="72"/>
      <c r="B678" s="72"/>
      <c r="C678" s="57" t="s">
        <v>130</v>
      </c>
      <c r="D678" s="57"/>
    </row>
    <row r="679" spans="1:4">
      <c r="A679" s="73"/>
      <c r="B679" s="73"/>
      <c r="C679" s="57" t="s">
        <v>362</v>
      </c>
      <c r="D679" s="57"/>
    </row>
    <row r="680" spans="1:4">
      <c r="A680" s="93"/>
      <c r="B680" s="93" t="s">
        <v>310</v>
      </c>
      <c r="C680" s="54" t="s">
        <v>356</v>
      </c>
      <c r="D680" s="54"/>
    </row>
    <row r="681" spans="1:4">
      <c r="A681" s="95"/>
      <c r="B681" s="95"/>
      <c r="C681" s="54" t="s">
        <v>357</v>
      </c>
      <c r="D681" s="54"/>
    </row>
    <row r="682" spans="1:4">
      <c r="A682" s="95"/>
      <c r="B682" s="95"/>
      <c r="C682" s="54" t="s">
        <v>358</v>
      </c>
      <c r="D682" s="54"/>
    </row>
    <row r="683" spans="1:4">
      <c r="A683" s="95"/>
      <c r="B683" s="95"/>
      <c r="C683" s="54" t="s">
        <v>359</v>
      </c>
      <c r="D683" s="54"/>
    </row>
    <row r="684" spans="1:4">
      <c r="A684" s="95"/>
      <c r="B684" s="95"/>
      <c r="C684" s="54" t="s">
        <v>360</v>
      </c>
      <c r="D684" s="54"/>
    </row>
    <row r="685" spans="1:4">
      <c r="A685" s="95"/>
      <c r="B685" s="95"/>
      <c r="C685" s="54" t="s">
        <v>361</v>
      </c>
      <c r="D685" s="54"/>
    </row>
    <row r="686" spans="1:4">
      <c r="A686" s="95"/>
      <c r="B686" s="95"/>
      <c r="C686" s="54" t="s">
        <v>102</v>
      </c>
      <c r="D686" s="54"/>
    </row>
    <row r="687" spans="1:4">
      <c r="A687" s="95"/>
      <c r="B687" s="95"/>
      <c r="C687" s="54" t="s">
        <v>362</v>
      </c>
      <c r="D687" s="54"/>
    </row>
    <row r="688" spans="1:4">
      <c r="A688" s="71"/>
      <c r="B688" s="68" t="s">
        <v>369</v>
      </c>
      <c r="C688" s="57" t="s">
        <v>339</v>
      </c>
      <c r="D688" s="57"/>
    </row>
    <row r="689" spans="1:4">
      <c r="A689" s="72"/>
      <c r="B689" s="70"/>
      <c r="C689" s="57" t="s">
        <v>340</v>
      </c>
      <c r="D689" s="57"/>
    </row>
    <row r="690" spans="1:4">
      <c r="A690" s="93"/>
      <c r="B690" s="93" t="s">
        <v>737</v>
      </c>
      <c r="C690" s="54" t="s">
        <v>341</v>
      </c>
      <c r="D690" s="54"/>
    </row>
    <row r="691" spans="1:4">
      <c r="A691" s="95"/>
      <c r="B691" s="95"/>
      <c r="C691" s="54" t="s">
        <v>342</v>
      </c>
      <c r="D691" s="54"/>
    </row>
    <row r="692" spans="1:4">
      <c r="A692" s="71"/>
      <c r="B692" s="71" t="s">
        <v>343</v>
      </c>
      <c r="C692" s="57" t="s">
        <v>398</v>
      </c>
      <c r="D692" s="57"/>
    </row>
    <row r="693" spans="1:4">
      <c r="A693" s="72"/>
      <c r="B693" s="72"/>
      <c r="C693" s="57" t="s">
        <v>381</v>
      </c>
      <c r="D693" s="57"/>
    </row>
    <row r="694" spans="1:4">
      <c r="A694" s="72"/>
      <c r="B694" s="72"/>
      <c r="C694" s="57" t="s">
        <v>376</v>
      </c>
      <c r="D694" s="57"/>
    </row>
    <row r="695" spans="1:4">
      <c r="A695" s="72"/>
      <c r="B695" s="72"/>
      <c r="C695" s="57" t="s">
        <v>333</v>
      </c>
      <c r="D695" s="57"/>
    </row>
    <row r="696" spans="1:4">
      <c r="A696" s="72"/>
      <c r="B696" s="72"/>
      <c r="C696" s="57" t="s">
        <v>73</v>
      </c>
      <c r="D696" s="57"/>
    </row>
    <row r="697" spans="1:4">
      <c r="A697" s="72"/>
      <c r="B697" s="72"/>
      <c r="C697" s="57" t="s">
        <v>9</v>
      </c>
      <c r="D697" s="57"/>
    </row>
    <row r="698" spans="1:4">
      <c r="A698" s="72"/>
      <c r="B698" s="72"/>
      <c r="C698" s="57" t="s">
        <v>344</v>
      </c>
      <c r="D698" s="57"/>
    </row>
    <row r="699" spans="1:4">
      <c r="A699" s="72"/>
      <c r="B699" s="72"/>
      <c r="C699" s="57" t="s">
        <v>332</v>
      </c>
      <c r="D699" s="57"/>
    </row>
    <row r="700" spans="1:4">
      <c r="A700" s="72"/>
      <c r="B700" s="72"/>
      <c r="C700" s="57" t="s">
        <v>102</v>
      </c>
      <c r="D700" s="57"/>
    </row>
    <row r="701" spans="1:4">
      <c r="A701" s="93"/>
      <c r="B701" s="93" t="s">
        <v>463</v>
      </c>
      <c r="C701" s="54" t="s">
        <v>414</v>
      </c>
      <c r="D701" s="54"/>
    </row>
    <row r="702" spans="1:4">
      <c r="A702" s="95"/>
      <c r="B702" s="95"/>
      <c r="C702" s="54" t="s">
        <v>262</v>
      </c>
      <c r="D702" s="54"/>
    </row>
    <row r="703" spans="1:4">
      <c r="A703" s="95"/>
      <c r="B703" s="95"/>
      <c r="C703" s="54" t="s">
        <v>172</v>
      </c>
      <c r="D703" s="54"/>
    </row>
    <row r="704" spans="1:4">
      <c r="A704" s="95"/>
      <c r="B704" s="95"/>
      <c r="C704" s="54" t="s">
        <v>637</v>
      </c>
      <c r="D704" s="54"/>
    </row>
    <row r="705" spans="1:5">
      <c r="A705" s="95"/>
      <c r="B705" s="95"/>
      <c r="C705" s="54" t="s">
        <v>156</v>
      </c>
      <c r="D705" s="54"/>
    </row>
    <row r="706" spans="1:5">
      <c r="A706" s="95"/>
      <c r="B706" s="95"/>
      <c r="C706" s="54" t="s">
        <v>631</v>
      </c>
      <c r="D706" s="54"/>
    </row>
    <row r="707" spans="1:5">
      <c r="A707" s="95"/>
      <c r="B707" s="95"/>
      <c r="C707" s="54" t="s">
        <v>633</v>
      </c>
      <c r="D707" s="54"/>
    </row>
    <row r="708" spans="1:5">
      <c r="A708" s="95"/>
      <c r="B708" s="95"/>
      <c r="C708" s="54" t="s">
        <v>66</v>
      </c>
      <c r="D708" s="54"/>
    </row>
    <row r="709" spans="1:5">
      <c r="A709" s="95"/>
      <c r="B709" s="95"/>
      <c r="C709" s="54" t="s">
        <v>269</v>
      </c>
      <c r="D709" s="54"/>
    </row>
    <row r="710" spans="1:5">
      <c r="A710" s="95"/>
      <c r="B710" s="95"/>
      <c r="C710" s="54" t="s">
        <v>638</v>
      </c>
      <c r="D710" s="54"/>
    </row>
    <row r="711" spans="1:5">
      <c r="A711" s="95"/>
      <c r="B711" s="95"/>
      <c r="C711" s="54" t="s">
        <v>140</v>
      </c>
      <c r="D711" s="54"/>
    </row>
    <row r="712" spans="1:5">
      <c r="A712" s="95"/>
      <c r="B712" s="95"/>
      <c r="C712" s="54" t="s">
        <v>256</v>
      </c>
      <c r="D712" s="54"/>
    </row>
    <row r="713" spans="1:5">
      <c r="A713" s="95"/>
      <c r="B713" s="95"/>
      <c r="C713" s="54" t="s">
        <v>122</v>
      </c>
      <c r="D713" s="54"/>
    </row>
    <row r="714" spans="1:5">
      <c r="A714" s="95"/>
      <c r="B714" s="95"/>
      <c r="C714" s="54" t="s">
        <v>270</v>
      </c>
      <c r="D714" s="54"/>
    </row>
    <row r="715" spans="1:5">
      <c r="A715" s="95"/>
      <c r="B715" s="95"/>
      <c r="C715" s="54" t="s">
        <v>692</v>
      </c>
      <c r="D715" s="54"/>
    </row>
    <row r="716" spans="1:5">
      <c r="A716" s="95"/>
      <c r="B716" s="95"/>
      <c r="C716" s="54" t="s">
        <v>1152</v>
      </c>
      <c r="D716" s="54" t="s">
        <v>639</v>
      </c>
      <c r="E716" s="13" t="s">
        <v>1182</v>
      </c>
    </row>
    <row r="717" spans="1:5">
      <c r="A717" s="95"/>
      <c r="B717" s="95"/>
      <c r="C717" s="54" t="s">
        <v>267</v>
      </c>
      <c r="D717" s="54"/>
    </row>
    <row r="718" spans="1:5">
      <c r="A718" s="95"/>
      <c r="B718" s="95"/>
      <c r="C718" s="54" t="s">
        <v>264</v>
      </c>
      <c r="D718" s="54"/>
    </row>
    <row r="719" spans="1:5">
      <c r="A719" s="95"/>
      <c r="B719" s="95"/>
      <c r="C719" s="54" t="s">
        <v>265</v>
      </c>
      <c r="D719" s="54"/>
    </row>
    <row r="720" spans="1:5">
      <c r="A720" s="95"/>
      <c r="B720" s="95"/>
      <c r="C720" s="54" t="s">
        <v>167</v>
      </c>
      <c r="D720" s="54"/>
    </row>
    <row r="721" spans="1:4">
      <c r="A721" s="95"/>
      <c r="B721" s="95"/>
      <c r="C721" s="54" t="s">
        <v>254</v>
      </c>
      <c r="D721" s="54"/>
    </row>
    <row r="722" spans="1:4">
      <c r="A722" s="95"/>
      <c r="B722" s="95"/>
      <c r="C722" s="54" t="s">
        <v>261</v>
      </c>
      <c r="D722" s="54"/>
    </row>
    <row r="723" spans="1:4">
      <c r="A723" s="95"/>
      <c r="B723" s="95"/>
      <c r="C723" s="54" t="s">
        <v>71</v>
      </c>
      <c r="D723" s="54"/>
    </row>
    <row r="724" spans="1:4">
      <c r="A724" s="95"/>
      <c r="B724" s="95"/>
      <c r="C724" s="54" t="s">
        <v>259</v>
      </c>
      <c r="D724" s="54"/>
    </row>
    <row r="725" spans="1:4">
      <c r="A725" s="95"/>
      <c r="B725" s="95"/>
      <c r="C725" s="54" t="s">
        <v>75</v>
      </c>
      <c r="D725" s="54"/>
    </row>
    <row r="726" spans="1:4">
      <c r="A726" s="95"/>
      <c r="B726" s="95"/>
      <c r="C726" s="54" t="s">
        <v>263</v>
      </c>
      <c r="D726" s="54"/>
    </row>
    <row r="727" spans="1:4">
      <c r="A727" s="95"/>
      <c r="B727" s="95"/>
      <c r="C727" s="54" t="s">
        <v>635</v>
      </c>
      <c r="D727" s="54"/>
    </row>
    <row r="728" spans="1:4">
      <c r="A728" s="95"/>
      <c r="B728" s="95"/>
      <c r="C728" s="54" t="s">
        <v>636</v>
      </c>
      <c r="D728" s="54"/>
    </row>
    <row r="729" spans="1:4">
      <c r="A729" s="95"/>
      <c r="B729" s="95"/>
      <c r="C729" s="54" t="s">
        <v>266</v>
      </c>
      <c r="D729" s="54"/>
    </row>
    <row r="730" spans="1:4">
      <c r="A730" s="95"/>
      <c r="B730" s="95"/>
      <c r="C730" s="54" t="s">
        <v>85</v>
      </c>
      <c r="D730" s="54"/>
    </row>
    <row r="731" spans="1:4">
      <c r="A731" s="95"/>
      <c r="B731" s="95"/>
      <c r="C731" s="54" t="s">
        <v>632</v>
      </c>
      <c r="D731" s="54"/>
    </row>
    <row r="732" spans="1:4">
      <c r="A732" s="95"/>
      <c r="B732" s="95"/>
      <c r="C732" s="54" t="s">
        <v>630</v>
      </c>
      <c r="D732" s="54"/>
    </row>
    <row r="733" spans="1:4">
      <c r="A733" s="95"/>
      <c r="B733" s="95"/>
      <c r="C733" s="54" t="s">
        <v>640</v>
      </c>
      <c r="D733" s="54"/>
    </row>
    <row r="734" spans="1:4">
      <c r="A734" s="95"/>
      <c r="B734" s="95"/>
      <c r="C734" s="54" t="s">
        <v>255</v>
      </c>
      <c r="D734" s="54"/>
    </row>
    <row r="735" spans="1:4">
      <c r="A735" s="95"/>
      <c r="B735" s="95"/>
      <c r="C735" s="54" t="s">
        <v>722</v>
      </c>
      <c r="D735" s="54"/>
    </row>
    <row r="736" spans="1:4">
      <c r="A736" s="95"/>
      <c r="B736" s="95"/>
      <c r="C736" s="54" t="s">
        <v>34</v>
      </c>
      <c r="D736" s="54"/>
    </row>
    <row r="737" spans="1:4">
      <c r="A737" s="95"/>
      <c r="B737" s="95"/>
      <c r="C737" s="54" t="s">
        <v>629</v>
      </c>
      <c r="D737" s="54"/>
    </row>
    <row r="738" spans="1:4">
      <c r="A738" s="95"/>
      <c r="B738" s="95"/>
      <c r="C738" s="54" t="s">
        <v>268</v>
      </c>
      <c r="D738" s="54"/>
    </row>
    <row r="739" spans="1:4">
      <c r="A739" s="95"/>
      <c r="B739" s="95"/>
      <c r="C739" s="54" t="s">
        <v>634</v>
      </c>
      <c r="D739" s="54"/>
    </row>
    <row r="740" spans="1:4">
      <c r="A740" s="95"/>
      <c r="B740" s="95"/>
      <c r="C740" s="54" t="s">
        <v>252</v>
      </c>
      <c r="D740" s="54"/>
    </row>
    <row r="741" spans="1:4">
      <c r="A741" s="95"/>
      <c r="B741" s="95"/>
      <c r="C741" s="54" t="s">
        <v>258</v>
      </c>
      <c r="D741" s="54"/>
    </row>
    <row r="742" spans="1:4">
      <c r="A742" s="95"/>
      <c r="B742" s="95"/>
      <c r="C742" s="54" t="s">
        <v>257</v>
      </c>
      <c r="D742" s="54"/>
    </row>
    <row r="743" spans="1:4">
      <c r="A743" s="95"/>
      <c r="B743" s="95"/>
      <c r="C743" s="54" t="s">
        <v>174</v>
      </c>
      <c r="D743" s="54"/>
    </row>
    <row r="744" spans="1:4">
      <c r="A744" s="95"/>
      <c r="B744" s="95"/>
      <c r="C744" s="54" t="s">
        <v>253</v>
      </c>
      <c r="D744" s="54"/>
    </row>
    <row r="745" spans="1:4">
      <c r="A745" s="95"/>
      <c r="B745" s="95"/>
      <c r="C745" s="54" t="s">
        <v>169</v>
      </c>
      <c r="D745" s="54"/>
    </row>
    <row r="746" spans="1:4">
      <c r="A746" s="95"/>
      <c r="B746" s="95"/>
      <c r="C746" s="54" t="s">
        <v>170</v>
      </c>
      <c r="D746" s="54"/>
    </row>
    <row r="747" spans="1:4">
      <c r="A747" s="95"/>
      <c r="B747" s="95"/>
      <c r="C747" s="54" t="s">
        <v>165</v>
      </c>
      <c r="D747" s="54"/>
    </row>
    <row r="748" spans="1:4">
      <c r="A748" s="95"/>
      <c r="B748" s="95"/>
      <c r="C748" s="54" t="s">
        <v>260</v>
      </c>
      <c r="D748" s="54"/>
    </row>
    <row r="749" spans="1:4">
      <c r="A749" s="95"/>
      <c r="B749" s="95"/>
      <c r="C749" s="54" t="s">
        <v>163</v>
      </c>
      <c r="D749" s="54"/>
    </row>
    <row r="750" spans="1:4">
      <c r="A750" s="95"/>
      <c r="B750" s="95"/>
      <c r="C750" s="54" t="s">
        <v>53</v>
      </c>
      <c r="D750" s="54"/>
    </row>
    <row r="751" spans="1:4">
      <c r="A751" s="95"/>
      <c r="B751" s="95"/>
      <c r="C751" s="54" t="s">
        <v>59</v>
      </c>
      <c r="D751" s="54"/>
    </row>
    <row r="752" spans="1:4">
      <c r="A752" s="95"/>
      <c r="B752" s="95"/>
      <c r="C752" s="54" t="s">
        <v>67</v>
      </c>
      <c r="D752" s="54"/>
    </row>
    <row r="753" spans="1:4">
      <c r="A753" s="95"/>
      <c r="B753" s="95"/>
      <c r="C753" s="54" t="s">
        <v>74</v>
      </c>
      <c r="D753" s="54"/>
    </row>
    <row r="754" spans="1:4">
      <c r="A754" s="95"/>
      <c r="B754" s="95"/>
      <c r="C754" s="54" t="s">
        <v>81</v>
      </c>
      <c r="D754" s="54"/>
    </row>
    <row r="755" spans="1:4">
      <c r="A755" s="95"/>
      <c r="B755" s="95"/>
      <c r="C755" s="54" t="s">
        <v>929</v>
      </c>
      <c r="D755" s="54"/>
    </row>
    <row r="756" spans="1:4">
      <c r="A756" s="95"/>
      <c r="B756" s="95"/>
      <c r="C756" s="54" t="s">
        <v>92</v>
      </c>
      <c r="D756" s="54"/>
    </row>
    <row r="757" spans="1:4">
      <c r="A757" s="95"/>
      <c r="B757" s="95"/>
      <c r="C757" s="54" t="s">
        <v>960</v>
      </c>
      <c r="D757" s="54"/>
    </row>
    <row r="758" spans="1:4">
      <c r="A758" s="95"/>
      <c r="B758" s="95"/>
      <c r="C758" s="54" t="s">
        <v>961</v>
      </c>
      <c r="D758" s="54"/>
    </row>
    <row r="759" spans="1:4">
      <c r="A759" s="95"/>
      <c r="B759" s="95"/>
      <c r="C759" s="54" t="s">
        <v>104</v>
      </c>
      <c r="D759" s="54"/>
    </row>
    <row r="760" spans="1:4">
      <c r="A760" s="95"/>
      <c r="B760" s="95"/>
      <c r="C760" s="54" t="s">
        <v>109</v>
      </c>
      <c r="D760" s="54"/>
    </row>
    <row r="761" spans="1:4">
      <c r="A761" s="95"/>
      <c r="B761" s="95"/>
      <c r="C761" s="54" t="s">
        <v>111</v>
      </c>
      <c r="D761" s="54"/>
    </row>
    <row r="762" spans="1:4">
      <c r="A762" s="95"/>
      <c r="B762" s="95"/>
      <c r="C762" s="54" t="s">
        <v>114</v>
      </c>
      <c r="D762" s="54"/>
    </row>
    <row r="763" spans="1:4">
      <c r="A763" s="95"/>
      <c r="B763" s="95"/>
      <c r="C763" s="54" t="s">
        <v>117</v>
      </c>
      <c r="D763" s="54"/>
    </row>
    <row r="764" spans="1:4">
      <c r="A764" s="95"/>
      <c r="B764" s="95"/>
      <c r="C764" s="54" t="s">
        <v>120</v>
      </c>
      <c r="D764" s="54"/>
    </row>
    <row r="765" spans="1:4">
      <c r="A765" s="95"/>
      <c r="B765" s="95"/>
      <c r="C765" s="54" t="s">
        <v>123</v>
      </c>
      <c r="D765" s="54"/>
    </row>
    <row r="766" spans="1:4">
      <c r="A766" s="95"/>
      <c r="B766" s="95"/>
      <c r="C766" s="54" t="s">
        <v>125</v>
      </c>
      <c r="D766" s="54"/>
    </row>
    <row r="767" spans="1:4">
      <c r="A767" s="95"/>
      <c r="B767" s="95"/>
      <c r="C767" s="54" t="s">
        <v>314</v>
      </c>
      <c r="D767" s="54"/>
    </row>
    <row r="768" spans="1:4">
      <c r="A768" s="95"/>
      <c r="B768" s="95"/>
      <c r="C768" s="54" t="s">
        <v>128</v>
      </c>
      <c r="D768" s="54"/>
    </row>
    <row r="769" spans="1:5">
      <c r="A769" s="95"/>
      <c r="B769" s="95"/>
      <c r="C769" s="54" t="s">
        <v>131</v>
      </c>
      <c r="D769" s="54"/>
    </row>
    <row r="770" spans="1:5">
      <c r="A770" s="95"/>
      <c r="B770" s="95"/>
      <c r="C770" s="54" t="s">
        <v>132</v>
      </c>
      <c r="D770" s="54"/>
    </row>
    <row r="771" spans="1:5">
      <c r="A771" s="95"/>
      <c r="B771" s="95"/>
      <c r="C771" s="54" t="s">
        <v>134</v>
      </c>
      <c r="D771" s="54"/>
    </row>
    <row r="772" spans="1:5">
      <c r="A772" s="95"/>
      <c r="B772" s="95"/>
      <c r="C772" s="54" t="s">
        <v>136</v>
      </c>
      <c r="D772" s="54"/>
    </row>
    <row r="773" spans="1:5">
      <c r="A773" s="95"/>
      <c r="B773" s="95"/>
      <c r="C773" s="54" t="s">
        <v>138</v>
      </c>
      <c r="D773" s="54"/>
    </row>
    <row r="774" spans="1:5">
      <c r="A774" s="95"/>
      <c r="B774" s="95"/>
      <c r="C774" s="54" t="s">
        <v>141</v>
      </c>
      <c r="D774" s="54"/>
    </row>
    <row r="775" spans="1:5">
      <c r="A775" s="95"/>
      <c r="B775" s="95"/>
      <c r="C775" s="54" t="s">
        <v>143</v>
      </c>
      <c r="D775" s="54"/>
    </row>
    <row r="776" spans="1:5">
      <c r="A776" s="95"/>
      <c r="B776" s="95"/>
      <c r="C776" s="54" t="s">
        <v>315</v>
      </c>
      <c r="D776" s="54"/>
    </row>
    <row r="777" spans="1:5">
      <c r="A777" s="95"/>
      <c r="B777" s="95"/>
      <c r="C777" s="54" t="s">
        <v>145</v>
      </c>
      <c r="D777" s="54"/>
    </row>
    <row r="778" spans="1:5">
      <c r="A778" s="95"/>
      <c r="B778" s="95"/>
      <c r="C778" s="54" t="s">
        <v>147</v>
      </c>
      <c r="D778" s="54"/>
    </row>
    <row r="779" spans="1:5">
      <c r="A779" s="95"/>
      <c r="B779" s="95"/>
      <c r="C779" s="54" t="s">
        <v>149</v>
      </c>
      <c r="D779" s="54"/>
    </row>
    <row r="780" spans="1:5">
      <c r="A780" s="95"/>
      <c r="B780" s="95"/>
      <c r="C780" s="54" t="s">
        <v>151</v>
      </c>
      <c r="D780" s="54"/>
    </row>
    <row r="781" spans="1:5">
      <c r="A781" s="95"/>
      <c r="B781" s="95"/>
      <c r="C781" s="54" t="s">
        <v>153</v>
      </c>
      <c r="D781" s="54"/>
    </row>
    <row r="782" spans="1:5">
      <c r="A782" s="95"/>
      <c r="B782" s="95"/>
      <c r="C782" s="54" t="s">
        <v>1124</v>
      </c>
      <c r="D782" s="54"/>
      <c r="E782" s="13" t="s">
        <v>1182</v>
      </c>
    </row>
    <row r="783" spans="1:5">
      <c r="A783" s="95"/>
      <c r="B783" s="95"/>
      <c r="C783" s="54" t="s">
        <v>1123</v>
      </c>
      <c r="D783" s="54"/>
      <c r="E783" s="13" t="s">
        <v>1182</v>
      </c>
    </row>
    <row r="784" spans="1:5">
      <c r="A784" s="95"/>
      <c r="B784" s="95"/>
      <c r="C784" s="54" t="s">
        <v>954</v>
      </c>
      <c r="D784" s="54"/>
      <c r="E784" s="13" t="s">
        <v>1182</v>
      </c>
    </row>
    <row r="785" spans="1:5">
      <c r="A785" s="95"/>
      <c r="B785" s="95"/>
      <c r="C785" s="54" t="s">
        <v>157</v>
      </c>
      <c r="D785" s="54"/>
    </row>
    <row r="786" spans="1:5">
      <c r="A786" s="95"/>
      <c r="B786" s="95"/>
      <c r="C786" s="54" t="s">
        <v>158</v>
      </c>
      <c r="D786" s="54"/>
    </row>
    <row r="787" spans="1:5">
      <c r="A787" s="95"/>
      <c r="B787" s="95"/>
      <c r="C787" s="54" t="s">
        <v>159</v>
      </c>
      <c r="D787" s="54"/>
    </row>
    <row r="788" spans="1:5">
      <c r="A788" s="95"/>
      <c r="B788" s="95"/>
      <c r="C788" s="54" t="s">
        <v>160</v>
      </c>
      <c r="D788" s="54"/>
    </row>
    <row r="789" spans="1:5">
      <c r="A789" s="95"/>
      <c r="B789" s="95"/>
      <c r="C789" s="54" t="s">
        <v>161</v>
      </c>
      <c r="D789" s="54"/>
    </row>
    <row r="790" spans="1:5">
      <c r="A790" s="95"/>
      <c r="B790" s="95"/>
      <c r="C790" s="54" t="s">
        <v>956</v>
      </c>
      <c r="D790" s="54"/>
      <c r="E790" s="13" t="s">
        <v>1182</v>
      </c>
    </row>
    <row r="791" spans="1:5">
      <c r="A791" s="95"/>
      <c r="B791" s="95"/>
      <c r="C791" s="54" t="s">
        <v>164</v>
      </c>
      <c r="D791" s="54"/>
    </row>
    <row r="792" spans="1:5">
      <c r="A792" s="95"/>
      <c r="B792" s="95"/>
      <c r="C792" s="54" t="s">
        <v>166</v>
      </c>
      <c r="D792" s="54"/>
    </row>
    <row r="793" spans="1:5">
      <c r="A793" s="95"/>
      <c r="B793" s="95"/>
      <c r="C793" s="54" t="s">
        <v>168</v>
      </c>
      <c r="D793" s="54"/>
    </row>
    <row r="794" spans="1:5">
      <c r="A794" s="95"/>
      <c r="B794" s="95"/>
      <c r="C794" s="54" t="s">
        <v>171</v>
      </c>
      <c r="D794" s="54"/>
    </row>
    <row r="795" spans="1:5">
      <c r="A795" s="95"/>
      <c r="B795" s="95"/>
      <c r="C795" s="54" t="s">
        <v>173</v>
      </c>
      <c r="D795" s="54"/>
    </row>
    <row r="796" spans="1:5">
      <c r="A796" s="95"/>
      <c r="B796" s="95"/>
      <c r="C796" s="54" t="s">
        <v>175</v>
      </c>
      <c r="D796" s="54"/>
    </row>
    <row r="797" spans="1:5">
      <c r="A797" s="95"/>
      <c r="B797" s="95"/>
      <c r="C797" s="54" t="s">
        <v>177</v>
      </c>
      <c r="D797" s="54"/>
    </row>
    <row r="798" spans="1:5">
      <c r="A798" s="95"/>
      <c r="B798" s="95"/>
      <c r="C798" s="54" t="s">
        <v>178</v>
      </c>
      <c r="D798" s="54"/>
    </row>
    <row r="799" spans="1:5">
      <c r="A799" s="95"/>
      <c r="B799" s="95"/>
      <c r="C799" s="54" t="s">
        <v>179</v>
      </c>
      <c r="D799" s="54"/>
    </row>
    <row r="800" spans="1:5">
      <c r="A800" s="95"/>
      <c r="B800" s="95"/>
      <c r="C800" s="54" t="s">
        <v>180</v>
      </c>
      <c r="D800" s="54"/>
    </row>
    <row r="801" spans="1:5">
      <c r="A801" s="95"/>
      <c r="B801" s="95"/>
      <c r="C801" s="54" t="s">
        <v>181</v>
      </c>
      <c r="D801" s="54"/>
    </row>
    <row r="802" spans="1:5">
      <c r="A802" s="95"/>
      <c r="B802" s="95"/>
      <c r="C802" s="54" t="s">
        <v>182</v>
      </c>
      <c r="D802" s="54"/>
    </row>
    <row r="803" spans="1:5">
      <c r="A803" s="95"/>
      <c r="B803" s="95"/>
      <c r="C803" s="54" t="s">
        <v>183</v>
      </c>
      <c r="D803" s="54"/>
    </row>
    <row r="804" spans="1:5">
      <c r="A804" s="95"/>
      <c r="B804" s="95"/>
      <c r="C804" s="54" t="s">
        <v>510</v>
      </c>
      <c r="D804" s="54"/>
    </row>
    <row r="805" spans="1:5">
      <c r="A805" s="95"/>
      <c r="B805" s="95"/>
      <c r="C805" s="54" t="s">
        <v>184</v>
      </c>
      <c r="D805" s="54"/>
    </row>
    <row r="806" spans="1:5">
      <c r="A806" s="95"/>
      <c r="B806" s="95"/>
      <c r="C806" s="54" t="s">
        <v>185</v>
      </c>
      <c r="D806" s="54"/>
    </row>
    <row r="807" spans="1:5">
      <c r="A807" s="95"/>
      <c r="B807" s="95"/>
      <c r="C807" s="54" t="s">
        <v>186</v>
      </c>
      <c r="D807" s="54"/>
    </row>
    <row r="808" spans="1:5">
      <c r="A808" s="95"/>
      <c r="B808" s="95"/>
      <c r="C808" s="54" t="s">
        <v>187</v>
      </c>
      <c r="D808" s="54"/>
    </row>
    <row r="809" spans="1:5">
      <c r="A809" s="95"/>
      <c r="B809" s="95"/>
      <c r="C809" s="54" t="s">
        <v>955</v>
      </c>
      <c r="D809" s="54"/>
      <c r="E809" s="13" t="s">
        <v>1182</v>
      </c>
    </row>
    <row r="810" spans="1:5">
      <c r="A810" s="95"/>
      <c r="B810" s="95"/>
      <c r="C810" s="54" t="s">
        <v>188</v>
      </c>
      <c r="D810" s="54"/>
    </row>
    <row r="811" spans="1:5">
      <c r="A811" s="95"/>
      <c r="B811" s="95"/>
      <c r="C811" s="54" t="s">
        <v>189</v>
      </c>
      <c r="D811" s="54"/>
    </row>
    <row r="812" spans="1:5">
      <c r="A812" s="95"/>
      <c r="B812" s="95"/>
      <c r="C812" s="54" t="s">
        <v>190</v>
      </c>
      <c r="D812" s="54"/>
    </row>
    <row r="813" spans="1:5">
      <c r="A813" s="95"/>
      <c r="B813" s="95"/>
      <c r="C813" s="54" t="s">
        <v>191</v>
      </c>
      <c r="D813" s="54"/>
    </row>
    <row r="814" spans="1:5">
      <c r="A814" s="95"/>
      <c r="B814" s="95"/>
      <c r="C814" s="54" t="s">
        <v>192</v>
      </c>
      <c r="D814" s="54"/>
    </row>
    <row r="815" spans="1:5">
      <c r="A815" s="95"/>
      <c r="B815" s="95"/>
      <c r="C815" s="54" t="s">
        <v>193</v>
      </c>
      <c r="D815" s="54"/>
    </row>
    <row r="816" spans="1:5">
      <c r="A816" s="95"/>
      <c r="B816" s="95"/>
      <c r="C816" s="54" t="s">
        <v>194</v>
      </c>
      <c r="D816" s="54"/>
    </row>
    <row r="817" spans="1:4">
      <c r="A817" s="95"/>
      <c r="B817" s="95"/>
      <c r="C817" s="54" t="s">
        <v>196</v>
      </c>
      <c r="D817" s="54"/>
    </row>
    <row r="818" spans="1:4">
      <c r="A818" s="95"/>
      <c r="B818" s="95"/>
      <c r="C818" s="54" t="s">
        <v>197</v>
      </c>
      <c r="D818" s="54"/>
    </row>
    <row r="819" spans="1:4">
      <c r="A819" s="95"/>
      <c r="B819" s="95"/>
      <c r="C819" s="54" t="s">
        <v>198</v>
      </c>
      <c r="D819" s="54"/>
    </row>
    <row r="820" spans="1:4">
      <c r="A820" s="95"/>
      <c r="B820" s="95"/>
      <c r="C820" s="54" t="s">
        <v>199</v>
      </c>
      <c r="D820" s="54"/>
    </row>
    <row r="821" spans="1:4">
      <c r="A821" s="95"/>
      <c r="B821" s="95"/>
      <c r="C821" s="54" t="s">
        <v>200</v>
      </c>
      <c r="D821" s="54"/>
    </row>
    <row r="822" spans="1:4">
      <c r="A822" s="95"/>
      <c r="B822" s="95"/>
      <c r="C822" s="54" t="s">
        <v>201</v>
      </c>
      <c r="D822" s="54"/>
    </row>
    <row r="823" spans="1:4">
      <c r="A823" s="95"/>
      <c r="B823" s="95"/>
      <c r="C823" s="54" t="s">
        <v>203</v>
      </c>
      <c r="D823" s="54"/>
    </row>
    <row r="824" spans="1:4">
      <c r="A824" s="95"/>
      <c r="B824" s="95"/>
      <c r="C824" s="54" t="s">
        <v>204</v>
      </c>
      <c r="D824" s="54"/>
    </row>
    <row r="825" spans="1:4">
      <c r="A825" s="95"/>
      <c r="B825" s="95"/>
      <c r="C825" s="54" t="s">
        <v>205</v>
      </c>
      <c r="D825" s="54"/>
    </row>
    <row r="826" spans="1:4">
      <c r="A826" s="95"/>
      <c r="B826" s="95"/>
      <c r="C826" s="54" t="s">
        <v>206</v>
      </c>
      <c r="D826" s="54"/>
    </row>
    <row r="827" spans="1:4">
      <c r="A827" s="95"/>
      <c r="B827" s="95"/>
      <c r="C827" s="54" t="s">
        <v>207</v>
      </c>
      <c r="D827" s="54"/>
    </row>
    <row r="828" spans="1:4">
      <c r="A828" s="95"/>
      <c r="B828" s="95"/>
      <c r="C828" s="54" t="s">
        <v>208</v>
      </c>
      <c r="D828" s="54"/>
    </row>
    <row r="829" spans="1:4">
      <c r="A829" s="95"/>
      <c r="B829" s="95"/>
      <c r="C829" s="54" t="s">
        <v>209</v>
      </c>
      <c r="D829" s="54"/>
    </row>
    <row r="830" spans="1:4">
      <c r="A830" s="95"/>
      <c r="B830" s="95"/>
      <c r="C830" s="54" t="s">
        <v>210</v>
      </c>
      <c r="D830" s="54"/>
    </row>
    <row r="831" spans="1:4">
      <c r="A831" s="95"/>
      <c r="B831" s="95"/>
      <c r="C831" s="54" t="s">
        <v>1176</v>
      </c>
      <c r="D831" s="130" t="s">
        <v>1175</v>
      </c>
    </row>
    <row r="832" spans="1:4">
      <c r="A832" s="95"/>
      <c r="B832" s="95"/>
      <c r="C832" s="54" t="s">
        <v>1177</v>
      </c>
      <c r="D832" s="130" t="s">
        <v>946</v>
      </c>
    </row>
    <row r="833" spans="1:4">
      <c r="A833" s="95"/>
      <c r="B833" s="95"/>
      <c r="C833" s="54" t="s">
        <v>1178</v>
      </c>
      <c r="D833" s="130" t="s">
        <v>946</v>
      </c>
    </row>
    <row r="834" spans="1:4" ht="15">
      <c r="A834" s="95"/>
      <c r="B834" s="95"/>
      <c r="C834" s="54" t="s">
        <v>942</v>
      </c>
      <c r="D834" s="128"/>
    </row>
    <row r="835" spans="1:4">
      <c r="A835" s="95"/>
      <c r="B835" s="95"/>
      <c r="C835" s="54" t="s">
        <v>317</v>
      </c>
      <c r="D835" s="54"/>
    </row>
    <row r="836" spans="1:4">
      <c r="A836" s="95"/>
      <c r="B836" s="95"/>
      <c r="C836" s="54" t="s">
        <v>930</v>
      </c>
      <c r="D836" s="54"/>
    </row>
    <row r="837" spans="1:4">
      <c r="A837" s="95"/>
      <c r="B837" s="95"/>
      <c r="C837" s="54" t="s">
        <v>931</v>
      </c>
      <c r="D837" s="54"/>
    </row>
    <row r="838" spans="1:4">
      <c r="A838" s="95"/>
      <c r="B838" s="95"/>
      <c r="C838" s="54" t="s">
        <v>316</v>
      </c>
      <c r="D838" s="54"/>
    </row>
    <row r="839" spans="1:4">
      <c r="A839" s="95"/>
      <c r="B839" s="95"/>
      <c r="C839" s="54" t="s">
        <v>313</v>
      </c>
      <c r="D839" s="54"/>
    </row>
    <row r="840" spans="1:4">
      <c r="A840" s="95"/>
      <c r="B840" s="95"/>
      <c r="C840" s="54" t="s">
        <v>318</v>
      </c>
      <c r="D840" s="54"/>
    </row>
    <row r="841" spans="1:4">
      <c r="A841" s="95"/>
      <c r="B841" s="95"/>
      <c r="C841" s="54" t="s">
        <v>932</v>
      </c>
      <c r="D841" s="54"/>
    </row>
    <row r="842" spans="1:4">
      <c r="A842" s="95"/>
      <c r="B842" s="95"/>
      <c r="C842" s="54" t="s">
        <v>688</v>
      </c>
      <c r="D842" s="54"/>
    </row>
    <row r="843" spans="1:4">
      <c r="A843" s="95"/>
      <c r="B843" s="95"/>
      <c r="C843" s="54" t="s">
        <v>689</v>
      </c>
      <c r="D843" s="54"/>
    </row>
    <row r="844" spans="1:4">
      <c r="A844" s="95"/>
      <c r="B844" s="95"/>
      <c r="C844" s="54" t="s">
        <v>691</v>
      </c>
      <c r="D844" s="54"/>
    </row>
    <row r="845" spans="1:4">
      <c r="A845" s="95"/>
      <c r="B845" s="95"/>
      <c r="C845" s="54" t="s">
        <v>690</v>
      </c>
      <c r="D845" s="54"/>
    </row>
    <row r="846" spans="1:4">
      <c r="A846" s="95"/>
      <c r="B846" s="95"/>
      <c r="C846" s="54" t="s">
        <v>687</v>
      </c>
      <c r="D846" s="54"/>
    </row>
    <row r="847" spans="1:4">
      <c r="A847" s="95"/>
      <c r="B847" s="95"/>
      <c r="C847" s="54" t="s">
        <v>455</v>
      </c>
      <c r="D847" s="54"/>
    </row>
    <row r="848" spans="1:4">
      <c r="A848" s="95"/>
      <c r="B848" s="95"/>
      <c r="C848" s="54" t="s">
        <v>456</v>
      </c>
      <c r="D848" s="54"/>
    </row>
    <row r="849" spans="1:4">
      <c r="A849" s="95"/>
      <c r="B849" s="95"/>
      <c r="C849" s="54" t="s">
        <v>457</v>
      </c>
      <c r="D849" s="54"/>
    </row>
    <row r="850" spans="1:4">
      <c r="A850" s="95"/>
      <c r="B850" s="95"/>
      <c r="C850" s="54" t="s">
        <v>102</v>
      </c>
      <c r="D850" s="54"/>
    </row>
    <row r="851" spans="1:4">
      <c r="A851" s="68" t="s">
        <v>364</v>
      </c>
      <c r="B851" s="68"/>
      <c r="C851" s="57" t="s">
        <v>55</v>
      </c>
      <c r="D851" s="57"/>
    </row>
    <row r="852" spans="1:4">
      <c r="A852" s="69"/>
      <c r="B852" s="69"/>
      <c r="C852" s="57" t="s">
        <v>62</v>
      </c>
      <c r="D852" s="57"/>
    </row>
    <row r="853" spans="1:4">
      <c r="A853" s="95" t="s">
        <v>31</v>
      </c>
      <c r="B853" s="95" t="s">
        <v>1</v>
      </c>
      <c r="C853" s="54" t="s">
        <v>213</v>
      </c>
      <c r="D853" s="54"/>
    </row>
    <row r="854" spans="1:4">
      <c r="A854" s="95"/>
      <c r="B854" s="95"/>
      <c r="C854" s="54" t="s">
        <v>220</v>
      </c>
      <c r="D854" s="54"/>
    </row>
    <row r="855" spans="1:4">
      <c r="A855" s="95"/>
      <c r="B855" s="95"/>
      <c r="C855" s="54" t="s">
        <v>218</v>
      </c>
      <c r="D855" s="54"/>
    </row>
    <row r="856" spans="1:4">
      <c r="A856" s="95"/>
      <c r="B856" s="95"/>
      <c r="C856" s="54" t="s">
        <v>219</v>
      </c>
      <c r="D856" s="54"/>
    </row>
    <row r="857" spans="1:4">
      <c r="A857" s="95"/>
      <c r="B857" s="95"/>
      <c r="C857" s="54" t="s">
        <v>214</v>
      </c>
      <c r="D857" s="54"/>
    </row>
    <row r="858" spans="1:4">
      <c r="A858" s="95"/>
      <c r="B858" s="95"/>
      <c r="C858" s="54" t="s">
        <v>217</v>
      </c>
      <c r="D858" s="54"/>
    </row>
    <row r="859" spans="1:4">
      <c r="A859" s="95"/>
      <c r="B859" s="95"/>
      <c r="C859" s="54" t="s">
        <v>215</v>
      </c>
      <c r="D859" s="54"/>
    </row>
    <row r="860" spans="1:4">
      <c r="A860" s="95"/>
      <c r="B860" s="95"/>
      <c r="C860" s="54" t="s">
        <v>216</v>
      </c>
      <c r="D860" s="54"/>
    </row>
    <row r="861" spans="1:4">
      <c r="A861" s="95"/>
      <c r="B861" s="95"/>
      <c r="C861" s="54" t="s">
        <v>505</v>
      </c>
      <c r="D861" s="54"/>
    </row>
    <row r="862" spans="1:4">
      <c r="A862" s="68" t="s">
        <v>40</v>
      </c>
      <c r="B862" s="68" t="s">
        <v>1</v>
      </c>
      <c r="C862" s="57" t="s">
        <v>221</v>
      </c>
      <c r="D862" s="57"/>
    </row>
    <row r="863" spans="1:4">
      <c r="A863" s="69"/>
      <c r="B863" s="69"/>
      <c r="C863" s="57" t="s">
        <v>222</v>
      </c>
      <c r="D863" s="57"/>
    </row>
    <row r="864" spans="1:4">
      <c r="A864" s="69"/>
      <c r="B864" s="69"/>
      <c r="C864" s="57" t="s">
        <v>223</v>
      </c>
      <c r="D864" s="57"/>
    </row>
    <row r="865" spans="1:4">
      <c r="A865" s="69"/>
      <c r="B865" s="69"/>
      <c r="C865" s="57" t="s">
        <v>224</v>
      </c>
      <c r="D865" s="57"/>
    </row>
    <row r="866" spans="1:4">
      <c r="A866" s="69"/>
      <c r="B866" s="69"/>
      <c r="C866" s="57" t="s">
        <v>225</v>
      </c>
      <c r="D866" s="57"/>
    </row>
    <row r="867" spans="1:4">
      <c r="A867" s="69"/>
      <c r="B867" s="69"/>
      <c r="C867" s="57" t="s">
        <v>226</v>
      </c>
      <c r="D867" s="57"/>
    </row>
    <row r="868" spans="1:4">
      <c r="A868" s="69"/>
      <c r="B868" s="69"/>
      <c r="C868" s="57" t="s">
        <v>227</v>
      </c>
      <c r="D868" s="57"/>
    </row>
    <row r="869" spans="1:4">
      <c r="A869" s="69"/>
      <c r="B869" s="69"/>
      <c r="C869" s="57" t="s">
        <v>246</v>
      </c>
      <c r="D869" s="57"/>
    </row>
    <row r="870" spans="1:4">
      <c r="A870" s="95" t="s">
        <v>32</v>
      </c>
      <c r="B870" s="95" t="s">
        <v>1</v>
      </c>
      <c r="C870" s="54" t="s">
        <v>221</v>
      </c>
      <c r="D870" s="54"/>
    </row>
    <row r="871" spans="1:4">
      <c r="A871" s="95"/>
      <c r="B871" s="95"/>
      <c r="C871" s="54" t="s">
        <v>223</v>
      </c>
      <c r="D871" s="54"/>
    </row>
    <row r="872" spans="1:4">
      <c r="A872" s="95"/>
      <c r="B872" s="95"/>
      <c r="C872" s="54" t="s">
        <v>225</v>
      </c>
      <c r="D872" s="54"/>
    </row>
    <row r="873" spans="1:4">
      <c r="A873" s="95"/>
      <c r="B873" s="95"/>
      <c r="C873" s="54" t="s">
        <v>102</v>
      </c>
      <c r="D873" s="54"/>
    </row>
    <row r="874" spans="1:4">
      <c r="A874" s="68" t="s">
        <v>33</v>
      </c>
      <c r="B874" s="68" t="s">
        <v>1</v>
      </c>
      <c r="C874" s="57" t="s">
        <v>228</v>
      </c>
      <c r="D874" s="57"/>
    </row>
    <row r="875" spans="1:4">
      <c r="A875" s="69"/>
      <c r="B875" s="69"/>
      <c r="C875" s="57" t="s">
        <v>229</v>
      </c>
      <c r="D875" s="57"/>
    </row>
    <row r="876" spans="1:4">
      <c r="A876" s="69"/>
      <c r="B876" s="69"/>
      <c r="C876" s="57" t="s">
        <v>230</v>
      </c>
      <c r="D876" s="57"/>
    </row>
    <row r="877" spans="1:4">
      <c r="A877" s="69"/>
      <c r="B877" s="69"/>
      <c r="C877" s="57" t="s">
        <v>231</v>
      </c>
      <c r="D877" s="57"/>
    </row>
    <row r="878" spans="1:4">
      <c r="A878" s="69"/>
      <c r="B878" s="69"/>
      <c r="C878" s="57" t="s">
        <v>607</v>
      </c>
      <c r="D878" s="57"/>
    </row>
    <row r="879" spans="1:4">
      <c r="A879" s="69"/>
      <c r="B879" s="69"/>
      <c r="C879" s="57" t="s">
        <v>306</v>
      </c>
      <c r="D879" s="57"/>
    </row>
    <row r="880" spans="1:4">
      <c r="A880" s="69"/>
      <c r="B880" s="69"/>
      <c r="C880" s="57" t="s">
        <v>307</v>
      </c>
      <c r="D880" s="57"/>
    </row>
    <row r="881" spans="1:5">
      <c r="A881" s="69"/>
      <c r="B881" s="69"/>
      <c r="C881" s="57" t="s">
        <v>291</v>
      </c>
      <c r="D881" s="57"/>
    </row>
    <row r="882" spans="1:5">
      <c r="A882" s="69"/>
      <c r="B882" s="69"/>
      <c r="C882" s="57" t="s">
        <v>769</v>
      </c>
      <c r="D882" s="57" t="s">
        <v>769</v>
      </c>
      <c r="E882" s="13" t="s">
        <v>1182</v>
      </c>
    </row>
    <row r="883" spans="1:5">
      <c r="A883" s="70"/>
      <c r="B883" s="70"/>
      <c r="C883" s="57" t="s">
        <v>102</v>
      </c>
      <c r="D883" s="57"/>
    </row>
    <row r="884" spans="1:5">
      <c r="A884" s="84" t="s">
        <v>459</v>
      </c>
      <c r="B884" s="84" t="s">
        <v>1</v>
      </c>
      <c r="C884" s="54" t="s">
        <v>73</v>
      </c>
      <c r="D884" s="54"/>
    </row>
    <row r="885" spans="1:5">
      <c r="A885" s="85"/>
      <c r="B885" s="85"/>
      <c r="C885" s="54" t="s">
        <v>232</v>
      </c>
      <c r="D885" s="54"/>
    </row>
    <row r="886" spans="1:5">
      <c r="A886" s="85"/>
      <c r="B886" s="85"/>
      <c r="C886" s="54" t="s">
        <v>460</v>
      </c>
      <c r="D886" s="54"/>
    </row>
    <row r="887" spans="1:5">
      <c r="A887" s="85"/>
      <c r="B887" s="85"/>
      <c r="C887" s="54" t="s">
        <v>162</v>
      </c>
      <c r="D887" s="54"/>
    </row>
    <row r="888" spans="1:5">
      <c r="A888" s="85"/>
      <c r="B888" s="85"/>
      <c r="C888" s="54" t="s">
        <v>934</v>
      </c>
      <c r="D888" s="54"/>
    </row>
    <row r="889" spans="1:5">
      <c r="A889" s="85"/>
      <c r="B889" s="85"/>
      <c r="C889" s="54" t="s">
        <v>416</v>
      </c>
      <c r="D889" s="54" t="s">
        <v>417</v>
      </c>
    </row>
    <row r="890" spans="1:5">
      <c r="A890" s="85"/>
      <c r="B890" s="85"/>
      <c r="C890" s="54" t="s">
        <v>233</v>
      </c>
      <c r="D890" s="54"/>
    </row>
    <row r="891" spans="1:5">
      <c r="A891" s="68" t="s">
        <v>34</v>
      </c>
      <c r="B891" s="68" t="s">
        <v>1</v>
      </c>
      <c r="C891" s="57" t="s">
        <v>234</v>
      </c>
      <c r="D891" s="57"/>
    </row>
    <row r="892" spans="1:5">
      <c r="A892" s="69"/>
      <c r="B892" s="69"/>
      <c r="C892" s="57" t="s">
        <v>235</v>
      </c>
      <c r="D892" s="57"/>
    </row>
    <row r="893" spans="1:5">
      <c r="A893" s="69"/>
      <c r="B893" s="69"/>
      <c r="C893" s="57" t="s">
        <v>236</v>
      </c>
      <c r="D893" s="57"/>
    </row>
    <row r="894" spans="1:5">
      <c r="A894" s="69"/>
      <c r="B894" s="69"/>
      <c r="C894" s="57" t="s">
        <v>237</v>
      </c>
      <c r="D894" s="57"/>
    </row>
    <row r="895" spans="1:5">
      <c r="A895" s="69"/>
      <c r="B895" s="69"/>
      <c r="C895" s="57" t="s">
        <v>238</v>
      </c>
      <c r="D895" s="57"/>
    </row>
    <row r="896" spans="1:5">
      <c r="A896" s="69"/>
      <c r="B896" s="69"/>
      <c r="C896" s="57" t="s">
        <v>102</v>
      </c>
      <c r="D896" s="57"/>
    </row>
    <row r="897" spans="1:4">
      <c r="A897" s="84" t="s">
        <v>35</v>
      </c>
      <c r="B897" s="84" t="s">
        <v>1</v>
      </c>
      <c r="C897" s="54" t="s">
        <v>211</v>
      </c>
      <c r="D897" s="54"/>
    </row>
    <row r="898" spans="1:4">
      <c r="A898" s="85"/>
      <c r="B898" s="85"/>
      <c r="C898" s="54" t="s">
        <v>212</v>
      </c>
      <c r="D898" s="54"/>
    </row>
    <row r="899" spans="1:4">
      <c r="A899" s="85"/>
      <c r="B899" s="85"/>
      <c r="C899" s="54" t="s">
        <v>73</v>
      </c>
      <c r="D899" s="54"/>
    </row>
    <row r="900" spans="1:4">
      <c r="A900" s="85"/>
      <c r="B900" s="85"/>
      <c r="C900" s="54" t="s">
        <v>102</v>
      </c>
      <c r="D900" s="54"/>
    </row>
    <row r="901" spans="1:4">
      <c r="A901" s="68" t="s">
        <v>37</v>
      </c>
      <c r="B901" s="68" t="s">
        <v>1</v>
      </c>
      <c r="C901" s="57" t="s">
        <v>641</v>
      </c>
      <c r="D901" s="57"/>
    </row>
    <row r="902" spans="1:4">
      <c r="A902" s="69"/>
      <c r="B902" s="69"/>
      <c r="C902" s="57" t="s">
        <v>642</v>
      </c>
      <c r="D902" s="57"/>
    </row>
    <row r="903" spans="1:4">
      <c r="A903" s="69"/>
      <c r="B903" s="69"/>
      <c r="C903" s="57" t="s">
        <v>72</v>
      </c>
      <c r="D903" s="57"/>
    </row>
    <row r="904" spans="1:4">
      <c r="A904" s="69"/>
      <c r="B904" s="69"/>
      <c r="C904" s="57" t="s">
        <v>643</v>
      </c>
      <c r="D904" s="57"/>
    </row>
    <row r="905" spans="1:4">
      <c r="A905" s="69"/>
      <c r="B905" s="69"/>
      <c r="C905" s="57" t="s">
        <v>644</v>
      </c>
      <c r="D905" s="57"/>
    </row>
    <row r="906" spans="1:4">
      <c r="A906" s="94" t="s">
        <v>39</v>
      </c>
      <c r="B906" s="94" t="s">
        <v>1</v>
      </c>
      <c r="C906" s="60" t="s">
        <v>239</v>
      </c>
      <c r="D906" s="60"/>
    </row>
    <row r="907" spans="1:4">
      <c r="A907" s="95"/>
      <c r="B907" s="95"/>
      <c r="C907" s="60" t="s">
        <v>240</v>
      </c>
      <c r="D907" s="60"/>
    </row>
    <row r="908" spans="1:4">
      <c r="A908" s="95"/>
      <c r="B908" s="95"/>
      <c r="C908" s="54" t="s">
        <v>660</v>
      </c>
      <c r="D908" s="54"/>
    </row>
    <row r="909" spans="1:4">
      <c r="A909" s="95"/>
      <c r="B909" s="95"/>
      <c r="C909" s="54" t="s">
        <v>661</v>
      </c>
      <c r="D909" s="54"/>
    </row>
    <row r="910" spans="1:4">
      <c r="A910" s="95"/>
      <c r="B910" s="95"/>
      <c r="C910" s="54" t="s">
        <v>662</v>
      </c>
      <c r="D910" s="54"/>
    </row>
    <row r="911" spans="1:4">
      <c r="A911" s="95"/>
      <c r="B911" s="95"/>
      <c r="C911" s="54" t="s">
        <v>663</v>
      </c>
      <c r="D911" s="54"/>
    </row>
    <row r="912" spans="1:4">
      <c r="A912" s="90" t="s">
        <v>41</v>
      </c>
      <c r="B912" s="90" t="s">
        <v>1</v>
      </c>
      <c r="C912" s="62" t="s">
        <v>221</v>
      </c>
      <c r="D912" s="62"/>
    </row>
    <row r="913" spans="1:5">
      <c r="A913" s="72"/>
      <c r="B913" s="72"/>
      <c r="C913" s="62" t="s">
        <v>222</v>
      </c>
      <c r="D913" s="62"/>
    </row>
    <row r="914" spans="1:5">
      <c r="A914" s="72"/>
      <c r="B914" s="72"/>
      <c r="C914" s="57" t="s">
        <v>223</v>
      </c>
      <c r="D914" s="57"/>
    </row>
    <row r="915" spans="1:5">
      <c r="A915" s="72"/>
      <c r="B915" s="72"/>
      <c r="C915" s="57" t="s">
        <v>224</v>
      </c>
      <c r="D915" s="57"/>
    </row>
    <row r="916" spans="1:5">
      <c r="A916" s="72"/>
      <c r="B916" s="72"/>
      <c r="C916" s="57" t="s">
        <v>225</v>
      </c>
      <c r="D916" s="57"/>
    </row>
    <row r="917" spans="1:5">
      <c r="A917" s="72"/>
      <c r="B917" s="72"/>
      <c r="C917" s="57" t="s">
        <v>226</v>
      </c>
      <c r="D917" s="57"/>
    </row>
    <row r="918" spans="1:5">
      <c r="A918" s="72"/>
      <c r="B918" s="72"/>
      <c r="C918" s="62" t="s">
        <v>227</v>
      </c>
      <c r="D918" s="62"/>
    </row>
    <row r="919" spans="1:5">
      <c r="A919" s="72"/>
      <c r="B919" s="72"/>
      <c r="C919" s="62" t="s">
        <v>246</v>
      </c>
      <c r="D919" s="62"/>
    </row>
    <row r="920" spans="1:5" ht="15">
      <c r="A920" s="94" t="s">
        <v>42</v>
      </c>
      <c r="B920" s="94" t="s">
        <v>1</v>
      </c>
      <c r="C920" s="60" t="s">
        <v>610</v>
      </c>
      <c r="D920" s="60"/>
      <c r="E920" s="61"/>
    </row>
    <row r="921" spans="1:5" ht="15">
      <c r="A921" s="95"/>
      <c r="B921" s="95"/>
      <c r="C921" s="60" t="s">
        <v>648</v>
      </c>
      <c r="D921" s="60"/>
      <c r="E921" s="61"/>
    </row>
    <row r="922" spans="1:5" ht="15">
      <c r="A922" s="95"/>
      <c r="B922" s="95"/>
      <c r="C922" s="54" t="s">
        <v>649</v>
      </c>
      <c r="D922" s="54"/>
      <c r="E922" s="61"/>
    </row>
    <row r="923" spans="1:5" ht="15">
      <c r="A923" s="95"/>
      <c r="B923" s="95"/>
      <c r="C923" s="54" t="s">
        <v>650</v>
      </c>
      <c r="D923" s="54"/>
      <c r="E923" s="61"/>
    </row>
    <row r="924" spans="1:5" ht="15">
      <c r="A924" s="95"/>
      <c r="B924" s="95"/>
      <c r="C924" s="54" t="s">
        <v>611</v>
      </c>
      <c r="D924" s="54"/>
      <c r="E924" s="61"/>
    </row>
    <row r="925" spans="1:5">
      <c r="A925" s="95"/>
      <c r="B925" s="95"/>
      <c r="C925" s="54" t="s">
        <v>102</v>
      </c>
      <c r="D925" s="54"/>
    </row>
    <row r="926" spans="1:5">
      <c r="A926" s="90" t="s">
        <v>667</v>
      </c>
      <c r="B926" s="90" t="s">
        <v>1</v>
      </c>
      <c r="C926" s="57" t="s">
        <v>928</v>
      </c>
      <c r="D926" s="57"/>
    </row>
    <row r="927" spans="1:5">
      <c r="A927" s="72"/>
      <c r="B927" s="72"/>
      <c r="C927" s="57" t="s">
        <v>672</v>
      </c>
      <c r="D927" s="57"/>
    </row>
    <row r="928" spans="1:5">
      <c r="A928" s="72"/>
      <c r="B928" s="72"/>
      <c r="C928" s="57" t="s">
        <v>671</v>
      </c>
      <c r="D928" s="57"/>
    </row>
    <row r="929" spans="1:5">
      <c r="A929" s="91" t="s">
        <v>43</v>
      </c>
      <c r="B929" s="91" t="s">
        <v>1</v>
      </c>
      <c r="C929" s="60" t="s">
        <v>312</v>
      </c>
      <c r="D929" s="60"/>
    </row>
    <row r="930" spans="1:5">
      <c r="A930" s="92"/>
      <c r="B930" s="92"/>
      <c r="C930" s="60" t="s">
        <v>229</v>
      </c>
      <c r="D930" s="60"/>
    </row>
    <row r="931" spans="1:5">
      <c r="A931" s="92"/>
      <c r="B931" s="92"/>
      <c r="C931" s="54" t="s">
        <v>228</v>
      </c>
      <c r="D931" s="54"/>
    </row>
    <row r="932" spans="1:5">
      <c r="A932" s="92"/>
      <c r="B932" s="92"/>
      <c r="C932" s="54" t="s">
        <v>230</v>
      </c>
      <c r="D932" s="54"/>
    </row>
    <row r="933" spans="1:5">
      <c r="A933" s="92"/>
      <c r="B933" s="92"/>
      <c r="C933" s="54" t="s">
        <v>102</v>
      </c>
      <c r="D933" s="54"/>
    </row>
    <row r="934" spans="1:5">
      <c r="A934" s="98" t="s">
        <v>44</v>
      </c>
      <c r="B934" s="98" t="s">
        <v>1</v>
      </c>
      <c r="C934" s="62" t="s">
        <v>228</v>
      </c>
      <c r="D934" s="62"/>
    </row>
    <row r="935" spans="1:5">
      <c r="A935" s="99"/>
      <c r="B935" s="99"/>
      <c r="C935" s="62" t="s">
        <v>229</v>
      </c>
      <c r="D935" s="62"/>
    </row>
    <row r="936" spans="1:5">
      <c r="A936" s="99"/>
      <c r="B936" s="99"/>
      <c r="C936" s="57" t="s">
        <v>230</v>
      </c>
      <c r="D936" s="57"/>
    </row>
    <row r="937" spans="1:5">
      <c r="A937" s="99"/>
      <c r="B937" s="99"/>
      <c r="C937" s="57" t="s">
        <v>231</v>
      </c>
      <c r="D937" s="57"/>
    </row>
    <row r="938" spans="1:5">
      <c r="A938" s="99"/>
      <c r="B938" s="99"/>
      <c r="C938" s="57" t="s">
        <v>290</v>
      </c>
      <c r="D938" s="57"/>
    </row>
    <row r="939" spans="1:5">
      <c r="A939" s="99"/>
      <c r="B939" s="99"/>
      <c r="C939" s="62" t="s">
        <v>290</v>
      </c>
      <c r="D939" s="62"/>
    </row>
    <row r="940" spans="1:5">
      <c r="A940" s="99"/>
      <c r="B940" s="99"/>
      <c r="C940" s="62" t="s">
        <v>306</v>
      </c>
      <c r="D940" s="62"/>
    </row>
    <row r="941" spans="1:5">
      <c r="A941" s="99"/>
      <c r="B941" s="99"/>
      <c r="C941" s="57" t="s">
        <v>307</v>
      </c>
      <c r="D941" s="57"/>
    </row>
    <row r="942" spans="1:5">
      <c r="A942" s="99"/>
      <c r="B942" s="99"/>
      <c r="C942" s="62" t="s">
        <v>291</v>
      </c>
      <c r="D942" s="62"/>
    </row>
    <row r="943" spans="1:5">
      <c r="A943" s="99"/>
      <c r="B943" s="99"/>
      <c r="C943" s="62" t="s">
        <v>312</v>
      </c>
      <c r="D943" s="62"/>
    </row>
    <row r="944" spans="1:5">
      <c r="A944" s="99"/>
      <c r="B944" s="99"/>
      <c r="C944" s="57" t="s">
        <v>770</v>
      </c>
      <c r="D944" s="57" t="s">
        <v>770</v>
      </c>
      <c r="E944" s="13" t="s">
        <v>1182</v>
      </c>
    </row>
    <row r="945" spans="1:4">
      <c r="A945" s="126"/>
      <c r="B945" s="126"/>
      <c r="C945" s="57" t="s">
        <v>102</v>
      </c>
      <c r="D945" s="57"/>
    </row>
    <row r="946" spans="1:4" ht="14.25" customHeight="1">
      <c r="A946" s="91" t="s">
        <v>462</v>
      </c>
      <c r="B946" s="91" t="s">
        <v>1</v>
      </c>
      <c r="C946" s="60" t="s">
        <v>467</v>
      </c>
      <c r="D946" s="60"/>
    </row>
    <row r="947" spans="1:4">
      <c r="A947" s="92"/>
      <c r="B947" s="92"/>
      <c r="C947" s="60" t="s">
        <v>468</v>
      </c>
      <c r="D947" s="60"/>
    </row>
    <row r="948" spans="1:4">
      <c r="A948" s="92"/>
      <c r="B948" s="92"/>
      <c r="C948" s="54" t="s">
        <v>469</v>
      </c>
      <c r="D948" s="54"/>
    </row>
    <row r="949" spans="1:4">
      <c r="A949" s="92"/>
      <c r="B949" s="92"/>
      <c r="C949" s="54" t="s">
        <v>471</v>
      </c>
      <c r="D949" s="54"/>
    </row>
    <row r="950" spans="1:4">
      <c r="A950" s="92"/>
      <c r="B950" s="92"/>
      <c r="C950" s="54" t="s">
        <v>466</v>
      </c>
      <c r="D950" s="54"/>
    </row>
    <row r="951" spans="1:4">
      <c r="A951" s="92"/>
      <c r="B951" s="92"/>
      <c r="C951" s="60" t="s">
        <v>465</v>
      </c>
      <c r="D951" s="60"/>
    </row>
    <row r="952" spans="1:4">
      <c r="A952" s="92"/>
      <c r="B952" s="92"/>
      <c r="C952" s="60" t="s">
        <v>312</v>
      </c>
      <c r="D952" s="60"/>
    </row>
    <row r="953" spans="1:4">
      <c r="A953" s="92"/>
      <c r="B953" s="92"/>
      <c r="C953" s="54" t="s">
        <v>474</v>
      </c>
      <c r="D953" s="54" t="s">
        <v>624</v>
      </c>
    </row>
    <row r="954" spans="1:4">
      <c r="A954" s="92"/>
      <c r="B954" s="92"/>
      <c r="C954" s="54" t="s">
        <v>416</v>
      </c>
      <c r="D954" s="54" t="s">
        <v>417</v>
      </c>
    </row>
    <row r="955" spans="1:4">
      <c r="A955" s="92"/>
      <c r="B955" s="92"/>
      <c r="C955" s="54" t="s">
        <v>102</v>
      </c>
      <c r="D955" s="54"/>
    </row>
    <row r="956" spans="1:4">
      <c r="A956" s="98" t="s">
        <v>45</v>
      </c>
      <c r="B956" s="98" t="s">
        <v>1</v>
      </c>
      <c r="C956" s="57" t="s">
        <v>750</v>
      </c>
      <c r="D956" s="57"/>
    </row>
    <row r="957" spans="1:4">
      <c r="A957" s="99"/>
      <c r="B957" s="99"/>
      <c r="C957" s="57" t="s">
        <v>749</v>
      </c>
      <c r="D957" s="57"/>
    </row>
    <row r="958" spans="1:4">
      <c r="A958" s="99"/>
      <c r="B958" s="99"/>
      <c r="C958" s="57" t="s">
        <v>242</v>
      </c>
      <c r="D958" s="57"/>
    </row>
    <row r="959" spans="1:4">
      <c r="A959" s="99"/>
      <c r="B959" s="99"/>
      <c r="C959" s="57" t="s">
        <v>281</v>
      </c>
      <c r="D959" s="57"/>
    </row>
    <row r="960" spans="1:4">
      <c r="A960" s="99"/>
      <c r="B960" s="99"/>
      <c r="C960" s="57" t="s">
        <v>280</v>
      </c>
      <c r="D960" s="57"/>
    </row>
    <row r="961" spans="1:5">
      <c r="A961" s="99"/>
      <c r="B961" s="99"/>
      <c r="C961" s="57" t="s">
        <v>241</v>
      </c>
      <c r="D961" s="57"/>
    </row>
    <row r="962" spans="1:5">
      <c r="A962" s="99"/>
      <c r="B962" s="99"/>
      <c r="C962" s="57" t="s">
        <v>926</v>
      </c>
      <c r="D962" s="57"/>
    </row>
    <row r="963" spans="1:5">
      <c r="A963" s="99"/>
      <c r="B963" s="99"/>
      <c r="C963" s="57" t="s">
        <v>1144</v>
      </c>
      <c r="D963" s="57"/>
      <c r="E963" s="13" t="s">
        <v>1182</v>
      </c>
    </row>
    <row r="964" spans="1:5">
      <c r="A964" s="100" t="s">
        <v>47</v>
      </c>
      <c r="B964" s="91" t="s">
        <v>1</v>
      </c>
      <c r="C964" s="54" t="s">
        <v>641</v>
      </c>
      <c r="D964" s="54"/>
    </row>
    <row r="965" spans="1:5">
      <c r="A965" s="101"/>
      <c r="B965" s="92"/>
      <c r="C965" s="54" t="s">
        <v>642</v>
      </c>
      <c r="D965" s="54"/>
    </row>
    <row r="966" spans="1:5">
      <c r="A966" s="101"/>
      <c r="B966" s="92"/>
      <c r="C966" s="54" t="s">
        <v>72</v>
      </c>
      <c r="D966" s="54"/>
    </row>
    <row r="967" spans="1:5">
      <c r="A967" s="101"/>
      <c r="B967" s="92"/>
      <c r="C967" s="54" t="s">
        <v>643</v>
      </c>
      <c r="D967" s="54"/>
    </row>
    <row r="968" spans="1:5">
      <c r="A968" s="101"/>
      <c r="B968" s="92"/>
      <c r="C968" s="54" t="s">
        <v>644</v>
      </c>
      <c r="D968" s="54"/>
    </row>
    <row r="969" spans="1:5">
      <c r="A969" s="101"/>
      <c r="B969" s="92"/>
      <c r="C969" s="54" t="s">
        <v>957</v>
      </c>
      <c r="D969" s="54"/>
      <c r="E969" s="13" t="s">
        <v>1182</v>
      </c>
    </row>
    <row r="970" spans="1:5">
      <c r="A970" s="102" t="s">
        <v>48</v>
      </c>
      <c r="B970" s="98" t="s">
        <v>1</v>
      </c>
      <c r="C970" s="57" t="s">
        <v>470</v>
      </c>
      <c r="D970" s="57"/>
    </row>
    <row r="971" spans="1:5">
      <c r="A971" s="103"/>
      <c r="B971" s="99"/>
      <c r="C971" s="57" t="s">
        <v>627</v>
      </c>
      <c r="D971" s="57"/>
    </row>
    <row r="972" spans="1:5">
      <c r="A972" s="103"/>
      <c r="B972" s="99"/>
      <c r="C972" s="57" t="s">
        <v>243</v>
      </c>
      <c r="D972" s="57"/>
    </row>
    <row r="973" spans="1:5">
      <c r="A973" s="103"/>
      <c r="B973" s="99"/>
      <c r="C973" s="57" t="s">
        <v>244</v>
      </c>
      <c r="D973" s="57"/>
    </row>
    <row r="974" spans="1:5">
      <c r="A974" s="103"/>
      <c r="B974" s="99"/>
      <c r="C974" s="57" t="s">
        <v>628</v>
      </c>
      <c r="D974" s="57"/>
    </row>
    <row r="975" spans="1:5">
      <c r="A975" s="103"/>
      <c r="B975" s="99"/>
      <c r="C975" s="57" t="s">
        <v>245</v>
      </c>
      <c r="D975" s="57"/>
    </row>
    <row r="976" spans="1:5">
      <c r="A976" s="127"/>
      <c r="B976" s="126"/>
      <c r="C976" s="57" t="s">
        <v>102</v>
      </c>
      <c r="D976" s="57"/>
    </row>
    <row r="977" spans="1:5">
      <c r="A977" s="91" t="s">
        <v>461</v>
      </c>
      <c r="B977" s="91" t="s">
        <v>1</v>
      </c>
      <c r="C977" s="54" t="s">
        <v>350</v>
      </c>
      <c r="D977" s="54"/>
      <c r="E977" s="13" t="s">
        <v>1183</v>
      </c>
    </row>
    <row r="978" spans="1:5">
      <c r="A978" s="92"/>
      <c r="B978" s="92"/>
      <c r="C978" s="54" t="s">
        <v>351</v>
      </c>
      <c r="D978" s="54"/>
    </row>
    <row r="979" spans="1:5">
      <c r="A979" s="92"/>
      <c r="B979" s="92"/>
      <c r="C979" s="54" t="s">
        <v>352</v>
      </c>
      <c r="D979" s="54"/>
    </row>
    <row r="980" spans="1:5">
      <c r="A980" s="92"/>
      <c r="B980" s="92"/>
      <c r="C980" s="54" t="s">
        <v>353</v>
      </c>
      <c r="D980" s="54"/>
    </row>
    <row r="981" spans="1:5">
      <c r="A981" s="92"/>
      <c r="B981" s="92"/>
      <c r="C981" s="54" t="s">
        <v>354</v>
      </c>
      <c r="D981" s="54"/>
    </row>
    <row r="982" spans="1:5">
      <c r="A982" s="92"/>
      <c r="B982" s="92"/>
      <c r="C982" s="54" t="s">
        <v>355</v>
      </c>
      <c r="D982" s="54"/>
    </row>
    <row r="983" spans="1:5">
      <c r="A983" s="92"/>
      <c r="B983" s="92"/>
      <c r="C983" s="54" t="s">
        <v>399</v>
      </c>
      <c r="D983" s="54"/>
    </row>
    <row r="984" spans="1:5">
      <c r="A984" s="92"/>
      <c r="B984" s="92"/>
      <c r="C984" s="54" t="s">
        <v>400</v>
      </c>
      <c r="D984" s="54"/>
    </row>
    <row r="985" spans="1:5">
      <c r="A985" s="92"/>
      <c r="B985" s="92"/>
      <c r="C985" s="54" t="s">
        <v>1126</v>
      </c>
      <c r="D985" s="54" t="s">
        <v>1151</v>
      </c>
      <c r="E985" s="13" t="s">
        <v>1182</v>
      </c>
    </row>
    <row r="986" spans="1:5">
      <c r="A986" s="102" t="s">
        <v>49</v>
      </c>
      <c r="B986" s="98" t="s">
        <v>1</v>
      </c>
      <c r="C986" s="57" t="s">
        <v>239</v>
      </c>
      <c r="D986" s="57"/>
    </row>
    <row r="987" spans="1:5">
      <c r="A987" s="103"/>
      <c r="B987" s="99"/>
      <c r="C987" s="57" t="s">
        <v>240</v>
      </c>
      <c r="D987" s="57"/>
    </row>
    <row r="988" spans="1:5">
      <c r="A988" s="103"/>
      <c r="B988" s="99"/>
      <c r="C988" s="57" t="s">
        <v>645</v>
      </c>
      <c r="D988" s="57"/>
    </row>
    <row r="989" spans="1:5">
      <c r="A989" s="103"/>
      <c r="B989" s="99"/>
      <c r="C989" s="57" t="s">
        <v>646</v>
      </c>
      <c r="D989" s="57"/>
    </row>
    <row r="990" spans="1:5">
      <c r="A990" s="103"/>
      <c r="B990" s="99"/>
      <c r="C990" s="57" t="s">
        <v>647</v>
      </c>
      <c r="D990" s="57"/>
    </row>
    <row r="991" spans="1:5">
      <c r="A991" s="103"/>
      <c r="B991" s="99"/>
      <c r="C991" s="57" t="s">
        <v>668</v>
      </c>
      <c r="D991" s="57"/>
    </row>
    <row r="992" spans="1:5">
      <c r="A992" s="91" t="s">
        <v>50</v>
      </c>
      <c r="B992" s="91" t="s">
        <v>1</v>
      </c>
      <c r="C992" s="54" t="s">
        <v>229</v>
      </c>
      <c r="D992" s="54"/>
    </row>
    <row r="993" spans="1:5">
      <c r="A993" s="92"/>
      <c r="B993" s="92"/>
      <c r="C993" s="54" t="s">
        <v>228</v>
      </c>
      <c r="D993" s="54"/>
    </row>
    <row r="994" spans="1:5">
      <c r="A994" s="92"/>
      <c r="B994" s="92"/>
      <c r="C994" s="54" t="s">
        <v>246</v>
      </c>
      <c r="D994" s="54"/>
    </row>
    <row r="995" spans="1:5">
      <c r="A995" s="92"/>
      <c r="B995" s="92"/>
      <c r="C995" s="54" t="s">
        <v>230</v>
      </c>
      <c r="D995" s="54"/>
    </row>
    <row r="996" spans="1:5">
      <c r="A996" s="92"/>
      <c r="B996" s="92"/>
      <c r="C996" s="54" t="s">
        <v>247</v>
      </c>
      <c r="D996" s="54" t="s">
        <v>684</v>
      </c>
    </row>
    <row r="997" spans="1:5">
      <c r="A997" s="92"/>
      <c r="B997" s="92"/>
      <c r="C997" s="54" t="s">
        <v>102</v>
      </c>
      <c r="D997" s="54"/>
    </row>
    <row r="998" spans="1:5">
      <c r="A998" s="98" t="s">
        <v>51</v>
      </c>
      <c r="B998" s="98" t="s">
        <v>1</v>
      </c>
      <c r="C998" s="57" t="s">
        <v>734</v>
      </c>
      <c r="D998" s="57"/>
      <c r="E998" s="13" t="s">
        <v>1183</v>
      </c>
    </row>
    <row r="999" spans="1:5">
      <c r="A999" s="99"/>
      <c r="B999" s="99"/>
      <c r="C999" s="57" t="s">
        <v>735</v>
      </c>
      <c r="D999" s="57"/>
    </row>
    <row r="1000" spans="1:5">
      <c r="A1000" s="91" t="s">
        <v>52</v>
      </c>
      <c r="B1000" s="91" t="s">
        <v>1</v>
      </c>
      <c r="C1000" s="54" t="s">
        <v>693</v>
      </c>
      <c r="D1000" s="54"/>
    </row>
    <row r="1001" spans="1:5">
      <c r="A1001" s="92"/>
      <c r="B1001" s="92"/>
      <c r="C1001" s="54" t="s">
        <v>694</v>
      </c>
      <c r="D1001" s="54"/>
    </row>
    <row r="1002" spans="1:5">
      <c r="A1002" s="92"/>
      <c r="B1002" s="92"/>
      <c r="C1002" s="54" t="s">
        <v>695</v>
      </c>
      <c r="D1002" s="54"/>
    </row>
    <row r="1003" spans="1:5">
      <c r="A1003" s="92"/>
      <c r="B1003" s="92"/>
      <c r="C1003" s="54" t="s">
        <v>1180</v>
      </c>
      <c r="D1003" s="54"/>
      <c r="E1003" s="13" t="s">
        <v>1182</v>
      </c>
    </row>
    <row r="1004" spans="1:5">
      <c r="A1004" s="92"/>
      <c r="B1004" s="92"/>
      <c r="C1004" s="54" t="s">
        <v>696</v>
      </c>
      <c r="D1004" s="54"/>
    </row>
    <row r="1005" spans="1:5">
      <c r="A1005" s="92"/>
      <c r="B1005" s="92"/>
      <c r="C1005" s="54" t="s">
        <v>697</v>
      </c>
      <c r="D1005" s="54"/>
    </row>
    <row r="1006" spans="1:5">
      <c r="A1006" s="92"/>
      <c r="B1006" s="92"/>
      <c r="C1006" s="54" t="s">
        <v>1179</v>
      </c>
      <c r="D1006" s="54"/>
      <c r="E1006" s="13" t="s">
        <v>1182</v>
      </c>
    </row>
    <row r="1007" spans="1:5">
      <c r="A1007" s="92"/>
      <c r="B1007" s="92"/>
      <c r="C1007" s="54" t="s">
        <v>698</v>
      </c>
      <c r="D1007" s="54"/>
    </row>
    <row r="1008" spans="1:5">
      <c r="A1008" s="92"/>
      <c r="B1008" s="92"/>
      <c r="C1008" s="54" t="s">
        <v>699</v>
      </c>
      <c r="D1008" s="54"/>
    </row>
    <row r="1009" spans="1:4">
      <c r="A1009" s="92"/>
      <c r="B1009" s="92"/>
      <c r="C1009" s="54" t="s">
        <v>700</v>
      </c>
      <c r="D1009" s="54"/>
    </row>
    <row r="1010" spans="1:4">
      <c r="A1010" s="92"/>
      <c r="B1010" s="92"/>
      <c r="C1010" s="54" t="s">
        <v>701</v>
      </c>
      <c r="D1010" s="54"/>
    </row>
    <row r="1011" spans="1:4">
      <c r="A1011" s="92"/>
      <c r="B1011" s="92"/>
      <c r="C1011" s="54" t="s">
        <v>702</v>
      </c>
      <c r="D1011" s="54"/>
    </row>
    <row r="1012" spans="1:4">
      <c r="A1012" s="92"/>
      <c r="B1012" s="92"/>
      <c r="C1012" s="54" t="s">
        <v>1181</v>
      </c>
      <c r="D1012" s="54"/>
    </row>
    <row r="1013" spans="1:4">
      <c r="A1013" s="92"/>
      <c r="B1013" s="92"/>
      <c r="C1013" s="54" t="s">
        <v>703</v>
      </c>
      <c r="D1013" s="54"/>
    </row>
    <row r="1014" spans="1:4">
      <c r="A1014" s="92"/>
      <c r="B1014" s="92"/>
      <c r="C1014" s="54" t="s">
        <v>704</v>
      </c>
      <c r="D1014" s="54"/>
    </row>
    <row r="1015" spans="1:4">
      <c r="A1015" s="92"/>
      <c r="B1015" s="92"/>
      <c r="C1015" s="54" t="s">
        <v>705</v>
      </c>
      <c r="D1015" s="54"/>
    </row>
    <row r="1016" spans="1:4">
      <c r="A1016" s="92"/>
      <c r="B1016" s="92"/>
      <c r="C1016" s="54" t="s">
        <v>706</v>
      </c>
      <c r="D1016" s="54"/>
    </row>
    <row r="1017" spans="1:4">
      <c r="A1017" s="92"/>
      <c r="B1017" s="92"/>
      <c r="C1017" s="54" t="s">
        <v>707</v>
      </c>
      <c r="D1017" s="54"/>
    </row>
    <row r="1018" spans="1:4">
      <c r="A1018" s="92"/>
      <c r="B1018" s="92"/>
      <c r="C1018" s="54" t="s">
        <v>708</v>
      </c>
      <c r="D1018" s="54"/>
    </row>
    <row r="1019" spans="1:4">
      <c r="A1019" s="92"/>
      <c r="B1019" s="92"/>
      <c r="C1019" s="54" t="s">
        <v>709</v>
      </c>
      <c r="D1019" s="54"/>
    </row>
    <row r="1020" spans="1:4">
      <c r="A1020" s="92"/>
      <c r="B1020" s="92"/>
      <c r="C1020" s="54" t="s">
        <v>710</v>
      </c>
      <c r="D1020" s="54"/>
    </row>
    <row r="1021" spans="1:4">
      <c r="A1021" s="92"/>
      <c r="B1021" s="92"/>
      <c r="C1021" s="54" t="s">
        <v>711</v>
      </c>
      <c r="D1021" s="54"/>
    </row>
    <row r="1022" spans="1:4">
      <c r="A1022" s="92"/>
      <c r="B1022" s="92"/>
      <c r="C1022" s="54" t="s">
        <v>919</v>
      </c>
      <c r="D1022" s="54"/>
    </row>
    <row r="1023" spans="1:4">
      <c r="A1023" s="92"/>
      <c r="B1023" s="92"/>
      <c r="C1023" s="54" t="s">
        <v>712</v>
      </c>
      <c r="D1023" s="54"/>
    </row>
    <row r="1024" spans="1:4">
      <c r="A1024" s="92"/>
      <c r="B1024" s="92"/>
      <c r="C1024" s="54" t="s">
        <v>713</v>
      </c>
      <c r="D1024" s="54"/>
    </row>
    <row r="1025" spans="1:5">
      <c r="A1025" s="92"/>
      <c r="B1025" s="92"/>
      <c r="C1025" s="54" t="s">
        <v>714</v>
      </c>
      <c r="D1025" s="54"/>
    </row>
    <row r="1026" spans="1:5">
      <c r="A1026" s="92"/>
      <c r="B1026" s="92"/>
      <c r="C1026" s="54" t="s">
        <v>715</v>
      </c>
      <c r="D1026" s="54"/>
    </row>
    <row r="1027" spans="1:5">
      <c r="A1027" s="92"/>
      <c r="B1027" s="92"/>
      <c r="C1027" s="54" t="s">
        <v>716</v>
      </c>
      <c r="D1027" s="54"/>
    </row>
    <row r="1028" spans="1:5">
      <c r="A1028" s="92"/>
      <c r="B1028" s="92"/>
      <c r="C1028" s="54" t="s">
        <v>717</v>
      </c>
      <c r="D1028" s="54"/>
    </row>
    <row r="1029" spans="1:5">
      <c r="A1029" s="92"/>
      <c r="B1029" s="92"/>
      <c r="C1029" s="54" t="s">
        <v>718</v>
      </c>
      <c r="D1029" s="54"/>
    </row>
    <row r="1030" spans="1:5">
      <c r="A1030" s="92"/>
      <c r="B1030" s="92"/>
      <c r="C1030" s="54" t="s">
        <v>719</v>
      </c>
      <c r="D1030" s="54"/>
    </row>
    <row r="1031" spans="1:5">
      <c r="A1031" s="92"/>
      <c r="B1031" s="92"/>
      <c r="C1031" s="135" t="s">
        <v>720</v>
      </c>
      <c r="D1031" s="54"/>
      <c r="E1031" s="13" t="s">
        <v>1182</v>
      </c>
    </row>
    <row r="1032" spans="1:5">
      <c r="A1032" s="92"/>
      <c r="B1032" s="92"/>
      <c r="C1032" s="54" t="s">
        <v>721</v>
      </c>
      <c r="D1032" s="54"/>
    </row>
    <row r="1033" spans="1:5">
      <c r="A1033" s="92"/>
      <c r="B1033" s="92"/>
      <c r="C1033" s="54" t="s">
        <v>102</v>
      </c>
      <c r="D1033" s="54"/>
    </row>
    <row r="1034" spans="1:5">
      <c r="A1034" s="68" t="s">
        <v>506</v>
      </c>
      <c r="B1034" s="68" t="s">
        <v>1</v>
      </c>
      <c r="C1034" s="57" t="s">
        <v>472</v>
      </c>
      <c r="D1034" s="57"/>
      <c r="E1034" s="13" t="s">
        <v>1183</v>
      </c>
    </row>
    <row r="1035" spans="1:5">
      <c r="A1035" s="69"/>
      <c r="B1035" s="69"/>
      <c r="C1035" s="57" t="s">
        <v>473</v>
      </c>
      <c r="D1035" s="57"/>
    </row>
    <row r="1036" spans="1:5">
      <c r="A1036" s="69"/>
      <c r="B1036" s="69"/>
      <c r="C1036" s="57" t="s">
        <v>102</v>
      </c>
      <c r="D1036" s="57"/>
    </row>
    <row r="1037" spans="1:5">
      <c r="A1037" s="91" t="s">
        <v>774</v>
      </c>
      <c r="B1037" s="91" t="s">
        <v>1</v>
      </c>
      <c r="C1037" s="54" t="s">
        <v>248</v>
      </c>
      <c r="D1037" s="54"/>
    </row>
    <row r="1038" spans="1:5">
      <c r="A1038" s="92"/>
      <c r="B1038" s="92"/>
      <c r="C1038" s="54" t="s">
        <v>654</v>
      </c>
      <c r="D1038" s="54" t="s">
        <v>655</v>
      </c>
    </row>
    <row r="1039" spans="1:5">
      <c r="A1039" s="92"/>
      <c r="B1039" s="92"/>
      <c r="C1039" s="54" t="s">
        <v>652</v>
      </c>
      <c r="D1039" s="54" t="s">
        <v>657</v>
      </c>
    </row>
    <row r="1040" spans="1:5">
      <c r="A1040" s="92"/>
      <c r="B1040" s="92"/>
      <c r="C1040" s="54" t="s">
        <v>653</v>
      </c>
      <c r="D1040" s="54" t="s">
        <v>656</v>
      </c>
    </row>
    <row r="1044" spans="4:4">
      <c r="D1044" s="56"/>
    </row>
    <row r="1045" spans="4:4">
      <c r="D1045" s="56"/>
    </row>
    <row r="1046" spans="4:4">
      <c r="D1046" s="56"/>
    </row>
    <row r="1047" spans="4:4">
      <c r="D1047" s="56"/>
    </row>
    <row r="1065" spans="1:4">
      <c r="D1065" s="33"/>
    </row>
    <row r="1070" spans="1:4">
      <c r="A1070" s="33"/>
    </row>
    <row r="1072" spans="1:4">
      <c r="C1072" s="13"/>
    </row>
    <row r="1073" spans="1:5" s="8" customFormat="1">
      <c r="B1073" s="13"/>
      <c r="C1073" s="13"/>
      <c r="E1073" s="13"/>
    </row>
    <row r="1074" spans="1:5" s="8" customFormat="1">
      <c r="A1074" s="43"/>
      <c r="B1074" s="13"/>
      <c r="C1074" s="13"/>
      <c r="E1074" s="13"/>
    </row>
    <row r="1075" spans="1:5" s="8" customFormat="1">
      <c r="B1075" s="13"/>
      <c r="C1075" s="56"/>
      <c r="E1075" s="13"/>
    </row>
    <row r="1076" spans="1:5" s="8" customFormat="1">
      <c r="B1076" s="13"/>
      <c r="C1076" s="56" t="s">
        <v>429</v>
      </c>
      <c r="E1076" s="13"/>
    </row>
    <row r="1077" spans="1:5" s="8" customFormat="1">
      <c r="B1077" s="13"/>
      <c r="C1077" s="56" t="s">
        <v>2</v>
      </c>
      <c r="E1077" s="13"/>
    </row>
    <row r="1078" spans="1:5" s="8" customFormat="1">
      <c r="B1078" s="13"/>
      <c r="C1078" s="56" t="s">
        <v>432</v>
      </c>
      <c r="E1078" s="13"/>
    </row>
    <row r="1079" spans="1:5" s="8" customFormat="1">
      <c r="B1079" s="13"/>
      <c r="C1079" s="56" t="s">
        <v>430</v>
      </c>
      <c r="E1079" s="13"/>
    </row>
    <row r="1080" spans="1:5" s="8" customFormat="1">
      <c r="B1080" s="13"/>
      <c r="C1080" s="56"/>
      <c r="E1080" s="13"/>
    </row>
    <row r="1081" spans="1:5" s="8" customFormat="1">
      <c r="B1081" s="13"/>
      <c r="C1081" s="56" t="s">
        <v>429</v>
      </c>
      <c r="E1081" s="13"/>
    </row>
    <row r="1082" spans="1:5" s="8" customFormat="1">
      <c r="B1082" s="13"/>
      <c r="C1082" s="56" t="s">
        <v>2</v>
      </c>
      <c r="E1082" s="13"/>
    </row>
    <row r="1083" spans="1:5" s="8" customFormat="1">
      <c r="B1083" s="13"/>
      <c r="C1083" s="56" t="s">
        <v>432</v>
      </c>
      <c r="E1083" s="13"/>
    </row>
    <row r="1084" spans="1:5" s="8" customFormat="1">
      <c r="B1084" s="13"/>
      <c r="C1084" s="56" t="s">
        <v>430</v>
      </c>
      <c r="E1084" s="13"/>
    </row>
    <row r="1085" spans="1:5" s="8" customFormat="1">
      <c r="B1085" s="13"/>
      <c r="C1085" s="56" t="s">
        <v>767</v>
      </c>
      <c r="E1085" s="13"/>
    </row>
    <row r="1086" spans="1:5" s="8" customFormat="1">
      <c r="B1086" s="13"/>
      <c r="C1086" s="56"/>
      <c r="E1086" s="13"/>
    </row>
    <row r="1087" spans="1:5" s="8" customFormat="1">
      <c r="A1087" s="33"/>
      <c r="B1087" s="13"/>
      <c r="C1087" s="56" t="s">
        <v>429</v>
      </c>
      <c r="E1087" s="13"/>
    </row>
    <row r="1088" spans="1:5" s="8" customFormat="1">
      <c r="B1088" s="13"/>
      <c r="C1088" s="56" t="s">
        <v>2</v>
      </c>
      <c r="E1088" s="13"/>
    </row>
    <row r="1089" spans="2:5" s="8" customFormat="1">
      <c r="B1089" s="13"/>
      <c r="C1089" s="56" t="s">
        <v>430</v>
      </c>
      <c r="E1089" s="13"/>
    </row>
    <row r="1090" spans="2:5" s="8" customFormat="1">
      <c r="B1090" s="13"/>
      <c r="C1090" s="56"/>
      <c r="E1090" s="13"/>
    </row>
    <row r="1091" spans="2:5" s="8" customFormat="1">
      <c r="B1091" s="13"/>
      <c r="C1091" s="56" t="s">
        <v>775</v>
      </c>
      <c r="E1091" s="13"/>
    </row>
    <row r="1092" spans="2:5" s="8" customFormat="1">
      <c r="B1092" s="13"/>
      <c r="C1092" s="56" t="s">
        <v>102</v>
      </c>
      <c r="E1092" s="13"/>
    </row>
    <row r="1093" spans="2:5" s="8" customFormat="1">
      <c r="B1093" s="13"/>
      <c r="C1093" s="56"/>
      <c r="E1093" s="13"/>
    </row>
    <row r="1094" spans="2:5" s="8" customFormat="1">
      <c r="B1094" s="13"/>
      <c r="C1094" s="56" t="s">
        <v>156</v>
      </c>
      <c r="E1094" s="13"/>
    </row>
    <row r="1095" spans="2:5" s="8" customFormat="1">
      <c r="B1095" s="13"/>
      <c r="C1095" s="56" t="s">
        <v>665</v>
      </c>
      <c r="E1095" s="13"/>
    </row>
    <row r="1096" spans="2:5" s="8" customFormat="1">
      <c r="B1096" s="13"/>
      <c r="C1096" s="56" t="s">
        <v>664</v>
      </c>
      <c r="E1096" s="13"/>
    </row>
    <row r="1097" spans="2:5" s="8" customFormat="1">
      <c r="B1097" s="13"/>
      <c r="C1097" s="56" t="s">
        <v>79</v>
      </c>
      <c r="E1097" s="13"/>
    </row>
    <row r="1098" spans="2:5" s="8" customFormat="1">
      <c r="B1098" s="13"/>
      <c r="C1098" s="56" t="s">
        <v>381</v>
      </c>
      <c r="E1098" s="13"/>
    </row>
    <row r="1099" spans="2:5" s="8" customFormat="1">
      <c r="B1099" s="13"/>
      <c r="C1099" s="56" t="s">
        <v>72</v>
      </c>
      <c r="E1099" s="13"/>
    </row>
    <row r="1100" spans="2:5" s="8" customFormat="1">
      <c r="B1100" s="13"/>
      <c r="C1100" s="56" t="s">
        <v>97</v>
      </c>
      <c r="E1100" s="13"/>
    </row>
    <row r="1101" spans="2:5" s="8" customFormat="1">
      <c r="B1101" s="13"/>
      <c r="C1101" s="56" t="s">
        <v>98</v>
      </c>
      <c r="E1101" s="13"/>
    </row>
    <row r="1102" spans="2:5" s="8" customFormat="1">
      <c r="B1102" s="13"/>
      <c r="C1102" s="56" t="s">
        <v>377</v>
      </c>
      <c r="E1102" s="13"/>
    </row>
    <row r="1103" spans="2:5" s="8" customFormat="1">
      <c r="B1103" s="13"/>
      <c r="C1103" s="56" t="s">
        <v>382</v>
      </c>
      <c r="E1103" s="13"/>
    </row>
    <row r="1104" spans="2:5" s="8" customFormat="1">
      <c r="B1104" s="13"/>
      <c r="C1104" s="56" t="s">
        <v>163</v>
      </c>
      <c r="E1104" s="13"/>
    </row>
    <row r="1105" spans="2:5" s="8" customFormat="1">
      <c r="B1105" s="13"/>
      <c r="C1105" s="56" t="s">
        <v>102</v>
      </c>
      <c r="E1105" s="13"/>
    </row>
    <row r="1106" spans="2:5" s="8" customFormat="1">
      <c r="B1106" s="13"/>
      <c r="C1106" s="56"/>
      <c r="E1106" s="13"/>
    </row>
    <row r="1107" spans="2:5" s="8" customFormat="1">
      <c r="B1107" s="13"/>
      <c r="C1107" s="56"/>
      <c r="E1107" s="13"/>
    </row>
    <row r="1108" spans="2:5">
      <c r="C1108" s="56" t="s">
        <v>302</v>
      </c>
    </row>
    <row r="1109" spans="2:5" s="8" customFormat="1">
      <c r="B1109" s="13"/>
      <c r="C1109" s="56" t="s">
        <v>303</v>
      </c>
      <c r="E1109" s="13"/>
    </row>
    <row r="1110" spans="2:5" s="8" customFormat="1">
      <c r="B1110" s="13"/>
      <c r="C1110" s="56" t="s">
        <v>301</v>
      </c>
      <c r="E1110" s="13"/>
    </row>
    <row r="1111" spans="2:5" s="8" customFormat="1">
      <c r="B1111" s="13"/>
      <c r="C1111" s="56" t="s">
        <v>102</v>
      </c>
      <c r="E1111" s="13"/>
    </row>
    <row r="1112" spans="2:5" s="8" customFormat="1">
      <c r="B1112" s="13"/>
      <c r="C1112" s="56"/>
      <c r="E1112" s="13"/>
    </row>
    <row r="1113" spans="2:5" s="8" customFormat="1">
      <c r="B1113" s="13"/>
      <c r="C1113" s="56" t="s">
        <v>76</v>
      </c>
      <c r="E1113" s="13"/>
    </row>
    <row r="1114" spans="2:5" s="8" customFormat="1">
      <c r="B1114" s="13"/>
      <c r="C1114" s="56" t="s">
        <v>88</v>
      </c>
      <c r="E1114" s="13"/>
    </row>
    <row r="1115" spans="2:5" s="8" customFormat="1">
      <c r="B1115" s="13"/>
      <c r="C1115" s="56" t="s">
        <v>78</v>
      </c>
      <c r="E1115" s="13"/>
    </row>
    <row r="1116" spans="2:5" s="8" customFormat="1">
      <c r="B1116" s="13"/>
      <c r="C1116" s="56" t="s">
        <v>102</v>
      </c>
      <c r="E1116" s="13"/>
    </row>
    <row r="1117" spans="2:5" s="8" customFormat="1">
      <c r="B1117" s="13"/>
      <c r="C1117" s="56"/>
      <c r="E1117" s="13"/>
    </row>
    <row r="1118" spans="2:5" s="8" customFormat="1">
      <c r="B1118" s="13"/>
      <c r="C1118" s="56" t="s">
        <v>805</v>
      </c>
      <c r="E1118" s="13"/>
    </row>
    <row r="1119" spans="2:5" s="8" customFormat="1">
      <c r="B1119" s="13"/>
      <c r="C1119" s="56" t="s">
        <v>806</v>
      </c>
      <c r="E1119" s="13"/>
    </row>
    <row r="1120" spans="2:5" s="8" customFormat="1">
      <c r="B1120" s="13"/>
      <c r="C1120" s="56"/>
      <c r="E1120" s="13"/>
    </row>
    <row r="1121" spans="2:5">
      <c r="C1121" s="56" t="s">
        <v>805</v>
      </c>
    </row>
    <row r="1122" spans="2:5" s="8" customFormat="1">
      <c r="B1122" s="13"/>
      <c r="C1122" s="56" t="s">
        <v>54</v>
      </c>
      <c r="E1122" s="13"/>
    </row>
    <row r="1123" spans="2:5" s="8" customFormat="1">
      <c r="B1123" s="13"/>
      <c r="C1123" s="56" t="s">
        <v>69</v>
      </c>
      <c r="E1123" s="13"/>
    </row>
    <row r="1124" spans="2:5" s="8" customFormat="1">
      <c r="B1124" s="13"/>
      <c r="C1124" s="56" t="s">
        <v>608</v>
      </c>
      <c r="E1124" s="13"/>
    </row>
    <row r="1125" spans="2:5">
      <c r="C1125" s="56" t="s">
        <v>939</v>
      </c>
    </row>
    <row r="1126" spans="2:5">
      <c r="C1126" s="56" t="s">
        <v>102</v>
      </c>
    </row>
    <row r="1129" spans="2:5">
      <c r="C1129" s="56" t="s">
        <v>414</v>
      </c>
    </row>
    <row r="1130" spans="2:5">
      <c r="C1130" s="56" t="s">
        <v>262</v>
      </c>
    </row>
    <row r="1131" spans="2:5">
      <c r="C1131" s="56" t="s">
        <v>637</v>
      </c>
    </row>
    <row r="1132" spans="2:5">
      <c r="C1132" s="56" t="s">
        <v>156</v>
      </c>
    </row>
    <row r="1133" spans="2:5">
      <c r="C1133" s="56" t="s">
        <v>631</v>
      </c>
    </row>
    <row r="1134" spans="2:5">
      <c r="C1134" s="56" t="s">
        <v>633</v>
      </c>
    </row>
    <row r="1135" spans="2:5">
      <c r="C1135" s="56" t="s">
        <v>66</v>
      </c>
    </row>
    <row r="1136" spans="2:5">
      <c r="C1136" s="56" t="s">
        <v>269</v>
      </c>
    </row>
    <row r="1137" spans="3:3">
      <c r="C1137" s="56" t="s">
        <v>638</v>
      </c>
    </row>
    <row r="1138" spans="3:3">
      <c r="C1138" s="56" t="s">
        <v>140</v>
      </c>
    </row>
    <row r="1139" spans="3:3">
      <c r="C1139" s="56" t="s">
        <v>256</v>
      </c>
    </row>
    <row r="1140" spans="3:3">
      <c r="C1140" s="56" t="s">
        <v>122</v>
      </c>
    </row>
    <row r="1141" spans="3:3">
      <c r="C1141" s="56" t="s">
        <v>270</v>
      </c>
    </row>
    <row r="1142" spans="3:3">
      <c r="C1142" s="56" t="s">
        <v>692</v>
      </c>
    </row>
    <row r="1143" spans="3:3">
      <c r="C1143" s="56" t="s">
        <v>1152</v>
      </c>
    </row>
    <row r="1144" spans="3:3">
      <c r="C1144" s="56" t="s">
        <v>267</v>
      </c>
    </row>
    <row r="1145" spans="3:3">
      <c r="C1145" s="56" t="s">
        <v>264</v>
      </c>
    </row>
    <row r="1146" spans="3:3">
      <c r="C1146" s="56" t="s">
        <v>265</v>
      </c>
    </row>
    <row r="1147" spans="3:3">
      <c r="C1147" s="56" t="s">
        <v>254</v>
      </c>
    </row>
    <row r="1148" spans="3:3">
      <c r="C1148" s="56" t="s">
        <v>261</v>
      </c>
    </row>
    <row r="1149" spans="3:3">
      <c r="C1149" s="56" t="s">
        <v>71</v>
      </c>
    </row>
    <row r="1150" spans="3:3">
      <c r="C1150" s="56" t="s">
        <v>259</v>
      </c>
    </row>
    <row r="1151" spans="3:3">
      <c r="C1151" s="56" t="s">
        <v>75</v>
      </c>
    </row>
    <row r="1152" spans="3:3">
      <c r="C1152" s="56" t="s">
        <v>263</v>
      </c>
    </row>
    <row r="1153" spans="3:3">
      <c r="C1153" s="56" t="s">
        <v>635</v>
      </c>
    </row>
    <row r="1154" spans="3:3">
      <c r="C1154" s="56" t="s">
        <v>636</v>
      </c>
    </row>
    <row r="1155" spans="3:3">
      <c r="C1155" s="56" t="s">
        <v>266</v>
      </c>
    </row>
    <row r="1156" spans="3:3">
      <c r="C1156" s="56" t="s">
        <v>85</v>
      </c>
    </row>
    <row r="1157" spans="3:3">
      <c r="C1157" s="56" t="s">
        <v>632</v>
      </c>
    </row>
    <row r="1158" spans="3:3">
      <c r="C1158" s="56" t="s">
        <v>630</v>
      </c>
    </row>
    <row r="1159" spans="3:3">
      <c r="C1159" s="56" t="s">
        <v>640</v>
      </c>
    </row>
    <row r="1160" spans="3:3">
      <c r="C1160" s="56" t="s">
        <v>255</v>
      </c>
    </row>
    <row r="1161" spans="3:3">
      <c r="C1161" s="56" t="s">
        <v>722</v>
      </c>
    </row>
    <row r="1162" spans="3:3">
      <c r="C1162" s="56" t="s">
        <v>34</v>
      </c>
    </row>
    <row r="1163" spans="3:3" ht="14.45" customHeight="1">
      <c r="C1163" s="56" t="s">
        <v>629</v>
      </c>
    </row>
    <row r="1164" spans="3:3">
      <c r="C1164" s="56" t="s">
        <v>634</v>
      </c>
    </row>
    <row r="1165" spans="3:3">
      <c r="C1165" s="56" t="s">
        <v>252</v>
      </c>
    </row>
    <row r="1166" spans="3:3">
      <c r="C1166" s="56" t="s">
        <v>258</v>
      </c>
    </row>
    <row r="1167" spans="3:3">
      <c r="C1167" s="56" t="s">
        <v>257</v>
      </c>
    </row>
    <row r="1168" spans="3:3">
      <c r="C1168" s="56" t="s">
        <v>253</v>
      </c>
    </row>
    <row r="1169" spans="3:3">
      <c r="C1169" s="56" t="s">
        <v>260</v>
      </c>
    </row>
    <row r="1170" spans="3:3">
      <c r="C1170" s="56" t="s">
        <v>102</v>
      </c>
    </row>
    <row r="1171" spans="3:3">
      <c r="C1171" s="56" t="s">
        <v>862</v>
      </c>
    </row>
    <row r="1172" spans="3:3">
      <c r="C1172" s="56" t="s">
        <v>863</v>
      </c>
    </row>
    <row r="1173" spans="3:3">
      <c r="C1173" s="56" t="s">
        <v>864</v>
      </c>
    </row>
    <row r="1174" spans="3:3">
      <c r="C1174" s="56" t="s">
        <v>865</v>
      </c>
    </row>
    <row r="1175" spans="3:3">
      <c r="C1175" s="56" t="s">
        <v>866</v>
      </c>
    </row>
    <row r="1176" spans="3:3">
      <c r="C1176" s="56" t="s">
        <v>867</v>
      </c>
    </row>
    <row r="1177" spans="3:3">
      <c r="C1177" s="56" t="s">
        <v>868</v>
      </c>
    </row>
    <row r="1178" spans="3:3">
      <c r="C1178" s="56" t="s">
        <v>869</v>
      </c>
    </row>
    <row r="1179" spans="3:3">
      <c r="C1179" s="56" t="s">
        <v>870</v>
      </c>
    </row>
    <row r="1180" spans="3:3">
      <c r="C1180" s="56" t="s">
        <v>871</v>
      </c>
    </row>
    <row r="1181" spans="3:3">
      <c r="C1181" s="56" t="s">
        <v>872</v>
      </c>
    </row>
    <row r="1182" spans="3:3">
      <c r="C1182" s="56" t="s">
        <v>873</v>
      </c>
    </row>
    <row r="1183" spans="3:3">
      <c r="C1183" s="56" t="s">
        <v>874</v>
      </c>
    </row>
    <row r="1184" spans="3:3">
      <c r="C1184" s="56" t="s">
        <v>875</v>
      </c>
    </row>
    <row r="1185" spans="3:3">
      <c r="C1185" s="56" t="s">
        <v>876</v>
      </c>
    </row>
    <row r="1186" spans="3:3">
      <c r="C1186" s="56" t="s">
        <v>877</v>
      </c>
    </row>
    <row r="1187" spans="3:3">
      <c r="C1187" s="56" t="s">
        <v>861</v>
      </c>
    </row>
    <row r="1188" spans="3:3">
      <c r="C1188" s="56" t="s">
        <v>1128</v>
      </c>
    </row>
    <row r="1189" spans="3:3">
      <c r="C1189" s="56" t="s">
        <v>1130</v>
      </c>
    </row>
    <row r="1190" spans="3:3">
      <c r="C1190" s="56" t="s">
        <v>1132</v>
      </c>
    </row>
    <row r="1191" spans="3:3">
      <c r="C1191" s="56" t="s">
        <v>878</v>
      </c>
    </row>
    <row r="1192" spans="3:3">
      <c r="C1192" s="134" t="s">
        <v>1134</v>
      </c>
    </row>
    <row r="1193" spans="3:3">
      <c r="C1193" s="56" t="s">
        <v>879</v>
      </c>
    </row>
    <row r="1194" spans="3:3">
      <c r="C1194" s="56" t="s">
        <v>880</v>
      </c>
    </row>
    <row r="1195" spans="3:3">
      <c r="C1195" s="56" t="s">
        <v>881</v>
      </c>
    </row>
    <row r="1196" spans="3:3">
      <c r="C1196" s="56" t="s">
        <v>882</v>
      </c>
    </row>
    <row r="1197" spans="3:3">
      <c r="C1197" s="56" t="s">
        <v>883</v>
      </c>
    </row>
    <row r="1198" spans="3:3">
      <c r="C1198" s="56" t="s">
        <v>884</v>
      </c>
    </row>
    <row r="1199" spans="3:3">
      <c r="C1199" s="56" t="s">
        <v>857</v>
      </c>
    </row>
    <row r="1200" spans="3:3">
      <c r="C1200" s="56" t="s">
        <v>1136</v>
      </c>
    </row>
    <row r="1201" spans="3:3">
      <c r="C1201" s="56" t="s">
        <v>885</v>
      </c>
    </row>
    <row r="1202" spans="3:3">
      <c r="C1202" s="56" t="s">
        <v>1138</v>
      </c>
    </row>
    <row r="1203" spans="3:3">
      <c r="C1203" s="56" t="s">
        <v>886</v>
      </c>
    </row>
    <row r="1204" spans="3:3">
      <c r="C1204" s="56" t="s">
        <v>887</v>
      </c>
    </row>
    <row r="1205" spans="3:3">
      <c r="C1205" s="56" t="s">
        <v>888</v>
      </c>
    </row>
    <row r="1206" spans="3:3">
      <c r="C1206" s="56" t="s">
        <v>889</v>
      </c>
    </row>
    <row r="1207" spans="3:3">
      <c r="C1207" s="56" t="s">
        <v>1140</v>
      </c>
    </row>
    <row r="1208" spans="3:3">
      <c r="C1208" s="56" t="s">
        <v>890</v>
      </c>
    </row>
    <row r="1209" spans="3:3">
      <c r="C1209" s="56" t="s">
        <v>891</v>
      </c>
    </row>
    <row r="1210" spans="3:3">
      <c r="C1210" s="56" t="s">
        <v>892</v>
      </c>
    </row>
    <row r="1211" spans="3:3">
      <c r="C1211" s="56" t="s">
        <v>893</v>
      </c>
    </row>
    <row r="1212" spans="3:3">
      <c r="C1212" s="56" t="s">
        <v>894</v>
      </c>
    </row>
    <row r="1213" spans="3:3">
      <c r="C1213" s="56" t="s">
        <v>895</v>
      </c>
    </row>
    <row r="1214" spans="3:3">
      <c r="C1214" s="56" t="s">
        <v>195</v>
      </c>
    </row>
    <row r="1215" spans="3:3">
      <c r="C1215" s="56" t="s">
        <v>1141</v>
      </c>
    </row>
    <row r="1216" spans="3:3">
      <c r="C1216" s="56" t="s">
        <v>896</v>
      </c>
    </row>
    <row r="1217" spans="3:3">
      <c r="C1217" s="56" t="s">
        <v>897</v>
      </c>
    </row>
    <row r="1218" spans="3:3">
      <c r="C1218" s="56" t="s">
        <v>1143</v>
      </c>
    </row>
    <row r="1219" spans="3:3">
      <c r="C1219" s="56" t="s">
        <v>249</v>
      </c>
    </row>
    <row r="1220" spans="3:3">
      <c r="C1220" s="56" t="s">
        <v>898</v>
      </c>
    </row>
    <row r="1221" spans="3:3">
      <c r="C1221" s="56" t="s">
        <v>899</v>
      </c>
    </row>
    <row r="1222" spans="3:3">
      <c r="C1222" s="56" t="s">
        <v>900</v>
      </c>
    </row>
    <row r="1223" spans="3:3">
      <c r="C1223" s="56" t="s">
        <v>901</v>
      </c>
    </row>
    <row r="1224" spans="3:3">
      <c r="C1224" s="56" t="s">
        <v>902</v>
      </c>
    </row>
    <row r="1225" spans="3:3">
      <c r="C1225" s="56" t="s">
        <v>202</v>
      </c>
    </row>
    <row r="1226" spans="3:3">
      <c r="C1226" s="56" t="s">
        <v>903</v>
      </c>
    </row>
    <row r="1227" spans="3:3">
      <c r="C1227" s="56" t="s">
        <v>904</v>
      </c>
    </row>
    <row r="1228" spans="3:3">
      <c r="C1228" s="56" t="s">
        <v>951</v>
      </c>
    </row>
    <row r="1229" spans="3:3">
      <c r="C1229" s="56" t="s">
        <v>952</v>
      </c>
    </row>
    <row r="1230" spans="3:3">
      <c r="C1230" s="56" t="s">
        <v>953</v>
      </c>
    </row>
    <row r="1231" spans="3:3">
      <c r="C1231" s="56" t="s">
        <v>905</v>
      </c>
    </row>
    <row r="1232" spans="3:3">
      <c r="C1232" s="56" t="s">
        <v>906</v>
      </c>
    </row>
    <row r="1233" spans="3:3">
      <c r="C1233" s="56" t="s">
        <v>907</v>
      </c>
    </row>
    <row r="1234" spans="3:3">
      <c r="C1234" s="56" t="s">
        <v>908</v>
      </c>
    </row>
    <row r="1235" spans="3:3">
      <c r="C1235" s="56" t="s">
        <v>909</v>
      </c>
    </row>
    <row r="1236" spans="3:3">
      <c r="C1236" s="56" t="s">
        <v>950</v>
      </c>
    </row>
    <row r="1237" spans="3:3">
      <c r="C1237" s="56" t="s">
        <v>911</v>
      </c>
    </row>
    <row r="1238" spans="3:3">
      <c r="C1238" s="56" t="s">
        <v>912</v>
      </c>
    </row>
    <row r="1239" spans="3:3">
      <c r="C1239" s="56" t="s">
        <v>858</v>
      </c>
    </row>
    <row r="1240" spans="3:3">
      <c r="C1240" s="56" t="s">
        <v>859</v>
      </c>
    </row>
    <row r="1241" spans="3:3">
      <c r="C1241" s="56" t="s">
        <v>913</v>
      </c>
    </row>
    <row r="1242" spans="3:3">
      <c r="C1242" s="56" t="s">
        <v>860</v>
      </c>
    </row>
    <row r="1243" spans="3:3">
      <c r="C1243" s="56" t="s">
        <v>914</v>
      </c>
    </row>
    <row r="1244" spans="3:3">
      <c r="C1244" s="56" t="s">
        <v>915</v>
      </c>
    </row>
    <row r="1245" spans="3:3">
      <c r="C1245" s="56" t="s">
        <v>130</v>
      </c>
    </row>
    <row r="1248" spans="3:3">
      <c r="C1248" s="56" t="s">
        <v>958</v>
      </c>
    </row>
    <row r="1249" spans="3:3">
      <c r="C1249" s="56" t="s">
        <v>54</v>
      </c>
    </row>
    <row r="1250" spans="3:3">
      <c r="C1250" s="56" t="s">
        <v>69</v>
      </c>
    </row>
    <row r="1251" spans="3:3">
      <c r="C1251" s="56" t="s">
        <v>678</v>
      </c>
    </row>
    <row r="1252" spans="3:3">
      <c r="C1252" s="56" t="s">
        <v>680</v>
      </c>
    </row>
    <row r="1253" spans="3:3">
      <c r="C1253" s="56" t="s">
        <v>102</v>
      </c>
    </row>
    <row r="1255" spans="3:3">
      <c r="C1255" s="56" t="s">
        <v>958</v>
      </c>
    </row>
    <row r="1256" spans="3:3">
      <c r="C1256" s="56" t="s">
        <v>608</v>
      </c>
    </row>
    <row r="1257" spans="3:3">
      <c r="C1257" s="56" t="s">
        <v>939</v>
      </c>
    </row>
    <row r="1258" spans="3:3">
      <c r="C1258" s="56" t="s">
        <v>54</v>
      </c>
    </row>
    <row r="1259" spans="3:3">
      <c r="C1259" s="56" t="s">
        <v>102</v>
      </c>
    </row>
    <row r="1261" spans="3:3">
      <c r="C1261" s="56" t="s">
        <v>805</v>
      </c>
    </row>
    <row r="1262" spans="3:3">
      <c r="C1262" s="56" t="s">
        <v>54</v>
      </c>
    </row>
    <row r="1263" spans="3:3">
      <c r="C1263" s="56" t="s">
        <v>680</v>
      </c>
    </row>
    <row r="1264" spans="3:3">
      <c r="C1264" s="56" t="s">
        <v>678</v>
      </c>
    </row>
    <row r="1265" spans="3:3">
      <c r="C1265" s="56" t="s">
        <v>102</v>
      </c>
    </row>
    <row r="1267" spans="3:3">
      <c r="C1267" s="56" t="s">
        <v>958</v>
      </c>
    </row>
    <row r="1268" spans="3:3">
      <c r="C1268" s="56" t="s">
        <v>54</v>
      </c>
    </row>
    <row r="1269" spans="3:3">
      <c r="C1269" s="56" t="s">
        <v>102</v>
      </c>
    </row>
    <row r="1272" spans="3:3">
      <c r="C1272" s="56" t="s">
        <v>805</v>
      </c>
    </row>
    <row r="1273" spans="3:3">
      <c r="C1273" s="56" t="s">
        <v>54</v>
      </c>
    </row>
    <row r="1274" spans="3:3">
      <c r="C1274" s="56" t="s">
        <v>69</v>
      </c>
    </row>
    <row r="1275" spans="3:3">
      <c r="C1275" s="56" t="s">
        <v>608</v>
      </c>
    </row>
    <row r="1276" spans="3:3">
      <c r="C1276" s="56" t="s">
        <v>678</v>
      </c>
    </row>
    <row r="1277" spans="3:3">
      <c r="C1277" s="56" t="s">
        <v>679</v>
      </c>
    </row>
    <row r="1278" spans="3:3">
      <c r="C1278" s="56" t="s">
        <v>680</v>
      </c>
    </row>
    <row r="1279" spans="3:3">
      <c r="C1279" s="56" t="s">
        <v>681</v>
      </c>
    </row>
    <row r="1280" spans="3:3">
      <c r="C1280" s="56" t="s">
        <v>939</v>
      </c>
    </row>
    <row r="1281" spans="3:3">
      <c r="C1281" s="56" t="s">
        <v>102</v>
      </c>
    </row>
    <row r="1283" spans="3:3">
      <c r="C1283" s="56" t="s">
        <v>311</v>
      </c>
    </row>
    <row r="1284" spans="3:3">
      <c r="C1284" s="56" t="s">
        <v>927</v>
      </c>
    </row>
    <row r="1285" spans="3:3">
      <c r="C1285" s="56" t="s">
        <v>476</v>
      </c>
    </row>
    <row r="1286" spans="3:3">
      <c r="C1286" s="56" t="s">
        <v>479</v>
      </c>
    </row>
    <row r="1287" spans="3:3">
      <c r="C1287" s="56" t="s">
        <v>480</v>
      </c>
    </row>
    <row r="1288" spans="3:3">
      <c r="C1288" s="56" t="s">
        <v>477</v>
      </c>
    </row>
    <row r="1289" spans="3:3">
      <c r="C1289" s="56" t="s">
        <v>481</v>
      </c>
    </row>
    <row r="1290" spans="3:3">
      <c r="C1290" s="56" t="s">
        <v>478</v>
      </c>
    </row>
    <row r="1291" spans="3:3">
      <c r="C1291" s="56" t="s">
        <v>482</v>
      </c>
    </row>
    <row r="1292" spans="3:3">
      <c r="C1292" s="56" t="s">
        <v>483</v>
      </c>
    </row>
    <row r="1293" spans="3:3">
      <c r="C1293" s="56" t="s">
        <v>485</v>
      </c>
    </row>
    <row r="1294" spans="3:3">
      <c r="C1294" s="56" t="s">
        <v>484</v>
      </c>
    </row>
    <row r="1295" spans="3:3">
      <c r="C1295" s="56" t="s">
        <v>486</v>
      </c>
    </row>
    <row r="1296" spans="3:3">
      <c r="C1296" s="56" t="s">
        <v>487</v>
      </c>
    </row>
    <row r="1297" spans="3:3">
      <c r="C1297" s="56" t="s">
        <v>488</v>
      </c>
    </row>
    <row r="1298" spans="3:3">
      <c r="C1298" s="56" t="s">
        <v>489</v>
      </c>
    </row>
    <row r="1299" spans="3:3">
      <c r="C1299" s="56" t="s">
        <v>490</v>
      </c>
    </row>
    <row r="1300" spans="3:3">
      <c r="C1300" s="56" t="s">
        <v>491</v>
      </c>
    </row>
    <row r="1301" spans="3:3">
      <c r="C1301" s="56" t="s">
        <v>492</v>
      </c>
    </row>
    <row r="1302" spans="3:3">
      <c r="C1302" s="56" t="s">
        <v>493</v>
      </c>
    </row>
    <row r="1303" spans="3:3">
      <c r="C1303" s="56" t="s">
        <v>494</v>
      </c>
    </row>
    <row r="1304" spans="3:3">
      <c r="C1304" s="56" t="s">
        <v>495</v>
      </c>
    </row>
    <row r="1305" spans="3:3">
      <c r="C1305" s="56" t="s">
        <v>593</v>
      </c>
    </row>
    <row r="1306" spans="3:3">
      <c r="C1306" s="56" t="s">
        <v>496</v>
      </c>
    </row>
    <row r="1307" spans="3:3">
      <c r="C1307" s="56" t="s">
        <v>497</v>
      </c>
    </row>
    <row r="1308" spans="3:3">
      <c r="C1308" s="56" t="s">
        <v>498</v>
      </c>
    </row>
    <row r="1309" spans="3:3">
      <c r="C1309" s="56" t="s">
        <v>499</v>
      </c>
    </row>
    <row r="1310" spans="3:3">
      <c r="C1310" s="56" t="s">
        <v>500</v>
      </c>
    </row>
    <row r="1311" spans="3:3">
      <c r="C1311" s="56" t="s">
        <v>501</v>
      </c>
    </row>
    <row r="1312" spans="3:3">
      <c r="C1312" s="56" t="s">
        <v>502</v>
      </c>
    </row>
    <row r="1313" spans="3:3">
      <c r="C1313" s="56" t="s">
        <v>503</v>
      </c>
    </row>
    <row r="1314" spans="3:3">
      <c r="C1314" s="56" t="s">
        <v>504</v>
      </c>
    </row>
    <row r="1315" spans="3:3">
      <c r="C1315" s="56" t="s">
        <v>102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1" customWidth="1"/>
    <col min="2" max="2" width="48.75" style="61" customWidth="1"/>
    <col min="3" max="3" width="12" customWidth="1"/>
    <col min="4" max="4" width="23.375" style="1" customWidth="1"/>
    <col min="5" max="16384" width="9" hidden="1"/>
  </cols>
  <sheetData>
    <row r="1" spans="1:4" ht="15.75">
      <c r="A1" s="112" t="s">
        <v>789</v>
      </c>
      <c r="B1" s="113" t="s">
        <v>790</v>
      </c>
      <c r="C1" s="113" t="s">
        <v>800</v>
      </c>
      <c r="D1" s="114" t="s">
        <v>947</v>
      </c>
    </row>
    <row r="2" spans="1:4" ht="15.75" hidden="1" outlineLevel="1">
      <c r="A2" s="38" t="s">
        <v>31</v>
      </c>
      <c r="B2" s="39" t="s">
        <v>651</v>
      </c>
      <c r="C2" s="38">
        <v>5.0999999999999996</v>
      </c>
      <c r="D2" s="116"/>
    </row>
    <row r="3" spans="1:4" ht="15.75" hidden="1" outlineLevel="1">
      <c r="A3" s="38" t="s">
        <v>31</v>
      </c>
      <c r="B3" s="39" t="s">
        <v>0</v>
      </c>
      <c r="C3" s="38">
        <v>5.2</v>
      </c>
      <c r="D3" s="116"/>
    </row>
    <row r="4" spans="1:4" ht="15.75" hidden="1" outlineLevel="1">
      <c r="A4" s="38" t="s">
        <v>31</v>
      </c>
      <c r="B4" s="39" t="s">
        <v>723</v>
      </c>
      <c r="C4" s="38">
        <v>5.4</v>
      </c>
      <c r="D4" s="116"/>
    </row>
    <row r="5" spans="1:4" ht="15.75" hidden="1" outlineLevel="1">
      <c r="A5" s="38" t="s">
        <v>31</v>
      </c>
      <c r="B5" s="39" t="s">
        <v>741</v>
      </c>
      <c r="C5" s="38">
        <v>5.7</v>
      </c>
      <c r="D5" s="116"/>
    </row>
    <row r="6" spans="1:4" ht="15.75" hidden="1" outlineLevel="1">
      <c r="A6" s="38" t="s">
        <v>31</v>
      </c>
      <c r="B6" s="39" t="s">
        <v>742</v>
      </c>
      <c r="C6" s="38">
        <v>5.1100000000000003</v>
      </c>
      <c r="D6" s="116"/>
    </row>
    <row r="7" spans="1:4" ht="15.75" hidden="1" outlineLevel="1">
      <c r="A7" s="38" t="s">
        <v>31</v>
      </c>
      <c r="B7" s="39" t="s">
        <v>1</v>
      </c>
      <c r="C7" s="38">
        <v>5.26</v>
      </c>
      <c r="D7" s="116"/>
    </row>
    <row r="8" spans="1:4" ht="15.75" hidden="1" outlineLevel="1">
      <c r="A8" s="38" t="s">
        <v>31</v>
      </c>
      <c r="B8" s="39" t="s">
        <v>604</v>
      </c>
      <c r="C8" s="38">
        <v>5.27</v>
      </c>
      <c r="D8" s="116"/>
    </row>
    <row r="9" spans="1:4" ht="15.75" hidden="1" outlineLevel="1">
      <c r="A9" s="38" t="s">
        <v>31</v>
      </c>
      <c r="B9" s="39" t="s">
        <v>606</v>
      </c>
      <c r="C9" s="38">
        <v>5.36</v>
      </c>
      <c r="D9" s="116"/>
    </row>
    <row r="10" spans="1:4" ht="15.75" hidden="1" outlineLevel="1">
      <c r="A10" s="38" t="s">
        <v>31</v>
      </c>
      <c r="B10" s="39" t="s">
        <v>772</v>
      </c>
      <c r="C10" s="40">
        <v>5.5</v>
      </c>
      <c r="D10" s="116"/>
    </row>
    <row r="11" spans="1:4" ht="15.75" hidden="1" outlineLevel="1">
      <c r="A11" s="38" t="s">
        <v>31</v>
      </c>
      <c r="B11" s="39" t="s">
        <v>8</v>
      </c>
      <c r="C11" s="38">
        <v>5.51</v>
      </c>
      <c r="D11" s="116"/>
    </row>
    <row r="12" spans="1:4" ht="15.75" hidden="1" outlineLevel="1">
      <c r="A12" s="38" t="s">
        <v>31</v>
      </c>
      <c r="B12" s="39" t="s">
        <v>396</v>
      </c>
      <c r="C12" s="38">
        <v>5.53</v>
      </c>
      <c r="D12" s="116"/>
    </row>
    <row r="13" spans="1:4" ht="15.75" hidden="1" outlineLevel="1">
      <c r="A13" s="38" t="s">
        <v>31</v>
      </c>
      <c r="B13" s="39" t="s">
        <v>922</v>
      </c>
      <c r="C13" s="38">
        <v>5.59</v>
      </c>
      <c r="D13" s="116"/>
    </row>
    <row r="14" spans="1:4" ht="15.75" hidden="1" outlineLevel="1">
      <c r="A14" s="38" t="s">
        <v>31</v>
      </c>
      <c r="B14" s="39" t="s">
        <v>11</v>
      </c>
      <c r="C14" s="38">
        <v>5.54</v>
      </c>
      <c r="D14" s="116"/>
    </row>
    <row r="15" spans="1:4" ht="15.75" hidden="1" outlineLevel="1">
      <c r="A15" s="38" t="s">
        <v>31</v>
      </c>
      <c r="B15" s="39" t="s">
        <v>14</v>
      </c>
      <c r="C15" s="40">
        <v>5.7</v>
      </c>
      <c r="D15" s="115" t="s">
        <v>935</v>
      </c>
    </row>
    <row r="16" spans="1:4" ht="15.75" hidden="1" outlineLevel="1">
      <c r="A16" s="38" t="s">
        <v>31</v>
      </c>
      <c r="B16" s="39" t="s">
        <v>1153</v>
      </c>
      <c r="C16" s="38">
        <v>5.63</v>
      </c>
      <c r="D16" s="116"/>
    </row>
    <row r="17" spans="1:4" ht="15.75" hidden="1" outlineLevel="1">
      <c r="A17" s="38" t="s">
        <v>31</v>
      </c>
      <c r="B17" s="39" t="s">
        <v>19</v>
      </c>
      <c r="C17" s="38">
        <v>5.47</v>
      </c>
      <c r="D17" s="116"/>
    </row>
    <row r="18" spans="1:4" ht="15.75" hidden="1" outlineLevel="1">
      <c r="A18" s="38" t="s">
        <v>31</v>
      </c>
      <c r="B18" s="39" t="s">
        <v>30</v>
      </c>
      <c r="C18" s="38">
        <v>5.48</v>
      </c>
      <c r="D18" s="116"/>
    </row>
    <row r="19" spans="1:4" ht="15.75" collapsed="1">
      <c r="A19" s="44" t="s">
        <v>31</v>
      </c>
      <c r="B19" s="39"/>
      <c r="C19" s="38"/>
      <c r="D19" s="116"/>
    </row>
    <row r="20" spans="1:4" ht="15.75" hidden="1" outlineLevel="1">
      <c r="A20" s="38" t="s">
        <v>40</v>
      </c>
      <c r="B20" s="39" t="s">
        <v>651</v>
      </c>
      <c r="C20" s="38">
        <v>5.0999999999999996</v>
      </c>
      <c r="D20" s="116"/>
    </row>
    <row r="21" spans="1:4" ht="15.75" hidden="1" outlineLevel="1">
      <c r="A21" s="38" t="s">
        <v>40</v>
      </c>
      <c r="B21" s="39" t="s">
        <v>0</v>
      </c>
      <c r="C21" s="38">
        <v>5.2</v>
      </c>
      <c r="D21" s="116"/>
    </row>
    <row r="22" spans="1:4" ht="15.75" hidden="1" outlineLevel="1">
      <c r="A22" s="38" t="s">
        <v>40</v>
      </c>
      <c r="B22" s="39" t="s">
        <v>724</v>
      </c>
      <c r="C22" s="38">
        <v>5.3</v>
      </c>
      <c r="D22" s="116"/>
    </row>
    <row r="23" spans="1:4" ht="15.75" hidden="1" outlineLevel="1">
      <c r="A23" s="38" t="s">
        <v>40</v>
      </c>
      <c r="B23" s="39" t="s">
        <v>3</v>
      </c>
      <c r="C23" s="38">
        <v>5.14</v>
      </c>
      <c r="D23" s="116"/>
    </row>
    <row r="24" spans="1:4" ht="15.75" hidden="1" outlineLevel="1">
      <c r="A24" s="38" t="s">
        <v>40</v>
      </c>
      <c r="B24" s="39" t="s">
        <v>29</v>
      </c>
      <c r="C24" s="38">
        <v>5.19</v>
      </c>
      <c r="D24" s="116"/>
    </row>
    <row r="25" spans="1:4" ht="15.75" hidden="1" outlineLevel="1">
      <c r="A25" s="38" t="s">
        <v>40</v>
      </c>
      <c r="B25" s="39" t="s">
        <v>1</v>
      </c>
      <c r="C25" s="38">
        <v>5.26</v>
      </c>
      <c r="D25" s="116"/>
    </row>
    <row r="26" spans="1:4" ht="15.75" hidden="1" outlineLevel="1">
      <c r="A26" s="38" t="s">
        <v>40</v>
      </c>
      <c r="B26" s="39" t="s">
        <v>604</v>
      </c>
      <c r="C26" s="38">
        <v>5.27</v>
      </c>
      <c r="D26" s="116"/>
    </row>
    <row r="27" spans="1:4" ht="15.75" hidden="1" outlineLevel="1">
      <c r="A27" s="38" t="s">
        <v>40</v>
      </c>
      <c r="B27" s="39" t="s">
        <v>605</v>
      </c>
      <c r="C27" s="38">
        <v>5.28</v>
      </c>
      <c r="D27" s="116"/>
    </row>
    <row r="28" spans="1:4" ht="15.75" hidden="1" outlineLevel="1">
      <c r="A28" s="38" t="s">
        <v>40</v>
      </c>
      <c r="B28" s="39" t="s">
        <v>5</v>
      </c>
      <c r="C28" s="40">
        <v>5.3</v>
      </c>
      <c r="D28" s="116"/>
    </row>
    <row r="29" spans="1:4" ht="15.75" hidden="1" outlineLevel="1">
      <c r="A29" s="38" t="s">
        <v>40</v>
      </c>
      <c r="B29" s="39" t="s">
        <v>6</v>
      </c>
      <c r="C29" s="38">
        <v>5.49</v>
      </c>
      <c r="D29" s="116"/>
    </row>
    <row r="30" spans="1:4" ht="15.75" hidden="1" outlineLevel="1">
      <c r="A30" s="38" t="s">
        <v>40</v>
      </c>
      <c r="B30" s="39" t="s">
        <v>8</v>
      </c>
      <c r="C30" s="38">
        <v>5.51</v>
      </c>
      <c r="D30" s="116"/>
    </row>
    <row r="31" spans="1:4" ht="15.75" hidden="1" outlineLevel="1">
      <c r="A31" s="38" t="s">
        <v>40</v>
      </c>
      <c r="B31" s="39" t="s">
        <v>396</v>
      </c>
      <c r="C31" s="38">
        <v>5.53</v>
      </c>
      <c r="D31" s="116"/>
    </row>
    <row r="32" spans="1:4" ht="15.75" hidden="1" outlineLevel="1">
      <c r="A32" s="38" t="s">
        <v>40</v>
      </c>
      <c r="B32" s="39" t="s">
        <v>13</v>
      </c>
      <c r="C32" s="38">
        <v>5.69</v>
      </c>
      <c r="D32" s="116"/>
    </row>
    <row r="33" spans="1:4" ht="15.75" hidden="1" outlineLevel="1">
      <c r="A33" s="38" t="s">
        <v>40</v>
      </c>
      <c r="B33" s="39" t="s">
        <v>421</v>
      </c>
      <c r="C33" s="38">
        <v>5.75</v>
      </c>
      <c r="D33" s="116"/>
    </row>
    <row r="34" spans="1:4" ht="15.75" hidden="1" outlineLevel="1">
      <c r="A34" s="38" t="s">
        <v>40</v>
      </c>
      <c r="B34" s="39" t="s">
        <v>14</v>
      </c>
      <c r="C34" s="40">
        <v>5.7</v>
      </c>
      <c r="D34" s="116"/>
    </row>
    <row r="35" spans="1:4" ht="15.75" hidden="1" outlineLevel="1">
      <c r="A35" s="38" t="s">
        <v>40</v>
      </c>
      <c r="B35" s="39" t="s">
        <v>621</v>
      </c>
      <c r="C35" s="38">
        <v>5.74</v>
      </c>
      <c r="D35" s="116"/>
    </row>
    <row r="36" spans="1:4" ht="15.75" hidden="1" outlineLevel="1">
      <c r="A36" s="38" t="s">
        <v>40</v>
      </c>
      <c r="B36" s="39" t="s">
        <v>938</v>
      </c>
      <c r="C36" s="38">
        <v>5.62</v>
      </c>
      <c r="D36" s="116"/>
    </row>
    <row r="37" spans="1:4" ht="15.75" hidden="1" outlineLevel="1">
      <c r="A37" s="38" t="s">
        <v>40</v>
      </c>
      <c r="B37" s="39" t="s">
        <v>773</v>
      </c>
      <c r="C37" s="38">
        <v>5.58</v>
      </c>
      <c r="D37" s="116"/>
    </row>
    <row r="38" spans="1:4" ht="15.75" hidden="1" outlineLevel="1">
      <c r="A38" s="38" t="s">
        <v>40</v>
      </c>
      <c r="B38" s="39" t="s">
        <v>11</v>
      </c>
      <c r="C38" s="38">
        <v>5.54</v>
      </c>
      <c r="D38" s="116"/>
    </row>
    <row r="39" spans="1:4" ht="15.75" hidden="1" outlineLevel="1">
      <c r="A39" s="38" t="s">
        <v>40</v>
      </c>
      <c r="B39" s="39" t="s">
        <v>15</v>
      </c>
      <c r="C39" s="38">
        <v>5.55</v>
      </c>
      <c r="D39" s="116"/>
    </row>
    <row r="40" spans="1:4" ht="15.75" hidden="1" outlineLevel="1">
      <c r="A40" s="38" t="s">
        <v>40</v>
      </c>
      <c r="B40" s="39" t="s">
        <v>1153</v>
      </c>
      <c r="C40" s="38">
        <v>5.63</v>
      </c>
      <c r="D40" s="116"/>
    </row>
    <row r="41" spans="1:4" ht="15.75" hidden="1" outlineLevel="1">
      <c r="A41" s="38" t="s">
        <v>40</v>
      </c>
      <c r="B41" s="39" t="s">
        <v>1154</v>
      </c>
      <c r="C41" s="38">
        <v>5.65</v>
      </c>
      <c r="D41" s="116"/>
    </row>
    <row r="42" spans="1:4" ht="15.75" hidden="1" outlineLevel="1">
      <c r="A42" s="38" t="s">
        <v>40</v>
      </c>
      <c r="B42" s="39" t="s">
        <v>26</v>
      </c>
      <c r="C42" s="38">
        <v>5.68</v>
      </c>
      <c r="D42" s="116"/>
    </row>
    <row r="43" spans="1:4" ht="15.75" hidden="1" outlineLevel="1">
      <c r="A43" s="38" t="s">
        <v>40</v>
      </c>
      <c r="B43" s="39" t="s">
        <v>18</v>
      </c>
      <c r="C43" s="38">
        <v>5.45</v>
      </c>
      <c r="D43" s="116"/>
    </row>
    <row r="44" spans="1:4" ht="15.75" hidden="1" outlineLevel="1">
      <c r="A44" s="38" t="s">
        <v>40</v>
      </c>
      <c r="B44" s="39" t="s">
        <v>19</v>
      </c>
      <c r="C44" s="38">
        <v>5.47</v>
      </c>
      <c r="D44" s="116"/>
    </row>
    <row r="45" spans="1:4" ht="15.75" hidden="1" outlineLevel="1">
      <c r="A45" s="38" t="s">
        <v>40</v>
      </c>
      <c r="B45" s="39" t="s">
        <v>30</v>
      </c>
      <c r="C45" s="38">
        <v>5.48</v>
      </c>
      <c r="D45" s="116"/>
    </row>
    <row r="46" spans="1:4" ht="15.75" collapsed="1">
      <c r="A46" s="44" t="s">
        <v>40</v>
      </c>
      <c r="B46" s="39"/>
      <c r="C46" s="38"/>
      <c r="D46" s="116"/>
    </row>
    <row r="47" spans="1:4" ht="15.75" hidden="1" outlineLevel="1">
      <c r="A47" s="38" t="s">
        <v>32</v>
      </c>
      <c r="B47" s="39" t="s">
        <v>651</v>
      </c>
      <c r="C47" s="38">
        <v>5.0999999999999996</v>
      </c>
      <c r="D47" s="116"/>
    </row>
    <row r="48" spans="1:4" ht="15.75" hidden="1" outlineLevel="1">
      <c r="A48" s="38" t="s">
        <v>32</v>
      </c>
      <c r="B48" s="39" t="s">
        <v>0</v>
      </c>
      <c r="C48" s="38">
        <v>5.2</v>
      </c>
      <c r="D48" s="116"/>
    </row>
    <row r="49" spans="1:4" ht="15.75" hidden="1" outlineLevel="1">
      <c r="A49" s="38" t="s">
        <v>32</v>
      </c>
      <c r="B49" s="39" t="s">
        <v>724</v>
      </c>
      <c r="C49" s="38">
        <v>5.3</v>
      </c>
      <c r="D49" s="116"/>
    </row>
    <row r="50" spans="1:4" ht="15.75" hidden="1" outlineLevel="1">
      <c r="A50" s="38" t="s">
        <v>32</v>
      </c>
      <c r="B50" s="39" t="s">
        <v>2</v>
      </c>
      <c r="C50" s="38">
        <v>5.6</v>
      </c>
      <c r="D50" s="116"/>
    </row>
    <row r="51" spans="1:4" ht="15.75" hidden="1" outlineLevel="1">
      <c r="A51" s="38" t="s">
        <v>32</v>
      </c>
      <c r="B51" s="39" t="s">
        <v>730</v>
      </c>
      <c r="C51" s="40">
        <v>5.0999999999999996</v>
      </c>
      <c r="D51" s="116"/>
    </row>
    <row r="52" spans="1:4" ht="15.75" hidden="1" outlineLevel="1">
      <c r="A52" s="38" t="s">
        <v>32</v>
      </c>
      <c r="B52" s="39" t="s">
        <v>3</v>
      </c>
      <c r="C52" s="38">
        <v>5.14</v>
      </c>
      <c r="D52" s="116"/>
    </row>
    <row r="53" spans="1:4" ht="15.75" hidden="1" outlineLevel="1">
      <c r="A53" s="38" t="s">
        <v>32</v>
      </c>
      <c r="B53" s="39" t="s">
        <v>29</v>
      </c>
      <c r="C53" s="38">
        <v>5.19</v>
      </c>
      <c r="D53" s="116"/>
    </row>
    <row r="54" spans="1:4" ht="15.75" hidden="1" outlineLevel="1">
      <c r="A54" s="38" t="s">
        <v>32</v>
      </c>
      <c r="B54" s="39" t="s">
        <v>28</v>
      </c>
      <c r="C54" s="38">
        <v>5.24</v>
      </c>
      <c r="D54" s="116"/>
    </row>
    <row r="55" spans="1:4" ht="15.75" hidden="1" outlineLevel="1">
      <c r="A55" s="38" t="s">
        <v>32</v>
      </c>
      <c r="B55" s="39" t="s">
        <v>1</v>
      </c>
      <c r="C55" s="38">
        <v>5.26</v>
      </c>
      <c r="D55" s="116"/>
    </row>
    <row r="56" spans="1:4" ht="15.75" hidden="1" outlineLevel="1">
      <c r="A56" s="38" t="s">
        <v>32</v>
      </c>
      <c r="B56" s="39" t="s">
        <v>604</v>
      </c>
      <c r="C56" s="38">
        <v>5.27</v>
      </c>
      <c r="D56" s="116"/>
    </row>
    <row r="57" spans="1:4" ht="15.75" hidden="1" outlineLevel="1">
      <c r="A57" s="38" t="s">
        <v>32</v>
      </c>
      <c r="B57" s="39" t="s">
        <v>605</v>
      </c>
      <c r="C57" s="38">
        <v>5.28</v>
      </c>
      <c r="D57" s="116"/>
    </row>
    <row r="58" spans="1:4" ht="15.75" hidden="1" outlineLevel="1">
      <c r="A58" s="38" t="s">
        <v>32</v>
      </c>
      <c r="B58" s="39" t="s">
        <v>5</v>
      </c>
      <c r="C58" s="40">
        <v>5.3</v>
      </c>
      <c r="D58" s="116"/>
    </row>
    <row r="59" spans="1:4" ht="15.75" hidden="1" outlineLevel="1">
      <c r="A59" s="38" t="s">
        <v>32</v>
      </c>
      <c r="B59" s="39" t="s">
        <v>9</v>
      </c>
      <c r="C59" s="38">
        <v>5.31</v>
      </c>
      <c r="D59" s="116"/>
    </row>
    <row r="60" spans="1:4" ht="15.75" hidden="1" outlineLevel="1">
      <c r="A60" s="38" t="s">
        <v>32</v>
      </c>
      <c r="B60" s="39" t="s">
        <v>606</v>
      </c>
      <c r="C60" s="38">
        <v>5.36</v>
      </c>
      <c r="D60" s="116"/>
    </row>
    <row r="61" spans="1:4" ht="15.75" hidden="1" outlineLevel="1">
      <c r="A61" s="38" t="s">
        <v>32</v>
      </c>
      <c r="B61" s="39" t="s">
        <v>6</v>
      </c>
      <c r="C61" s="38">
        <v>5.49</v>
      </c>
      <c r="D61" s="116"/>
    </row>
    <row r="62" spans="1:4" ht="15.75" hidden="1" outlineLevel="1">
      <c r="A62" s="38" t="s">
        <v>32</v>
      </c>
      <c r="B62" s="39" t="s">
        <v>8</v>
      </c>
      <c r="C62" s="38">
        <v>5.51</v>
      </c>
      <c r="D62" s="116"/>
    </row>
    <row r="63" spans="1:4" ht="15.75" hidden="1" outlineLevel="1">
      <c r="A63" s="38" t="s">
        <v>32</v>
      </c>
      <c r="B63" s="39" t="s">
        <v>7</v>
      </c>
      <c r="C63" s="38">
        <v>5.52</v>
      </c>
      <c r="D63" s="116"/>
    </row>
    <row r="64" spans="1:4" ht="15.75" hidden="1" outlineLevel="1">
      <c r="A64" s="38" t="s">
        <v>32</v>
      </c>
      <c r="B64" s="39" t="s">
        <v>396</v>
      </c>
      <c r="C64" s="38">
        <v>5.53</v>
      </c>
      <c r="D64" s="116"/>
    </row>
    <row r="65" spans="1:4" ht="15.75" hidden="1" outlineLevel="1">
      <c r="A65" s="38" t="s">
        <v>32</v>
      </c>
      <c r="B65" s="39" t="s">
        <v>13</v>
      </c>
      <c r="C65" s="38">
        <v>5.69</v>
      </c>
      <c r="D65" s="116"/>
    </row>
    <row r="66" spans="1:4" ht="15.75" hidden="1" outlineLevel="1">
      <c r="A66" s="38" t="s">
        <v>32</v>
      </c>
      <c r="B66" s="39" t="s">
        <v>309</v>
      </c>
      <c r="C66" s="40">
        <v>5.72</v>
      </c>
      <c r="D66" s="116"/>
    </row>
    <row r="67" spans="1:4" ht="15.75" hidden="1" outlineLevel="1">
      <c r="A67" s="38" t="s">
        <v>32</v>
      </c>
      <c r="B67" s="39" t="s">
        <v>421</v>
      </c>
      <c r="C67" s="38">
        <v>5.75</v>
      </c>
      <c r="D67" s="116"/>
    </row>
    <row r="68" spans="1:4" ht="15.75" hidden="1" outlineLevel="1">
      <c r="A68" s="38" t="s">
        <v>32</v>
      </c>
      <c r="B68" s="39" t="s">
        <v>14</v>
      </c>
      <c r="C68" s="40">
        <v>5.7</v>
      </c>
      <c r="D68" s="116"/>
    </row>
    <row r="69" spans="1:4" ht="15.75" hidden="1" outlineLevel="1">
      <c r="A69" s="38" t="s">
        <v>32</v>
      </c>
      <c r="B69" s="39" t="s">
        <v>621</v>
      </c>
      <c r="C69" s="38">
        <v>5.74</v>
      </c>
      <c r="D69" s="116"/>
    </row>
    <row r="70" spans="1:4" ht="15.75" hidden="1" outlineLevel="1">
      <c r="A70" s="38" t="s">
        <v>32</v>
      </c>
      <c r="B70" s="39" t="s">
        <v>925</v>
      </c>
      <c r="C70" s="38">
        <v>5.76</v>
      </c>
      <c r="D70" s="116"/>
    </row>
    <row r="71" spans="1:4" ht="15.75" hidden="1" outlineLevel="1">
      <c r="A71" s="38" t="s">
        <v>32</v>
      </c>
      <c r="B71" s="39" t="s">
        <v>669</v>
      </c>
      <c r="C71" s="38">
        <v>5.89</v>
      </c>
      <c r="D71" s="115" t="s">
        <v>935</v>
      </c>
    </row>
    <row r="72" spans="1:4" ht="15.75" hidden="1" outlineLevel="1">
      <c r="A72" s="38" t="s">
        <v>32</v>
      </c>
      <c r="B72" s="39" t="s">
        <v>773</v>
      </c>
      <c r="C72" s="38">
        <v>5.58</v>
      </c>
      <c r="D72" s="116"/>
    </row>
    <row r="73" spans="1:4" ht="15.75" hidden="1" outlineLevel="1">
      <c r="A73" s="38" t="s">
        <v>32</v>
      </c>
      <c r="B73" s="39" t="s">
        <v>938</v>
      </c>
      <c r="C73" s="38">
        <v>5.62</v>
      </c>
      <c r="D73" s="116"/>
    </row>
    <row r="74" spans="1:4" ht="15.75" hidden="1" outlineLevel="1">
      <c r="A74" s="38" t="s">
        <v>32</v>
      </c>
      <c r="B74" s="39" t="s">
        <v>11</v>
      </c>
      <c r="C74" s="38">
        <v>5.54</v>
      </c>
      <c r="D74" s="116"/>
    </row>
    <row r="75" spans="1:4" ht="15.75" hidden="1" outlineLevel="1">
      <c r="A75" s="38" t="s">
        <v>32</v>
      </c>
      <c r="B75" s="39" t="s">
        <v>15</v>
      </c>
      <c r="C75" s="38">
        <v>5.55</v>
      </c>
      <c r="D75" s="116"/>
    </row>
    <row r="76" spans="1:4" ht="15.75" hidden="1" outlineLevel="1">
      <c r="A76" s="38" t="s">
        <v>32</v>
      </c>
      <c r="B76" s="39" t="s">
        <v>1153</v>
      </c>
      <c r="C76" s="38">
        <v>5.63</v>
      </c>
      <c r="D76" s="116"/>
    </row>
    <row r="77" spans="1:4" ht="15.75" hidden="1" outlineLevel="1">
      <c r="A77" s="38" t="s">
        <v>32</v>
      </c>
      <c r="B77" s="39" t="s">
        <v>1154</v>
      </c>
      <c r="C77" s="38">
        <v>5.65</v>
      </c>
      <c r="D77" s="116"/>
    </row>
    <row r="78" spans="1:4" ht="15.75" hidden="1" outlineLevel="1">
      <c r="A78" s="38" t="s">
        <v>32</v>
      </c>
      <c r="B78" s="39" t="s">
        <v>788</v>
      </c>
      <c r="C78" s="38">
        <v>5.66</v>
      </c>
      <c r="D78" s="116"/>
    </row>
    <row r="79" spans="1:4" ht="15.75" hidden="1" outlineLevel="1">
      <c r="A79" s="38" t="s">
        <v>32</v>
      </c>
      <c r="B79" s="39" t="s">
        <v>26</v>
      </c>
      <c r="C79" s="38">
        <v>5.68</v>
      </c>
      <c r="D79" s="116"/>
    </row>
    <row r="80" spans="1:4" ht="15.75" hidden="1" outlineLevel="1">
      <c r="A80" s="38" t="s">
        <v>32</v>
      </c>
      <c r="B80" s="39" t="s">
        <v>18</v>
      </c>
      <c r="C80" s="38">
        <v>5.45</v>
      </c>
      <c r="D80" s="116"/>
    </row>
    <row r="81" spans="1:4" ht="15.75" hidden="1" outlineLevel="1">
      <c r="A81" s="38" t="s">
        <v>32</v>
      </c>
      <c r="B81" s="39" t="s">
        <v>19</v>
      </c>
      <c r="C81" s="38">
        <v>5.47</v>
      </c>
      <c r="D81" s="116"/>
    </row>
    <row r="82" spans="1:4" ht="15.75" hidden="1" outlineLevel="1">
      <c r="A82" s="38" t="s">
        <v>32</v>
      </c>
      <c r="B82" s="39" t="s">
        <v>30</v>
      </c>
      <c r="C82" s="38">
        <v>5.48</v>
      </c>
      <c r="D82" s="116"/>
    </row>
    <row r="83" spans="1:4" ht="15.75" collapsed="1">
      <c r="A83" s="44" t="s">
        <v>32</v>
      </c>
      <c r="B83" s="39"/>
      <c r="C83" s="38"/>
      <c r="D83" s="116"/>
    </row>
    <row r="84" spans="1:4" ht="15.75" hidden="1" outlineLevel="1">
      <c r="A84" s="38" t="s">
        <v>33</v>
      </c>
      <c r="B84" s="39" t="s">
        <v>651</v>
      </c>
      <c r="C84" s="38">
        <v>5.0999999999999996</v>
      </c>
      <c r="D84" s="116"/>
    </row>
    <row r="85" spans="1:4" ht="15.75" hidden="1" outlineLevel="1">
      <c r="A85" s="38" t="s">
        <v>33</v>
      </c>
      <c r="B85" s="39" t="s">
        <v>0</v>
      </c>
      <c r="C85" s="38">
        <v>5.2</v>
      </c>
      <c r="D85" s="116"/>
    </row>
    <row r="86" spans="1:4" ht="15.75" hidden="1" outlineLevel="1">
      <c r="A86" s="38" t="s">
        <v>33</v>
      </c>
      <c r="B86" s="39" t="s">
        <v>724</v>
      </c>
      <c r="C86" s="38">
        <v>5.3</v>
      </c>
      <c r="D86" s="116"/>
    </row>
    <row r="87" spans="1:4" ht="15.75" hidden="1" outlineLevel="1">
      <c r="A87" s="38" t="s">
        <v>33</v>
      </c>
      <c r="B87" s="39" t="s">
        <v>2</v>
      </c>
      <c r="C87" s="38">
        <v>5.6</v>
      </c>
      <c r="D87" s="116"/>
    </row>
    <row r="88" spans="1:4" ht="15.75" hidden="1" outlineLevel="1">
      <c r="A88" s="38" t="s">
        <v>33</v>
      </c>
      <c r="B88" s="39" t="s">
        <v>730</v>
      </c>
      <c r="C88" s="40">
        <v>5.0999999999999996</v>
      </c>
      <c r="D88" s="116"/>
    </row>
    <row r="89" spans="1:4" ht="15.75" hidden="1" outlineLevel="1">
      <c r="A89" s="38" t="s">
        <v>33</v>
      </c>
      <c r="B89" s="39" t="s">
        <v>3</v>
      </c>
      <c r="C89" s="38">
        <v>5.14</v>
      </c>
      <c r="D89" s="116"/>
    </row>
    <row r="90" spans="1:4" ht="15.75" hidden="1" outlineLevel="1">
      <c r="A90" s="38" t="s">
        <v>33</v>
      </c>
      <c r="B90" s="39" t="s">
        <v>29</v>
      </c>
      <c r="C90" s="38">
        <v>5.19</v>
      </c>
      <c r="D90" s="116"/>
    </row>
    <row r="91" spans="1:4" ht="15.75" hidden="1" outlineLevel="1">
      <c r="A91" s="38" t="s">
        <v>33</v>
      </c>
      <c r="B91" s="39" t="s">
        <v>28</v>
      </c>
      <c r="C91" s="38">
        <v>5.24</v>
      </c>
      <c r="D91" s="116"/>
    </row>
    <row r="92" spans="1:4" ht="15.75" hidden="1" outlineLevel="1">
      <c r="A92" s="38" t="s">
        <v>33</v>
      </c>
      <c r="B92" s="39" t="s">
        <v>1</v>
      </c>
      <c r="C92" s="38">
        <v>5.26</v>
      </c>
      <c r="D92" s="116"/>
    </row>
    <row r="93" spans="1:4" ht="15.75" hidden="1" outlineLevel="1">
      <c r="A93" s="38" t="s">
        <v>33</v>
      </c>
      <c r="B93" s="39" t="s">
        <v>604</v>
      </c>
      <c r="C93" s="38">
        <v>5.27</v>
      </c>
      <c r="D93" s="116"/>
    </row>
    <row r="94" spans="1:4" ht="15.75" hidden="1" outlineLevel="1">
      <c r="A94" s="38" t="s">
        <v>33</v>
      </c>
      <c r="B94" s="39" t="s">
        <v>605</v>
      </c>
      <c r="C94" s="38">
        <v>5.28</v>
      </c>
      <c r="D94" s="116"/>
    </row>
    <row r="95" spans="1:4" ht="15.75" hidden="1" outlineLevel="1">
      <c r="A95" s="38" t="s">
        <v>33</v>
      </c>
      <c r="B95" s="39" t="s">
        <v>609</v>
      </c>
      <c r="C95" s="38">
        <v>5.29</v>
      </c>
      <c r="D95" s="116"/>
    </row>
    <row r="96" spans="1:4" ht="15.75" hidden="1" outlineLevel="1">
      <c r="A96" s="38" t="s">
        <v>33</v>
      </c>
      <c r="B96" s="39" t="s">
        <v>5</v>
      </c>
      <c r="C96" s="40">
        <v>5.3</v>
      </c>
      <c r="D96" s="116"/>
    </row>
    <row r="97" spans="1:4" ht="15.75" hidden="1" outlineLevel="1">
      <c r="A97" s="38" t="s">
        <v>33</v>
      </c>
      <c r="B97" s="39" t="s">
        <v>9</v>
      </c>
      <c r="C97" s="38">
        <v>5.31</v>
      </c>
      <c r="D97" s="116"/>
    </row>
    <row r="98" spans="1:4" ht="15.75" hidden="1" outlineLevel="1">
      <c r="A98" s="38" t="s">
        <v>33</v>
      </c>
      <c r="B98" s="39" t="s">
        <v>606</v>
      </c>
      <c r="C98" s="38">
        <v>5.36</v>
      </c>
      <c r="D98" s="116"/>
    </row>
    <row r="99" spans="1:4" ht="15.75" hidden="1" outlineLevel="1">
      <c r="A99" s="38" t="s">
        <v>33</v>
      </c>
      <c r="B99" s="39" t="s">
        <v>6</v>
      </c>
      <c r="C99" s="38">
        <v>5.49</v>
      </c>
      <c r="D99" s="116"/>
    </row>
    <row r="100" spans="1:4" ht="15.75" hidden="1" outlineLevel="1">
      <c r="A100" s="38" t="s">
        <v>33</v>
      </c>
      <c r="B100" s="39" t="s">
        <v>8</v>
      </c>
      <c r="C100" s="38">
        <v>5.51</v>
      </c>
      <c r="D100" s="116"/>
    </row>
    <row r="101" spans="1:4" ht="15.75" hidden="1" outlineLevel="1">
      <c r="A101" s="38" t="s">
        <v>33</v>
      </c>
      <c r="B101" s="39" t="s">
        <v>7</v>
      </c>
      <c r="C101" s="38">
        <v>5.52</v>
      </c>
      <c r="D101" s="116"/>
    </row>
    <row r="102" spans="1:4" ht="15.75" hidden="1" outlineLevel="1">
      <c r="A102" s="38" t="s">
        <v>33</v>
      </c>
      <c r="B102" s="39" t="s">
        <v>396</v>
      </c>
      <c r="C102" s="38">
        <v>5.53</v>
      </c>
      <c r="D102" s="116"/>
    </row>
    <row r="103" spans="1:4" ht="15.75" hidden="1" outlineLevel="1">
      <c r="A103" s="38" t="s">
        <v>33</v>
      </c>
      <c r="B103" s="39" t="s">
        <v>13</v>
      </c>
      <c r="C103" s="38">
        <v>5.69</v>
      </c>
      <c r="D103" s="116"/>
    </row>
    <row r="104" spans="1:4" ht="15.75" hidden="1" outlineLevel="1">
      <c r="A104" s="38" t="s">
        <v>33</v>
      </c>
      <c r="B104" s="39" t="s">
        <v>421</v>
      </c>
      <c r="C104" s="38">
        <v>5.75</v>
      </c>
      <c r="D104" s="116"/>
    </row>
    <row r="105" spans="1:4" ht="15.75" hidden="1" outlineLevel="1">
      <c r="A105" s="38" t="s">
        <v>33</v>
      </c>
      <c r="B105" s="39" t="s">
        <v>14</v>
      </c>
      <c r="C105" s="40">
        <v>5.7</v>
      </c>
      <c r="D105" s="116"/>
    </row>
    <row r="106" spans="1:4" ht="15.75" hidden="1" outlineLevel="1">
      <c r="A106" s="38" t="s">
        <v>33</v>
      </c>
      <c r="B106" s="39" t="s">
        <v>621</v>
      </c>
      <c r="C106" s="38">
        <v>5.74</v>
      </c>
      <c r="D106" s="116"/>
    </row>
    <row r="107" spans="1:4" ht="15.75" hidden="1" outlineLevel="1">
      <c r="A107" s="38" t="s">
        <v>33</v>
      </c>
      <c r="B107" s="39" t="s">
        <v>925</v>
      </c>
      <c r="C107" s="38">
        <v>5.76</v>
      </c>
      <c r="D107" s="116"/>
    </row>
    <row r="108" spans="1:4" ht="15.75" hidden="1" outlineLevel="1">
      <c r="A108" s="38" t="s">
        <v>33</v>
      </c>
      <c r="B108" s="39" t="s">
        <v>669</v>
      </c>
      <c r="C108" s="38">
        <v>5.89</v>
      </c>
      <c r="D108" s="115" t="s">
        <v>935</v>
      </c>
    </row>
    <row r="109" spans="1:4" ht="15.75" hidden="1" outlineLevel="1">
      <c r="A109" s="38" t="s">
        <v>33</v>
      </c>
      <c r="B109" s="39" t="s">
        <v>773</v>
      </c>
      <c r="C109" s="38">
        <v>5.58</v>
      </c>
      <c r="D109" s="116"/>
    </row>
    <row r="110" spans="1:4" ht="15.75" hidden="1" outlineLevel="1">
      <c r="A110" s="38" t="s">
        <v>33</v>
      </c>
      <c r="B110" s="39" t="s">
        <v>938</v>
      </c>
      <c r="C110" s="38">
        <v>5.62</v>
      </c>
      <c r="D110" s="116"/>
    </row>
    <row r="111" spans="1:4" ht="15.75" hidden="1" outlineLevel="1">
      <c r="A111" s="38" t="s">
        <v>33</v>
      </c>
      <c r="B111" s="39" t="s">
        <v>11</v>
      </c>
      <c r="C111" s="38">
        <v>5.54</v>
      </c>
      <c r="D111" s="116"/>
    </row>
    <row r="112" spans="1:4" ht="15.75" hidden="1" outlineLevel="1">
      <c r="A112" s="38" t="s">
        <v>33</v>
      </c>
      <c r="B112" s="39" t="s">
        <v>15</v>
      </c>
      <c r="C112" s="38">
        <v>5.55</v>
      </c>
      <c r="D112" s="116"/>
    </row>
    <row r="113" spans="1:4" ht="15.75" hidden="1" outlineLevel="1">
      <c r="A113" s="38" t="s">
        <v>33</v>
      </c>
      <c r="B113" s="39" t="s">
        <v>1154</v>
      </c>
      <c r="C113" s="38">
        <v>5.65</v>
      </c>
      <c r="D113" s="116"/>
    </row>
    <row r="114" spans="1:4" ht="15.75" hidden="1" outlineLevel="1">
      <c r="A114" s="38" t="s">
        <v>33</v>
      </c>
      <c r="B114" s="39" t="s">
        <v>788</v>
      </c>
      <c r="C114" s="38">
        <v>5.66</v>
      </c>
      <c r="D114" s="116"/>
    </row>
    <row r="115" spans="1:4" ht="15.75" hidden="1" outlineLevel="1">
      <c r="A115" s="38" t="s">
        <v>33</v>
      </c>
      <c r="B115" s="39" t="s">
        <v>26</v>
      </c>
      <c r="C115" s="38">
        <v>5.68</v>
      </c>
      <c r="D115" s="116"/>
    </row>
    <row r="116" spans="1:4" ht="15.75" hidden="1" outlineLevel="1">
      <c r="A116" s="38" t="s">
        <v>33</v>
      </c>
      <c r="B116" s="39" t="s">
        <v>18</v>
      </c>
      <c r="C116" s="38">
        <v>5.45</v>
      </c>
      <c r="D116" s="116"/>
    </row>
    <row r="117" spans="1:4" ht="15.75" hidden="1" outlineLevel="1">
      <c r="A117" s="38" t="s">
        <v>33</v>
      </c>
      <c r="B117" s="39" t="s">
        <v>19</v>
      </c>
      <c r="C117" s="38">
        <v>5.47</v>
      </c>
      <c r="D117" s="116"/>
    </row>
    <row r="118" spans="1:4" ht="15.75" hidden="1" outlineLevel="1">
      <c r="A118" s="38" t="s">
        <v>33</v>
      </c>
      <c r="B118" s="39" t="s">
        <v>30</v>
      </c>
      <c r="C118" s="38">
        <v>5.48</v>
      </c>
      <c r="D118" s="116"/>
    </row>
    <row r="119" spans="1:4" ht="15.75" collapsed="1">
      <c r="A119" s="44" t="s">
        <v>33</v>
      </c>
      <c r="B119" s="39"/>
      <c r="C119" s="38"/>
      <c r="D119" s="116"/>
    </row>
    <row r="120" spans="1:4" ht="15.75" hidden="1" outlineLevel="1">
      <c r="A120" s="38" t="s">
        <v>791</v>
      </c>
      <c r="B120" s="39" t="s">
        <v>651</v>
      </c>
      <c r="C120" s="38">
        <v>5.0999999999999996</v>
      </c>
      <c r="D120" s="116"/>
    </row>
    <row r="121" spans="1:4" ht="15.75" hidden="1" outlineLevel="1">
      <c r="A121" s="38" t="s">
        <v>791</v>
      </c>
      <c r="B121" s="39" t="s">
        <v>0</v>
      </c>
      <c r="C121" s="38">
        <v>5.2</v>
      </c>
      <c r="D121" s="116"/>
    </row>
    <row r="122" spans="1:4" ht="15.75" hidden="1" outlineLevel="1">
      <c r="A122" s="38" t="s">
        <v>791</v>
      </c>
      <c r="B122" s="39" t="s">
        <v>724</v>
      </c>
      <c r="C122" s="38">
        <v>5.3</v>
      </c>
      <c r="D122" s="116"/>
    </row>
    <row r="123" spans="1:4" ht="15.75" hidden="1" outlineLevel="1">
      <c r="A123" s="38" t="s">
        <v>791</v>
      </c>
      <c r="B123" s="39" t="s">
        <v>2</v>
      </c>
      <c r="C123" s="38">
        <v>5.6</v>
      </c>
      <c r="D123" s="116"/>
    </row>
    <row r="124" spans="1:4" ht="15.75" hidden="1" outlineLevel="1">
      <c r="A124" s="38" t="s">
        <v>791</v>
      </c>
      <c r="B124" s="39" t="s">
        <v>730</v>
      </c>
      <c r="C124" s="40">
        <v>5.0999999999999996</v>
      </c>
      <c r="D124" s="116"/>
    </row>
    <row r="125" spans="1:4" ht="15.75" hidden="1" outlineLevel="1">
      <c r="A125" s="38" t="s">
        <v>791</v>
      </c>
      <c r="B125" s="39" t="s">
        <v>3</v>
      </c>
      <c r="C125" s="38">
        <v>5.14</v>
      </c>
      <c r="D125" s="116"/>
    </row>
    <row r="126" spans="1:4" ht="15.75" hidden="1" outlineLevel="1">
      <c r="A126" s="38" t="s">
        <v>791</v>
      </c>
      <c r="B126" s="39" t="s">
        <v>29</v>
      </c>
      <c r="C126" s="38">
        <v>5.19</v>
      </c>
      <c r="D126" s="116"/>
    </row>
    <row r="127" spans="1:4" ht="15.75" hidden="1" outlineLevel="1">
      <c r="A127" s="38" t="s">
        <v>791</v>
      </c>
      <c r="B127" s="39" t="s">
        <v>28</v>
      </c>
      <c r="C127" s="38">
        <v>5.24</v>
      </c>
      <c r="D127" s="116"/>
    </row>
    <row r="128" spans="1:4" ht="15.75" hidden="1" outlineLevel="1">
      <c r="A128" s="38" t="s">
        <v>791</v>
      </c>
      <c r="B128" s="39" t="s">
        <v>1</v>
      </c>
      <c r="C128" s="38">
        <v>5.26</v>
      </c>
      <c r="D128" s="116"/>
    </row>
    <row r="129" spans="1:4" ht="15.75" hidden="1" outlineLevel="1">
      <c r="A129" s="38" t="s">
        <v>791</v>
      </c>
      <c r="B129" s="39" t="s">
        <v>604</v>
      </c>
      <c r="C129" s="38">
        <v>5.27</v>
      </c>
      <c r="D129" s="116"/>
    </row>
    <row r="130" spans="1:4" ht="15.75" hidden="1" outlineLevel="1">
      <c r="A130" s="38" t="s">
        <v>791</v>
      </c>
      <c r="B130" s="39" t="s">
        <v>605</v>
      </c>
      <c r="C130" s="38">
        <v>5.28</v>
      </c>
      <c r="D130" s="116"/>
    </row>
    <row r="131" spans="1:4" ht="15.75" hidden="1" outlineLevel="1">
      <c r="A131" s="38" t="s">
        <v>791</v>
      </c>
      <c r="B131" s="39" t="s">
        <v>609</v>
      </c>
      <c r="C131" s="38">
        <v>5.29</v>
      </c>
      <c r="D131" s="116"/>
    </row>
    <row r="132" spans="1:4" ht="15.75" hidden="1" outlineLevel="1">
      <c r="A132" s="38" t="s">
        <v>791</v>
      </c>
      <c r="B132" s="39" t="s">
        <v>5</v>
      </c>
      <c r="C132" s="40">
        <v>5.3</v>
      </c>
      <c r="D132" s="116"/>
    </row>
    <row r="133" spans="1:4" ht="15.75" hidden="1" outlineLevel="1">
      <c r="A133" s="38" t="s">
        <v>791</v>
      </c>
      <c r="B133" s="39" t="s">
        <v>9</v>
      </c>
      <c r="C133" s="38">
        <v>5.31</v>
      </c>
      <c r="D133" s="116"/>
    </row>
    <row r="134" spans="1:4" ht="15.75" hidden="1" outlineLevel="1">
      <c r="A134" s="38" t="s">
        <v>791</v>
      </c>
      <c r="B134" s="39" t="s">
        <v>606</v>
      </c>
      <c r="C134" s="38">
        <v>5.36</v>
      </c>
      <c r="D134" s="116"/>
    </row>
    <row r="135" spans="1:4" ht="15.75" hidden="1" outlineLevel="1">
      <c r="A135" s="38" t="s">
        <v>791</v>
      </c>
      <c r="B135" s="39" t="s">
        <v>396</v>
      </c>
      <c r="C135" s="38">
        <v>5.53</v>
      </c>
      <c r="D135" s="116"/>
    </row>
    <row r="136" spans="1:4" ht="15.75" hidden="1" outlineLevel="1">
      <c r="A136" s="38" t="s">
        <v>791</v>
      </c>
      <c r="B136" s="39" t="s">
        <v>773</v>
      </c>
      <c r="C136" s="38">
        <v>5.58</v>
      </c>
      <c r="D136" s="116"/>
    </row>
    <row r="137" spans="1:4" ht="15.75" hidden="1" outlineLevel="1">
      <c r="A137" s="38" t="s">
        <v>791</v>
      </c>
      <c r="B137" s="39" t="s">
        <v>938</v>
      </c>
      <c r="C137" s="38">
        <v>5.62</v>
      </c>
      <c r="D137" s="116"/>
    </row>
    <row r="138" spans="1:4" ht="15.75" hidden="1" outlineLevel="1">
      <c r="A138" s="38" t="s">
        <v>791</v>
      </c>
      <c r="B138" s="39" t="s">
        <v>11</v>
      </c>
      <c r="C138" s="38">
        <v>5.54</v>
      </c>
      <c r="D138" s="116"/>
    </row>
    <row r="139" spans="1:4" ht="15.75" hidden="1" outlineLevel="1">
      <c r="A139" s="38" t="s">
        <v>791</v>
      </c>
      <c r="B139" s="39" t="s">
        <v>15</v>
      </c>
      <c r="C139" s="38">
        <v>5.55</v>
      </c>
      <c r="D139" s="116"/>
    </row>
    <row r="140" spans="1:4" ht="15.75" hidden="1" outlineLevel="1">
      <c r="A140" s="38" t="s">
        <v>791</v>
      </c>
      <c r="B140" s="39" t="s">
        <v>1153</v>
      </c>
      <c r="C140" s="38">
        <v>5.63</v>
      </c>
      <c r="D140" s="116"/>
    </row>
    <row r="141" spans="1:4" ht="15.75" hidden="1" outlineLevel="1">
      <c r="A141" s="38" t="s">
        <v>791</v>
      </c>
      <c r="B141" s="39" t="s">
        <v>18</v>
      </c>
      <c r="C141" s="38">
        <v>5.45</v>
      </c>
      <c r="D141" s="116"/>
    </row>
    <row r="142" spans="1:4" ht="15.75" hidden="1" outlineLevel="1">
      <c r="A142" s="38" t="s">
        <v>791</v>
      </c>
      <c r="B142" s="39" t="s">
        <v>19</v>
      </c>
      <c r="C142" s="38">
        <v>5.47</v>
      </c>
      <c r="D142" s="116"/>
    </row>
    <row r="143" spans="1:4" ht="15.75" hidden="1" outlineLevel="1">
      <c r="A143" s="38" t="s">
        <v>791</v>
      </c>
      <c r="B143" s="39" t="s">
        <v>30</v>
      </c>
      <c r="C143" s="38">
        <v>5.48</v>
      </c>
      <c r="D143" s="116"/>
    </row>
    <row r="144" spans="1:4" ht="15.75" collapsed="1">
      <c r="A144" s="44" t="s">
        <v>791</v>
      </c>
      <c r="B144" s="39"/>
      <c r="C144" s="38"/>
      <c r="D144" s="116"/>
    </row>
    <row r="145" spans="1:4" ht="15.75" hidden="1" outlineLevel="1">
      <c r="A145" s="38" t="s">
        <v>34</v>
      </c>
      <c r="B145" s="39" t="s">
        <v>651</v>
      </c>
      <c r="C145" s="38">
        <v>5.0999999999999996</v>
      </c>
      <c r="D145" s="116"/>
    </row>
    <row r="146" spans="1:4" ht="15.75" hidden="1" outlineLevel="1">
      <c r="A146" s="38" t="s">
        <v>34</v>
      </c>
      <c r="B146" s="39" t="s">
        <v>0</v>
      </c>
      <c r="C146" s="38">
        <v>5.2</v>
      </c>
      <c r="D146" s="116"/>
    </row>
    <row r="147" spans="1:4" ht="15.75" hidden="1" outlineLevel="1">
      <c r="A147" s="38" t="s">
        <v>34</v>
      </c>
      <c r="B147" s="39" t="s">
        <v>724</v>
      </c>
      <c r="C147" s="38">
        <v>5.3</v>
      </c>
      <c r="D147" s="116"/>
    </row>
    <row r="148" spans="1:4" ht="15.75" hidden="1" outlineLevel="1">
      <c r="A148" s="38" t="s">
        <v>34</v>
      </c>
      <c r="B148" s="39" t="s">
        <v>2</v>
      </c>
      <c r="C148" s="38">
        <v>5.6</v>
      </c>
      <c r="D148" s="116"/>
    </row>
    <row r="149" spans="1:4" ht="15.75" hidden="1" outlineLevel="1">
      <c r="A149" s="38" t="s">
        <v>34</v>
      </c>
      <c r="B149" s="39" t="s">
        <v>730</v>
      </c>
      <c r="C149" s="40">
        <v>5.0999999999999996</v>
      </c>
      <c r="D149" s="116"/>
    </row>
    <row r="150" spans="1:4" ht="15.75" hidden="1" outlineLevel="1">
      <c r="A150" s="38" t="s">
        <v>34</v>
      </c>
      <c r="B150" s="39" t="s">
        <v>3</v>
      </c>
      <c r="C150" s="38">
        <v>5.14</v>
      </c>
      <c r="D150" s="116"/>
    </row>
    <row r="151" spans="1:4" ht="15.75" hidden="1" outlineLevel="1">
      <c r="A151" s="38" t="s">
        <v>34</v>
      </c>
      <c r="B151" s="39" t="s">
        <v>29</v>
      </c>
      <c r="C151" s="38">
        <v>5.19</v>
      </c>
      <c r="D151" s="116"/>
    </row>
    <row r="152" spans="1:4" ht="15.75" hidden="1" outlineLevel="1">
      <c r="A152" s="38" t="s">
        <v>34</v>
      </c>
      <c r="B152" s="39" t="s">
        <v>28</v>
      </c>
      <c r="C152" s="38">
        <v>5.24</v>
      </c>
      <c r="D152" s="116"/>
    </row>
    <row r="153" spans="1:4" ht="15.75" hidden="1" outlineLevel="1">
      <c r="A153" s="38" t="s">
        <v>34</v>
      </c>
      <c r="B153" s="39" t="s">
        <v>1</v>
      </c>
      <c r="C153" s="38">
        <v>5.26</v>
      </c>
      <c r="D153" s="116"/>
    </row>
    <row r="154" spans="1:4" ht="15.75" hidden="1" outlineLevel="1">
      <c r="A154" s="38" t="s">
        <v>34</v>
      </c>
      <c r="B154" s="39" t="s">
        <v>604</v>
      </c>
      <c r="C154" s="38">
        <v>5.27</v>
      </c>
      <c r="D154" s="116"/>
    </row>
    <row r="155" spans="1:4" ht="15.75" hidden="1" outlineLevel="1">
      <c r="A155" s="38" t="s">
        <v>34</v>
      </c>
      <c r="B155" s="39" t="s">
        <v>605</v>
      </c>
      <c r="C155" s="38">
        <v>5.28</v>
      </c>
      <c r="D155" s="116"/>
    </row>
    <row r="156" spans="1:4" ht="15.75" hidden="1" outlineLevel="1">
      <c r="A156" s="38" t="s">
        <v>34</v>
      </c>
      <c r="B156" s="39" t="s">
        <v>5</v>
      </c>
      <c r="C156" s="40">
        <v>5.3</v>
      </c>
      <c r="D156" s="116"/>
    </row>
    <row r="157" spans="1:4" ht="15.75" hidden="1" outlineLevel="1">
      <c r="A157" s="38" t="s">
        <v>34</v>
      </c>
      <c r="B157" s="39" t="s">
        <v>300</v>
      </c>
      <c r="C157" s="38">
        <v>5.32</v>
      </c>
      <c r="D157" s="116"/>
    </row>
    <row r="158" spans="1:4" ht="15.75" hidden="1" outlineLevel="1">
      <c r="A158" s="38" t="s">
        <v>34</v>
      </c>
      <c r="B158" s="39" t="s">
        <v>606</v>
      </c>
      <c r="C158" s="38">
        <v>5.36</v>
      </c>
      <c r="D158" s="116"/>
    </row>
    <row r="159" spans="1:4" ht="15.75" hidden="1" outlineLevel="1">
      <c r="A159" s="38" t="s">
        <v>34</v>
      </c>
      <c r="B159" s="39" t="s">
        <v>396</v>
      </c>
      <c r="C159" s="38">
        <v>5.53</v>
      </c>
      <c r="D159" s="116"/>
    </row>
    <row r="160" spans="1:4" ht="15.75" hidden="1" outlineLevel="1">
      <c r="A160" s="38" t="s">
        <v>34</v>
      </c>
      <c r="B160" s="39" t="s">
        <v>773</v>
      </c>
      <c r="C160" s="38">
        <v>5.58</v>
      </c>
      <c r="D160" s="116"/>
    </row>
    <row r="161" spans="1:4" ht="15.75" hidden="1" outlineLevel="1">
      <c r="A161" s="38" t="s">
        <v>34</v>
      </c>
      <c r="B161" s="39" t="s">
        <v>11</v>
      </c>
      <c r="C161" s="38">
        <v>5.54</v>
      </c>
      <c r="D161" s="116"/>
    </row>
    <row r="162" spans="1:4" ht="15.75" hidden="1" outlineLevel="1">
      <c r="A162" s="38" t="s">
        <v>34</v>
      </c>
      <c r="B162" s="39" t="s">
        <v>15</v>
      </c>
      <c r="C162" s="38">
        <v>5.55</v>
      </c>
      <c r="D162" s="116"/>
    </row>
    <row r="163" spans="1:4" ht="15.75" hidden="1" outlineLevel="1">
      <c r="A163" s="38" t="s">
        <v>34</v>
      </c>
      <c r="B163" s="39" t="s">
        <v>938</v>
      </c>
      <c r="C163" s="38">
        <v>5.62</v>
      </c>
      <c r="D163" s="116"/>
    </row>
    <row r="164" spans="1:4" ht="15.75" hidden="1" outlineLevel="1">
      <c r="A164" s="38" t="s">
        <v>34</v>
      </c>
      <c r="B164" s="39" t="s">
        <v>1153</v>
      </c>
      <c r="C164" s="38">
        <v>5.63</v>
      </c>
      <c r="D164" s="116"/>
    </row>
    <row r="165" spans="1:4" ht="15.75" hidden="1" outlineLevel="1">
      <c r="A165" s="38" t="s">
        <v>34</v>
      </c>
      <c r="B165" s="39" t="s">
        <v>18</v>
      </c>
      <c r="C165" s="38">
        <v>5.45</v>
      </c>
      <c r="D165" s="116"/>
    </row>
    <row r="166" spans="1:4" ht="15.75" hidden="1" outlineLevel="1">
      <c r="A166" s="38" t="s">
        <v>34</v>
      </c>
      <c r="B166" s="39" t="s">
        <v>19</v>
      </c>
      <c r="C166" s="38">
        <v>5.47</v>
      </c>
      <c r="D166" s="116"/>
    </row>
    <row r="167" spans="1:4" ht="15.75" hidden="1" outlineLevel="1">
      <c r="A167" s="38" t="s">
        <v>34</v>
      </c>
      <c r="B167" s="39" t="s">
        <v>30</v>
      </c>
      <c r="C167" s="38">
        <v>5.48</v>
      </c>
      <c r="D167" s="116"/>
    </row>
    <row r="168" spans="1:4" ht="15.75" collapsed="1">
      <c r="A168" s="44" t="s">
        <v>34</v>
      </c>
      <c r="B168" s="39"/>
      <c r="C168" s="38"/>
      <c r="D168" s="116"/>
    </row>
    <row r="169" spans="1:4" ht="15.75" hidden="1" outlineLevel="1">
      <c r="A169" s="38" t="s">
        <v>35</v>
      </c>
      <c r="B169" s="39" t="s">
        <v>651</v>
      </c>
      <c r="C169" s="38">
        <v>5.0999999999999996</v>
      </c>
      <c r="D169" s="116"/>
    </row>
    <row r="170" spans="1:4" ht="15.75" hidden="1" outlineLevel="1">
      <c r="A170" s="38" t="s">
        <v>35</v>
      </c>
      <c r="B170" s="39" t="s">
        <v>0</v>
      </c>
      <c r="C170" s="38">
        <v>5.2</v>
      </c>
      <c r="D170" s="116"/>
    </row>
    <row r="171" spans="1:4" ht="15.75" hidden="1" outlineLevel="1">
      <c r="A171" s="38" t="s">
        <v>35</v>
      </c>
      <c r="B171" s="39" t="s">
        <v>724</v>
      </c>
      <c r="C171" s="38">
        <v>5.3</v>
      </c>
      <c r="D171" s="116"/>
    </row>
    <row r="172" spans="1:4" ht="15.75" hidden="1" outlineLevel="1">
      <c r="A172" s="38" t="s">
        <v>35</v>
      </c>
      <c r="B172" s="39" t="s">
        <v>2</v>
      </c>
      <c r="C172" s="38">
        <v>5.6</v>
      </c>
      <c r="D172" s="116"/>
    </row>
    <row r="173" spans="1:4" ht="15.75" hidden="1" outlineLevel="1">
      <c r="A173" s="38" t="s">
        <v>35</v>
      </c>
      <c r="B173" s="39" t="s">
        <v>730</v>
      </c>
      <c r="C173" s="40">
        <v>5.0999999999999996</v>
      </c>
      <c r="D173" s="116"/>
    </row>
    <row r="174" spans="1:4" ht="15.75" hidden="1" outlineLevel="1">
      <c r="A174" s="38" t="s">
        <v>35</v>
      </c>
      <c r="B174" s="39" t="s">
        <v>3</v>
      </c>
      <c r="C174" s="38">
        <v>5.14</v>
      </c>
      <c r="D174" s="116"/>
    </row>
    <row r="175" spans="1:4" ht="15.75" hidden="1" outlineLevel="1">
      <c r="A175" s="38" t="s">
        <v>35</v>
      </c>
      <c r="B175" s="39" t="s">
        <v>29</v>
      </c>
      <c r="C175" s="38">
        <v>5.19</v>
      </c>
      <c r="D175" s="116"/>
    </row>
    <row r="176" spans="1:4" ht="15.75" hidden="1" outlineLevel="1">
      <c r="A176" s="38" t="s">
        <v>35</v>
      </c>
      <c r="B176" s="39" t="s">
        <v>28</v>
      </c>
      <c r="C176" s="38">
        <v>5.24</v>
      </c>
      <c r="D176" s="116"/>
    </row>
    <row r="177" spans="1:4" ht="15.75" hidden="1" outlineLevel="1">
      <c r="A177" s="38" t="s">
        <v>35</v>
      </c>
      <c r="B177" s="39" t="s">
        <v>1</v>
      </c>
      <c r="C177" s="38">
        <v>5.26</v>
      </c>
      <c r="D177" s="116"/>
    </row>
    <row r="178" spans="1:4" ht="15.75" hidden="1" outlineLevel="1">
      <c r="A178" s="38" t="s">
        <v>35</v>
      </c>
      <c r="B178" s="39" t="s">
        <v>604</v>
      </c>
      <c r="C178" s="38">
        <v>5.27</v>
      </c>
      <c r="D178" s="116"/>
    </row>
    <row r="179" spans="1:4" ht="15.75" hidden="1" outlineLevel="1">
      <c r="A179" s="38" t="s">
        <v>35</v>
      </c>
      <c r="B179" s="39" t="s">
        <v>605</v>
      </c>
      <c r="C179" s="38">
        <v>5.28</v>
      </c>
      <c r="D179" s="116"/>
    </row>
    <row r="180" spans="1:4" ht="15.75" hidden="1" outlineLevel="1">
      <c r="A180" s="38" t="s">
        <v>35</v>
      </c>
      <c r="B180" s="39" t="s">
        <v>609</v>
      </c>
      <c r="C180" s="38">
        <v>5.29</v>
      </c>
      <c r="D180" s="116"/>
    </row>
    <row r="181" spans="1:4" ht="15.75" hidden="1" outlineLevel="1">
      <c r="A181" s="38" t="s">
        <v>35</v>
      </c>
      <c r="B181" s="39" t="s">
        <v>5</v>
      </c>
      <c r="C181" s="40">
        <v>5.3</v>
      </c>
      <c r="D181" s="116"/>
    </row>
    <row r="182" spans="1:4" ht="15.75" hidden="1" outlineLevel="1">
      <c r="A182" s="38" t="s">
        <v>35</v>
      </c>
      <c r="B182" s="39" t="s">
        <v>300</v>
      </c>
      <c r="C182" s="38">
        <v>5.32</v>
      </c>
      <c r="D182" s="116"/>
    </row>
    <row r="183" spans="1:4" ht="15.75" hidden="1" outlineLevel="1">
      <c r="A183" s="38" t="s">
        <v>35</v>
      </c>
      <c r="B183" s="39" t="s">
        <v>606</v>
      </c>
      <c r="C183" s="38">
        <v>5.36</v>
      </c>
      <c r="D183" s="116"/>
    </row>
    <row r="184" spans="1:4" ht="15.75" hidden="1" outlineLevel="1">
      <c r="A184" s="38" t="s">
        <v>35</v>
      </c>
      <c r="B184" s="39" t="s">
        <v>396</v>
      </c>
      <c r="C184" s="38">
        <v>5.53</v>
      </c>
      <c r="D184" s="116"/>
    </row>
    <row r="185" spans="1:4" ht="15.75" hidden="1" outlineLevel="1">
      <c r="A185" s="38" t="s">
        <v>35</v>
      </c>
      <c r="B185" s="39" t="s">
        <v>773</v>
      </c>
      <c r="C185" s="38">
        <v>5.58</v>
      </c>
      <c r="D185" s="116"/>
    </row>
    <row r="186" spans="1:4" ht="15.75" hidden="1" outlineLevel="1">
      <c r="A186" s="38" t="s">
        <v>35</v>
      </c>
      <c r="B186" s="39" t="s">
        <v>11</v>
      </c>
      <c r="C186" s="38">
        <v>5.54</v>
      </c>
      <c r="D186" s="116"/>
    </row>
    <row r="187" spans="1:4" ht="15.75" hidden="1" outlineLevel="1">
      <c r="A187" s="38" t="s">
        <v>35</v>
      </c>
      <c r="B187" s="39" t="s">
        <v>15</v>
      </c>
      <c r="C187" s="38">
        <v>5.55</v>
      </c>
      <c r="D187" s="116"/>
    </row>
    <row r="188" spans="1:4" ht="15.75" hidden="1" outlineLevel="1">
      <c r="A188" s="38" t="s">
        <v>35</v>
      </c>
      <c r="B188" s="39" t="s">
        <v>1153</v>
      </c>
      <c r="C188" s="38">
        <v>5.63</v>
      </c>
      <c r="D188" s="116"/>
    </row>
    <row r="189" spans="1:4" ht="15.75" hidden="1" outlineLevel="1">
      <c r="A189" s="38" t="s">
        <v>35</v>
      </c>
      <c r="B189" s="39" t="s">
        <v>18</v>
      </c>
      <c r="C189" s="38">
        <v>5.45</v>
      </c>
      <c r="D189" s="116"/>
    </row>
    <row r="190" spans="1:4" ht="15.75" hidden="1" outlineLevel="1">
      <c r="A190" s="38" t="s">
        <v>35</v>
      </c>
      <c r="B190" s="39" t="s">
        <v>19</v>
      </c>
      <c r="C190" s="38">
        <v>5.47</v>
      </c>
      <c r="D190" s="116"/>
    </row>
    <row r="191" spans="1:4" ht="15.75" hidden="1" outlineLevel="1">
      <c r="A191" s="38" t="s">
        <v>35</v>
      </c>
      <c r="B191" s="39" t="s">
        <v>30</v>
      </c>
      <c r="C191" s="38">
        <v>5.48</v>
      </c>
      <c r="D191" s="116"/>
    </row>
    <row r="192" spans="1:4" ht="15.75" collapsed="1">
      <c r="A192" s="44" t="s">
        <v>35</v>
      </c>
      <c r="B192" s="39"/>
      <c r="C192" s="38"/>
      <c r="D192" s="116"/>
    </row>
    <row r="193" spans="1:4" ht="15.75" hidden="1" outlineLevel="1">
      <c r="A193" s="38" t="s">
        <v>36</v>
      </c>
      <c r="B193" s="39" t="s">
        <v>651</v>
      </c>
      <c r="C193" s="38">
        <v>5.0999999999999996</v>
      </c>
      <c r="D193" s="116"/>
    </row>
    <row r="194" spans="1:4" ht="15.75" hidden="1" outlineLevel="1">
      <c r="A194" s="38" t="s">
        <v>36</v>
      </c>
      <c r="B194" s="39" t="s">
        <v>0</v>
      </c>
      <c r="C194" s="38">
        <v>5.2</v>
      </c>
      <c r="D194" s="116"/>
    </row>
    <row r="195" spans="1:4" ht="15.75" hidden="1" outlineLevel="1">
      <c r="A195" s="38" t="s">
        <v>36</v>
      </c>
      <c r="B195" s="39" t="s">
        <v>724</v>
      </c>
      <c r="C195" s="38">
        <v>5.3</v>
      </c>
      <c r="D195" s="116"/>
    </row>
    <row r="196" spans="1:4" ht="15.75" hidden="1" outlineLevel="1">
      <c r="A196" s="38" t="s">
        <v>36</v>
      </c>
      <c r="B196" s="39" t="s">
        <v>2</v>
      </c>
      <c r="C196" s="38">
        <v>5.6</v>
      </c>
      <c r="D196" s="116"/>
    </row>
    <row r="197" spans="1:4" ht="15.75" hidden="1" outlineLevel="1">
      <c r="A197" s="38" t="s">
        <v>36</v>
      </c>
      <c r="B197" s="39" t="s">
        <v>730</v>
      </c>
      <c r="C197" s="40">
        <v>5.0999999999999996</v>
      </c>
      <c r="D197" s="116"/>
    </row>
    <row r="198" spans="1:4" ht="15.75" hidden="1" outlineLevel="1">
      <c r="A198" s="38" t="s">
        <v>36</v>
      </c>
      <c r="B198" s="39" t="s">
        <v>3</v>
      </c>
      <c r="C198" s="38">
        <v>5.14</v>
      </c>
      <c r="D198" s="116"/>
    </row>
    <row r="199" spans="1:4" ht="15.75" hidden="1" outlineLevel="1">
      <c r="A199" s="38" t="s">
        <v>36</v>
      </c>
      <c r="B199" s="39" t="s">
        <v>29</v>
      </c>
      <c r="C199" s="38">
        <v>5.19</v>
      </c>
      <c r="D199" s="116"/>
    </row>
    <row r="200" spans="1:4" ht="15.75" hidden="1" outlineLevel="1">
      <c r="A200" s="38" t="s">
        <v>36</v>
      </c>
      <c r="B200" s="39" t="s">
        <v>28</v>
      </c>
      <c r="C200" s="38">
        <v>5.24</v>
      </c>
      <c r="D200" s="116"/>
    </row>
    <row r="201" spans="1:4" ht="15.75" hidden="1" outlineLevel="1">
      <c r="A201" s="38" t="s">
        <v>36</v>
      </c>
      <c r="B201" s="39" t="s">
        <v>604</v>
      </c>
      <c r="C201" s="38">
        <v>5.27</v>
      </c>
      <c r="D201" s="116"/>
    </row>
    <row r="202" spans="1:4" ht="15.75" hidden="1" outlineLevel="1">
      <c r="A202" s="38" t="s">
        <v>36</v>
      </c>
      <c r="B202" s="39" t="s">
        <v>605</v>
      </c>
      <c r="C202" s="38">
        <v>5.28</v>
      </c>
      <c r="D202" s="116"/>
    </row>
    <row r="203" spans="1:4" ht="15.75" hidden="1" outlineLevel="1">
      <c r="A203" s="38" t="s">
        <v>36</v>
      </c>
      <c r="B203" s="39" t="s">
        <v>609</v>
      </c>
      <c r="C203" s="38">
        <v>5.29</v>
      </c>
      <c r="D203" s="116"/>
    </row>
    <row r="204" spans="1:4" ht="15.75" hidden="1" outlineLevel="1">
      <c r="A204" s="38" t="s">
        <v>36</v>
      </c>
      <c r="B204" s="39" t="s">
        <v>5</v>
      </c>
      <c r="C204" s="40">
        <v>5.3</v>
      </c>
      <c r="D204" s="116"/>
    </row>
    <row r="205" spans="1:4" ht="15.75" hidden="1" outlineLevel="1">
      <c r="A205" s="38" t="s">
        <v>36</v>
      </c>
      <c r="B205" s="39" t="s">
        <v>738</v>
      </c>
      <c r="C205" s="38">
        <v>5.34</v>
      </c>
      <c r="D205" s="116"/>
    </row>
    <row r="206" spans="1:4" ht="15.75" hidden="1" outlineLevel="1">
      <c r="A206" s="38" t="s">
        <v>36</v>
      </c>
      <c r="B206" s="39" t="s">
        <v>9</v>
      </c>
      <c r="C206" s="38">
        <v>5.31</v>
      </c>
      <c r="D206" s="116"/>
    </row>
    <row r="207" spans="1:4" ht="15.75" hidden="1" outlineLevel="1">
      <c r="A207" s="38" t="s">
        <v>36</v>
      </c>
      <c r="B207" s="39" t="s">
        <v>666</v>
      </c>
      <c r="C207" s="38">
        <v>5.101</v>
      </c>
      <c r="D207" s="116"/>
    </row>
    <row r="208" spans="1:4" ht="15.75" hidden="1" outlineLevel="1">
      <c r="A208" s="38" t="s">
        <v>36</v>
      </c>
      <c r="B208" s="39" t="s">
        <v>606</v>
      </c>
      <c r="C208" s="38">
        <v>5.36</v>
      </c>
      <c r="D208" s="116"/>
    </row>
    <row r="209" spans="1:4" ht="15.75" hidden="1" outlineLevel="1">
      <c r="A209" s="38" t="s">
        <v>36</v>
      </c>
      <c r="B209" s="39" t="s">
        <v>396</v>
      </c>
      <c r="C209" s="38">
        <v>5.53</v>
      </c>
      <c r="D209" s="116"/>
    </row>
    <row r="210" spans="1:4" ht="15.75" hidden="1" outlineLevel="1">
      <c r="A210" s="38" t="s">
        <v>36</v>
      </c>
      <c r="B210" s="39" t="s">
        <v>23</v>
      </c>
      <c r="C210" s="38">
        <v>5.1020000000000003</v>
      </c>
      <c r="D210" s="116"/>
    </row>
    <row r="211" spans="1:4" ht="15.75" hidden="1" outlineLevel="1">
      <c r="A211" s="38" t="s">
        <v>36</v>
      </c>
      <c r="B211" s="39" t="s">
        <v>613</v>
      </c>
      <c r="C211" s="41">
        <v>5.0999999999999996</v>
      </c>
      <c r="D211" s="116"/>
    </row>
    <row r="212" spans="1:4" ht="15.75" hidden="1" outlineLevel="1">
      <c r="A212" s="38" t="s">
        <v>36</v>
      </c>
      <c r="B212" s="39" t="s">
        <v>773</v>
      </c>
      <c r="C212" s="38">
        <v>5.58</v>
      </c>
      <c r="D212" s="116"/>
    </row>
    <row r="213" spans="1:4" ht="15.75" hidden="1" outlineLevel="1">
      <c r="A213" s="38" t="s">
        <v>36</v>
      </c>
      <c r="B213" s="39" t="s">
        <v>11</v>
      </c>
      <c r="C213" s="38">
        <v>5.54</v>
      </c>
      <c r="D213" s="116"/>
    </row>
    <row r="214" spans="1:4" ht="15.75" hidden="1" outlineLevel="1">
      <c r="A214" s="38" t="s">
        <v>36</v>
      </c>
      <c r="B214" s="39" t="s">
        <v>15</v>
      </c>
      <c r="C214" s="38">
        <v>5.55</v>
      </c>
      <c r="D214" s="116"/>
    </row>
    <row r="215" spans="1:4" ht="15.75" hidden="1" outlineLevel="1">
      <c r="A215" s="38" t="s">
        <v>36</v>
      </c>
      <c r="B215" s="39" t="s">
        <v>1153</v>
      </c>
      <c r="C215" s="38">
        <v>5.63</v>
      </c>
      <c r="D215" s="116"/>
    </row>
    <row r="216" spans="1:4" ht="15.75" hidden="1" outlineLevel="1">
      <c r="A216" s="38" t="s">
        <v>36</v>
      </c>
      <c r="B216" s="39" t="s">
        <v>19</v>
      </c>
      <c r="C216" s="38">
        <v>5.47</v>
      </c>
      <c r="D216" s="116"/>
    </row>
    <row r="217" spans="1:4" ht="15.75" hidden="1" outlineLevel="1">
      <c r="A217" s="38" t="s">
        <v>36</v>
      </c>
      <c r="B217" s="39" t="s">
        <v>30</v>
      </c>
      <c r="C217" s="38">
        <v>5.48</v>
      </c>
      <c r="D217" s="116"/>
    </row>
    <row r="218" spans="1:4" ht="15.75" collapsed="1">
      <c r="A218" s="44" t="s">
        <v>36</v>
      </c>
      <c r="B218" s="39"/>
      <c r="C218" s="38"/>
      <c r="D218" s="116"/>
    </row>
    <row r="219" spans="1:4" ht="15.75" hidden="1" outlineLevel="1">
      <c r="A219" s="38" t="s">
        <v>37</v>
      </c>
      <c r="B219" s="39" t="s">
        <v>651</v>
      </c>
      <c r="C219" s="38">
        <v>5.0999999999999996</v>
      </c>
      <c r="D219" s="116"/>
    </row>
    <row r="220" spans="1:4" ht="15.75" hidden="1" outlineLevel="1">
      <c r="A220" s="38" t="s">
        <v>37</v>
      </c>
      <c r="B220" s="39" t="s">
        <v>0</v>
      </c>
      <c r="C220" s="38">
        <v>5.2</v>
      </c>
      <c r="D220" s="116"/>
    </row>
    <row r="221" spans="1:4" ht="15.75" hidden="1" outlineLevel="1">
      <c r="A221" s="38" t="s">
        <v>37</v>
      </c>
      <c r="B221" s="39" t="s">
        <v>724</v>
      </c>
      <c r="C221" s="38">
        <v>5.3</v>
      </c>
      <c r="D221" s="116"/>
    </row>
    <row r="222" spans="1:4" ht="15.75" hidden="1" outlineLevel="1">
      <c r="A222" s="38" t="s">
        <v>37</v>
      </c>
      <c r="B222" s="39" t="s">
        <v>2</v>
      </c>
      <c r="C222" s="38">
        <v>5.6</v>
      </c>
      <c r="D222" s="116"/>
    </row>
    <row r="223" spans="1:4" ht="15.75" hidden="1" outlineLevel="1">
      <c r="A223" s="38" t="s">
        <v>37</v>
      </c>
      <c r="B223" s="39" t="s">
        <v>730</v>
      </c>
      <c r="C223" s="40">
        <v>5.0999999999999996</v>
      </c>
      <c r="D223" s="116"/>
    </row>
    <row r="224" spans="1:4" ht="15.75" hidden="1" outlineLevel="1">
      <c r="A224" s="38" t="s">
        <v>37</v>
      </c>
      <c r="B224" s="39" t="s">
        <v>3</v>
      </c>
      <c r="C224" s="38">
        <v>5.14</v>
      </c>
      <c r="D224" s="116"/>
    </row>
    <row r="225" spans="1:4" ht="15.75" hidden="1" outlineLevel="1">
      <c r="A225" s="38" t="s">
        <v>37</v>
      </c>
      <c r="B225" s="39" t="s">
        <v>29</v>
      </c>
      <c r="C225" s="38">
        <v>5.19</v>
      </c>
      <c r="D225" s="116"/>
    </row>
    <row r="226" spans="1:4" ht="15.75" hidden="1" outlineLevel="1">
      <c r="A226" s="38" t="s">
        <v>37</v>
      </c>
      <c r="B226" s="39" t="s">
        <v>28</v>
      </c>
      <c r="C226" s="38">
        <v>5.24</v>
      </c>
      <c r="D226" s="116"/>
    </row>
    <row r="227" spans="1:4" ht="15.75" hidden="1" outlineLevel="1">
      <c r="A227" s="38" t="s">
        <v>37</v>
      </c>
      <c r="B227" s="39" t="s">
        <v>1</v>
      </c>
      <c r="C227" s="38">
        <v>5.26</v>
      </c>
      <c r="D227" s="116"/>
    </row>
    <row r="228" spans="1:4" ht="15.75" hidden="1" outlineLevel="1">
      <c r="A228" s="38" t="s">
        <v>37</v>
      </c>
      <c r="B228" s="39" t="s">
        <v>604</v>
      </c>
      <c r="C228" s="38">
        <v>5.27</v>
      </c>
      <c r="D228" s="116"/>
    </row>
    <row r="229" spans="1:4" ht="15.75" hidden="1" outlineLevel="1">
      <c r="A229" s="38" t="s">
        <v>37</v>
      </c>
      <c r="B229" s="39" t="s">
        <v>605</v>
      </c>
      <c r="C229" s="38">
        <v>5.28</v>
      </c>
      <c r="D229" s="116"/>
    </row>
    <row r="230" spans="1:4" ht="15.75" hidden="1" outlineLevel="1">
      <c r="A230" s="38" t="s">
        <v>37</v>
      </c>
      <c r="B230" s="39" t="s">
        <v>609</v>
      </c>
      <c r="C230" s="38">
        <v>5.29</v>
      </c>
      <c r="D230" s="116"/>
    </row>
    <row r="231" spans="1:4" ht="15.75" hidden="1" outlineLevel="1">
      <c r="A231" s="38" t="s">
        <v>37</v>
      </c>
      <c r="B231" s="39" t="s">
        <v>5</v>
      </c>
      <c r="C231" s="40">
        <v>5.3</v>
      </c>
      <c r="D231" s="116"/>
    </row>
    <row r="232" spans="1:4" ht="15.75" hidden="1" outlineLevel="1">
      <c r="A232" s="38" t="s">
        <v>37</v>
      </c>
      <c r="B232" s="39" t="s">
        <v>9</v>
      </c>
      <c r="C232" s="38">
        <v>5.31</v>
      </c>
      <c r="D232" s="116"/>
    </row>
    <row r="233" spans="1:4" ht="15.75" hidden="1" outlineLevel="1">
      <c r="A233" s="38" t="s">
        <v>37</v>
      </c>
      <c r="B233" s="39" t="s">
        <v>10</v>
      </c>
      <c r="C233" s="38">
        <v>5.33</v>
      </c>
      <c r="D233" s="116"/>
    </row>
    <row r="234" spans="1:4" ht="15.75" hidden="1" outlineLevel="1">
      <c r="A234" s="38" t="s">
        <v>37</v>
      </c>
      <c r="B234" s="39" t="s">
        <v>666</v>
      </c>
      <c r="C234" s="38">
        <v>5.101</v>
      </c>
      <c r="D234" s="116"/>
    </row>
    <row r="235" spans="1:4" ht="15.75" hidden="1" outlineLevel="1">
      <c r="A235" s="38" t="s">
        <v>37</v>
      </c>
      <c r="B235" s="39" t="s">
        <v>606</v>
      </c>
      <c r="C235" s="38">
        <v>5.36</v>
      </c>
      <c r="D235" s="116"/>
    </row>
    <row r="236" spans="1:4" ht="15.75" hidden="1" outlineLevel="1">
      <c r="A236" s="38" t="s">
        <v>37</v>
      </c>
      <c r="B236" s="39" t="s">
        <v>396</v>
      </c>
      <c r="C236" s="38">
        <v>5.53</v>
      </c>
      <c r="D236" s="116"/>
    </row>
    <row r="237" spans="1:4" ht="15.75" hidden="1" outlineLevel="1">
      <c r="A237" s="38" t="s">
        <v>37</v>
      </c>
      <c r="B237" s="39" t="s">
        <v>23</v>
      </c>
      <c r="C237" s="38">
        <v>5.1020000000000003</v>
      </c>
      <c r="D237" s="116"/>
    </row>
    <row r="238" spans="1:4" ht="15.75" hidden="1" outlineLevel="1">
      <c r="A238" s="38" t="s">
        <v>37</v>
      </c>
      <c r="B238" s="39" t="s">
        <v>773</v>
      </c>
      <c r="C238" s="38">
        <v>5.58</v>
      </c>
      <c r="D238" s="116"/>
    </row>
    <row r="239" spans="1:4" ht="15.75" hidden="1" outlineLevel="1">
      <c r="A239" s="38" t="s">
        <v>37</v>
      </c>
      <c r="B239" s="39" t="s">
        <v>11</v>
      </c>
      <c r="C239" s="38">
        <v>5.54</v>
      </c>
      <c r="D239" s="116"/>
    </row>
    <row r="240" spans="1:4" ht="15.75" hidden="1" outlineLevel="1">
      <c r="A240" s="38" t="s">
        <v>37</v>
      </c>
      <c r="B240" s="39" t="s">
        <v>15</v>
      </c>
      <c r="C240" s="38">
        <v>5.55</v>
      </c>
      <c r="D240" s="116"/>
    </row>
    <row r="241" spans="1:4" ht="15.75" hidden="1" outlineLevel="1">
      <c r="A241" s="38" t="s">
        <v>37</v>
      </c>
      <c r="B241" s="39" t="s">
        <v>1153</v>
      </c>
      <c r="C241" s="38">
        <v>5.63</v>
      </c>
      <c r="D241" s="116"/>
    </row>
    <row r="242" spans="1:4" ht="15.75" hidden="1" outlineLevel="1">
      <c r="A242" s="38" t="s">
        <v>37</v>
      </c>
      <c r="B242" s="39" t="s">
        <v>19</v>
      </c>
      <c r="C242" s="38">
        <v>5.47</v>
      </c>
      <c r="D242" s="116"/>
    </row>
    <row r="243" spans="1:4" ht="15.75" hidden="1" outlineLevel="1">
      <c r="A243" s="38" t="s">
        <v>37</v>
      </c>
      <c r="B243" s="39" t="s">
        <v>30</v>
      </c>
      <c r="C243" s="38">
        <v>5.48</v>
      </c>
      <c r="D243" s="116"/>
    </row>
    <row r="244" spans="1:4" ht="15.75" collapsed="1">
      <c r="A244" s="44" t="s">
        <v>37</v>
      </c>
      <c r="B244" s="39"/>
      <c r="C244" s="38"/>
      <c r="D244" s="116"/>
    </row>
    <row r="245" spans="1:4" ht="15.75" hidden="1" outlineLevel="1">
      <c r="A245" s="38" t="s">
        <v>38</v>
      </c>
      <c r="B245" s="39" t="s">
        <v>651</v>
      </c>
      <c r="C245" s="38">
        <v>5.0999999999999996</v>
      </c>
      <c r="D245" s="116"/>
    </row>
    <row r="246" spans="1:4" ht="15.75" hidden="1" outlineLevel="1">
      <c r="A246" s="38" t="s">
        <v>38</v>
      </c>
      <c r="B246" s="39" t="s">
        <v>0</v>
      </c>
      <c r="C246" s="38">
        <v>5.2</v>
      </c>
      <c r="D246" s="116"/>
    </row>
    <row r="247" spans="1:4" ht="15.75" hidden="1" outlineLevel="1">
      <c r="A247" s="38" t="s">
        <v>38</v>
      </c>
      <c r="B247" s="39" t="s">
        <v>724</v>
      </c>
      <c r="C247" s="38">
        <v>5.3</v>
      </c>
      <c r="D247" s="116"/>
    </row>
    <row r="248" spans="1:4" ht="15.75" hidden="1" outlineLevel="1">
      <c r="A248" s="38" t="s">
        <v>38</v>
      </c>
      <c r="B248" s="39" t="s">
        <v>2</v>
      </c>
      <c r="C248" s="38">
        <v>5.6</v>
      </c>
      <c r="D248" s="116"/>
    </row>
    <row r="249" spans="1:4" ht="15.75" hidden="1" outlineLevel="1">
      <c r="A249" s="38" t="s">
        <v>38</v>
      </c>
      <c r="B249" s="39" t="s">
        <v>730</v>
      </c>
      <c r="C249" s="40">
        <v>5.0999999999999996</v>
      </c>
      <c r="D249" s="116"/>
    </row>
    <row r="250" spans="1:4" ht="15.75" hidden="1" outlineLevel="1">
      <c r="A250" s="38" t="s">
        <v>38</v>
      </c>
      <c r="B250" s="39" t="s">
        <v>3</v>
      </c>
      <c r="C250" s="38">
        <v>5.14</v>
      </c>
      <c r="D250" s="116"/>
    </row>
    <row r="251" spans="1:4" ht="15.75" hidden="1" outlineLevel="1">
      <c r="A251" s="38" t="s">
        <v>38</v>
      </c>
      <c r="B251" s="39" t="s">
        <v>29</v>
      </c>
      <c r="C251" s="38">
        <v>5.19</v>
      </c>
      <c r="D251" s="116"/>
    </row>
    <row r="252" spans="1:4" ht="15.75" hidden="1" outlineLevel="1">
      <c r="A252" s="38" t="s">
        <v>38</v>
      </c>
      <c r="B252" s="39" t="s">
        <v>28</v>
      </c>
      <c r="C252" s="38">
        <v>5.24</v>
      </c>
      <c r="D252" s="116"/>
    </row>
    <row r="253" spans="1:4" ht="15.75" hidden="1" outlineLevel="1">
      <c r="A253" s="38" t="s">
        <v>38</v>
      </c>
      <c r="B253" s="39" t="s">
        <v>604</v>
      </c>
      <c r="C253" s="38">
        <v>5.27</v>
      </c>
      <c r="D253" s="116"/>
    </row>
    <row r="254" spans="1:4" ht="15.75" hidden="1" outlineLevel="1">
      <c r="A254" s="38" t="s">
        <v>38</v>
      </c>
      <c r="B254" s="39" t="s">
        <v>605</v>
      </c>
      <c r="C254" s="38">
        <v>5.28</v>
      </c>
      <c r="D254" s="116"/>
    </row>
    <row r="255" spans="1:4" ht="15.75" hidden="1" outlineLevel="1">
      <c r="A255" s="38" t="s">
        <v>38</v>
      </c>
      <c r="B255" s="39" t="s">
        <v>5</v>
      </c>
      <c r="C255" s="40">
        <v>5.3</v>
      </c>
      <c r="D255" s="116"/>
    </row>
    <row r="256" spans="1:4" ht="15.75" hidden="1" outlineLevel="1">
      <c r="A256" s="38" t="s">
        <v>38</v>
      </c>
      <c r="B256" s="39" t="s">
        <v>10</v>
      </c>
      <c r="C256" s="38">
        <v>5.33</v>
      </c>
      <c r="D256" s="116"/>
    </row>
    <row r="257" spans="1:4" ht="15.75" hidden="1" outlineLevel="1">
      <c r="A257" s="38" t="s">
        <v>38</v>
      </c>
      <c r="B257" s="39" t="s">
        <v>606</v>
      </c>
      <c r="C257" s="38">
        <v>5.36</v>
      </c>
      <c r="D257" s="116"/>
    </row>
    <row r="258" spans="1:4" ht="15.75" hidden="1" outlineLevel="1">
      <c r="A258" s="38" t="s">
        <v>38</v>
      </c>
      <c r="B258" s="39" t="s">
        <v>396</v>
      </c>
      <c r="C258" s="38">
        <v>5.53</v>
      </c>
      <c r="D258" s="116"/>
    </row>
    <row r="259" spans="1:4" ht="15.75" hidden="1" outlineLevel="1">
      <c r="A259" s="38" t="s">
        <v>38</v>
      </c>
      <c r="B259" s="39" t="s">
        <v>773</v>
      </c>
      <c r="C259" s="38">
        <v>5.58</v>
      </c>
      <c r="D259" s="116"/>
    </row>
    <row r="260" spans="1:4" ht="15.75" hidden="1" outlineLevel="1">
      <c r="A260" s="38" t="s">
        <v>38</v>
      </c>
      <c r="B260" s="39" t="s">
        <v>11</v>
      </c>
      <c r="C260" s="38">
        <v>5.54</v>
      </c>
      <c r="D260" s="116"/>
    </row>
    <row r="261" spans="1:4" ht="15.75" hidden="1" outlineLevel="1">
      <c r="A261" s="38" t="s">
        <v>38</v>
      </c>
      <c r="B261" s="39" t="s">
        <v>15</v>
      </c>
      <c r="C261" s="38">
        <v>5.55</v>
      </c>
      <c r="D261" s="116"/>
    </row>
    <row r="262" spans="1:4" ht="15.75" hidden="1" outlineLevel="1">
      <c r="A262" s="38" t="s">
        <v>38</v>
      </c>
      <c r="B262" s="39" t="s">
        <v>1153</v>
      </c>
      <c r="C262" s="38">
        <v>5.63</v>
      </c>
      <c r="D262" s="116"/>
    </row>
    <row r="263" spans="1:4" ht="15.75" hidden="1" outlineLevel="1">
      <c r="A263" s="38" t="s">
        <v>38</v>
      </c>
      <c r="B263" s="39" t="s">
        <v>19</v>
      </c>
      <c r="C263" s="38">
        <v>5.47</v>
      </c>
      <c r="D263" s="116"/>
    </row>
    <row r="264" spans="1:4" ht="15.75" hidden="1" outlineLevel="1">
      <c r="A264" s="38" t="s">
        <v>38</v>
      </c>
      <c r="B264" s="39" t="s">
        <v>30</v>
      </c>
      <c r="C264" s="38">
        <v>5.48</v>
      </c>
      <c r="D264" s="116"/>
    </row>
    <row r="265" spans="1:4" ht="15.75" collapsed="1">
      <c r="A265" s="44" t="s">
        <v>38</v>
      </c>
      <c r="B265" s="39"/>
      <c r="C265" s="38"/>
      <c r="D265" s="116"/>
    </row>
    <row r="266" spans="1:4" ht="15.75" hidden="1" outlineLevel="1">
      <c r="A266" s="38" t="s">
        <v>39</v>
      </c>
      <c r="B266" s="39" t="s">
        <v>651</v>
      </c>
      <c r="C266" s="38">
        <v>5.0999999999999996</v>
      </c>
      <c r="D266" s="116"/>
    </row>
    <row r="267" spans="1:4" ht="15.75" hidden="1" outlineLevel="1">
      <c r="A267" s="38" t="s">
        <v>39</v>
      </c>
      <c r="B267" s="39" t="s">
        <v>0</v>
      </c>
      <c r="C267" s="38">
        <v>5.2</v>
      </c>
      <c r="D267" s="116"/>
    </row>
    <row r="268" spans="1:4" ht="15.75" hidden="1" outlineLevel="1">
      <c r="A268" s="38" t="s">
        <v>39</v>
      </c>
      <c r="B268" s="39" t="s">
        <v>724</v>
      </c>
      <c r="C268" s="38">
        <v>5.3</v>
      </c>
      <c r="D268" s="116"/>
    </row>
    <row r="269" spans="1:4" ht="15.75" hidden="1" outlineLevel="1">
      <c r="A269" s="38" t="s">
        <v>39</v>
      </c>
      <c r="B269" s="39" t="s">
        <v>2</v>
      </c>
      <c r="C269" s="38">
        <v>5.6</v>
      </c>
      <c r="D269" s="116"/>
    </row>
    <row r="270" spans="1:4" ht="15.75" hidden="1" outlineLevel="1">
      <c r="A270" s="38" t="s">
        <v>39</v>
      </c>
      <c r="B270" s="39" t="s">
        <v>730</v>
      </c>
      <c r="C270" s="40">
        <v>5.0999999999999996</v>
      </c>
      <c r="D270" s="116"/>
    </row>
    <row r="271" spans="1:4" ht="15.75" hidden="1" outlineLevel="1">
      <c r="A271" s="38" t="s">
        <v>39</v>
      </c>
      <c r="B271" s="39" t="s">
        <v>3</v>
      </c>
      <c r="C271" s="38">
        <v>5.14</v>
      </c>
      <c r="D271" s="116"/>
    </row>
    <row r="272" spans="1:4" ht="15.75" hidden="1" outlineLevel="1">
      <c r="A272" s="38" t="s">
        <v>39</v>
      </c>
      <c r="B272" s="39" t="s">
        <v>29</v>
      </c>
      <c r="C272" s="38">
        <v>5.19</v>
      </c>
      <c r="D272" s="116"/>
    </row>
    <row r="273" spans="1:4" ht="15.75" hidden="1" outlineLevel="1">
      <c r="A273" s="38" t="s">
        <v>39</v>
      </c>
      <c r="B273" s="39" t="s">
        <v>28</v>
      </c>
      <c r="C273" s="38">
        <v>5.24</v>
      </c>
      <c r="D273" s="116"/>
    </row>
    <row r="274" spans="1:4" ht="15.75" hidden="1" outlineLevel="1">
      <c r="A274" s="38" t="s">
        <v>39</v>
      </c>
      <c r="B274" s="39" t="s">
        <v>1</v>
      </c>
      <c r="C274" s="38">
        <v>5.26</v>
      </c>
      <c r="D274" s="116"/>
    </row>
    <row r="275" spans="1:4" ht="15.75" hidden="1" outlineLevel="1">
      <c r="A275" s="38" t="s">
        <v>39</v>
      </c>
      <c r="B275" s="39" t="s">
        <v>604</v>
      </c>
      <c r="C275" s="38">
        <v>5.27</v>
      </c>
      <c r="D275" s="116"/>
    </row>
    <row r="276" spans="1:4" ht="15.75" hidden="1" outlineLevel="1">
      <c r="A276" s="38" t="s">
        <v>39</v>
      </c>
      <c r="B276" s="39" t="s">
        <v>605</v>
      </c>
      <c r="C276" s="38">
        <v>5.28</v>
      </c>
      <c r="D276" s="116"/>
    </row>
    <row r="277" spans="1:4" ht="15.75" hidden="1" outlineLevel="1">
      <c r="A277" s="38" t="s">
        <v>39</v>
      </c>
      <c r="B277" s="39" t="s">
        <v>609</v>
      </c>
      <c r="C277" s="38">
        <v>5.29</v>
      </c>
      <c r="D277" s="116"/>
    </row>
    <row r="278" spans="1:4" ht="15.75" hidden="1" outlineLevel="1">
      <c r="A278" s="38" t="s">
        <v>39</v>
      </c>
      <c r="B278" s="39" t="s">
        <v>5</v>
      </c>
      <c r="C278" s="40">
        <v>5.3</v>
      </c>
      <c r="D278" s="116"/>
    </row>
    <row r="279" spans="1:4" ht="15.75" hidden="1" outlineLevel="1">
      <c r="A279" s="38" t="s">
        <v>39</v>
      </c>
      <c r="B279" s="39" t="s">
        <v>10</v>
      </c>
      <c r="C279" s="38">
        <v>5.33</v>
      </c>
      <c r="D279" s="116"/>
    </row>
    <row r="280" spans="1:4" ht="15.75" hidden="1" outlineLevel="1">
      <c r="A280" s="38" t="s">
        <v>39</v>
      </c>
      <c r="B280" s="39" t="s">
        <v>606</v>
      </c>
      <c r="C280" s="38">
        <v>5.36</v>
      </c>
      <c r="D280" s="116"/>
    </row>
    <row r="281" spans="1:4" ht="15.75" hidden="1" outlineLevel="1">
      <c r="A281" s="38" t="s">
        <v>39</v>
      </c>
      <c r="B281" s="39" t="s">
        <v>13</v>
      </c>
      <c r="C281" s="38">
        <v>5.69</v>
      </c>
      <c r="D281" s="116"/>
    </row>
    <row r="282" spans="1:4" ht="15.75" hidden="1" outlineLevel="1">
      <c r="A282" s="38" t="s">
        <v>39</v>
      </c>
      <c r="B282" s="39" t="s">
        <v>14</v>
      </c>
      <c r="C282" s="40">
        <v>5.7</v>
      </c>
      <c r="D282" s="116"/>
    </row>
    <row r="283" spans="1:4" ht="15.75" hidden="1" outlineLevel="1">
      <c r="A283" s="38" t="s">
        <v>39</v>
      </c>
      <c r="B283" s="39" t="s">
        <v>621</v>
      </c>
      <c r="C283" s="38">
        <v>5.74</v>
      </c>
      <c r="D283" s="116"/>
    </row>
    <row r="284" spans="1:4" ht="15.75" hidden="1" outlineLevel="1">
      <c r="A284" s="38" t="s">
        <v>39</v>
      </c>
      <c r="B284" s="39" t="s">
        <v>6</v>
      </c>
      <c r="C284" s="38">
        <v>5.49</v>
      </c>
      <c r="D284" s="116"/>
    </row>
    <row r="285" spans="1:4" ht="15.75" hidden="1" outlineLevel="1">
      <c r="A285" s="38" t="s">
        <v>39</v>
      </c>
      <c r="B285" s="39" t="s">
        <v>8</v>
      </c>
      <c r="C285" s="38">
        <v>5.51</v>
      </c>
      <c r="D285" s="116"/>
    </row>
    <row r="286" spans="1:4" ht="15.75" hidden="1" outlineLevel="1">
      <c r="A286" s="38" t="s">
        <v>39</v>
      </c>
      <c r="B286" s="39" t="s">
        <v>7</v>
      </c>
      <c r="C286" s="38">
        <v>5.52</v>
      </c>
      <c r="D286" s="116"/>
    </row>
    <row r="287" spans="1:4" ht="15.75" hidden="1" outlineLevel="1">
      <c r="A287" s="38" t="s">
        <v>39</v>
      </c>
      <c r="B287" s="39" t="s">
        <v>396</v>
      </c>
      <c r="C287" s="38">
        <v>5.53</v>
      </c>
      <c r="D287" s="116"/>
    </row>
    <row r="288" spans="1:4" ht="15.75" hidden="1" outlineLevel="1">
      <c r="A288" s="38" t="s">
        <v>39</v>
      </c>
      <c r="B288" s="39" t="s">
        <v>773</v>
      </c>
      <c r="C288" s="38">
        <v>5.58</v>
      </c>
      <c r="D288" s="116"/>
    </row>
    <row r="289" spans="1:4" ht="15.75" hidden="1" outlineLevel="1">
      <c r="A289" s="38" t="s">
        <v>39</v>
      </c>
      <c r="B289" s="39" t="s">
        <v>11</v>
      </c>
      <c r="C289" s="38">
        <v>5.54</v>
      </c>
      <c r="D289" s="116"/>
    </row>
    <row r="290" spans="1:4" ht="15.75" hidden="1" outlineLevel="1">
      <c r="A290" s="38" t="s">
        <v>39</v>
      </c>
      <c r="B290" s="39" t="s">
        <v>15</v>
      </c>
      <c r="C290" s="38">
        <v>5.55</v>
      </c>
      <c r="D290" s="116"/>
    </row>
    <row r="291" spans="1:4" ht="15.75" hidden="1" outlineLevel="1">
      <c r="A291" s="38" t="s">
        <v>39</v>
      </c>
      <c r="B291" s="39" t="s">
        <v>1153</v>
      </c>
      <c r="C291" s="38">
        <v>5.63</v>
      </c>
      <c r="D291" s="116"/>
    </row>
    <row r="292" spans="1:4" ht="15.75" hidden="1" outlineLevel="1">
      <c r="A292" s="38" t="s">
        <v>39</v>
      </c>
      <c r="B292" s="39" t="s">
        <v>19</v>
      </c>
      <c r="C292" s="38">
        <v>5.47</v>
      </c>
      <c r="D292" s="116"/>
    </row>
    <row r="293" spans="1:4" ht="15.75" hidden="1" outlineLevel="1">
      <c r="A293" s="38" t="s">
        <v>39</v>
      </c>
      <c r="B293" s="39" t="s">
        <v>30</v>
      </c>
      <c r="C293" s="38">
        <v>5.48</v>
      </c>
      <c r="D293" s="116"/>
    </row>
    <row r="294" spans="1:4" ht="15.75" collapsed="1">
      <c r="A294" s="44" t="s">
        <v>39</v>
      </c>
      <c r="B294" s="39"/>
      <c r="C294" s="38"/>
      <c r="D294" s="116"/>
    </row>
    <row r="295" spans="1:4" ht="15.75" hidden="1" outlineLevel="1">
      <c r="A295" s="38" t="s">
        <v>41</v>
      </c>
      <c r="B295" s="39" t="s">
        <v>651</v>
      </c>
      <c r="C295" s="38">
        <v>5.0999999999999996</v>
      </c>
      <c r="D295" s="116"/>
    </row>
    <row r="296" spans="1:4" ht="15.75" hidden="1" outlineLevel="1">
      <c r="A296" s="38" t="s">
        <v>41</v>
      </c>
      <c r="B296" s="39" t="s">
        <v>0</v>
      </c>
      <c r="C296" s="38">
        <v>5.2</v>
      </c>
      <c r="D296" s="116"/>
    </row>
    <row r="297" spans="1:4" ht="15.75" hidden="1" outlineLevel="1">
      <c r="A297" s="38" t="s">
        <v>41</v>
      </c>
      <c r="B297" s="39" t="s">
        <v>724</v>
      </c>
      <c r="C297" s="38">
        <v>5.3</v>
      </c>
      <c r="D297" s="116"/>
    </row>
    <row r="298" spans="1:4" ht="15.75" hidden="1" outlineLevel="1">
      <c r="A298" s="38" t="s">
        <v>41</v>
      </c>
      <c r="B298" s="39" t="s">
        <v>3</v>
      </c>
      <c r="C298" s="38">
        <v>5.14</v>
      </c>
      <c r="D298" s="116"/>
    </row>
    <row r="299" spans="1:4" ht="15.75" hidden="1" outlineLevel="1">
      <c r="A299" s="38" t="s">
        <v>41</v>
      </c>
      <c r="B299" s="39" t="s">
        <v>29</v>
      </c>
      <c r="C299" s="38">
        <v>5.19</v>
      </c>
      <c r="D299" s="116"/>
    </row>
    <row r="300" spans="1:4" ht="15.75" hidden="1" outlineLevel="1">
      <c r="A300" s="38" t="s">
        <v>41</v>
      </c>
      <c r="B300" s="39" t="s">
        <v>28</v>
      </c>
      <c r="C300" s="38">
        <v>5.24</v>
      </c>
      <c r="D300" s="116"/>
    </row>
    <row r="301" spans="1:4" ht="15.75" hidden="1" outlineLevel="1">
      <c r="A301" s="38" t="s">
        <v>41</v>
      </c>
      <c r="B301" s="39" t="s">
        <v>1</v>
      </c>
      <c r="C301" s="38">
        <v>5.26</v>
      </c>
      <c r="D301" s="116"/>
    </row>
    <row r="302" spans="1:4" ht="15.75" hidden="1" outlineLevel="1">
      <c r="A302" s="38" t="s">
        <v>41</v>
      </c>
      <c r="B302" s="39" t="s">
        <v>604</v>
      </c>
      <c r="C302" s="38">
        <v>5.27</v>
      </c>
      <c r="D302" s="116"/>
    </row>
    <row r="303" spans="1:4" ht="15.75" hidden="1" outlineLevel="1">
      <c r="A303" s="38" t="s">
        <v>41</v>
      </c>
      <c r="B303" s="39" t="s">
        <v>605</v>
      </c>
      <c r="C303" s="38">
        <v>5.28</v>
      </c>
      <c r="D303" s="116"/>
    </row>
    <row r="304" spans="1:4" ht="15.75" hidden="1" outlineLevel="1">
      <c r="A304" s="38" t="s">
        <v>41</v>
      </c>
      <c r="B304" s="39" t="s">
        <v>12</v>
      </c>
      <c r="C304" s="38">
        <v>5.37</v>
      </c>
      <c r="D304" s="116"/>
    </row>
    <row r="305" spans="1:4" ht="15.75" hidden="1" outlineLevel="1">
      <c r="A305" s="38" t="s">
        <v>41</v>
      </c>
      <c r="B305" s="39" t="s">
        <v>6</v>
      </c>
      <c r="C305" s="38">
        <v>5.49</v>
      </c>
      <c r="D305" s="116"/>
    </row>
    <row r="306" spans="1:4" ht="15.75" hidden="1" outlineLevel="1">
      <c r="A306" s="38" t="s">
        <v>41</v>
      </c>
      <c r="B306" s="39" t="s">
        <v>8</v>
      </c>
      <c r="C306" s="38">
        <v>5.51</v>
      </c>
      <c r="D306" s="116"/>
    </row>
    <row r="307" spans="1:4" ht="15.75" hidden="1" outlineLevel="1">
      <c r="A307" s="38" t="s">
        <v>41</v>
      </c>
      <c r="B307" s="39" t="s">
        <v>396</v>
      </c>
      <c r="C307" s="38">
        <v>5.53</v>
      </c>
      <c r="D307" s="116"/>
    </row>
    <row r="308" spans="1:4" ht="15.75" hidden="1" outlineLevel="1">
      <c r="A308" s="38" t="s">
        <v>41</v>
      </c>
      <c r="B308" s="39" t="s">
        <v>13</v>
      </c>
      <c r="C308" s="38">
        <v>5.69</v>
      </c>
      <c r="D308" s="116"/>
    </row>
    <row r="309" spans="1:4" ht="15.75" hidden="1" outlineLevel="1">
      <c r="A309" s="38" t="s">
        <v>41</v>
      </c>
      <c r="B309" s="39" t="s">
        <v>421</v>
      </c>
      <c r="C309" s="38">
        <v>5.75</v>
      </c>
      <c r="D309" s="116"/>
    </row>
    <row r="310" spans="1:4" ht="15.75" hidden="1" outlineLevel="1">
      <c r="A310" s="38" t="s">
        <v>41</v>
      </c>
      <c r="B310" s="39" t="s">
        <v>14</v>
      </c>
      <c r="C310" s="40">
        <v>5.7</v>
      </c>
      <c r="D310" s="116"/>
    </row>
    <row r="311" spans="1:4" ht="15.75" hidden="1" outlineLevel="1">
      <c r="A311" s="38" t="s">
        <v>41</v>
      </c>
      <c r="B311" s="39" t="s">
        <v>621</v>
      </c>
      <c r="C311" s="38">
        <v>5.74</v>
      </c>
      <c r="D311" s="116"/>
    </row>
    <row r="312" spans="1:4" ht="15.75" hidden="1" outlineLevel="1">
      <c r="A312" s="38" t="s">
        <v>41</v>
      </c>
      <c r="B312" s="39" t="s">
        <v>773</v>
      </c>
      <c r="C312" s="38">
        <v>5.58</v>
      </c>
      <c r="D312" s="116"/>
    </row>
    <row r="313" spans="1:4" ht="15.75" hidden="1" outlineLevel="1">
      <c r="A313" s="38" t="s">
        <v>41</v>
      </c>
      <c r="B313" s="39" t="s">
        <v>11</v>
      </c>
      <c r="C313" s="38">
        <v>5.54</v>
      </c>
      <c r="D313" s="116"/>
    </row>
    <row r="314" spans="1:4" ht="15.75" hidden="1" outlineLevel="1">
      <c r="A314" s="38" t="s">
        <v>41</v>
      </c>
      <c r="B314" s="39" t="s">
        <v>15</v>
      </c>
      <c r="C314" s="38">
        <v>5.55</v>
      </c>
      <c r="D314" s="116"/>
    </row>
    <row r="315" spans="1:4" ht="15.75" hidden="1" outlineLevel="1">
      <c r="A315" s="38" t="s">
        <v>41</v>
      </c>
      <c r="B315" s="39" t="s">
        <v>1153</v>
      </c>
      <c r="C315" s="38">
        <v>5.63</v>
      </c>
      <c r="D315" s="116"/>
    </row>
    <row r="316" spans="1:4" ht="15.75" hidden="1" outlineLevel="1">
      <c r="A316" s="38" t="s">
        <v>41</v>
      </c>
      <c r="B316" s="39" t="s">
        <v>1154</v>
      </c>
      <c r="C316" s="38">
        <v>5.65</v>
      </c>
      <c r="D316" s="116"/>
    </row>
    <row r="317" spans="1:4" ht="15.75" hidden="1" outlineLevel="1">
      <c r="A317" s="38" t="s">
        <v>41</v>
      </c>
      <c r="B317" s="39" t="s">
        <v>26</v>
      </c>
      <c r="C317" s="38">
        <v>5.68</v>
      </c>
      <c r="D317" s="116"/>
    </row>
    <row r="318" spans="1:4" ht="15.75" hidden="1" outlineLevel="1">
      <c r="A318" s="38" t="s">
        <v>41</v>
      </c>
      <c r="B318" s="39" t="s">
        <v>19</v>
      </c>
      <c r="C318" s="38">
        <v>5.47</v>
      </c>
      <c r="D318" s="116"/>
    </row>
    <row r="319" spans="1:4" ht="15.75" hidden="1" outlineLevel="1">
      <c r="A319" s="38" t="s">
        <v>41</v>
      </c>
      <c r="B319" s="39" t="s">
        <v>30</v>
      </c>
      <c r="C319" s="38">
        <v>5.48</v>
      </c>
      <c r="D319" s="116"/>
    </row>
    <row r="320" spans="1:4" ht="15.75" collapsed="1">
      <c r="A320" s="44" t="s">
        <v>41</v>
      </c>
      <c r="B320" s="39"/>
      <c r="C320" s="38"/>
      <c r="D320" s="116"/>
    </row>
    <row r="321" spans="1:4" ht="15.75" hidden="1" outlineLevel="1">
      <c r="A321" s="38" t="s">
        <v>42</v>
      </c>
      <c r="B321" s="39" t="s">
        <v>651</v>
      </c>
      <c r="C321" s="38">
        <v>5.0999999999999996</v>
      </c>
      <c r="D321" s="116"/>
    </row>
    <row r="322" spans="1:4" ht="15.75" hidden="1" outlineLevel="1">
      <c r="A322" s="38" t="s">
        <v>42</v>
      </c>
      <c r="B322" s="39" t="s">
        <v>0</v>
      </c>
      <c r="C322" s="38">
        <v>5.2</v>
      </c>
      <c r="D322" s="116"/>
    </row>
    <row r="323" spans="1:4" ht="15.75" hidden="1" outlineLevel="1">
      <c r="A323" s="38" t="s">
        <v>42</v>
      </c>
      <c r="B323" s="39" t="s">
        <v>1</v>
      </c>
      <c r="C323" s="38">
        <v>5.26</v>
      </c>
      <c r="D323" s="116"/>
    </row>
    <row r="324" spans="1:4" ht="15.75" hidden="1" outlineLevel="1">
      <c r="A324" s="38" t="s">
        <v>42</v>
      </c>
      <c r="B324" s="39" t="s">
        <v>3</v>
      </c>
      <c r="C324" s="38">
        <v>5.14</v>
      </c>
      <c r="D324" s="116"/>
    </row>
    <row r="325" spans="1:4" ht="15.75" hidden="1" outlineLevel="1">
      <c r="A325" s="38" t="s">
        <v>42</v>
      </c>
      <c r="B325" s="39" t="s">
        <v>29</v>
      </c>
      <c r="C325" s="38">
        <v>5.19</v>
      </c>
      <c r="D325" s="116"/>
    </row>
    <row r="326" spans="1:4" ht="15.75" hidden="1" outlineLevel="1">
      <c r="A326" s="38" t="s">
        <v>42</v>
      </c>
      <c r="B326" s="39" t="s">
        <v>12</v>
      </c>
      <c r="C326" s="38">
        <v>5.37</v>
      </c>
      <c r="D326" s="116"/>
    </row>
    <row r="327" spans="1:4" ht="15.75" hidden="1" outlineLevel="1">
      <c r="A327" s="38" t="s">
        <v>42</v>
      </c>
      <c r="B327" s="39" t="s">
        <v>13</v>
      </c>
      <c r="C327" s="38">
        <v>5.69</v>
      </c>
      <c r="D327" s="116"/>
    </row>
    <row r="328" spans="1:4" ht="15.75" hidden="1" outlineLevel="1">
      <c r="A328" s="38" t="s">
        <v>42</v>
      </c>
      <c r="B328" s="39" t="s">
        <v>282</v>
      </c>
      <c r="C328" s="40">
        <v>5.8</v>
      </c>
      <c r="D328" s="116"/>
    </row>
    <row r="329" spans="1:4" ht="15.75" hidden="1" outlineLevel="1">
      <c r="A329" s="38" t="s">
        <v>42</v>
      </c>
      <c r="B329" s="39" t="s">
        <v>421</v>
      </c>
      <c r="C329" s="38">
        <v>5.75</v>
      </c>
      <c r="D329" s="116"/>
    </row>
    <row r="330" spans="1:4" ht="15.75" hidden="1" outlineLevel="1">
      <c r="A330" s="38" t="s">
        <v>42</v>
      </c>
      <c r="B330" s="39" t="s">
        <v>14</v>
      </c>
      <c r="C330" s="40">
        <v>5.7</v>
      </c>
      <c r="D330" s="116"/>
    </row>
    <row r="331" spans="1:4" ht="15.75" hidden="1" outlineLevel="1">
      <c r="A331" s="38" t="s">
        <v>42</v>
      </c>
      <c r="B331" s="39" t="s">
        <v>621</v>
      </c>
      <c r="C331" s="38">
        <v>5.74</v>
      </c>
      <c r="D331" s="116"/>
    </row>
    <row r="332" spans="1:4" ht="15.75" hidden="1" outlineLevel="1">
      <c r="A332" s="38" t="s">
        <v>42</v>
      </c>
      <c r="B332" s="39" t="s">
        <v>773</v>
      </c>
      <c r="C332" s="38">
        <v>5.58</v>
      </c>
      <c r="D332" s="116"/>
    </row>
    <row r="333" spans="1:4" ht="15.75" hidden="1" outlineLevel="1">
      <c r="A333" s="38" t="s">
        <v>42</v>
      </c>
      <c r="B333" s="39" t="s">
        <v>15</v>
      </c>
      <c r="C333" s="38">
        <v>5.55</v>
      </c>
      <c r="D333" s="116"/>
    </row>
    <row r="334" spans="1:4" ht="15.75" hidden="1" outlineLevel="1">
      <c r="A334" s="38" t="s">
        <v>42</v>
      </c>
      <c r="B334" s="39" t="s">
        <v>1153</v>
      </c>
      <c r="C334" s="38">
        <v>5.63</v>
      </c>
      <c r="D334" s="116"/>
    </row>
    <row r="335" spans="1:4" ht="15.75" hidden="1" outlineLevel="1">
      <c r="A335" s="38" t="s">
        <v>42</v>
      </c>
      <c r="B335" s="39" t="s">
        <v>1154</v>
      </c>
      <c r="C335" s="38">
        <v>5.65</v>
      </c>
      <c r="D335" s="116"/>
    </row>
    <row r="336" spans="1:4" ht="15.75" hidden="1" outlineLevel="1">
      <c r="A336" s="38" t="s">
        <v>42</v>
      </c>
      <c r="B336" s="39" t="s">
        <v>26</v>
      </c>
      <c r="C336" s="38">
        <v>5.68</v>
      </c>
      <c r="D336" s="116"/>
    </row>
    <row r="337" spans="1:4" ht="15.75" hidden="1" outlineLevel="1">
      <c r="A337" s="38" t="s">
        <v>42</v>
      </c>
      <c r="B337" s="39" t="s">
        <v>19</v>
      </c>
      <c r="C337" s="38">
        <v>5.47</v>
      </c>
      <c r="D337" s="116"/>
    </row>
    <row r="338" spans="1:4" ht="15.75" hidden="1" outlineLevel="1">
      <c r="A338" s="38" t="s">
        <v>42</v>
      </c>
      <c r="B338" s="39" t="s">
        <v>30</v>
      </c>
      <c r="C338" s="38">
        <v>5.48</v>
      </c>
      <c r="D338" s="116"/>
    </row>
    <row r="339" spans="1:4" ht="15.75" collapsed="1">
      <c r="A339" s="44" t="s">
        <v>42</v>
      </c>
      <c r="B339" s="39"/>
      <c r="C339" s="38"/>
      <c r="D339" s="116"/>
    </row>
    <row r="340" spans="1:4" ht="15.75" hidden="1" outlineLevel="1">
      <c r="A340" s="38" t="s">
        <v>667</v>
      </c>
      <c r="B340" s="39" t="s">
        <v>784</v>
      </c>
      <c r="C340" s="38">
        <v>5.0999999999999996</v>
      </c>
      <c r="D340" s="116"/>
    </row>
    <row r="341" spans="1:4" ht="15.75" hidden="1" outlineLevel="1">
      <c r="A341" s="38" t="s">
        <v>667</v>
      </c>
      <c r="B341" s="39" t="s">
        <v>0</v>
      </c>
      <c r="C341" s="38">
        <v>5.2</v>
      </c>
      <c r="D341" s="116"/>
    </row>
    <row r="342" spans="1:4" ht="15.75" hidden="1" outlineLevel="1">
      <c r="A342" s="38" t="s">
        <v>667</v>
      </c>
      <c r="B342" s="39" t="s">
        <v>1</v>
      </c>
      <c r="C342" s="38">
        <v>5.26</v>
      </c>
      <c r="D342" s="116"/>
    </row>
    <row r="343" spans="1:4" ht="15.75" hidden="1" outlineLevel="1">
      <c r="A343" s="38" t="s">
        <v>667</v>
      </c>
      <c r="B343" s="39" t="s">
        <v>758</v>
      </c>
      <c r="C343" s="38">
        <v>5.38</v>
      </c>
      <c r="D343" s="116"/>
    </row>
    <row r="344" spans="1:4" ht="15.75" hidden="1" outlineLevel="1">
      <c r="A344" s="38" t="s">
        <v>667</v>
      </c>
      <c r="B344" s="39" t="s">
        <v>757</v>
      </c>
      <c r="C344" s="38">
        <v>5.39</v>
      </c>
      <c r="D344" s="116"/>
    </row>
    <row r="345" spans="1:4" ht="15.75" hidden="1" outlineLevel="1">
      <c r="A345" s="38" t="s">
        <v>667</v>
      </c>
      <c r="B345" s="39" t="s">
        <v>1161</v>
      </c>
      <c r="C345" s="40">
        <v>5.6</v>
      </c>
      <c r="D345" s="116"/>
    </row>
    <row r="346" spans="1:4" ht="15.75" hidden="1" outlineLevel="1">
      <c r="A346" s="38" t="s">
        <v>667</v>
      </c>
      <c r="B346" s="39" t="s">
        <v>30</v>
      </c>
      <c r="C346" s="38">
        <v>5.48</v>
      </c>
      <c r="D346" s="116"/>
    </row>
    <row r="347" spans="1:4" ht="15.75" collapsed="1">
      <c r="A347" s="44" t="s">
        <v>667</v>
      </c>
      <c r="B347" s="39"/>
      <c r="C347" s="38"/>
      <c r="D347" s="116"/>
    </row>
    <row r="348" spans="1:4" ht="15.75" hidden="1" outlineLevel="1">
      <c r="A348" s="38" t="s">
        <v>43</v>
      </c>
      <c r="B348" s="39" t="s">
        <v>651</v>
      </c>
      <c r="C348" s="38">
        <v>5.0999999999999996</v>
      </c>
      <c r="D348" s="116"/>
    </row>
    <row r="349" spans="1:4" ht="15.75" hidden="1" outlineLevel="1">
      <c r="A349" s="38" t="s">
        <v>43</v>
      </c>
      <c r="B349" s="39" t="s">
        <v>0</v>
      </c>
      <c r="C349" s="38">
        <v>5.2</v>
      </c>
      <c r="D349" s="116"/>
    </row>
    <row r="350" spans="1:4" ht="15.75" hidden="1" outlineLevel="1">
      <c r="A350" s="38" t="s">
        <v>43</v>
      </c>
      <c r="B350" s="39" t="s">
        <v>724</v>
      </c>
      <c r="C350" s="38">
        <v>5.3</v>
      </c>
      <c r="D350" s="116"/>
    </row>
    <row r="351" spans="1:4" ht="15.75" hidden="1" outlineLevel="1">
      <c r="A351" s="38" t="s">
        <v>43</v>
      </c>
      <c r="B351" s="39" t="s">
        <v>2</v>
      </c>
      <c r="C351" s="38">
        <v>5.6</v>
      </c>
      <c r="D351" s="116"/>
    </row>
    <row r="352" spans="1:4" ht="15.75" hidden="1" outlineLevel="1">
      <c r="A352" s="38" t="s">
        <v>43</v>
      </c>
      <c r="B352" s="39" t="s">
        <v>730</v>
      </c>
      <c r="C352" s="40">
        <v>5.0999999999999996</v>
      </c>
      <c r="D352" s="116"/>
    </row>
    <row r="353" spans="1:4" ht="15.75" hidden="1" outlineLevel="1">
      <c r="A353" s="38" t="s">
        <v>43</v>
      </c>
      <c r="B353" s="39" t="s">
        <v>3</v>
      </c>
      <c r="C353" s="38">
        <v>5.14</v>
      </c>
      <c r="D353" s="116"/>
    </row>
    <row r="354" spans="1:4" ht="15.75" hidden="1" outlineLevel="1">
      <c r="A354" s="38" t="s">
        <v>43</v>
      </c>
      <c r="B354" s="39" t="s">
        <v>29</v>
      </c>
      <c r="C354" s="38">
        <v>5.19</v>
      </c>
      <c r="D354" s="116"/>
    </row>
    <row r="355" spans="1:4" ht="15.75" hidden="1" outlineLevel="1">
      <c r="A355" s="38" t="s">
        <v>43</v>
      </c>
      <c r="B355" s="39" t="s">
        <v>28</v>
      </c>
      <c r="C355" s="38">
        <v>5.24</v>
      </c>
      <c r="D355" s="116"/>
    </row>
    <row r="356" spans="1:4" ht="15.75" hidden="1" outlineLevel="1">
      <c r="A356" s="38" t="s">
        <v>43</v>
      </c>
      <c r="B356" s="39" t="s">
        <v>1</v>
      </c>
      <c r="C356" s="38">
        <v>5.26</v>
      </c>
      <c r="D356" s="116"/>
    </row>
    <row r="357" spans="1:4" ht="15.75" hidden="1" outlineLevel="1">
      <c r="A357" s="38" t="s">
        <v>43</v>
      </c>
      <c r="B357" s="39" t="s">
        <v>604</v>
      </c>
      <c r="C357" s="38">
        <v>5.27</v>
      </c>
      <c r="D357" s="116"/>
    </row>
    <row r="358" spans="1:4" ht="15.75" hidden="1" outlineLevel="1">
      <c r="A358" s="38" t="s">
        <v>43</v>
      </c>
      <c r="B358" s="39" t="s">
        <v>605</v>
      </c>
      <c r="C358" s="38">
        <v>5.28</v>
      </c>
      <c r="D358" s="116"/>
    </row>
    <row r="359" spans="1:4" ht="15.75" hidden="1" outlineLevel="1">
      <c r="A359" s="38" t="s">
        <v>43</v>
      </c>
      <c r="B359" s="39" t="s">
        <v>9</v>
      </c>
      <c r="C359" s="38">
        <v>5.31</v>
      </c>
      <c r="D359" s="116"/>
    </row>
    <row r="360" spans="1:4" ht="15.75" hidden="1" outlineLevel="1">
      <c r="A360" s="38" t="s">
        <v>43</v>
      </c>
      <c r="B360" s="39" t="s">
        <v>606</v>
      </c>
      <c r="C360" s="38">
        <v>5.36</v>
      </c>
      <c r="D360" s="116"/>
    </row>
    <row r="361" spans="1:4" ht="15.75" hidden="1" outlineLevel="1">
      <c r="A361" s="38" t="s">
        <v>43</v>
      </c>
      <c r="B361" s="39" t="s">
        <v>12</v>
      </c>
      <c r="C361" s="38">
        <v>5.37</v>
      </c>
      <c r="D361" s="116"/>
    </row>
    <row r="362" spans="1:4" ht="15.75" hidden="1" outlineLevel="1">
      <c r="A362" s="38" t="s">
        <v>43</v>
      </c>
      <c r="B362" s="39" t="s">
        <v>6</v>
      </c>
      <c r="C362" s="38">
        <v>5.49</v>
      </c>
      <c r="D362" s="116"/>
    </row>
    <row r="363" spans="1:4" ht="15.75" hidden="1" outlineLevel="1">
      <c r="A363" s="38" t="s">
        <v>43</v>
      </c>
      <c r="B363" s="39" t="s">
        <v>8</v>
      </c>
      <c r="C363" s="38">
        <v>5.51</v>
      </c>
      <c r="D363" s="116"/>
    </row>
    <row r="364" spans="1:4" ht="15.75" hidden="1" outlineLevel="1">
      <c r="A364" s="38" t="s">
        <v>43</v>
      </c>
      <c r="B364" s="39" t="s">
        <v>7</v>
      </c>
      <c r="C364" s="38">
        <v>5.52</v>
      </c>
      <c r="D364" s="116"/>
    </row>
    <row r="365" spans="1:4" ht="15.75" hidden="1" outlineLevel="1">
      <c r="A365" s="38" t="s">
        <v>43</v>
      </c>
      <c r="B365" s="39" t="s">
        <v>396</v>
      </c>
      <c r="C365" s="38">
        <v>5.53</v>
      </c>
      <c r="D365" s="116"/>
    </row>
    <row r="366" spans="1:4" ht="15.75" hidden="1" outlineLevel="1">
      <c r="A366" s="38" t="s">
        <v>43</v>
      </c>
      <c r="B366" s="39" t="s">
        <v>13</v>
      </c>
      <c r="C366" s="38">
        <v>5.69</v>
      </c>
      <c r="D366" s="116"/>
    </row>
    <row r="367" spans="1:4" ht="15.75" hidden="1" outlineLevel="1">
      <c r="A367" s="38" t="s">
        <v>43</v>
      </c>
      <c r="B367" s="39" t="s">
        <v>282</v>
      </c>
      <c r="C367" s="40">
        <v>5.8</v>
      </c>
      <c r="D367" s="116"/>
    </row>
    <row r="368" spans="1:4" ht="15.75" hidden="1" outlineLevel="1">
      <c r="A368" s="38" t="s">
        <v>43</v>
      </c>
      <c r="B368" s="39" t="s">
        <v>309</v>
      </c>
      <c r="C368" s="40">
        <v>5.72</v>
      </c>
      <c r="D368" s="116"/>
    </row>
    <row r="369" spans="1:4" ht="15.75" hidden="1" outlineLevel="1">
      <c r="A369" s="38" t="s">
        <v>43</v>
      </c>
      <c r="B369" s="39" t="s">
        <v>421</v>
      </c>
      <c r="C369" s="38">
        <v>5.75</v>
      </c>
      <c r="D369" s="116"/>
    </row>
    <row r="370" spans="1:4" ht="15.75" hidden="1" outlineLevel="1">
      <c r="A370" s="38" t="s">
        <v>43</v>
      </c>
      <c r="B370" s="39" t="s">
        <v>14</v>
      </c>
      <c r="C370" s="40">
        <v>5.7</v>
      </c>
      <c r="D370" s="116"/>
    </row>
    <row r="371" spans="1:4" ht="15.75" hidden="1" outlineLevel="1">
      <c r="A371" s="38" t="s">
        <v>43</v>
      </c>
      <c r="B371" s="39" t="s">
        <v>621</v>
      </c>
      <c r="C371" s="38">
        <v>5.74</v>
      </c>
      <c r="D371" s="116"/>
    </row>
    <row r="372" spans="1:4" ht="15.75" hidden="1" outlineLevel="1">
      <c r="A372" s="38" t="s">
        <v>43</v>
      </c>
      <c r="B372" s="39" t="s">
        <v>925</v>
      </c>
      <c r="C372" s="38">
        <v>5.76</v>
      </c>
      <c r="D372" s="116"/>
    </row>
    <row r="373" spans="1:4" ht="15.75" hidden="1" outlineLevel="1">
      <c r="A373" s="38" t="s">
        <v>43</v>
      </c>
      <c r="B373" s="39" t="s">
        <v>669</v>
      </c>
      <c r="C373" s="38">
        <v>5.89</v>
      </c>
      <c r="D373" s="115" t="s">
        <v>935</v>
      </c>
    </row>
    <row r="374" spans="1:4" ht="15.75" hidden="1" outlineLevel="1">
      <c r="A374" s="38" t="s">
        <v>43</v>
      </c>
      <c r="B374" s="39" t="s">
        <v>917</v>
      </c>
      <c r="C374" s="38">
        <v>5.109</v>
      </c>
      <c r="D374" s="115"/>
    </row>
    <row r="375" spans="1:4" ht="15.75" hidden="1" outlineLevel="1">
      <c r="A375" s="38" t="s">
        <v>43</v>
      </c>
      <c r="B375" s="39" t="s">
        <v>372</v>
      </c>
      <c r="C375" s="38">
        <v>5.1109999999999998</v>
      </c>
      <c r="D375" s="116"/>
    </row>
    <row r="376" spans="1:4" ht="15.75" hidden="1" outlineLevel="1">
      <c r="A376" s="38" t="s">
        <v>43</v>
      </c>
      <c r="B376" s="39" t="s">
        <v>16</v>
      </c>
      <c r="C376" s="38">
        <v>5.1120000000000001</v>
      </c>
      <c r="D376" s="116"/>
    </row>
    <row r="377" spans="1:4" ht="15.75" hidden="1" outlineLevel="1">
      <c r="A377" s="38" t="s">
        <v>43</v>
      </c>
      <c r="B377" s="42" t="s">
        <v>475</v>
      </c>
      <c r="C377" s="38">
        <v>5.1130000000000004</v>
      </c>
      <c r="D377" s="116"/>
    </row>
    <row r="378" spans="1:4" ht="15.75" hidden="1" outlineLevel="1">
      <c r="A378" s="38" t="s">
        <v>43</v>
      </c>
      <c r="B378" s="39" t="s">
        <v>773</v>
      </c>
      <c r="C378" s="38">
        <v>5.58</v>
      </c>
      <c r="D378" s="116"/>
    </row>
    <row r="379" spans="1:4" ht="15.75" hidden="1" outlineLevel="1">
      <c r="A379" s="38" t="s">
        <v>43</v>
      </c>
      <c r="B379" s="39" t="s">
        <v>11</v>
      </c>
      <c r="C379" s="38">
        <v>5.54</v>
      </c>
      <c r="D379" s="116"/>
    </row>
    <row r="380" spans="1:4" ht="15.75" hidden="1" outlineLevel="1">
      <c r="A380" s="38" t="s">
        <v>43</v>
      </c>
      <c r="B380" s="39" t="s">
        <v>15</v>
      </c>
      <c r="C380" s="38">
        <v>5.55</v>
      </c>
      <c r="D380" s="116"/>
    </row>
    <row r="381" spans="1:4" ht="15.75" hidden="1" outlineLevel="1">
      <c r="A381" s="38" t="s">
        <v>43</v>
      </c>
      <c r="B381" s="39" t="s">
        <v>1153</v>
      </c>
      <c r="C381" s="38">
        <v>5.63</v>
      </c>
      <c r="D381" s="116"/>
    </row>
    <row r="382" spans="1:4" ht="15.75" hidden="1" outlineLevel="1">
      <c r="A382" s="38" t="s">
        <v>43</v>
      </c>
      <c r="B382" s="39" t="s">
        <v>1154</v>
      </c>
      <c r="C382" s="38">
        <v>5.65</v>
      </c>
      <c r="D382" s="116"/>
    </row>
    <row r="383" spans="1:4" ht="15.75" hidden="1" outlineLevel="1">
      <c r="A383" s="38" t="s">
        <v>43</v>
      </c>
      <c r="B383" s="39" t="s">
        <v>788</v>
      </c>
      <c r="C383" s="38">
        <v>5.66</v>
      </c>
      <c r="D383" s="116"/>
    </row>
    <row r="384" spans="1:4" ht="15.75" hidden="1" outlineLevel="1">
      <c r="A384" s="38" t="s">
        <v>43</v>
      </c>
      <c r="B384" s="39" t="s">
        <v>26</v>
      </c>
      <c r="C384" s="38">
        <v>5.68</v>
      </c>
      <c r="D384" s="116"/>
    </row>
    <row r="385" spans="1:4" ht="15.75" hidden="1" outlineLevel="1">
      <c r="A385" s="38" t="s">
        <v>43</v>
      </c>
      <c r="B385" s="39" t="s">
        <v>19</v>
      </c>
      <c r="C385" s="38">
        <v>5.47</v>
      </c>
      <c r="D385" s="116"/>
    </row>
    <row r="386" spans="1:4" ht="15.75" hidden="1" outlineLevel="1">
      <c r="A386" s="38" t="s">
        <v>43</v>
      </c>
      <c r="B386" s="39" t="s">
        <v>30</v>
      </c>
      <c r="C386" s="38">
        <v>5.48</v>
      </c>
      <c r="D386" s="116"/>
    </row>
    <row r="387" spans="1:4" ht="15.75" collapsed="1">
      <c r="A387" s="44" t="s">
        <v>43</v>
      </c>
      <c r="B387" s="39"/>
      <c r="C387" s="38"/>
      <c r="D387" s="116"/>
    </row>
    <row r="388" spans="1:4" ht="15.75" hidden="1" outlineLevel="1">
      <c r="A388" s="38" t="s">
        <v>44</v>
      </c>
      <c r="B388" s="39" t="s">
        <v>651</v>
      </c>
      <c r="C388" s="38">
        <v>5.0999999999999996</v>
      </c>
      <c r="D388" s="116"/>
    </row>
    <row r="389" spans="1:4" ht="15.75" hidden="1" outlineLevel="1">
      <c r="A389" s="38" t="s">
        <v>44</v>
      </c>
      <c r="B389" s="39" t="s">
        <v>0</v>
      </c>
      <c r="C389" s="38">
        <v>5.2</v>
      </c>
      <c r="D389" s="116"/>
    </row>
    <row r="390" spans="1:4" ht="15.75" hidden="1" outlineLevel="1">
      <c r="A390" s="38" t="s">
        <v>44</v>
      </c>
      <c r="B390" s="39" t="s">
        <v>724</v>
      </c>
      <c r="C390" s="38">
        <v>5.3</v>
      </c>
      <c r="D390" s="116"/>
    </row>
    <row r="391" spans="1:4" ht="15.75" hidden="1" outlineLevel="1">
      <c r="A391" s="38" t="s">
        <v>44</v>
      </c>
      <c r="B391" s="39" t="s">
        <v>2</v>
      </c>
      <c r="C391" s="38">
        <v>5.6</v>
      </c>
      <c r="D391" s="116"/>
    </row>
    <row r="392" spans="1:4" ht="15.75" hidden="1" outlineLevel="1">
      <c r="A392" s="38" t="s">
        <v>44</v>
      </c>
      <c r="B392" s="39" t="s">
        <v>730</v>
      </c>
      <c r="C392" s="40">
        <v>5.0999999999999996</v>
      </c>
      <c r="D392" s="116"/>
    </row>
    <row r="393" spans="1:4" ht="15.75" hidden="1" outlineLevel="1">
      <c r="A393" s="38" t="s">
        <v>44</v>
      </c>
      <c r="B393" s="39" t="s">
        <v>3</v>
      </c>
      <c r="C393" s="38">
        <v>5.14</v>
      </c>
      <c r="D393" s="116"/>
    </row>
    <row r="394" spans="1:4" ht="15.75" hidden="1" outlineLevel="1">
      <c r="A394" s="38" t="s">
        <v>44</v>
      </c>
      <c r="B394" s="39" t="s">
        <v>29</v>
      </c>
      <c r="C394" s="38">
        <v>5.19</v>
      </c>
      <c r="D394" s="116"/>
    </row>
    <row r="395" spans="1:4" ht="15.75" hidden="1" outlineLevel="1">
      <c r="A395" s="38" t="s">
        <v>44</v>
      </c>
      <c r="B395" s="39" t="s">
        <v>28</v>
      </c>
      <c r="C395" s="38">
        <v>5.24</v>
      </c>
      <c r="D395" s="116"/>
    </row>
    <row r="396" spans="1:4" ht="15.75" hidden="1" outlineLevel="1">
      <c r="A396" s="38" t="s">
        <v>44</v>
      </c>
      <c r="B396" s="39" t="s">
        <v>1</v>
      </c>
      <c r="C396" s="38">
        <v>5.26</v>
      </c>
      <c r="D396" s="116"/>
    </row>
    <row r="397" spans="1:4" ht="15.75" hidden="1" outlineLevel="1">
      <c r="A397" s="38" t="s">
        <v>44</v>
      </c>
      <c r="B397" s="39" t="s">
        <v>604</v>
      </c>
      <c r="C397" s="38">
        <v>5.27</v>
      </c>
      <c r="D397" s="116"/>
    </row>
    <row r="398" spans="1:4" ht="15.75" hidden="1" outlineLevel="1">
      <c r="A398" s="38" t="s">
        <v>44</v>
      </c>
      <c r="B398" s="39" t="s">
        <v>605</v>
      </c>
      <c r="C398" s="38">
        <v>5.28</v>
      </c>
      <c r="D398" s="116"/>
    </row>
    <row r="399" spans="1:4" ht="15.75" hidden="1" outlineLevel="1">
      <c r="A399" s="38" t="s">
        <v>44</v>
      </c>
      <c r="B399" s="39" t="s">
        <v>609</v>
      </c>
      <c r="C399" s="38">
        <v>5.29</v>
      </c>
      <c r="D399" s="116"/>
    </row>
    <row r="400" spans="1:4" ht="15.75" hidden="1" outlineLevel="1">
      <c r="A400" s="38" t="s">
        <v>44</v>
      </c>
      <c r="B400" s="39" t="s">
        <v>9</v>
      </c>
      <c r="C400" s="38">
        <v>5.31</v>
      </c>
      <c r="D400" s="116"/>
    </row>
    <row r="401" spans="1:4" ht="15.75" hidden="1" outlineLevel="1">
      <c r="A401" s="38" t="s">
        <v>44</v>
      </c>
      <c r="B401" s="39" t="s">
        <v>606</v>
      </c>
      <c r="C401" s="38">
        <v>5.36</v>
      </c>
      <c r="D401" s="116"/>
    </row>
    <row r="402" spans="1:4" ht="15.75" hidden="1" outlineLevel="1">
      <c r="A402" s="38" t="s">
        <v>44</v>
      </c>
      <c r="B402" s="39" t="s">
        <v>12</v>
      </c>
      <c r="C402" s="38">
        <v>5.37</v>
      </c>
      <c r="D402" s="116"/>
    </row>
    <row r="403" spans="1:4" ht="15.75" hidden="1" outlineLevel="1">
      <c r="A403" s="38" t="s">
        <v>44</v>
      </c>
      <c r="B403" s="39" t="s">
        <v>6</v>
      </c>
      <c r="C403" s="38">
        <v>5.49</v>
      </c>
      <c r="D403" s="116"/>
    </row>
    <row r="404" spans="1:4" ht="15.75" hidden="1" outlineLevel="1">
      <c r="A404" s="38" t="s">
        <v>44</v>
      </c>
      <c r="B404" s="39" t="s">
        <v>8</v>
      </c>
      <c r="C404" s="38">
        <v>5.51</v>
      </c>
      <c r="D404" s="116"/>
    </row>
    <row r="405" spans="1:4" ht="15.75" hidden="1" outlineLevel="1">
      <c r="A405" s="38" t="s">
        <v>44</v>
      </c>
      <c r="B405" s="39" t="s">
        <v>7</v>
      </c>
      <c r="C405" s="38">
        <v>5.52</v>
      </c>
      <c r="D405" s="116"/>
    </row>
    <row r="406" spans="1:4" ht="15.75" hidden="1" outlineLevel="1">
      <c r="A406" s="38" t="s">
        <v>44</v>
      </c>
      <c r="B406" s="39" t="s">
        <v>396</v>
      </c>
      <c r="C406" s="38">
        <v>5.53</v>
      </c>
      <c r="D406" s="116"/>
    </row>
    <row r="407" spans="1:4" ht="15.75" hidden="1" outlineLevel="1">
      <c r="A407" s="38" t="s">
        <v>44</v>
      </c>
      <c r="B407" s="39" t="s">
        <v>13</v>
      </c>
      <c r="C407" s="38">
        <v>5.69</v>
      </c>
      <c r="D407" s="116"/>
    </row>
    <row r="408" spans="1:4" ht="15.75" hidden="1" outlineLevel="1">
      <c r="A408" s="38" t="s">
        <v>44</v>
      </c>
      <c r="B408" s="39" t="s">
        <v>421</v>
      </c>
      <c r="C408" s="38">
        <v>5.75</v>
      </c>
      <c r="D408" s="116"/>
    </row>
    <row r="409" spans="1:4" ht="15.75" hidden="1" outlineLevel="1">
      <c r="A409" s="38" t="s">
        <v>44</v>
      </c>
      <c r="B409" s="39" t="s">
        <v>621</v>
      </c>
      <c r="C409" s="38">
        <v>5.74</v>
      </c>
      <c r="D409" s="116"/>
    </row>
    <row r="410" spans="1:4" ht="15.75" hidden="1" outlineLevel="1">
      <c r="A410" s="38" t="s">
        <v>44</v>
      </c>
      <c r="B410" s="39" t="s">
        <v>14</v>
      </c>
      <c r="C410" s="40">
        <v>5.7</v>
      </c>
      <c r="D410" s="116"/>
    </row>
    <row r="411" spans="1:4" ht="15.75" hidden="1" outlineLevel="1">
      <c r="A411" s="38" t="s">
        <v>44</v>
      </c>
      <c r="B411" s="39" t="s">
        <v>925</v>
      </c>
      <c r="C411" s="38">
        <v>5.76</v>
      </c>
      <c r="D411" s="116"/>
    </row>
    <row r="412" spans="1:4" ht="15.75" hidden="1" outlineLevel="1">
      <c r="A412" s="38" t="s">
        <v>44</v>
      </c>
      <c r="B412" s="39" t="s">
        <v>669</v>
      </c>
      <c r="C412" s="38">
        <v>5.89</v>
      </c>
      <c r="D412" s="115" t="s">
        <v>935</v>
      </c>
    </row>
    <row r="413" spans="1:4" ht="15.75" hidden="1" outlineLevel="1">
      <c r="A413" s="38" t="s">
        <v>44</v>
      </c>
      <c r="B413" s="39" t="s">
        <v>917</v>
      </c>
      <c r="C413" s="38">
        <v>5.109</v>
      </c>
      <c r="D413" s="116"/>
    </row>
    <row r="414" spans="1:4" ht="15.75" hidden="1" outlineLevel="1">
      <c r="A414" s="38" t="s">
        <v>44</v>
      </c>
      <c r="B414" s="39" t="s">
        <v>372</v>
      </c>
      <c r="C414" s="38">
        <v>5.1109999999999998</v>
      </c>
      <c r="D414" s="116"/>
    </row>
    <row r="415" spans="1:4" ht="15.75" hidden="1" outlineLevel="1">
      <c r="A415" s="38" t="s">
        <v>44</v>
      </c>
      <c r="B415" s="39" t="s">
        <v>16</v>
      </c>
      <c r="C415" s="38">
        <v>5.1120000000000001</v>
      </c>
      <c r="D415" s="116"/>
    </row>
    <row r="416" spans="1:4" ht="15.75" hidden="1" outlineLevel="1">
      <c r="A416" s="38" t="s">
        <v>44</v>
      </c>
      <c r="B416" s="42" t="s">
        <v>475</v>
      </c>
      <c r="C416" s="38">
        <v>5.1130000000000004</v>
      </c>
      <c r="D416" s="116"/>
    </row>
    <row r="417" spans="1:4" ht="15.75" hidden="1" outlineLevel="1">
      <c r="A417" s="38" t="s">
        <v>44</v>
      </c>
      <c r="B417" s="39" t="s">
        <v>773</v>
      </c>
      <c r="C417" s="38">
        <v>5.58</v>
      </c>
      <c r="D417" s="116"/>
    </row>
    <row r="418" spans="1:4" ht="15.75" hidden="1" outlineLevel="1">
      <c r="A418" s="38" t="s">
        <v>44</v>
      </c>
      <c r="B418" s="39" t="s">
        <v>11</v>
      </c>
      <c r="C418" s="38">
        <v>5.54</v>
      </c>
      <c r="D418" s="116"/>
    </row>
    <row r="419" spans="1:4" ht="15.75" hidden="1" outlineLevel="1">
      <c r="A419" s="38" t="s">
        <v>44</v>
      </c>
      <c r="B419" s="39" t="s">
        <v>15</v>
      </c>
      <c r="C419" s="38">
        <v>5.55</v>
      </c>
      <c r="D419" s="116"/>
    </row>
    <row r="420" spans="1:4" ht="15.75" hidden="1" outlineLevel="1">
      <c r="A420" s="38" t="s">
        <v>44</v>
      </c>
      <c r="B420" s="39" t="s">
        <v>1153</v>
      </c>
      <c r="C420" s="38">
        <v>5.63</v>
      </c>
      <c r="D420" s="116"/>
    </row>
    <row r="421" spans="1:4" ht="15.75" hidden="1" outlineLevel="1">
      <c r="A421" s="38" t="s">
        <v>44</v>
      </c>
      <c r="B421" s="39" t="s">
        <v>1154</v>
      </c>
      <c r="C421" s="38">
        <v>5.65</v>
      </c>
      <c r="D421" s="116"/>
    </row>
    <row r="422" spans="1:4" ht="15.75" hidden="1" outlineLevel="1">
      <c r="A422" s="38" t="s">
        <v>44</v>
      </c>
      <c r="B422" s="39" t="s">
        <v>788</v>
      </c>
      <c r="C422" s="38">
        <v>5.66</v>
      </c>
      <c r="D422" s="116"/>
    </row>
    <row r="423" spans="1:4" ht="15.75" hidden="1" outlineLevel="1">
      <c r="A423" s="38" t="s">
        <v>44</v>
      </c>
      <c r="B423" s="39" t="s">
        <v>26</v>
      </c>
      <c r="C423" s="38">
        <v>5.68</v>
      </c>
      <c r="D423" s="116"/>
    </row>
    <row r="424" spans="1:4" ht="15.75" hidden="1" outlineLevel="1">
      <c r="A424" s="38" t="s">
        <v>44</v>
      </c>
      <c r="B424" s="39" t="s">
        <v>19</v>
      </c>
      <c r="C424" s="38">
        <v>5.47</v>
      </c>
      <c r="D424" s="116"/>
    </row>
    <row r="425" spans="1:4" ht="15.75" hidden="1" outlineLevel="1">
      <c r="A425" s="38" t="s">
        <v>44</v>
      </c>
      <c r="B425" s="39" t="s">
        <v>30</v>
      </c>
      <c r="C425" s="38">
        <v>5.48</v>
      </c>
      <c r="D425" s="116"/>
    </row>
    <row r="426" spans="1:4" ht="15.75" collapsed="1">
      <c r="A426" s="44" t="s">
        <v>44</v>
      </c>
      <c r="B426" s="39"/>
      <c r="C426" s="38"/>
      <c r="D426" s="116"/>
    </row>
    <row r="427" spans="1:4" ht="15.75" outlineLevel="1">
      <c r="A427" s="38" t="s">
        <v>792</v>
      </c>
      <c r="B427" s="39" t="s">
        <v>651</v>
      </c>
      <c r="C427" s="38">
        <v>5.0999999999999996</v>
      </c>
      <c r="D427" s="116"/>
    </row>
    <row r="428" spans="1:4" ht="15.75" outlineLevel="1">
      <c r="A428" s="38" t="s">
        <v>792</v>
      </c>
      <c r="B428" s="39" t="s">
        <v>0</v>
      </c>
      <c r="C428" s="38">
        <v>5.2</v>
      </c>
      <c r="D428" s="116"/>
    </row>
    <row r="429" spans="1:4" ht="15.75" outlineLevel="1">
      <c r="A429" s="38" t="s">
        <v>792</v>
      </c>
      <c r="B429" s="39" t="s">
        <v>724</v>
      </c>
      <c r="C429" s="38">
        <v>5.3</v>
      </c>
      <c r="D429" s="116"/>
    </row>
    <row r="430" spans="1:4" ht="15.75" outlineLevel="1">
      <c r="A430" s="38" t="s">
        <v>792</v>
      </c>
      <c r="B430" s="39" t="s">
        <v>2</v>
      </c>
      <c r="C430" s="38">
        <v>5.6</v>
      </c>
      <c r="D430" s="116"/>
    </row>
    <row r="431" spans="1:4" ht="15.75" outlineLevel="1">
      <c r="A431" s="38" t="s">
        <v>792</v>
      </c>
      <c r="B431" s="39" t="s">
        <v>730</v>
      </c>
      <c r="C431" s="40">
        <v>5.0999999999999996</v>
      </c>
      <c r="D431" s="116"/>
    </row>
    <row r="432" spans="1:4" ht="15.75" outlineLevel="1">
      <c r="A432" s="38" t="s">
        <v>792</v>
      </c>
      <c r="B432" s="39" t="s">
        <v>3</v>
      </c>
      <c r="C432" s="38">
        <v>5.14</v>
      </c>
      <c r="D432" s="116"/>
    </row>
    <row r="433" spans="1:4" ht="15.75" outlineLevel="1">
      <c r="A433" s="38" t="s">
        <v>792</v>
      </c>
      <c r="B433" s="39" t="s">
        <v>29</v>
      </c>
      <c r="C433" s="38">
        <v>5.19</v>
      </c>
      <c r="D433" s="116"/>
    </row>
    <row r="434" spans="1:4" ht="15.75" outlineLevel="1">
      <c r="A434" s="38" t="s">
        <v>792</v>
      </c>
      <c r="B434" s="39" t="s">
        <v>28</v>
      </c>
      <c r="C434" s="38">
        <v>5.24</v>
      </c>
      <c r="D434" s="116"/>
    </row>
    <row r="435" spans="1:4" ht="15.75" outlineLevel="1">
      <c r="A435" s="38" t="s">
        <v>792</v>
      </c>
      <c r="B435" s="39" t="s">
        <v>1</v>
      </c>
      <c r="C435" s="38">
        <v>5.26</v>
      </c>
      <c r="D435" s="116"/>
    </row>
    <row r="436" spans="1:4" ht="15.75" outlineLevel="1">
      <c r="A436" s="38" t="s">
        <v>792</v>
      </c>
      <c r="B436" s="39" t="s">
        <v>604</v>
      </c>
      <c r="C436" s="38">
        <v>5.27</v>
      </c>
      <c r="D436" s="116"/>
    </row>
    <row r="437" spans="1:4" ht="15.75" outlineLevel="1">
      <c r="A437" s="38" t="s">
        <v>792</v>
      </c>
      <c r="B437" s="39" t="s">
        <v>605</v>
      </c>
      <c r="C437" s="38">
        <v>5.28</v>
      </c>
      <c r="D437" s="116"/>
    </row>
    <row r="438" spans="1:4" ht="15.75" outlineLevel="1">
      <c r="A438" s="38" t="s">
        <v>792</v>
      </c>
      <c r="B438" s="39" t="s">
        <v>609</v>
      </c>
      <c r="C438" s="38">
        <v>5.29</v>
      </c>
      <c r="D438" s="116"/>
    </row>
    <row r="439" spans="1:4" ht="15.75" outlineLevel="1">
      <c r="A439" s="38" t="s">
        <v>792</v>
      </c>
      <c r="B439" s="39" t="s">
        <v>9</v>
      </c>
      <c r="C439" s="38">
        <v>5.31</v>
      </c>
      <c r="D439" s="116"/>
    </row>
    <row r="440" spans="1:4" ht="15.75" outlineLevel="1">
      <c r="A440" s="38" t="s">
        <v>792</v>
      </c>
      <c r="B440" s="39" t="s">
        <v>606</v>
      </c>
      <c r="C440" s="38">
        <v>5.36</v>
      </c>
      <c r="D440" s="116"/>
    </row>
    <row r="441" spans="1:4" ht="15.75" outlineLevel="1">
      <c r="A441" s="38" t="s">
        <v>792</v>
      </c>
      <c r="B441" s="39" t="s">
        <v>12</v>
      </c>
      <c r="C441" s="38">
        <v>5.37</v>
      </c>
      <c r="D441" s="116"/>
    </row>
    <row r="442" spans="1:4" ht="15.75" outlineLevel="1">
      <c r="A442" s="38" t="s">
        <v>792</v>
      </c>
      <c r="B442" s="39" t="s">
        <v>396</v>
      </c>
      <c r="C442" s="38">
        <v>5.53</v>
      </c>
      <c r="D442" s="116"/>
    </row>
    <row r="443" spans="1:4" ht="15.75" outlineLevel="1">
      <c r="A443" s="38" t="s">
        <v>792</v>
      </c>
      <c r="B443" s="39" t="s">
        <v>917</v>
      </c>
      <c r="C443" s="38">
        <v>5.109</v>
      </c>
      <c r="D443" s="116"/>
    </row>
    <row r="444" spans="1:4" ht="15.75" outlineLevel="1">
      <c r="A444" s="38" t="s">
        <v>792</v>
      </c>
      <c r="B444" s="39" t="s">
        <v>372</v>
      </c>
      <c r="C444" s="38">
        <v>5.1109999999999998</v>
      </c>
      <c r="D444" s="116"/>
    </row>
    <row r="445" spans="1:4" ht="15.75" outlineLevel="1">
      <c r="A445" s="38" t="s">
        <v>792</v>
      </c>
      <c r="B445" s="39" t="s">
        <v>16</v>
      </c>
      <c r="C445" s="38">
        <v>5.1120000000000001</v>
      </c>
      <c r="D445" s="116"/>
    </row>
    <row r="446" spans="1:4" ht="15.75" outlineLevel="1">
      <c r="A446" s="38" t="s">
        <v>792</v>
      </c>
      <c r="B446" s="42" t="s">
        <v>475</v>
      </c>
      <c r="C446" s="38">
        <v>5.1130000000000004</v>
      </c>
      <c r="D446" s="116"/>
    </row>
    <row r="447" spans="1:4" ht="15.75" outlineLevel="1">
      <c r="A447" s="38" t="s">
        <v>792</v>
      </c>
      <c r="B447" s="39" t="s">
        <v>773</v>
      </c>
      <c r="C447" s="38">
        <v>5.58</v>
      </c>
      <c r="D447" s="116"/>
    </row>
    <row r="448" spans="1:4" ht="15.75" outlineLevel="1">
      <c r="A448" s="38" t="s">
        <v>792</v>
      </c>
      <c r="B448" s="39" t="s">
        <v>11</v>
      </c>
      <c r="C448" s="38">
        <v>5.54</v>
      </c>
      <c r="D448" s="116"/>
    </row>
    <row r="449" spans="1:4" ht="15.75" outlineLevel="1">
      <c r="A449" s="38" t="s">
        <v>792</v>
      </c>
      <c r="B449" s="39" t="s">
        <v>15</v>
      </c>
      <c r="C449" s="38">
        <v>5.55</v>
      </c>
      <c r="D449" s="116"/>
    </row>
    <row r="450" spans="1:4" ht="15.75" outlineLevel="1">
      <c r="A450" s="38" t="s">
        <v>792</v>
      </c>
      <c r="B450" s="39" t="s">
        <v>1153</v>
      </c>
      <c r="C450" s="38">
        <v>5.63</v>
      </c>
      <c r="D450" s="116"/>
    </row>
    <row r="451" spans="1:4" ht="15.75" outlineLevel="1">
      <c r="A451" s="38" t="s">
        <v>792</v>
      </c>
      <c r="B451" s="39" t="s">
        <v>19</v>
      </c>
      <c r="C451" s="38">
        <v>5.47</v>
      </c>
      <c r="D451" s="116"/>
    </row>
    <row r="452" spans="1:4" ht="15.75" outlineLevel="1">
      <c r="A452" s="38" t="s">
        <v>792</v>
      </c>
      <c r="B452" s="39" t="s">
        <v>30</v>
      </c>
      <c r="C452" s="38">
        <v>5.48</v>
      </c>
      <c r="D452" s="116"/>
    </row>
    <row r="453" spans="1:4" ht="15.75">
      <c r="A453" s="44" t="s">
        <v>792</v>
      </c>
      <c r="B453" s="39"/>
      <c r="C453" s="38"/>
      <c r="D453" s="116"/>
    </row>
    <row r="454" spans="1:4" ht="15.75" outlineLevel="1">
      <c r="A454" s="38" t="s">
        <v>45</v>
      </c>
      <c r="B454" s="39" t="s">
        <v>651</v>
      </c>
      <c r="C454" s="38">
        <v>5.0999999999999996</v>
      </c>
      <c r="D454" s="116"/>
    </row>
    <row r="455" spans="1:4" ht="15.75" outlineLevel="1">
      <c r="A455" s="38" t="s">
        <v>45</v>
      </c>
      <c r="B455" s="39" t="s">
        <v>0</v>
      </c>
      <c r="C455" s="38">
        <v>5.2</v>
      </c>
      <c r="D455" s="116"/>
    </row>
    <row r="456" spans="1:4" ht="15.75" outlineLevel="1">
      <c r="A456" s="38" t="s">
        <v>45</v>
      </c>
      <c r="B456" s="39" t="s">
        <v>780</v>
      </c>
      <c r="C456" s="38">
        <v>5.5</v>
      </c>
      <c r="D456" s="116"/>
    </row>
    <row r="457" spans="1:4" ht="15.75" outlineLevel="1">
      <c r="A457" s="38" t="s">
        <v>45</v>
      </c>
      <c r="B457" s="39" t="s">
        <v>793</v>
      </c>
      <c r="C457" s="38">
        <v>5.8</v>
      </c>
      <c r="D457" s="115" t="s">
        <v>935</v>
      </c>
    </row>
    <row r="458" spans="1:4" ht="15.75" outlineLevel="1">
      <c r="A458" s="38" t="s">
        <v>45</v>
      </c>
      <c r="B458" s="39" t="s">
        <v>781</v>
      </c>
      <c r="C458" s="38">
        <v>5.12</v>
      </c>
      <c r="D458" s="115" t="s">
        <v>935</v>
      </c>
    </row>
    <row r="459" spans="1:4" ht="15.75" outlineLevel="1">
      <c r="A459" s="38" t="s">
        <v>45</v>
      </c>
      <c r="B459" s="39" t="s">
        <v>747</v>
      </c>
      <c r="C459" s="38">
        <v>5.15</v>
      </c>
      <c r="D459" s="116"/>
    </row>
    <row r="460" spans="1:4" ht="15.75" outlineLevel="1">
      <c r="A460" s="38" t="s">
        <v>45</v>
      </c>
      <c r="B460" s="39" t="s">
        <v>746</v>
      </c>
      <c r="C460" s="40">
        <v>5.2</v>
      </c>
      <c r="D460" s="115"/>
    </row>
    <row r="461" spans="1:4" ht="15.75" outlineLevel="1">
      <c r="A461" s="38" t="s">
        <v>45</v>
      </c>
      <c r="B461" s="39" t="s">
        <v>751</v>
      </c>
      <c r="C461" s="38">
        <v>5.25</v>
      </c>
      <c r="D461" s="116"/>
    </row>
    <row r="462" spans="1:4" ht="15.75" outlineLevel="1">
      <c r="A462" s="38" t="s">
        <v>45</v>
      </c>
      <c r="B462" s="39" t="s">
        <v>1</v>
      </c>
      <c r="C462" s="38">
        <v>5.26</v>
      </c>
      <c r="D462" s="116"/>
    </row>
    <row r="463" spans="1:4" ht="15.75" outlineLevel="1">
      <c r="A463" s="38" t="s">
        <v>45</v>
      </c>
      <c r="B463" s="39" t="s">
        <v>289</v>
      </c>
      <c r="C463" s="38">
        <v>5.1139999999999999</v>
      </c>
      <c r="D463" s="115" t="s">
        <v>935</v>
      </c>
    </row>
    <row r="464" spans="1:4" ht="15.75" outlineLevel="1">
      <c r="A464" s="38" t="s">
        <v>45</v>
      </c>
      <c r="B464" s="39" t="s">
        <v>604</v>
      </c>
      <c r="C464" s="38">
        <v>5.27</v>
      </c>
      <c r="D464" s="116"/>
    </row>
    <row r="465" spans="1:4" ht="15.75" outlineLevel="1">
      <c r="A465" s="38" t="s">
        <v>45</v>
      </c>
      <c r="B465" s="39" t="s">
        <v>739</v>
      </c>
      <c r="C465" s="38">
        <v>5.1150000000000002</v>
      </c>
      <c r="D465" s="115" t="s">
        <v>935</v>
      </c>
    </row>
    <row r="466" spans="1:4" ht="15.75" outlineLevel="1">
      <c r="A466" s="38" t="s">
        <v>45</v>
      </c>
      <c r="B466" s="39" t="s">
        <v>754</v>
      </c>
      <c r="C466" s="38">
        <v>5.1159999999999997</v>
      </c>
      <c r="D466" s="115" t="s">
        <v>935</v>
      </c>
    </row>
    <row r="467" spans="1:4" ht="15.75" outlineLevel="1">
      <c r="A467" s="38" t="s">
        <v>45</v>
      </c>
      <c r="B467" s="39" t="s">
        <v>605</v>
      </c>
      <c r="C467" s="38">
        <v>5.28</v>
      </c>
      <c r="D467" s="116"/>
    </row>
    <row r="468" spans="1:4" ht="15.75" outlineLevel="1">
      <c r="A468" s="38" t="s">
        <v>45</v>
      </c>
      <c r="B468" s="39" t="s">
        <v>606</v>
      </c>
      <c r="C468" s="38">
        <v>5.36</v>
      </c>
      <c r="D468" s="116"/>
    </row>
    <row r="469" spans="1:4" ht="15.75" outlineLevel="1">
      <c r="A469" s="38" t="s">
        <v>45</v>
      </c>
      <c r="B469" s="39" t="s">
        <v>12</v>
      </c>
      <c r="C469" s="38">
        <v>5.37</v>
      </c>
      <c r="D469" s="116"/>
    </row>
    <row r="470" spans="1:4" ht="15.75" outlineLevel="1">
      <c r="A470" s="38" t="s">
        <v>45</v>
      </c>
      <c r="B470" s="39" t="s">
        <v>396</v>
      </c>
      <c r="C470" s="38">
        <v>5.53</v>
      </c>
      <c r="D470" s="116"/>
    </row>
    <row r="471" spans="1:4" ht="15.75" outlineLevel="1">
      <c r="A471" s="38" t="s">
        <v>45</v>
      </c>
      <c r="B471" s="39" t="s">
        <v>917</v>
      </c>
      <c r="C471" s="38">
        <v>5.109</v>
      </c>
      <c r="D471" s="116"/>
    </row>
    <row r="472" spans="1:4" ht="15.75" outlineLevel="1">
      <c r="A472" s="38" t="s">
        <v>45</v>
      </c>
      <c r="B472" s="39" t="s">
        <v>372</v>
      </c>
      <c r="C472" s="38">
        <v>5.1109999999999998</v>
      </c>
      <c r="D472" s="116"/>
    </row>
    <row r="473" spans="1:4" ht="15.75" outlineLevel="1">
      <c r="A473" s="38" t="s">
        <v>45</v>
      </c>
      <c r="B473" s="39" t="s">
        <v>16</v>
      </c>
      <c r="C473" s="38">
        <v>5.1120000000000001</v>
      </c>
      <c r="D473" s="116"/>
    </row>
    <row r="474" spans="1:4" ht="15.75" outlineLevel="1">
      <c r="A474" s="38" t="s">
        <v>45</v>
      </c>
      <c r="B474" s="39" t="s">
        <v>11</v>
      </c>
      <c r="C474" s="38">
        <v>5.54</v>
      </c>
      <c r="D474" s="116"/>
    </row>
    <row r="475" spans="1:4" ht="15.75" outlineLevel="1">
      <c r="A475" s="38" t="s">
        <v>45</v>
      </c>
      <c r="B475" s="39" t="s">
        <v>936</v>
      </c>
      <c r="C475" s="38">
        <v>5.61</v>
      </c>
      <c r="D475" s="116"/>
    </row>
    <row r="476" spans="1:4" ht="15.75" outlineLevel="1">
      <c r="A476" s="38" t="s">
        <v>45</v>
      </c>
      <c r="B476" s="39" t="s">
        <v>1153</v>
      </c>
      <c r="C476" s="38">
        <v>5.63</v>
      </c>
      <c r="D476" s="116"/>
    </row>
    <row r="477" spans="1:4" ht="15.75" outlineLevel="1">
      <c r="A477" s="38" t="s">
        <v>45</v>
      </c>
      <c r="B477" s="39" t="s">
        <v>736</v>
      </c>
      <c r="C477" s="38">
        <v>5.46</v>
      </c>
      <c r="D477" s="116"/>
    </row>
    <row r="478" spans="1:4" ht="15.75" outlineLevel="1">
      <c r="A478" s="38" t="s">
        <v>45</v>
      </c>
      <c r="B478" s="39" t="s">
        <v>19</v>
      </c>
      <c r="C478" s="38">
        <v>5.47</v>
      </c>
      <c r="D478" s="116"/>
    </row>
    <row r="479" spans="1:4" ht="15.75" outlineLevel="1">
      <c r="A479" s="38" t="s">
        <v>45</v>
      </c>
      <c r="B479" s="39" t="s">
        <v>30</v>
      </c>
      <c r="C479" s="38">
        <v>5.48</v>
      </c>
      <c r="D479" s="116"/>
    </row>
    <row r="480" spans="1:4" ht="15.75">
      <c r="A480" s="44" t="s">
        <v>45</v>
      </c>
      <c r="B480" s="39"/>
      <c r="C480" s="38"/>
      <c r="D480" s="116"/>
    </row>
    <row r="481" spans="1:4" ht="15.75" hidden="1" outlineLevel="1">
      <c r="A481" s="38" t="s">
        <v>46</v>
      </c>
      <c r="B481" s="39" t="s">
        <v>651</v>
      </c>
      <c r="C481" s="38">
        <v>5.0999999999999996</v>
      </c>
      <c r="D481" s="116"/>
    </row>
    <row r="482" spans="1:4" ht="15.75" hidden="1" outlineLevel="1">
      <c r="A482" s="38" t="s">
        <v>46</v>
      </c>
      <c r="B482" s="39" t="s">
        <v>0</v>
      </c>
      <c r="C482" s="38">
        <v>5.2</v>
      </c>
      <c r="D482" s="116"/>
    </row>
    <row r="483" spans="1:4" ht="15.75" hidden="1" outlineLevel="1">
      <c r="A483" s="38" t="s">
        <v>46</v>
      </c>
      <c r="B483" s="39" t="s">
        <v>724</v>
      </c>
      <c r="C483" s="38">
        <v>5.3</v>
      </c>
      <c r="D483" s="116"/>
    </row>
    <row r="484" spans="1:4" ht="15.75" hidden="1" outlineLevel="1">
      <c r="A484" s="38" t="s">
        <v>46</v>
      </c>
      <c r="B484" s="39" t="s">
        <v>2</v>
      </c>
      <c r="C484" s="38">
        <v>5.6</v>
      </c>
      <c r="D484" s="116"/>
    </row>
    <row r="485" spans="1:4" ht="15.75" hidden="1" outlineLevel="1">
      <c r="A485" s="38" t="s">
        <v>46</v>
      </c>
      <c r="B485" s="39" t="s">
        <v>730</v>
      </c>
      <c r="C485" s="40">
        <v>5.0999999999999996</v>
      </c>
      <c r="D485" s="116"/>
    </row>
    <row r="486" spans="1:4" ht="15.75" hidden="1" outlineLevel="1">
      <c r="A486" s="38" t="s">
        <v>46</v>
      </c>
      <c r="B486" s="39" t="s">
        <v>3</v>
      </c>
      <c r="C486" s="38">
        <v>5.14</v>
      </c>
      <c r="D486" s="116"/>
    </row>
    <row r="487" spans="1:4" ht="15.75" hidden="1" outlineLevel="1">
      <c r="A487" s="38" t="s">
        <v>46</v>
      </c>
      <c r="B487" s="39" t="s">
        <v>29</v>
      </c>
      <c r="C487" s="38">
        <v>5.19</v>
      </c>
      <c r="D487" s="116"/>
    </row>
    <row r="488" spans="1:4" ht="15.75" hidden="1" outlineLevel="1">
      <c r="A488" s="38" t="s">
        <v>46</v>
      </c>
      <c r="B488" s="39" t="s">
        <v>28</v>
      </c>
      <c r="C488" s="38">
        <v>5.24</v>
      </c>
      <c r="D488" s="116"/>
    </row>
    <row r="489" spans="1:4" ht="15.75" hidden="1" outlineLevel="1">
      <c r="A489" s="38" t="s">
        <v>46</v>
      </c>
      <c r="B489" s="39" t="s">
        <v>604</v>
      </c>
      <c r="C489" s="38">
        <v>5.27</v>
      </c>
      <c r="D489" s="116"/>
    </row>
    <row r="490" spans="1:4" ht="15.75" hidden="1" outlineLevel="1">
      <c r="A490" s="38" t="s">
        <v>46</v>
      </c>
      <c r="B490" s="39" t="s">
        <v>605</v>
      </c>
      <c r="C490" s="38">
        <v>5.28</v>
      </c>
      <c r="D490" s="116"/>
    </row>
    <row r="491" spans="1:4" ht="15.75" hidden="1" outlineLevel="1">
      <c r="A491" s="38" t="s">
        <v>46</v>
      </c>
      <c r="B491" s="39" t="s">
        <v>609</v>
      </c>
      <c r="C491" s="38">
        <v>5.29</v>
      </c>
      <c r="D491" s="116"/>
    </row>
    <row r="492" spans="1:4" ht="15.75" hidden="1" outlineLevel="1">
      <c r="A492" s="38" t="s">
        <v>46</v>
      </c>
      <c r="B492" s="39" t="s">
        <v>738</v>
      </c>
      <c r="C492" s="38">
        <v>5.34</v>
      </c>
      <c r="D492" s="116"/>
    </row>
    <row r="493" spans="1:4" ht="15.75" hidden="1" outlineLevel="1">
      <c r="A493" s="38" t="s">
        <v>46</v>
      </c>
      <c r="B493" s="39" t="s">
        <v>9</v>
      </c>
      <c r="C493" s="38">
        <v>5.31</v>
      </c>
      <c r="D493" s="116"/>
    </row>
    <row r="494" spans="1:4" ht="15.75" hidden="1" outlineLevel="1">
      <c r="A494" s="38" t="s">
        <v>46</v>
      </c>
      <c r="B494" s="39" t="s">
        <v>666</v>
      </c>
      <c r="C494" s="38">
        <v>5.101</v>
      </c>
      <c r="D494" s="116"/>
    </row>
    <row r="495" spans="1:4" ht="15.75" hidden="1" outlineLevel="1">
      <c r="A495" s="38" t="s">
        <v>46</v>
      </c>
      <c r="B495" s="39" t="s">
        <v>606</v>
      </c>
      <c r="C495" s="38">
        <v>5.36</v>
      </c>
      <c r="D495" s="116"/>
    </row>
    <row r="496" spans="1:4" ht="15.75" hidden="1" outlineLevel="1">
      <c r="A496" s="38" t="s">
        <v>46</v>
      </c>
      <c r="B496" s="39" t="s">
        <v>12</v>
      </c>
      <c r="C496" s="38">
        <v>5.37</v>
      </c>
      <c r="D496" s="116"/>
    </row>
    <row r="497" spans="1:4" ht="15.75" hidden="1" outlineLevel="1">
      <c r="A497" s="38" t="s">
        <v>46</v>
      </c>
      <c r="B497" s="39" t="s">
        <v>396</v>
      </c>
      <c r="C497" s="38">
        <v>5.53</v>
      </c>
      <c r="D497" s="116"/>
    </row>
    <row r="498" spans="1:4" ht="15.75" hidden="1" outlineLevel="1">
      <c r="A498" s="38" t="s">
        <v>46</v>
      </c>
      <c r="B498" s="39" t="s">
        <v>917</v>
      </c>
      <c r="C498" s="38">
        <v>5.109</v>
      </c>
      <c r="D498" s="116"/>
    </row>
    <row r="499" spans="1:4" ht="15.75" hidden="1" outlineLevel="1">
      <c r="A499" s="38" t="s">
        <v>46</v>
      </c>
      <c r="B499" s="39" t="s">
        <v>372</v>
      </c>
      <c r="C499" s="38">
        <v>5.1109999999999998</v>
      </c>
      <c r="D499" s="116"/>
    </row>
    <row r="500" spans="1:4" ht="15.75" hidden="1" outlineLevel="1">
      <c r="A500" s="38" t="s">
        <v>46</v>
      </c>
      <c r="B500" s="39" t="s">
        <v>16</v>
      </c>
      <c r="C500" s="38">
        <v>5.1120000000000001</v>
      </c>
      <c r="D500" s="116"/>
    </row>
    <row r="501" spans="1:4" ht="15.75" hidden="1" outlineLevel="1">
      <c r="A501" s="38" t="s">
        <v>46</v>
      </c>
      <c r="B501" s="39" t="s">
        <v>23</v>
      </c>
      <c r="C501" s="38">
        <v>5.1020000000000003</v>
      </c>
      <c r="D501" s="116"/>
    </row>
    <row r="502" spans="1:4" ht="15.75" hidden="1" outlineLevel="1">
      <c r="A502" s="38" t="s">
        <v>46</v>
      </c>
      <c r="B502" s="39" t="s">
        <v>613</v>
      </c>
      <c r="C502" s="41">
        <v>5.0999999999999996</v>
      </c>
      <c r="D502" s="116"/>
    </row>
    <row r="503" spans="1:4" ht="15.75" hidden="1" outlineLevel="1">
      <c r="A503" s="38" t="s">
        <v>46</v>
      </c>
      <c r="B503" s="39" t="s">
        <v>773</v>
      </c>
      <c r="C503" s="38">
        <v>5.58</v>
      </c>
      <c r="D503" s="116"/>
    </row>
    <row r="504" spans="1:4" ht="15.75" hidden="1" outlineLevel="1">
      <c r="A504" s="38" t="s">
        <v>46</v>
      </c>
      <c r="B504" s="39" t="s">
        <v>15</v>
      </c>
      <c r="C504" s="38">
        <v>5.55</v>
      </c>
      <c r="D504" s="116"/>
    </row>
    <row r="505" spans="1:4" ht="15.75" hidden="1" outlineLevel="1">
      <c r="A505" s="38" t="s">
        <v>46</v>
      </c>
      <c r="B505" s="39" t="s">
        <v>11</v>
      </c>
      <c r="C505" s="38">
        <v>5.54</v>
      </c>
      <c r="D505" s="116"/>
    </row>
    <row r="506" spans="1:4" ht="15.75" hidden="1" outlineLevel="1">
      <c r="A506" s="38" t="s">
        <v>46</v>
      </c>
      <c r="B506" s="39" t="s">
        <v>1153</v>
      </c>
      <c r="C506" s="38">
        <v>5.63</v>
      </c>
      <c r="D506" s="116"/>
    </row>
    <row r="507" spans="1:4" ht="15.75" hidden="1" outlineLevel="1">
      <c r="A507" s="38" t="s">
        <v>46</v>
      </c>
      <c r="B507" s="39" t="s">
        <v>19</v>
      </c>
      <c r="C507" s="38">
        <v>5.47</v>
      </c>
      <c r="D507" s="116"/>
    </row>
    <row r="508" spans="1:4" ht="15.75" hidden="1" outlineLevel="1">
      <c r="A508" s="38" t="s">
        <v>46</v>
      </c>
      <c r="B508" s="39" t="s">
        <v>30</v>
      </c>
      <c r="C508" s="38">
        <v>5.48</v>
      </c>
      <c r="D508" s="116"/>
    </row>
    <row r="509" spans="1:4" ht="15.75" collapsed="1">
      <c r="A509" s="44" t="s">
        <v>46</v>
      </c>
      <c r="B509" s="39"/>
      <c r="C509" s="38"/>
      <c r="D509" s="116"/>
    </row>
    <row r="510" spans="1:4" ht="15.75" hidden="1" outlineLevel="1">
      <c r="A510" s="38" t="s">
        <v>47</v>
      </c>
      <c r="B510" s="39" t="s">
        <v>651</v>
      </c>
      <c r="C510" s="38">
        <v>5.0999999999999996</v>
      </c>
      <c r="D510" s="116"/>
    </row>
    <row r="511" spans="1:4" ht="15.75" hidden="1" outlineLevel="1">
      <c r="A511" s="38" t="s">
        <v>47</v>
      </c>
      <c r="B511" s="39" t="s">
        <v>0</v>
      </c>
      <c r="C511" s="38">
        <v>5.2</v>
      </c>
      <c r="D511" s="116"/>
    </row>
    <row r="512" spans="1:4" ht="15.75" hidden="1" outlineLevel="1">
      <c r="A512" s="38" t="s">
        <v>47</v>
      </c>
      <c r="B512" s="39" t="s">
        <v>724</v>
      </c>
      <c r="C512" s="38">
        <v>5.3</v>
      </c>
      <c r="D512" s="116"/>
    </row>
    <row r="513" spans="1:4" ht="15.75" hidden="1" outlineLevel="1">
      <c r="A513" s="38" t="s">
        <v>47</v>
      </c>
      <c r="B513" s="39" t="s">
        <v>2</v>
      </c>
      <c r="C513" s="38">
        <v>5.6</v>
      </c>
      <c r="D513" s="116"/>
    </row>
    <row r="514" spans="1:4" ht="15.75" hidden="1" outlineLevel="1">
      <c r="A514" s="38" t="s">
        <v>47</v>
      </c>
      <c r="B514" s="39" t="s">
        <v>730</v>
      </c>
      <c r="C514" s="40">
        <v>5.0999999999999996</v>
      </c>
      <c r="D514" s="116"/>
    </row>
    <row r="515" spans="1:4" ht="15.75" hidden="1" outlineLevel="1">
      <c r="A515" s="38" t="s">
        <v>47</v>
      </c>
      <c r="B515" s="39" t="s">
        <v>3</v>
      </c>
      <c r="C515" s="38">
        <v>5.14</v>
      </c>
      <c r="D515" s="116"/>
    </row>
    <row r="516" spans="1:4" ht="15.75" hidden="1" outlineLevel="1">
      <c r="A516" s="38" t="s">
        <v>47</v>
      </c>
      <c r="B516" s="39" t="s">
        <v>29</v>
      </c>
      <c r="C516" s="38">
        <v>5.19</v>
      </c>
      <c r="D516" s="116"/>
    </row>
    <row r="517" spans="1:4" ht="15.75" hidden="1" outlineLevel="1">
      <c r="A517" s="38" t="s">
        <v>47</v>
      </c>
      <c r="B517" s="39" t="s">
        <v>28</v>
      </c>
      <c r="C517" s="38">
        <v>5.24</v>
      </c>
      <c r="D517" s="116"/>
    </row>
    <row r="518" spans="1:4" ht="15.75" hidden="1" outlineLevel="1">
      <c r="A518" s="38" t="s">
        <v>47</v>
      </c>
      <c r="B518" s="39" t="s">
        <v>1</v>
      </c>
      <c r="C518" s="38">
        <v>5.26</v>
      </c>
      <c r="D518" s="116"/>
    </row>
    <row r="519" spans="1:4" ht="15.75" hidden="1" outlineLevel="1">
      <c r="A519" s="38" t="s">
        <v>47</v>
      </c>
      <c r="B519" s="39" t="s">
        <v>604</v>
      </c>
      <c r="C519" s="38">
        <v>5.27</v>
      </c>
      <c r="D519" s="116"/>
    </row>
    <row r="520" spans="1:4" ht="15.75" hidden="1" outlineLevel="1">
      <c r="A520" s="38" t="s">
        <v>47</v>
      </c>
      <c r="B520" s="39" t="s">
        <v>605</v>
      </c>
      <c r="C520" s="38">
        <v>5.28</v>
      </c>
      <c r="D520" s="116"/>
    </row>
    <row r="521" spans="1:4" ht="15.75" hidden="1" outlineLevel="1">
      <c r="A521" s="38" t="s">
        <v>47</v>
      </c>
      <c r="B521" s="39" t="s">
        <v>9</v>
      </c>
      <c r="C521" s="38">
        <v>5.31</v>
      </c>
      <c r="D521" s="116"/>
    </row>
    <row r="522" spans="1:4" ht="15.75" hidden="1" outlineLevel="1">
      <c r="A522" s="38" t="s">
        <v>47</v>
      </c>
      <c r="B522" s="39" t="s">
        <v>10</v>
      </c>
      <c r="C522" s="38">
        <v>5.33</v>
      </c>
      <c r="D522" s="116"/>
    </row>
    <row r="523" spans="1:4" ht="15.75" hidden="1" outlineLevel="1">
      <c r="A523" s="38" t="s">
        <v>47</v>
      </c>
      <c r="B523" s="39" t="s">
        <v>666</v>
      </c>
      <c r="C523" s="38">
        <v>5.101</v>
      </c>
      <c r="D523" s="116"/>
    </row>
    <row r="524" spans="1:4" ht="15.75" hidden="1" outlineLevel="1">
      <c r="A524" s="38" t="s">
        <v>47</v>
      </c>
      <c r="B524" s="39" t="s">
        <v>606</v>
      </c>
      <c r="C524" s="38">
        <v>5.36</v>
      </c>
      <c r="D524" s="116"/>
    </row>
    <row r="525" spans="1:4" ht="15.75" hidden="1" outlineLevel="1">
      <c r="A525" s="38" t="s">
        <v>47</v>
      </c>
      <c r="B525" s="39" t="s">
        <v>12</v>
      </c>
      <c r="C525" s="38">
        <v>5.37</v>
      </c>
      <c r="D525" s="116"/>
    </row>
    <row r="526" spans="1:4" ht="15.75" hidden="1" outlineLevel="1">
      <c r="A526" s="38" t="s">
        <v>47</v>
      </c>
      <c r="B526" s="39" t="s">
        <v>396</v>
      </c>
      <c r="C526" s="38">
        <v>5.53</v>
      </c>
      <c r="D526" s="116"/>
    </row>
    <row r="527" spans="1:4" ht="15.75" hidden="1" outlineLevel="1">
      <c r="A527" s="38" t="s">
        <v>47</v>
      </c>
      <c r="B527" s="39" t="s">
        <v>917</v>
      </c>
      <c r="C527" s="38">
        <v>5.109</v>
      </c>
      <c r="D527" s="116"/>
    </row>
    <row r="528" spans="1:4" ht="15.75" hidden="1" outlineLevel="1">
      <c r="A528" s="38" t="s">
        <v>47</v>
      </c>
      <c r="B528" s="39" t="s">
        <v>372</v>
      </c>
      <c r="C528" s="38">
        <v>5.1109999999999998</v>
      </c>
      <c r="D528" s="116"/>
    </row>
    <row r="529" spans="1:4" ht="15.75" hidden="1" outlineLevel="1">
      <c r="A529" s="38" t="s">
        <v>47</v>
      </c>
      <c r="B529" s="39" t="s">
        <v>16</v>
      </c>
      <c r="C529" s="38">
        <v>5.1120000000000001</v>
      </c>
      <c r="D529" s="116"/>
    </row>
    <row r="530" spans="1:4" ht="15.75" hidden="1" outlineLevel="1">
      <c r="A530" s="38" t="s">
        <v>47</v>
      </c>
      <c r="B530" s="39" t="s">
        <v>23</v>
      </c>
      <c r="C530" s="38">
        <v>5.1020000000000003</v>
      </c>
      <c r="D530" s="116"/>
    </row>
    <row r="531" spans="1:4" ht="15.75" hidden="1" outlineLevel="1">
      <c r="A531" s="38" t="s">
        <v>47</v>
      </c>
      <c r="B531" s="39" t="s">
        <v>613</v>
      </c>
      <c r="C531" s="41">
        <v>5.0999999999999996</v>
      </c>
      <c r="D531" s="116"/>
    </row>
    <row r="532" spans="1:4" ht="15.75" hidden="1" outlineLevel="1">
      <c r="A532" s="38" t="s">
        <v>47</v>
      </c>
      <c r="B532" s="39" t="s">
        <v>773</v>
      </c>
      <c r="C532" s="38">
        <v>5.58</v>
      </c>
      <c r="D532" s="116"/>
    </row>
    <row r="533" spans="1:4" ht="15.75" hidden="1" outlineLevel="1">
      <c r="A533" s="38" t="s">
        <v>47</v>
      </c>
      <c r="B533" s="39" t="s">
        <v>15</v>
      </c>
      <c r="C533" s="38">
        <v>5.55</v>
      </c>
      <c r="D533" s="116"/>
    </row>
    <row r="534" spans="1:4" ht="15.75" hidden="1" outlineLevel="1">
      <c r="A534" s="38" t="s">
        <v>47</v>
      </c>
      <c r="B534" s="39" t="s">
        <v>11</v>
      </c>
      <c r="C534" s="38">
        <v>5.54</v>
      </c>
      <c r="D534" s="116"/>
    </row>
    <row r="535" spans="1:4" ht="15.75" hidden="1" outlineLevel="1">
      <c r="A535" s="38" t="s">
        <v>47</v>
      </c>
      <c r="B535" s="39" t="s">
        <v>1153</v>
      </c>
      <c r="C535" s="38">
        <v>5.63</v>
      </c>
      <c r="D535" s="116"/>
    </row>
    <row r="536" spans="1:4" ht="15.75" hidden="1" outlineLevel="1">
      <c r="A536" s="38" t="s">
        <v>47</v>
      </c>
      <c r="B536" s="39" t="s">
        <v>19</v>
      </c>
      <c r="C536" s="38">
        <v>5.47</v>
      </c>
      <c r="D536" s="116"/>
    </row>
    <row r="537" spans="1:4" ht="15.75" hidden="1" outlineLevel="1">
      <c r="A537" s="38" t="s">
        <v>47</v>
      </c>
      <c r="B537" s="39" t="s">
        <v>30</v>
      </c>
      <c r="C537" s="38">
        <v>5.48</v>
      </c>
      <c r="D537" s="116"/>
    </row>
    <row r="538" spans="1:4" ht="15.75" collapsed="1">
      <c r="A538" s="44" t="s">
        <v>47</v>
      </c>
      <c r="B538" s="39"/>
      <c r="C538" s="38"/>
      <c r="D538" s="116"/>
    </row>
    <row r="539" spans="1:4" ht="15.75" hidden="1" outlineLevel="1">
      <c r="A539" s="38" t="s">
        <v>461</v>
      </c>
      <c r="B539" s="39" t="s">
        <v>651</v>
      </c>
      <c r="C539" s="38">
        <v>5.0999999999999996</v>
      </c>
      <c r="D539" s="116"/>
    </row>
    <row r="540" spans="1:4" ht="15.75" hidden="1" outlineLevel="1">
      <c r="A540" s="38" t="s">
        <v>461</v>
      </c>
      <c r="B540" s="39" t="s">
        <v>0</v>
      </c>
      <c r="C540" s="38">
        <v>5.2</v>
      </c>
      <c r="D540" s="116"/>
    </row>
    <row r="541" spans="1:4" ht="15.75" hidden="1" outlineLevel="1">
      <c r="A541" s="38" t="s">
        <v>461</v>
      </c>
      <c r="B541" s="39" t="s">
        <v>1</v>
      </c>
      <c r="C541" s="38">
        <v>5.26</v>
      </c>
      <c r="D541" s="116"/>
    </row>
    <row r="542" spans="1:4" ht="15.75" hidden="1" outlineLevel="1">
      <c r="A542" s="38" t="s">
        <v>461</v>
      </c>
      <c r="B542" s="39" t="s">
        <v>418</v>
      </c>
      <c r="C542" s="38">
        <v>5.21</v>
      </c>
      <c r="D542" s="116"/>
    </row>
    <row r="543" spans="1:4" ht="15.75" hidden="1" outlineLevel="1">
      <c r="A543" s="38" t="s">
        <v>461</v>
      </c>
      <c r="B543" s="39" t="s">
        <v>798</v>
      </c>
      <c r="C543" s="38">
        <v>5.53</v>
      </c>
      <c r="D543" s="116"/>
    </row>
    <row r="544" spans="1:4" ht="15.75" hidden="1" outlineLevel="1">
      <c r="A544" s="38" t="s">
        <v>461</v>
      </c>
      <c r="B544" s="39" t="s">
        <v>11</v>
      </c>
      <c r="C544" s="38">
        <v>5.54</v>
      </c>
      <c r="D544" s="116"/>
    </row>
    <row r="545" spans="1:4" ht="15.75" hidden="1" outlineLevel="1">
      <c r="A545" s="38" t="s">
        <v>461</v>
      </c>
      <c r="B545" s="39" t="s">
        <v>326</v>
      </c>
      <c r="C545" s="38">
        <v>5.58</v>
      </c>
      <c r="D545" s="116"/>
    </row>
    <row r="546" spans="1:4" ht="15.75" hidden="1" outlineLevel="1">
      <c r="A546" s="38" t="s">
        <v>461</v>
      </c>
      <c r="B546" s="39" t="s">
        <v>330</v>
      </c>
      <c r="C546" s="38">
        <v>5.1180000000000003</v>
      </c>
      <c r="D546" s="116"/>
    </row>
    <row r="547" spans="1:4" ht="15.75" hidden="1" outlineLevel="1">
      <c r="A547" s="38" t="s">
        <v>461</v>
      </c>
      <c r="B547" s="42" t="s">
        <v>328</v>
      </c>
      <c r="C547" s="38">
        <v>5.47</v>
      </c>
      <c r="D547" s="116"/>
    </row>
    <row r="548" spans="1:4" ht="15.75" hidden="1" outlineLevel="1">
      <c r="A548" s="38" t="s">
        <v>461</v>
      </c>
      <c r="B548" s="39" t="s">
        <v>329</v>
      </c>
      <c r="C548" s="38">
        <v>5.48</v>
      </c>
      <c r="D548" s="116"/>
    </row>
    <row r="549" spans="1:4" ht="15.75" hidden="1" outlineLevel="1">
      <c r="A549" s="38" t="s">
        <v>461</v>
      </c>
      <c r="B549" s="39" t="s">
        <v>419</v>
      </c>
      <c r="C549" s="38">
        <v>5.21</v>
      </c>
      <c r="D549" s="116"/>
    </row>
    <row r="550" spans="1:4" ht="15.75" hidden="1" outlineLevel="1">
      <c r="A550" s="38" t="s">
        <v>461</v>
      </c>
      <c r="B550" s="39" t="s">
        <v>799</v>
      </c>
      <c r="C550" s="38">
        <v>5.53</v>
      </c>
      <c r="D550" s="116"/>
    </row>
    <row r="551" spans="1:4" ht="15.75" hidden="1" outlineLevel="1">
      <c r="A551" s="38" t="s">
        <v>461</v>
      </c>
      <c r="B551" s="39" t="s">
        <v>11</v>
      </c>
      <c r="C551" s="38">
        <v>5.54</v>
      </c>
      <c r="D551" s="116"/>
    </row>
    <row r="552" spans="1:4" ht="15.75" hidden="1" outlineLevel="1">
      <c r="A552" s="38" t="s">
        <v>461</v>
      </c>
      <c r="B552" s="39" t="s">
        <v>327</v>
      </c>
      <c r="C552" s="38">
        <v>5.58</v>
      </c>
      <c r="D552" s="116"/>
    </row>
    <row r="553" spans="1:4" ht="15.75" hidden="1" outlineLevel="1">
      <c r="A553" s="38" t="s">
        <v>461</v>
      </c>
      <c r="B553" s="39" t="s">
        <v>331</v>
      </c>
      <c r="C553" s="38">
        <v>5.1180000000000003</v>
      </c>
      <c r="D553" s="116"/>
    </row>
    <row r="554" spans="1:4" ht="15.75" hidden="1" outlineLevel="1">
      <c r="A554" s="38" t="s">
        <v>461</v>
      </c>
      <c r="B554" s="39" t="s">
        <v>944</v>
      </c>
      <c r="C554" s="38">
        <v>5.47</v>
      </c>
      <c r="D554" s="116"/>
    </row>
    <row r="555" spans="1:4" ht="15.75" hidden="1" outlineLevel="1">
      <c r="A555" s="38" t="s">
        <v>461</v>
      </c>
      <c r="B555" s="39" t="s">
        <v>945</v>
      </c>
      <c r="C555" s="38">
        <v>5.48</v>
      </c>
      <c r="D555" s="116"/>
    </row>
    <row r="556" spans="1:4" ht="15.75" hidden="1" outlineLevel="1">
      <c r="A556" s="38" t="s">
        <v>461</v>
      </c>
      <c r="B556" s="39" t="s">
        <v>1160</v>
      </c>
      <c r="C556" s="38">
        <v>5.63</v>
      </c>
      <c r="D556" s="116"/>
    </row>
    <row r="557" spans="1:4" ht="15.75" hidden="1" outlineLevel="1">
      <c r="A557" s="38" t="s">
        <v>461</v>
      </c>
      <c r="B557" s="39" t="s">
        <v>604</v>
      </c>
      <c r="C557" s="38">
        <v>5.27</v>
      </c>
      <c r="D557" s="116"/>
    </row>
    <row r="558" spans="1:4" ht="15.75" hidden="1" outlineLevel="1">
      <c r="A558" s="38" t="s">
        <v>461</v>
      </c>
      <c r="B558" s="39" t="s">
        <v>605</v>
      </c>
      <c r="C558" s="38">
        <v>5.28</v>
      </c>
      <c r="D558" s="116"/>
    </row>
    <row r="559" spans="1:4" ht="15.75" hidden="1" outlineLevel="1">
      <c r="A559" s="38" t="s">
        <v>461</v>
      </c>
      <c r="B559" s="39" t="s">
        <v>464</v>
      </c>
      <c r="C559" s="38">
        <v>5.35</v>
      </c>
      <c r="D559" s="116"/>
    </row>
    <row r="560" spans="1:4" ht="15.75" hidden="1" outlineLevel="1">
      <c r="A560" s="38" t="s">
        <v>461</v>
      </c>
      <c r="B560" s="39" t="s">
        <v>343</v>
      </c>
      <c r="C560" s="38">
        <v>5.1189999999999998</v>
      </c>
      <c r="D560" s="116"/>
    </row>
    <row r="561" spans="1:4" ht="15.75" hidden="1" outlineLevel="1">
      <c r="A561" s="38" t="s">
        <v>461</v>
      </c>
      <c r="B561" s="39" t="s">
        <v>463</v>
      </c>
      <c r="C561" s="41">
        <v>5.12</v>
      </c>
      <c r="D561" s="116"/>
    </row>
    <row r="562" spans="1:4" ht="15.75" hidden="1" outlineLevel="1">
      <c r="A562" s="38" t="s">
        <v>461</v>
      </c>
      <c r="B562" s="39" t="s">
        <v>99</v>
      </c>
      <c r="C562" s="38">
        <v>5.1210000000000004</v>
      </c>
      <c r="D562" s="116"/>
    </row>
    <row r="563" spans="1:4" ht="15.75" hidden="1" outlineLevel="1">
      <c r="A563" s="38" t="s">
        <v>461</v>
      </c>
      <c r="B563" s="39" t="s">
        <v>606</v>
      </c>
      <c r="C563" s="38">
        <v>5.36</v>
      </c>
      <c r="D563" s="116"/>
    </row>
    <row r="564" spans="1:4" ht="15.75" hidden="1" outlineLevel="1">
      <c r="A564" s="38" t="s">
        <v>461</v>
      </c>
      <c r="B564" s="39" t="s">
        <v>365</v>
      </c>
      <c r="C564" s="38">
        <v>5.1219999999999999</v>
      </c>
      <c r="D564" s="116"/>
    </row>
    <row r="565" spans="1:4" ht="15.75" hidden="1" outlineLevel="1">
      <c r="A565" s="38" t="s">
        <v>461</v>
      </c>
      <c r="B565" s="39" t="s">
        <v>366</v>
      </c>
      <c r="C565" s="38">
        <v>5.1230000000000002</v>
      </c>
      <c r="D565" s="116"/>
    </row>
    <row r="566" spans="1:4" ht="15.75" hidden="1" outlineLevel="1">
      <c r="A566" s="38" t="s">
        <v>461</v>
      </c>
      <c r="B566" s="39" t="s">
        <v>612</v>
      </c>
      <c r="C566" s="38">
        <v>5.1239999999999997</v>
      </c>
      <c r="D566" s="116"/>
    </row>
    <row r="567" spans="1:4" ht="15.75" hidden="1" outlineLevel="1">
      <c r="A567" s="38" t="s">
        <v>461</v>
      </c>
      <c r="B567" s="39" t="s">
        <v>308</v>
      </c>
      <c r="C567" s="38">
        <v>5.125</v>
      </c>
      <c r="D567" s="116"/>
    </row>
    <row r="568" spans="1:4" ht="15.75" hidden="1" outlineLevel="1">
      <c r="A568" s="38" t="s">
        <v>461</v>
      </c>
      <c r="B568" s="39" t="s">
        <v>368</v>
      </c>
      <c r="C568" s="38">
        <v>5.1260000000000003</v>
      </c>
      <c r="D568" s="116"/>
    </row>
    <row r="569" spans="1:4" ht="15.75" hidden="1" outlineLevel="1">
      <c r="A569" s="38" t="s">
        <v>461</v>
      </c>
      <c r="B569" s="39" t="s">
        <v>737</v>
      </c>
      <c r="C569" s="38">
        <v>5.1269999999999998</v>
      </c>
      <c r="D569" s="116"/>
    </row>
    <row r="570" spans="1:4" ht="15.75" hidden="1" outlineLevel="1">
      <c r="A570" s="38" t="s">
        <v>461</v>
      </c>
      <c r="B570" s="39" t="s">
        <v>309</v>
      </c>
      <c r="C570" s="40">
        <v>5.72</v>
      </c>
      <c r="D570" s="116"/>
    </row>
    <row r="571" spans="1:4" ht="15.75" hidden="1" outlineLevel="1">
      <c r="A571" s="38" t="s">
        <v>461</v>
      </c>
      <c r="B571" s="39" t="s">
        <v>310</v>
      </c>
      <c r="C571" s="38">
        <v>5.1280000000000001</v>
      </c>
      <c r="D571" s="116"/>
    </row>
    <row r="572" spans="1:4" ht="15.75" hidden="1" outlineLevel="1">
      <c r="A572" s="38" t="s">
        <v>461</v>
      </c>
      <c r="B572" s="39" t="s">
        <v>349</v>
      </c>
      <c r="C572" s="38">
        <v>5.1289999999999996</v>
      </c>
      <c r="D572" s="115" t="s">
        <v>935</v>
      </c>
    </row>
    <row r="573" spans="1:4" ht="15.75" hidden="1" outlineLevel="1">
      <c r="A573" s="38" t="s">
        <v>461</v>
      </c>
      <c r="B573" s="39" t="s">
        <v>367</v>
      </c>
      <c r="C573" s="38">
        <v>5.1310000000000002</v>
      </c>
      <c r="D573" s="116"/>
    </row>
    <row r="574" spans="1:4" ht="15.75" hidden="1" outlineLevel="1">
      <c r="A574" s="38" t="s">
        <v>461</v>
      </c>
      <c r="B574" s="39" t="s">
        <v>617</v>
      </c>
      <c r="C574" s="38">
        <v>5.1319999999999997</v>
      </c>
      <c r="D574" s="115" t="s">
        <v>935</v>
      </c>
    </row>
    <row r="575" spans="1:4" ht="15.75" hidden="1" outlineLevel="1">
      <c r="A575" s="38" t="s">
        <v>461</v>
      </c>
      <c r="B575" s="39" t="s">
        <v>364</v>
      </c>
      <c r="C575" s="38">
        <v>5.133</v>
      </c>
      <c r="D575" s="115" t="s">
        <v>935</v>
      </c>
    </row>
    <row r="576" spans="1:4" ht="15.75" hidden="1" outlineLevel="1">
      <c r="A576" s="38" t="s">
        <v>461</v>
      </c>
      <c r="B576" s="39" t="s">
        <v>458</v>
      </c>
      <c r="C576" s="38">
        <v>5.1340000000000003</v>
      </c>
      <c r="D576" s="115" t="s">
        <v>935</v>
      </c>
    </row>
    <row r="577" spans="1:4" ht="15.75" hidden="1" outlineLevel="1">
      <c r="A577" s="38" t="s">
        <v>461</v>
      </c>
      <c r="B577" s="39" t="s">
        <v>436</v>
      </c>
      <c r="C577" s="41">
        <v>5.13</v>
      </c>
      <c r="D577" s="116"/>
    </row>
    <row r="578" spans="1:4" ht="15.75" hidden="1" outlineLevel="1">
      <c r="A578" s="38" t="s">
        <v>461</v>
      </c>
      <c r="B578" s="39" t="s">
        <v>19</v>
      </c>
      <c r="C578" s="38">
        <v>5.47</v>
      </c>
      <c r="D578" s="116"/>
    </row>
    <row r="579" spans="1:4" ht="15.75" hidden="1" outlineLevel="1">
      <c r="A579" s="38" t="s">
        <v>461</v>
      </c>
      <c r="B579" s="39" t="s">
        <v>30</v>
      </c>
      <c r="C579" s="38">
        <v>5.48</v>
      </c>
      <c r="D579" s="116"/>
    </row>
    <row r="580" spans="1:4" ht="15.75" collapsed="1">
      <c r="A580" s="44" t="s">
        <v>461</v>
      </c>
      <c r="B580" s="39"/>
      <c r="C580" s="38"/>
      <c r="D580" s="116"/>
    </row>
    <row r="581" spans="1:4" ht="15.75" hidden="1" outlineLevel="1">
      <c r="A581" s="38" t="s">
        <v>48</v>
      </c>
      <c r="B581" s="39" t="s">
        <v>651</v>
      </c>
      <c r="C581" s="38">
        <v>5.0999999999999996</v>
      </c>
      <c r="D581" s="116"/>
    </row>
    <row r="582" spans="1:4" ht="15.75" hidden="1" outlineLevel="1">
      <c r="A582" s="38" t="s">
        <v>48</v>
      </c>
      <c r="B582" s="39" t="s">
        <v>0</v>
      </c>
      <c r="C582" s="38">
        <v>5.2</v>
      </c>
      <c r="D582" s="116"/>
    </row>
    <row r="583" spans="1:4" ht="15.75" hidden="1" outlineLevel="1">
      <c r="A583" s="38" t="s">
        <v>48</v>
      </c>
      <c r="B583" s="39" t="s">
        <v>725</v>
      </c>
      <c r="C583" s="38">
        <v>5.9</v>
      </c>
      <c r="D583" s="115" t="s">
        <v>935</v>
      </c>
    </row>
    <row r="584" spans="1:4" ht="15.75" hidden="1" outlineLevel="1">
      <c r="A584" s="38" t="s">
        <v>48</v>
      </c>
      <c r="B584" s="39" t="s">
        <v>726</v>
      </c>
      <c r="C584" s="38">
        <v>5.13</v>
      </c>
      <c r="D584" s="115" t="s">
        <v>935</v>
      </c>
    </row>
    <row r="585" spans="1:4" ht="15.75" hidden="1" outlineLevel="1">
      <c r="A585" s="38" t="s">
        <v>48</v>
      </c>
      <c r="B585" s="39" t="s">
        <v>727</v>
      </c>
      <c r="C585" s="38">
        <v>5.16</v>
      </c>
      <c r="D585" s="115" t="s">
        <v>935</v>
      </c>
    </row>
    <row r="586" spans="1:4" ht="15.75" hidden="1" outlineLevel="1">
      <c r="A586" s="38" t="s">
        <v>48</v>
      </c>
      <c r="B586" s="39" t="s">
        <v>728</v>
      </c>
      <c r="C586" s="38">
        <v>5.22</v>
      </c>
      <c r="D586" s="115"/>
    </row>
    <row r="587" spans="1:4" ht="15.75" hidden="1" outlineLevel="1">
      <c r="A587" s="38" t="s">
        <v>48</v>
      </c>
      <c r="B587" s="39" t="s">
        <v>1</v>
      </c>
      <c r="C587" s="38">
        <v>5.26</v>
      </c>
      <c r="D587" s="116"/>
    </row>
    <row r="588" spans="1:4" ht="15.75" hidden="1" outlineLevel="1">
      <c r="A588" s="38" t="s">
        <v>48</v>
      </c>
      <c r="B588" s="39" t="s">
        <v>916</v>
      </c>
      <c r="C588" s="38">
        <v>5.77</v>
      </c>
      <c r="D588" s="116"/>
    </row>
    <row r="589" spans="1:4" ht="15.75" hidden="1" outlineLevel="1">
      <c r="A589" s="38" t="s">
        <v>48</v>
      </c>
      <c r="B589" s="39" t="s">
        <v>604</v>
      </c>
      <c r="C589" s="38">
        <v>5.27</v>
      </c>
      <c r="D589" s="116"/>
    </row>
    <row r="590" spans="1:4" ht="15.75" hidden="1" outlineLevel="1">
      <c r="A590" s="38" t="s">
        <v>48</v>
      </c>
      <c r="B590" s="39" t="s">
        <v>605</v>
      </c>
      <c r="C590" s="38">
        <v>5.28</v>
      </c>
      <c r="D590" s="115" t="s">
        <v>935</v>
      </c>
    </row>
    <row r="591" spans="1:4" ht="15.75" hidden="1" outlineLevel="1">
      <c r="A591" s="38" t="s">
        <v>48</v>
      </c>
      <c r="B591" s="39" t="s">
        <v>9</v>
      </c>
      <c r="C591" s="38">
        <v>5.31</v>
      </c>
      <c r="D591" s="116"/>
    </row>
    <row r="592" spans="1:4" ht="15.75" hidden="1" outlineLevel="1">
      <c r="A592" s="38" t="s">
        <v>48</v>
      </c>
      <c r="B592" s="39" t="s">
        <v>606</v>
      </c>
      <c r="C592" s="38">
        <v>5.36</v>
      </c>
      <c r="D592" s="116"/>
    </row>
    <row r="593" spans="1:4" ht="15.75" hidden="1" outlineLevel="1">
      <c r="A593" s="38" t="s">
        <v>48</v>
      </c>
      <c r="B593" s="39" t="s">
        <v>297</v>
      </c>
      <c r="C593" s="38">
        <v>5.78</v>
      </c>
      <c r="D593" s="116"/>
    </row>
    <row r="594" spans="1:4" ht="15.75" hidden="1" outlineLevel="1">
      <c r="A594" s="38" t="s">
        <v>48</v>
      </c>
      <c r="B594" s="39" t="s">
        <v>592</v>
      </c>
      <c r="C594" s="38">
        <v>5.79</v>
      </c>
      <c r="D594" s="115" t="s">
        <v>935</v>
      </c>
    </row>
    <row r="595" spans="1:4" ht="15.75" hidden="1" outlineLevel="1">
      <c r="A595" s="38" t="s">
        <v>48</v>
      </c>
      <c r="B595" s="39" t="s">
        <v>732</v>
      </c>
      <c r="C595" s="38">
        <v>5.41</v>
      </c>
      <c r="D595" s="116"/>
    </row>
    <row r="596" spans="1:4" ht="15.75" hidden="1" outlineLevel="1">
      <c r="A596" s="38" t="s">
        <v>48</v>
      </c>
      <c r="B596" s="39" t="s">
        <v>6</v>
      </c>
      <c r="C596" s="38">
        <v>5.49</v>
      </c>
      <c r="D596" s="116"/>
    </row>
    <row r="597" spans="1:4" ht="15.75" hidden="1" outlineLevel="1">
      <c r="A597" s="38" t="s">
        <v>48</v>
      </c>
      <c r="B597" s="39" t="s">
        <v>8</v>
      </c>
      <c r="C597" s="38">
        <v>5.51</v>
      </c>
      <c r="D597" s="116"/>
    </row>
    <row r="598" spans="1:4" ht="15.75" hidden="1" outlineLevel="1">
      <c r="A598" s="38" t="s">
        <v>48</v>
      </c>
      <c r="B598" s="39" t="s">
        <v>777</v>
      </c>
      <c r="C598" s="38">
        <v>5.52</v>
      </c>
      <c r="D598" s="116"/>
    </row>
    <row r="599" spans="1:4" ht="15.75" hidden="1" outlineLevel="1">
      <c r="A599" s="38" t="s">
        <v>48</v>
      </c>
      <c r="B599" s="39" t="s">
        <v>396</v>
      </c>
      <c r="C599" s="38">
        <v>5.53</v>
      </c>
      <c r="D599" s="116"/>
    </row>
    <row r="600" spans="1:4" ht="15.75" hidden="1" outlineLevel="1">
      <c r="A600" s="38" t="s">
        <v>48</v>
      </c>
      <c r="B600" s="39" t="s">
        <v>13</v>
      </c>
      <c r="C600" s="38">
        <v>5.69</v>
      </c>
      <c r="D600" s="116"/>
    </row>
    <row r="601" spans="1:4" ht="15.75" hidden="1" outlineLevel="1">
      <c r="A601" s="38" t="s">
        <v>48</v>
      </c>
      <c r="B601" s="39" t="s">
        <v>440</v>
      </c>
      <c r="C601" s="38">
        <v>5.71</v>
      </c>
      <c r="D601" s="116"/>
    </row>
    <row r="602" spans="1:4" ht="15.75" hidden="1" outlineLevel="1">
      <c r="A602" s="38" t="s">
        <v>48</v>
      </c>
      <c r="B602" s="39" t="s">
        <v>14</v>
      </c>
      <c r="C602" s="40">
        <v>5.7</v>
      </c>
      <c r="D602" s="116"/>
    </row>
    <row r="603" spans="1:4" ht="15.75" hidden="1" outlineLevel="1">
      <c r="A603" s="38" t="s">
        <v>48</v>
      </c>
      <c r="B603" s="39" t="s">
        <v>282</v>
      </c>
      <c r="C603" s="40">
        <v>5.8</v>
      </c>
      <c r="D603" s="115" t="s">
        <v>935</v>
      </c>
    </row>
    <row r="604" spans="1:4" ht="15.75" hidden="1" outlineLevel="1">
      <c r="A604" s="38" t="s">
        <v>48</v>
      </c>
      <c r="B604" s="39" t="s">
        <v>309</v>
      </c>
      <c r="C604" s="40">
        <v>5.72</v>
      </c>
      <c r="D604" s="115" t="s">
        <v>935</v>
      </c>
    </row>
    <row r="605" spans="1:4" ht="15.75" hidden="1" outlineLevel="1">
      <c r="A605" s="38" t="s">
        <v>48</v>
      </c>
      <c r="B605" s="39" t="s">
        <v>673</v>
      </c>
      <c r="C605" s="38">
        <v>5.73</v>
      </c>
      <c r="D605" s="115" t="s">
        <v>935</v>
      </c>
    </row>
    <row r="606" spans="1:4" ht="15.75" hidden="1" outlineLevel="1">
      <c r="A606" s="38" t="s">
        <v>48</v>
      </c>
      <c r="B606" s="39" t="s">
        <v>621</v>
      </c>
      <c r="C606" s="38">
        <v>5.74</v>
      </c>
      <c r="D606" s="116"/>
    </row>
    <row r="607" spans="1:4" ht="15.75" hidden="1" outlineLevel="1">
      <c r="A607" s="38" t="s">
        <v>48</v>
      </c>
      <c r="B607" s="39" t="s">
        <v>421</v>
      </c>
      <c r="C607" s="38">
        <v>5.75</v>
      </c>
      <c r="D607" s="116"/>
    </row>
    <row r="608" spans="1:4" ht="15.75" hidden="1" outlineLevel="1">
      <c r="A608" s="38" t="s">
        <v>48</v>
      </c>
      <c r="B608" s="39" t="s">
        <v>925</v>
      </c>
      <c r="C608" s="38">
        <v>5.76</v>
      </c>
      <c r="D608" s="116"/>
    </row>
    <row r="609" spans="1:4" ht="15.75" hidden="1" outlineLevel="1">
      <c r="A609" s="38" t="s">
        <v>48</v>
      </c>
      <c r="B609" s="39" t="s">
        <v>20</v>
      </c>
      <c r="C609" s="38">
        <v>5.81</v>
      </c>
      <c r="D609" s="115" t="s">
        <v>935</v>
      </c>
    </row>
    <row r="610" spans="1:4" ht="15.75" hidden="1" outlineLevel="1">
      <c r="A610" s="38" t="s">
        <v>48</v>
      </c>
      <c r="B610" s="39" t="s">
        <v>768</v>
      </c>
      <c r="C610" s="38">
        <v>5.82</v>
      </c>
      <c r="D610" s="115" t="s">
        <v>935</v>
      </c>
    </row>
    <row r="611" spans="1:4" ht="15.75" hidden="1" outlineLevel="1">
      <c r="A611" s="38" t="s">
        <v>48</v>
      </c>
      <c r="B611" s="39" t="s">
        <v>658</v>
      </c>
      <c r="C611" s="38">
        <v>5.83</v>
      </c>
      <c r="D611" s="115" t="s">
        <v>935</v>
      </c>
    </row>
    <row r="612" spans="1:4" ht="15.75" hidden="1" outlineLevel="1">
      <c r="A612" s="38" t="s">
        <v>48</v>
      </c>
      <c r="B612" s="39" t="s">
        <v>659</v>
      </c>
      <c r="C612" s="38">
        <v>5.84</v>
      </c>
      <c r="D612" s="116"/>
    </row>
    <row r="613" spans="1:4" ht="15.75" hidden="1" outlineLevel="1">
      <c r="A613" s="38" t="s">
        <v>48</v>
      </c>
      <c r="B613" s="39" t="s">
        <v>850</v>
      </c>
      <c r="C613" s="38">
        <v>5.85</v>
      </c>
      <c r="D613" s="115" t="s">
        <v>935</v>
      </c>
    </row>
    <row r="614" spans="1:4" ht="15.75" hidden="1" outlineLevel="1">
      <c r="A614" s="38" t="s">
        <v>48</v>
      </c>
      <c r="B614" s="39" t="s">
        <v>420</v>
      </c>
      <c r="C614" s="38">
        <v>5.86</v>
      </c>
      <c r="D614" s="115" t="s">
        <v>935</v>
      </c>
    </row>
    <row r="615" spans="1:4" ht="15.75" hidden="1" outlineLevel="1">
      <c r="A615" s="38" t="s">
        <v>48</v>
      </c>
      <c r="B615" s="39" t="s">
        <v>21</v>
      </c>
      <c r="C615" s="38">
        <v>5.88</v>
      </c>
      <c r="D615" s="115" t="s">
        <v>935</v>
      </c>
    </row>
    <row r="616" spans="1:4" ht="15.75" hidden="1" outlineLevel="1">
      <c r="A616" s="38" t="s">
        <v>48</v>
      </c>
      <c r="B616" s="39" t="s">
        <v>674</v>
      </c>
      <c r="C616" s="38">
        <v>5.87</v>
      </c>
      <c r="D616" s="116"/>
    </row>
    <row r="617" spans="1:4" ht="15.75" hidden="1" outlineLevel="1">
      <c r="A617" s="38" t="s">
        <v>48</v>
      </c>
      <c r="B617" s="39" t="s">
        <v>917</v>
      </c>
      <c r="C617" s="38">
        <v>5.109</v>
      </c>
      <c r="D617" s="116"/>
    </row>
    <row r="618" spans="1:4" ht="15.75" hidden="1" outlineLevel="1">
      <c r="A618" s="38" t="s">
        <v>48</v>
      </c>
      <c r="B618" s="39" t="s">
        <v>731</v>
      </c>
      <c r="C618" s="41">
        <v>5.1100000000000003</v>
      </c>
      <c r="D618" s="115" t="s">
        <v>935</v>
      </c>
    </row>
    <row r="619" spans="1:4" ht="15.75" hidden="1" outlineLevel="1">
      <c r="A619" s="38" t="s">
        <v>48</v>
      </c>
      <c r="B619" s="39" t="s">
        <v>372</v>
      </c>
      <c r="C619" s="38">
        <v>5.1109999999999998</v>
      </c>
      <c r="D619" s="116"/>
    </row>
    <row r="620" spans="1:4" ht="15.75" hidden="1" outlineLevel="1">
      <c r="A620" s="38" t="s">
        <v>48</v>
      </c>
      <c r="B620" s="39" t="s">
        <v>16</v>
      </c>
      <c r="C620" s="38">
        <v>5.1120000000000001</v>
      </c>
      <c r="D620" s="116"/>
    </row>
    <row r="621" spans="1:4" ht="15.75" hidden="1" outlineLevel="1">
      <c r="A621" s="38" t="s">
        <v>48</v>
      </c>
      <c r="B621" s="39" t="s">
        <v>475</v>
      </c>
      <c r="C621" s="38">
        <v>5.1130000000000004</v>
      </c>
      <c r="D621" s="116"/>
    </row>
    <row r="622" spans="1:4" ht="15.75" hidden="1" outlineLevel="1">
      <c r="A622" s="38" t="s">
        <v>48</v>
      </c>
      <c r="B622" s="39" t="s">
        <v>622</v>
      </c>
      <c r="C622" s="38">
        <v>5.99</v>
      </c>
      <c r="D622" s="115" t="s">
        <v>935</v>
      </c>
    </row>
    <row r="623" spans="1:4" ht="15.75" hidden="1" outlineLevel="1">
      <c r="A623" s="38" t="s">
        <v>48</v>
      </c>
      <c r="B623" s="39" t="s">
        <v>948</v>
      </c>
      <c r="C623" s="38">
        <v>5.58</v>
      </c>
      <c r="D623" s="115"/>
    </row>
    <row r="624" spans="1:4" ht="15.75" hidden="1" outlineLevel="1">
      <c r="A624" s="38" t="s">
        <v>48</v>
      </c>
      <c r="B624" s="39" t="s">
        <v>11</v>
      </c>
      <c r="C624" s="38">
        <v>5.54</v>
      </c>
      <c r="D624" s="116"/>
    </row>
    <row r="625" spans="1:4" ht="15.75" hidden="1" outlineLevel="1">
      <c r="A625" s="38" t="s">
        <v>48</v>
      </c>
      <c r="B625" s="39" t="s">
        <v>729</v>
      </c>
      <c r="C625" s="38">
        <v>5.56</v>
      </c>
      <c r="D625" s="116"/>
    </row>
    <row r="626" spans="1:4" ht="15.75" hidden="1" outlineLevel="1">
      <c r="A626" s="38" t="s">
        <v>48</v>
      </c>
      <c r="B626" s="39" t="s">
        <v>1153</v>
      </c>
      <c r="C626" s="38">
        <v>5.63</v>
      </c>
      <c r="D626" s="116"/>
    </row>
    <row r="627" spans="1:4" ht="15.75" hidden="1" outlineLevel="1">
      <c r="A627" s="38" t="s">
        <v>48</v>
      </c>
      <c r="B627" s="39" t="s">
        <v>787</v>
      </c>
      <c r="C627" s="38">
        <v>5.64</v>
      </c>
      <c r="D627" s="116"/>
    </row>
    <row r="628" spans="1:4" ht="15.75" hidden="1" outlineLevel="1">
      <c r="A628" s="38" t="s">
        <v>48</v>
      </c>
      <c r="B628" s="39" t="s">
        <v>1154</v>
      </c>
      <c r="C628" s="38">
        <v>5.65</v>
      </c>
      <c r="D628" s="116"/>
    </row>
    <row r="629" spans="1:4" ht="15.75" hidden="1" outlineLevel="1">
      <c r="A629" s="38" t="s">
        <v>48</v>
      </c>
      <c r="B629" s="39" t="s">
        <v>788</v>
      </c>
      <c r="C629" s="38">
        <v>5.66</v>
      </c>
      <c r="D629" s="116"/>
    </row>
    <row r="630" spans="1:4" ht="15.75" hidden="1" outlineLevel="1">
      <c r="A630" s="38" t="s">
        <v>48</v>
      </c>
      <c r="B630" s="39" t="s">
        <v>669</v>
      </c>
      <c r="C630" s="38">
        <v>5.89</v>
      </c>
      <c r="D630" s="115" t="s">
        <v>935</v>
      </c>
    </row>
    <row r="631" spans="1:4" ht="15.75" hidden="1" outlineLevel="1">
      <c r="A631" s="38" t="s">
        <v>48</v>
      </c>
      <c r="B631" s="39" t="s">
        <v>26</v>
      </c>
      <c r="C631" s="38">
        <v>5.68</v>
      </c>
      <c r="D631" s="116"/>
    </row>
    <row r="632" spans="1:4" ht="15.75" hidden="1" outlineLevel="1">
      <c r="A632" s="38" t="s">
        <v>48</v>
      </c>
      <c r="B632" s="39" t="s">
        <v>19</v>
      </c>
      <c r="C632" s="38">
        <v>5.47</v>
      </c>
      <c r="D632" s="116"/>
    </row>
    <row r="633" spans="1:4" ht="15.75" hidden="1" outlineLevel="1">
      <c r="A633" s="38" t="s">
        <v>48</v>
      </c>
      <c r="B633" s="39" t="s">
        <v>30</v>
      </c>
      <c r="C633" s="38">
        <v>5.48</v>
      </c>
      <c r="D633" s="116"/>
    </row>
    <row r="634" spans="1:4" ht="15.75" collapsed="1">
      <c r="A634" s="44" t="s">
        <v>48</v>
      </c>
      <c r="B634" s="39"/>
      <c r="C634" s="38"/>
      <c r="D634" s="116"/>
    </row>
    <row r="635" spans="1:4" ht="15.75" hidden="1" outlineLevel="1">
      <c r="A635" s="38" t="s">
        <v>49</v>
      </c>
      <c r="B635" s="39" t="s">
        <v>651</v>
      </c>
      <c r="C635" s="38">
        <v>5.0999999999999996</v>
      </c>
      <c r="D635" s="116"/>
    </row>
    <row r="636" spans="1:4" ht="15.75" hidden="1" outlineLevel="1">
      <c r="A636" s="38" t="s">
        <v>49</v>
      </c>
      <c r="B636" s="39" t="s">
        <v>0</v>
      </c>
      <c r="C636" s="38">
        <v>5.2</v>
      </c>
      <c r="D636" s="116"/>
    </row>
    <row r="637" spans="1:4" ht="15.75" hidden="1" outlineLevel="1">
      <c r="A637" s="38" t="s">
        <v>49</v>
      </c>
      <c r="B637" s="39" t="s">
        <v>724</v>
      </c>
      <c r="C637" s="38">
        <v>5.3</v>
      </c>
      <c r="D637" s="116"/>
    </row>
    <row r="638" spans="1:4" ht="15.75" hidden="1" outlineLevel="1">
      <c r="A638" s="38" t="s">
        <v>49</v>
      </c>
      <c r="B638" s="39" t="s">
        <v>2</v>
      </c>
      <c r="C638" s="38">
        <v>5.6</v>
      </c>
      <c r="D638" s="116"/>
    </row>
    <row r="639" spans="1:4" ht="15.75" hidden="1" outlineLevel="1">
      <c r="A639" s="38" t="s">
        <v>49</v>
      </c>
      <c r="B639" s="39" t="s">
        <v>730</v>
      </c>
      <c r="C639" s="40">
        <v>5.0999999999999996</v>
      </c>
      <c r="D639" s="116"/>
    </row>
    <row r="640" spans="1:4" ht="15.75" hidden="1" outlineLevel="1">
      <c r="A640" s="38" t="s">
        <v>49</v>
      </c>
      <c r="B640" s="39" t="s">
        <v>3</v>
      </c>
      <c r="C640" s="38">
        <v>5.14</v>
      </c>
      <c r="D640" s="116"/>
    </row>
    <row r="641" spans="1:4" ht="15.75" hidden="1" outlineLevel="1">
      <c r="A641" s="38" t="s">
        <v>49</v>
      </c>
      <c r="B641" s="39" t="s">
        <v>29</v>
      </c>
      <c r="C641" s="38">
        <v>5.19</v>
      </c>
      <c r="D641" s="116"/>
    </row>
    <row r="642" spans="1:4" ht="15.75" hidden="1" outlineLevel="1">
      <c r="A642" s="38" t="s">
        <v>49</v>
      </c>
      <c r="B642" s="39" t="s">
        <v>28</v>
      </c>
      <c r="C642" s="38">
        <v>5.24</v>
      </c>
      <c r="D642" s="116"/>
    </row>
    <row r="643" spans="1:4" ht="15.75" hidden="1" outlineLevel="1">
      <c r="A643" s="38" t="s">
        <v>49</v>
      </c>
      <c r="B643" s="39" t="s">
        <v>1</v>
      </c>
      <c r="C643" s="38">
        <v>5.26</v>
      </c>
      <c r="D643" s="116"/>
    </row>
    <row r="644" spans="1:4" ht="15.75" hidden="1" outlineLevel="1">
      <c r="A644" s="38" t="s">
        <v>49</v>
      </c>
      <c r="B644" s="39" t="s">
        <v>604</v>
      </c>
      <c r="C644" s="38">
        <v>5.27</v>
      </c>
      <c r="D644" s="116"/>
    </row>
    <row r="645" spans="1:4" ht="15.75" hidden="1" outlineLevel="1">
      <c r="A645" s="38" t="s">
        <v>49</v>
      </c>
      <c r="B645" s="39" t="s">
        <v>605</v>
      </c>
      <c r="C645" s="38">
        <v>5.28</v>
      </c>
      <c r="D645" s="116"/>
    </row>
    <row r="646" spans="1:4" ht="15.75" hidden="1" outlineLevel="1">
      <c r="A646" s="38" t="s">
        <v>49</v>
      </c>
      <c r="B646" s="39" t="s">
        <v>606</v>
      </c>
      <c r="C646" s="38">
        <v>5.36</v>
      </c>
      <c r="D646" s="116"/>
    </row>
    <row r="647" spans="1:4" ht="15.75" hidden="1" outlineLevel="1">
      <c r="A647" s="38" t="s">
        <v>49</v>
      </c>
      <c r="B647" s="39" t="s">
        <v>10</v>
      </c>
      <c r="C647" s="38">
        <v>5.33</v>
      </c>
      <c r="D647" s="116"/>
    </row>
    <row r="648" spans="1:4" ht="15.75" hidden="1" outlineLevel="1">
      <c r="A648" s="38" t="s">
        <v>49</v>
      </c>
      <c r="B648" s="39" t="s">
        <v>12</v>
      </c>
      <c r="C648" s="38">
        <v>5.37</v>
      </c>
      <c r="D648" s="116"/>
    </row>
    <row r="649" spans="1:4" ht="15.75" hidden="1" outlineLevel="1">
      <c r="A649" s="38" t="s">
        <v>49</v>
      </c>
      <c r="B649" s="39" t="s">
        <v>6</v>
      </c>
      <c r="C649" s="38">
        <v>5.49</v>
      </c>
      <c r="D649" s="116"/>
    </row>
    <row r="650" spans="1:4" ht="15.75" hidden="1" outlineLevel="1">
      <c r="A650" s="38" t="s">
        <v>49</v>
      </c>
      <c r="B650" s="39" t="s">
        <v>8</v>
      </c>
      <c r="C650" s="38">
        <v>5.51</v>
      </c>
      <c r="D650" s="116"/>
    </row>
    <row r="651" spans="1:4" ht="15.75" hidden="1" outlineLevel="1">
      <c r="A651" s="38" t="s">
        <v>49</v>
      </c>
      <c r="B651" s="39" t="s">
        <v>7</v>
      </c>
      <c r="C651" s="38">
        <v>5.52</v>
      </c>
      <c r="D651" s="116"/>
    </row>
    <row r="652" spans="1:4" ht="15.75" hidden="1" outlineLevel="1">
      <c r="A652" s="38" t="s">
        <v>49</v>
      </c>
      <c r="B652" s="39" t="s">
        <v>396</v>
      </c>
      <c r="C652" s="38">
        <v>5.53</v>
      </c>
      <c r="D652" s="116"/>
    </row>
    <row r="653" spans="1:4" ht="15.75" hidden="1" outlineLevel="1">
      <c r="A653" s="38" t="s">
        <v>49</v>
      </c>
      <c r="B653" s="39" t="s">
        <v>13</v>
      </c>
      <c r="C653" s="38">
        <v>5.69</v>
      </c>
      <c r="D653" s="116"/>
    </row>
    <row r="654" spans="1:4" ht="15.75" hidden="1" outlineLevel="1">
      <c r="A654" s="38" t="s">
        <v>49</v>
      </c>
      <c r="B654" s="39" t="s">
        <v>14</v>
      </c>
      <c r="C654" s="40">
        <v>5.7</v>
      </c>
      <c r="D654" s="116"/>
    </row>
    <row r="655" spans="1:4" ht="15.75" hidden="1" outlineLevel="1">
      <c r="A655" s="38" t="s">
        <v>49</v>
      </c>
      <c r="B655" s="39" t="s">
        <v>621</v>
      </c>
      <c r="C655" s="38">
        <v>5.74</v>
      </c>
      <c r="D655" s="116"/>
    </row>
    <row r="656" spans="1:4" ht="15.75" hidden="1" outlineLevel="1">
      <c r="A656" s="38" t="s">
        <v>49</v>
      </c>
      <c r="B656" s="39" t="s">
        <v>917</v>
      </c>
      <c r="C656" s="38">
        <v>5.109</v>
      </c>
      <c r="D656" s="116"/>
    </row>
    <row r="657" spans="1:4" ht="15.75" hidden="1" outlineLevel="1">
      <c r="A657" s="38" t="s">
        <v>49</v>
      </c>
      <c r="B657" s="39" t="s">
        <v>372</v>
      </c>
      <c r="C657" s="38">
        <v>5.1109999999999998</v>
      </c>
      <c r="D657" s="116"/>
    </row>
    <row r="658" spans="1:4" ht="15.75" hidden="1" outlineLevel="1">
      <c r="A658" s="38" t="s">
        <v>49</v>
      </c>
      <c r="B658" s="39" t="s">
        <v>16</v>
      </c>
      <c r="C658" s="38">
        <v>5.1120000000000001</v>
      </c>
      <c r="D658" s="116"/>
    </row>
    <row r="659" spans="1:4" ht="15.75" hidden="1" outlineLevel="1">
      <c r="A659" s="38" t="s">
        <v>49</v>
      </c>
      <c r="B659" s="39" t="s">
        <v>773</v>
      </c>
      <c r="C659" s="38">
        <v>5.58</v>
      </c>
      <c r="D659" s="116"/>
    </row>
    <row r="660" spans="1:4" ht="15.75" hidden="1" outlineLevel="1">
      <c r="A660" s="38" t="s">
        <v>49</v>
      </c>
      <c r="B660" s="39" t="s">
        <v>11</v>
      </c>
      <c r="C660" s="38">
        <v>5.54</v>
      </c>
      <c r="D660" s="116"/>
    </row>
    <row r="661" spans="1:4" ht="15.75" hidden="1" outlineLevel="1">
      <c r="A661" s="38" t="s">
        <v>49</v>
      </c>
      <c r="B661" s="39" t="s">
        <v>15</v>
      </c>
      <c r="C661" s="38">
        <v>5.55</v>
      </c>
      <c r="D661" s="116"/>
    </row>
    <row r="662" spans="1:4" ht="15.75" hidden="1" outlineLevel="1">
      <c r="A662" s="38" t="s">
        <v>49</v>
      </c>
      <c r="B662" s="39" t="s">
        <v>1153</v>
      </c>
      <c r="C662" s="38">
        <v>5.63</v>
      </c>
      <c r="D662" s="116"/>
    </row>
    <row r="663" spans="1:4" ht="15.75" hidden="1" outlineLevel="1">
      <c r="A663" s="38" t="s">
        <v>49</v>
      </c>
      <c r="B663" s="39" t="s">
        <v>19</v>
      </c>
      <c r="C663" s="38">
        <v>5.47</v>
      </c>
      <c r="D663" s="116"/>
    </row>
    <row r="664" spans="1:4" ht="15.75" hidden="1" outlineLevel="1">
      <c r="A664" s="38" t="s">
        <v>49</v>
      </c>
      <c r="B664" s="39" t="s">
        <v>30</v>
      </c>
      <c r="C664" s="38">
        <v>5.48</v>
      </c>
      <c r="D664" s="116"/>
    </row>
    <row r="665" spans="1:4" ht="15.75" collapsed="1">
      <c r="A665" s="44" t="s">
        <v>49</v>
      </c>
      <c r="B665" s="39"/>
      <c r="C665" s="38"/>
      <c r="D665" s="116"/>
    </row>
    <row r="666" spans="1:4" ht="15.75" hidden="1" outlineLevel="1">
      <c r="A666" s="38" t="s">
        <v>50</v>
      </c>
      <c r="B666" s="39" t="s">
        <v>651</v>
      </c>
      <c r="C666" s="38">
        <v>5.0999999999999996</v>
      </c>
      <c r="D666" s="116"/>
    </row>
    <row r="667" spans="1:4" ht="15.75" hidden="1" outlineLevel="1">
      <c r="A667" s="38" t="s">
        <v>50</v>
      </c>
      <c r="B667" s="39" t="s">
        <v>0</v>
      </c>
      <c r="C667" s="38">
        <v>5.2</v>
      </c>
      <c r="D667" s="116"/>
    </row>
    <row r="668" spans="1:4" ht="15.75" hidden="1" outlineLevel="1">
      <c r="A668" s="38" t="s">
        <v>50</v>
      </c>
      <c r="B668" s="39" t="s">
        <v>723</v>
      </c>
      <c r="C668" s="38">
        <v>5.4</v>
      </c>
      <c r="D668" s="116"/>
    </row>
    <row r="669" spans="1:4" ht="15.75" hidden="1" outlineLevel="1">
      <c r="A669" s="38" t="s">
        <v>50</v>
      </c>
      <c r="B669" s="39" t="s">
        <v>741</v>
      </c>
      <c r="C669" s="38">
        <v>5.7</v>
      </c>
      <c r="D669" s="116"/>
    </row>
    <row r="670" spans="1:4" ht="15.75" hidden="1" outlineLevel="1">
      <c r="A670" s="38" t="s">
        <v>50</v>
      </c>
      <c r="B670" s="39" t="s">
        <v>742</v>
      </c>
      <c r="C670" s="38">
        <v>5.1100000000000003</v>
      </c>
      <c r="D670" s="116"/>
    </row>
    <row r="671" spans="1:4" ht="15.75" hidden="1" outlineLevel="1">
      <c r="A671" s="38" t="s">
        <v>50</v>
      </c>
      <c r="B671" s="39" t="s">
        <v>1</v>
      </c>
      <c r="C671" s="38">
        <v>5.26</v>
      </c>
      <c r="D671" s="116"/>
    </row>
    <row r="672" spans="1:4" ht="15.75" hidden="1" outlineLevel="1">
      <c r="A672" s="38" t="s">
        <v>50</v>
      </c>
      <c r="B672" s="39" t="s">
        <v>625</v>
      </c>
      <c r="C672" s="38">
        <v>5.43</v>
      </c>
      <c r="D672" s="116"/>
    </row>
    <row r="673" spans="1:4" ht="15.75" hidden="1" outlineLevel="1">
      <c r="A673" s="38" t="s">
        <v>50</v>
      </c>
      <c r="B673" s="39" t="s">
        <v>604</v>
      </c>
      <c r="C673" s="38">
        <v>5.27</v>
      </c>
      <c r="D673" s="116"/>
    </row>
    <row r="674" spans="1:4" ht="15.75" hidden="1" outlineLevel="1">
      <c r="A674" s="38" t="s">
        <v>50</v>
      </c>
      <c r="B674" s="39" t="s">
        <v>605</v>
      </c>
      <c r="C674" s="38">
        <v>5.28</v>
      </c>
      <c r="D674" s="116"/>
    </row>
    <row r="675" spans="1:4" ht="15.75" hidden="1" outlineLevel="1">
      <c r="A675" s="38" t="s">
        <v>50</v>
      </c>
      <c r="B675" s="39" t="s">
        <v>606</v>
      </c>
      <c r="C675" s="38">
        <v>5.36</v>
      </c>
      <c r="D675" s="116"/>
    </row>
    <row r="676" spans="1:4" ht="15.75" hidden="1" outlineLevel="1">
      <c r="A676" s="38" t="s">
        <v>50</v>
      </c>
      <c r="B676" s="39" t="s">
        <v>772</v>
      </c>
      <c r="C676" s="40">
        <v>5.5</v>
      </c>
      <c r="D676" s="116"/>
    </row>
    <row r="677" spans="1:4" ht="15.75" hidden="1" outlineLevel="1">
      <c r="A677" s="38" t="s">
        <v>50</v>
      </c>
      <c r="B677" s="39" t="s">
        <v>8</v>
      </c>
      <c r="C677" s="38">
        <v>5.51</v>
      </c>
      <c r="D677" s="116"/>
    </row>
    <row r="678" spans="1:4" ht="15.75" hidden="1" outlineLevel="1">
      <c r="A678" s="38" t="s">
        <v>50</v>
      </c>
      <c r="B678" s="39" t="s">
        <v>396</v>
      </c>
      <c r="C678" s="38">
        <v>5.53</v>
      </c>
      <c r="D678" s="116"/>
    </row>
    <row r="679" spans="1:4" ht="15.75" hidden="1" outlineLevel="1">
      <c r="A679" s="38" t="s">
        <v>50</v>
      </c>
      <c r="B679" s="39" t="s">
        <v>13</v>
      </c>
      <c r="C679" s="38">
        <v>5.69</v>
      </c>
      <c r="D679" s="116"/>
    </row>
    <row r="680" spans="1:4" ht="15.75" hidden="1" outlineLevel="1">
      <c r="A680" s="38" t="s">
        <v>50</v>
      </c>
      <c r="B680" s="39" t="s">
        <v>14</v>
      </c>
      <c r="C680" s="40">
        <v>5.7</v>
      </c>
      <c r="D680" s="115" t="s">
        <v>935</v>
      </c>
    </row>
    <row r="681" spans="1:4" ht="15.75" hidden="1" outlineLevel="1">
      <c r="A681" s="38" t="s">
        <v>50</v>
      </c>
      <c r="B681" s="39" t="s">
        <v>621</v>
      </c>
      <c r="C681" s="38">
        <v>5.74</v>
      </c>
      <c r="D681" s="116"/>
    </row>
    <row r="682" spans="1:4" ht="15.75" hidden="1" outlineLevel="1">
      <c r="A682" s="38" t="s">
        <v>50</v>
      </c>
      <c r="B682" s="39" t="s">
        <v>922</v>
      </c>
      <c r="C682" s="38">
        <v>5.59</v>
      </c>
      <c r="D682" s="116"/>
    </row>
    <row r="683" spans="1:4" ht="15.75" hidden="1" outlineLevel="1">
      <c r="A683" s="38" t="s">
        <v>50</v>
      </c>
      <c r="B683" s="39" t="s">
        <v>11</v>
      </c>
      <c r="C683" s="38">
        <v>5.54</v>
      </c>
      <c r="D683" s="116"/>
    </row>
    <row r="684" spans="1:4" ht="15.75" hidden="1" outlineLevel="1">
      <c r="A684" s="38" t="s">
        <v>50</v>
      </c>
      <c r="B684" s="39" t="s">
        <v>795</v>
      </c>
      <c r="C684" s="38">
        <v>5.57</v>
      </c>
      <c r="D684" s="116"/>
    </row>
    <row r="685" spans="1:4" ht="15.75" hidden="1" outlineLevel="1">
      <c r="A685" s="38" t="s">
        <v>50</v>
      </c>
      <c r="B685" s="39" t="s">
        <v>1153</v>
      </c>
      <c r="C685" s="38">
        <v>5.63</v>
      </c>
      <c r="D685" s="116"/>
    </row>
    <row r="686" spans="1:4" ht="15.75" hidden="1" outlineLevel="1">
      <c r="A686" s="38" t="s">
        <v>50</v>
      </c>
      <c r="B686" s="39" t="s">
        <v>19</v>
      </c>
      <c r="C686" s="38">
        <v>5.47</v>
      </c>
      <c r="D686" s="116"/>
    </row>
    <row r="687" spans="1:4" ht="15.75" hidden="1" outlineLevel="1">
      <c r="A687" s="38" t="s">
        <v>50</v>
      </c>
      <c r="B687" s="39" t="s">
        <v>30</v>
      </c>
      <c r="C687" s="38">
        <v>5.48</v>
      </c>
      <c r="D687" s="116"/>
    </row>
    <row r="688" spans="1:4" ht="15.75" collapsed="1">
      <c r="A688" s="44" t="s">
        <v>50</v>
      </c>
      <c r="B688" s="39"/>
      <c r="C688" s="38"/>
      <c r="D688" s="116"/>
    </row>
    <row r="689" spans="1:4" ht="15.75" hidden="1" outlineLevel="1">
      <c r="A689" s="38" t="s">
        <v>51</v>
      </c>
      <c r="B689" s="39" t="s">
        <v>651</v>
      </c>
      <c r="C689" s="38">
        <v>5.0999999999999996</v>
      </c>
      <c r="D689" s="116"/>
    </row>
    <row r="690" spans="1:4" ht="15.75" hidden="1" outlineLevel="1">
      <c r="A690" s="38" t="s">
        <v>51</v>
      </c>
      <c r="B690" s="39" t="s">
        <v>0</v>
      </c>
      <c r="C690" s="38">
        <v>5.2</v>
      </c>
      <c r="D690" s="116"/>
    </row>
    <row r="691" spans="1:4" ht="15.75" hidden="1" outlineLevel="1">
      <c r="A691" s="38" t="s">
        <v>51</v>
      </c>
      <c r="B691" s="39" t="s">
        <v>299</v>
      </c>
      <c r="C691" s="38">
        <v>5.17</v>
      </c>
      <c r="D691" s="116"/>
    </row>
    <row r="692" spans="1:4" ht="15.75" hidden="1" outlineLevel="1">
      <c r="A692" s="38" t="s">
        <v>51</v>
      </c>
      <c r="B692" s="39" t="s">
        <v>1</v>
      </c>
      <c r="C692" s="38">
        <v>5.26</v>
      </c>
      <c r="D692" s="116"/>
    </row>
    <row r="693" spans="1:4" ht="15.75" hidden="1" outlineLevel="1">
      <c r="A693" s="38" t="s">
        <v>51</v>
      </c>
      <c r="B693" s="39" t="s">
        <v>782</v>
      </c>
      <c r="C693" s="38">
        <v>5.1029999999999998</v>
      </c>
      <c r="D693" s="116"/>
    </row>
    <row r="694" spans="1:4" ht="15.75" hidden="1" outlineLevel="1">
      <c r="A694" s="38" t="s">
        <v>51</v>
      </c>
      <c r="B694" s="39" t="s">
        <v>606</v>
      </c>
      <c r="C694" s="38">
        <v>5.36</v>
      </c>
      <c r="D694" s="116"/>
    </row>
    <row r="695" spans="1:4" ht="15.75" hidden="1" outlineLevel="1">
      <c r="A695" s="38" t="s">
        <v>51</v>
      </c>
      <c r="B695" s="39" t="s">
        <v>12</v>
      </c>
      <c r="C695" s="38">
        <v>5.37</v>
      </c>
      <c r="D695" s="116"/>
    </row>
    <row r="696" spans="1:4" ht="15.75" hidden="1" outlineLevel="1">
      <c r="A696" s="38" t="s">
        <v>51</v>
      </c>
      <c r="B696" s="39" t="s">
        <v>24</v>
      </c>
      <c r="C696" s="38">
        <v>5.1040000000000001</v>
      </c>
      <c r="D696" s="116"/>
    </row>
    <row r="697" spans="1:4" ht="15.75" hidden="1" outlineLevel="1">
      <c r="A697" s="38" t="s">
        <v>51</v>
      </c>
      <c r="B697" s="39" t="s">
        <v>286</v>
      </c>
      <c r="C697" s="38">
        <v>5.1050000000000004</v>
      </c>
      <c r="D697" s="116"/>
    </row>
    <row r="698" spans="1:4" ht="15.75" hidden="1" outlineLevel="1">
      <c r="A698" s="38" t="s">
        <v>51</v>
      </c>
      <c r="B698" s="39" t="s">
        <v>25</v>
      </c>
      <c r="C698" s="38">
        <v>5.1059999999999999</v>
      </c>
      <c r="D698" s="116"/>
    </row>
    <row r="699" spans="1:4" ht="15.75" hidden="1" outlineLevel="1">
      <c r="A699" s="38" t="s">
        <v>51</v>
      </c>
      <c r="B699" s="39" t="s">
        <v>949</v>
      </c>
      <c r="C699" s="38">
        <v>5.1070000000000002</v>
      </c>
      <c r="D699" s="116"/>
    </row>
    <row r="700" spans="1:4" ht="15.75" hidden="1" outlineLevel="1">
      <c r="A700" s="38" t="s">
        <v>51</v>
      </c>
      <c r="B700" s="39" t="s">
        <v>288</v>
      </c>
      <c r="C700" s="38">
        <v>5.1079999999999997</v>
      </c>
      <c r="D700" s="115" t="s">
        <v>935</v>
      </c>
    </row>
    <row r="701" spans="1:4" ht="15.75" hidden="1" outlineLevel="1">
      <c r="A701" s="38" t="s">
        <v>51</v>
      </c>
      <c r="B701" s="39" t="s">
        <v>917</v>
      </c>
      <c r="C701" s="38">
        <v>5.109</v>
      </c>
      <c r="D701" s="116"/>
    </row>
    <row r="702" spans="1:4" ht="15.75" hidden="1" outlineLevel="1">
      <c r="A702" s="38" t="s">
        <v>51</v>
      </c>
      <c r="B702" s="39" t="s">
        <v>731</v>
      </c>
      <c r="C702" s="41">
        <v>5.1100000000000003</v>
      </c>
      <c r="D702" s="115" t="s">
        <v>935</v>
      </c>
    </row>
    <row r="703" spans="1:4" ht="15.75" hidden="1" outlineLevel="1">
      <c r="A703" s="38" t="s">
        <v>51</v>
      </c>
      <c r="B703" s="39" t="s">
        <v>372</v>
      </c>
      <c r="C703" s="38">
        <v>5.1109999999999998</v>
      </c>
      <c r="D703" s="116"/>
    </row>
    <row r="704" spans="1:4" ht="15.75" hidden="1" outlineLevel="1">
      <c r="A704" s="38" t="s">
        <v>51</v>
      </c>
      <c r="B704" s="39" t="s">
        <v>16</v>
      </c>
      <c r="C704" s="38">
        <v>5.1120000000000001</v>
      </c>
      <c r="D704" s="116"/>
    </row>
    <row r="705" spans="1:4" ht="15.75" hidden="1" outlineLevel="1">
      <c r="A705" s="38" t="s">
        <v>51</v>
      </c>
      <c r="B705" s="39" t="s">
        <v>396</v>
      </c>
      <c r="C705" s="38">
        <v>5.53</v>
      </c>
      <c r="D705" s="116"/>
    </row>
    <row r="706" spans="1:4" ht="15.75" hidden="1" outlineLevel="1">
      <c r="A706" s="38" t="s">
        <v>51</v>
      </c>
      <c r="B706" s="39" t="s">
        <v>787</v>
      </c>
      <c r="C706" s="38">
        <v>5.64</v>
      </c>
      <c r="D706" s="116"/>
    </row>
    <row r="707" spans="1:4" ht="15.75" hidden="1" outlineLevel="1">
      <c r="A707" s="38" t="s">
        <v>51</v>
      </c>
      <c r="B707" s="39" t="s">
        <v>1153</v>
      </c>
      <c r="C707" s="38">
        <v>5.63</v>
      </c>
      <c r="D707" s="116"/>
    </row>
    <row r="708" spans="1:4" ht="15.75" hidden="1" outlineLevel="1">
      <c r="A708" s="38" t="s">
        <v>51</v>
      </c>
      <c r="B708" s="39" t="s">
        <v>1154</v>
      </c>
      <c r="C708" s="38">
        <v>5.65</v>
      </c>
      <c r="D708" s="116"/>
    </row>
    <row r="709" spans="1:4" ht="15.75" hidden="1" outlineLevel="1">
      <c r="A709" s="38" t="s">
        <v>51</v>
      </c>
      <c r="B709" s="39" t="s">
        <v>788</v>
      </c>
      <c r="C709" s="38">
        <v>5.66</v>
      </c>
      <c r="D709" s="116"/>
    </row>
    <row r="710" spans="1:4" ht="15.75" hidden="1" outlineLevel="1">
      <c r="A710" s="38" t="s">
        <v>51</v>
      </c>
      <c r="B710" s="39" t="s">
        <v>26</v>
      </c>
      <c r="C710" s="38">
        <v>5.68</v>
      </c>
      <c r="D710" s="116"/>
    </row>
    <row r="711" spans="1:4" ht="15.75" hidden="1" outlineLevel="1">
      <c r="A711" s="38" t="s">
        <v>51</v>
      </c>
      <c r="B711" s="39" t="s">
        <v>19</v>
      </c>
      <c r="C711" s="38">
        <v>5.47</v>
      </c>
      <c r="D711" s="116"/>
    </row>
    <row r="712" spans="1:4" ht="15.75" hidden="1" outlineLevel="1">
      <c r="A712" s="38" t="s">
        <v>51</v>
      </c>
      <c r="B712" s="39" t="s">
        <v>30</v>
      </c>
      <c r="C712" s="38">
        <v>5.48</v>
      </c>
      <c r="D712" s="116"/>
    </row>
    <row r="713" spans="1:4" ht="15.75" collapsed="1">
      <c r="A713" s="44" t="s">
        <v>51</v>
      </c>
      <c r="B713" s="39"/>
      <c r="C713" s="38"/>
      <c r="D713" s="116"/>
    </row>
    <row r="714" spans="1:4" ht="15.75" hidden="1" outlineLevel="1">
      <c r="A714" s="38" t="s">
        <v>937</v>
      </c>
      <c r="B714" s="39" t="s">
        <v>651</v>
      </c>
      <c r="C714" s="38">
        <v>5.0999999999999996</v>
      </c>
      <c r="D714" s="116"/>
    </row>
    <row r="715" spans="1:4" ht="15.75" hidden="1" outlineLevel="1">
      <c r="A715" s="38" t="s">
        <v>937</v>
      </c>
      <c r="B715" s="39" t="s">
        <v>0</v>
      </c>
      <c r="C715" s="38">
        <v>5.2</v>
      </c>
      <c r="D715" s="116"/>
    </row>
    <row r="716" spans="1:4" ht="15.75" hidden="1" outlineLevel="1">
      <c r="A716" s="38" t="s">
        <v>937</v>
      </c>
      <c r="B716" s="39" t="s">
        <v>724</v>
      </c>
      <c r="C716" s="38">
        <v>5.3</v>
      </c>
      <c r="D716" s="116"/>
    </row>
    <row r="717" spans="1:4" ht="15.75" hidden="1" outlineLevel="1">
      <c r="A717" s="38" t="s">
        <v>937</v>
      </c>
      <c r="B717" s="39" t="s">
        <v>2</v>
      </c>
      <c r="C717" s="38">
        <v>5.6</v>
      </c>
      <c r="D717" s="116"/>
    </row>
    <row r="718" spans="1:4" ht="15.75" hidden="1" outlineLevel="1">
      <c r="A718" s="38" t="s">
        <v>937</v>
      </c>
      <c r="B718" s="39" t="s">
        <v>730</v>
      </c>
      <c r="C718" s="40">
        <v>5.0999999999999996</v>
      </c>
      <c r="D718" s="116"/>
    </row>
    <row r="719" spans="1:4" ht="15.75" hidden="1" outlineLevel="1">
      <c r="A719" s="38" t="s">
        <v>937</v>
      </c>
      <c r="B719" s="39" t="s">
        <v>3</v>
      </c>
      <c r="C719" s="38">
        <v>5.14</v>
      </c>
      <c r="D719" s="116"/>
    </row>
    <row r="720" spans="1:4" ht="15.75" hidden="1" outlineLevel="1">
      <c r="A720" s="38" t="s">
        <v>937</v>
      </c>
      <c r="B720" s="39" t="s">
        <v>29</v>
      </c>
      <c r="C720" s="38">
        <v>5.19</v>
      </c>
      <c r="D720" s="116"/>
    </row>
    <row r="721" spans="1:4" ht="15.75" hidden="1" outlineLevel="1">
      <c r="A721" s="38" t="s">
        <v>937</v>
      </c>
      <c r="B721" s="39" t="s">
        <v>28</v>
      </c>
      <c r="C721" s="38">
        <v>5.24</v>
      </c>
      <c r="D721" s="116"/>
    </row>
    <row r="722" spans="1:4" ht="15.75" hidden="1" outlineLevel="1">
      <c r="A722" s="38" t="s">
        <v>937</v>
      </c>
      <c r="B722" s="39" t="s">
        <v>1</v>
      </c>
      <c r="C722" s="38">
        <v>5.26</v>
      </c>
      <c r="D722" s="116"/>
    </row>
    <row r="723" spans="1:4" ht="15.75" hidden="1" outlineLevel="1">
      <c r="A723" s="38" t="s">
        <v>937</v>
      </c>
      <c r="B723" s="39" t="s">
        <v>604</v>
      </c>
      <c r="C723" s="38">
        <v>5.27</v>
      </c>
      <c r="D723" s="116"/>
    </row>
    <row r="724" spans="1:4" ht="15.75" hidden="1" outlineLevel="1">
      <c r="A724" s="38" t="s">
        <v>937</v>
      </c>
      <c r="B724" s="39" t="s">
        <v>605</v>
      </c>
      <c r="C724" s="38">
        <v>5.28</v>
      </c>
      <c r="D724" s="116"/>
    </row>
    <row r="725" spans="1:4" ht="15.75" hidden="1" outlineLevel="1">
      <c r="A725" s="38" t="s">
        <v>937</v>
      </c>
      <c r="B725" s="39" t="s">
        <v>9</v>
      </c>
      <c r="C725" s="38">
        <v>5.31</v>
      </c>
      <c r="D725" s="116"/>
    </row>
    <row r="726" spans="1:4" ht="15.75" hidden="1" outlineLevel="1">
      <c r="A726" s="38" t="s">
        <v>937</v>
      </c>
      <c r="B726" s="39" t="s">
        <v>606</v>
      </c>
      <c r="C726" s="38">
        <v>5.36</v>
      </c>
      <c r="D726" s="116"/>
    </row>
    <row r="727" spans="1:4" ht="15.75" hidden="1" outlineLevel="1">
      <c r="A727" s="38" t="s">
        <v>937</v>
      </c>
      <c r="B727" s="39" t="s">
        <v>396</v>
      </c>
      <c r="C727" s="38">
        <v>5.53</v>
      </c>
      <c r="D727" s="116"/>
    </row>
    <row r="728" spans="1:4" ht="15.75" hidden="1" outlineLevel="1">
      <c r="A728" s="38" t="s">
        <v>937</v>
      </c>
      <c r="B728" s="39" t="s">
        <v>917</v>
      </c>
      <c r="C728" s="38">
        <v>5.109</v>
      </c>
      <c r="D728" s="116"/>
    </row>
    <row r="729" spans="1:4" ht="15.75" hidden="1" outlineLevel="1">
      <c r="A729" s="38" t="s">
        <v>937</v>
      </c>
      <c r="B729" s="39" t="s">
        <v>372</v>
      </c>
      <c r="C729" s="38">
        <v>5.1109999999999998</v>
      </c>
      <c r="D729" s="116"/>
    </row>
    <row r="730" spans="1:4" ht="15.75" hidden="1" outlineLevel="1">
      <c r="A730" s="38" t="s">
        <v>937</v>
      </c>
      <c r="B730" s="39" t="s">
        <v>16</v>
      </c>
      <c r="C730" s="38">
        <v>5.1120000000000001</v>
      </c>
      <c r="D730" s="116"/>
    </row>
    <row r="731" spans="1:4" ht="15.75" hidden="1" outlineLevel="1">
      <c r="A731" s="38" t="s">
        <v>937</v>
      </c>
      <c r="B731" s="39" t="s">
        <v>475</v>
      </c>
      <c r="C731" s="38">
        <v>5.1130000000000004</v>
      </c>
      <c r="D731" s="116"/>
    </row>
    <row r="732" spans="1:4" ht="15.75" hidden="1" outlineLevel="1">
      <c r="A732" s="38" t="s">
        <v>937</v>
      </c>
      <c r="B732" s="39" t="s">
        <v>618</v>
      </c>
      <c r="C732" s="38">
        <v>5.117</v>
      </c>
      <c r="D732" s="116"/>
    </row>
    <row r="733" spans="1:4" ht="15.75" hidden="1" outlineLevel="1">
      <c r="A733" s="38" t="s">
        <v>937</v>
      </c>
      <c r="B733" s="39" t="s">
        <v>1156</v>
      </c>
      <c r="C733" s="38">
        <v>5.67</v>
      </c>
      <c r="D733" s="116"/>
    </row>
    <row r="734" spans="1:4" ht="15.75" hidden="1" outlineLevel="1">
      <c r="A734" s="38" t="s">
        <v>937</v>
      </c>
      <c r="B734" s="39" t="s">
        <v>1153</v>
      </c>
      <c r="C734" s="38">
        <v>5.63</v>
      </c>
      <c r="D734" s="116"/>
    </row>
    <row r="735" spans="1:4" ht="15.75" hidden="1" outlineLevel="1">
      <c r="A735" s="38" t="s">
        <v>937</v>
      </c>
      <c r="B735" s="39" t="s">
        <v>19</v>
      </c>
      <c r="C735" s="38">
        <v>5.47</v>
      </c>
      <c r="D735" s="116"/>
    </row>
    <row r="736" spans="1:4" ht="15.75" hidden="1" outlineLevel="1">
      <c r="A736" s="38" t="s">
        <v>937</v>
      </c>
      <c r="B736" s="39" t="s">
        <v>30</v>
      </c>
      <c r="C736" s="38">
        <v>5.48</v>
      </c>
      <c r="D736" s="116"/>
    </row>
    <row r="737" spans="1:4" ht="15.75" collapsed="1">
      <c r="A737" s="44" t="s">
        <v>959</v>
      </c>
      <c r="B737" s="39"/>
      <c r="C737" s="38"/>
      <c r="D737" s="116"/>
    </row>
    <row r="738" spans="1:4" ht="15.75" hidden="1" outlineLevel="1">
      <c r="A738" s="38" t="s">
        <v>52</v>
      </c>
      <c r="B738" s="39" t="s">
        <v>651</v>
      </c>
      <c r="C738" s="38">
        <v>5.0999999999999996</v>
      </c>
      <c r="D738" s="116"/>
    </row>
    <row r="739" spans="1:4" ht="15.75" hidden="1" outlineLevel="1">
      <c r="A739" s="38" t="s">
        <v>52</v>
      </c>
      <c r="B739" s="39" t="s">
        <v>0</v>
      </c>
      <c r="C739" s="38">
        <v>5.2</v>
      </c>
      <c r="D739" s="116"/>
    </row>
    <row r="740" spans="1:4" ht="15.75" hidden="1" outlineLevel="1">
      <c r="A740" s="38" t="s">
        <v>52</v>
      </c>
      <c r="B740" s="39" t="s">
        <v>785</v>
      </c>
      <c r="C740" s="38">
        <v>5.18</v>
      </c>
      <c r="D740" s="116"/>
    </row>
    <row r="741" spans="1:4" ht="15.75" hidden="1" outlineLevel="1">
      <c r="A741" s="38" t="s">
        <v>52</v>
      </c>
      <c r="B741" s="39" t="s">
        <v>786</v>
      </c>
      <c r="C741" s="38">
        <v>5.23</v>
      </c>
      <c r="D741" s="116"/>
    </row>
    <row r="742" spans="1:4" ht="15.75" hidden="1" outlineLevel="1">
      <c r="A742" s="38" t="s">
        <v>52</v>
      </c>
      <c r="B742" s="39" t="s">
        <v>1</v>
      </c>
      <c r="C742" s="38">
        <v>5.26</v>
      </c>
      <c r="D742" s="116"/>
    </row>
    <row r="743" spans="1:4" ht="15.75" hidden="1" outlineLevel="1">
      <c r="A743" s="38" t="s">
        <v>52</v>
      </c>
      <c r="B743" s="39" t="s">
        <v>604</v>
      </c>
      <c r="C743" s="38">
        <v>5.27</v>
      </c>
      <c r="D743" s="116"/>
    </row>
    <row r="744" spans="1:4" ht="15.75" hidden="1" outlineLevel="1">
      <c r="A744" s="38" t="s">
        <v>52</v>
      </c>
      <c r="B744" s="39" t="s">
        <v>605</v>
      </c>
      <c r="C744" s="38">
        <v>5.28</v>
      </c>
      <c r="D744" s="116"/>
    </row>
    <row r="745" spans="1:4" ht="15.75" hidden="1" outlineLevel="1">
      <c r="A745" s="38" t="s">
        <v>52</v>
      </c>
      <c r="B745" s="39" t="s">
        <v>606</v>
      </c>
      <c r="C745" s="38">
        <v>5.36</v>
      </c>
      <c r="D745" s="116"/>
    </row>
    <row r="746" spans="1:4" ht="15.75" hidden="1" outlineLevel="1">
      <c r="A746" s="38" t="s">
        <v>52</v>
      </c>
      <c r="B746" s="39" t="s">
        <v>794</v>
      </c>
      <c r="C746" s="38">
        <v>5.44</v>
      </c>
      <c r="D746" s="116"/>
    </row>
    <row r="747" spans="1:4" ht="15.75" hidden="1" outlineLevel="1">
      <c r="A747" s="38" t="s">
        <v>52</v>
      </c>
      <c r="B747" s="39" t="s">
        <v>396</v>
      </c>
      <c r="C747" s="38">
        <v>5.53</v>
      </c>
      <c r="D747" s="116"/>
    </row>
    <row r="748" spans="1:4" ht="15.75" hidden="1" outlineLevel="1">
      <c r="A748" s="38" t="s">
        <v>52</v>
      </c>
      <c r="B748" s="39" t="s">
        <v>16</v>
      </c>
      <c r="C748" s="38">
        <v>5.1120000000000001</v>
      </c>
      <c r="D748" s="116"/>
    </row>
    <row r="749" spans="1:4" ht="15.75" hidden="1" outlineLevel="1">
      <c r="A749" s="38" t="s">
        <v>52</v>
      </c>
      <c r="B749" s="39" t="s">
        <v>922</v>
      </c>
      <c r="C749" s="38">
        <v>5.59</v>
      </c>
      <c r="D749" s="116"/>
    </row>
    <row r="750" spans="1:4" ht="15.75" hidden="1" outlineLevel="1">
      <c r="A750" s="38" t="s">
        <v>52</v>
      </c>
      <c r="B750" s="39" t="s">
        <v>11</v>
      </c>
      <c r="C750" s="38">
        <v>5.54</v>
      </c>
      <c r="D750" s="116"/>
    </row>
    <row r="751" spans="1:4" ht="15.75" hidden="1" outlineLevel="1">
      <c r="A751" s="38" t="s">
        <v>52</v>
      </c>
      <c r="B751" s="39" t="s">
        <v>1153</v>
      </c>
      <c r="C751" s="38">
        <v>5.63</v>
      </c>
      <c r="D751" s="116"/>
    </row>
    <row r="752" spans="1:4" ht="15.75" hidden="1" outlineLevel="1">
      <c r="A752" s="38" t="s">
        <v>52</v>
      </c>
      <c r="B752" s="39" t="s">
        <v>1154</v>
      </c>
      <c r="C752" s="38">
        <v>5.65</v>
      </c>
      <c r="D752" s="116"/>
    </row>
    <row r="753" spans="1:4" ht="15.75" hidden="1" outlineLevel="1">
      <c r="A753" s="38" t="s">
        <v>52</v>
      </c>
      <c r="B753" s="39" t="s">
        <v>26</v>
      </c>
      <c r="C753" s="38">
        <v>5.68</v>
      </c>
      <c r="D753" s="116"/>
    </row>
    <row r="754" spans="1:4" ht="15.75" hidden="1" outlineLevel="1">
      <c r="A754" s="38" t="s">
        <v>52</v>
      </c>
      <c r="B754" s="39" t="s">
        <v>19</v>
      </c>
      <c r="C754" s="38">
        <v>5.47</v>
      </c>
      <c r="D754" s="116"/>
    </row>
    <row r="755" spans="1:4" ht="15.75" hidden="1" outlineLevel="1">
      <c r="A755" s="38" t="s">
        <v>52</v>
      </c>
      <c r="B755" s="39" t="s">
        <v>30</v>
      </c>
      <c r="C755" s="38">
        <v>5.48</v>
      </c>
      <c r="D755" s="116"/>
    </row>
    <row r="756" spans="1:4" ht="15.75" collapsed="1">
      <c r="A756" s="44" t="s">
        <v>52</v>
      </c>
      <c r="B756" s="39"/>
      <c r="C756" s="38"/>
      <c r="D756" s="116"/>
    </row>
    <row r="757" spans="1:4" ht="15.75" hidden="1" outlineLevel="1">
      <c r="A757" s="38" t="s">
        <v>755</v>
      </c>
      <c r="B757" s="39" t="s">
        <v>651</v>
      </c>
      <c r="C757" s="38">
        <v>5.0999999999999996</v>
      </c>
      <c r="D757" s="116"/>
    </row>
    <row r="758" spans="1:4" ht="15.75" hidden="1" outlineLevel="1">
      <c r="A758" s="38" t="s">
        <v>755</v>
      </c>
      <c r="B758" s="39" t="s">
        <v>0</v>
      </c>
      <c r="C758" s="38">
        <v>5.2</v>
      </c>
      <c r="D758" s="116"/>
    </row>
    <row r="759" spans="1:4" ht="15.75" hidden="1" outlineLevel="1">
      <c r="A759" s="38" t="s">
        <v>755</v>
      </c>
      <c r="B759" s="39" t="s">
        <v>725</v>
      </c>
      <c r="C759" s="38">
        <v>5.9</v>
      </c>
      <c r="D759" s="115" t="s">
        <v>935</v>
      </c>
    </row>
    <row r="760" spans="1:4" ht="15.75" hidden="1" outlineLevel="1">
      <c r="A760" s="38" t="s">
        <v>755</v>
      </c>
      <c r="B760" s="39" t="s">
        <v>726</v>
      </c>
      <c r="C760" s="38">
        <v>5.13</v>
      </c>
      <c r="D760" s="116"/>
    </row>
    <row r="761" spans="1:4" ht="15.75" hidden="1" outlineLevel="1">
      <c r="A761" s="38" t="s">
        <v>755</v>
      </c>
      <c r="B761" s="39" t="s">
        <v>727</v>
      </c>
      <c r="C761" s="38">
        <v>5.16</v>
      </c>
      <c r="D761" s="115" t="s">
        <v>935</v>
      </c>
    </row>
    <row r="762" spans="1:4" ht="15.75" hidden="1" outlineLevel="1">
      <c r="A762" s="38" t="s">
        <v>755</v>
      </c>
      <c r="B762" s="39" t="s">
        <v>728</v>
      </c>
      <c r="C762" s="38">
        <v>5.22</v>
      </c>
      <c r="D762" s="115"/>
    </row>
    <row r="763" spans="1:4" ht="15.75" hidden="1" outlineLevel="1">
      <c r="A763" s="38" t="s">
        <v>755</v>
      </c>
      <c r="B763" s="39" t="s">
        <v>733</v>
      </c>
      <c r="C763" s="38">
        <v>5.42</v>
      </c>
      <c r="D763" s="116"/>
    </row>
    <row r="764" spans="1:4" ht="15.75" hidden="1" outlineLevel="1">
      <c r="A764" s="38" t="s">
        <v>755</v>
      </c>
      <c r="B764" s="39" t="s">
        <v>604</v>
      </c>
      <c r="C764" s="38">
        <v>5.27</v>
      </c>
      <c r="D764" s="116"/>
    </row>
    <row r="765" spans="1:4" ht="15.75" hidden="1" outlineLevel="1">
      <c r="A765" s="38" t="s">
        <v>755</v>
      </c>
      <c r="B765" s="39" t="s">
        <v>605</v>
      </c>
      <c r="C765" s="38">
        <v>5.28</v>
      </c>
      <c r="D765" s="115" t="s">
        <v>935</v>
      </c>
    </row>
    <row r="766" spans="1:4" ht="15.75" hidden="1" outlineLevel="1">
      <c r="A766" s="38" t="s">
        <v>755</v>
      </c>
      <c r="B766" s="39" t="s">
        <v>606</v>
      </c>
      <c r="C766" s="38">
        <v>5.36</v>
      </c>
      <c r="D766" s="116"/>
    </row>
    <row r="767" spans="1:4" ht="15.75" hidden="1" outlineLevel="1">
      <c r="A767" s="38" t="s">
        <v>755</v>
      </c>
      <c r="B767" s="39" t="s">
        <v>6</v>
      </c>
      <c r="C767" s="38">
        <v>5.49</v>
      </c>
      <c r="D767" s="116"/>
    </row>
    <row r="768" spans="1:4" ht="15.75" hidden="1" outlineLevel="1">
      <c r="A768" s="38" t="s">
        <v>755</v>
      </c>
      <c r="B768" s="39" t="s">
        <v>8</v>
      </c>
      <c r="C768" s="38">
        <v>5.51</v>
      </c>
      <c r="D768" s="116"/>
    </row>
    <row r="769" spans="1:4" ht="15.75" hidden="1" outlineLevel="1">
      <c r="A769" s="38" t="s">
        <v>755</v>
      </c>
      <c r="B769" s="39" t="s">
        <v>777</v>
      </c>
      <c r="C769" s="38">
        <v>5.52</v>
      </c>
      <c r="D769" s="116"/>
    </row>
    <row r="770" spans="1:4" ht="15.75" hidden="1" outlineLevel="1">
      <c r="A770" s="38" t="s">
        <v>755</v>
      </c>
      <c r="B770" s="39" t="s">
        <v>396</v>
      </c>
      <c r="C770" s="38">
        <v>5.53</v>
      </c>
      <c r="D770" s="116"/>
    </row>
    <row r="771" spans="1:4" ht="15.75" hidden="1" outlineLevel="1">
      <c r="A771" s="38" t="s">
        <v>755</v>
      </c>
      <c r="B771" s="39" t="s">
        <v>11</v>
      </c>
      <c r="C771" s="38">
        <v>5.54</v>
      </c>
      <c r="D771" s="116"/>
    </row>
    <row r="772" spans="1:4" ht="15.75" hidden="1" outlineLevel="1">
      <c r="A772" s="38" t="s">
        <v>755</v>
      </c>
      <c r="B772" s="39" t="s">
        <v>14</v>
      </c>
      <c r="C772" s="40">
        <v>5.7</v>
      </c>
      <c r="D772" s="116"/>
    </row>
    <row r="773" spans="1:4" ht="15.75" hidden="1" outlineLevel="1">
      <c r="A773" s="38" t="s">
        <v>755</v>
      </c>
      <c r="B773" s="39" t="s">
        <v>440</v>
      </c>
      <c r="C773" s="38">
        <v>5.71</v>
      </c>
      <c r="D773" s="116"/>
    </row>
    <row r="774" spans="1:4" ht="15.75" hidden="1" outlineLevel="1">
      <c r="A774" s="38" t="s">
        <v>755</v>
      </c>
      <c r="B774" s="39" t="s">
        <v>796</v>
      </c>
      <c r="C774" s="40">
        <v>5.9</v>
      </c>
      <c r="D774" s="116"/>
    </row>
    <row r="775" spans="1:4" ht="15.75" hidden="1" outlineLevel="1">
      <c r="A775" s="38" t="s">
        <v>755</v>
      </c>
      <c r="B775" s="39" t="s">
        <v>1157</v>
      </c>
      <c r="C775" s="38">
        <v>5.91</v>
      </c>
      <c r="D775" s="116"/>
    </row>
    <row r="776" spans="1:4" ht="15.75" hidden="1" outlineLevel="1">
      <c r="A776" s="38" t="s">
        <v>755</v>
      </c>
      <c r="B776" s="39" t="s">
        <v>748</v>
      </c>
      <c r="C776" s="38">
        <v>5.97</v>
      </c>
      <c r="D776" s="116"/>
    </row>
    <row r="777" spans="1:4" ht="15.75" collapsed="1">
      <c r="A777" s="44" t="s">
        <v>755</v>
      </c>
      <c r="B777" s="39"/>
      <c r="C777" s="38"/>
      <c r="D777" s="116"/>
    </row>
    <row r="778" spans="1:4" ht="15.75" hidden="1" outlineLevel="1">
      <c r="A778" s="38" t="s">
        <v>774</v>
      </c>
      <c r="B778" s="39" t="s">
        <v>651</v>
      </c>
      <c r="C778" s="38">
        <v>5.0999999999999996</v>
      </c>
      <c r="D778" s="116"/>
    </row>
    <row r="779" spans="1:4" ht="15.75" hidden="1" outlineLevel="1">
      <c r="A779" s="38" t="s">
        <v>774</v>
      </c>
      <c r="B779" s="39" t="s">
        <v>0</v>
      </c>
      <c r="C779" s="38">
        <v>5.2</v>
      </c>
      <c r="D779" s="116"/>
    </row>
    <row r="780" spans="1:4" ht="15.75" hidden="1" outlineLevel="1">
      <c r="A780" s="38" t="s">
        <v>774</v>
      </c>
      <c r="B780" s="39" t="s">
        <v>1</v>
      </c>
      <c r="C780" s="38">
        <v>5.26</v>
      </c>
      <c r="D780" s="116"/>
    </row>
    <row r="781" spans="1:4" ht="15.75" hidden="1" outlineLevel="1">
      <c r="A781" s="38" t="s">
        <v>774</v>
      </c>
      <c r="B781" s="39" t="s">
        <v>780</v>
      </c>
      <c r="C781" s="38">
        <v>5.5</v>
      </c>
      <c r="D781" s="116"/>
    </row>
    <row r="782" spans="1:4" ht="15.75" hidden="1" outlineLevel="1">
      <c r="A782" s="38" t="s">
        <v>774</v>
      </c>
      <c r="B782" s="39" t="s">
        <v>793</v>
      </c>
      <c r="C782" s="38">
        <v>5.8</v>
      </c>
      <c r="D782" s="115" t="s">
        <v>935</v>
      </c>
    </row>
    <row r="783" spans="1:4" ht="15.75" hidden="1" outlineLevel="1">
      <c r="A783" s="38" t="s">
        <v>774</v>
      </c>
      <c r="B783" s="39" t="s">
        <v>781</v>
      </c>
      <c r="C783" s="38">
        <v>5.12</v>
      </c>
      <c r="D783" s="38"/>
    </row>
    <row r="784" spans="1:4" ht="15.75" hidden="1" outlineLevel="1">
      <c r="A784" s="38" t="s">
        <v>774</v>
      </c>
      <c r="B784" s="39" t="s">
        <v>747</v>
      </c>
      <c r="C784" s="38">
        <v>5.15</v>
      </c>
      <c r="D784" s="38"/>
    </row>
    <row r="785" spans="1:4" ht="15.75" hidden="1" outlineLevel="1">
      <c r="A785" s="38" t="s">
        <v>774</v>
      </c>
      <c r="B785" s="39" t="s">
        <v>746</v>
      </c>
      <c r="C785" s="40">
        <v>5.2</v>
      </c>
      <c r="D785" s="115"/>
    </row>
    <row r="786" spans="1:4" ht="15.75" hidden="1" outlineLevel="1">
      <c r="A786" s="38" t="s">
        <v>774</v>
      </c>
      <c r="B786" s="39" t="s">
        <v>751</v>
      </c>
      <c r="C786" s="38">
        <v>5.25</v>
      </c>
      <c r="D786" s="38"/>
    </row>
    <row r="787" spans="1:4" ht="15.75" hidden="1" outlineLevel="1">
      <c r="A787" s="38" t="s">
        <v>774</v>
      </c>
      <c r="B787" s="39" t="s">
        <v>396</v>
      </c>
      <c r="C787" s="38">
        <v>5.53</v>
      </c>
      <c r="D787" s="38"/>
    </row>
    <row r="788" spans="1:4" ht="15.75" hidden="1" outlineLevel="1">
      <c r="A788" s="38" t="s">
        <v>774</v>
      </c>
      <c r="B788" s="39" t="s">
        <v>745</v>
      </c>
      <c r="C788" s="40">
        <v>5.4</v>
      </c>
      <c r="D788" s="38"/>
    </row>
    <row r="789" spans="1:4" ht="15.75" hidden="1" outlineLevel="1">
      <c r="A789" s="38" t="s">
        <v>774</v>
      </c>
      <c r="B789" s="39" t="s">
        <v>923</v>
      </c>
      <c r="C789" s="38">
        <v>5.92</v>
      </c>
      <c r="D789" s="38"/>
    </row>
    <row r="790" spans="1:4" ht="15.75" hidden="1" outlineLevel="1">
      <c r="A790" s="38" t="s">
        <v>774</v>
      </c>
      <c r="B790" s="39" t="s">
        <v>1158</v>
      </c>
      <c r="C790" s="38">
        <v>5.93</v>
      </c>
      <c r="D790" s="38"/>
    </row>
    <row r="791" spans="1:4" ht="31.5" hidden="1" outlineLevel="1">
      <c r="A791" s="38" t="s">
        <v>774</v>
      </c>
      <c r="B791" s="39" t="s">
        <v>924</v>
      </c>
      <c r="C791" s="38">
        <v>5.94</v>
      </c>
      <c r="D791" s="38"/>
    </row>
    <row r="792" spans="1:4" ht="15.75" hidden="1" outlineLevel="1">
      <c r="A792" s="38" t="s">
        <v>774</v>
      </c>
      <c r="B792" s="39" t="s">
        <v>1159</v>
      </c>
      <c r="C792" s="38">
        <v>5.95</v>
      </c>
      <c r="D792" s="38"/>
    </row>
    <row r="793" spans="1:4" ht="15.75" hidden="1" outlineLevel="1">
      <c r="A793" s="38" t="s">
        <v>774</v>
      </c>
      <c r="B793" s="39" t="s">
        <v>22</v>
      </c>
      <c r="C793" s="38">
        <v>5.98</v>
      </c>
      <c r="D793" s="38"/>
    </row>
    <row r="794" spans="1:4" ht="15.75" hidden="1" outlineLevel="1">
      <c r="A794" s="38" t="s">
        <v>774</v>
      </c>
      <c r="B794" s="39" t="s">
        <v>797</v>
      </c>
      <c r="C794" s="38">
        <v>5.96</v>
      </c>
      <c r="D794" s="38"/>
    </row>
    <row r="795" spans="1:4" ht="15.75" collapsed="1">
      <c r="A795" s="44" t="s">
        <v>774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2" t="s">
        <v>815</v>
      </c>
    </row>
    <row r="3" spans="1:2">
      <c r="A3" t="s">
        <v>811</v>
      </c>
      <c r="B3" t="s">
        <v>801</v>
      </c>
    </row>
    <row r="4" spans="1:2">
      <c r="A4" t="s">
        <v>807</v>
      </c>
      <c r="B4" t="s">
        <v>814</v>
      </c>
    </row>
    <row r="5" spans="1:2">
      <c r="A5" t="s">
        <v>808</v>
      </c>
      <c r="B5" t="s">
        <v>813</v>
      </c>
    </row>
    <row r="6" spans="1:2">
      <c r="A6" t="s">
        <v>809</v>
      </c>
      <c r="B6" t="s">
        <v>802</v>
      </c>
    </row>
    <row r="7" spans="1:2">
      <c r="A7" t="s">
        <v>810</v>
      </c>
      <c r="B7" t="s">
        <v>675</v>
      </c>
    </row>
    <row r="8" spans="1:2">
      <c r="A8" t="s">
        <v>812</v>
      </c>
      <c r="B8" t="s">
        <v>676</v>
      </c>
    </row>
    <row r="10" spans="1:2" ht="15">
      <c r="A10" s="22" t="s">
        <v>816</v>
      </c>
    </row>
    <row r="11" spans="1:2">
      <c r="A11" t="s">
        <v>598</v>
      </c>
    </row>
    <row r="12" spans="1:2">
      <c r="A12" t="s">
        <v>599</v>
      </c>
      <c r="B12" t="s">
        <v>511</v>
      </c>
    </row>
    <row r="14" spans="1:2">
      <c r="A14" s="32"/>
    </row>
    <row r="15" spans="1:2" ht="15">
      <c r="A15" s="22" t="s">
        <v>513</v>
      </c>
    </row>
    <row r="16" spans="1:2">
      <c r="A16" s="30" t="s">
        <v>514</v>
      </c>
    </row>
    <row r="17" spans="1:2">
      <c r="A17" s="30" t="s">
        <v>515</v>
      </c>
    </row>
    <row r="18" spans="1:2">
      <c r="A18" s="30" t="s">
        <v>516</v>
      </c>
    </row>
    <row r="19" spans="1:2">
      <c r="A19" s="30" t="s">
        <v>517</v>
      </c>
    </row>
    <row r="21" spans="1:2" ht="15">
      <c r="A21" s="31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2" t="s">
        <v>571</v>
      </c>
      <c r="B34" s="22" t="s">
        <v>429</v>
      </c>
    </row>
    <row r="35" spans="1:2">
      <c r="A35" s="136" t="s">
        <v>574</v>
      </c>
      <c r="B35" s="137">
        <v>520023185</v>
      </c>
    </row>
    <row r="36" spans="1:2">
      <c r="A36" s="138" t="s">
        <v>575</v>
      </c>
      <c r="B36" s="137">
        <v>520024647</v>
      </c>
    </row>
    <row r="37" spans="1:2">
      <c r="A37" s="138" t="s">
        <v>578</v>
      </c>
      <c r="B37" s="137">
        <v>520004896</v>
      </c>
    </row>
    <row r="38" spans="1:2">
      <c r="A38" s="138" t="s">
        <v>573</v>
      </c>
      <c r="B38" s="137">
        <v>520042540</v>
      </c>
    </row>
    <row r="39" spans="1:2">
      <c r="A39" s="138" t="s">
        <v>1186</v>
      </c>
      <c r="B39" s="137">
        <v>520021916</v>
      </c>
    </row>
    <row r="40" spans="1:2">
      <c r="A40" s="138" t="s">
        <v>586</v>
      </c>
      <c r="B40" s="139">
        <v>510015951</v>
      </c>
    </row>
    <row r="41" spans="1:2">
      <c r="A41" s="138" t="s">
        <v>1187</v>
      </c>
      <c r="B41" s="139">
        <v>510888985</v>
      </c>
    </row>
    <row r="42" spans="1:2">
      <c r="A42" s="138" t="s">
        <v>577</v>
      </c>
      <c r="B42" s="139">
        <v>520042177</v>
      </c>
    </row>
    <row r="43" spans="1:2">
      <c r="A43" s="138" t="s">
        <v>585</v>
      </c>
      <c r="B43" s="138">
        <v>520031030</v>
      </c>
    </row>
    <row r="44" spans="1:2">
      <c r="A44" s="138" t="s">
        <v>576</v>
      </c>
      <c r="B44" s="138">
        <v>520030677</v>
      </c>
    </row>
    <row r="45" spans="1:2">
      <c r="A45" s="138" t="s">
        <v>589</v>
      </c>
      <c r="B45" s="138">
        <v>513879189</v>
      </c>
    </row>
    <row r="46" spans="1:2">
      <c r="A46" s="138" t="s">
        <v>1188</v>
      </c>
      <c r="B46" s="139">
        <v>520027848</v>
      </c>
    </row>
    <row r="47" spans="1:2">
      <c r="A47" s="138" t="s">
        <v>1189</v>
      </c>
      <c r="B47" s="139">
        <v>570003152</v>
      </c>
    </row>
    <row r="48" spans="1:2">
      <c r="A48" s="138" t="s">
        <v>579</v>
      </c>
      <c r="B48" s="138">
        <v>513910703</v>
      </c>
    </row>
    <row r="49" spans="1:2">
      <c r="A49" s="138" t="s">
        <v>1190</v>
      </c>
      <c r="B49" s="139">
        <v>512304882</v>
      </c>
    </row>
    <row r="50" spans="1:2">
      <c r="A50" s="138" t="s">
        <v>1191</v>
      </c>
      <c r="B50" s="139">
        <v>512310509</v>
      </c>
    </row>
    <row r="51" spans="1:2">
      <c r="A51" s="138" t="s">
        <v>1192</v>
      </c>
      <c r="B51" s="139">
        <v>512904608</v>
      </c>
    </row>
    <row r="52" spans="1:2">
      <c r="A52" s="138" t="s">
        <v>1193</v>
      </c>
      <c r="B52" s="139">
        <v>500500376</v>
      </c>
    </row>
    <row r="53" spans="1:2">
      <c r="A53" s="138" t="s">
        <v>581</v>
      </c>
      <c r="B53" s="139">
        <v>520044025</v>
      </c>
    </row>
    <row r="54" spans="1:2">
      <c r="A54" s="138" t="s">
        <v>1194</v>
      </c>
      <c r="B54" s="139">
        <v>513136895</v>
      </c>
    </row>
    <row r="55" spans="1:2">
      <c r="A55" s="138" t="s">
        <v>580</v>
      </c>
      <c r="B55" s="139">
        <v>520004078</v>
      </c>
    </row>
    <row r="56" spans="1:2">
      <c r="A56" s="138" t="s">
        <v>584</v>
      </c>
      <c r="B56" s="139">
        <v>515761625</v>
      </c>
    </row>
    <row r="57" spans="1:2">
      <c r="A57" s="138" t="s">
        <v>583</v>
      </c>
      <c r="B57" s="139">
        <v>515764868</v>
      </c>
    </row>
    <row r="58" spans="1:2">
      <c r="A58" s="138" t="s">
        <v>582</v>
      </c>
      <c r="B58" s="140">
        <v>515859379</v>
      </c>
    </row>
    <row r="59" spans="1:2">
      <c r="A59" s="138" t="s">
        <v>1195</v>
      </c>
      <c r="B59" s="139">
        <v>516687407</v>
      </c>
    </row>
    <row r="60" spans="1:2">
      <c r="A60" s="138" t="s">
        <v>1196</v>
      </c>
      <c r="B60" s="139">
        <v>516885639</v>
      </c>
    </row>
    <row r="61" spans="1:2">
      <c r="A61" s="138" t="s">
        <v>556</v>
      </c>
      <c r="B61" s="138">
        <v>570009449</v>
      </c>
    </row>
    <row r="62" spans="1:2">
      <c r="A62" s="138" t="s">
        <v>554</v>
      </c>
      <c r="B62" s="139">
        <v>520027954</v>
      </c>
    </row>
    <row r="63" spans="1:2">
      <c r="A63" s="138" t="s">
        <v>536</v>
      </c>
      <c r="B63" s="139">
        <v>512362914</v>
      </c>
    </row>
    <row r="64" spans="1:2">
      <c r="A64" s="138" t="s">
        <v>563</v>
      </c>
      <c r="B64" s="139">
        <v>511880460</v>
      </c>
    </row>
    <row r="65" spans="1:2">
      <c r="A65" s="138" t="s">
        <v>550</v>
      </c>
      <c r="B65" s="138">
        <v>511033060</v>
      </c>
    </row>
    <row r="66" spans="1:2">
      <c r="A66" s="138" t="s">
        <v>524</v>
      </c>
      <c r="B66" s="138">
        <v>570005850</v>
      </c>
    </row>
    <row r="67" spans="1:2">
      <c r="A67" s="138" t="s">
        <v>555</v>
      </c>
      <c r="B67" s="139">
        <v>510694821</v>
      </c>
    </row>
    <row r="68" spans="1:2">
      <c r="A68" s="138" t="s">
        <v>1197</v>
      </c>
      <c r="B68" s="138">
        <v>520027624</v>
      </c>
    </row>
    <row r="69" spans="1:2">
      <c r="A69" s="138" t="s">
        <v>539</v>
      </c>
      <c r="B69" s="139">
        <v>520027715</v>
      </c>
    </row>
    <row r="70" spans="1:2">
      <c r="A70" s="138" t="s">
        <v>553</v>
      </c>
      <c r="B70" s="139">
        <v>520028861</v>
      </c>
    </row>
    <row r="71" spans="1:2">
      <c r="A71" s="138" t="s">
        <v>591</v>
      </c>
      <c r="B71" s="139">
        <v>520029620</v>
      </c>
    </row>
    <row r="72" spans="1:2">
      <c r="A72" s="138" t="s">
        <v>520</v>
      </c>
      <c r="B72" s="139">
        <v>520030743</v>
      </c>
    </row>
    <row r="73" spans="1:2">
      <c r="A73" s="138" t="s">
        <v>1198</v>
      </c>
      <c r="B73" s="139">
        <v>520030198</v>
      </c>
    </row>
    <row r="74" spans="1:2">
      <c r="A74" s="138" t="s">
        <v>1199</v>
      </c>
      <c r="B74" s="139">
        <v>520042631</v>
      </c>
    </row>
    <row r="75" spans="1:2">
      <c r="A75" s="138" t="s">
        <v>542</v>
      </c>
      <c r="B75" s="139">
        <v>520030941</v>
      </c>
    </row>
    <row r="76" spans="1:2">
      <c r="A76" s="138" t="s">
        <v>562</v>
      </c>
      <c r="B76" s="139">
        <v>520032269</v>
      </c>
    </row>
    <row r="77" spans="1:2">
      <c r="A77" s="138" t="s">
        <v>528</v>
      </c>
      <c r="B77" s="138">
        <v>510806870</v>
      </c>
    </row>
    <row r="78" spans="1:2">
      <c r="A78" s="138" t="s">
        <v>557</v>
      </c>
      <c r="B78" s="138">
        <v>520031824</v>
      </c>
    </row>
    <row r="79" spans="1:2">
      <c r="A79" s="138" t="s">
        <v>523</v>
      </c>
      <c r="B79" s="139">
        <v>510927536</v>
      </c>
    </row>
    <row r="80" spans="1:2">
      <c r="A80" s="138" t="s">
        <v>1200</v>
      </c>
      <c r="B80" s="139">
        <v>510930654</v>
      </c>
    </row>
    <row r="81" spans="1:2">
      <c r="A81" s="138" t="s">
        <v>558</v>
      </c>
      <c r="B81" s="138">
        <v>510930670</v>
      </c>
    </row>
    <row r="82" spans="1:2">
      <c r="A82" s="138" t="s">
        <v>519</v>
      </c>
      <c r="B82" s="139">
        <v>520034968</v>
      </c>
    </row>
    <row r="83" spans="1:2">
      <c r="A83" s="138" t="s">
        <v>531</v>
      </c>
      <c r="B83" s="139">
        <v>520024985</v>
      </c>
    </row>
    <row r="84" spans="1:2">
      <c r="A84" s="138" t="s">
        <v>551</v>
      </c>
      <c r="B84" s="138">
        <v>520030990</v>
      </c>
    </row>
    <row r="85" spans="1:2">
      <c r="A85" s="138" t="s">
        <v>535</v>
      </c>
      <c r="B85" s="139">
        <v>520042615</v>
      </c>
    </row>
    <row r="86" spans="1:2">
      <c r="A86" s="138" t="s">
        <v>548</v>
      </c>
      <c r="B86" s="139">
        <v>520042607</v>
      </c>
    </row>
    <row r="87" spans="1:2">
      <c r="A87" s="138" t="s">
        <v>526</v>
      </c>
      <c r="B87" s="139">
        <v>520019688</v>
      </c>
    </row>
    <row r="88" spans="1:2">
      <c r="A88" s="138" t="s">
        <v>564</v>
      </c>
      <c r="B88" s="139">
        <v>570014928</v>
      </c>
    </row>
    <row r="89" spans="1:2">
      <c r="A89" s="138" t="s">
        <v>543</v>
      </c>
      <c r="B89" s="139">
        <v>510960586</v>
      </c>
    </row>
    <row r="90" spans="1:2">
      <c r="A90" s="138" t="s">
        <v>560</v>
      </c>
      <c r="B90" s="138">
        <v>520042581</v>
      </c>
    </row>
    <row r="91" spans="1:2">
      <c r="A91" s="138" t="s">
        <v>544</v>
      </c>
      <c r="B91" s="139">
        <v>570005959</v>
      </c>
    </row>
    <row r="92" spans="1:2">
      <c r="A92" s="138" t="s">
        <v>540</v>
      </c>
      <c r="B92" s="139">
        <v>570002618</v>
      </c>
    </row>
    <row r="93" spans="1:2">
      <c r="A93" s="138" t="s">
        <v>1201</v>
      </c>
      <c r="B93" s="139">
        <v>511789190</v>
      </c>
    </row>
    <row r="94" spans="1:2">
      <c r="A94" s="138" t="s">
        <v>522</v>
      </c>
      <c r="B94" s="139">
        <v>520022518</v>
      </c>
    </row>
    <row r="95" spans="1:2">
      <c r="A95" s="138" t="s">
        <v>521</v>
      </c>
      <c r="B95" s="139">
        <v>520031659</v>
      </c>
    </row>
    <row r="96" spans="1:2">
      <c r="A96" s="138" t="s">
        <v>525</v>
      </c>
      <c r="B96" s="139">
        <v>570007476</v>
      </c>
    </row>
    <row r="97" spans="1:2">
      <c r="A97" s="138" t="s">
        <v>527</v>
      </c>
      <c r="B97" s="139">
        <v>570009852</v>
      </c>
    </row>
    <row r="98" spans="1:2">
      <c r="A98" s="138" t="s">
        <v>518</v>
      </c>
      <c r="B98" s="139">
        <v>510800402</v>
      </c>
    </row>
    <row r="99" spans="1:2">
      <c r="A99" s="138" t="s">
        <v>552</v>
      </c>
      <c r="B99" s="139">
        <v>510773922</v>
      </c>
    </row>
    <row r="100" spans="1:2">
      <c r="A100" s="138" t="s">
        <v>559</v>
      </c>
      <c r="B100" s="139">
        <v>512008335</v>
      </c>
    </row>
    <row r="101" spans="1:2">
      <c r="A101" s="138" t="s">
        <v>570</v>
      </c>
      <c r="B101" s="139">
        <v>510142789</v>
      </c>
    </row>
    <row r="102" spans="1:2">
      <c r="A102" s="138" t="s">
        <v>547</v>
      </c>
      <c r="B102" s="139">
        <v>520028556</v>
      </c>
    </row>
    <row r="103" spans="1:2">
      <c r="A103" s="138" t="s">
        <v>537</v>
      </c>
      <c r="B103" s="139">
        <v>520030693</v>
      </c>
    </row>
    <row r="104" spans="1:2">
      <c r="A104" s="138" t="s">
        <v>561</v>
      </c>
      <c r="B104" s="139">
        <v>520042573</v>
      </c>
    </row>
    <row r="105" spans="1:2">
      <c r="A105" s="138" t="s">
        <v>565</v>
      </c>
      <c r="B105" s="139">
        <v>511423048</v>
      </c>
    </row>
    <row r="106" spans="1:2">
      <c r="A106" s="138" t="s">
        <v>530</v>
      </c>
      <c r="B106" s="139">
        <v>570011767</v>
      </c>
    </row>
    <row r="107" spans="1:2">
      <c r="A107" s="138" t="s">
        <v>1202</v>
      </c>
      <c r="B107" s="139">
        <v>512065202</v>
      </c>
    </row>
    <row r="108" spans="1:2">
      <c r="A108" s="138" t="s">
        <v>1203</v>
      </c>
      <c r="B108" s="139">
        <v>512711409</v>
      </c>
    </row>
    <row r="109" spans="1:2">
      <c r="A109" s="138" t="s">
        <v>1204</v>
      </c>
      <c r="B109" s="139">
        <v>520005497</v>
      </c>
    </row>
    <row r="110" spans="1:2">
      <c r="A110" s="138" t="s">
        <v>1205</v>
      </c>
      <c r="B110" s="139">
        <v>570024109</v>
      </c>
    </row>
    <row r="111" spans="1:2">
      <c r="A111" s="138" t="s">
        <v>568</v>
      </c>
      <c r="B111" s="139">
        <v>520020447</v>
      </c>
    </row>
    <row r="112" spans="1:2">
      <c r="A112" s="138" t="s">
        <v>566</v>
      </c>
      <c r="B112" s="139">
        <v>520023094</v>
      </c>
    </row>
    <row r="113" spans="1:2">
      <c r="A113" s="138" t="s">
        <v>569</v>
      </c>
      <c r="B113" s="139">
        <v>520028812</v>
      </c>
    </row>
    <row r="114" spans="1:2">
      <c r="A114" s="138" t="s">
        <v>567</v>
      </c>
      <c r="B114" s="139">
        <v>520022963</v>
      </c>
    </row>
    <row r="115" spans="1:2">
      <c r="A115" s="138" t="s">
        <v>545</v>
      </c>
      <c r="B115" s="139">
        <v>520027251</v>
      </c>
    </row>
    <row r="116" spans="1:2">
      <c r="A116" s="138" t="s">
        <v>546</v>
      </c>
      <c r="B116" s="139">
        <v>520028390</v>
      </c>
    </row>
    <row r="117" spans="1:2">
      <c r="A117" s="138" t="s">
        <v>1206</v>
      </c>
      <c r="B117" s="139">
        <v>513026484</v>
      </c>
    </row>
    <row r="118" spans="1:2">
      <c r="A118" s="138" t="s">
        <v>533</v>
      </c>
      <c r="B118" s="139">
        <v>513173393</v>
      </c>
    </row>
    <row r="119" spans="1:2">
      <c r="A119" s="138" t="s">
        <v>541</v>
      </c>
      <c r="B119" s="139">
        <v>513452003</v>
      </c>
    </row>
    <row r="120" spans="1:2">
      <c r="A120" s="138" t="s">
        <v>532</v>
      </c>
      <c r="B120" s="139">
        <v>513611509</v>
      </c>
    </row>
    <row r="121" spans="1:2">
      <c r="A121" s="138" t="s">
        <v>803</v>
      </c>
      <c r="B121" s="139">
        <v>513621110</v>
      </c>
    </row>
    <row r="122" spans="1:2">
      <c r="A122" s="138" t="s">
        <v>529</v>
      </c>
      <c r="B122" s="138">
        <v>512244146</v>
      </c>
    </row>
    <row r="123" spans="1:2">
      <c r="A123" s="138" t="s">
        <v>534</v>
      </c>
      <c r="B123" s="139">
        <v>512237744</v>
      </c>
    </row>
    <row r="124" spans="1:2">
      <c r="A124" s="138" t="s">
        <v>549</v>
      </c>
      <c r="B124" s="139">
        <v>512267592</v>
      </c>
    </row>
    <row r="125" spans="1:2">
      <c r="A125" s="138" t="s">
        <v>1207</v>
      </c>
      <c r="B125" s="139">
        <v>514767490</v>
      </c>
    </row>
    <row r="126" spans="1:2">
      <c r="A126" s="138" t="s">
        <v>804</v>
      </c>
      <c r="B126" s="139">
        <v>514956465</v>
      </c>
    </row>
    <row r="127" spans="1:2">
      <c r="A127" s="138" t="s">
        <v>538</v>
      </c>
      <c r="B127" s="139">
        <v>512245812</v>
      </c>
    </row>
    <row r="128" spans="1:2">
      <c r="A128" s="138" t="s">
        <v>1208</v>
      </c>
      <c r="B128" s="139">
        <v>515447035</v>
      </c>
    </row>
    <row r="129" spans="1:2">
      <c r="A129" s="138" t="s">
        <v>1209</v>
      </c>
      <c r="B129" s="139">
        <v>516463635</v>
      </c>
    </row>
    <row r="130" spans="1:2">
      <c r="A130" s="138" t="s">
        <v>1210</v>
      </c>
      <c r="B130" s="139">
        <v>515977338</v>
      </c>
    </row>
  </sheetData>
  <sortState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2025-07-24T07:30:26Z</dcterms:modified>
</cp:coreProperties>
</file>