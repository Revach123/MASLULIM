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62025\TA_TI_Aguda_iria\לפרסום\"/>
    </mc:Choice>
  </mc:AlternateContent>
  <xr:revisionPtr revIDLastSave="0" documentId="8_{63976719-24A4-4DEA-814E-51700A8DE730}" xr6:coauthVersionLast="47" xr6:coauthVersionMax="47" xr10:uidLastSave="{00000000-0000-0000-0000-000000000000}"/>
  <bookViews>
    <workbookView xWindow="190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חוב'!$A$1:$AJ$125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5" i="38"/>
  <c r="D13" i="38"/>
  <c r="B29" i="2" l="1"/>
  <c r="E31" i="2" s="1"/>
  <c r="E28" i="2" l="1"/>
  <c r="E24" i="2"/>
  <c r="E20" i="2"/>
  <c r="E16" i="2"/>
  <c r="E12" i="2"/>
  <c r="E9" i="2"/>
  <c r="E5" i="2"/>
  <c r="E13" i="2"/>
  <c r="E10" i="2"/>
  <c r="E3" i="2"/>
  <c r="E25" i="2"/>
  <c r="E21" i="2"/>
  <c r="E17" i="2"/>
  <c r="E6" i="2"/>
  <c r="E27" i="2"/>
  <c r="E23" i="2"/>
  <c r="E19" i="2"/>
  <c r="E15" i="2"/>
  <c r="E11" i="2"/>
  <c r="E8" i="2"/>
  <c r="E4" i="2"/>
  <c r="E26" i="2"/>
  <c r="E22" i="2"/>
  <c r="E18" i="2"/>
  <c r="E14" i="2"/>
  <c r="E7" i="2"/>
  <c r="E29" i="2" l="1"/>
</calcChain>
</file>

<file path=xl/sharedStrings.xml><?xml version="1.0" encoding="utf-8"?>
<sst xmlns="http://schemas.openxmlformats.org/spreadsheetml/2006/main" count="10233" uniqueCount="2558">
  <si>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</si>
  <si>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</si>
  <si>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</si>
  <si>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</si>
  <si>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</si>
  <si>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</si>
  <si>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</si>
  <si>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</si>
  <si>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</si>
  <si>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</si>
  <si>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</si>
  <si>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</si>
  <si>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</si>
  <si>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</si>
  <si>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</si>
  <si>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</si>
  <si>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</si>
  <si>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</si>
  <si>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</si>
  <si>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</si>
  <si>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</si>
  <si>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</si>
  <si>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</si>
  <si>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</si>
  <si>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</si>
  <si>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</si>
  <si>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</si>
  <si>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</si>
  <si>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</si>
  <si>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</si>
  <si>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</si>
  <si>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</si>
  <si>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</si>
  <si>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</si>
  <si>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</si>
  <si>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</si>
  <si>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</si>
  <si>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</si>
  <si>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</si>
  <si>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</si>
  <si>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</si>
  <si>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</si>
  <si>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</si>
  <si>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</si>
  <si>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</si>
  <si>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</si>
  <si>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</si>
  <si>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</si>
  <si>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</si>
  <si>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</si>
  <si>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</si>
  <si>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</si>
  <si>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</si>
  <si>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</si>
  <si>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</si>
  <si>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</si>
  <si>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</si>
  <si>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</si>
  <si>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</si>
  <si>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</si>
  <si>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</si>
  <si>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</si>
  <si>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</si>
  <si>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</si>
  <si>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</si>
  <si>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</si>
  <si>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</si>
  <si>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</si>
  <si>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</si>
  <si>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</si>
  <si>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</si>
  <si>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</si>
  <si>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</si>
  <si>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</si>
  <si>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</si>
  <si>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</si>
  <si>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</si>
  <si>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</si>
  <si>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</si>
  <si>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</si>
  <si>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</si>
  <si>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</si>
  <si>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</si>
  <si>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</si>
  <si>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</si>
  <si>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</si>
  <si>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</si>
  <si>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</si>
  <si>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</si>
  <si>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</si>
  <si>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</si>
  <si>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</si>
  <si>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</si>
  <si>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</si>
  <si>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</si>
  <si>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</si>
  <si>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</si>
  <si>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</si>
  <si>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</si>
  <si>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</si>
  <si>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</si>
  <si>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</si>
  <si>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</si>
  <si>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</si>
  <si>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</si>
  <si>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</si>
  <si>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</si>
  <si>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</si>
  <si>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</si>
  <si>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</si>
  <si>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</si>
  <si>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</si>
  <si>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</si>
  <si>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</si>
  <si>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</si>
  <si>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</si>
  <si>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</si>
  <si>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</si>
  <si>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</si>
  <si>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</si>
  <si>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</si>
  <si>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</si>
  <si>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</si>
  <si>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</si>
  <si>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</si>
  <si>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</si>
  <si>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</si>
  <si>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</si>
  <si>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</si>
  <si>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</si>
  <si>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</si>
  <si>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</si>
  <si>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</si>
  <si>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</si>
  <si>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</si>
  <si>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</si>
  <si>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</si>
  <si>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</si>
  <si>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</si>
  <si>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</si>
  <si>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</si>
  <si>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</si>
  <si>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</si>
  <si>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</si>
  <si>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</si>
  <si>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</si>
  <si>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</si>
  <si>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</si>
  <si>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</si>
  <si>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</si>
  <si>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</si>
  <si>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</si>
  <si>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</si>
  <si>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</si>
  <si>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</si>
  <si>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</si>
  <si>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</si>
  <si>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</si>
  <si>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</si>
  <si>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</si>
  <si>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</si>
  <si>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</si>
  <si>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</si>
  <si>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</si>
  <si>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</si>
  <si>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</si>
  <si>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</si>
  <si>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</si>
  <si>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</si>
  <si>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</si>
  <si>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</si>
  <si>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</si>
  <si>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</si>
  <si>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</si>
  <si>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</si>
  <si>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</si>
  <si>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</si>
  <si>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</si>
  <si>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</si>
  <si>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</si>
  <si>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</si>
  <si>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</si>
  <si>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</si>
  <si>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</si>
  <si>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</si>
  <si>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</si>
  <si>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</si>
  <si>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</si>
  <si>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</si>
  <si>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</si>
  <si>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</si>
  <si>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</si>
  <si>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</si>
  <si>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</si>
  <si>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</si>
  <si>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</si>
  <si>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</si>
  <si>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</si>
  <si>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</si>
  <si>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</si>
  <si>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</si>
  <si>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</si>
  <si>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</si>
  <si>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</si>
  <si>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</si>
  <si>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</si>
  <si>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</si>
  <si>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</si>
  <si>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</si>
  <si>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</si>
  <si>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</si>
  <si>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</si>
  <si>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</si>
  <si>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</si>
  <si>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</si>
  <si>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</si>
  <si>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</si>
  <si>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</si>
  <si>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</si>
  <si>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</si>
  <si>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</si>
  <si>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</si>
  <si>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</si>
  <si>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</si>
  <si>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</si>
  <si>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</si>
  <si>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</si>
  <si>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</si>
  <si>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</si>
  <si>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</si>
  <si>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</si>
  <si>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</si>
  <si>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</si>
  <si>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</si>
  <si>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</si>
  <si>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</si>
  <si>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</si>
  <si>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</si>
  <si>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</si>
  <si>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</si>
  <si>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</si>
  <si>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</si>
  <si>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</si>
  <si>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</si>
  <si>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</si>
  <si>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</si>
  <si>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</si>
  <si>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</si>
  <si>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</si>
  <si>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</si>
  <si>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</si>
  <si>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</si>
  <si>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</si>
  <si>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</si>
  <si>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</si>
  <si>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</si>
  <si>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</si>
  <si>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</si>
  <si>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</si>
  <si>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</si>
  <si>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</si>
  <si>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</si>
  <si>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</si>
  <si>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</si>
  <si>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</si>
  <si>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</si>
  <si>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</si>
  <si>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</si>
  <si>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</si>
  <si>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</si>
  <si>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</si>
  <si>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</si>
  <si>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</si>
  <si>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</si>
  <si>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</si>
  <si>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</si>
  <si>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</si>
  <si>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</si>
  <si>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</si>
  <si>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</si>
  <si>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</si>
  <si>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</si>
  <si>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</si>
  <si>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</si>
  <si>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</si>
  <si>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</si>
  <si>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</si>
  <si>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</si>
  <si>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</si>
  <si>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</si>
  <si>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</si>
  <si>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</si>
  <si>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</si>
  <si>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</si>
  <si>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</si>
  <si>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</si>
  <si>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</si>
  <si>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</si>
  <si>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</si>
  <si>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</si>
  <si>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</si>
  <si>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</si>
  <si>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</si>
  <si>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</si>
  <si>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</si>
  <si>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</si>
  <si>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</si>
  <si>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</si>
  <si>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</si>
  <si>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</si>
  <si>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</si>
  <si>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</si>
  <si>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</si>
  <si>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</si>
  <si>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</si>
  <si>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</si>
  <si>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</si>
  <si>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</si>
  <si>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</si>
  <si>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</si>
  <si>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</si>
  <si>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</si>
  <si>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</si>
  <si>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</si>
  <si>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</si>
  <si>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</si>
  <si>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</si>
  <si>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</si>
  <si>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</si>
  <si>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</si>
  <si>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</si>
  <si>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</si>
  <si>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</si>
  <si>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</si>
  <si>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</si>
  <si>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</si>
  <si>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</si>
  <si>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</si>
  <si>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</si>
  <si>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</si>
  <si>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</si>
  <si>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</si>
  <si>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</si>
  <si>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</si>
  <si>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</si>
  <si>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</si>
  <si>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</si>
  <si>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</si>
  <si>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</si>
  <si>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</si>
  <si>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</si>
  <si>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</si>
  <si>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</si>
  <si>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</si>
  <si>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</si>
  <si>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</si>
  <si>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</si>
  <si>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</si>
  <si>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</si>
  <si>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</si>
  <si>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</si>
  <si>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</si>
  <si>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</si>
  <si>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</si>
  <si>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</si>
  <si>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</si>
  <si>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</si>
  <si>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</si>
  <si>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</si>
  <si>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</si>
  <si>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</si>
  <si>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</si>
  <si>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</si>
  <si>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</si>
  <si>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</si>
  <si>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</si>
  <si>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</si>
  <si>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</si>
  <si>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</si>
  <si>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</si>
  <si>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</si>
  <si>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</si>
  <si>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</si>
  <si>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</si>
  <si>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</si>
  <si>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</si>
  <si>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</si>
  <si>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</si>
  <si>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</si>
  <si>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</si>
  <si>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</si>
  <si>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</si>
  <si>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</si>
  <si>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</si>
  <si>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</si>
  <si>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</si>
  <si>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</si>
  <si>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</si>
  <si>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</si>
  <si>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</si>
  <si>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</si>
  <si>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</si>
  <si>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</si>
  <si>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</si>
  <si>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</si>
  <si>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</si>
  <si>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</si>
  <si>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</si>
  <si>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</si>
  <si>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</si>
  <si>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</si>
  <si>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</si>
  <si>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</si>
  <si>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</si>
  <si>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</si>
  <si>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</si>
  <si>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</si>
  <si>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</si>
  <si>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</si>
  <si>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</si>
  <si>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</si>
  <si>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</si>
  <si>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</si>
  <si>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</si>
  <si>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</si>
  <si>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</si>
  <si>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</si>
  <si>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</si>
  <si>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</si>
  <si>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</si>
  <si>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</si>
  <si>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</si>
  <si>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</si>
  <si>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</si>
  <si>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</si>
  <si>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</si>
  <si>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</si>
  <si>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</si>
  <si>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</si>
  <si>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</si>
  <si>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</si>
  <si>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</si>
  <si>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</si>
  <si>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</si>
  <si>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</si>
  <si>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</si>
  <si>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</si>
  <si>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</si>
  <si>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</si>
  <si>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</si>
  <si>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</si>
  <si>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</si>
  <si>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</si>
  <si>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</si>
  <si>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</si>
  <si>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</si>
  <si>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</si>
  <si>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</si>
  <si>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</si>
  <si>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</si>
  <si>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</si>
  <si>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</si>
  <si>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</si>
  <si>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</si>
  <si>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</si>
  <si>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</si>
  <si>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</si>
  <si>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</si>
  <si>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</si>
  <si>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</si>
  <si>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</si>
  <si>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</si>
  <si>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</si>
  <si>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</si>
  <si>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</si>
  <si>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</si>
  <si>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</si>
  <si>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</si>
  <si>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</si>
  <si>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</si>
  <si>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</si>
  <si>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</si>
  <si>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</si>
  <si>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</si>
  <si>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</si>
  <si>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</si>
  <si>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</si>
  <si>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</si>
  <si>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</si>
  <si>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</si>
  <si>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</si>
  <si>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</si>
  <si>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</si>
  <si>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</si>
  <si>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</si>
  <si>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</si>
  <si>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</si>
  <si>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</si>
  <si>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</si>
  <si>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</si>
  <si>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</si>
  <si>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</si>
  <si>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</si>
  <si>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</si>
  <si>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</si>
  <si>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</si>
  <si>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</si>
  <si>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</si>
  <si>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</si>
  <si>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</si>
  <si>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</si>
  <si>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</si>
  <si>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</si>
  <si>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</si>
  <si>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</si>
  <si>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</si>
  <si>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</si>
  <si>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</si>
  <si>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</si>
  <si>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</si>
  <si>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</si>
  <si>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</si>
  <si>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</si>
  <si>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</si>
  <si>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</si>
  <si>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</si>
  <si>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</si>
  <si>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</si>
  <si>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</si>
  <si>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</si>
  <si>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</si>
  <si>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</si>
  <si>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</si>
  <si>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</si>
  <si>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</si>
  <si>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</si>
  <si>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</si>
  <si>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</si>
  <si>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</si>
  <si>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</si>
  <si>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</si>
  <si>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</si>
  <si>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</si>
  <si>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</si>
  <si>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</si>
  <si>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</si>
  <si>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</si>
  <si>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</si>
  <si>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</si>
  <si>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</si>
  <si>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</si>
  <si>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</si>
  <si>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</si>
  <si>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</si>
  <si>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</si>
  <si>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</si>
  <si>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</si>
  <si>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</si>
  <si>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</si>
  <si>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</si>
  <si>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</si>
  <si>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</si>
  <si>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</si>
  <si>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</si>
  <si>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</si>
  <si>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</si>
  <si>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</si>
  <si>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</si>
  <si>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</si>
  <si>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</si>
  <si>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</si>
  <si>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</si>
  <si>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</si>
  <si>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</si>
  <si>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</si>
  <si>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</si>
  <si>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</si>
  <si>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</si>
  <si>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</si>
  <si>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</si>
  <si>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</si>
  <si>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</si>
  <si>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</si>
  <si>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</si>
  <si>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</si>
  <si>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</si>
  <si>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</si>
  <si>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</si>
  <si>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</si>
  <si>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</si>
  <si>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</si>
  <si>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</si>
  <si>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</si>
  <si>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</si>
  <si>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</si>
  <si>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</si>
  <si>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</si>
  <si>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</si>
  <si>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</si>
  <si>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</si>
  <si>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</si>
  <si>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</si>
  <si>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</si>
  <si>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</si>
  <si>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</si>
  <si>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</si>
  <si>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</si>
  <si>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</si>
  <si>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</si>
  <si>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</si>
  <si>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</si>
  <si>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</si>
  <si>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</si>
  <si>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</si>
  <si>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</si>
  <si>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</si>
  <si>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</si>
  <si>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</si>
  <si>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</si>
  <si>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</si>
  <si>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</si>
  <si>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</si>
  <si>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</si>
  <si>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</si>
  <si>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</si>
  <si>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</si>
  <si>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</si>
  <si>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</si>
  <si>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</si>
  <si>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</si>
  <si>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</si>
  <si>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</si>
  <si>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</si>
  <si>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</si>
  <si>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</si>
  <si>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</si>
  <si>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</si>
  <si>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</si>
  <si>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</si>
  <si>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</si>
  <si>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</si>
  <si>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</si>
  <si>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</si>
  <si>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</si>
  <si>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</si>
  <si>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</si>
  <si>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</si>
  <si>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</si>
  <si>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</si>
  <si>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</si>
  <si>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</si>
  <si>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</si>
  <si>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</si>
  <si>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</si>
  <si>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</si>
  <si>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</si>
  <si>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</si>
  <si>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</si>
  <si>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</si>
  <si>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</si>
  <si>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</si>
  <si>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</si>
  <si>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</si>
  <si>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</si>
  <si>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</si>
  <si>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</si>
  <si>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</si>
  <si>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</si>
  <si>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</si>
  <si>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</si>
  <si>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</si>
  <si>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</si>
  <si>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</si>
  <si>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</si>
  <si>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</si>
  <si>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</si>
  <si>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</si>
  <si>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</si>
  <si>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</si>
  <si>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</si>
  <si>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</si>
  <si>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</si>
  <si>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</si>
  <si>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</si>
  <si>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</si>
  <si>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</si>
  <si>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</si>
  <si>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</si>
  <si>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</si>
  <si>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</si>
  <si>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</si>
  <si>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</si>
  <si>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</si>
  <si>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</si>
  <si>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</si>
  <si>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</si>
  <si>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</si>
  <si>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</si>
  <si>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</si>
  <si>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</si>
  <si>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</si>
  <si>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</si>
  <si>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</si>
  <si>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</si>
  <si>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</si>
  <si>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</si>
  <si>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</si>
  <si>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</si>
  <si>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</si>
  <si>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</si>
  <si>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</si>
  <si>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</si>
  <si>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</si>
  <si>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</si>
  <si>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</si>
  <si>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</si>
  <si>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</si>
  <si>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</si>
  <si>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</si>
  <si>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</si>
  <si>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</si>
  <si>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</si>
  <si>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</si>
  <si>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</si>
  <si>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</si>
  <si>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</si>
  <si>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</si>
  <si>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</si>
  <si>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</si>
  <si>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</si>
  <si>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</si>
  <si>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</si>
  <si>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</si>
  <si>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</si>
  <si>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</si>
  <si>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</si>
  <si>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</si>
  <si>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</si>
  <si>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</si>
  <si>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</si>
  <si>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</si>
  <si>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</si>
  <si>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</si>
  <si>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</si>
  <si>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</si>
  <si>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</si>
  <si>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</si>
  <si>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</si>
  <si>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</si>
  <si>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</si>
  <si>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</si>
  <si>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</si>
  <si>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</si>
  <si>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</si>
  <si>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</si>
  <si>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</si>
  <si>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</si>
  <si>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</si>
  <si>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</si>
  <si>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</si>
  <si>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</si>
  <si>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</si>
  <si>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</si>
  <si>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</si>
  <si>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</si>
  <si>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</si>
  <si>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</si>
  <si>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</si>
  <si>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</si>
  <si>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</si>
  <si>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</si>
  <si>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</si>
  <si>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</si>
  <si>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</si>
  <si>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</si>
  <si>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</si>
  <si>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</si>
  <si>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</si>
  <si>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</si>
  <si>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</si>
  <si>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</si>
  <si>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</si>
  <si>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</si>
  <si>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</si>
  <si>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</si>
  <si>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</si>
  <si>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</si>
  <si>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</si>
  <si>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</si>
  <si>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</si>
  <si>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</si>
  <si>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</si>
  <si>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</si>
  <si>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</si>
  <si>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</si>
  <si>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</si>
  <si>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</si>
  <si>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</si>
  <si>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</si>
  <si>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</si>
  <si>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</si>
  <si>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</si>
  <si>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</si>
  <si>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</si>
  <si>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</si>
  <si>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</si>
  <si>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</si>
  <si>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</si>
  <si>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</si>
  <si>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</si>
  <si>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</si>
  <si>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</si>
  <si>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</si>
  <si>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</si>
  <si>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</si>
  <si>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</si>
  <si>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</si>
  <si>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</si>
  <si>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</si>
  <si>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</si>
  <si>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</si>
  <si>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</si>
  <si>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</si>
  <si>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</si>
  <si>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</si>
  <si>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</si>
  <si>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</si>
  <si>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</si>
  <si>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</si>
  <si>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</si>
  <si>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</si>
  <si>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</si>
  <si>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</si>
  <si>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</si>
  <si>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</si>
  <si>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</si>
  <si>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</si>
  <si>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</si>
  <si>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</si>
  <si>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</si>
  <si>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</si>
  <si>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</si>
  <si>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</si>
  <si>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</si>
  <si>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</si>
  <si>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</si>
  <si>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</si>
  <si>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</si>
  <si>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</si>
  <si>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</si>
  <si>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</si>
  <si>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</si>
  <si>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</si>
  <si>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</si>
  <si>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</si>
  <si>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</si>
  <si>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</si>
  <si>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</si>
  <si>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</si>
  <si>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</si>
  <si>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</si>
  <si>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</si>
  <si>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</si>
  <si>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</si>
  <si>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</si>
  <si>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</si>
  <si>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</si>
  <si>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</si>
  <si>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</si>
  <si>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</si>
  <si>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</si>
  <si>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</si>
  <si>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</si>
  <si>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</si>
  <si>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</si>
  <si>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</si>
  <si>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</si>
  <si>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</si>
  <si>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</si>
  <si>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</si>
  <si>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</si>
  <si>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</si>
  <si>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</si>
  <si>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</si>
  <si>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</si>
  <si>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</si>
  <si>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</si>
  <si>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</si>
  <si>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</si>
  <si>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</si>
  <si>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</si>
  <si>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</si>
  <si>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</si>
  <si>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</si>
  <si>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</si>
  <si>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</si>
  <si>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</si>
  <si>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</si>
  <si>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</si>
  <si>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</si>
  <si>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</si>
  <si>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</si>
  <si>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</si>
  <si>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</si>
  <si>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</si>
  <si>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</si>
  <si>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</si>
  <si>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</si>
  <si>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</si>
  <si>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</si>
  <si>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</si>
  <si>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</si>
  <si>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</si>
  <si>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</si>
  <si>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</si>
  <si>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</si>
  <si>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</si>
  <si>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</si>
  <si>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</si>
  <si>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</si>
  <si>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</si>
  <si>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</si>
  <si>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</si>
  <si>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</si>
  <si>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</si>
  <si>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</si>
  <si>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</si>
  <si>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</si>
  <si>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</si>
  <si>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</si>
  <si>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</si>
  <si>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</si>
  <si>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</si>
  <si>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</si>
  <si>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</si>
  <si>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</si>
  <si>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</si>
  <si>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</si>
  <si>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</si>
  <si>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</si>
  <si>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</si>
  <si>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</si>
  <si>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</si>
  <si>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</si>
  <si>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</si>
  <si>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</si>
  <si>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</si>
  <si>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</si>
  <si>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</si>
  <si>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</si>
  <si>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</si>
  <si>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</si>
  <si>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</si>
  <si>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</si>
  <si>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</si>
  <si>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</si>
  <si>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</si>
  <si>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</si>
  <si>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</si>
  <si>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</si>
  <si>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</si>
  <si>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</si>
  <si>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</si>
  <si>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</si>
  <si>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</si>
  <si>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</si>
  <si>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</si>
  <si>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</si>
  <si>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</si>
  <si>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</si>
  <si>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</si>
  <si>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</si>
  <si>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</si>
  <si>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</si>
  <si>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</si>
  <si>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</si>
  <si>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</si>
  <si>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</si>
  <si>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</si>
  <si>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</si>
  <si>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</si>
  <si>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</si>
  <si>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</si>
  <si>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</si>
  <si>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</si>
  <si>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</si>
  <si>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</si>
  <si>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</si>
  <si>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</si>
  <si>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</si>
  <si>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</si>
  <si>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</si>
  <si>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</si>
  <si>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</si>
  <si>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</si>
  <si>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</si>
  <si>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</si>
  <si>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</si>
  <si>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</si>
  <si>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</si>
  <si>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</si>
  <si>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</si>
  <si>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</si>
  <si>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</si>
  <si>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</si>
  <si>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</si>
  <si>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</si>
  <si>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</si>
  <si>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</si>
  <si>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</si>
  <si>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</si>
  <si>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</si>
  <si>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</si>
  <si>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</si>
  <si>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</si>
  <si>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</si>
  <si>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</si>
  <si>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</si>
  <si>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</si>
  <si>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</si>
  <si>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</si>
  <si>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</si>
  <si>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</si>
  <si>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</si>
  <si>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</si>
  <si>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</si>
  <si>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</si>
  <si>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</si>
  <si>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</si>
  <si>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</si>
  <si>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</si>
  <si>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</si>
  <si>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</si>
  <si>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</si>
  <si>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</si>
  <si>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</si>
  <si>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</si>
  <si>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</si>
  <si>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</si>
  <si>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</si>
  <si>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</si>
  <si>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</si>
  <si>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</si>
  <si>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</si>
  <si>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</si>
  <si>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</si>
  <si>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</si>
  <si>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</si>
  <si>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</si>
  <si>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</si>
  <si>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</si>
  <si>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</si>
  <si>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</si>
  <si>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</si>
  <si>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</si>
  <si>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</si>
  <si>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</si>
  <si>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</si>
  <si>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</si>
  <si>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</si>
  <si>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</si>
  <si>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</si>
  <si>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</si>
  <si>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</si>
  <si>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</si>
  <si>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</si>
  <si>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</si>
  <si>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</si>
  <si>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</si>
  <si>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</si>
  <si>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</si>
  <si>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</si>
  <si>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</si>
  <si>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</si>
  <si>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</si>
  <si>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</si>
  <si>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</si>
  <si>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</si>
  <si>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</si>
  <si>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</si>
  <si>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</si>
  <si>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</si>
  <si>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</si>
  <si>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</si>
  <si>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</si>
  <si>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</si>
  <si>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</si>
  <si>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</si>
  <si>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</si>
  <si>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</si>
  <si>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</si>
  <si>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</si>
  <si>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</si>
  <si>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</si>
  <si>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</si>
  <si>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</si>
  <si>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</si>
  <si>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</si>
  <si>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</si>
  <si>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</si>
  <si>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</si>
  <si>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</si>
  <si>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</si>
  <si>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</si>
  <si>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</si>
  <si>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</si>
  <si>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</si>
  <si>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</si>
  <si>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</si>
  <si>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</si>
  <si>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</si>
  <si>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</si>
  <si>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</si>
  <si>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</si>
  <si>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</si>
  <si>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</si>
  <si>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</si>
  <si>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</si>
  <si>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</si>
  <si>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</si>
  <si>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</si>
  <si>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</si>
  <si>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</si>
  <si>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</si>
  <si>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</si>
  <si>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</si>
  <si>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</si>
  <si>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</si>
  <si>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</si>
  <si>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</si>
  <si>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</si>
  <si>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</si>
  <si>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</si>
  <si>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</si>
  <si>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</si>
  <si>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</si>
  <si>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</si>
  <si>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</si>
  <si>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</si>
  <si>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</si>
  <si>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</si>
  <si>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HKD</t>
  </si>
  <si>
    <t>EUR</t>
  </si>
  <si>
    <t>JPY</t>
  </si>
  <si>
    <t>DKK</t>
  </si>
  <si>
    <t>sek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</si>
  <si>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</si>
  <si>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</si>
  <si>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</si>
  <si>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</si>
  <si>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</si>
  <si>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</si>
  <si>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</si>
  <si>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</si>
  <si>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</si>
  <si>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</si>
  <si>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</si>
  <si>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</si>
  <si>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</si>
  <si>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</si>
  <si>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</si>
  <si>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</si>
  <si>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</si>
  <si>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</si>
  <si>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</si>
  <si>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</si>
  <si>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</si>
  <si>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</si>
  <si>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</si>
  <si>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</si>
  <si>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</si>
  <si>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</si>
  <si>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</si>
  <si>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</si>
  <si>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</si>
  <si>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</si>
  <si>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</si>
  <si>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</si>
  <si>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</si>
  <si>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</si>
  <si>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</si>
  <si>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</si>
  <si>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</si>
  <si>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</si>
  <si>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</si>
  <si>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</si>
  <si>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</si>
  <si>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</si>
  <si>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</si>
  <si>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</si>
  <si>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</si>
  <si>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</si>
  <si>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</si>
  <si>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</si>
  <si>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</si>
  <si>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</si>
  <si>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</si>
  <si>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</si>
  <si>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</si>
  <si>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</si>
  <si>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</si>
  <si>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</si>
  <si>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</si>
  <si>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</si>
  <si>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</si>
  <si>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</si>
  <si>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</si>
  <si>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</si>
  <si>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</si>
  <si>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</si>
  <si>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</si>
  <si>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</si>
  <si>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</si>
  <si>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</si>
  <si>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</si>
  <si>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</si>
  <si>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</si>
  <si>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</si>
  <si>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</si>
  <si>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</si>
  <si>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</si>
  <si>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</si>
  <si>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</si>
  <si>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</si>
  <si>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</si>
  <si>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</si>
  <si>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</si>
  <si>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</si>
  <si>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</si>
  <si>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</si>
  <si>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</si>
  <si>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</si>
  <si>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</si>
  <si>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</si>
  <si>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</si>
  <si>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</si>
  <si>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</si>
  <si>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</si>
  <si>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</si>
  <si>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</si>
  <si>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</si>
  <si>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</si>
  <si>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</si>
  <si>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</si>
  <si>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</si>
  <si>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</si>
  <si>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</si>
  <si>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</si>
  <si>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</si>
  <si>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</si>
  <si>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</si>
  <si>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</si>
  <si>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</si>
  <si>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</si>
  <si>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</si>
  <si>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</si>
  <si>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</si>
  <si>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</si>
  <si>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</si>
  <si>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</si>
  <si>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</si>
  <si>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שווי הוגן (בש"ח)</t>
  </si>
  <si>
    <t>אי בי אי ניהול קרנות נאמנות בע"מ</t>
  </si>
  <si>
    <t>510791031</t>
  </si>
  <si>
    <t>ח.פ</t>
  </si>
  <si>
    <t>איביאי טכנולגיית עילית</t>
  </si>
  <si>
    <t>IL0011425381</t>
  </si>
  <si>
    <t>מניות בישראל</t>
  </si>
  <si>
    <t>Kotak</t>
  </si>
  <si>
    <t>213800SJ3IH3EXMXSJ47</t>
  </si>
  <si>
    <t>KOTAK FDS-INDIA MIDCAP (S) USD A</t>
  </si>
  <si>
    <t>LU2126068639</t>
  </si>
  <si>
    <t>מגדל קרנות נאמנות בע"מ</t>
  </si>
  <si>
    <t>511303661</t>
  </si>
  <si>
    <t>MTF סל (S&amp;P 500 (4D</t>
  </si>
  <si>
    <t>IL0011503336</t>
  </si>
  <si>
    <t>מניות בחו"ל חשופות מט"ח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</si>
  <si>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</si>
  <si>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</si>
  <si>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</si>
  <si>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</si>
  <si>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</si>
  <si>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(4A) MSCI AC World מנ</t>
  </si>
  <si>
    <t>IL0011502007</t>
  </si>
  <si>
    <t>הראל סל תא 90</t>
  </si>
  <si>
    <t>IL0011489312</t>
  </si>
  <si>
    <t>הראל קרן סל 4AׂSTOXX EUROPE 600ממ</t>
  </si>
  <si>
    <t>IL0011498891</t>
  </si>
  <si>
    <t>הראל.DAX 30 ממ</t>
  </si>
  <si>
    <t>IL0011491607</t>
  </si>
  <si>
    <t>קסם קרנות נאמנות בע"מ</t>
  </si>
  <si>
    <t>510938608</t>
  </si>
  <si>
    <t>ממEURO STOXX 50 (4A) ETF.קסם</t>
  </si>
  <si>
    <t>IL0011459521</t>
  </si>
  <si>
    <t>קסם תל בונד שקלי</t>
  </si>
  <si>
    <t>IL0011464141</t>
  </si>
  <si>
    <t xml:space="preserve">אג"ח בישראל - חברות והמרה  </t>
  </si>
  <si>
    <t>Amundi Asset Management</t>
  </si>
  <si>
    <t>213800VZW861M5FHMD50</t>
  </si>
  <si>
    <t>AMUNDI MSCI EMERGING MARKETS I</t>
  </si>
  <si>
    <t>LU2573967036</t>
  </si>
  <si>
    <t>שווקים מתעוררים</t>
  </si>
  <si>
    <t xml:space="preserve">BlackRock  Asset Managment </t>
  </si>
  <si>
    <t>254900UWHMJRRODS3Z64</t>
  </si>
  <si>
    <t>Cef Ishares Russell iwm</t>
  </si>
  <si>
    <t>US4642876555</t>
  </si>
  <si>
    <t>IGV US_ISHARES EXPANDED TECH</t>
  </si>
  <si>
    <t>US4642875151</t>
  </si>
  <si>
    <t>Ishares iboxx h/y corp</t>
  </si>
  <si>
    <t>US4642885135</t>
  </si>
  <si>
    <t>KRANESHARES</t>
  </si>
  <si>
    <t>549300VLDRC0RUX0E553</t>
  </si>
  <si>
    <t>KRANESHARES Csi China Internet Etf</t>
  </si>
  <si>
    <t>US5007673065</t>
  </si>
  <si>
    <t>MCHI_Ishares Msci Chaina Etf</t>
  </si>
  <si>
    <t>US46429B6719</t>
  </si>
  <si>
    <t>Invesco investment management limited</t>
  </si>
  <si>
    <t>ECPGFXU8A2SHKVVGJI15</t>
  </si>
  <si>
    <t>Powershares  QQQ NAS1</t>
  </si>
  <si>
    <t>US46090E1038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</si>
  <si>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</si>
  <si>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</si>
  <si>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</si>
  <si>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</si>
  <si>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</si>
  <si>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</si>
  <si>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NYSE </t>
  </si>
  <si>
    <t>SPDR S&amp;P 500 ETF TRUST</t>
  </si>
  <si>
    <t>US78462F1030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</si>
  <si>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</si>
  <si>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</si>
  <si>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</si>
  <si>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</si>
  <si>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</si>
  <si>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</si>
  <si>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</si>
  <si>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</si>
  <si>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</si>
  <si>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</si>
  <si>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</si>
  <si>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</si>
  <si>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</si>
  <si>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</si>
  <si>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</si>
  <si>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</si>
  <si>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</si>
  <si>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</si>
  <si>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</si>
  <si>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</si>
  <si>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</si>
  <si>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</si>
  <si>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</si>
  <si>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</si>
  <si>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</si>
  <si>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</si>
  <si>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</si>
  <si>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</si>
  <si>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</si>
  <si>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</si>
  <si>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</si>
  <si>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</si>
  <si>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</si>
  <si>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</si>
  <si>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</si>
  <si>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</si>
  <si>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</si>
  <si>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</si>
  <si>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</si>
  <si>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</si>
  <si>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</si>
  <si>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</si>
  <si>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</si>
  <si>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</si>
  <si>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</si>
  <si>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</si>
  <si>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</si>
  <si>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</si>
  <si>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</si>
  <si>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</si>
  <si>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</si>
  <si>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</si>
  <si>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</si>
  <si>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</si>
  <si>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</si>
  <si>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</si>
  <si>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</si>
  <si>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</si>
  <si>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</si>
  <si>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</si>
  <si>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</si>
  <si>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</si>
  <si>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</si>
  <si>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</si>
  <si>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</si>
  <si>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</si>
  <si>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</si>
  <si>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</si>
  <si>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</si>
  <si>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</si>
  <si>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</si>
  <si>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</si>
  <si>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</si>
  <si>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</si>
  <si>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</si>
  <si>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</si>
  <si>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</si>
  <si>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</si>
  <si>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</si>
  <si>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</si>
  <si>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</si>
  <si>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</si>
  <si>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</si>
  <si>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</si>
  <si>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</si>
  <si>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</si>
  <si>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</si>
  <si>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</si>
  <si>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</si>
  <si>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</si>
  <si>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</si>
  <si>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</si>
  <si>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</si>
  <si>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</si>
  <si>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</si>
  <si>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</si>
  <si>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</si>
  <si>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</si>
  <si>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</si>
  <si>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</si>
  <si>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</si>
  <si>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</si>
  <si>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</si>
  <si>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</si>
  <si>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</si>
  <si>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</si>
  <si>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</si>
  <si>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</si>
  <si>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</si>
  <si>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</si>
  <si>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</si>
  <si>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</si>
  <si>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</si>
  <si>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</si>
  <si>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</si>
  <si>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</si>
  <si>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</si>
  <si>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</si>
  <si>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</si>
  <si>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</si>
  <si>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</si>
  <si>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</si>
  <si>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</si>
  <si>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</si>
  <si>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</si>
  <si>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</si>
  <si>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</si>
  <si>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</si>
  <si>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</si>
  <si>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</si>
  <si>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</si>
  <si>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</si>
  <si>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</si>
  <si>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</si>
  <si>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</si>
  <si>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</si>
  <si>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</si>
  <si>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</si>
  <si>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</si>
  <si>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</si>
  <si>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</si>
  <si>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</si>
  <si>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</si>
  <si>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</si>
  <si>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</si>
  <si>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</si>
  <si>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</si>
  <si>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</si>
  <si>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</si>
  <si>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</si>
  <si>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</si>
  <si>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</si>
  <si>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</si>
  <si>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</si>
  <si>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</si>
  <si>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</si>
  <si>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</si>
  <si>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</si>
  <si>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</si>
  <si>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</si>
  <si>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</si>
  <si>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</si>
  <si>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</si>
  <si>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</si>
  <si>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</si>
  <si>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</si>
  <si>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</si>
  <si>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</si>
  <si>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</si>
  <si>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</si>
  <si>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</si>
  <si>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</si>
  <si>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</si>
  <si>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</si>
  <si>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</si>
  <si>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</si>
  <si>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</si>
  <si>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</si>
  <si>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</si>
  <si>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</si>
  <si>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</si>
  <si>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</si>
  <si>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</si>
  <si>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</si>
  <si>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</si>
  <si>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</si>
  <si>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</si>
  <si>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</si>
  <si>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</si>
  <si>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</si>
  <si>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</si>
  <si>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</si>
  <si>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</si>
  <si>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</si>
  <si>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</si>
  <si>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</si>
  <si>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</si>
  <si>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</si>
  <si>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</si>
  <si>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</si>
  <si>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</si>
  <si>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</si>
  <si>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</si>
  <si>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</si>
  <si>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</si>
  <si>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</si>
  <si>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</si>
  <si>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</si>
  <si>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</si>
  <si>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</si>
  <si>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</si>
  <si>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</si>
  <si>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</si>
  <si>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</si>
  <si>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</si>
  <si>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</si>
  <si>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</si>
  <si>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</si>
  <si>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</si>
  <si>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</si>
  <si>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</si>
  <si>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</si>
  <si>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</si>
  <si>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</si>
  <si>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</si>
  <si>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</si>
  <si>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</si>
  <si>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</si>
  <si>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</si>
  <si>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</si>
  <si>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</si>
  <si>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</si>
  <si>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</si>
  <si>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</si>
  <si>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</si>
  <si>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</si>
  <si>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</si>
  <si>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</si>
  <si>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</si>
  <si>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</si>
  <si>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</si>
  <si>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</si>
  <si>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</si>
  <si>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</si>
  <si>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</si>
  <si>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פרשקובסקי השקעות ובניין בע"מ</t>
  </si>
  <si>
    <t>513817817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</si>
  <si>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</si>
  <si>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</si>
  <si>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</si>
  <si>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</si>
  <si>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</si>
  <si>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</si>
  <si>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</si>
  <si>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</si>
  <si>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</si>
  <si>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</si>
  <si>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</si>
  <si>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</si>
  <si>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</si>
  <si>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</si>
  <si>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</si>
  <si>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</si>
  <si>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</si>
  <si>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</si>
  <si>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</si>
  <si>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</si>
  <si>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</si>
  <si>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</si>
  <si>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</si>
  <si>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</si>
  <si>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</si>
  <si>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</si>
  <si>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</si>
  <si>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</si>
  <si>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</si>
  <si>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</si>
  <si>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</si>
  <si>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</si>
  <si>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</si>
  <si>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</si>
  <si>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</si>
  <si>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</si>
  <si>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 INC</t>
  </si>
  <si>
    <t>US0079031078</t>
  </si>
  <si>
    <t>AIRBUS GROUP</t>
  </si>
  <si>
    <t>MINO79WLOO247M1IL051</t>
  </si>
  <si>
    <t>AIRBNB INC</t>
  </si>
  <si>
    <t>US0090661010</t>
  </si>
  <si>
    <t>DiversifiedTelecom Service</t>
  </si>
  <si>
    <t>ALIBABA COM LTD</t>
  </si>
  <si>
    <t>5493001NTNQJDH60PM02</t>
  </si>
  <si>
    <t>BABA US Alibaba Group Holding Ltd</t>
  </si>
  <si>
    <t>US01609W1027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</si>
  <si>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</si>
  <si>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</si>
  <si>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</si>
  <si>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</si>
  <si>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</si>
  <si>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</si>
  <si>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</si>
  <si>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</si>
  <si>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</si>
  <si>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</si>
  <si>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</si>
  <si>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</si>
  <si>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</si>
  <si>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INTEL CORP</t>
  </si>
  <si>
    <t>KNX4USFCNGPY45LOCE31</t>
  </si>
  <si>
    <t>Intel corp</t>
  </si>
  <si>
    <t>US4581401001</t>
  </si>
  <si>
    <t>Semiconductors &amp; Semiconductor</t>
  </si>
  <si>
    <t>JP MORGAN ASSET MANAGEMENT</t>
  </si>
  <si>
    <t>8I5DZWZKVSZI1NUHU748</t>
  </si>
  <si>
    <t>JPMORGAN CHASE &amp; CO</t>
  </si>
  <si>
    <t>US46625H1005</t>
  </si>
  <si>
    <t>MARVELL TECH</t>
  </si>
  <si>
    <t>8DF36O58U3QIHUCGZB18</t>
  </si>
  <si>
    <t>Marvell tech group</t>
  </si>
  <si>
    <t>BMG5876H1051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</si>
  <si>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</si>
  <si>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</si>
  <si>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</si>
  <si>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</si>
  <si>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</si>
  <si>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</si>
  <si>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</si>
  <si>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</si>
  <si>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</si>
  <si>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</si>
  <si>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</si>
  <si>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</si>
  <si>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</si>
  <si>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</si>
  <si>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</si>
  <si>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</si>
  <si>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</si>
  <si>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</si>
  <si>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Saleforce.com Inc</t>
  </si>
  <si>
    <t>RCGZFPDMRW58VJ54VR07</t>
  </si>
  <si>
    <t>Saleforce</t>
  </si>
  <si>
    <t>US794466L3024</t>
  </si>
  <si>
    <t>Selina Hospitality Plc</t>
  </si>
  <si>
    <t>549300BAEIWO0QPTC061</t>
  </si>
  <si>
    <t>SELINA HOSPITALITY</t>
  </si>
  <si>
    <t>GB00BQ1MW662</t>
  </si>
  <si>
    <t>TAIWAN Semiconductor</t>
  </si>
  <si>
    <t>549300KB6NK5SBD14S87</t>
  </si>
  <si>
    <t>TAIWAN SEMICON ADR</t>
  </si>
  <si>
    <t>US8740391003</t>
  </si>
  <si>
    <t>לוויתן בונד בע"מ</t>
  </si>
  <si>
    <t>516223864</t>
  </si>
  <si>
    <t>LVIATH 6.125% 6/25</t>
  </si>
  <si>
    <t>IL0011677742</t>
  </si>
  <si>
    <t>BB-</t>
  </si>
  <si>
    <t>אאורה השקעות בע"מ</t>
  </si>
  <si>
    <t>520038274</t>
  </si>
  <si>
    <t>אאורה אגח טז</t>
  </si>
  <si>
    <t>IL0037305799</t>
  </si>
  <si>
    <t>A2</t>
  </si>
  <si>
    <t>אאורה אגח יז %3.85 31/01/2029</t>
  </si>
  <si>
    <t>IL0011935801</t>
  </si>
  <si>
    <t>31/01/2029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</si>
  <si>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</si>
  <si>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</si>
  <si>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</si>
  <si>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</si>
  <si>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</si>
  <si>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</si>
  <si>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</si>
  <si>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</si>
  <si>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A+</t>
  </si>
  <si>
    <t>01/10/2028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</si>
  <si>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</si>
  <si>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</si>
  <si>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</si>
  <si>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</si>
  <si>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</si>
  <si>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</si>
  <si>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</si>
  <si>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</si>
  <si>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אלבר שירותי מימונית בע"מ</t>
  </si>
  <si>
    <t>512025891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</si>
  <si>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</si>
  <si>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</si>
  <si>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</si>
  <si>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</si>
  <si>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</si>
  <si>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</si>
  <si>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</si>
  <si>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</si>
  <si>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</si>
  <si>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</si>
  <si>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</si>
  <si>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</si>
  <si>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</si>
  <si>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</si>
  <si>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</si>
  <si>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</si>
  <si>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</si>
  <si>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</si>
  <si>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520039868</t>
  </si>
  <si>
    <t>אלומיי אגח ו</t>
  </si>
  <si>
    <t>IL0012030743</t>
  </si>
  <si>
    <t>אלקו בע"מ</t>
  </si>
  <si>
    <t>520025370</t>
  </si>
  <si>
    <t>אלקו אגח יד 30/05/2032 5.98%</t>
  </si>
  <si>
    <t>IL0012077520</t>
  </si>
  <si>
    <t>30/05/2032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</si>
  <si>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</si>
  <si>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</si>
  <si>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</si>
  <si>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</si>
  <si>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</si>
  <si>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</si>
  <si>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</si>
  <si>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</si>
  <si>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</si>
  <si>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</si>
  <si>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</si>
  <si>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</si>
  <si>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</si>
  <si>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</si>
  <si>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</si>
  <si>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</si>
  <si>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</si>
  <si>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</si>
  <si>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</si>
  <si>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</si>
  <si>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</si>
  <si>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</si>
  <si>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</si>
  <si>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</si>
  <si>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</si>
  <si>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</si>
  <si>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</si>
  <si>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</si>
  <si>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</si>
  <si>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</si>
  <si>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</si>
  <si>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</si>
  <si>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</si>
  <si>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</si>
  <si>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</si>
  <si>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A3</t>
  </si>
  <si>
    <t>30/06/2027</t>
  </si>
  <si>
    <t>אפי נכסים בע"מ</t>
  </si>
  <si>
    <t>510560188</t>
  </si>
  <si>
    <t>אפי נכסים אגח יג</t>
  </si>
  <si>
    <t>IL0011782922</t>
  </si>
  <si>
    <t>אפי נכסים אגחטז</t>
  </si>
  <si>
    <t>IL0012109471</t>
  </si>
  <si>
    <t>TASE 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</si>
  <si>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</si>
  <si>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</si>
  <si>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</si>
  <si>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</si>
  <si>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</si>
  <si>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</si>
  <si>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</si>
  <si>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</si>
  <si>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</si>
  <si>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</si>
  <si>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</si>
  <si>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</si>
  <si>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</si>
  <si>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</si>
  <si>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</si>
  <si>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</si>
  <si>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</si>
  <si>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</si>
  <si>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</si>
  <si>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</si>
  <si>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</si>
  <si>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</si>
  <si>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</si>
  <si>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</si>
  <si>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</si>
  <si>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</si>
  <si>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</si>
  <si>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</si>
  <si>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</si>
  <si>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</si>
  <si>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</si>
  <si>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</si>
  <si>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בזק אגח 13</t>
  </si>
  <si>
    <t>IL0023003093</t>
  </si>
  <si>
    <t>02/12/2035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</si>
  <si>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</si>
  <si>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</si>
  <si>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</si>
  <si>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</si>
  <si>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</si>
  <si>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</si>
  <si>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</si>
  <si>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</si>
  <si>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בית זיקוק אשדוד אגח 2</t>
  </si>
  <si>
    <t>IL0011994881</t>
  </si>
  <si>
    <t>30/04/2029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</si>
  <si>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</si>
  <si>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</si>
  <si>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</si>
  <si>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</si>
  <si>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</si>
  <si>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</si>
  <si>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</si>
  <si>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</si>
  <si>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</si>
  <si>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גבאי מניבים ופיתוח בע"מ</t>
  </si>
  <si>
    <t>520032178</t>
  </si>
  <si>
    <t>גבאי מניבים אגח י</t>
  </si>
  <si>
    <t>IL0077102395</t>
  </si>
  <si>
    <t>30/06/2026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</si>
  <si>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</si>
  <si>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</si>
  <si>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</si>
  <si>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</si>
  <si>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</si>
  <si>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</si>
  <si>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</si>
  <si>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</si>
  <si>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15/08/2032</t>
  </si>
  <si>
    <t>דיסק מנ אגח יז</t>
  </si>
  <si>
    <t>IL0012159534</t>
  </si>
  <si>
    <t>20/03/2035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</si>
  <si>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</si>
  <si>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</si>
  <si>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</si>
  <si>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</si>
  <si>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</si>
  <si>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</si>
  <si>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</si>
  <si>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</si>
  <si>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קבוצת דלק בע"מ</t>
  </si>
  <si>
    <t>520044322</t>
  </si>
  <si>
    <t>דלק קבוצה    אגח מ</t>
  </si>
  <si>
    <t>IL0012173899</t>
  </si>
  <si>
    <t>הראל ביטוח מימון והנפקות בע"מ</t>
  </si>
  <si>
    <t>513834200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</si>
  <si>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</si>
  <si>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</si>
  <si>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</si>
  <si>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</si>
  <si>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</si>
  <si>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</si>
  <si>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</si>
  <si>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</si>
  <si>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</si>
  <si>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</si>
  <si>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</si>
  <si>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</si>
  <si>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</si>
  <si>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</si>
  <si>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</si>
  <si>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</si>
  <si>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</si>
  <si>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</si>
  <si>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</si>
  <si>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</si>
  <si>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</si>
  <si>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</si>
  <si>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</si>
  <si>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</si>
  <si>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</si>
  <si>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</si>
  <si>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</si>
  <si>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</si>
  <si>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</si>
  <si>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</si>
  <si>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</si>
  <si>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</si>
  <si>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</si>
  <si>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</si>
  <si>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</si>
  <si>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31/12/2027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</si>
  <si>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</si>
  <si>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</si>
  <si>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</si>
  <si>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</si>
  <si>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</si>
  <si>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</si>
  <si>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</si>
  <si>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</si>
  <si>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ביטוח אגח ג</t>
  </si>
  <si>
    <t>IL0012013913</t>
  </si>
  <si>
    <t>02/11/2031</t>
  </si>
  <si>
    <t>כללביט מימון בע"מ</t>
  </si>
  <si>
    <t>513754069</t>
  </si>
  <si>
    <t>כלל הון  אגח יד</t>
  </si>
  <si>
    <t>IL0012205246</t>
  </si>
  <si>
    <t>30/09/2039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</si>
  <si>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</si>
  <si>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</si>
  <si>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</si>
  <si>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</si>
  <si>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</si>
  <si>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</si>
  <si>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</si>
  <si>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</si>
  <si>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</si>
  <si>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</si>
  <si>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</si>
  <si>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</si>
  <si>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</si>
  <si>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</si>
  <si>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</si>
  <si>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</si>
  <si>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</si>
  <si>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</si>
  <si>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</si>
  <si>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</si>
  <si>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מבנה אגח כה</t>
  </si>
  <si>
    <t>IL0022606367</t>
  </si>
  <si>
    <t>30/09/2033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</si>
  <si>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</si>
  <si>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</si>
  <si>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</si>
  <si>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</si>
  <si>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</si>
  <si>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</si>
  <si>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</si>
  <si>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</si>
  <si>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מגה אור אגח יא</t>
  </si>
  <si>
    <t>IL0011783755</t>
  </si>
  <si>
    <t>31/03/2032</t>
  </si>
  <si>
    <t>מזרחי טפחות חברה להנפקות בע"מ</t>
  </si>
  <si>
    <t>520032046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</si>
  <si>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</si>
  <si>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</si>
  <si>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</si>
  <si>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</si>
  <si>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</si>
  <si>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</si>
  <si>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</si>
  <si>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</si>
  <si>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</si>
  <si>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</si>
  <si>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</si>
  <si>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</si>
  <si>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</si>
  <si>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A1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</si>
  <si>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</si>
  <si>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</si>
  <si>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</si>
  <si>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</si>
  <si>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</si>
  <si>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</si>
  <si>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</si>
  <si>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</si>
  <si>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</si>
  <si>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 אגח כא</t>
  </si>
  <si>
    <t>IL0011946386</t>
  </si>
  <si>
    <t>01/01/2037</t>
  </si>
  <si>
    <t>מליסרון אגח כ</t>
  </si>
  <si>
    <t>IL0032304227</t>
  </si>
  <si>
    <t>מנורה מבטחים גיוס הון בע"מ</t>
  </si>
  <si>
    <t>513937714</t>
  </si>
  <si>
    <t>מנורה הון התח סד' ט</t>
  </si>
  <si>
    <t>IL0012193699</t>
  </si>
  <si>
    <t>Aa3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</si>
  <si>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</si>
  <si>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</si>
  <si>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</si>
  <si>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</si>
  <si>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</si>
  <si>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</si>
  <si>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</si>
  <si>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</si>
  <si>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</si>
  <si>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</si>
  <si>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</si>
  <si>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</si>
  <si>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</si>
  <si>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</si>
  <si>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</si>
  <si>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</si>
  <si>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</si>
  <si>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</si>
  <si>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</si>
  <si>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</si>
  <si>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</si>
  <si>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</si>
  <si>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</si>
  <si>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</si>
  <si>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</si>
  <si>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</si>
  <si>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</si>
  <si>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</si>
  <si>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</si>
  <si>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</si>
  <si>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</si>
  <si>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</si>
  <si>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</si>
  <si>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</si>
  <si>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</si>
  <si>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</si>
  <si>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</si>
  <si>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סולגרין בע"מ</t>
  </si>
  <si>
    <t>512882747</t>
  </si>
  <si>
    <t>סולגרין אגח ב</t>
  </si>
  <si>
    <t>IL0011862468</t>
  </si>
  <si>
    <t>סיאון אינווסטמנט קורפוריישן</t>
  </si>
  <si>
    <t>d14242259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</si>
  <si>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</si>
  <si>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</si>
  <si>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</si>
  <si>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</si>
  <si>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</si>
  <si>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</si>
  <si>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</si>
  <si>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</si>
  <si>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</si>
  <si>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</si>
  <si>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</si>
  <si>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</si>
  <si>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</si>
  <si>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</si>
  <si>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</si>
  <si>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</si>
  <si>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</si>
  <si>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</si>
  <si>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</si>
  <si>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</si>
  <si>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</si>
  <si>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</si>
  <si>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</si>
  <si>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</si>
  <si>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</si>
  <si>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</si>
  <si>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</si>
  <si>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</si>
  <si>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</si>
  <si>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</si>
  <si>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</si>
  <si>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</si>
  <si>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</si>
  <si>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</si>
  <si>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</si>
  <si>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</si>
  <si>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</si>
  <si>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</si>
  <si>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</si>
  <si>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</si>
  <si>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</si>
  <si>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</si>
  <si>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</si>
  <si>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</si>
  <si>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</si>
  <si>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טז</t>
  </si>
  <si>
    <t>IL0012203340</t>
  </si>
  <si>
    <t>01/11/2034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</si>
  <si>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</si>
  <si>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</si>
  <si>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</si>
  <si>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</si>
  <si>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</si>
  <si>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</si>
  <si>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</si>
  <si>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נכסים(אירופה)בע"מ</t>
  </si>
  <si>
    <t>515328250</t>
  </si>
  <si>
    <t>פתאל אירו אגח ו</t>
  </si>
  <si>
    <t>IL0012192865</t>
  </si>
  <si>
    <t>01/10/2034</t>
  </si>
  <si>
    <t>פתאל החזקות אגח ד</t>
  </si>
  <si>
    <t>IL0011881922</t>
  </si>
  <si>
    <t>31/12/2032</t>
  </si>
  <si>
    <t>קרסו נדלן</t>
  </si>
  <si>
    <t>510488190</t>
  </si>
  <si>
    <t>קרסו נדלן אגח א</t>
  </si>
  <si>
    <t>IL0011900086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</si>
  <si>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</si>
  <si>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</si>
  <si>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</si>
  <si>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</si>
  <si>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</si>
  <si>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</si>
  <si>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</si>
  <si>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</si>
  <si>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</si>
  <si>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</si>
  <si>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</si>
  <si>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</si>
  <si>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</si>
  <si>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</si>
  <si>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</si>
  <si>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</si>
  <si>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 xml:space="preserve">א.נ שוהם בידנס בע"מ </t>
  </si>
  <si>
    <t>520043860</t>
  </si>
  <si>
    <t>שוהם ביזנס אגח ד</t>
  </si>
  <si>
    <t>IL0011820474</t>
  </si>
  <si>
    <t>Baa2</t>
  </si>
  <si>
    <t>31/12/2025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</si>
  <si>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</si>
  <si>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</si>
  <si>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</si>
  <si>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</si>
  <si>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</si>
  <si>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</si>
  <si>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</si>
  <si>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</si>
  <si>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</si>
  <si>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</si>
  <si>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8.1%ISRAEL.E15.12.96</t>
  </si>
  <si>
    <t>USM60170AC79</t>
  </si>
  <si>
    <t>BBB</t>
  </si>
  <si>
    <t>15/12/2096</t>
  </si>
  <si>
    <t>ENOIGA 5 3/8 30/03/28</t>
  </si>
  <si>
    <t>IL0011736738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</si>
  <si>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</si>
  <si>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</si>
  <si>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</si>
  <si>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</si>
  <si>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</si>
  <si>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</si>
  <si>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</si>
  <si>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</si>
  <si>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LVIATH 6.5 30/06/27</t>
  </si>
  <si>
    <t>IL0011677825</t>
  </si>
  <si>
    <t>MZRHIT 3.077 04/07/31</t>
  </si>
  <si>
    <t>IL0069508369</t>
  </si>
  <si>
    <t>07/04/2031</t>
  </si>
  <si>
    <t>TEVA 4.375% 09/05/30</t>
  </si>
  <si>
    <t>XS2406607171</t>
  </si>
  <si>
    <t>09/05/2030</t>
  </si>
  <si>
    <t>TEVA 5.125% 09/05/29</t>
  </si>
  <si>
    <t>US88167AAQ40</t>
  </si>
  <si>
    <t>09/05/2029</t>
  </si>
  <si>
    <t>חוזים עתידיים בחול</t>
  </si>
  <si>
    <t>10527</t>
  </si>
  <si>
    <t>ESU5_MINI S&amp;P 500 FUT 09/2025</t>
  </si>
  <si>
    <t>ESU5</t>
  </si>
  <si>
    <t>CME </t>
  </si>
  <si>
    <t>US 10YR ULTRA FUT SEP 25</t>
  </si>
  <si>
    <t>UXYU5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</si>
  <si>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</si>
  <si>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</si>
  <si>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</si>
  <si>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</si>
  <si>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</si>
  <si>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</si>
  <si>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</si>
  <si>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NAV
(במטבע הדיווח של קרן ההשקעה)</t>
  </si>
  <si>
    <t>Forma european fund 2</t>
  </si>
  <si>
    <t>516190006</t>
  </si>
  <si>
    <t>Forma European Fund II LP</t>
  </si>
  <si>
    <t>06/07/2021</t>
  </si>
  <si>
    <t>19/05/2025</t>
  </si>
  <si>
    <t>Kedma Capital</t>
  </si>
  <si>
    <t>540286333</t>
  </si>
  <si>
    <t>KEDMA CAPITAL PARTNERS III LTD</t>
  </si>
  <si>
    <t>04/04/2021</t>
  </si>
  <si>
    <t>31/03/2025</t>
  </si>
  <si>
    <t xml:space="preserve">Klirmark Opportunity Fund </t>
  </si>
  <si>
    <t>CO-101523</t>
  </si>
  <si>
    <t>klirmark IV</t>
  </si>
  <si>
    <t>23/04/2023</t>
  </si>
  <si>
    <t>Peregrine Ventures Growth General Partner LP</t>
  </si>
  <si>
    <t>540297413</t>
  </si>
  <si>
    <t>08/07/2021</t>
  </si>
  <si>
    <t>12/05/2025</t>
  </si>
  <si>
    <t>0</t>
  </si>
  <si>
    <t>540310885</t>
  </si>
  <si>
    <t>Qumra Opportunity fund</t>
  </si>
  <si>
    <t>11/05/2021</t>
  </si>
  <si>
    <t>קרן השקעה אלפא ערך 1</t>
  </si>
  <si>
    <t>530225416</t>
  </si>
  <si>
    <t>אלפא ערך 1 ש.מ</t>
  </si>
  <si>
    <t>26/12/2024</t>
  </si>
  <si>
    <t>אי תלות</t>
  </si>
  <si>
    <t>17/06/2025</t>
  </si>
  <si>
    <t>יסודות א נדלן שותפות מוגבלת</t>
  </si>
  <si>
    <t>550257125</t>
  </si>
  <si>
    <t>יסודות נדל"ן ג' פיתוח ושותפות</t>
  </si>
  <si>
    <t>05/06/2025</t>
  </si>
  <si>
    <t>קוגיטו קפיטל אל.אמ.אי שותף כללי, שותפות מוגבלת</t>
  </si>
  <si>
    <t>550270912</t>
  </si>
  <si>
    <t>קוגיטו קפיטל 2</t>
  </si>
  <si>
    <t>06/02/2022</t>
  </si>
  <si>
    <t>24/06/2025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</si>
  <si>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</si>
  <si>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</si>
  <si>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</si>
  <si>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</si>
  <si>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</si>
  <si>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</si>
  <si>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</si>
  <si>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</si>
  <si>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29/05/2025</t>
  </si>
  <si>
    <t>ALTO FUND</t>
  </si>
  <si>
    <t>27092</t>
  </si>
  <si>
    <t>ALTO 3</t>
  </si>
  <si>
    <t>22/01/2017</t>
  </si>
  <si>
    <t>01/06/2015</t>
  </si>
  <si>
    <t>איפקס סבן</t>
  </si>
  <si>
    <t>512712548</t>
  </si>
  <si>
    <t>AMI OPPORTUNITY</t>
  </si>
  <si>
    <t>ג'נרסי</t>
  </si>
  <si>
    <t>16/12/2015</t>
  </si>
  <si>
    <t>Apexus Logisitcs RE Fund L.P</t>
  </si>
  <si>
    <t>89867</t>
  </si>
  <si>
    <t>Apexus</t>
  </si>
  <si>
    <t>14/04/2022</t>
  </si>
  <si>
    <t>Ares CIP Management II, L.P</t>
  </si>
  <si>
    <t>20187570751</t>
  </si>
  <si>
    <t>Ares Climate Infrastructure Partners II-A, L.P</t>
  </si>
  <si>
    <t>22/01/2025</t>
  </si>
  <si>
    <t>ARGIS Asset Management GP, LLC</t>
  </si>
  <si>
    <t>37-2131827</t>
  </si>
  <si>
    <t>ARGIS LIVING FUND II</t>
  </si>
  <si>
    <t>30/04/2025</t>
  </si>
  <si>
    <t>ORYX</t>
  </si>
  <si>
    <t>2138005O9XJIJN4JPN90</t>
  </si>
  <si>
    <t>Arkin Bio Capital</t>
  </si>
  <si>
    <t>23/01/2022</t>
  </si>
  <si>
    <t>11/06/2025</t>
  </si>
  <si>
    <t>Avenue Cpital Group</t>
  </si>
  <si>
    <t>12151</t>
  </si>
  <si>
    <t>Avenue B-1</t>
  </si>
  <si>
    <t>13/10/2021</t>
  </si>
  <si>
    <t>26/06/2025</t>
  </si>
  <si>
    <t>Avenue B-2</t>
  </si>
  <si>
    <t>bain capital senior loan fund</t>
  </si>
  <si>
    <t>27725</t>
  </si>
  <si>
    <t>BAIN CAPITAL DSS</t>
  </si>
  <si>
    <t>07/03/2021</t>
  </si>
  <si>
    <t>19/03/2025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</si>
  <si>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</si>
  <si>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</si>
  <si>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</si>
  <si>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</si>
  <si>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</si>
  <si>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</si>
  <si>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</si>
  <si>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</si>
  <si>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</si>
  <si>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</si>
  <si>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</si>
  <si>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</si>
  <si>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</si>
  <si>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</si>
  <si>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</si>
  <si>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25/06/2025</t>
  </si>
  <si>
    <t>Forma Fund</t>
  </si>
  <si>
    <t>530278654</t>
  </si>
  <si>
    <t>FORMA FUND</t>
  </si>
  <si>
    <t>22/05/2025</t>
  </si>
  <si>
    <t>hanaco growth venturres</t>
  </si>
  <si>
    <t>28364</t>
  </si>
  <si>
    <t>Hanaco growth venturres</t>
  </si>
  <si>
    <t>03/03/2021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</si>
  <si>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</si>
  <si>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</si>
  <si>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</si>
  <si>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</si>
  <si>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</si>
  <si>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</si>
  <si>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</si>
  <si>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</si>
  <si>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29/06/2025</t>
  </si>
  <si>
    <t>ECP V, LLC</t>
  </si>
  <si>
    <t>27330</t>
  </si>
  <si>
    <t>harbur _ESS CO INVEST V</t>
  </si>
  <si>
    <t>27/10/2019</t>
  </si>
  <si>
    <t>HGI Multifamily Credit Fund</t>
  </si>
  <si>
    <t>89918</t>
  </si>
  <si>
    <t>12/01/2023</t>
  </si>
  <si>
    <t>22/04/2025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</si>
  <si>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</si>
  <si>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</si>
  <si>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</si>
  <si>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</si>
  <si>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</si>
  <si>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</si>
  <si>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</si>
  <si>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</si>
  <si>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 xml:space="preserve">LCCP </t>
  </si>
  <si>
    <t>28600</t>
  </si>
  <si>
    <t>LLCP Lower Middle Market (LLM) III</t>
  </si>
  <si>
    <t>24/08/2021</t>
  </si>
  <si>
    <t>MACQUAARIE BANK</t>
  </si>
  <si>
    <t>ACMHD8HWFMFUIQQ8Y590</t>
  </si>
  <si>
    <t>MACQUARIE</t>
  </si>
  <si>
    <t>11/02/2019</t>
  </si>
  <si>
    <t>01/04/2025</t>
  </si>
  <si>
    <t xml:space="preserve">Madison Reality Capital DEBT </t>
  </si>
  <si>
    <t>30-0963117</t>
  </si>
  <si>
    <t>Madison Realty Capital Debt Fund VI LP</t>
  </si>
  <si>
    <t>22/11/2022</t>
  </si>
  <si>
    <t>Oak Street Real Estate Capital Fund</t>
  </si>
  <si>
    <t>9492</t>
  </si>
  <si>
    <t>Oak Street Real Estate Capital Fund VI, LP</t>
  </si>
  <si>
    <t>11/05/2023</t>
  </si>
  <si>
    <t>18/06/2025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</si>
  <si>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</si>
  <si>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</si>
  <si>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</si>
  <si>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</si>
  <si>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</si>
  <si>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</si>
  <si>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</si>
  <si>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</si>
  <si>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 xml:space="preserve">Pagaya Smartresi F1 </t>
  </si>
  <si>
    <t>89415</t>
  </si>
  <si>
    <t>Pagaya Smatresi F1</t>
  </si>
  <si>
    <t>04/07/2021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</si>
  <si>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</si>
  <si>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</si>
  <si>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</si>
  <si>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</si>
  <si>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</si>
  <si>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</si>
  <si>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</si>
  <si>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</si>
  <si>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07/05/2025</t>
  </si>
  <si>
    <t>Pantheon Private Debt</t>
  </si>
  <si>
    <t>213800U3XYENZ6K2K182</t>
  </si>
  <si>
    <t>PGCO IV_פנתיאון</t>
  </si>
  <si>
    <t>18/11/2019</t>
  </si>
  <si>
    <t>smov fund</t>
  </si>
  <si>
    <t>27224</t>
  </si>
  <si>
    <t>SOMV FUND</t>
  </si>
  <si>
    <t>26/05/2016</t>
  </si>
  <si>
    <t>Starlight Bond FP I LP</t>
  </si>
  <si>
    <t>90109</t>
  </si>
  <si>
    <t>ג'רזי</t>
  </si>
  <si>
    <t>31/05/2023</t>
  </si>
  <si>
    <t>Target Global</t>
  </si>
  <si>
    <t>89655</t>
  </si>
  <si>
    <t>Target Global Growth Fund II</t>
  </si>
  <si>
    <t>09/11/2021</t>
  </si>
  <si>
    <t>28/05/2025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</si>
  <si>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</si>
  <si>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</si>
  <si>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</si>
  <si>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</si>
  <si>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</si>
  <si>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</si>
  <si>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</si>
  <si>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89968</t>
  </si>
  <si>
    <t>24/10/2022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</si>
  <si>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</si>
  <si>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</si>
  <si>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</si>
  <si>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</si>
  <si>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</si>
  <si>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</si>
  <si>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</si>
  <si>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</si>
  <si>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גרופ 11 קרן 5</t>
  </si>
  <si>
    <t>1992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</si>
  <si>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</si>
  <si>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</si>
  <si>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</si>
  <si>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</si>
  <si>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</si>
  <si>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>comrit</t>
  </si>
  <si>
    <t>27344</t>
  </si>
  <si>
    <t>קרן קומריט</t>
  </si>
  <si>
    <t>04/12/2016</t>
  </si>
  <si>
    <t>10/02/2025</t>
  </si>
  <si>
    <t xml:space="preserve">לוסיקס בע"מ </t>
  </si>
  <si>
    <t>515374742</t>
  </si>
  <si>
    <t>Lusix</t>
  </si>
  <si>
    <t>620201931</t>
  </si>
  <si>
    <t>Utilities</t>
  </si>
  <si>
    <t>02/12/2024</t>
  </si>
  <si>
    <t>28/11/2024</t>
  </si>
  <si>
    <t>UVEYE LTD</t>
  </si>
  <si>
    <t>514234202</t>
  </si>
  <si>
    <t>62018263</t>
  </si>
  <si>
    <t>השקעות בהייטק</t>
  </si>
  <si>
    <t>ג'נריישן ניהול בע"מ</t>
  </si>
  <si>
    <t>515785012</t>
  </si>
  <si>
    <t>56093</t>
  </si>
  <si>
    <t>16/08/2018</t>
  </si>
  <si>
    <t>מניבים קרן הריט החדשה בע"מ</t>
  </si>
  <si>
    <t>515327120</t>
  </si>
  <si>
    <t>מניבים ניהול הר</t>
  </si>
  <si>
    <t>36475</t>
  </si>
  <si>
    <t>03/11/2015</t>
  </si>
  <si>
    <t>וויו (veev) גרופ</t>
  </si>
  <si>
    <t>832652993</t>
  </si>
  <si>
    <t>C  וויו גרופ</t>
  </si>
  <si>
    <t>US9224741010</t>
  </si>
  <si>
    <t>08/03/2021</t>
  </si>
  <si>
    <t>Rapyd financial network 2016 ltd</t>
  </si>
  <si>
    <t>28595</t>
  </si>
  <si>
    <t>TARGET GLOBAL -FLUORINE (RAPYD</t>
  </si>
  <si>
    <t>62018115</t>
  </si>
  <si>
    <t>04/07/2022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</si>
  <si>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</si>
  <si>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</si>
  <si>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</si>
  <si>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</si>
  <si>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</si>
  <si>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</si>
  <si>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</si>
  <si>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</si>
  <si>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PROSPECT CAPITAL CORP</t>
  </si>
  <si>
    <t>549300FSD8T39P5Q0O47</t>
  </si>
  <si>
    <t>מניות בכורה Prospect 5.5% 1025</t>
  </si>
  <si>
    <t>US74348T5083</t>
  </si>
  <si>
    <t>27/04/2021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</si>
  <si>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</si>
  <si>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</si>
  <si>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</si>
  <si>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</si>
  <si>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</si>
  <si>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</si>
  <si>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</si>
  <si>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</si>
  <si>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</si>
  <si>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</si>
  <si>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</si>
  <si>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</si>
  <si>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</si>
  <si>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</si>
  <si>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</si>
  <si>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</si>
  <si>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</si>
  <si>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</si>
  <si>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</si>
  <si>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</si>
  <si>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</si>
  <si>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</si>
  <si>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</si>
  <si>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</si>
  <si>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</si>
  <si>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</si>
  <si>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</si>
  <si>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</si>
  <si>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</si>
  <si>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</si>
  <si>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</si>
  <si>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</si>
  <si>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</si>
  <si>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</si>
  <si>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</si>
  <si>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</si>
  <si>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</si>
  <si>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</si>
  <si>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</si>
  <si>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</si>
  <si>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</si>
  <si>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</si>
  <si>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</si>
  <si>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</si>
  <si>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</si>
  <si>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</si>
  <si>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USD ILS</t>
  </si>
  <si>
    <t>delivery</t>
  </si>
  <si>
    <t>NA</t>
  </si>
  <si>
    <t>POALILIT</t>
  </si>
  <si>
    <t>EUR ILS</t>
  </si>
  <si>
    <t>12-591</t>
  </si>
  <si>
    <t>SOFR-1.5%</t>
  </si>
  <si>
    <t>Qumra Opportunity Fund GP, L.P.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</si>
  <si>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</si>
  <si>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</si>
  <si>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</si>
  <si>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</si>
  <si>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</si>
  <si>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Pagay Opportunity Manager Ltd.</t>
  </si>
  <si>
    <t>PAGAYA OPPORTUNITY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</si>
  <si>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</si>
  <si>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</si>
  <si>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</si>
  <si>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</si>
  <si>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</si>
  <si>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</si>
  <si>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</si>
  <si>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</si>
  <si>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</si>
  <si>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86-3690594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</si>
  <si>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</si>
  <si>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</si>
  <si>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</si>
  <si>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</si>
  <si>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</si>
  <si>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81-4386819</t>
  </si>
  <si>
    <t>ALTO III</t>
  </si>
  <si>
    <t>HarbourVest GP LLC</t>
  </si>
  <si>
    <t>801-53287</t>
  </si>
  <si>
    <t>HARBOURVEST ACCESS DOVER X</t>
  </si>
  <si>
    <t>Vestar Capital Partners GP</t>
  </si>
  <si>
    <t>549300WW8RO3OMLV4Z13</t>
  </si>
  <si>
    <t>Bain Capital Distressed and Special Situations 2019 Investors, LLC</t>
  </si>
  <si>
    <t xml:space="preserve">98-1467575 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</si>
  <si>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</si>
  <si>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</si>
  <si>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</si>
  <si>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</si>
  <si>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</si>
  <si>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</si>
  <si>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47-4190465</t>
  </si>
  <si>
    <t>[GATEWOOD FUND (IBI)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</si>
  <si>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</si>
  <si>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</si>
  <si>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</si>
  <si>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</si>
  <si>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</si>
  <si>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</si>
  <si>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</si>
  <si>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</si>
  <si>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</si>
  <si>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ISRAEL INFRASTRUCTURE G.P. 4, LIMITED PARTNERSHIP</t>
  </si>
  <si>
    <t>תשתיות ישראל 4</t>
  </si>
  <si>
    <t>Pantheon PGIF IV GP (LUX) S.à r.l</t>
  </si>
  <si>
    <t>B 283012</t>
  </si>
  <si>
    <t>Starlight Bond FP I GP LIMITED</t>
  </si>
  <si>
    <t>RN157039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</si>
  <si>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</si>
  <si>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</si>
  <si>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</si>
  <si>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</si>
  <si>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B243962</t>
  </si>
  <si>
    <t>Fund EQT Infrastructure V</t>
  </si>
  <si>
    <t>Target Global Growth II GP S.à r.l.</t>
  </si>
  <si>
    <t>B241115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</si>
  <si>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</si>
  <si>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</si>
  <si>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</si>
  <si>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</si>
  <si>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</si>
  <si>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</si>
  <si>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</si>
  <si>
    <t>צביקה שמיר , מנכ"ל</t>
  </si>
  <si>
    <t>03-5210603</t>
  </si>
  <si>
    <t>zvi-sha@ovdim-tlv.org.il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</si>
</sst>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1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7" fillId="3" borderId="3" xfId="4" applyNumberFormat="1" applyFont="1" applyFill="1" applyBorder="1" applyAlignment="1">
      <alignment horizontal="center" vertical="center" wrapText="1"/>
    </xf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0" fontId="0" fillId="0" borderId="0" xfId="0"/>
    <xf numFmtId="4" fontId="0" fillId="0" borderId="0" xfId="0" applyNumberFormat="1"/>
    <xf numFmtId="14" fontId="0" fillId="0" borderId="0" xfId="0" applyNumberFormat="1"/>
    <xf numFmtId="10" fontId="0" fillId="0" borderId="0" xfId="0" applyNumberFormat="1"/>
    <xf numFmtId="0" fontId="7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166" fontId="2" fillId="0" borderId="0" xfId="4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6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6" fontId="2" fillId="0" borderId="0" xfId="4" applyNumberFormat="1" applyFont="1"/>
    <xf numFmtId="0" fontId="3" fillId="0" borderId="0" xfId="0" applyFont="1"/>
    <xf numFmtId="10" fontId="2" fillId="0" borderId="0" xfId="4" applyNumberFormat="1" applyFont="1"/>
    <xf numFmtId="166" fontId="0" fillId="0" borderId="0" xfId="4" applyNumberFormat="1" applyFont="1"/>
    <xf numFmtId="14" fontId="4" fillId="0" borderId="0" xfId="0" applyNumberFormat="1" applyFont="1" applyFill="1" applyBorder="1"/>
    <xf numFmtId="2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/>
    <xf numFmtId="43" fontId="9" fillId="0" borderId="0" xfId="1"/>
    <xf numFmtId="43" fontId="4" fillId="0" borderId="0" xfId="0" applyNumberFormat="1" applyFont="1" applyFill="1" applyBorder="1"/>
    <xf numFmtId="10" fontId="8" fillId="0" borderId="11" xfId="4" applyNumberFormat="1" applyFont="1" applyFill="1" applyBorder="1" applyAlignment="1">
      <alignment horizontal="center" vertical="center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"/>
  <sheetViews>
    <sheetView showGridLines="0" rightToLeft="1" tabSelected="1" workbookViewId="0">
      <selection activeCell="B26" sqref="B26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8" ht="18">
      <c r="A1" s="33" t="s">
        <v>129</v>
      </c>
      <c r="B1" s="34"/>
      <c r="C1" s="34"/>
      <c r="D1" s="34"/>
    </row>
    <row r="3" spans="1:8">
      <c r="A3" t="s">
        <v>130</v>
      </c>
      <c r="D3" s="102" t="s">
        <v>131</v>
      </c>
    </row>
    <row r="5" spans="1:8">
      <c r="A5" t="s">
        <v>132</v>
      </c>
      <c r="D5" s="102" t="s">
        <v>1162</v>
      </c>
    </row>
    <row r="7" spans="1:8">
      <c r="A7" t="s">
        <v>133</v>
      </c>
      <c r="D7" s="102" t="s">
        <v>1166</v>
      </c>
    </row>
    <row r="8" spans="1:8">
      <c r="D8" s="32"/>
      <c r="E8" s="32"/>
      <c r="F8" s="32"/>
      <c r="G8" s="32"/>
      <c r="H8" s="32"/>
    </row>
    <row r="9" spans="1:8">
      <c r="A9" t="s">
        <v>134</v>
      </c>
      <c r="D9" s="102">
        <v>2025</v>
      </c>
    </row>
    <row r="11" spans="1:8">
      <c r="A11" t="s">
        <v>135</v>
      </c>
      <c r="D11" s="215" t="s">
        <v>1205</v>
      </c>
    </row>
    <row r="13" spans="1:8">
      <c r="A13" t="s">
        <v>136</v>
      </c>
      <c r="D13" s="103">
        <f>IFERROR(VLOOKUP(D11,'File Name Info'!A35:B121,2,0),"תא מחושב")</f>
        <v>513452003</v>
      </c>
    </row>
    <row r="15" spans="1:8" ht="15">
      <c r="A15" s="19" t="s">
        <v>137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513452003_gm_p_0225.xlsx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138</v>
      </c>
      <c r="B17" s="17" t="s">
        <v>139</v>
      </c>
      <c r="C17" s="17"/>
      <c r="D17" s="216" t="s">
        <v>2555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140</v>
      </c>
      <c r="C19" s="17"/>
      <c r="D19" s="216" t="s">
        <v>2556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141</v>
      </c>
      <c r="C21" s="17"/>
      <c r="D21" s="217" t="s">
        <v>2557</v>
      </c>
    </row>
    <row r="22" spans="1:8">
      <c r="A22" s="15"/>
      <c r="B22" s="16"/>
      <c r="C22" s="16"/>
    </row>
    <row r="23" spans="1:8" ht="15">
      <c r="A23" s="19"/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8" priority="17" operator="containsText" text="Please fill in data">
      <formula>NOT(ISERROR(SEARCH("Please fill in data",D3)))</formula>
    </cfRule>
  </conditionalFormatting>
  <conditionalFormatting sqref="D5">
    <cfRule type="containsText" dxfId="7" priority="11" operator="containsText" text="Please fill in data">
      <formula>NOT(ISERROR(SEARCH("Please fill in data",D5)))</formula>
    </cfRule>
  </conditionalFormatting>
  <conditionalFormatting sqref="D7:D9">
    <cfRule type="containsText" dxfId="6" priority="9" operator="containsText" text="Please fill in data">
      <formula>NOT(ISERROR(SEARCH("Please fill in data",D7)))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11">
    <cfRule type="containsText" dxfId="3" priority="4" operator="containsText" text="Please fill in data">
      <formula>NOT(ISERROR(SEARCH("Please fill in data",D11)))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6E7088D7-9D05-4D06-908C-261A3C78C9EE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1"/>
  <sheetViews>
    <sheetView showGridLines="0" rightToLeft="1" workbookViewId="0">
      <selection activeCell="A36" sqref="A36"/>
    </sheetView>
  </sheetViews>
  <sheetFormatPr defaultColWidth="0" defaultRowHeight="12.75"/>
  <cols>
    <col min="1" max="1" width="42.75" style="9" customWidth="1"/>
    <col min="2" max="2" width="13" style="136" customWidth="1"/>
    <col min="3" max="3" width="13" style="10" customWidth="1"/>
    <col min="4" max="4" width="13" style="136" customWidth="1"/>
    <col min="5" max="5" width="13" style="140" customWidth="1"/>
    <col min="6" max="6" width="11.125" style="9" hidden="1" customWidth="1"/>
    <col min="7" max="8" width="8.625" style="9" hidden="1" customWidth="1"/>
    <col min="9" max="10" width="9" style="9" hidden="1" customWidth="1"/>
    <col min="11" max="12" width="8.625" style="9" hidden="1" customWidth="1"/>
    <col min="13" max="16384" width="0" style="9" hidden="1"/>
  </cols>
  <sheetData>
    <row r="1" spans="1:5" ht="18.75" customHeight="1">
      <c r="A1" s="45"/>
      <c r="B1" s="133"/>
      <c r="C1" s="104" t="s">
        <v>1133</v>
      </c>
      <c r="D1" s="133"/>
      <c r="E1" s="137"/>
    </row>
    <row r="2" spans="1:5" ht="39.75" customHeight="1">
      <c r="A2" s="45"/>
      <c r="B2" s="133" t="s">
        <v>36</v>
      </c>
      <c r="C2" s="46" t="s">
        <v>855</v>
      </c>
      <c r="D2" s="133" t="s">
        <v>22</v>
      </c>
      <c r="E2" s="137" t="s">
        <v>1134</v>
      </c>
    </row>
    <row r="3" spans="1:5">
      <c r="A3" s="48" t="s">
        <v>908</v>
      </c>
      <c r="B3" s="134">
        <f>SUM('מזומנים ושווי מזומנים'!O:O)</f>
        <v>4743.67</v>
      </c>
      <c r="C3" s="49"/>
      <c r="D3" s="134"/>
      <c r="E3" s="138">
        <f>SUM('מזומנים ושווי מזומנים'!O:O)/B29</f>
        <v>3.0567203730651932E-2</v>
      </c>
    </row>
    <row r="4" spans="1:5">
      <c r="A4" s="48" t="s">
        <v>918</v>
      </c>
      <c r="B4" s="134">
        <f>SUM('איגרות חוב ממשלתיות'!U:U)</f>
        <v>29527.346999999998</v>
      </c>
      <c r="C4" s="49"/>
      <c r="D4" s="134"/>
      <c r="E4" s="138">
        <f>SUM('איגרות חוב ממשלתיות'!U:U)/B29</f>
        <v>0.19026796370208174</v>
      </c>
    </row>
    <row r="5" spans="1:5">
      <c r="A5" s="48" t="s">
        <v>925</v>
      </c>
      <c r="B5" s="134">
        <f>SUM('ניירות ערך מסחריים'!AD:AD)</f>
        <v>0</v>
      </c>
      <c r="C5" s="49"/>
      <c r="D5" s="134"/>
      <c r="E5" s="138">
        <f>SUM('ניירות ערך מסחריים'!AD:AD)/B29</f>
        <v>0</v>
      </c>
    </row>
    <row r="6" spans="1:5">
      <c r="A6" s="48" t="s">
        <v>926</v>
      </c>
      <c r="B6" s="134">
        <f>SUM('איגרות חוב'!AD:AD)</f>
        <v>27965.089999999997</v>
      </c>
      <c r="C6" s="49"/>
      <c r="D6" s="134"/>
      <c r="E6" s="138">
        <f>SUM('איגרות חוב'!AD:AD)/B29</f>
        <v>0.18020111082263668</v>
      </c>
    </row>
    <row r="7" spans="1:5">
      <c r="A7" s="48" t="s">
        <v>933</v>
      </c>
      <c r="B7" s="134">
        <f>SUM('מניות מבכ ויהש'!U:U)</f>
        <v>32927.006999999998</v>
      </c>
      <c r="C7" s="49"/>
      <c r="D7" s="134"/>
      <c r="E7" s="138">
        <f>SUM('מניות מבכ ויהש'!U:U)/B29</f>
        <v>0.21217465194872373</v>
      </c>
    </row>
    <row r="8" spans="1:5">
      <c r="A8" s="48" t="s">
        <v>428</v>
      </c>
      <c r="B8" s="134">
        <f>SUM('קרנות סל'!T:T)</f>
        <v>31331.432000000001</v>
      </c>
      <c r="C8" s="49"/>
      <c r="D8" s="134"/>
      <c r="E8" s="138">
        <f>SUM('קרנות סל'!T:T)/B29</f>
        <v>0.201893104941336</v>
      </c>
    </row>
    <row r="9" spans="1:5">
      <c r="A9" s="48" t="s">
        <v>946</v>
      </c>
      <c r="B9" s="134">
        <f>SUM('קרנות נאמנות'!T:T)</f>
        <v>1019.0590000000001</v>
      </c>
      <c r="C9" s="49"/>
      <c r="D9" s="134"/>
      <c r="E9" s="138">
        <f>SUM('קרנות נאמנות'!T:T)/B29</f>
        <v>6.5666001358767436E-3</v>
      </c>
    </row>
    <row r="10" spans="1:5">
      <c r="A10" s="48" t="s">
        <v>1078</v>
      </c>
      <c r="B10" s="134">
        <f>SUM('כתבי אופציה'!W:W)</f>
        <v>37.713999999999999</v>
      </c>
      <c r="C10" s="49"/>
      <c r="D10" s="134"/>
      <c r="E10" s="138">
        <f>SUM('כתבי אופציה'!W:W)/B29</f>
        <v>2.4302101990606576E-4</v>
      </c>
    </row>
    <row r="11" spans="1:5">
      <c r="A11" s="48" t="s">
        <v>1083</v>
      </c>
      <c r="B11" s="134">
        <f>SUM('חוזים עתידיים'!R:R)</f>
        <v>477.517</v>
      </c>
      <c r="C11" s="49"/>
      <c r="D11" s="134"/>
      <c r="E11" s="138">
        <f>SUM('חוזים עתידיים'!R:R)/B29</f>
        <v>3.0770183052045608E-3</v>
      </c>
    </row>
    <row r="12" spans="1:5">
      <c r="A12" s="48" t="s">
        <v>954</v>
      </c>
      <c r="B12" s="134">
        <f>SUM('מוצרים מובנים'!Z:Z)</f>
        <v>0</v>
      </c>
      <c r="C12" s="49"/>
      <c r="D12" s="134"/>
      <c r="E12" s="138">
        <f>SUM('מוצרים מובנים'!Z:Z)/B29</f>
        <v>0</v>
      </c>
    </row>
    <row r="13" spans="1:5">
      <c r="A13" s="48" t="s">
        <v>961</v>
      </c>
      <c r="B13" s="134">
        <f>SUM('לא סחיר איגרות חוב ממשלתיות'!U:U)</f>
        <v>0</v>
      </c>
      <c r="C13" s="49"/>
      <c r="D13" s="134"/>
      <c r="E13" s="138">
        <f>SUM('לא סחיר איגרות חוב ממשלתיות'!U:U)/B29</f>
        <v>0</v>
      </c>
    </row>
    <row r="14" spans="1:5">
      <c r="A14" s="48" t="s">
        <v>962</v>
      </c>
      <c r="B14" s="134">
        <f>SUM('לא סחיר איגרות חוב מיועדות'!N:N)</f>
        <v>0</v>
      </c>
      <c r="C14" s="49"/>
      <c r="D14" s="134"/>
      <c r="E14" s="138">
        <f>SUM('לא סחיר איגרות חוב מיועדות'!N:N)/B29</f>
        <v>0</v>
      </c>
    </row>
    <row r="15" spans="1:5">
      <c r="A15" s="48" t="s">
        <v>968</v>
      </c>
      <c r="B15" s="134">
        <f>SUM('אפיק השקעה מובטח תשואה'!F:F)</f>
        <v>0</v>
      </c>
      <c r="C15" s="49"/>
      <c r="D15" s="134"/>
      <c r="E15" s="138">
        <f>SUM('אפיק השקעה מובטח תשואה'!F:F)/B29</f>
        <v>0</v>
      </c>
    </row>
    <row r="16" spans="1:5">
      <c r="A16" s="48" t="s">
        <v>972</v>
      </c>
      <c r="B16" s="134">
        <f>SUM('לא סחיר ניירות ערך מסחריים'!AI:AI)</f>
        <v>0</v>
      </c>
      <c r="C16" s="49"/>
      <c r="D16" s="134"/>
      <c r="E16" s="138">
        <f>SUM('לא סחיר ניירות ערך מסחריים'!AI:AI)/B29</f>
        <v>0</v>
      </c>
    </row>
    <row r="17" spans="1:5">
      <c r="A17" s="48" t="s">
        <v>974</v>
      </c>
      <c r="B17" s="134">
        <f>SUM('לא סחיר איגרות חוב'!AG:AG)</f>
        <v>1748.616</v>
      </c>
      <c r="C17" s="49"/>
      <c r="D17" s="134"/>
      <c r="E17" s="138">
        <f>SUM('לא סחיר איגרות חוב'!AG:AG)/B29</f>
        <v>1.1267710763749937E-2</v>
      </c>
    </row>
    <row r="18" spans="1:5">
      <c r="A18" s="48" t="s">
        <v>977</v>
      </c>
      <c r="B18" s="134">
        <f>SUM('לא סחיר מניות מבכ ויהש'!X:X)</f>
        <v>1924.192</v>
      </c>
      <c r="C18" s="49"/>
      <c r="D18" s="134"/>
      <c r="E18" s="138">
        <f>SUM('לא סחיר מניות מבכ ויהש'!X:X)/B29</f>
        <v>1.2399085282258379E-2</v>
      </c>
    </row>
    <row r="19" spans="1:5">
      <c r="A19" s="48" t="s">
        <v>732</v>
      </c>
      <c r="B19" s="134">
        <f>SUM('קרנות השקעה'!W:W)</f>
        <v>22490.381999999994</v>
      </c>
      <c r="C19" s="49"/>
      <c r="D19" s="134"/>
      <c r="E19" s="138">
        <f>SUM('קרנות השקעה'!W:W)/B29</f>
        <v>0.14492325321411204</v>
      </c>
    </row>
    <row r="20" spans="1:5">
      <c r="A20" s="48" t="s">
        <v>1094</v>
      </c>
      <c r="B20" s="134">
        <f>SUM('לא סחיר כתבי אופציה'!Z:Z)</f>
        <v>0</v>
      </c>
      <c r="C20" s="49"/>
      <c r="D20" s="134"/>
      <c r="E20" s="138">
        <f>SUM('לא סחיר כתבי אופציה'!Z:Z)/B29</f>
        <v>0</v>
      </c>
    </row>
    <row r="21" spans="1:5">
      <c r="A21" s="48" t="s">
        <v>992</v>
      </c>
      <c r="B21" s="134">
        <f>SUM('לא סחיר אופציות'!Z:Z)</f>
        <v>0</v>
      </c>
      <c r="C21" s="49"/>
      <c r="D21" s="134"/>
      <c r="E21" s="138">
        <f>SUM('לא סחיר אופציות'!Z:Z)/B29</f>
        <v>0</v>
      </c>
    </row>
    <row r="22" spans="1:5">
      <c r="A22" s="48" t="s">
        <v>1001</v>
      </c>
      <c r="B22" s="134">
        <f>SUM('לא סחיר נגזרים אחרים'!R:R)</f>
        <v>1146.421</v>
      </c>
      <c r="C22" s="49"/>
      <c r="D22" s="134"/>
      <c r="E22" s="138">
        <f>SUM('לא סחיר נגזרים אחרים'!R:R)/B29</f>
        <v>7.3872938606812282E-3</v>
      </c>
    </row>
    <row r="23" spans="1:5">
      <c r="A23" s="48" t="s">
        <v>994</v>
      </c>
      <c r="B23" s="134">
        <f>SUM(הלוואות!AT:AT)</f>
        <v>0</v>
      </c>
      <c r="C23" s="49"/>
      <c r="D23" s="134"/>
      <c r="E23" s="138">
        <f>SUM(הלוואות!AT:AT)/B29</f>
        <v>0</v>
      </c>
    </row>
    <row r="24" spans="1:5">
      <c r="A24" s="48" t="s">
        <v>1013</v>
      </c>
      <c r="B24" s="134">
        <f>SUM('לא סחיר מוצרים מובנים'!AB:AB)</f>
        <v>0</v>
      </c>
      <c r="C24" s="49"/>
      <c r="D24" s="134"/>
      <c r="E24" s="138">
        <f>SUM('לא סחיר מוצרים מובנים'!AB:AB)/B29</f>
        <v>0</v>
      </c>
    </row>
    <row r="25" spans="1:5">
      <c r="A25" s="48" t="s">
        <v>1018</v>
      </c>
      <c r="B25" s="134">
        <f>SUM('פיקדונות מעל 3 חודשים'!T:T)</f>
        <v>0</v>
      </c>
      <c r="C25" s="49"/>
      <c r="D25" s="134"/>
      <c r="E25" s="138">
        <f>SUM('פיקדונות מעל 3 חודשים'!T:T)/B29</f>
        <v>0</v>
      </c>
    </row>
    <row r="26" spans="1:5">
      <c r="A26" s="48" t="s">
        <v>1021</v>
      </c>
      <c r="B26" s="134">
        <f>SUM('זכויות מקרקעין'!S:S)</f>
        <v>0</v>
      </c>
      <c r="C26" s="49"/>
      <c r="D26" s="134"/>
      <c r="E26" s="138">
        <f>SUM('זכויות מקרקעין'!S:S)/B29</f>
        <v>0</v>
      </c>
    </row>
    <row r="27" spans="1:5">
      <c r="A27" s="48" t="s">
        <v>1056</v>
      </c>
      <c r="B27" s="134">
        <f>SUM('השקעה בחברות מוחזקות'!U:U)</f>
        <v>0</v>
      </c>
      <c r="C27" s="49"/>
      <c r="D27" s="134"/>
      <c r="E27" s="138">
        <f>SUM('השקעה בחברות מוחזקות'!U:U)/B29</f>
        <v>0</v>
      </c>
    </row>
    <row r="28" spans="1:5">
      <c r="A28" s="48" t="s">
        <v>1024</v>
      </c>
      <c r="B28" s="134">
        <f>SUM('נכסים אחרים'!N:N)</f>
        <v>-150.22494999999989</v>
      </c>
      <c r="C28" s="49"/>
      <c r="D28" s="134"/>
      <c r="E28" s="138">
        <f>SUM('נכסים אחרים'!N:N)/B29</f>
        <v>-9.6801772721900913E-4</v>
      </c>
    </row>
    <row r="29" spans="1:5">
      <c r="A29" s="47" t="s">
        <v>1135</v>
      </c>
      <c r="B29" s="135">
        <f>IF(SUM(B3:B28)=0,0.0001,SUM(B3:B28))</f>
        <v>155188.22204999998</v>
      </c>
      <c r="C29" s="50">
        <v>0</v>
      </c>
      <c r="D29" s="50">
        <v>0</v>
      </c>
      <c r="E29" s="139">
        <f t="shared" ref="E29" si="0">SUM(E3:E28)</f>
        <v>1</v>
      </c>
    </row>
    <row r="30" spans="1:5">
      <c r="A30" s="48" t="s">
        <v>1132</v>
      </c>
      <c r="B30" s="134"/>
      <c r="C30" s="49"/>
      <c r="D30" s="134"/>
      <c r="E30" s="138"/>
    </row>
    <row r="31" spans="1:5">
      <c r="A31" s="48" t="s">
        <v>1136</v>
      </c>
      <c r="B31" s="134">
        <f>SUM('יתרות התחייבות להשקעה'!O:O)</f>
        <v>6394.0616422910762</v>
      </c>
      <c r="C31" s="49"/>
      <c r="D31" s="134"/>
      <c r="E31" s="214">
        <f>B31/B29</f>
        <v>4.1201977558780058E-2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0"/>
  <sheetViews>
    <sheetView rightToLeft="1" zoomScale="70" zoomScaleNormal="70" workbookViewId="0">
      <selection activeCell="M18" sqref="M18"/>
    </sheetView>
  </sheetViews>
  <sheetFormatPr defaultColWidth="0" defaultRowHeight="14.25" zeroHeight="1"/>
  <cols>
    <col min="1" max="2" width="11.625" style="2" customWidth="1"/>
    <col min="3" max="3" width="18.25" style="2" customWidth="1"/>
    <col min="4" max="4" width="11.625" style="2" customWidth="1"/>
    <col min="5" max="5" width="11.625" style="4" customWidth="1"/>
    <col min="6" max="13" width="11.625" style="2" customWidth="1"/>
    <col min="14" max="14" width="11.625" style="143" customWidth="1"/>
    <col min="15" max="17" width="11.625" style="2" customWidth="1"/>
    <col min="18" max="18" width="11.625" style="2" hidden="1" customWidth="1"/>
    <col min="19" max="16384" width="0" style="2" hidden="1"/>
  </cols>
  <sheetData>
    <row r="1" spans="1:17" s="3" customFormat="1" ht="66.75" customHeight="1">
      <c r="A1" s="21" t="s">
        <v>0</v>
      </c>
      <c r="B1" s="21" t="s">
        <v>1</v>
      </c>
      <c r="C1" s="21" t="s">
        <v>121</v>
      </c>
      <c r="D1" s="21" t="s">
        <v>122</v>
      </c>
      <c r="E1" s="21" t="s">
        <v>123</v>
      </c>
      <c r="F1" s="21" t="s">
        <v>5</v>
      </c>
      <c r="G1" s="21" t="s">
        <v>6</v>
      </c>
      <c r="H1" s="21" t="s">
        <v>80</v>
      </c>
      <c r="I1" s="21" t="s">
        <v>125</v>
      </c>
      <c r="J1" s="21" t="s">
        <v>10</v>
      </c>
      <c r="K1" s="21" t="s">
        <v>11</v>
      </c>
      <c r="L1" s="21" t="s">
        <v>90</v>
      </c>
      <c r="M1" s="162" t="s">
        <v>18</v>
      </c>
      <c r="N1" s="164" t="s">
        <v>14</v>
      </c>
      <c r="O1" s="21" t="s">
        <v>20</v>
      </c>
      <c r="P1" s="167" t="s">
        <v>24</v>
      </c>
      <c r="Q1" s="167" t="s">
        <v>25</v>
      </c>
    </row>
    <row r="2" spans="1:17">
      <c r="A2" s="2">
        <v>891</v>
      </c>
      <c r="B2" s="2">
        <v>9956</v>
      </c>
      <c r="C2" s="2" t="s">
        <v>1137</v>
      </c>
      <c r="D2" s="2" t="s">
        <v>1138</v>
      </c>
      <c r="E2" s="4" t="s">
        <v>269</v>
      </c>
      <c r="F2" s="2" t="s">
        <v>909</v>
      </c>
      <c r="G2" s="2" t="s">
        <v>30</v>
      </c>
      <c r="H2" s="2" t="s">
        <v>94</v>
      </c>
      <c r="I2" s="2" t="s">
        <v>1139</v>
      </c>
      <c r="J2" s="2" t="s">
        <v>368</v>
      </c>
      <c r="K2" s="2" t="s">
        <v>34</v>
      </c>
      <c r="L2" s="155">
        <v>0</v>
      </c>
      <c r="M2" s="163">
        <v>1</v>
      </c>
      <c r="N2" s="165">
        <v>0</v>
      </c>
      <c r="O2" s="156">
        <v>0</v>
      </c>
      <c r="P2" s="168">
        <v>1</v>
      </c>
      <c r="Q2" s="168">
        <v>1</v>
      </c>
    </row>
    <row r="3" spans="1:17">
      <c r="A3" s="2">
        <v>891</v>
      </c>
      <c r="B3" s="2">
        <v>9957</v>
      </c>
      <c r="C3" s="2" t="s">
        <v>1137</v>
      </c>
      <c r="D3" s="2" t="s">
        <v>1138</v>
      </c>
      <c r="E3" s="20" t="s">
        <v>269</v>
      </c>
      <c r="F3" s="2" t="s">
        <v>909</v>
      </c>
      <c r="G3" s="2" t="s">
        <v>30</v>
      </c>
      <c r="H3" s="2" t="s">
        <v>94</v>
      </c>
      <c r="I3" s="2" t="s">
        <v>1139</v>
      </c>
      <c r="J3" s="2" t="s">
        <v>368</v>
      </c>
      <c r="K3" s="2" t="s">
        <v>34</v>
      </c>
      <c r="L3" s="156">
        <v>236.673</v>
      </c>
      <c r="M3" s="163">
        <v>1</v>
      </c>
      <c r="N3" s="166">
        <v>4.0300000000000002E-2</v>
      </c>
      <c r="O3" s="156">
        <v>236.673</v>
      </c>
      <c r="P3" s="168">
        <v>4.9892312343396597E-2</v>
      </c>
      <c r="Q3" s="168">
        <v>1.53639169471208E-3</v>
      </c>
    </row>
    <row r="4" spans="1:17">
      <c r="A4" s="2">
        <v>891</v>
      </c>
      <c r="B4" s="2">
        <v>9957</v>
      </c>
      <c r="C4" s="2" t="s">
        <v>1560</v>
      </c>
      <c r="D4" s="2" t="s">
        <v>2483</v>
      </c>
      <c r="E4" s="20" t="s">
        <v>269</v>
      </c>
      <c r="F4" s="2" t="s">
        <v>911</v>
      </c>
      <c r="G4" s="2" t="s">
        <v>30</v>
      </c>
      <c r="H4" s="2" t="s">
        <v>94</v>
      </c>
      <c r="I4" s="2" t="s">
        <v>1139</v>
      </c>
      <c r="J4" s="2" t="s">
        <v>368</v>
      </c>
      <c r="K4" s="2" t="s">
        <v>1140</v>
      </c>
      <c r="L4" s="156">
        <v>694.23099999999999</v>
      </c>
      <c r="M4" s="163">
        <v>3.3719999999999999</v>
      </c>
      <c r="N4" s="208" t="s">
        <v>2484</v>
      </c>
      <c r="O4" s="156">
        <v>2340.9459999999999</v>
      </c>
      <c r="P4" s="168">
        <v>0.493488542261735</v>
      </c>
      <c r="Q4" s="168">
        <v>1.5196563601784001E-2</v>
      </c>
    </row>
    <row r="5" spans="1:17">
      <c r="A5" s="2">
        <v>891</v>
      </c>
      <c r="B5" s="2">
        <v>9957</v>
      </c>
      <c r="C5" s="2" t="s">
        <v>1560</v>
      </c>
      <c r="D5" s="2" t="s">
        <v>2483</v>
      </c>
      <c r="E5" s="20" t="s">
        <v>269</v>
      </c>
      <c r="F5" s="2" t="s">
        <v>911</v>
      </c>
      <c r="G5" s="2" t="s">
        <v>30</v>
      </c>
      <c r="H5" s="2" t="s">
        <v>94</v>
      </c>
      <c r="I5" s="2" t="s">
        <v>1139</v>
      </c>
      <c r="J5" s="2" t="s">
        <v>368</v>
      </c>
      <c r="K5" s="2" t="s">
        <v>1141</v>
      </c>
      <c r="L5" s="156">
        <v>1E-3</v>
      </c>
      <c r="M5" s="163">
        <v>0.42899999999999999</v>
      </c>
      <c r="N5" s="166">
        <v>0</v>
      </c>
      <c r="O5" s="156">
        <v>1E-3</v>
      </c>
      <c r="P5" s="168">
        <v>1.10151471849108E-7</v>
      </c>
      <c r="Q5" s="168">
        <v>3.3920217075623202E-9</v>
      </c>
    </row>
    <row r="6" spans="1:17">
      <c r="A6" s="2">
        <v>891</v>
      </c>
      <c r="B6" s="2">
        <v>9957</v>
      </c>
      <c r="C6" s="2" t="s">
        <v>1560</v>
      </c>
      <c r="D6" s="2" t="s">
        <v>2483</v>
      </c>
      <c r="E6" s="20" t="s">
        <v>269</v>
      </c>
      <c r="F6" s="2" t="s">
        <v>911</v>
      </c>
      <c r="G6" s="2" t="s">
        <v>30</v>
      </c>
      <c r="H6" s="2" t="s">
        <v>94</v>
      </c>
      <c r="I6" s="2" t="s">
        <v>1139</v>
      </c>
      <c r="J6" s="2" t="s">
        <v>368</v>
      </c>
      <c r="K6" s="2" t="s">
        <v>1142</v>
      </c>
      <c r="L6" s="156">
        <v>262.55099999999999</v>
      </c>
      <c r="M6" s="163">
        <v>3.9552</v>
      </c>
      <c r="N6" s="166">
        <v>0</v>
      </c>
      <c r="O6" s="156">
        <v>1038.441</v>
      </c>
      <c r="P6" s="168">
        <v>0.21891090849302899</v>
      </c>
      <c r="Q6" s="168">
        <v>6.7411768645972703E-3</v>
      </c>
    </row>
    <row r="7" spans="1:17">
      <c r="A7" s="2">
        <v>891</v>
      </c>
      <c r="B7" s="2">
        <v>9957</v>
      </c>
      <c r="C7" s="2" t="s">
        <v>1560</v>
      </c>
      <c r="D7" s="2" t="s">
        <v>2483</v>
      </c>
      <c r="E7" s="20" t="s">
        <v>269</v>
      </c>
      <c r="F7" s="2" t="s">
        <v>911</v>
      </c>
      <c r="G7" s="2" t="s">
        <v>30</v>
      </c>
      <c r="H7" s="2" t="s">
        <v>94</v>
      </c>
      <c r="I7" s="2" t="s">
        <v>1139</v>
      </c>
      <c r="J7" s="2" t="s">
        <v>368</v>
      </c>
      <c r="K7" s="2" t="s">
        <v>1143</v>
      </c>
      <c r="L7" s="156">
        <v>183.40100000000001</v>
      </c>
      <c r="M7" s="163">
        <v>2.3369000000000001E-2</v>
      </c>
      <c r="N7" s="166">
        <v>0</v>
      </c>
      <c r="O7" s="156">
        <v>4.2859999999999996</v>
      </c>
      <c r="P7" s="168">
        <v>9.03500766374961E-4</v>
      </c>
      <c r="Q7" s="168">
        <v>2.7822544364557001E-5</v>
      </c>
    </row>
    <row r="8" spans="1:17">
      <c r="A8" s="2">
        <v>891</v>
      </c>
      <c r="B8" s="2">
        <v>9957</v>
      </c>
      <c r="C8" s="2" t="s">
        <v>1560</v>
      </c>
      <c r="D8" s="2" t="s">
        <v>2483</v>
      </c>
      <c r="E8" s="20" t="s">
        <v>269</v>
      </c>
      <c r="F8" s="2" t="s">
        <v>911</v>
      </c>
      <c r="G8" s="2" t="s">
        <v>30</v>
      </c>
      <c r="H8" s="2" t="s">
        <v>94</v>
      </c>
      <c r="I8" s="2" t="s">
        <v>1139</v>
      </c>
      <c r="J8" s="2" t="s">
        <v>368</v>
      </c>
      <c r="K8" s="2" t="s">
        <v>1144</v>
      </c>
      <c r="L8" s="156">
        <v>0</v>
      </c>
      <c r="M8" s="163">
        <v>0.53010000000000002</v>
      </c>
      <c r="N8" s="166">
        <v>0</v>
      </c>
      <c r="O8" s="156">
        <v>0</v>
      </c>
      <c r="P8" s="168">
        <v>-1.1174896985622101E-9</v>
      </c>
      <c r="Q8" s="168">
        <v>-3.4412153118505697E-11</v>
      </c>
    </row>
    <row r="9" spans="1:17">
      <c r="A9" s="2">
        <v>891</v>
      </c>
      <c r="B9" s="2">
        <v>9957</v>
      </c>
      <c r="C9" s="2" t="s">
        <v>1560</v>
      </c>
      <c r="D9" s="2" t="s">
        <v>2483</v>
      </c>
      <c r="E9" s="20" t="s">
        <v>269</v>
      </c>
      <c r="F9" s="2" t="s">
        <v>911</v>
      </c>
      <c r="G9" s="2" t="s">
        <v>160</v>
      </c>
      <c r="H9" s="2" t="s">
        <v>94</v>
      </c>
      <c r="I9" s="2" t="s">
        <v>1139</v>
      </c>
      <c r="J9" s="2" t="s">
        <v>368</v>
      </c>
      <c r="K9" s="2" t="s">
        <v>1145</v>
      </c>
      <c r="L9" s="156">
        <v>0</v>
      </c>
      <c r="M9" s="163">
        <v>0.35499999999999998</v>
      </c>
      <c r="N9" s="166">
        <v>0</v>
      </c>
      <c r="O9" s="156">
        <v>0</v>
      </c>
      <c r="P9" s="168">
        <v>-7.4836604978227299E-10</v>
      </c>
      <c r="Q9" s="168">
        <v>-2.3045301560214198E-11</v>
      </c>
    </row>
    <row r="10" spans="1:17">
      <c r="A10" s="2">
        <v>891</v>
      </c>
      <c r="B10" s="2">
        <v>9957</v>
      </c>
      <c r="C10" s="2" t="s">
        <v>1560</v>
      </c>
      <c r="D10" s="2" t="s">
        <v>2483</v>
      </c>
      <c r="E10" s="20" t="s">
        <v>269</v>
      </c>
      <c r="F10" s="2" t="s">
        <v>911</v>
      </c>
      <c r="G10" s="2" t="s">
        <v>30</v>
      </c>
      <c r="H10" s="2" t="s">
        <v>94</v>
      </c>
      <c r="I10" s="2" t="s">
        <v>1139</v>
      </c>
      <c r="J10" s="2" t="s">
        <v>368</v>
      </c>
      <c r="K10" s="2" t="s">
        <v>1146</v>
      </c>
      <c r="L10" s="156">
        <v>12.772</v>
      </c>
      <c r="M10" s="163">
        <v>4.6235999999999997</v>
      </c>
      <c r="N10" s="166">
        <v>0</v>
      </c>
      <c r="O10" s="156">
        <v>59.052999999999997</v>
      </c>
      <c r="P10" s="168">
        <v>1.2448774187961699E-2</v>
      </c>
      <c r="Q10" s="168">
        <v>3.8334950563304401E-4</v>
      </c>
    </row>
    <row r="11" spans="1:17">
      <c r="A11" s="2">
        <v>891</v>
      </c>
      <c r="B11" s="2">
        <v>9957</v>
      </c>
      <c r="C11" s="2" t="s">
        <v>1560</v>
      </c>
      <c r="D11" s="2" t="s">
        <v>2483</v>
      </c>
      <c r="E11" s="20" t="s">
        <v>269</v>
      </c>
      <c r="F11" s="2" t="s">
        <v>909</v>
      </c>
      <c r="G11" s="2" t="s">
        <v>30</v>
      </c>
      <c r="H11" s="2" t="s">
        <v>94</v>
      </c>
      <c r="I11" s="2" t="s">
        <v>1139</v>
      </c>
      <c r="J11" s="2" t="s">
        <v>368</v>
      </c>
      <c r="K11" s="2" t="s">
        <v>34</v>
      </c>
      <c r="L11" s="156">
        <v>982.89499999999998</v>
      </c>
      <c r="M11" s="163">
        <v>1</v>
      </c>
      <c r="N11" s="166">
        <v>0</v>
      </c>
      <c r="O11" s="156">
        <v>982.89499999999998</v>
      </c>
      <c r="P11" s="168">
        <v>0.20720150796394199</v>
      </c>
      <c r="Q11" s="168">
        <v>6.3805957474278602E-3</v>
      </c>
    </row>
    <row r="12" spans="1:17">
      <c r="A12" s="2">
        <v>891</v>
      </c>
      <c r="B12" s="2">
        <v>9957</v>
      </c>
      <c r="C12" s="2" t="s">
        <v>1560</v>
      </c>
      <c r="D12" s="2" t="s">
        <v>2483</v>
      </c>
      <c r="E12" s="20" t="s">
        <v>269</v>
      </c>
      <c r="F12" s="2" t="s">
        <v>911</v>
      </c>
      <c r="G12" s="2" t="s">
        <v>30</v>
      </c>
      <c r="H12" s="2" t="s">
        <v>94</v>
      </c>
      <c r="I12" s="2" t="s">
        <v>1139</v>
      </c>
      <c r="J12" s="2" t="s">
        <v>368</v>
      </c>
      <c r="K12" s="2" t="s">
        <v>1147</v>
      </c>
      <c r="L12" s="156">
        <v>19.231000000000002</v>
      </c>
      <c r="M12" s="163">
        <v>4.2313999999999998</v>
      </c>
      <c r="N12" s="166">
        <v>0</v>
      </c>
      <c r="O12" s="156">
        <v>81.375</v>
      </c>
      <c r="P12" s="168">
        <v>1.7154345697943999E-2</v>
      </c>
      <c r="Q12" s="168">
        <v>5.2825361304443999E-4</v>
      </c>
    </row>
    <row r="13" spans="1:17">
      <c r="A13" s="2">
        <v>891</v>
      </c>
      <c r="B13" s="2">
        <v>9958</v>
      </c>
      <c r="C13" s="2" t="s">
        <v>1137</v>
      </c>
      <c r="D13" s="2" t="s">
        <v>1138</v>
      </c>
      <c r="E13" s="20" t="s">
        <v>269</v>
      </c>
      <c r="F13" s="2" t="s">
        <v>909</v>
      </c>
      <c r="G13" s="2" t="s">
        <v>30</v>
      </c>
      <c r="H13" s="2" t="s">
        <v>94</v>
      </c>
      <c r="I13" s="2" t="s">
        <v>1139</v>
      </c>
      <c r="J13" s="2" t="s">
        <v>368</v>
      </c>
      <c r="K13" s="2" t="s">
        <v>34</v>
      </c>
      <c r="L13" s="156">
        <v>0</v>
      </c>
      <c r="M13" s="163">
        <v>1</v>
      </c>
      <c r="N13" s="166">
        <v>0</v>
      </c>
      <c r="O13" s="156">
        <v>0</v>
      </c>
      <c r="P13" s="168">
        <v>1</v>
      </c>
      <c r="Q13" s="168">
        <v>1</v>
      </c>
    </row>
    <row r="14" spans="1:17" hidden="1">
      <c r="E14" s="20"/>
      <c r="N14" s="142"/>
    </row>
    <row r="15" spans="1:17" hidden="1">
      <c r="E15" s="20"/>
      <c r="N15" s="142"/>
    </row>
    <row r="16" spans="1:17" hidden="1">
      <c r="E16" s="20"/>
      <c r="N16" s="142"/>
    </row>
    <row r="17" spans="5:14" hidden="1">
      <c r="E17" s="20"/>
      <c r="N17" s="142"/>
    </row>
    <row r="18" spans="5:14" hidden="1">
      <c r="E18" s="20"/>
      <c r="N18" s="142"/>
    </row>
    <row r="19" spans="5:14" hidden="1">
      <c r="E19" s="20"/>
      <c r="N19" s="142"/>
    </row>
    <row r="20" spans="5:14" hidden="1">
      <c r="E20" s="20"/>
      <c r="N20" s="14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4"/>
  <sheetViews>
    <sheetView rightToLeft="1" zoomScale="70" zoomScaleNormal="70" workbookViewId="0">
      <selection activeCell="C2" sqref="C2"/>
    </sheetView>
  </sheetViews>
  <sheetFormatPr defaultColWidth="0" defaultRowHeight="14.25" zeroHeight="1"/>
  <cols>
    <col min="1" max="14" width="11.625" style="4" customWidth="1"/>
    <col min="15" max="15" width="11.625" style="144" customWidth="1"/>
    <col min="16" max="17" width="11.625" style="4" customWidth="1"/>
    <col min="18" max="18" width="17.5" style="4" customWidth="1"/>
    <col min="19" max="26" width="11.625" style="4" customWidth="1"/>
    <col min="27" max="30" width="11.625" style="4" hidden="1" customWidth="1"/>
    <col min="31" max="16384" width="0" style="4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4" t="s">
        <v>14</v>
      </c>
      <c r="P1" s="167" t="s">
        <v>15</v>
      </c>
      <c r="Q1" s="21" t="s">
        <v>16</v>
      </c>
      <c r="R1" s="21" t="s">
        <v>17</v>
      </c>
      <c r="S1" s="162" t="s">
        <v>18</v>
      </c>
      <c r="T1" s="171" t="s">
        <v>19</v>
      </c>
      <c r="U1" s="21" t="s">
        <v>20</v>
      </c>
      <c r="V1" s="21" t="s">
        <v>21</v>
      </c>
      <c r="W1" s="21" t="s">
        <v>22</v>
      </c>
      <c r="X1" s="167" t="s">
        <v>23</v>
      </c>
      <c r="Y1" s="167" t="s">
        <v>24</v>
      </c>
      <c r="Z1" s="167" t="s">
        <v>25</v>
      </c>
    </row>
    <row r="2" spans="1:26">
      <c r="A2" s="20">
        <v>891</v>
      </c>
      <c r="B2" s="20">
        <v>9957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7">
        <v>1.905</v>
      </c>
      <c r="N2" s="4" t="s">
        <v>35</v>
      </c>
      <c r="O2" s="166">
        <v>7.4999999999999997E-3</v>
      </c>
      <c r="P2" s="169">
        <v>2.0959999999999999E-2</v>
      </c>
      <c r="R2" s="157">
        <v>2122291</v>
      </c>
      <c r="S2" s="170">
        <v>1</v>
      </c>
      <c r="T2" s="172">
        <v>115.45</v>
      </c>
      <c r="U2" s="157">
        <v>2450.1849999999999</v>
      </c>
      <c r="W2" s="20" t="s">
        <v>36</v>
      </c>
      <c r="X2" s="173">
        <v>8.7000000000000001E-5</v>
      </c>
      <c r="Y2" s="169">
        <v>8.2980193046326298E-2</v>
      </c>
      <c r="Z2" s="169">
        <v>1.5905704583092602E-2</v>
      </c>
    </row>
    <row r="3" spans="1:26">
      <c r="A3" s="20">
        <v>891</v>
      </c>
      <c r="B3" s="20">
        <v>9957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4" t="s">
        <v>34</v>
      </c>
      <c r="M3" s="157">
        <v>17.931999999999999</v>
      </c>
      <c r="N3" s="4" t="s">
        <v>39</v>
      </c>
      <c r="O3" s="166">
        <v>0.01</v>
      </c>
      <c r="P3" s="169">
        <v>2.0230000000000001E-2</v>
      </c>
      <c r="R3" s="157">
        <v>1000000</v>
      </c>
      <c r="S3" s="170">
        <v>1</v>
      </c>
      <c r="T3" s="172">
        <v>98.54</v>
      </c>
      <c r="U3" s="157">
        <v>985.4</v>
      </c>
      <c r="W3" s="20" t="s">
        <v>36</v>
      </c>
      <c r="X3" s="173">
        <v>4.3999999999999999E-5</v>
      </c>
      <c r="Y3" s="169">
        <v>3.3372452928833597E-2</v>
      </c>
      <c r="Z3" s="169">
        <v>6.3968563823760703E-3</v>
      </c>
    </row>
    <row r="4" spans="1:26">
      <c r="A4" s="20">
        <v>891</v>
      </c>
      <c r="B4" s="20">
        <v>9957</v>
      </c>
      <c r="C4" s="20" t="s">
        <v>26</v>
      </c>
      <c r="D4" s="20" t="s">
        <v>40</v>
      </c>
      <c r="E4" s="20" t="s">
        <v>41</v>
      </c>
      <c r="F4" s="20" t="s">
        <v>29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4" t="s">
        <v>34</v>
      </c>
      <c r="M4" s="157">
        <v>0.33200000000000002</v>
      </c>
      <c r="N4" s="4" t="s">
        <v>42</v>
      </c>
      <c r="O4" s="166">
        <v>7.4999999999999997E-3</v>
      </c>
      <c r="P4" s="169">
        <v>5.9899999999999997E-3</v>
      </c>
      <c r="R4" s="157">
        <v>2029976</v>
      </c>
      <c r="S4" s="170">
        <v>1</v>
      </c>
      <c r="T4" s="172">
        <v>118.26</v>
      </c>
      <c r="U4" s="157">
        <v>2400.65</v>
      </c>
      <c r="W4" s="20" t="s">
        <v>36</v>
      </c>
      <c r="X4" s="173">
        <v>1.6000000000000001E-4</v>
      </c>
      <c r="Y4" s="169">
        <v>8.1302584089688004E-2</v>
      </c>
      <c r="Z4" s="169">
        <v>1.55841392614098E-2</v>
      </c>
    </row>
    <row r="5" spans="1:26">
      <c r="A5" s="20">
        <v>891</v>
      </c>
      <c r="B5" s="20">
        <v>9957</v>
      </c>
      <c r="C5" s="20" t="s">
        <v>43</v>
      </c>
      <c r="D5" s="20" t="s">
        <v>44</v>
      </c>
      <c r="E5" s="20" t="s">
        <v>45</v>
      </c>
      <c r="F5" s="20" t="s">
        <v>46</v>
      </c>
      <c r="G5" s="20" t="s">
        <v>30</v>
      </c>
      <c r="H5" s="20" t="s">
        <v>30</v>
      </c>
      <c r="I5" s="20" t="s">
        <v>31</v>
      </c>
      <c r="J5" s="20" t="s">
        <v>32</v>
      </c>
      <c r="K5" s="20" t="s">
        <v>33</v>
      </c>
      <c r="L5" s="4" t="s">
        <v>34</v>
      </c>
      <c r="M5" s="157">
        <v>3.109</v>
      </c>
      <c r="N5" s="4" t="s">
        <v>47</v>
      </c>
      <c r="O5" s="166">
        <v>2.2499999999999999E-2</v>
      </c>
      <c r="P5" s="169">
        <v>3.952E-2</v>
      </c>
      <c r="R5" s="157">
        <v>1521608</v>
      </c>
      <c r="S5" s="170">
        <v>1</v>
      </c>
      <c r="T5" s="172">
        <v>96.6</v>
      </c>
      <c r="U5" s="157">
        <v>1469.873</v>
      </c>
      <c r="W5" s="20" t="s">
        <v>36</v>
      </c>
      <c r="X5" s="173">
        <v>4.3999999999999999E-5</v>
      </c>
      <c r="Y5" s="169">
        <v>4.9780067434572799E-2</v>
      </c>
      <c r="Z5" s="169">
        <v>9.5418800279086207E-3</v>
      </c>
    </row>
    <row r="6" spans="1:26">
      <c r="A6" s="20">
        <v>891</v>
      </c>
      <c r="B6" s="20">
        <v>9957</v>
      </c>
      <c r="C6" s="20" t="s">
        <v>43</v>
      </c>
      <c r="D6" s="20" t="s">
        <v>48</v>
      </c>
      <c r="E6" s="20" t="s">
        <v>49</v>
      </c>
      <c r="F6" s="20" t="s">
        <v>46</v>
      </c>
      <c r="G6" s="20" t="s">
        <v>30</v>
      </c>
      <c r="H6" s="20" t="s">
        <v>30</v>
      </c>
      <c r="I6" s="20" t="s">
        <v>31</v>
      </c>
      <c r="J6" s="20" t="s">
        <v>32</v>
      </c>
      <c r="K6" s="20" t="s">
        <v>33</v>
      </c>
      <c r="L6" s="4" t="s">
        <v>34</v>
      </c>
      <c r="M6" s="157">
        <v>2.1389999999999998</v>
      </c>
      <c r="N6" s="4" t="s">
        <v>50</v>
      </c>
      <c r="O6" s="166">
        <v>3.7499999999999999E-2</v>
      </c>
      <c r="P6" s="169">
        <v>3.9739999999999998E-2</v>
      </c>
      <c r="R6" s="157">
        <v>2062192</v>
      </c>
      <c r="S6" s="170">
        <v>1</v>
      </c>
      <c r="T6" s="172">
        <v>102.34</v>
      </c>
      <c r="U6" s="157">
        <v>2110.4470000000001</v>
      </c>
      <c r="W6" s="20" t="s">
        <v>36</v>
      </c>
      <c r="X6" s="173">
        <v>5.8E-5</v>
      </c>
      <c r="Y6" s="169">
        <v>7.1474328128427397E-2</v>
      </c>
      <c r="Z6" s="169">
        <v>1.3700251912538999E-2</v>
      </c>
    </row>
    <row r="7" spans="1:26">
      <c r="A7" s="20">
        <v>891</v>
      </c>
      <c r="B7" s="20">
        <v>9957</v>
      </c>
      <c r="C7" s="20" t="s">
        <v>43</v>
      </c>
      <c r="D7" s="20" t="s">
        <v>51</v>
      </c>
      <c r="E7" s="20" t="s">
        <v>52</v>
      </c>
      <c r="F7" s="20" t="s">
        <v>46</v>
      </c>
      <c r="G7" s="20" t="s">
        <v>30</v>
      </c>
      <c r="H7" s="20" t="s">
        <v>30</v>
      </c>
      <c r="I7" s="20" t="s">
        <v>31</v>
      </c>
      <c r="J7" s="20" t="s">
        <v>32</v>
      </c>
      <c r="K7" s="20" t="s">
        <v>33</v>
      </c>
      <c r="L7" s="4" t="s">
        <v>34</v>
      </c>
      <c r="M7" s="157">
        <v>3.45</v>
      </c>
      <c r="N7" s="4" t="s">
        <v>53</v>
      </c>
      <c r="O7" s="166">
        <v>3.7499999999999999E-2</v>
      </c>
      <c r="P7" s="169">
        <v>3.943E-2</v>
      </c>
      <c r="R7" s="157">
        <v>1975189</v>
      </c>
      <c r="S7" s="170">
        <v>1</v>
      </c>
      <c r="T7" s="172">
        <v>100.61</v>
      </c>
      <c r="U7" s="157">
        <v>1987.2380000000001</v>
      </c>
      <c r="W7" s="20" t="s">
        <v>36</v>
      </c>
      <c r="X7" s="173">
        <v>5.5999999999999999E-5</v>
      </c>
      <c r="Y7" s="169">
        <v>6.7301598365953993E-2</v>
      </c>
      <c r="Z7" s="169">
        <v>1.2900419995181E-2</v>
      </c>
    </row>
    <row r="8" spans="1:26">
      <c r="A8" s="20">
        <v>891</v>
      </c>
      <c r="B8" s="20">
        <v>9957</v>
      </c>
      <c r="C8" s="20" t="s">
        <v>43</v>
      </c>
      <c r="D8" s="20" t="s">
        <v>54</v>
      </c>
      <c r="E8" s="20" t="s">
        <v>55</v>
      </c>
      <c r="F8" s="20" t="s">
        <v>46</v>
      </c>
      <c r="G8" s="20" t="s">
        <v>30</v>
      </c>
      <c r="H8" s="20" t="s">
        <v>30</v>
      </c>
      <c r="I8" s="20" t="s">
        <v>31</v>
      </c>
      <c r="J8" s="20" t="s">
        <v>32</v>
      </c>
      <c r="K8" s="20" t="s">
        <v>33</v>
      </c>
      <c r="L8" s="4" t="s">
        <v>34</v>
      </c>
      <c r="M8" s="157">
        <v>8.1739999999999995</v>
      </c>
      <c r="N8" s="4" t="s">
        <v>56</v>
      </c>
      <c r="O8" s="166">
        <v>0.04</v>
      </c>
      <c r="P8" s="169">
        <v>4.1140000000000003E-2</v>
      </c>
      <c r="R8" s="157">
        <v>5725974</v>
      </c>
      <c r="S8" s="170">
        <v>1</v>
      </c>
      <c r="T8" s="172">
        <v>100.1</v>
      </c>
      <c r="U8" s="157">
        <v>5731.7</v>
      </c>
      <c r="W8" s="20" t="s">
        <v>36</v>
      </c>
      <c r="X8" s="173">
        <v>1.7200000000000001E-4</v>
      </c>
      <c r="Y8" s="169">
        <v>0.194114966089418</v>
      </c>
      <c r="Z8" s="169">
        <v>3.7208099817887801E-2</v>
      </c>
    </row>
    <row r="9" spans="1:26">
      <c r="A9" s="20">
        <v>891</v>
      </c>
      <c r="B9" s="20">
        <v>9957</v>
      </c>
      <c r="C9" s="20" t="s">
        <v>43</v>
      </c>
      <c r="D9" s="20" t="s">
        <v>57</v>
      </c>
      <c r="E9" s="20" t="s">
        <v>58</v>
      </c>
      <c r="F9" s="20" t="s">
        <v>46</v>
      </c>
      <c r="G9" s="20" t="s">
        <v>30</v>
      </c>
      <c r="H9" s="20" t="s">
        <v>30</v>
      </c>
      <c r="I9" s="20" t="s">
        <v>31</v>
      </c>
      <c r="J9" s="20" t="s">
        <v>32</v>
      </c>
      <c r="K9" s="20" t="s">
        <v>33</v>
      </c>
      <c r="L9" s="4" t="s">
        <v>34</v>
      </c>
      <c r="M9" s="157">
        <v>14.709</v>
      </c>
      <c r="N9" s="4" t="s">
        <v>59</v>
      </c>
      <c r="O9" s="166">
        <v>3.7499999999999999E-2</v>
      </c>
      <c r="P9" s="169">
        <v>4.4699999999999997E-2</v>
      </c>
      <c r="R9" s="157">
        <v>595000</v>
      </c>
      <c r="S9" s="170">
        <v>1</v>
      </c>
      <c r="T9" s="172">
        <v>91.05</v>
      </c>
      <c r="U9" s="157">
        <v>541.74699999999996</v>
      </c>
      <c r="W9" s="20" t="s">
        <v>36</v>
      </c>
      <c r="X9" s="173">
        <v>2.3E-5</v>
      </c>
      <c r="Y9" s="169">
        <v>1.8347313723425299E-2</v>
      </c>
      <c r="Z9" s="169">
        <v>3.5168266216879201E-3</v>
      </c>
    </row>
    <row r="10" spans="1:26">
      <c r="A10" s="20">
        <v>891</v>
      </c>
      <c r="B10" s="20">
        <v>9957</v>
      </c>
      <c r="C10" s="20" t="s">
        <v>43</v>
      </c>
      <c r="D10" s="20" t="s">
        <v>60</v>
      </c>
      <c r="E10" s="20" t="s">
        <v>61</v>
      </c>
      <c r="F10" s="20" t="s">
        <v>46</v>
      </c>
      <c r="G10" s="20" t="s">
        <v>30</v>
      </c>
      <c r="H10" s="20" t="s">
        <v>30</v>
      </c>
      <c r="I10" s="20" t="s">
        <v>31</v>
      </c>
      <c r="J10" s="20" t="s">
        <v>32</v>
      </c>
      <c r="K10" s="20" t="s">
        <v>33</v>
      </c>
      <c r="L10" s="4" t="s">
        <v>34</v>
      </c>
      <c r="M10" s="157">
        <v>11.420999999999999</v>
      </c>
      <c r="N10" s="4" t="s">
        <v>62</v>
      </c>
      <c r="O10" s="166">
        <v>5.5E-2</v>
      </c>
      <c r="P10" s="169">
        <v>4.3520000000000003E-2</v>
      </c>
      <c r="R10" s="157">
        <v>5814603</v>
      </c>
      <c r="S10" s="170">
        <v>1</v>
      </c>
      <c r="T10" s="172">
        <v>115.63</v>
      </c>
      <c r="U10" s="157">
        <v>6723.4250000000002</v>
      </c>
      <c r="W10" s="20" t="s">
        <v>36</v>
      </c>
      <c r="X10" s="173">
        <v>2.02E-4</v>
      </c>
      <c r="Y10" s="169">
        <v>0.22770164330620801</v>
      </c>
      <c r="Z10" s="169">
        <v>4.36460188697236E-2</v>
      </c>
    </row>
    <row r="11" spans="1:26">
      <c r="A11" s="20">
        <v>891</v>
      </c>
      <c r="B11" s="20">
        <v>9957</v>
      </c>
      <c r="C11" s="20" t="s">
        <v>26</v>
      </c>
      <c r="D11" s="20" t="s">
        <v>63</v>
      </c>
      <c r="E11" s="20" t="s">
        <v>64</v>
      </c>
      <c r="F11" s="20" t="s">
        <v>29</v>
      </c>
      <c r="G11" s="20" t="s">
        <v>30</v>
      </c>
      <c r="H11" s="20" t="s">
        <v>30</v>
      </c>
      <c r="I11" s="20" t="s">
        <v>31</v>
      </c>
      <c r="J11" s="20" t="s">
        <v>32</v>
      </c>
      <c r="K11" s="20" t="s">
        <v>33</v>
      </c>
      <c r="L11" s="4" t="s">
        <v>34</v>
      </c>
      <c r="M11" s="157">
        <v>1.0780000000000001</v>
      </c>
      <c r="N11" s="4" t="s">
        <v>65</v>
      </c>
      <c r="O11" s="166">
        <v>1E-3</v>
      </c>
      <c r="P11" s="169">
        <v>2.3380000000000001E-2</v>
      </c>
      <c r="R11" s="157">
        <v>265000</v>
      </c>
      <c r="S11" s="170">
        <v>1</v>
      </c>
      <c r="T11" s="172">
        <v>114.5</v>
      </c>
      <c r="U11" s="157">
        <v>303.42500000000001</v>
      </c>
      <c r="W11" s="20" t="s">
        <v>36</v>
      </c>
      <c r="X11" s="173">
        <v>1.2999999999999999E-5</v>
      </c>
      <c r="Y11" s="169">
        <v>1.02760671097335E-2</v>
      </c>
      <c r="Z11" s="169">
        <v>1.9697241199740801E-3</v>
      </c>
    </row>
    <row r="12" spans="1:26">
      <c r="A12" s="20">
        <v>891</v>
      </c>
      <c r="B12" s="20">
        <v>9957</v>
      </c>
      <c r="C12" s="20" t="s">
        <v>43</v>
      </c>
      <c r="D12" s="20" t="s">
        <v>66</v>
      </c>
      <c r="E12" s="20" t="s">
        <v>67</v>
      </c>
      <c r="F12" s="20" t="s">
        <v>46</v>
      </c>
      <c r="G12" s="20" t="s">
        <v>30</v>
      </c>
      <c r="H12" s="20" t="s">
        <v>30</v>
      </c>
      <c r="I12" s="20" t="s">
        <v>31</v>
      </c>
      <c r="J12" s="20" t="s">
        <v>32</v>
      </c>
      <c r="K12" s="20" t="s">
        <v>33</v>
      </c>
      <c r="L12" s="4" t="s">
        <v>34</v>
      </c>
      <c r="M12" s="157">
        <v>10.803000000000001</v>
      </c>
      <c r="N12" s="4" t="s">
        <v>68</v>
      </c>
      <c r="O12" s="166">
        <v>1.4999999999999999E-2</v>
      </c>
      <c r="P12" s="169">
        <v>4.2529999999999998E-2</v>
      </c>
      <c r="R12" s="157">
        <v>560815</v>
      </c>
      <c r="S12" s="170">
        <v>1</v>
      </c>
      <c r="T12" s="172">
        <v>74.8</v>
      </c>
      <c r="U12" s="157">
        <v>419.49</v>
      </c>
      <c r="W12" s="20" t="s">
        <v>36</v>
      </c>
      <c r="X12" s="173">
        <v>1.5E-5</v>
      </c>
      <c r="Y12" s="169">
        <v>1.4206817127648E-2</v>
      </c>
      <c r="Z12" s="169">
        <v>2.7231731814872299E-3</v>
      </c>
    </row>
    <row r="13" spans="1:26">
      <c r="A13" s="20">
        <v>891</v>
      </c>
      <c r="B13" s="20">
        <v>9957</v>
      </c>
      <c r="C13" s="20" t="s">
        <v>43</v>
      </c>
      <c r="D13" s="20" t="s">
        <v>69</v>
      </c>
      <c r="E13" s="20" t="s">
        <v>70</v>
      </c>
      <c r="F13" s="20" t="s">
        <v>46</v>
      </c>
      <c r="G13" s="20" t="s">
        <v>30</v>
      </c>
      <c r="H13" s="20" t="s">
        <v>30</v>
      </c>
      <c r="I13" s="20" t="s">
        <v>31</v>
      </c>
      <c r="J13" s="20" t="s">
        <v>32</v>
      </c>
      <c r="K13" s="20" t="s">
        <v>33</v>
      </c>
      <c r="L13" s="4" t="s">
        <v>34</v>
      </c>
      <c r="M13" s="157">
        <v>4.641</v>
      </c>
      <c r="N13" s="4" t="s">
        <v>71</v>
      </c>
      <c r="O13" s="166">
        <v>0.01</v>
      </c>
      <c r="P13" s="169">
        <v>3.9690000000000003E-2</v>
      </c>
      <c r="R13" s="157">
        <v>3037907</v>
      </c>
      <c r="S13" s="170">
        <v>1</v>
      </c>
      <c r="T13" s="172">
        <v>87.63</v>
      </c>
      <c r="U13" s="157">
        <v>2662.1179999999999</v>
      </c>
      <c r="W13" s="20" t="s">
        <v>36</v>
      </c>
      <c r="X13" s="173">
        <v>8.0000000000000007E-5</v>
      </c>
      <c r="Y13" s="169">
        <v>9.0157706967305198E-2</v>
      </c>
      <c r="Z13" s="169">
        <v>1.7281495743332299E-2</v>
      </c>
    </row>
    <row r="14" spans="1:26">
      <c r="A14" s="20">
        <v>891</v>
      </c>
      <c r="B14" s="20">
        <v>9957</v>
      </c>
      <c r="C14" s="20" t="s">
        <v>43</v>
      </c>
      <c r="D14" s="20" t="s">
        <v>72</v>
      </c>
      <c r="E14" s="20" t="s">
        <v>73</v>
      </c>
      <c r="F14" s="20" t="s">
        <v>46</v>
      </c>
      <c r="G14" s="20" t="s">
        <v>30</v>
      </c>
      <c r="H14" s="20" t="s">
        <v>30</v>
      </c>
      <c r="I14" s="20" t="s">
        <v>31</v>
      </c>
      <c r="J14" s="20" t="s">
        <v>32</v>
      </c>
      <c r="K14" s="20" t="s">
        <v>33</v>
      </c>
      <c r="L14" s="4" t="s">
        <v>34</v>
      </c>
      <c r="M14" s="157">
        <v>6.5380000000000003</v>
      </c>
      <c r="N14" s="4" t="s">
        <v>74</v>
      </c>
      <c r="O14" s="166">
        <v>1.2999999999999999E-2</v>
      </c>
      <c r="P14" s="169">
        <v>4.0480000000000002E-2</v>
      </c>
      <c r="R14" s="157">
        <v>2070926</v>
      </c>
      <c r="S14" s="170">
        <v>1</v>
      </c>
      <c r="T14" s="172">
        <v>84.1</v>
      </c>
      <c r="U14" s="157">
        <v>1741.6489999999999</v>
      </c>
      <c r="W14" s="20" t="s">
        <v>36</v>
      </c>
      <c r="X14" s="173">
        <v>5.8E-5</v>
      </c>
      <c r="Y14" s="169">
        <v>5.8984261682460098E-2</v>
      </c>
      <c r="Z14" s="169">
        <v>1.13061467674493E-2</v>
      </c>
    </row>
    <row r="15" spans="1:26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O15" s="142"/>
      <c r="W15" s="20"/>
      <c r="X15" s="149"/>
    </row>
    <row r="16" spans="1:26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O16" s="142"/>
      <c r="W16" s="20"/>
      <c r="X16" s="149"/>
    </row>
    <row r="17" spans="1:24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O17" s="142"/>
      <c r="W17" s="20"/>
      <c r="X17" s="149"/>
    </row>
    <row r="18" spans="1:24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O18" s="142"/>
      <c r="W18" s="20"/>
      <c r="X18" s="149"/>
    </row>
    <row r="19" spans="1:24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O19" s="142"/>
      <c r="W19" s="20"/>
      <c r="X19" s="149"/>
    </row>
    <row r="20" spans="1:24" hidden="1">
      <c r="F20" s="20"/>
      <c r="G20" s="20"/>
      <c r="H20" s="20"/>
      <c r="I20" s="20"/>
      <c r="K20" s="20"/>
      <c r="O20" s="142"/>
      <c r="W20" s="20"/>
      <c r="X20" s="149"/>
    </row>
    <row r="21" spans="1:24" hidden="1">
      <c r="L21" s="20"/>
      <c r="X21" s="150"/>
    </row>
    <row r="22" spans="1:24" hidden="1">
      <c r="L22" s="20"/>
      <c r="X22" s="150"/>
    </row>
    <row r="23" spans="1:24" hidden="1">
      <c r="L23" s="20"/>
      <c r="X23" s="150"/>
    </row>
    <row r="24" spans="1:24" hidden="1">
      <c r="L24" s="20"/>
      <c r="X24" s="150"/>
    </row>
    <row r="25" spans="1:24" hidden="1">
      <c r="L25" s="20"/>
      <c r="X25" s="150"/>
    </row>
    <row r="26" spans="1:24" hidden="1">
      <c r="L26" s="20"/>
      <c r="X26" s="150"/>
    </row>
    <row r="27" spans="1:24" hidden="1">
      <c r="X27" s="150"/>
    </row>
    <row r="28" spans="1:24" hidden="1">
      <c r="X28" s="150"/>
    </row>
    <row r="29" spans="1:24" hidden="1">
      <c r="X29" s="150"/>
    </row>
    <row r="30" spans="1:24" hidden="1">
      <c r="X30" s="150"/>
    </row>
    <row r="31" spans="1:24" hidden="1">
      <c r="X31" s="150"/>
    </row>
    <row r="32" spans="1:24" hidden="1">
      <c r="X32" s="150"/>
    </row>
    <row r="33" spans="24:24" hidden="1">
      <c r="X33" s="150"/>
    </row>
    <row r="34" spans="24:24" hidden="1">
      <c r="X34" s="150"/>
    </row>
    <row r="35" spans="24:24" hidden="1">
      <c r="X35" s="150"/>
    </row>
    <row r="36" spans="24:24" hidden="1">
      <c r="X36" s="150"/>
    </row>
    <row r="37" spans="24:24" hidden="1">
      <c r="X37" s="150"/>
    </row>
    <row r="38" spans="24:24" hidden="1">
      <c r="X38" s="150"/>
    </row>
    <row r="39" spans="24:24" hidden="1">
      <c r="X39" s="150"/>
    </row>
    <row r="40" spans="24:24" hidden="1">
      <c r="X40" s="150"/>
    </row>
    <row r="41" spans="24:24" hidden="1">
      <c r="X41" s="150"/>
    </row>
    <row r="42" spans="24:24" hidden="1">
      <c r="X42" s="150"/>
    </row>
    <row r="43" spans="24:24" hidden="1">
      <c r="X43" s="150"/>
    </row>
    <row r="44" spans="24:24" hidden="1">
      <c r="X44" s="150"/>
    </row>
    <row r="45" spans="24:24" hidden="1">
      <c r="X45" s="150"/>
    </row>
    <row r="46" spans="24:24" hidden="1">
      <c r="X46" s="150"/>
    </row>
    <row r="47" spans="24:24" hidden="1">
      <c r="X47" s="150"/>
    </row>
    <row r="48" spans="24:24" hidden="1">
      <c r="X48" s="150"/>
    </row>
    <row r="49" spans="24:24" hidden="1">
      <c r="X49" s="150"/>
    </row>
    <row r="50" spans="24:24" hidden="1">
      <c r="X50" s="150"/>
    </row>
    <row r="51" spans="24:24" hidden="1">
      <c r="X51" s="150"/>
    </row>
    <row r="52" spans="24:24" hidden="1">
      <c r="X52" s="150"/>
    </row>
    <row r="53" spans="24:24" hidden="1">
      <c r="X53" s="150"/>
    </row>
    <row r="54" spans="24:24" hidden="1">
      <c r="X54" s="150"/>
    </row>
    <row r="55" spans="24:24" hidden="1">
      <c r="X55" s="150"/>
    </row>
    <row r="56" spans="24:24" hidden="1">
      <c r="X56" s="150"/>
    </row>
    <row r="57" spans="24:24" hidden="1">
      <c r="X57" s="150"/>
    </row>
    <row r="58" spans="24:24" hidden="1">
      <c r="X58" s="150"/>
    </row>
    <row r="59" spans="24:24" hidden="1">
      <c r="X59" s="150"/>
    </row>
    <row r="60" spans="24:24" hidden="1">
      <c r="X60" s="150"/>
    </row>
    <row r="61" spans="24:24" hidden="1">
      <c r="X61" s="150"/>
    </row>
    <row r="62" spans="24:24" hidden="1">
      <c r="X62" s="150"/>
    </row>
    <row r="63" spans="24:24" hidden="1">
      <c r="X63" s="150"/>
    </row>
    <row r="64" spans="24:24" hidden="1">
      <c r="X64" s="150"/>
    </row>
    <row r="65" spans="24:24" hidden="1">
      <c r="X65" s="150"/>
    </row>
    <row r="66" spans="24:24" hidden="1">
      <c r="X66" s="150"/>
    </row>
    <row r="67" spans="24:24" hidden="1">
      <c r="X67" s="150"/>
    </row>
    <row r="68" spans="24:24" hidden="1">
      <c r="X68" s="150"/>
    </row>
    <row r="69" spans="24:24" hidden="1">
      <c r="X69" s="150"/>
    </row>
    <row r="70" spans="24:24" hidden="1">
      <c r="X70" s="150"/>
    </row>
    <row r="71" spans="24:24" hidden="1">
      <c r="X71" s="150"/>
    </row>
    <row r="72" spans="24:24" hidden="1">
      <c r="X72" s="150"/>
    </row>
    <row r="73" spans="24:24" hidden="1">
      <c r="X73" s="150"/>
    </row>
    <row r="74" spans="24:24" hidden="1">
      <c r="X74" s="150"/>
    </row>
    <row r="75" spans="24:24" hidden="1">
      <c r="X75" s="150"/>
    </row>
    <row r="76" spans="24:24" hidden="1">
      <c r="X76" s="150"/>
    </row>
    <row r="77" spans="24:24" hidden="1">
      <c r="X77" s="150"/>
    </row>
    <row r="78" spans="24:24" hidden="1">
      <c r="X78" s="150"/>
    </row>
    <row r="79" spans="24:24" hidden="1">
      <c r="X79" s="150"/>
    </row>
    <row r="80" spans="24:24" hidden="1">
      <c r="X80" s="150"/>
    </row>
    <row r="81" spans="24:24" hidden="1">
      <c r="X81" s="150"/>
    </row>
    <row r="82" spans="24:24" hidden="1">
      <c r="X82" s="150"/>
    </row>
    <row r="83" spans="24:24" hidden="1">
      <c r="X83" s="150"/>
    </row>
    <row r="84" spans="24:24" hidden="1">
      <c r="X84" s="150"/>
    </row>
    <row r="85" spans="24:24" hidden="1">
      <c r="X85" s="150"/>
    </row>
    <row r="86" spans="24:24" hidden="1">
      <c r="X86" s="150"/>
    </row>
    <row r="87" spans="24:24" hidden="1">
      <c r="X87" s="150"/>
    </row>
    <row r="88" spans="24:24" hidden="1">
      <c r="X88" s="150"/>
    </row>
    <row r="89" spans="24:24" hidden="1">
      <c r="X89" s="150"/>
    </row>
    <row r="90" spans="24:24" hidden="1">
      <c r="X90" s="150"/>
    </row>
    <row r="91" spans="24:24" hidden="1">
      <c r="X91" s="150"/>
    </row>
    <row r="92" spans="24:24" hidden="1">
      <c r="X92" s="150"/>
    </row>
    <row r="93" spans="24:24" hidden="1">
      <c r="X93" s="150"/>
    </row>
    <row r="94" spans="24:24" hidden="1">
      <c r="X94" s="150"/>
    </row>
    <row r="95" spans="24:24" hidden="1">
      <c r="X95" s="150"/>
    </row>
    <row r="96" spans="24:24" hidden="1">
      <c r="X96" s="150"/>
    </row>
    <row r="97" spans="24:24" hidden="1">
      <c r="X97" s="150"/>
    </row>
    <row r="98" spans="24:24" hidden="1">
      <c r="X98" s="150"/>
    </row>
    <row r="99" spans="24:24" hidden="1">
      <c r="X99" s="150"/>
    </row>
    <row r="100" spans="24:24" hidden="1">
      <c r="X100" s="150"/>
    </row>
    <row r="101" spans="24:24" hidden="1">
      <c r="X101" s="150"/>
    </row>
    <row r="102" spans="24:24" hidden="1">
      <c r="X102" s="150"/>
    </row>
    <row r="103" spans="24:24" hidden="1">
      <c r="X103" s="150"/>
    </row>
    <row r="104" spans="24:24" hidden="1">
      <c r="X104" s="150"/>
    </row>
    <row r="105" spans="24:24" hidden="1">
      <c r="X105" s="150"/>
    </row>
    <row r="106" spans="24:24" hidden="1">
      <c r="X106" s="150"/>
    </row>
    <row r="107" spans="24:24" hidden="1">
      <c r="X107" s="150"/>
    </row>
    <row r="108" spans="24:24" hidden="1">
      <c r="X108" s="150"/>
    </row>
    <row r="109" spans="24:24" hidden="1">
      <c r="X109" s="150"/>
    </row>
    <row r="110" spans="24:24" hidden="1">
      <c r="X110" s="150"/>
    </row>
    <row r="111" spans="24:24" hidden="1">
      <c r="X111" s="150"/>
    </row>
    <row r="112" spans="24:24" hidden="1">
      <c r="X112" s="150"/>
    </row>
    <row r="113" spans="24:24" hidden="1">
      <c r="X113" s="150"/>
    </row>
    <row r="114" spans="24:24" hidden="1">
      <c r="X114" s="150"/>
    </row>
    <row r="115" spans="24:24" hidden="1">
      <c r="X115" s="150"/>
    </row>
    <row r="116" spans="24:24" hidden="1">
      <c r="X116" s="150"/>
    </row>
    <row r="117" spans="24:24" hidden="1">
      <c r="X117" s="150"/>
    </row>
    <row r="118" spans="24:24" hidden="1">
      <c r="X118" s="150"/>
    </row>
    <row r="119" spans="24:24" hidden="1">
      <c r="X119" s="150"/>
    </row>
    <row r="120" spans="24:24" hidden="1">
      <c r="X120" s="150"/>
    </row>
    <row r="121" spans="24:24" hidden="1">
      <c r="X121" s="150"/>
    </row>
    <row r="122" spans="24:24" hidden="1">
      <c r="X122" s="150"/>
    </row>
    <row r="123" spans="24:24" hidden="1">
      <c r="X123" s="150"/>
    </row>
    <row r="124" spans="24:24" hidden="1">
      <c r="X124" s="150"/>
    </row>
    <row r="125" spans="24:24" hidden="1">
      <c r="X125" s="150"/>
    </row>
    <row r="126" spans="24:24" hidden="1">
      <c r="X126" s="150"/>
    </row>
    <row r="127" spans="24:24" hidden="1">
      <c r="X127" s="150"/>
    </row>
    <row r="128" spans="24:24" hidden="1">
      <c r="X128" s="150"/>
    </row>
    <row r="129" spans="24:24" hidden="1">
      <c r="X129" s="150"/>
    </row>
    <row r="130" spans="24:24" hidden="1">
      <c r="X130" s="150"/>
    </row>
    <row r="131" spans="24:24" hidden="1">
      <c r="X131" s="150"/>
    </row>
    <row r="132" spans="24:24" hidden="1">
      <c r="X132" s="150"/>
    </row>
    <row r="133" spans="24:24" hidden="1">
      <c r="X133" s="150"/>
    </row>
    <row r="134" spans="24:24" hidden="1">
      <c r="X134" s="150"/>
    </row>
    <row r="135" spans="24:24" hidden="1">
      <c r="X135" s="150"/>
    </row>
    <row r="136" spans="24:24" hidden="1">
      <c r="X136" s="150"/>
    </row>
    <row r="137" spans="24:24" hidden="1">
      <c r="X137" s="150"/>
    </row>
    <row r="138" spans="24:24" hidden="1">
      <c r="X138" s="150"/>
    </row>
    <row r="139" spans="24:24" hidden="1">
      <c r="X139" s="150"/>
    </row>
    <row r="140" spans="24:24" hidden="1">
      <c r="X140" s="150"/>
    </row>
    <row r="141" spans="24:24" hidden="1">
      <c r="X141" s="150"/>
    </row>
    <row r="142" spans="24:24" hidden="1">
      <c r="X142" s="150"/>
    </row>
    <row r="143" spans="24:24" hidden="1">
      <c r="X143" s="150"/>
    </row>
    <row r="144" spans="24:24" hidden="1">
      <c r="X144" s="150"/>
    </row>
    <row r="145" spans="24:24" hidden="1">
      <c r="X145" s="150"/>
    </row>
    <row r="146" spans="24:24" hidden="1">
      <c r="X146" s="150"/>
    </row>
    <row r="147" spans="24:24" hidden="1">
      <c r="X147" s="150"/>
    </row>
    <row r="148" spans="24:24" hidden="1">
      <c r="X148" s="150"/>
    </row>
    <row r="149" spans="24:24" hidden="1">
      <c r="X149" s="150"/>
    </row>
    <row r="150" spans="24:24" hidden="1">
      <c r="X150" s="150"/>
    </row>
    <row r="151" spans="24:24" hidden="1">
      <c r="X151" s="150"/>
    </row>
    <row r="152" spans="24:24" hidden="1">
      <c r="X152" s="150"/>
    </row>
    <row r="153" spans="24:24" hidden="1">
      <c r="X153" s="150"/>
    </row>
    <row r="154" spans="24:24" hidden="1">
      <c r="X154" s="150"/>
    </row>
    <row r="155" spans="24:24" hidden="1">
      <c r="X155" s="150"/>
    </row>
    <row r="156" spans="24:24" hidden="1">
      <c r="X156" s="150"/>
    </row>
    <row r="157" spans="24:24" hidden="1">
      <c r="X157" s="150"/>
    </row>
    <row r="158" spans="24:24" hidden="1">
      <c r="X158" s="150"/>
    </row>
    <row r="159" spans="24:24" hidden="1">
      <c r="X159" s="150"/>
    </row>
    <row r="160" spans="24:24" hidden="1">
      <c r="X160" s="150"/>
    </row>
    <row r="161" spans="24:24" hidden="1">
      <c r="X161" s="150"/>
    </row>
    <row r="162" spans="24:24" hidden="1">
      <c r="X162" s="150"/>
    </row>
    <row r="163" spans="24:24" hidden="1">
      <c r="X163" s="150"/>
    </row>
    <row r="164" spans="24:24" hidden="1">
      <c r="X164" s="150"/>
    </row>
    <row r="165" spans="24:24" hidden="1">
      <c r="X165" s="150"/>
    </row>
    <row r="166" spans="24:24" hidden="1">
      <c r="X166" s="150"/>
    </row>
    <row r="167" spans="24:24" hidden="1">
      <c r="X167" s="150"/>
    </row>
    <row r="168" spans="24:24" hidden="1">
      <c r="X168" s="150"/>
    </row>
    <row r="169" spans="24:24" hidden="1">
      <c r="X169" s="150"/>
    </row>
    <row r="170" spans="24:24" hidden="1">
      <c r="X170" s="150"/>
    </row>
    <row r="171" spans="24:24" hidden="1">
      <c r="X171" s="150"/>
    </row>
    <row r="172" spans="24:24" hidden="1">
      <c r="X172" s="150"/>
    </row>
    <row r="173" spans="24:24" hidden="1">
      <c r="X173" s="150"/>
    </row>
    <row r="174" spans="24:24" hidden="1">
      <c r="X174" s="150"/>
    </row>
    <row r="175" spans="24:24" hidden="1">
      <c r="X175" s="150"/>
    </row>
    <row r="176" spans="24:24" hidden="1">
      <c r="X176" s="150"/>
    </row>
    <row r="177" spans="24:24" hidden="1">
      <c r="X177" s="150"/>
    </row>
    <row r="178" spans="24:24" hidden="1">
      <c r="X178" s="150"/>
    </row>
    <row r="179" spans="24:24" hidden="1">
      <c r="X179" s="150"/>
    </row>
    <row r="180" spans="24:24" hidden="1">
      <c r="X180" s="150"/>
    </row>
    <row r="181" spans="24:24" hidden="1">
      <c r="X181" s="150"/>
    </row>
    <row r="182" spans="24:24" hidden="1">
      <c r="X182" s="150"/>
    </row>
    <row r="183" spans="24:24" hidden="1">
      <c r="X183" s="150"/>
    </row>
    <row r="184" spans="24:24" hidden="1">
      <c r="X184" s="150"/>
    </row>
    <row r="185" spans="24:24" hidden="1">
      <c r="X185" s="150"/>
    </row>
    <row r="186" spans="24:24" hidden="1">
      <c r="X186" s="150"/>
    </row>
    <row r="187" spans="24:24" hidden="1">
      <c r="X187" s="150"/>
    </row>
    <row r="188" spans="24:24" hidden="1">
      <c r="X188" s="150"/>
    </row>
    <row r="189" spans="24:24" hidden="1">
      <c r="X189" s="150"/>
    </row>
    <row r="190" spans="24:24" hidden="1">
      <c r="X190" s="150"/>
    </row>
    <row r="191" spans="24:24" hidden="1">
      <c r="X191" s="150"/>
    </row>
    <row r="192" spans="24:24" hidden="1">
      <c r="X192" s="150"/>
    </row>
    <row r="193" spans="24:24" hidden="1">
      <c r="X193" s="150"/>
    </row>
    <row r="194" spans="24:24" hidden="1">
      <c r="X194" s="150"/>
    </row>
    <row r="195" spans="24:24" hidden="1">
      <c r="X195" s="150"/>
    </row>
    <row r="196" spans="24:24" hidden="1">
      <c r="X196" s="150"/>
    </row>
    <row r="197" spans="24:24" hidden="1">
      <c r="X197" s="150"/>
    </row>
    <row r="198" spans="24:24" hidden="1">
      <c r="X198" s="150"/>
    </row>
    <row r="199" spans="24:24" hidden="1">
      <c r="X199" s="150"/>
    </row>
    <row r="200" spans="24:24" hidden="1">
      <c r="X200" s="150"/>
    </row>
    <row r="201" spans="24:24" hidden="1">
      <c r="X201" s="150"/>
    </row>
    <row r="202" spans="24:24" hidden="1">
      <c r="X202" s="150"/>
    </row>
    <row r="203" spans="24:24" hidden="1">
      <c r="X203" s="150"/>
    </row>
    <row r="204" spans="24:24" hidden="1">
      <c r="X204" s="150"/>
    </row>
    <row r="205" spans="24:24" hidden="1">
      <c r="X205" s="150"/>
    </row>
    <row r="206" spans="24:24" hidden="1">
      <c r="X206" s="150"/>
    </row>
    <row r="207" spans="24:24" hidden="1">
      <c r="X207" s="150"/>
    </row>
    <row r="208" spans="24:24" hidden="1">
      <c r="X208" s="150"/>
    </row>
    <row r="209" spans="24:24" hidden="1">
      <c r="X209" s="150"/>
    </row>
    <row r="210" spans="24:24" hidden="1">
      <c r="X210" s="150"/>
    </row>
    <row r="211" spans="24:24" hidden="1">
      <c r="X211" s="150"/>
    </row>
    <row r="212" spans="24:24" hidden="1">
      <c r="X212" s="150"/>
    </row>
    <row r="213" spans="24:24" hidden="1">
      <c r="X213" s="150"/>
    </row>
    <row r="214" spans="24:24" hidden="1">
      <c r="X214" s="150"/>
    </row>
    <row r="215" spans="24:24" hidden="1">
      <c r="X215" s="150"/>
    </row>
    <row r="216" spans="24:24" hidden="1">
      <c r="X216" s="150"/>
    </row>
    <row r="217" spans="24:24" hidden="1">
      <c r="X217" s="150"/>
    </row>
    <row r="218" spans="24:24" hidden="1">
      <c r="X218" s="150"/>
    </row>
    <row r="219" spans="24:24" hidden="1">
      <c r="X219" s="150"/>
    </row>
    <row r="220" spans="24:24" hidden="1">
      <c r="X220" s="150"/>
    </row>
    <row r="221" spans="24:24" hidden="1">
      <c r="X221" s="150"/>
    </row>
    <row r="222" spans="24:24" hidden="1">
      <c r="X222" s="150"/>
    </row>
    <row r="223" spans="24:24" hidden="1">
      <c r="X223" s="150"/>
    </row>
    <row r="224" spans="24:24" hidden="1">
      <c r="X224" s="150"/>
    </row>
    <row r="225" spans="24:24" hidden="1">
      <c r="X225" s="150"/>
    </row>
    <row r="226" spans="24:24" hidden="1">
      <c r="X226" s="150"/>
    </row>
    <row r="227" spans="24:24" hidden="1">
      <c r="X227" s="150"/>
    </row>
    <row r="228" spans="24:24" hidden="1">
      <c r="X228" s="150"/>
    </row>
    <row r="229" spans="24:24" hidden="1">
      <c r="X229" s="150"/>
    </row>
    <row r="230" spans="24:24" hidden="1">
      <c r="X230" s="150"/>
    </row>
    <row r="231" spans="24:24" hidden="1">
      <c r="X231" s="150"/>
    </row>
    <row r="232" spans="24:24" hidden="1">
      <c r="X232" s="150"/>
    </row>
    <row r="233" spans="24:24" hidden="1">
      <c r="X233" s="150"/>
    </row>
    <row r="234" spans="24:24" hidden="1">
      <c r="X234" s="150"/>
    </row>
    <row r="235" spans="24:24" hidden="1">
      <c r="X235" s="150"/>
    </row>
    <row r="236" spans="24:24" hidden="1">
      <c r="X236" s="150"/>
    </row>
    <row r="237" spans="24:24" hidden="1">
      <c r="X237" s="150"/>
    </row>
    <row r="238" spans="24:24" hidden="1">
      <c r="X238" s="150"/>
    </row>
    <row r="239" spans="24:24" hidden="1">
      <c r="X239" s="150"/>
    </row>
    <row r="240" spans="24:24" hidden="1">
      <c r="X240" s="150"/>
    </row>
    <row r="241" spans="24:24" hidden="1">
      <c r="X241" s="150"/>
    </row>
    <row r="242" spans="24:24" hidden="1">
      <c r="X242" s="150"/>
    </row>
    <row r="243" spans="24:24" hidden="1">
      <c r="X243" s="150"/>
    </row>
    <row r="244" spans="24:24" hidden="1">
      <c r="X244" s="150"/>
    </row>
    <row r="245" spans="24:24" hidden="1">
      <c r="X245" s="150"/>
    </row>
    <row r="246" spans="24:24" hidden="1">
      <c r="X246" s="150"/>
    </row>
    <row r="247" spans="24:24" hidden="1">
      <c r="X247" s="150"/>
    </row>
    <row r="248" spans="24:24" hidden="1">
      <c r="X248" s="150"/>
    </row>
    <row r="249" spans="24:24" hidden="1">
      <c r="X249" s="150"/>
    </row>
    <row r="250" spans="24:24" hidden="1">
      <c r="X250" s="150"/>
    </row>
    <row r="251" spans="24:24" hidden="1">
      <c r="X251" s="150"/>
    </row>
    <row r="252" spans="24:24" hidden="1">
      <c r="X252" s="150"/>
    </row>
    <row r="253" spans="24:24" hidden="1">
      <c r="X253" s="150"/>
    </row>
    <row r="254" spans="24:24" hidden="1">
      <c r="X254" s="150"/>
    </row>
    <row r="255" spans="24:24" hidden="1">
      <c r="X255" s="150"/>
    </row>
    <row r="256" spans="24:24" hidden="1">
      <c r="X256" s="150"/>
    </row>
    <row r="257" spans="24:24" hidden="1">
      <c r="X257" s="150"/>
    </row>
    <row r="258" spans="24:24" hidden="1">
      <c r="X258" s="150"/>
    </row>
    <row r="259" spans="24:24" hidden="1">
      <c r="X259" s="150"/>
    </row>
    <row r="260" spans="24:24" hidden="1">
      <c r="X260" s="150"/>
    </row>
    <row r="261" spans="24:24" hidden="1">
      <c r="X261" s="150"/>
    </row>
    <row r="262" spans="24:24" hidden="1">
      <c r="X262" s="150"/>
    </row>
    <row r="263" spans="24:24" hidden="1">
      <c r="X263" s="150"/>
    </row>
    <row r="264" spans="24:24" hidden="1">
      <c r="X264" s="150"/>
    </row>
    <row r="265" spans="24:24" hidden="1">
      <c r="X265" s="150"/>
    </row>
    <row r="266" spans="24:24" hidden="1">
      <c r="X266" s="150"/>
    </row>
    <row r="267" spans="24:24" hidden="1">
      <c r="X267" s="150"/>
    </row>
    <row r="268" spans="24:24" hidden="1">
      <c r="X268" s="150"/>
    </row>
    <row r="269" spans="24:24" hidden="1">
      <c r="X269" s="150"/>
    </row>
    <row r="270" spans="24:24" hidden="1">
      <c r="X270" s="150"/>
    </row>
    <row r="271" spans="24:24" hidden="1">
      <c r="X271" s="150"/>
    </row>
    <row r="272" spans="24:24" hidden="1">
      <c r="X272" s="150"/>
    </row>
    <row r="273" spans="24:24" hidden="1">
      <c r="X273" s="150"/>
    </row>
    <row r="274" spans="24:24" hidden="1">
      <c r="X274" s="150"/>
    </row>
    <row r="275" spans="24:24" hidden="1">
      <c r="X275" s="150"/>
    </row>
    <row r="276" spans="24:24" hidden="1">
      <c r="X276" s="150"/>
    </row>
    <row r="277" spans="24:24" hidden="1">
      <c r="X277" s="150"/>
    </row>
    <row r="278" spans="24:24" hidden="1">
      <c r="X278" s="150"/>
    </row>
    <row r="279" spans="24:24" hidden="1">
      <c r="X279" s="150"/>
    </row>
    <row r="280" spans="24:24" hidden="1">
      <c r="X280" s="150"/>
    </row>
    <row r="281" spans="24:24" hidden="1">
      <c r="X281" s="150"/>
    </row>
    <row r="282" spans="24:24" hidden="1">
      <c r="X282" s="150"/>
    </row>
    <row r="283" spans="24:24" hidden="1">
      <c r="X283" s="150"/>
    </row>
    <row r="284" spans="24:24" hidden="1">
      <c r="X284" s="150"/>
    </row>
    <row r="285" spans="24:24" hidden="1">
      <c r="X285" s="150"/>
    </row>
    <row r="286" spans="24:24" hidden="1">
      <c r="X286" s="150"/>
    </row>
    <row r="287" spans="24:24" hidden="1">
      <c r="X287" s="150"/>
    </row>
    <row r="288" spans="24:24" hidden="1">
      <c r="X288" s="150"/>
    </row>
    <row r="289" spans="24:24" hidden="1">
      <c r="X289" s="150"/>
    </row>
    <row r="290" spans="24:24" hidden="1">
      <c r="X290" s="150"/>
    </row>
    <row r="291" spans="24:24" hidden="1">
      <c r="X291" s="150"/>
    </row>
    <row r="292" spans="24:24" hidden="1">
      <c r="X292" s="150"/>
    </row>
    <row r="293" spans="24:24" hidden="1">
      <c r="X293" s="150"/>
    </row>
    <row r="294" spans="24:24" hidden="1">
      <c r="X294" s="150"/>
    </row>
    <row r="295" spans="24:24" hidden="1">
      <c r="X295" s="150"/>
    </row>
    <row r="296" spans="24:24" hidden="1">
      <c r="X296" s="150"/>
    </row>
    <row r="297" spans="24:24" hidden="1">
      <c r="X297" s="150"/>
    </row>
    <row r="298" spans="24:24" hidden="1">
      <c r="X298" s="150"/>
    </row>
    <row r="299" spans="24:24" hidden="1">
      <c r="X299" s="150"/>
    </row>
    <row r="300" spans="24:24" hidden="1">
      <c r="X300" s="150"/>
    </row>
    <row r="301" spans="24:24" hidden="1">
      <c r="X301" s="150"/>
    </row>
    <row r="302" spans="24:24" hidden="1">
      <c r="X302" s="150"/>
    </row>
    <row r="303" spans="24:24" hidden="1">
      <c r="X303" s="150"/>
    </row>
    <row r="304" spans="24:24" hidden="1">
      <c r="X304" s="150"/>
    </row>
    <row r="305" spans="24:24" hidden="1">
      <c r="X305" s="150"/>
    </row>
    <row r="306" spans="24:24" hidden="1">
      <c r="X306" s="150"/>
    </row>
    <row r="307" spans="24:24" hidden="1">
      <c r="X307" s="150"/>
    </row>
    <row r="308" spans="24:24" hidden="1">
      <c r="X308" s="150"/>
    </row>
    <row r="309" spans="24:24" hidden="1">
      <c r="X309" s="150"/>
    </row>
    <row r="310" spans="24:24" hidden="1">
      <c r="X310" s="150"/>
    </row>
    <row r="311" spans="24:24" hidden="1">
      <c r="X311" s="150"/>
    </row>
    <row r="312" spans="24:24" hidden="1">
      <c r="X312" s="150"/>
    </row>
    <row r="313" spans="24:24" hidden="1">
      <c r="X313" s="150"/>
    </row>
    <row r="314" spans="24:24" hidden="1">
      <c r="X314" s="150"/>
    </row>
    <row r="315" spans="24:24" hidden="1">
      <c r="X315" s="150"/>
    </row>
    <row r="316" spans="24:24" hidden="1">
      <c r="X316" s="150"/>
    </row>
    <row r="317" spans="24:24" hidden="1">
      <c r="X317" s="150"/>
    </row>
    <row r="318" spans="24:24" hidden="1">
      <c r="X318" s="150"/>
    </row>
    <row r="319" spans="24:24" hidden="1">
      <c r="X319" s="150"/>
    </row>
    <row r="320" spans="24:24" hidden="1">
      <c r="X320" s="150"/>
    </row>
    <row r="321" spans="24:24" hidden="1">
      <c r="X321" s="150"/>
    </row>
    <row r="322" spans="24:24" hidden="1">
      <c r="X322" s="150"/>
    </row>
    <row r="323" spans="24:24" hidden="1">
      <c r="X323" s="150"/>
    </row>
    <row r="324" spans="24:24" hidden="1">
      <c r="X324" s="150"/>
    </row>
    <row r="325" spans="24:24" hidden="1">
      <c r="X325" s="150"/>
    </row>
    <row r="326" spans="24:24" hidden="1">
      <c r="X326" s="150"/>
    </row>
    <row r="327" spans="24:24" hidden="1">
      <c r="X327" s="150"/>
    </row>
    <row r="328" spans="24:24" hidden="1">
      <c r="X328" s="150"/>
    </row>
    <row r="329" spans="24:24" hidden="1">
      <c r="X329" s="150"/>
    </row>
    <row r="330" spans="24:24" hidden="1">
      <c r="X330" s="150"/>
    </row>
    <row r="331" spans="24:24" hidden="1">
      <c r="X331" s="150"/>
    </row>
    <row r="332" spans="24:24" hidden="1">
      <c r="X332" s="150"/>
    </row>
    <row r="333" spans="24:24" hidden="1">
      <c r="X333" s="150"/>
    </row>
    <row r="334" spans="24:24" hidden="1">
      <c r="X334" s="150"/>
    </row>
    <row r="335" spans="24:24" hidden="1">
      <c r="X335" s="150"/>
    </row>
    <row r="336" spans="24:24" hidden="1">
      <c r="X336" s="150"/>
    </row>
    <row r="337" spans="24:24" hidden="1">
      <c r="X337" s="150"/>
    </row>
    <row r="338" spans="24:24" hidden="1">
      <c r="X338" s="150"/>
    </row>
    <row r="339" spans="24:24" hidden="1">
      <c r="X339" s="150"/>
    </row>
    <row r="340" spans="24:24" hidden="1">
      <c r="X340" s="150"/>
    </row>
    <row r="341" spans="24:24" hidden="1">
      <c r="X341" s="150"/>
    </row>
    <row r="342" spans="24:24" hidden="1">
      <c r="X342" s="150"/>
    </row>
    <row r="343" spans="24:24" hidden="1">
      <c r="X343" s="150"/>
    </row>
    <row r="344" spans="24:24" hidden="1">
      <c r="X344" s="150"/>
    </row>
    <row r="345" spans="24:24" hidden="1">
      <c r="X345" s="150"/>
    </row>
    <row r="346" spans="24:24" hidden="1">
      <c r="X346" s="150"/>
    </row>
    <row r="347" spans="24:24" hidden="1">
      <c r="X347" s="150"/>
    </row>
    <row r="348" spans="24:24" hidden="1">
      <c r="X348" s="150"/>
    </row>
    <row r="349" spans="24:24" hidden="1">
      <c r="X349" s="150"/>
    </row>
    <row r="350" spans="24:24" hidden="1">
      <c r="X350" s="150"/>
    </row>
    <row r="351" spans="24:24" hidden="1">
      <c r="X351" s="150"/>
    </row>
    <row r="352" spans="24:24" hidden="1">
      <c r="X352" s="150"/>
    </row>
    <row r="353" spans="24:24" hidden="1">
      <c r="X353" s="150"/>
    </row>
    <row r="354" spans="24:24" hidden="1">
      <c r="X354" s="150"/>
    </row>
    <row r="355" spans="24:24" hidden="1">
      <c r="X355" s="150"/>
    </row>
    <row r="356" spans="24:24" hidden="1">
      <c r="X356" s="150"/>
    </row>
    <row r="357" spans="24:24" hidden="1">
      <c r="X357" s="150"/>
    </row>
    <row r="358" spans="24:24" hidden="1">
      <c r="X358" s="150"/>
    </row>
    <row r="359" spans="24:24" hidden="1">
      <c r="X359" s="150"/>
    </row>
    <row r="360" spans="24:24" hidden="1">
      <c r="X360" s="150"/>
    </row>
    <row r="361" spans="24:24" hidden="1">
      <c r="X361" s="150"/>
    </row>
    <row r="362" spans="24:24" hidden="1">
      <c r="X362" s="150"/>
    </row>
    <row r="363" spans="24:24" hidden="1">
      <c r="X363" s="150"/>
    </row>
    <row r="364" spans="24:24" hidden="1">
      <c r="X364" s="150"/>
    </row>
    <row r="365" spans="24:24" hidden="1">
      <c r="X365" s="150"/>
    </row>
    <row r="366" spans="24:24" hidden="1">
      <c r="X366" s="150"/>
    </row>
    <row r="367" spans="24:24" hidden="1">
      <c r="X367" s="150"/>
    </row>
    <row r="368" spans="24:24" hidden="1">
      <c r="X368" s="150"/>
    </row>
    <row r="369" spans="24:24" hidden="1">
      <c r="X369" s="150"/>
    </row>
    <row r="370" spans="24:24" hidden="1">
      <c r="X370" s="150"/>
    </row>
    <row r="371" spans="24:24" hidden="1">
      <c r="X371" s="150"/>
    </row>
    <row r="372" spans="24:24" hidden="1">
      <c r="X372" s="150"/>
    </row>
    <row r="373" spans="24:24" hidden="1">
      <c r="X373" s="150"/>
    </row>
    <row r="374" spans="24:24" hidden="1">
      <c r="X374" s="150"/>
    </row>
    <row r="375" spans="24:24" hidden="1">
      <c r="X375" s="150"/>
    </row>
    <row r="376" spans="24:24" hidden="1">
      <c r="X376" s="150"/>
    </row>
    <row r="377" spans="24:24" hidden="1">
      <c r="X377" s="150"/>
    </row>
    <row r="378" spans="24:24" hidden="1">
      <c r="X378" s="150"/>
    </row>
    <row r="379" spans="24:24" hidden="1">
      <c r="X379" s="150"/>
    </row>
    <row r="380" spans="24:24" hidden="1">
      <c r="X380" s="150"/>
    </row>
    <row r="381" spans="24:24" hidden="1">
      <c r="X381" s="150"/>
    </row>
    <row r="382" spans="24:24" hidden="1">
      <c r="X382" s="150"/>
    </row>
    <row r="383" spans="24:24" hidden="1">
      <c r="X383" s="150"/>
    </row>
    <row r="384" spans="24:24" hidden="1">
      <c r="X384" s="150"/>
    </row>
    <row r="385" spans="24:24" hidden="1">
      <c r="X385" s="150"/>
    </row>
    <row r="386" spans="24:24" hidden="1">
      <c r="X386" s="150"/>
    </row>
    <row r="387" spans="24:24" hidden="1">
      <c r="X387" s="150"/>
    </row>
    <row r="388" spans="24:24" hidden="1">
      <c r="X388" s="150"/>
    </row>
    <row r="389" spans="24:24" hidden="1">
      <c r="X389" s="150"/>
    </row>
    <row r="390" spans="24:24" hidden="1">
      <c r="X390" s="150"/>
    </row>
    <row r="391" spans="24:24" hidden="1">
      <c r="X391" s="150"/>
    </row>
    <row r="392" spans="24:24" hidden="1">
      <c r="X392" s="150"/>
    </row>
    <row r="393" spans="24:24" hidden="1">
      <c r="X393" s="150"/>
    </row>
    <row r="394" spans="24:24" hidden="1">
      <c r="X394" s="150"/>
    </row>
    <row r="395" spans="24:24" hidden="1">
      <c r="X395" s="150"/>
    </row>
    <row r="396" spans="24:24" hidden="1">
      <c r="X396" s="150"/>
    </row>
    <row r="397" spans="24:24" hidden="1">
      <c r="X397" s="150"/>
    </row>
    <row r="398" spans="24:24" hidden="1">
      <c r="X398" s="150"/>
    </row>
    <row r="399" spans="24:24" hidden="1">
      <c r="X399" s="150"/>
    </row>
    <row r="400" spans="24:24" hidden="1">
      <c r="X400" s="150"/>
    </row>
    <row r="401" spans="24:24" hidden="1">
      <c r="X401" s="150"/>
    </row>
    <row r="402" spans="24:24" hidden="1">
      <c r="X402" s="150"/>
    </row>
    <row r="403" spans="24:24" hidden="1">
      <c r="X403" s="150"/>
    </row>
    <row r="404" spans="24:24" hidden="1">
      <c r="X404" s="150"/>
    </row>
    <row r="405" spans="24:24" hidden="1">
      <c r="X405" s="150"/>
    </row>
    <row r="406" spans="24:24" hidden="1">
      <c r="X406" s="150"/>
    </row>
    <row r="407" spans="24:24" hidden="1">
      <c r="X407" s="150"/>
    </row>
    <row r="408" spans="24:24" hidden="1">
      <c r="X408" s="150"/>
    </row>
    <row r="409" spans="24:24" hidden="1">
      <c r="X409" s="150"/>
    </row>
    <row r="410" spans="24:24" hidden="1">
      <c r="X410" s="150"/>
    </row>
    <row r="411" spans="24:24" hidden="1">
      <c r="X411" s="150"/>
    </row>
    <row r="412" spans="24:24" hidden="1">
      <c r="X412" s="150"/>
    </row>
    <row r="413" spans="24:24" hidden="1">
      <c r="X413" s="150"/>
    </row>
    <row r="414" spans="24:24" hidden="1">
      <c r="X414" s="150"/>
    </row>
    <row r="415" spans="24:24" hidden="1">
      <c r="X415" s="150"/>
    </row>
    <row r="416" spans="24:24" hidden="1">
      <c r="X416" s="150"/>
    </row>
    <row r="417" spans="24:24" hidden="1">
      <c r="X417" s="150"/>
    </row>
    <row r="418" spans="24:24" hidden="1">
      <c r="X418" s="150"/>
    </row>
    <row r="419" spans="24:24" hidden="1">
      <c r="X419" s="150"/>
    </row>
    <row r="420" spans="24:24" hidden="1">
      <c r="X420" s="150"/>
    </row>
    <row r="421" spans="24:24" hidden="1">
      <c r="X421" s="150"/>
    </row>
    <row r="422" spans="24:24" hidden="1">
      <c r="X422" s="150"/>
    </row>
    <row r="423" spans="24:24" hidden="1">
      <c r="X423" s="150"/>
    </row>
    <row r="424" spans="24:24" hidden="1">
      <c r="X424" s="150"/>
    </row>
    <row r="425" spans="24:24" hidden="1">
      <c r="X425" s="150"/>
    </row>
    <row r="426" spans="24:24" hidden="1">
      <c r="X426" s="150"/>
    </row>
    <row r="427" spans="24:24" hidden="1">
      <c r="X427" s="150"/>
    </row>
    <row r="428" spans="24:24" hidden="1">
      <c r="X428" s="150"/>
    </row>
    <row r="429" spans="24:24" hidden="1">
      <c r="X429" s="150"/>
    </row>
    <row r="430" spans="24:24" hidden="1">
      <c r="X430" s="150"/>
    </row>
    <row r="431" spans="24:24" hidden="1">
      <c r="X431" s="150"/>
    </row>
    <row r="432" spans="24:24" hidden="1">
      <c r="X432" s="150"/>
    </row>
    <row r="433" spans="24:24" hidden="1">
      <c r="X433" s="150"/>
    </row>
    <row r="434" spans="24:24" hidden="1">
      <c r="X434" s="150"/>
    </row>
    <row r="435" spans="24:24" hidden="1">
      <c r="X435" s="150"/>
    </row>
    <row r="436" spans="24:24" hidden="1">
      <c r="X436" s="150"/>
    </row>
    <row r="437" spans="24:24" hidden="1">
      <c r="X437" s="150"/>
    </row>
    <row r="438" spans="24:24" hidden="1">
      <c r="X438" s="150"/>
    </row>
    <row r="439" spans="24:24" hidden="1">
      <c r="X439" s="150"/>
    </row>
    <row r="440" spans="24:24" hidden="1">
      <c r="X440" s="150"/>
    </row>
    <row r="441" spans="24:24" hidden="1">
      <c r="X441" s="150"/>
    </row>
    <row r="442" spans="24:24" hidden="1">
      <c r="X442" s="150"/>
    </row>
    <row r="443" spans="24:24" hidden="1">
      <c r="X443" s="150"/>
    </row>
    <row r="444" spans="24:24" hidden="1">
      <c r="X444" s="150"/>
    </row>
    <row r="445" spans="24:24" hidden="1">
      <c r="X445" s="150"/>
    </row>
    <row r="446" spans="24:24" hidden="1">
      <c r="X446" s="150"/>
    </row>
    <row r="447" spans="24:24" hidden="1">
      <c r="X447" s="150"/>
    </row>
    <row r="448" spans="24:24" hidden="1">
      <c r="X448" s="150"/>
    </row>
    <row r="449" spans="24:24" hidden="1">
      <c r="X449" s="150"/>
    </row>
    <row r="450" spans="24:24" hidden="1">
      <c r="X450" s="150"/>
    </row>
    <row r="451" spans="24:24" hidden="1">
      <c r="X451" s="150"/>
    </row>
    <row r="452" spans="24:24" hidden="1">
      <c r="X452" s="150"/>
    </row>
    <row r="453" spans="24:24" hidden="1">
      <c r="X453" s="150"/>
    </row>
    <row r="454" spans="24:24" hidden="1">
      <c r="X454" s="150"/>
    </row>
    <row r="455" spans="24:24" hidden="1">
      <c r="X455" s="150"/>
    </row>
    <row r="456" spans="24:24" hidden="1">
      <c r="X456" s="150"/>
    </row>
    <row r="457" spans="24:24" hidden="1">
      <c r="X457" s="150"/>
    </row>
    <row r="458" spans="24:24" hidden="1">
      <c r="X458" s="150"/>
    </row>
    <row r="459" spans="24:24" hidden="1">
      <c r="X459" s="150"/>
    </row>
    <row r="460" spans="24:24" hidden="1">
      <c r="X460" s="150"/>
    </row>
    <row r="461" spans="24:24" hidden="1">
      <c r="X461" s="150"/>
    </row>
    <row r="462" spans="24:24" hidden="1">
      <c r="X462" s="150"/>
    </row>
    <row r="463" spans="24:24" hidden="1">
      <c r="X463" s="150"/>
    </row>
    <row r="464" spans="24:24" hidden="1">
      <c r="X464" s="150"/>
    </row>
    <row r="465" spans="24:24" hidden="1">
      <c r="X465" s="150"/>
    </row>
    <row r="466" spans="24:24" hidden="1">
      <c r="X466" s="150"/>
    </row>
    <row r="467" spans="24:24" hidden="1">
      <c r="X467" s="150"/>
    </row>
    <row r="468" spans="24:24" hidden="1">
      <c r="X468" s="150"/>
    </row>
    <row r="469" spans="24:24" hidden="1">
      <c r="X469" s="150"/>
    </row>
    <row r="470" spans="24:24" hidden="1">
      <c r="X470" s="150"/>
    </row>
    <row r="471" spans="24:24" hidden="1">
      <c r="X471" s="150"/>
    </row>
    <row r="472" spans="24:24" hidden="1">
      <c r="X472" s="150"/>
    </row>
    <row r="473" spans="24:24" hidden="1">
      <c r="X473" s="150"/>
    </row>
    <row r="474" spans="24:24" hidden="1">
      <c r="X474" s="150"/>
    </row>
    <row r="475" spans="24:24" hidden="1">
      <c r="X475" s="150"/>
    </row>
    <row r="476" spans="24:24" hidden="1">
      <c r="X476" s="150"/>
    </row>
    <row r="477" spans="24:24" hidden="1">
      <c r="X477" s="150"/>
    </row>
    <row r="478" spans="24:24" hidden="1">
      <c r="X478" s="150"/>
    </row>
    <row r="479" spans="24:24" hidden="1">
      <c r="X479" s="150"/>
    </row>
    <row r="480" spans="24:24" hidden="1">
      <c r="X480" s="150"/>
    </row>
    <row r="481" spans="24:24" hidden="1">
      <c r="X481" s="150"/>
    </row>
    <row r="482" spans="24:24" hidden="1">
      <c r="X482" s="150"/>
    </row>
    <row r="483" spans="24:24" hidden="1">
      <c r="X483" s="150"/>
    </row>
    <row r="484" spans="24:24" hidden="1">
      <c r="X484" s="150"/>
    </row>
    <row r="485" spans="24:24" hidden="1">
      <c r="X485" s="150"/>
    </row>
    <row r="486" spans="24:24" hidden="1">
      <c r="X486" s="150"/>
    </row>
    <row r="487" spans="24:24" hidden="1">
      <c r="X487" s="150"/>
    </row>
    <row r="488" spans="24:24" hidden="1">
      <c r="X488" s="150"/>
    </row>
    <row r="489" spans="24:24" hidden="1">
      <c r="X489" s="150"/>
    </row>
    <row r="490" spans="24:24" hidden="1">
      <c r="X490" s="150"/>
    </row>
    <row r="491" spans="24:24" hidden="1">
      <c r="X491" s="150"/>
    </row>
    <row r="492" spans="24:24" hidden="1">
      <c r="X492" s="150"/>
    </row>
    <row r="493" spans="24:24" hidden="1">
      <c r="X493" s="150"/>
    </row>
    <row r="494" spans="24:24" hidden="1">
      <c r="X494" s="150"/>
    </row>
    <row r="495" spans="24:24" hidden="1">
      <c r="X495" s="150"/>
    </row>
    <row r="496" spans="24:24" hidden="1">
      <c r="X496" s="150"/>
    </row>
    <row r="497" spans="24:24" hidden="1">
      <c r="X497" s="150"/>
    </row>
    <row r="498" spans="24:24" hidden="1">
      <c r="X498" s="150"/>
    </row>
    <row r="499" spans="24:24" hidden="1">
      <c r="X499" s="150"/>
    </row>
    <row r="500" spans="24:24" hidden="1">
      <c r="X500" s="150"/>
    </row>
    <row r="501" spans="24:24" hidden="1">
      <c r="X501" s="150"/>
    </row>
    <row r="502" spans="24:24" hidden="1">
      <c r="X502" s="150"/>
    </row>
    <row r="503" spans="24:24" hidden="1">
      <c r="X503" s="150"/>
    </row>
    <row r="504" spans="24:24" hidden="1">
      <c r="X504" s="150"/>
    </row>
    <row r="505" spans="24:24" hidden="1">
      <c r="X505" s="150"/>
    </row>
    <row r="506" spans="24:24" hidden="1">
      <c r="X506" s="150"/>
    </row>
    <row r="507" spans="24:24" hidden="1">
      <c r="X507" s="150"/>
    </row>
    <row r="508" spans="24:24" hidden="1">
      <c r="X508" s="150"/>
    </row>
    <row r="509" spans="24:24" hidden="1">
      <c r="X509" s="150"/>
    </row>
    <row r="510" spans="24:24" hidden="1">
      <c r="X510" s="150"/>
    </row>
    <row r="511" spans="24:24" hidden="1">
      <c r="X511" s="150"/>
    </row>
    <row r="512" spans="24:24" hidden="1">
      <c r="X512" s="150"/>
    </row>
    <row r="513" spans="24:24" hidden="1">
      <c r="X513" s="150"/>
    </row>
    <row r="514" spans="24:24" hidden="1">
      <c r="X514" s="150"/>
    </row>
    <row r="515" spans="24:24" hidden="1">
      <c r="X515" s="150"/>
    </row>
    <row r="516" spans="24:24" hidden="1">
      <c r="X516" s="150"/>
    </row>
    <row r="517" spans="24:24" hidden="1">
      <c r="X517" s="150"/>
    </row>
    <row r="518" spans="24:24" hidden="1">
      <c r="X518" s="150"/>
    </row>
    <row r="519" spans="24:24" hidden="1">
      <c r="X519" s="150"/>
    </row>
    <row r="520" spans="24:24" hidden="1">
      <c r="X520" s="150"/>
    </row>
    <row r="521" spans="24:24" hidden="1">
      <c r="X521" s="150"/>
    </row>
    <row r="522" spans="24:24" hidden="1">
      <c r="X522" s="150"/>
    </row>
    <row r="523" spans="24:24" hidden="1">
      <c r="X523" s="150"/>
    </row>
    <row r="524" spans="24:24" hidden="1">
      <c r="X524" s="150"/>
    </row>
    <row r="525" spans="24:24" hidden="1">
      <c r="X525" s="150"/>
    </row>
    <row r="526" spans="24:24" hidden="1">
      <c r="X526" s="150"/>
    </row>
    <row r="527" spans="24:24" hidden="1">
      <c r="X527" s="150"/>
    </row>
    <row r="528" spans="24:24" hidden="1">
      <c r="X528" s="150"/>
    </row>
    <row r="529" spans="24:24" hidden="1">
      <c r="X529" s="150"/>
    </row>
    <row r="530" spans="24:24" hidden="1">
      <c r="X530" s="150"/>
    </row>
    <row r="531" spans="24:24" hidden="1">
      <c r="X531" s="150"/>
    </row>
    <row r="532" spans="24:24" hidden="1">
      <c r="X532" s="150"/>
    </row>
    <row r="533" spans="24:24" hidden="1">
      <c r="X533" s="150"/>
    </row>
    <row r="534" spans="24:24" hidden="1">
      <c r="X534" s="150"/>
    </row>
    <row r="535" spans="24:24" hidden="1">
      <c r="X535" s="150"/>
    </row>
    <row r="536" spans="24:24" hidden="1">
      <c r="X536" s="150"/>
    </row>
    <row r="537" spans="24:24" hidden="1">
      <c r="X537" s="150"/>
    </row>
    <row r="538" spans="24:24" hidden="1">
      <c r="X538" s="150"/>
    </row>
    <row r="539" spans="24:24" hidden="1">
      <c r="X539" s="150"/>
    </row>
    <row r="540" spans="24:24" hidden="1">
      <c r="X540" s="150"/>
    </row>
    <row r="541" spans="24:24" hidden="1">
      <c r="X541" s="150"/>
    </row>
    <row r="542" spans="24:24" hidden="1">
      <c r="X542" s="150"/>
    </row>
    <row r="543" spans="24:24" hidden="1">
      <c r="X543" s="150"/>
    </row>
    <row r="544" spans="24:24" hidden="1">
      <c r="X544" s="150"/>
    </row>
    <row r="545" spans="24:24" hidden="1">
      <c r="X545" s="150"/>
    </row>
    <row r="546" spans="24:24" hidden="1">
      <c r="X546" s="150"/>
    </row>
    <row r="547" spans="24:24" hidden="1">
      <c r="X547" s="150"/>
    </row>
    <row r="548" spans="24:24" hidden="1">
      <c r="X548" s="150"/>
    </row>
    <row r="549" spans="24:24" hidden="1">
      <c r="X549" s="150"/>
    </row>
    <row r="550" spans="24:24" hidden="1">
      <c r="X550" s="150"/>
    </row>
    <row r="551" spans="24:24" hidden="1">
      <c r="X551" s="150"/>
    </row>
    <row r="552" spans="24:24" hidden="1">
      <c r="X552" s="150"/>
    </row>
    <row r="553" spans="24:24" hidden="1">
      <c r="X553" s="150"/>
    </row>
    <row r="554" spans="24:24" hidden="1">
      <c r="X554" s="150"/>
    </row>
    <row r="555" spans="24:24" hidden="1">
      <c r="X555" s="150"/>
    </row>
    <row r="556" spans="24:24" hidden="1">
      <c r="X556" s="150"/>
    </row>
    <row r="557" spans="24:24" hidden="1">
      <c r="X557" s="150"/>
    </row>
    <row r="558" spans="24:24" hidden="1">
      <c r="X558" s="150"/>
    </row>
    <row r="559" spans="24:24" hidden="1">
      <c r="X559" s="150"/>
    </row>
    <row r="560" spans="24:24" hidden="1">
      <c r="X560" s="150"/>
    </row>
    <row r="561" spans="24:24" hidden="1">
      <c r="X561" s="150"/>
    </row>
    <row r="562" spans="24:24" hidden="1">
      <c r="X562" s="150"/>
    </row>
    <row r="563" spans="24:24" hidden="1">
      <c r="X563" s="150"/>
    </row>
    <row r="564" spans="24:24" hidden="1">
      <c r="X564" s="150"/>
    </row>
    <row r="565" spans="24:24" hidden="1">
      <c r="X565" s="150"/>
    </row>
    <row r="566" spans="24:24" hidden="1">
      <c r="X566" s="150"/>
    </row>
    <row r="567" spans="24:24" hidden="1">
      <c r="X567" s="150"/>
    </row>
    <row r="568" spans="24:24" hidden="1">
      <c r="X568" s="150"/>
    </row>
    <row r="569" spans="24:24" hidden="1">
      <c r="X569" s="150"/>
    </row>
    <row r="570" spans="24:24" hidden="1">
      <c r="X570" s="150"/>
    </row>
    <row r="571" spans="24:24" hidden="1">
      <c r="X571" s="150"/>
    </row>
    <row r="572" spans="24:24" hidden="1">
      <c r="X572" s="150"/>
    </row>
    <row r="573" spans="24:24" hidden="1">
      <c r="X573" s="150"/>
    </row>
    <row r="574" spans="24:24" hidden="1">
      <c r="X574" s="150"/>
    </row>
    <row r="575" spans="24:24" hidden="1">
      <c r="X575" s="150"/>
    </row>
    <row r="576" spans="24:24" hidden="1">
      <c r="X576" s="150"/>
    </row>
    <row r="577" spans="24:24" hidden="1">
      <c r="X577" s="150"/>
    </row>
    <row r="578" spans="24:24" hidden="1">
      <c r="X578" s="150"/>
    </row>
    <row r="579" spans="24:24" hidden="1">
      <c r="X579" s="150"/>
    </row>
    <row r="580" spans="24:24" hidden="1">
      <c r="X580" s="150"/>
    </row>
    <row r="581" spans="24:24" hidden="1">
      <c r="X581" s="150"/>
    </row>
    <row r="582" spans="24:24" hidden="1">
      <c r="X582" s="150"/>
    </row>
    <row r="583" spans="24:24" hidden="1">
      <c r="X583" s="150"/>
    </row>
    <row r="584" spans="24:24" hidden="1">
      <c r="X584" s="150"/>
    </row>
    <row r="585" spans="24:24" hidden="1">
      <c r="X585" s="150"/>
    </row>
    <row r="586" spans="24:24" hidden="1">
      <c r="X586" s="150"/>
    </row>
    <row r="587" spans="24:24" hidden="1">
      <c r="X587" s="150"/>
    </row>
    <row r="588" spans="24:24" hidden="1">
      <c r="X588" s="150"/>
    </row>
    <row r="589" spans="24:24" hidden="1">
      <c r="X589" s="150"/>
    </row>
    <row r="590" spans="24:24" hidden="1">
      <c r="X590" s="150"/>
    </row>
    <row r="591" spans="24:24" hidden="1">
      <c r="X591" s="150"/>
    </row>
    <row r="592" spans="24:24" hidden="1">
      <c r="X592" s="150"/>
    </row>
    <row r="593" spans="24:24" hidden="1">
      <c r="X593" s="150"/>
    </row>
    <row r="594" spans="24:24" hidden="1">
      <c r="X594" s="150"/>
    </row>
    <row r="595" spans="24:24" hidden="1">
      <c r="X595" s="150"/>
    </row>
    <row r="596" spans="24:24" hidden="1">
      <c r="X596" s="150"/>
    </row>
    <row r="597" spans="24:24" hidden="1">
      <c r="X597" s="150"/>
    </row>
    <row r="598" spans="24:24" hidden="1">
      <c r="X598" s="150"/>
    </row>
    <row r="599" spans="24:24" hidden="1">
      <c r="X599" s="150"/>
    </row>
    <row r="600" spans="24:24" hidden="1">
      <c r="X600" s="150"/>
    </row>
    <row r="601" spans="24:24" hidden="1">
      <c r="X601" s="150"/>
    </row>
    <row r="602" spans="24:24" hidden="1">
      <c r="X602" s="150"/>
    </row>
    <row r="603" spans="24:24" hidden="1">
      <c r="X603" s="150"/>
    </row>
    <row r="604" spans="24:24" hidden="1">
      <c r="X604" s="150"/>
    </row>
    <row r="605" spans="24:24" hidden="1">
      <c r="X605" s="150"/>
    </row>
    <row r="606" spans="24:24" hidden="1">
      <c r="X606" s="150"/>
    </row>
    <row r="607" spans="24:24" hidden="1">
      <c r="X607" s="150"/>
    </row>
    <row r="608" spans="24:24" hidden="1">
      <c r="X608" s="150"/>
    </row>
    <row r="609" spans="24:24" hidden="1">
      <c r="X609" s="150"/>
    </row>
    <row r="610" spans="24:24" hidden="1">
      <c r="X610" s="150"/>
    </row>
    <row r="611" spans="24:24" hidden="1">
      <c r="X611" s="150"/>
    </row>
    <row r="612" spans="24:24" hidden="1">
      <c r="X612" s="150"/>
    </row>
    <row r="613" spans="24:24" hidden="1">
      <c r="X613" s="150"/>
    </row>
    <row r="614" spans="24:24" hidden="1">
      <c r="X614" s="150"/>
    </row>
    <row r="615" spans="24:24" hidden="1">
      <c r="X615" s="150"/>
    </row>
    <row r="616" spans="24:24" hidden="1">
      <c r="X616" s="150"/>
    </row>
    <row r="617" spans="24:24" hidden="1">
      <c r="X617" s="150"/>
    </row>
    <row r="618" spans="24:24" hidden="1">
      <c r="X618" s="150"/>
    </row>
    <row r="619" spans="24:24" hidden="1">
      <c r="X619" s="150"/>
    </row>
    <row r="620" spans="24:24" hidden="1">
      <c r="X620" s="150"/>
    </row>
    <row r="621" spans="24:24" hidden="1">
      <c r="X621" s="150"/>
    </row>
    <row r="622" spans="24:24" hidden="1">
      <c r="X622" s="150"/>
    </row>
    <row r="623" spans="24:24" hidden="1">
      <c r="X623" s="150"/>
    </row>
    <row r="624" spans="24:24" hidden="1">
      <c r="X624" s="150"/>
    </row>
    <row r="625" spans="24:24" hidden="1">
      <c r="X625" s="150"/>
    </row>
    <row r="626" spans="24:24" hidden="1">
      <c r="X626" s="150"/>
    </row>
    <row r="627" spans="24:24" hidden="1">
      <c r="X627" s="150"/>
    </row>
    <row r="628" spans="24:24" hidden="1">
      <c r="X628" s="150"/>
    </row>
    <row r="629" spans="24:24" hidden="1">
      <c r="X629" s="150"/>
    </row>
    <row r="630" spans="24:24" hidden="1">
      <c r="X630" s="150"/>
    </row>
    <row r="631" spans="24:24" hidden="1">
      <c r="X631" s="150"/>
    </row>
    <row r="632" spans="24:24" hidden="1">
      <c r="X632" s="150"/>
    </row>
    <row r="633" spans="24:24" hidden="1">
      <c r="X633" s="150"/>
    </row>
    <row r="634" spans="24:24" hidden="1">
      <c r="X634" s="150"/>
    </row>
    <row r="635" spans="24:24" hidden="1">
      <c r="X635" s="150"/>
    </row>
    <row r="636" spans="24:24" hidden="1">
      <c r="X636" s="150"/>
    </row>
    <row r="637" spans="24:24" hidden="1">
      <c r="X637" s="150"/>
    </row>
    <row r="638" spans="24:24" hidden="1">
      <c r="X638" s="150"/>
    </row>
    <row r="639" spans="24:24" hidden="1">
      <c r="X639" s="150"/>
    </row>
    <row r="640" spans="24:24" hidden="1">
      <c r="X640" s="150"/>
    </row>
    <row r="641" spans="24:24" hidden="1">
      <c r="X641" s="150"/>
    </row>
    <row r="642" spans="24:24" hidden="1">
      <c r="X642" s="150"/>
    </row>
    <row r="643" spans="24:24" hidden="1">
      <c r="X643" s="150"/>
    </row>
    <row r="644" spans="24:24" hidden="1">
      <c r="X644" s="150"/>
    </row>
    <row r="645" spans="24:24" hidden="1">
      <c r="X645" s="150"/>
    </row>
    <row r="646" spans="24:24" hidden="1">
      <c r="X646" s="150"/>
    </row>
    <row r="647" spans="24:24" hidden="1">
      <c r="X647" s="150"/>
    </row>
    <row r="648" spans="24:24" hidden="1">
      <c r="X648" s="150"/>
    </row>
    <row r="649" spans="24:24" hidden="1">
      <c r="X649" s="150"/>
    </row>
    <row r="650" spans="24:24" hidden="1">
      <c r="X650" s="150"/>
    </row>
    <row r="651" spans="24:24" hidden="1">
      <c r="X651" s="150"/>
    </row>
    <row r="652" spans="24:24" hidden="1">
      <c r="X652" s="150"/>
    </row>
    <row r="653" spans="24:24" hidden="1">
      <c r="X653" s="150"/>
    </row>
    <row r="654" spans="24:24" hidden="1">
      <c r="X654" s="150"/>
    </row>
    <row r="655" spans="24:24" hidden="1">
      <c r="X655" s="150"/>
    </row>
    <row r="656" spans="24:24" hidden="1">
      <c r="X656" s="150"/>
    </row>
    <row r="657" spans="24:24" hidden="1">
      <c r="X657" s="150"/>
    </row>
    <row r="658" spans="24:24" hidden="1">
      <c r="X658" s="150"/>
    </row>
    <row r="659" spans="24:24" hidden="1">
      <c r="X659" s="150"/>
    </row>
    <row r="660" spans="24:24" hidden="1">
      <c r="X660" s="150"/>
    </row>
    <row r="661" spans="24:24" hidden="1">
      <c r="X661" s="150"/>
    </row>
    <row r="662" spans="24:24" hidden="1">
      <c r="X662" s="150"/>
    </row>
    <row r="663" spans="24:24" hidden="1">
      <c r="X663" s="150"/>
    </row>
    <row r="664" spans="24:24" hidden="1">
      <c r="X664" s="150"/>
    </row>
    <row r="665" spans="24:24" hidden="1">
      <c r="X665" s="150"/>
    </row>
    <row r="666" spans="24:24" hidden="1">
      <c r="X666" s="150"/>
    </row>
    <row r="667" spans="24:24" hidden="1">
      <c r="X667" s="150"/>
    </row>
    <row r="668" spans="24:24" hidden="1">
      <c r="X668" s="150"/>
    </row>
    <row r="669" spans="24:24" hidden="1">
      <c r="X669" s="150"/>
    </row>
    <row r="670" spans="24:24" hidden="1">
      <c r="X670" s="150"/>
    </row>
    <row r="671" spans="24:24" hidden="1">
      <c r="X671" s="150"/>
    </row>
    <row r="672" spans="24:24" hidden="1">
      <c r="X672" s="150"/>
    </row>
    <row r="673" spans="24:24" hidden="1">
      <c r="X673" s="150"/>
    </row>
    <row r="674" spans="24:24" hidden="1">
      <c r="X674" s="150"/>
    </row>
    <row r="675" spans="24:24" hidden="1">
      <c r="X675" s="150"/>
    </row>
    <row r="676" spans="24:24" hidden="1">
      <c r="X676" s="150"/>
    </row>
    <row r="677" spans="24:24" hidden="1">
      <c r="X677" s="150"/>
    </row>
    <row r="678" spans="24:24" hidden="1">
      <c r="X678" s="150"/>
    </row>
    <row r="679" spans="24:24" hidden="1">
      <c r="X679" s="150"/>
    </row>
    <row r="680" spans="24:24" hidden="1">
      <c r="X680" s="150"/>
    </row>
    <row r="681" spans="24:24" hidden="1">
      <c r="X681" s="150"/>
    </row>
    <row r="682" spans="24:24" hidden="1">
      <c r="X682" s="150"/>
    </row>
    <row r="683" spans="24:24" hidden="1">
      <c r="X683" s="150"/>
    </row>
    <row r="684" spans="24:24" hidden="1">
      <c r="X684" s="150"/>
    </row>
    <row r="685" spans="24:24" hidden="1">
      <c r="X685" s="150"/>
    </row>
    <row r="686" spans="24:24" hidden="1">
      <c r="X686" s="150"/>
    </row>
    <row r="687" spans="24:24" hidden="1">
      <c r="X687" s="150"/>
    </row>
    <row r="688" spans="24:24" hidden="1">
      <c r="X688" s="150"/>
    </row>
    <row r="689" spans="24:24" hidden="1">
      <c r="X689" s="150"/>
    </row>
    <row r="690" spans="24:24" hidden="1">
      <c r="X690" s="150"/>
    </row>
    <row r="691" spans="24:24" hidden="1">
      <c r="X691" s="150"/>
    </row>
    <row r="692" spans="24:24" hidden="1">
      <c r="X692" s="150"/>
    </row>
    <row r="693" spans="24:24" hidden="1">
      <c r="X693" s="150"/>
    </row>
    <row r="694" spans="24:24" hidden="1">
      <c r="X694" s="150"/>
    </row>
    <row r="695" spans="24:24" hidden="1">
      <c r="X695" s="150"/>
    </row>
    <row r="696" spans="24:24" hidden="1">
      <c r="X696" s="150"/>
    </row>
    <row r="697" spans="24:24" hidden="1">
      <c r="X697" s="150"/>
    </row>
    <row r="698" spans="24:24" hidden="1">
      <c r="X698" s="150"/>
    </row>
    <row r="699" spans="24:24" hidden="1">
      <c r="X699" s="150"/>
    </row>
    <row r="700" spans="24:24" hidden="1">
      <c r="X700" s="150"/>
    </row>
    <row r="701" spans="24:24" hidden="1">
      <c r="X701" s="150"/>
    </row>
    <row r="702" spans="24:24" hidden="1">
      <c r="X702" s="150"/>
    </row>
    <row r="703" spans="24:24" hidden="1">
      <c r="X703" s="150"/>
    </row>
    <row r="704" spans="24:24" hidden="1">
      <c r="X704" s="150"/>
    </row>
    <row r="705" spans="24:24" hidden="1">
      <c r="X705" s="150"/>
    </row>
    <row r="706" spans="24:24" hidden="1">
      <c r="X706" s="150"/>
    </row>
    <row r="707" spans="24:24" hidden="1">
      <c r="X707" s="150"/>
    </row>
    <row r="708" spans="24:24" hidden="1">
      <c r="X708" s="150"/>
    </row>
    <row r="709" spans="24:24" hidden="1">
      <c r="X709" s="150"/>
    </row>
    <row r="710" spans="24:24" hidden="1">
      <c r="X710" s="150"/>
    </row>
    <row r="711" spans="24:24" hidden="1">
      <c r="X711" s="150"/>
    </row>
    <row r="712" spans="24:24" hidden="1">
      <c r="X712" s="150"/>
    </row>
    <row r="713" spans="24:24" hidden="1">
      <c r="X713" s="150"/>
    </row>
    <row r="714" spans="24:24" hidden="1">
      <c r="X714" s="150"/>
    </row>
    <row r="715" spans="24:24" hidden="1">
      <c r="X715" s="150"/>
    </row>
    <row r="716" spans="24:24" hidden="1">
      <c r="X716" s="150"/>
    </row>
    <row r="717" spans="24:24" hidden="1">
      <c r="X717" s="150"/>
    </row>
    <row r="718" spans="24:24" hidden="1">
      <c r="X718" s="150"/>
    </row>
    <row r="719" spans="24:24" hidden="1">
      <c r="X719" s="150"/>
    </row>
    <row r="720" spans="24:24" hidden="1">
      <c r="X720" s="150"/>
    </row>
    <row r="721" spans="24:24" hidden="1">
      <c r="X721" s="150"/>
    </row>
    <row r="722" spans="24:24" hidden="1">
      <c r="X722" s="150"/>
    </row>
    <row r="723" spans="24:24" hidden="1">
      <c r="X723" s="150"/>
    </row>
    <row r="724" spans="24:24" hidden="1">
      <c r="X724" s="150"/>
    </row>
    <row r="725" spans="24:24" hidden="1">
      <c r="X725" s="150"/>
    </row>
    <row r="726" spans="24:24" hidden="1">
      <c r="X726" s="150"/>
    </row>
    <row r="727" spans="24:24" hidden="1">
      <c r="X727" s="150"/>
    </row>
    <row r="728" spans="24:24" hidden="1">
      <c r="X728" s="150"/>
    </row>
    <row r="729" spans="24:24" hidden="1">
      <c r="X729" s="150"/>
    </row>
    <row r="730" spans="24:24" hidden="1">
      <c r="X730" s="150"/>
    </row>
    <row r="731" spans="24:24" hidden="1">
      <c r="X731" s="150"/>
    </row>
    <row r="732" spans="24:24" hidden="1">
      <c r="X732" s="150"/>
    </row>
    <row r="733" spans="24:24" hidden="1">
      <c r="X733" s="150"/>
    </row>
    <row r="734" spans="24:24" hidden="1">
      <c r="X734" s="150"/>
    </row>
    <row r="735" spans="24:24" hidden="1">
      <c r="X735" s="150"/>
    </row>
    <row r="736" spans="24:24" hidden="1">
      <c r="X736" s="150"/>
    </row>
    <row r="737" spans="24:24" hidden="1">
      <c r="X737" s="150"/>
    </row>
    <row r="738" spans="24:24" hidden="1">
      <c r="X738" s="150"/>
    </row>
    <row r="739" spans="24:24" hidden="1">
      <c r="X739" s="150"/>
    </row>
    <row r="740" spans="24:24" hidden="1">
      <c r="X740" s="150"/>
    </row>
    <row r="741" spans="24:24" hidden="1">
      <c r="X741" s="150"/>
    </row>
    <row r="742" spans="24:24" hidden="1">
      <c r="X742" s="150"/>
    </row>
    <row r="743" spans="24:24" hidden="1">
      <c r="X743" s="150"/>
    </row>
    <row r="744" spans="24:24" hidden="1">
      <c r="X744" s="150"/>
    </row>
    <row r="745" spans="24:24" hidden="1">
      <c r="X745" s="150"/>
    </row>
    <row r="746" spans="24:24" hidden="1">
      <c r="X746" s="150"/>
    </row>
    <row r="747" spans="24:24" hidden="1">
      <c r="X747" s="150"/>
    </row>
    <row r="748" spans="24:24" hidden="1">
      <c r="X748" s="150"/>
    </row>
    <row r="749" spans="24:24" hidden="1">
      <c r="X749" s="150"/>
    </row>
    <row r="750" spans="24:24" hidden="1">
      <c r="X750" s="150"/>
    </row>
    <row r="751" spans="24:24" hidden="1">
      <c r="X751" s="150"/>
    </row>
    <row r="752" spans="24:24" hidden="1">
      <c r="X752" s="150"/>
    </row>
    <row r="753" spans="24:24" hidden="1">
      <c r="X753" s="150"/>
    </row>
    <row r="754" spans="24:24" hidden="1">
      <c r="X754" s="150"/>
    </row>
    <row r="755" spans="24:24" hidden="1">
      <c r="X755" s="150"/>
    </row>
    <row r="756" spans="24:24" hidden="1">
      <c r="X756" s="150"/>
    </row>
    <row r="757" spans="24:24" hidden="1">
      <c r="X757" s="150"/>
    </row>
    <row r="758" spans="24:24" hidden="1">
      <c r="X758" s="150"/>
    </row>
    <row r="759" spans="24:24" hidden="1">
      <c r="X759" s="150"/>
    </row>
    <row r="760" spans="24:24" hidden="1">
      <c r="X760" s="150"/>
    </row>
    <row r="761" spans="24:24" hidden="1">
      <c r="X761" s="150"/>
    </row>
    <row r="762" spans="24:24" hidden="1">
      <c r="X762" s="150"/>
    </row>
    <row r="763" spans="24:24" hidden="1">
      <c r="X763" s="150"/>
    </row>
    <row r="764" spans="24:24" hidden="1">
      <c r="X764" s="150"/>
    </row>
    <row r="765" spans="24:24" hidden="1">
      <c r="X765" s="150"/>
    </row>
    <row r="766" spans="24:24" hidden="1">
      <c r="X766" s="150"/>
    </row>
    <row r="767" spans="24:24" hidden="1">
      <c r="X767" s="150"/>
    </row>
    <row r="768" spans="24:24" hidden="1">
      <c r="X768" s="150"/>
    </row>
    <row r="769" spans="24:24" hidden="1">
      <c r="X769" s="150"/>
    </row>
    <row r="770" spans="24:24" hidden="1">
      <c r="X770" s="150"/>
    </row>
    <row r="771" spans="24:24" hidden="1">
      <c r="X771" s="150"/>
    </row>
    <row r="772" spans="24:24" hidden="1">
      <c r="X772" s="150"/>
    </row>
    <row r="773" spans="24:24" hidden="1">
      <c r="X773" s="150"/>
    </row>
    <row r="774" spans="24:24" hidden="1">
      <c r="X774" s="150"/>
    </row>
    <row r="775" spans="24:24" hidden="1">
      <c r="X775" s="150"/>
    </row>
    <row r="776" spans="24:24" hidden="1">
      <c r="X776" s="150"/>
    </row>
    <row r="777" spans="24:24" hidden="1">
      <c r="X777" s="150"/>
    </row>
    <row r="778" spans="24:24" hidden="1">
      <c r="X778" s="150"/>
    </row>
    <row r="779" spans="24:24" hidden="1">
      <c r="X779" s="150"/>
    </row>
    <row r="780" spans="24:24" hidden="1">
      <c r="X780" s="150"/>
    </row>
    <row r="781" spans="24:24" hidden="1">
      <c r="X781" s="150"/>
    </row>
    <row r="782" spans="24:24" hidden="1">
      <c r="X782" s="150"/>
    </row>
    <row r="783" spans="24:24" hidden="1">
      <c r="X783" s="150"/>
    </row>
    <row r="784" spans="24:24" hidden="1">
      <c r="X784" s="150"/>
    </row>
    <row r="785" spans="24:24" hidden="1">
      <c r="X785" s="150"/>
    </row>
    <row r="786" spans="24:24" hidden="1">
      <c r="X786" s="150"/>
    </row>
    <row r="787" spans="24:24" hidden="1">
      <c r="X787" s="150"/>
    </row>
    <row r="788" spans="24:24" hidden="1">
      <c r="X788" s="150"/>
    </row>
    <row r="789" spans="24:24" hidden="1">
      <c r="X789" s="150"/>
    </row>
    <row r="790" spans="24:24" hidden="1">
      <c r="X790" s="150"/>
    </row>
    <row r="791" spans="24:24" hidden="1">
      <c r="X791" s="150"/>
    </row>
    <row r="792" spans="24:24" hidden="1">
      <c r="X792" s="150"/>
    </row>
    <row r="793" spans="24:24" hidden="1">
      <c r="X793" s="150"/>
    </row>
    <row r="794" spans="24:24" hidden="1">
      <c r="X794" s="150"/>
    </row>
    <row r="795" spans="24:24" hidden="1">
      <c r="X795" s="150"/>
    </row>
    <row r="796" spans="24:24" hidden="1">
      <c r="X796" s="150"/>
    </row>
    <row r="797" spans="24:24" hidden="1">
      <c r="X797" s="150"/>
    </row>
    <row r="798" spans="24:24" hidden="1">
      <c r="X798" s="150"/>
    </row>
    <row r="799" spans="24:24" hidden="1">
      <c r="X799" s="150"/>
    </row>
    <row r="800" spans="24:24" hidden="1">
      <c r="X800" s="150"/>
    </row>
    <row r="801" spans="24:24" hidden="1">
      <c r="X801" s="150"/>
    </row>
    <row r="802" spans="24:24" hidden="1">
      <c r="X802" s="150"/>
    </row>
    <row r="803" spans="24:24" hidden="1">
      <c r="X803" s="150"/>
    </row>
    <row r="804" spans="24:24" hidden="1">
      <c r="X804" s="150"/>
    </row>
    <row r="805" spans="24:24" hidden="1">
      <c r="X805" s="150"/>
    </row>
    <row r="806" spans="24:24" hidden="1">
      <c r="X806" s="150"/>
    </row>
    <row r="807" spans="24:24" hidden="1">
      <c r="X807" s="150"/>
    </row>
    <row r="808" spans="24:24" hidden="1">
      <c r="X808" s="150"/>
    </row>
    <row r="809" spans="24:24" hidden="1">
      <c r="X809" s="150"/>
    </row>
    <row r="810" spans="24:24" hidden="1">
      <c r="X810" s="150"/>
    </row>
    <row r="811" spans="24:24" hidden="1">
      <c r="X811" s="150"/>
    </row>
    <row r="812" spans="24:24" hidden="1">
      <c r="X812" s="150"/>
    </row>
    <row r="813" spans="24:24" hidden="1">
      <c r="X813" s="150"/>
    </row>
    <row r="814" spans="24:24" hidden="1">
      <c r="X814" s="150"/>
    </row>
    <row r="815" spans="24:24" hidden="1">
      <c r="X815" s="150"/>
    </row>
    <row r="816" spans="24:24" hidden="1">
      <c r="X816" s="150"/>
    </row>
    <row r="817" spans="24:24" hidden="1">
      <c r="X817" s="150"/>
    </row>
    <row r="818" spans="24:24" hidden="1">
      <c r="X818" s="150"/>
    </row>
    <row r="819" spans="24:24" hidden="1">
      <c r="X819" s="150"/>
    </row>
    <row r="820" spans="24:24" hidden="1">
      <c r="X820" s="150"/>
    </row>
    <row r="821" spans="24:24" hidden="1">
      <c r="X821" s="150"/>
    </row>
    <row r="822" spans="24:24" hidden="1">
      <c r="X822" s="150"/>
    </row>
    <row r="823" spans="24:24" hidden="1">
      <c r="X823" s="150"/>
    </row>
    <row r="824" spans="24:24" hidden="1">
      <c r="X824" s="150"/>
    </row>
    <row r="825" spans="24:24" hidden="1">
      <c r="X825" s="150"/>
    </row>
    <row r="826" spans="24:24" hidden="1">
      <c r="X826" s="150"/>
    </row>
    <row r="827" spans="24:24" hidden="1">
      <c r="X827" s="150"/>
    </row>
    <row r="828" spans="24:24" hidden="1">
      <c r="X828" s="150"/>
    </row>
    <row r="829" spans="24:24" hidden="1">
      <c r="X829" s="150"/>
    </row>
    <row r="830" spans="24:24" hidden="1">
      <c r="X830" s="150"/>
    </row>
    <row r="831" spans="24:24" hidden="1">
      <c r="X831" s="150"/>
    </row>
    <row r="832" spans="24:24" hidden="1">
      <c r="X832" s="150"/>
    </row>
    <row r="833" spans="24:24" hidden="1">
      <c r="X833" s="150"/>
    </row>
    <row r="834" spans="24:24" hidden="1">
      <c r="X834" s="150"/>
    </row>
    <row r="835" spans="24:24" hidden="1">
      <c r="X835" s="150"/>
    </row>
    <row r="836" spans="24:24" hidden="1">
      <c r="X836" s="150"/>
    </row>
    <row r="837" spans="24:24" hidden="1">
      <c r="X837" s="150"/>
    </row>
    <row r="838" spans="24:24" hidden="1">
      <c r="X838" s="150"/>
    </row>
    <row r="839" spans="24:24" hidden="1">
      <c r="X839" s="150"/>
    </row>
    <row r="840" spans="24:24" hidden="1">
      <c r="X840" s="150"/>
    </row>
    <row r="841" spans="24:24" hidden="1">
      <c r="X841" s="150"/>
    </row>
    <row r="842" spans="24:24" hidden="1">
      <c r="X842" s="150"/>
    </row>
    <row r="843" spans="24:24" hidden="1">
      <c r="X843" s="150"/>
    </row>
    <row r="844" spans="24:24" hidden="1">
      <c r="X844" s="15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B9" sqref="B9"/>
    </sheetView>
  </sheetViews>
  <sheetFormatPr defaultColWidth="0" defaultRowHeight="14.25" zeroHeight="1"/>
  <cols>
    <col min="1" max="21" width="11.625" style="4" customWidth="1"/>
    <col min="22" max="22" width="11.625" style="144" customWidth="1"/>
    <col min="23" max="36" width="11.625" style="4" customWidth="1"/>
    <col min="37" max="16384" width="0" style="4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104</v>
      </c>
      <c r="N1" s="21" t="s">
        <v>80</v>
      </c>
      <c r="O1" s="21" t="s">
        <v>9</v>
      </c>
      <c r="P1" s="21" t="s">
        <v>10</v>
      </c>
      <c r="Q1" s="21" t="s">
        <v>128</v>
      </c>
      <c r="R1" s="21" t="s">
        <v>11</v>
      </c>
      <c r="S1" s="21" t="s">
        <v>12</v>
      </c>
      <c r="T1" s="21" t="s">
        <v>867</v>
      </c>
      <c r="U1" s="21" t="s">
        <v>13</v>
      </c>
      <c r="V1" s="141" t="s">
        <v>14</v>
      </c>
      <c r="W1" s="21" t="s">
        <v>15</v>
      </c>
      <c r="X1" s="21" t="s">
        <v>365</v>
      </c>
      <c r="Y1" s="21" t="s">
        <v>788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120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2">
        <v>891</v>
      </c>
      <c r="B2" s="22">
        <v>9957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5"/>
      <c r="X2" s="20"/>
      <c r="Y2" s="20"/>
      <c r="Z2" s="20"/>
      <c r="AA2" s="20"/>
      <c r="AB2" s="20"/>
      <c r="AC2" s="20"/>
      <c r="AD2" s="20"/>
      <c r="AE2" s="20"/>
      <c r="AG2" s="20"/>
    </row>
    <row r="3" spans="1:36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5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5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5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5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5"/>
      <c r="W7" s="20"/>
      <c r="X7" s="20"/>
      <c r="Y7" s="20"/>
      <c r="Z7" s="20"/>
      <c r="AA7" s="20"/>
      <c r="AB7" s="20"/>
      <c r="AC7" s="20"/>
      <c r="AD7" s="20"/>
      <c r="AE7" s="20"/>
    </row>
    <row r="8" spans="1:36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5"/>
      <c r="W8" s="20"/>
      <c r="X8" s="20"/>
      <c r="Y8" s="20"/>
      <c r="Z8" s="20"/>
    </row>
    <row r="9" spans="1:36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5"/>
      <c r="W9" s="20"/>
      <c r="X9" s="20"/>
      <c r="Y9" s="20"/>
      <c r="Z9" s="20"/>
      <c r="AB9" s="22"/>
      <c r="AC9" s="22"/>
      <c r="AD9" s="29"/>
      <c r="AG9" s="20"/>
    </row>
    <row r="10" spans="1:36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5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5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5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5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5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5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5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5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5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5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 hidden="1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 hidden="1">
      <c r="T21" s="2"/>
    </row>
    <row r="22" spans="1:33" hidden="1">
      <c r="T22" s="2"/>
    </row>
    <row r="23" spans="1:33" hidden="1">
      <c r="T23" s="2"/>
    </row>
    <row r="24" spans="1:33" hidden="1">
      <c r="T24" s="2"/>
    </row>
    <row r="1048572" spans="12:14" hidden="1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5"/>
  <sheetViews>
    <sheetView rightToLeft="1" topLeftCell="F1" zoomScale="70" zoomScaleNormal="70" workbookViewId="0">
      <selection activeCell="R29" sqref="R29"/>
    </sheetView>
  </sheetViews>
  <sheetFormatPr defaultColWidth="0" defaultRowHeight="14.25" zeroHeight="1"/>
  <cols>
    <col min="1" max="4" width="11.625" style="193" customWidth="1"/>
    <col min="5" max="5" width="11.625" style="206" customWidth="1"/>
    <col min="6" max="6" width="24.875" style="193" customWidth="1"/>
    <col min="7" max="21" width="11.625" style="193" customWidth="1"/>
    <col min="22" max="22" width="11.625" style="207" customWidth="1"/>
    <col min="23" max="23" width="11.625" style="193" customWidth="1"/>
    <col min="24" max="25" width="11.625" style="206" customWidth="1"/>
    <col min="26" max="36" width="11.625" style="193" customWidth="1"/>
    <col min="37" max="16384" width="0" style="193" hidden="1"/>
  </cols>
  <sheetData>
    <row r="1" spans="1:36" ht="66.75" customHeight="1">
      <c r="A1" s="192" t="s">
        <v>0</v>
      </c>
      <c r="B1" s="192" t="s">
        <v>1</v>
      </c>
      <c r="C1" s="192" t="s">
        <v>2</v>
      </c>
      <c r="D1" s="192" t="s">
        <v>101</v>
      </c>
      <c r="E1" s="192" t="s">
        <v>102</v>
      </c>
      <c r="F1" s="192" t="s">
        <v>3</v>
      </c>
      <c r="G1" s="192" t="s">
        <v>4</v>
      </c>
      <c r="H1" s="192" t="s">
        <v>103</v>
      </c>
      <c r="I1" s="192" t="s">
        <v>5</v>
      </c>
      <c r="J1" s="192" t="s">
        <v>6</v>
      </c>
      <c r="K1" s="192" t="s">
        <v>7</v>
      </c>
      <c r="L1" s="192" t="s">
        <v>280</v>
      </c>
      <c r="M1" s="192" t="s">
        <v>8</v>
      </c>
      <c r="N1" s="192" t="s">
        <v>104</v>
      </c>
      <c r="O1" s="192" t="s">
        <v>80</v>
      </c>
      <c r="P1" s="192" t="s">
        <v>9</v>
      </c>
      <c r="Q1" s="192" t="s">
        <v>10</v>
      </c>
      <c r="R1" s="192" t="s">
        <v>128</v>
      </c>
      <c r="S1" s="192" t="s">
        <v>11</v>
      </c>
      <c r="T1" s="192" t="s">
        <v>12</v>
      </c>
      <c r="U1" s="192" t="s">
        <v>13</v>
      </c>
      <c r="V1" s="164" t="s">
        <v>14</v>
      </c>
      <c r="W1" s="167" t="s">
        <v>15</v>
      </c>
      <c r="X1" s="192" t="s">
        <v>365</v>
      </c>
      <c r="Y1" s="192" t="s">
        <v>788</v>
      </c>
      <c r="Z1" s="192" t="s">
        <v>17</v>
      </c>
      <c r="AA1" s="162" t="s">
        <v>18</v>
      </c>
      <c r="AB1" s="171" t="s">
        <v>19</v>
      </c>
      <c r="AC1" s="192" t="s">
        <v>16</v>
      </c>
      <c r="AD1" s="192" t="s">
        <v>20</v>
      </c>
      <c r="AE1" s="192" t="s">
        <v>21</v>
      </c>
      <c r="AF1" s="192" t="s">
        <v>120</v>
      </c>
      <c r="AG1" s="192" t="s">
        <v>22</v>
      </c>
      <c r="AH1" s="167" t="s">
        <v>23</v>
      </c>
      <c r="AI1" s="167" t="s">
        <v>24</v>
      </c>
      <c r="AJ1" s="167" t="s">
        <v>25</v>
      </c>
    </row>
    <row r="2" spans="1:36">
      <c r="A2" s="193">
        <v>891</v>
      </c>
      <c r="B2" s="194">
        <v>9957</v>
      </c>
      <c r="C2" s="194" t="s">
        <v>1679</v>
      </c>
      <c r="D2" s="194" t="s">
        <v>1680</v>
      </c>
      <c r="E2" s="195" t="s">
        <v>1264</v>
      </c>
      <c r="F2" s="194" t="s">
        <v>1681</v>
      </c>
      <c r="G2" s="194" t="s">
        <v>1682</v>
      </c>
      <c r="H2" s="195" t="s">
        <v>275</v>
      </c>
      <c r="I2" s="194" t="s">
        <v>713</v>
      </c>
      <c r="J2" s="195" t="s">
        <v>160</v>
      </c>
      <c r="K2" s="195" t="s">
        <v>30</v>
      </c>
      <c r="L2" s="194" t="s">
        <v>281</v>
      </c>
      <c r="M2" s="195" t="s">
        <v>268</v>
      </c>
      <c r="N2" s="193" t="s">
        <v>409</v>
      </c>
      <c r="O2" s="194" t="s">
        <v>94</v>
      </c>
      <c r="P2" s="194" t="s">
        <v>1683</v>
      </c>
      <c r="Q2" s="194" t="s">
        <v>388</v>
      </c>
      <c r="R2" s="194" t="s">
        <v>361</v>
      </c>
      <c r="S2" s="195" t="s">
        <v>1140</v>
      </c>
      <c r="T2" s="196">
        <v>0.13300000000000001</v>
      </c>
      <c r="U2" s="194" t="s">
        <v>95</v>
      </c>
      <c r="V2" s="197">
        <v>6.1249999999999999E-2</v>
      </c>
      <c r="W2" s="198">
        <v>0.23773</v>
      </c>
      <c r="X2" s="195" t="s">
        <v>367</v>
      </c>
      <c r="Y2" s="195" t="s">
        <v>94</v>
      </c>
      <c r="Z2" s="196">
        <v>0</v>
      </c>
      <c r="AA2" s="199">
        <v>3.3719999999999999</v>
      </c>
      <c r="AB2" s="200">
        <v>0</v>
      </c>
      <c r="AC2" s="196">
        <v>1.296</v>
      </c>
      <c r="AD2" s="196">
        <v>4.3719999999999999</v>
      </c>
      <c r="AE2" s="194"/>
      <c r="AF2" s="194"/>
      <c r="AG2" s="195" t="s">
        <v>36</v>
      </c>
      <c r="AH2" s="201">
        <v>0</v>
      </c>
      <c r="AI2" s="201">
        <v>1.5632453432841599E-4</v>
      </c>
      <c r="AJ2" s="201">
        <v>2.83795014550601E-5</v>
      </c>
    </row>
    <row r="3" spans="1:36">
      <c r="A3" s="194">
        <v>891</v>
      </c>
      <c r="B3" s="194">
        <v>9957</v>
      </c>
      <c r="C3" s="194" t="s">
        <v>1684</v>
      </c>
      <c r="D3" s="194" t="s">
        <v>1685</v>
      </c>
      <c r="E3" s="195" t="s">
        <v>1264</v>
      </c>
      <c r="F3" s="194" t="s">
        <v>1686</v>
      </c>
      <c r="G3" s="194" t="s">
        <v>1687</v>
      </c>
      <c r="H3" s="195" t="s">
        <v>275</v>
      </c>
      <c r="I3" s="194" t="s">
        <v>927</v>
      </c>
      <c r="J3" s="195" t="s">
        <v>30</v>
      </c>
      <c r="K3" s="195" t="s">
        <v>30</v>
      </c>
      <c r="L3" s="194" t="s">
        <v>281</v>
      </c>
      <c r="M3" s="195" t="s">
        <v>31</v>
      </c>
      <c r="N3" s="194" t="s">
        <v>402</v>
      </c>
      <c r="O3" s="194" t="s">
        <v>94</v>
      </c>
      <c r="P3" s="194" t="s">
        <v>1688</v>
      </c>
      <c r="Q3" s="194" t="s">
        <v>370</v>
      </c>
      <c r="R3" s="194" t="s">
        <v>361</v>
      </c>
      <c r="S3" s="195" t="s">
        <v>34</v>
      </c>
      <c r="T3" s="196">
        <v>1.2070000000000001</v>
      </c>
      <c r="U3" s="194" t="s">
        <v>50</v>
      </c>
      <c r="V3" s="197">
        <v>3.5000000000000003E-2</v>
      </c>
      <c r="W3" s="198">
        <v>4.8849999999999998E-2</v>
      </c>
      <c r="X3" s="195" t="s">
        <v>367</v>
      </c>
      <c r="Y3" s="195" t="s">
        <v>94</v>
      </c>
      <c r="Z3" s="196">
        <v>155124</v>
      </c>
      <c r="AA3" s="199">
        <v>1</v>
      </c>
      <c r="AB3" s="200">
        <v>99.31</v>
      </c>
      <c r="AC3" s="194"/>
      <c r="AD3" s="196">
        <v>154.054</v>
      </c>
      <c r="AE3" s="194"/>
      <c r="AG3" s="195" t="s">
        <v>36</v>
      </c>
      <c r="AH3" s="201">
        <v>1.116E-3</v>
      </c>
      <c r="AI3" s="201">
        <v>5.5087844871812199E-3</v>
      </c>
      <c r="AJ3" s="201">
        <v>1.00007691077544E-3</v>
      </c>
    </row>
    <row r="4" spans="1:36">
      <c r="A4" s="194">
        <v>891</v>
      </c>
      <c r="B4" s="194">
        <v>9957</v>
      </c>
      <c r="C4" s="194" t="s">
        <v>1684</v>
      </c>
      <c r="D4" s="194" t="s">
        <v>1685</v>
      </c>
      <c r="E4" s="195" t="s">
        <v>1264</v>
      </c>
      <c r="F4" s="194" t="s">
        <v>1689</v>
      </c>
      <c r="G4" s="194" t="s">
        <v>1690</v>
      </c>
      <c r="H4" s="195" t="s">
        <v>275</v>
      </c>
      <c r="I4" s="194" t="s">
        <v>712</v>
      </c>
      <c r="J4" s="195" t="s">
        <v>30</v>
      </c>
      <c r="K4" s="195" t="s">
        <v>30</v>
      </c>
      <c r="L4" s="194" t="s">
        <v>281</v>
      </c>
      <c r="M4" s="195" t="s">
        <v>31</v>
      </c>
      <c r="N4" s="194" t="s">
        <v>402</v>
      </c>
      <c r="O4" s="194" t="s">
        <v>94</v>
      </c>
      <c r="P4" s="194" t="s">
        <v>1688</v>
      </c>
      <c r="Q4" s="194" t="s">
        <v>370</v>
      </c>
      <c r="R4" s="194" t="s">
        <v>361</v>
      </c>
      <c r="S4" s="195" t="s">
        <v>34</v>
      </c>
      <c r="T4" s="196">
        <v>2.1160000000000001</v>
      </c>
      <c r="U4" s="194" t="s">
        <v>1691</v>
      </c>
      <c r="V4" s="197">
        <v>3.85E-2</v>
      </c>
      <c r="W4" s="198">
        <v>3.2370000000000003E-2</v>
      </c>
      <c r="X4" s="195" t="s">
        <v>367</v>
      </c>
      <c r="Y4" s="195" t="s">
        <v>94</v>
      </c>
      <c r="Z4" s="196">
        <v>245000</v>
      </c>
      <c r="AA4" s="199">
        <v>1</v>
      </c>
      <c r="AB4" s="200">
        <v>111.11</v>
      </c>
      <c r="AC4" s="194"/>
      <c r="AD4" s="196">
        <v>272.21899999999999</v>
      </c>
      <c r="AE4" s="194"/>
      <c r="AG4" s="195" t="s">
        <v>36</v>
      </c>
      <c r="AH4" s="201">
        <v>8.1700000000000002E-4</v>
      </c>
      <c r="AI4" s="201">
        <v>9.7342621432214994E-3</v>
      </c>
      <c r="AJ4" s="201">
        <v>1.76717946318728E-3</v>
      </c>
    </row>
    <row r="5" spans="1:36">
      <c r="A5" s="194">
        <v>891</v>
      </c>
      <c r="B5" s="194">
        <v>9957</v>
      </c>
      <c r="C5" s="194" t="s">
        <v>1692</v>
      </c>
      <c r="D5" s="194" t="s">
        <v>1693</v>
      </c>
      <c r="E5" s="195" t="s">
        <v>1264</v>
      </c>
      <c r="F5" s="194" t="s">
        <v>1694</v>
      </c>
      <c r="G5" s="194" t="s">
        <v>1695</v>
      </c>
      <c r="H5" s="195" t="s">
        <v>275</v>
      </c>
      <c r="I5" s="194" t="s">
        <v>712</v>
      </c>
      <c r="J5" s="195" t="s">
        <v>30</v>
      </c>
      <c r="K5" s="195" t="s">
        <v>30</v>
      </c>
      <c r="L5" s="194" t="s">
        <v>281</v>
      </c>
      <c r="M5" s="195" t="s">
        <v>31</v>
      </c>
      <c r="N5" s="194" t="s">
        <v>411</v>
      </c>
      <c r="O5" s="194" t="s">
        <v>94</v>
      </c>
      <c r="P5" s="194" t="s">
        <v>1696</v>
      </c>
      <c r="Q5" s="194" t="s">
        <v>368</v>
      </c>
      <c r="R5" s="194" t="s">
        <v>361</v>
      </c>
      <c r="S5" s="195" t="s">
        <v>34</v>
      </c>
      <c r="T5" s="196">
        <v>5.0369999999999999</v>
      </c>
      <c r="U5" s="194" t="s">
        <v>1697</v>
      </c>
      <c r="V5" s="197">
        <v>5.1499999999999997E-2</v>
      </c>
      <c r="W5" s="198">
        <v>4.1759999999999999E-2</v>
      </c>
      <c r="X5" s="195" t="s">
        <v>367</v>
      </c>
      <c r="Y5" s="195" t="s">
        <v>94</v>
      </c>
      <c r="Z5" s="196">
        <v>0.22</v>
      </c>
      <c r="AA5" s="199">
        <v>1</v>
      </c>
      <c r="AB5" s="200">
        <v>148.91</v>
      </c>
      <c r="AC5" s="194"/>
      <c r="AD5" s="196">
        <v>0</v>
      </c>
      <c r="AE5" s="194"/>
      <c r="AG5" s="195" t="s">
        <v>36</v>
      </c>
      <c r="AH5" s="201">
        <v>0</v>
      </c>
      <c r="AI5" s="201">
        <v>1.1714677848734799E-8</v>
      </c>
      <c r="AJ5" s="201">
        <v>2.1267085072857704E-9</v>
      </c>
    </row>
    <row r="6" spans="1:36">
      <c r="A6" s="194">
        <v>891</v>
      </c>
      <c r="B6" s="194">
        <v>9957</v>
      </c>
      <c r="C6" s="194" t="s">
        <v>1337</v>
      </c>
      <c r="D6" s="194" t="s">
        <v>1338</v>
      </c>
      <c r="E6" s="195" t="s">
        <v>1264</v>
      </c>
      <c r="F6" s="194" t="s">
        <v>1698</v>
      </c>
      <c r="G6" s="194" t="s">
        <v>1699</v>
      </c>
      <c r="H6" s="195" t="s">
        <v>275</v>
      </c>
      <c r="I6" s="194" t="s">
        <v>712</v>
      </c>
      <c r="J6" s="195" t="s">
        <v>30</v>
      </c>
      <c r="K6" s="195" t="s">
        <v>30</v>
      </c>
      <c r="L6" s="194" t="s">
        <v>281</v>
      </c>
      <c r="M6" s="195" t="s">
        <v>31</v>
      </c>
      <c r="N6" s="194" t="s">
        <v>395</v>
      </c>
      <c r="O6" s="194" t="s">
        <v>94</v>
      </c>
      <c r="P6" s="194" t="s">
        <v>1700</v>
      </c>
      <c r="Q6" s="194" t="s">
        <v>368</v>
      </c>
      <c r="R6" s="194" t="s">
        <v>361</v>
      </c>
      <c r="S6" s="195" t="s">
        <v>34</v>
      </c>
      <c r="T6" s="196">
        <v>2.472</v>
      </c>
      <c r="U6" s="194" t="s">
        <v>1701</v>
      </c>
      <c r="V6" s="197">
        <v>2.75E-2</v>
      </c>
      <c r="W6" s="198">
        <v>3.0839999999999999E-2</v>
      </c>
      <c r="X6" s="195" t="s">
        <v>367</v>
      </c>
      <c r="Y6" s="195" t="s">
        <v>94</v>
      </c>
      <c r="Z6" s="202">
        <v>337462.57</v>
      </c>
      <c r="AA6" s="203">
        <v>1</v>
      </c>
      <c r="AB6" s="204">
        <v>116.37</v>
      </c>
      <c r="AC6" s="194"/>
      <c r="AD6" s="202">
        <v>392.70499999999998</v>
      </c>
      <c r="AG6" s="193" t="s">
        <v>36</v>
      </c>
      <c r="AH6" s="201">
        <v>4.5300000000000001E-4</v>
      </c>
      <c r="AI6" s="201">
        <v>1.4042694556538801E-2</v>
      </c>
      <c r="AJ6" s="201">
        <v>2.5493418055736201E-3</v>
      </c>
    </row>
    <row r="7" spans="1:36">
      <c r="A7" s="194">
        <v>891</v>
      </c>
      <c r="B7" s="194">
        <v>9957</v>
      </c>
      <c r="C7" s="194" t="s">
        <v>1345</v>
      </c>
      <c r="D7" s="194" t="s">
        <v>1346</v>
      </c>
      <c r="E7" s="195" t="s">
        <v>1264</v>
      </c>
      <c r="F7" s="194" t="s">
        <v>1702</v>
      </c>
      <c r="G7" s="194" t="s">
        <v>1703</v>
      </c>
      <c r="H7" s="195" t="s">
        <v>275</v>
      </c>
      <c r="I7" s="194" t="s">
        <v>927</v>
      </c>
      <c r="J7" s="195" t="s">
        <v>30</v>
      </c>
      <c r="K7" s="195" t="s">
        <v>30</v>
      </c>
      <c r="L7" s="194" t="s">
        <v>281</v>
      </c>
      <c r="M7" s="195" t="s">
        <v>31</v>
      </c>
      <c r="N7" s="194" t="s">
        <v>411</v>
      </c>
      <c r="O7" s="194" t="s">
        <v>94</v>
      </c>
      <c r="P7" s="194" t="s">
        <v>1704</v>
      </c>
      <c r="Q7" s="194" t="s">
        <v>368</v>
      </c>
      <c r="R7" s="194" t="s">
        <v>361</v>
      </c>
      <c r="S7" s="195" t="s">
        <v>34</v>
      </c>
      <c r="T7" s="196">
        <v>7.3310000000000004</v>
      </c>
      <c r="U7" s="194" t="s">
        <v>1705</v>
      </c>
      <c r="V7" s="197">
        <v>2.4E-2</v>
      </c>
      <c r="W7" s="198">
        <v>4.6940000000000003E-2</v>
      </c>
      <c r="X7" s="195" t="s">
        <v>367</v>
      </c>
      <c r="Y7" s="195" t="s">
        <v>94</v>
      </c>
      <c r="Z7" s="202">
        <v>300000</v>
      </c>
      <c r="AA7" s="203">
        <v>1</v>
      </c>
      <c r="AB7" s="204">
        <v>84.92</v>
      </c>
      <c r="AC7" s="194"/>
      <c r="AD7" s="202">
        <v>254.76</v>
      </c>
      <c r="AG7" s="193" t="s">
        <v>36</v>
      </c>
      <c r="AH7" s="201">
        <v>1.9100000000000001E-4</v>
      </c>
      <c r="AI7" s="201">
        <v>9.1099301247967602E-3</v>
      </c>
      <c r="AJ7" s="201">
        <v>1.6538368487253501E-3</v>
      </c>
    </row>
    <row r="8" spans="1:36">
      <c r="A8" s="194">
        <v>891</v>
      </c>
      <c r="B8" s="194">
        <v>9957</v>
      </c>
      <c r="C8" s="194" t="s">
        <v>1706</v>
      </c>
      <c r="D8" s="194" t="s">
        <v>1707</v>
      </c>
      <c r="E8" s="195" t="s">
        <v>1264</v>
      </c>
      <c r="F8" s="194" t="s">
        <v>1708</v>
      </c>
      <c r="G8" s="194" t="s">
        <v>1709</v>
      </c>
      <c r="H8" s="195" t="s">
        <v>275</v>
      </c>
      <c r="I8" s="194" t="s">
        <v>712</v>
      </c>
      <c r="J8" s="195" t="s">
        <v>30</v>
      </c>
      <c r="K8" s="195" t="s">
        <v>30</v>
      </c>
      <c r="L8" s="194" t="s">
        <v>281</v>
      </c>
      <c r="M8" s="195" t="s">
        <v>31</v>
      </c>
      <c r="N8" s="194" t="s">
        <v>419</v>
      </c>
      <c r="O8" s="194" t="s">
        <v>94</v>
      </c>
      <c r="P8" s="194" t="s">
        <v>1704</v>
      </c>
      <c r="Q8" s="194" t="s">
        <v>368</v>
      </c>
      <c r="R8" s="194" t="s">
        <v>361</v>
      </c>
      <c r="S8" s="195" t="s">
        <v>34</v>
      </c>
      <c r="T8" s="196">
        <v>2.0139999999999998</v>
      </c>
      <c r="U8" s="194" t="s">
        <v>53</v>
      </c>
      <c r="V8" s="197">
        <v>2.3400000000000001E-2</v>
      </c>
      <c r="W8" s="198">
        <v>2.8719999999999999E-2</v>
      </c>
      <c r="X8" s="195" t="s">
        <v>367</v>
      </c>
      <c r="Y8" s="195" t="s">
        <v>94</v>
      </c>
      <c r="Z8" s="196">
        <v>251891.89</v>
      </c>
      <c r="AA8" s="199">
        <v>1</v>
      </c>
      <c r="AB8" s="200">
        <v>116.49</v>
      </c>
      <c r="AC8" s="194"/>
      <c r="AD8" s="196">
        <v>293.42899999999997</v>
      </c>
      <c r="AE8" s="194"/>
      <c r="AG8" s="195" t="s">
        <v>36</v>
      </c>
      <c r="AH8" s="201">
        <v>1.55E-4</v>
      </c>
      <c r="AI8" s="201">
        <v>1.0492685018999399E-2</v>
      </c>
      <c r="AJ8" s="201">
        <v>1.9048652282475001E-3</v>
      </c>
    </row>
    <row r="9" spans="1:36">
      <c r="A9" s="194">
        <v>891</v>
      </c>
      <c r="B9" s="194">
        <v>9957</v>
      </c>
      <c r="C9" s="194" t="s">
        <v>1710</v>
      </c>
      <c r="D9" s="194" t="s">
        <v>1711</v>
      </c>
      <c r="E9" s="195" t="s">
        <v>1264</v>
      </c>
      <c r="F9" s="194" t="s">
        <v>1712</v>
      </c>
      <c r="G9" s="194" t="s">
        <v>1713</v>
      </c>
      <c r="H9" s="195" t="s">
        <v>275</v>
      </c>
      <c r="I9" s="194" t="s">
        <v>712</v>
      </c>
      <c r="J9" s="195" t="s">
        <v>30</v>
      </c>
      <c r="K9" s="195" t="s">
        <v>30</v>
      </c>
      <c r="L9" s="194" t="s">
        <v>281</v>
      </c>
      <c r="M9" s="195" t="s">
        <v>31</v>
      </c>
      <c r="N9" s="194" t="s">
        <v>433</v>
      </c>
      <c r="O9" s="194" t="s">
        <v>94</v>
      </c>
      <c r="P9" s="194" t="s">
        <v>1700</v>
      </c>
      <c r="Q9" s="194" t="s">
        <v>368</v>
      </c>
      <c r="R9" s="194" t="s">
        <v>361</v>
      </c>
      <c r="S9" s="195" t="s">
        <v>34</v>
      </c>
      <c r="T9" s="196">
        <v>1.4510000000000001</v>
      </c>
      <c r="U9" s="194" t="s">
        <v>1714</v>
      </c>
      <c r="V9" s="197">
        <v>3.2000000000000001E-2</v>
      </c>
      <c r="W9" s="198">
        <v>3.2230000000000002E-2</v>
      </c>
      <c r="X9" s="195" t="s">
        <v>367</v>
      </c>
      <c r="Y9" s="195" t="s">
        <v>94</v>
      </c>
      <c r="Z9" s="196">
        <v>85200</v>
      </c>
      <c r="AA9" s="199">
        <v>1</v>
      </c>
      <c r="AB9" s="200">
        <v>109.13</v>
      </c>
      <c r="AC9" s="194"/>
      <c r="AD9" s="196">
        <v>92.978999999999999</v>
      </c>
      <c r="AE9" s="194"/>
      <c r="AG9" s="195" t="s">
        <v>36</v>
      </c>
      <c r="AH9" s="201">
        <v>1.2899999999999999E-4</v>
      </c>
      <c r="AI9" s="201">
        <v>3.3248155389003298E-3</v>
      </c>
      <c r="AJ9" s="201">
        <v>6.0359436111159901E-4</v>
      </c>
    </row>
    <row r="10" spans="1:36">
      <c r="A10" s="194">
        <v>891</v>
      </c>
      <c r="B10" s="194">
        <v>9957</v>
      </c>
      <c r="C10" s="194" t="s">
        <v>1710</v>
      </c>
      <c r="D10" s="194" t="s">
        <v>1711</v>
      </c>
      <c r="E10" s="195" t="s">
        <v>1264</v>
      </c>
      <c r="F10" s="194" t="s">
        <v>1715</v>
      </c>
      <c r="G10" s="194" t="s">
        <v>1716</v>
      </c>
      <c r="H10" s="195" t="s">
        <v>275</v>
      </c>
      <c r="I10" s="194" t="s">
        <v>927</v>
      </c>
      <c r="J10" s="195" t="s">
        <v>30</v>
      </c>
      <c r="K10" s="195" t="s">
        <v>30</v>
      </c>
      <c r="L10" s="194" t="s">
        <v>281</v>
      </c>
      <c r="M10" s="195" t="s">
        <v>31</v>
      </c>
      <c r="N10" s="194" t="s">
        <v>433</v>
      </c>
      <c r="O10" s="194" t="s">
        <v>94</v>
      </c>
      <c r="P10" s="194" t="s">
        <v>1700</v>
      </c>
      <c r="Q10" s="194" t="s">
        <v>368</v>
      </c>
      <c r="R10" s="194" t="s">
        <v>361</v>
      </c>
      <c r="S10" s="195" t="s">
        <v>34</v>
      </c>
      <c r="T10" s="196">
        <v>1.518</v>
      </c>
      <c r="U10" s="194" t="s">
        <v>1717</v>
      </c>
      <c r="V10" s="197">
        <v>5.7000000000000002E-2</v>
      </c>
      <c r="W10" s="198">
        <v>5.1889999999999999E-2</v>
      </c>
      <c r="X10" s="195" t="s">
        <v>367</v>
      </c>
      <c r="Y10" s="195" t="s">
        <v>94</v>
      </c>
      <c r="Z10" s="196">
        <v>83400</v>
      </c>
      <c r="AA10" s="199">
        <v>1</v>
      </c>
      <c r="AB10" s="200">
        <v>101.09</v>
      </c>
      <c r="AC10" s="194"/>
      <c r="AD10" s="196">
        <v>84.308999999999997</v>
      </c>
      <c r="AE10" s="194"/>
      <c r="AG10" s="195" t="s">
        <v>36</v>
      </c>
      <c r="AH10" s="201">
        <v>1.06E-4</v>
      </c>
      <c r="AI10" s="201">
        <v>3.0147968499265902E-3</v>
      </c>
      <c r="AJ10" s="201">
        <v>5.4731288314255301E-4</v>
      </c>
    </row>
    <row r="11" spans="1:36">
      <c r="A11" s="194">
        <v>891</v>
      </c>
      <c r="B11" s="194">
        <v>9957</v>
      </c>
      <c r="C11" s="194" t="s">
        <v>1718</v>
      </c>
      <c r="D11" s="194" t="s">
        <v>1719</v>
      </c>
      <c r="E11" s="195" t="s">
        <v>1264</v>
      </c>
      <c r="F11" s="194" t="s">
        <v>1720</v>
      </c>
      <c r="G11" s="194" t="s">
        <v>1721</v>
      </c>
      <c r="H11" s="195" t="s">
        <v>275</v>
      </c>
      <c r="I11" s="194" t="s">
        <v>712</v>
      </c>
      <c r="J11" s="195" t="s">
        <v>30</v>
      </c>
      <c r="K11" s="195" t="s">
        <v>30</v>
      </c>
      <c r="L11" s="194" t="s">
        <v>281</v>
      </c>
      <c r="M11" s="195" t="s">
        <v>31</v>
      </c>
      <c r="N11" s="194" t="s">
        <v>433</v>
      </c>
      <c r="O11" s="194" t="s">
        <v>94</v>
      </c>
      <c r="P11" s="194" t="s">
        <v>1700</v>
      </c>
      <c r="Q11" s="194" t="s">
        <v>368</v>
      </c>
      <c r="R11" s="194" t="s">
        <v>361</v>
      </c>
      <c r="S11" s="195" t="s">
        <v>34</v>
      </c>
      <c r="T11" s="196">
        <v>2.1680000000000001</v>
      </c>
      <c r="U11" s="194" t="s">
        <v>1722</v>
      </c>
      <c r="V11" s="197">
        <v>3.2300000000000002E-2</v>
      </c>
      <c r="W11" s="198">
        <v>2.972E-2</v>
      </c>
      <c r="X11" s="195" t="s">
        <v>367</v>
      </c>
      <c r="Y11" s="195" t="s">
        <v>94</v>
      </c>
      <c r="Z11" s="196">
        <v>117600</v>
      </c>
      <c r="AA11" s="199">
        <v>1</v>
      </c>
      <c r="AB11" s="200">
        <v>110.07</v>
      </c>
      <c r="AC11" s="194"/>
      <c r="AD11" s="196">
        <v>129.44200000000001</v>
      </c>
      <c r="AE11" s="194"/>
      <c r="AG11" s="195" t="s">
        <v>36</v>
      </c>
      <c r="AH11" s="201">
        <v>2.2800000000000001E-4</v>
      </c>
      <c r="AI11" s="201">
        <v>4.6287112984439499E-3</v>
      </c>
      <c r="AJ11" s="201">
        <v>8.40306479041053E-4</v>
      </c>
    </row>
    <row r="12" spans="1:36">
      <c r="A12" s="194">
        <v>891</v>
      </c>
      <c r="B12" s="194">
        <v>9957</v>
      </c>
      <c r="C12" s="194" t="s">
        <v>1723</v>
      </c>
      <c r="D12" s="194" t="s">
        <v>1724</v>
      </c>
      <c r="E12" s="195" t="s">
        <v>1264</v>
      </c>
      <c r="F12" s="194" t="s">
        <v>1725</v>
      </c>
      <c r="G12" s="194" t="s">
        <v>1726</v>
      </c>
      <c r="H12" s="195" t="s">
        <v>275</v>
      </c>
      <c r="I12" s="194" t="s">
        <v>712</v>
      </c>
      <c r="J12" s="195" t="s">
        <v>30</v>
      </c>
      <c r="K12" s="195" t="s">
        <v>30</v>
      </c>
      <c r="L12" s="194" t="s">
        <v>281</v>
      </c>
      <c r="M12" s="195" t="s">
        <v>31</v>
      </c>
      <c r="N12" s="194" t="s">
        <v>419</v>
      </c>
      <c r="O12" s="194" t="s">
        <v>94</v>
      </c>
      <c r="P12" s="194" t="s">
        <v>1727</v>
      </c>
      <c r="Q12" s="194" t="s">
        <v>368</v>
      </c>
      <c r="R12" s="194" t="s">
        <v>361</v>
      </c>
      <c r="S12" s="195" t="s">
        <v>34</v>
      </c>
      <c r="T12" s="196">
        <v>2.1760000000000002</v>
      </c>
      <c r="U12" s="194" t="s">
        <v>1728</v>
      </c>
      <c r="V12" s="197">
        <v>2.4899999999999999E-2</v>
      </c>
      <c r="W12" s="198">
        <v>3.1350000000000003E-2</v>
      </c>
      <c r="X12" s="195" t="s">
        <v>367</v>
      </c>
      <c r="Y12" s="195" t="s">
        <v>94</v>
      </c>
      <c r="Z12" s="196">
        <v>232000</v>
      </c>
      <c r="AA12" s="199">
        <v>1</v>
      </c>
      <c r="AB12" s="200">
        <v>108.03</v>
      </c>
      <c r="AC12" s="194"/>
      <c r="AD12" s="196">
        <v>250.63</v>
      </c>
      <c r="AE12" s="194"/>
      <c r="AG12" s="195" t="s">
        <v>36</v>
      </c>
      <c r="AH12" s="201">
        <v>1.2440000000000001E-3</v>
      </c>
      <c r="AI12" s="201">
        <v>8.9622316816052802E-3</v>
      </c>
      <c r="AJ12" s="201">
        <v>1.6270233469198299E-3</v>
      </c>
    </row>
    <row r="13" spans="1:36">
      <c r="A13" s="194">
        <v>891</v>
      </c>
      <c r="B13" s="194">
        <v>9957</v>
      </c>
      <c r="C13" s="194" t="s">
        <v>1729</v>
      </c>
      <c r="D13" s="194" t="s">
        <v>1730</v>
      </c>
      <c r="E13" s="195" t="s">
        <v>1264</v>
      </c>
      <c r="F13" s="194" t="s">
        <v>1731</v>
      </c>
      <c r="G13" s="194" t="s">
        <v>1732</v>
      </c>
      <c r="H13" s="195" t="s">
        <v>275</v>
      </c>
      <c r="I13" s="194" t="s">
        <v>927</v>
      </c>
      <c r="J13" s="195" t="s">
        <v>30</v>
      </c>
      <c r="K13" s="195" t="s">
        <v>30</v>
      </c>
      <c r="L13" s="194" t="s">
        <v>281</v>
      </c>
      <c r="M13" s="195" t="s">
        <v>31</v>
      </c>
      <c r="N13" s="194" t="s">
        <v>396</v>
      </c>
      <c r="O13" s="194" t="s">
        <v>94</v>
      </c>
      <c r="P13" s="194" t="s">
        <v>364</v>
      </c>
      <c r="Q13" s="194" t="s">
        <v>364</v>
      </c>
      <c r="R13" s="194" t="s">
        <v>364</v>
      </c>
      <c r="S13" s="195" t="s">
        <v>34</v>
      </c>
      <c r="T13" s="196">
        <v>2.7330000000000001</v>
      </c>
      <c r="U13" s="194" t="s">
        <v>71</v>
      </c>
      <c r="V13" s="197">
        <v>5.5E-2</v>
      </c>
      <c r="W13" s="198">
        <v>6.3310000000000005E-2</v>
      </c>
      <c r="X13" s="195" t="s">
        <v>367</v>
      </c>
      <c r="Y13" s="195" t="s">
        <v>94</v>
      </c>
      <c r="Z13" s="196">
        <v>79000</v>
      </c>
      <c r="AA13" s="199">
        <v>1</v>
      </c>
      <c r="AB13" s="200">
        <v>99.42</v>
      </c>
      <c r="AC13" s="194"/>
      <c r="AD13" s="196">
        <v>78.542000000000002</v>
      </c>
      <c r="AE13" s="194"/>
      <c r="AG13" s="195" t="s">
        <v>36</v>
      </c>
      <c r="AH13" s="201">
        <v>2.41E-4</v>
      </c>
      <c r="AI13" s="201">
        <v>2.80856614019376E-3</v>
      </c>
      <c r="AJ13" s="201">
        <v>5.0987330430686496E-4</v>
      </c>
    </row>
    <row r="14" spans="1:36">
      <c r="A14" s="194">
        <v>891</v>
      </c>
      <c r="B14" s="194">
        <v>9957</v>
      </c>
      <c r="C14" s="194" t="s">
        <v>1733</v>
      </c>
      <c r="D14" s="194" t="s">
        <v>1734</v>
      </c>
      <c r="E14" s="195" t="s">
        <v>1264</v>
      </c>
      <c r="F14" s="194" t="s">
        <v>1735</v>
      </c>
      <c r="G14" s="194" t="s">
        <v>1736</v>
      </c>
      <c r="H14" s="195" t="s">
        <v>275</v>
      </c>
      <c r="I14" s="194" t="s">
        <v>927</v>
      </c>
      <c r="J14" s="195" t="s">
        <v>30</v>
      </c>
      <c r="K14" s="195" t="s">
        <v>30</v>
      </c>
      <c r="L14" s="194" t="s">
        <v>281</v>
      </c>
      <c r="M14" s="195" t="s">
        <v>31</v>
      </c>
      <c r="N14" s="194" t="s">
        <v>406</v>
      </c>
      <c r="O14" s="194" t="s">
        <v>94</v>
      </c>
      <c r="P14" s="194" t="s">
        <v>1696</v>
      </c>
      <c r="Q14" s="194" t="s">
        <v>368</v>
      </c>
      <c r="R14" s="194" t="s">
        <v>361</v>
      </c>
      <c r="S14" s="195" t="s">
        <v>34</v>
      </c>
      <c r="T14" s="196">
        <v>3.8010000000000002</v>
      </c>
      <c r="U14" s="194" t="s">
        <v>1737</v>
      </c>
      <c r="V14" s="197">
        <v>2.9899999999999999E-2</v>
      </c>
      <c r="W14" s="198">
        <v>4.6850000000000003E-2</v>
      </c>
      <c r="X14" s="195" t="s">
        <v>367</v>
      </c>
      <c r="Y14" s="195" t="s">
        <v>94</v>
      </c>
      <c r="Z14" s="196">
        <v>300000</v>
      </c>
      <c r="AA14" s="199">
        <v>1</v>
      </c>
      <c r="AB14" s="200">
        <v>105.62</v>
      </c>
      <c r="AC14" s="194"/>
      <c r="AD14" s="196">
        <v>316.86</v>
      </c>
      <c r="AE14" s="194"/>
      <c r="AG14" s="195" t="s">
        <v>36</v>
      </c>
      <c r="AH14" s="201">
        <v>1.5E-3</v>
      </c>
      <c r="AI14" s="201">
        <v>1.1330556050177E-2</v>
      </c>
      <c r="AJ14" s="201">
        <v>2.05697418702746E-3</v>
      </c>
    </row>
    <row r="15" spans="1:36">
      <c r="A15" s="194">
        <v>891</v>
      </c>
      <c r="B15" s="194">
        <v>9957</v>
      </c>
      <c r="C15" s="194" t="s">
        <v>1733</v>
      </c>
      <c r="D15" s="194" t="s">
        <v>1734</v>
      </c>
      <c r="E15" s="195" t="s">
        <v>1264</v>
      </c>
      <c r="F15" s="194" t="s">
        <v>1738</v>
      </c>
      <c r="G15" s="194" t="s">
        <v>1739</v>
      </c>
      <c r="H15" s="195" t="s">
        <v>275</v>
      </c>
      <c r="I15" s="194" t="s">
        <v>927</v>
      </c>
      <c r="J15" s="195" t="s">
        <v>30</v>
      </c>
      <c r="K15" s="195" t="s">
        <v>30</v>
      </c>
      <c r="L15" s="194" t="s">
        <v>281</v>
      </c>
      <c r="M15" s="195" t="s">
        <v>31</v>
      </c>
      <c r="N15" s="194" t="s">
        <v>406</v>
      </c>
      <c r="O15" s="194" t="s">
        <v>94</v>
      </c>
      <c r="P15" s="194" t="s">
        <v>1696</v>
      </c>
      <c r="Q15" s="194" t="s">
        <v>368</v>
      </c>
      <c r="R15" s="194" t="s">
        <v>361</v>
      </c>
      <c r="S15" s="195" t="s">
        <v>34</v>
      </c>
      <c r="T15" s="196">
        <v>2.0840000000000001</v>
      </c>
      <c r="U15" s="194" t="s">
        <v>1740</v>
      </c>
      <c r="V15" s="197">
        <v>2.0400000000000001E-2</v>
      </c>
      <c r="W15" s="198">
        <v>4.8349999999999997E-2</v>
      </c>
      <c r="X15" s="195" t="s">
        <v>367</v>
      </c>
      <c r="Y15" s="195" t="s">
        <v>94</v>
      </c>
      <c r="Z15" s="196">
        <v>112499.99</v>
      </c>
      <c r="AA15" s="199">
        <v>1</v>
      </c>
      <c r="AB15" s="200">
        <v>95.04</v>
      </c>
      <c r="AC15" s="194"/>
      <c r="AD15" s="196">
        <v>106.92</v>
      </c>
      <c r="AE15" s="194"/>
      <c r="AG15" s="195" t="s">
        <v>36</v>
      </c>
      <c r="AH15" s="201">
        <v>2.9999999999999997E-4</v>
      </c>
      <c r="AI15" s="201">
        <v>3.8233382099328501E-3</v>
      </c>
      <c r="AJ15" s="201">
        <v>6.9409726859651999E-4</v>
      </c>
    </row>
    <row r="16" spans="1:36">
      <c r="A16" s="194">
        <v>891</v>
      </c>
      <c r="B16" s="194">
        <v>9957</v>
      </c>
      <c r="C16" s="194" t="s">
        <v>1741</v>
      </c>
      <c r="D16" s="194" t="s">
        <v>1742</v>
      </c>
      <c r="E16" s="195" t="s">
        <v>1264</v>
      </c>
      <c r="F16" s="194" t="s">
        <v>1743</v>
      </c>
      <c r="G16" s="194" t="s">
        <v>1744</v>
      </c>
      <c r="H16" s="195" t="s">
        <v>275</v>
      </c>
      <c r="I16" s="194" t="s">
        <v>927</v>
      </c>
      <c r="J16" s="195" t="s">
        <v>30</v>
      </c>
      <c r="K16" s="195" t="s">
        <v>30</v>
      </c>
      <c r="L16" s="194" t="s">
        <v>281</v>
      </c>
      <c r="M16" s="195" t="s">
        <v>31</v>
      </c>
      <c r="N16" s="194" t="s">
        <v>406</v>
      </c>
      <c r="O16" s="194" t="s">
        <v>94</v>
      </c>
      <c r="P16" s="194" t="s">
        <v>1700</v>
      </c>
      <c r="Q16" s="194" t="s">
        <v>368</v>
      </c>
      <c r="R16" s="194" t="s">
        <v>361</v>
      </c>
      <c r="S16" s="195" t="s">
        <v>34</v>
      </c>
      <c r="T16" s="196">
        <v>2.7559999999999998</v>
      </c>
      <c r="U16" s="194" t="s">
        <v>1745</v>
      </c>
      <c r="V16" s="197">
        <v>0.04</v>
      </c>
      <c r="W16" s="198">
        <v>4.7919999999999997E-2</v>
      </c>
      <c r="X16" s="195" t="s">
        <v>367</v>
      </c>
      <c r="Y16" s="195" t="s">
        <v>94</v>
      </c>
      <c r="Z16" s="196">
        <v>110250.04</v>
      </c>
      <c r="AA16" s="199">
        <v>1</v>
      </c>
      <c r="AB16" s="200">
        <v>99.88</v>
      </c>
      <c r="AC16" s="194"/>
      <c r="AD16" s="196">
        <v>110.11799999999999</v>
      </c>
      <c r="AE16" s="194"/>
      <c r="AG16" s="195" t="s">
        <v>36</v>
      </c>
      <c r="AH16" s="201">
        <v>1.9000000000000001E-4</v>
      </c>
      <c r="AI16" s="201">
        <v>3.9376861220884801E-3</v>
      </c>
      <c r="AJ16" s="201">
        <v>7.1485624128973801E-4</v>
      </c>
    </row>
    <row r="17" spans="1:36">
      <c r="A17" s="194">
        <v>891</v>
      </c>
      <c r="B17" s="194">
        <v>9957</v>
      </c>
      <c r="C17" s="194" t="s">
        <v>1741</v>
      </c>
      <c r="D17" s="194" t="s">
        <v>1742</v>
      </c>
      <c r="E17" s="195" t="s">
        <v>1264</v>
      </c>
      <c r="F17" s="194" t="s">
        <v>1746</v>
      </c>
      <c r="G17" s="194" t="s">
        <v>1747</v>
      </c>
      <c r="H17" s="195" t="s">
        <v>275</v>
      </c>
      <c r="I17" s="194" t="s">
        <v>927</v>
      </c>
      <c r="J17" s="195" t="s">
        <v>30</v>
      </c>
      <c r="K17" s="195" t="s">
        <v>30</v>
      </c>
      <c r="L17" s="194" t="s">
        <v>281</v>
      </c>
      <c r="M17" s="195" t="s">
        <v>31</v>
      </c>
      <c r="N17" s="194" t="s">
        <v>406</v>
      </c>
      <c r="O17" s="194" t="s">
        <v>94</v>
      </c>
      <c r="P17" s="194" t="s">
        <v>1700</v>
      </c>
      <c r="Q17" s="194" t="s">
        <v>368</v>
      </c>
      <c r="R17" s="194" t="s">
        <v>361</v>
      </c>
      <c r="S17" s="195" t="s">
        <v>34</v>
      </c>
      <c r="T17" s="196">
        <v>4.7830000000000004</v>
      </c>
      <c r="U17" s="194" t="s">
        <v>1748</v>
      </c>
      <c r="V17" s="197">
        <v>2.07E-2</v>
      </c>
      <c r="W17" s="198">
        <v>4.8390000000000002E-2</v>
      </c>
      <c r="X17" s="195" t="s">
        <v>367</v>
      </c>
      <c r="Y17" s="195" t="s">
        <v>94</v>
      </c>
      <c r="Z17" s="196">
        <v>294000</v>
      </c>
      <c r="AA17" s="199">
        <v>1</v>
      </c>
      <c r="AB17" s="200">
        <v>87.83</v>
      </c>
      <c r="AC17" s="194"/>
      <c r="AD17" s="196">
        <v>258.22000000000003</v>
      </c>
      <c r="AE17" s="194"/>
      <c r="AG17" s="195" t="s">
        <v>36</v>
      </c>
      <c r="AH17" s="201">
        <v>4.0499999999999998E-4</v>
      </c>
      <c r="AI17" s="201">
        <v>9.23366297225248E-3</v>
      </c>
      <c r="AJ17" s="201">
        <v>1.67629958331461E-3</v>
      </c>
    </row>
    <row r="18" spans="1:36">
      <c r="A18" s="194">
        <v>891</v>
      </c>
      <c r="B18" s="194">
        <v>9957</v>
      </c>
      <c r="C18" s="194" t="s">
        <v>1365</v>
      </c>
      <c r="D18" s="194" t="s">
        <v>1366</v>
      </c>
      <c r="E18" s="195" t="s">
        <v>1264</v>
      </c>
      <c r="F18" s="194" t="s">
        <v>1749</v>
      </c>
      <c r="G18" s="194" t="s">
        <v>1750</v>
      </c>
      <c r="H18" s="195" t="s">
        <v>275</v>
      </c>
      <c r="I18" s="194" t="s">
        <v>712</v>
      </c>
      <c r="J18" s="195" t="s">
        <v>30</v>
      </c>
      <c r="K18" s="195" t="s">
        <v>30</v>
      </c>
      <c r="L18" s="194" t="s">
        <v>281</v>
      </c>
      <c r="M18" s="195" t="s">
        <v>31</v>
      </c>
      <c r="N18" s="194" t="s">
        <v>419</v>
      </c>
      <c r="O18" s="194" t="s">
        <v>94</v>
      </c>
      <c r="P18" s="194" t="s">
        <v>1704</v>
      </c>
      <c r="Q18" s="194" t="s">
        <v>368</v>
      </c>
      <c r="R18" s="194" t="s">
        <v>361</v>
      </c>
      <c r="S18" s="195" t="s">
        <v>34</v>
      </c>
      <c r="T18" s="196">
        <v>2.5790000000000002</v>
      </c>
      <c r="U18" s="194" t="s">
        <v>1751</v>
      </c>
      <c r="V18" s="197">
        <v>1.14E-2</v>
      </c>
      <c r="W18" s="198">
        <v>2.819E-2</v>
      </c>
      <c r="X18" s="195" t="s">
        <v>367</v>
      </c>
      <c r="Y18" s="195" t="s">
        <v>94</v>
      </c>
      <c r="Z18" s="196">
        <v>41506</v>
      </c>
      <c r="AA18" s="199">
        <v>1</v>
      </c>
      <c r="AB18" s="200">
        <v>111.43</v>
      </c>
      <c r="AC18" s="194"/>
      <c r="AD18" s="196">
        <v>46.25</v>
      </c>
      <c r="AE18" s="194"/>
      <c r="AG18" s="195" t="s">
        <v>36</v>
      </c>
      <c r="AH18" s="201">
        <v>1.8E-5</v>
      </c>
      <c r="AI18" s="201">
        <v>1.6538526668250901E-3</v>
      </c>
      <c r="AJ18" s="201">
        <v>3.0024406831760002E-4</v>
      </c>
    </row>
    <row r="19" spans="1:36">
      <c r="A19" s="194">
        <v>891</v>
      </c>
      <c r="B19" s="194">
        <v>9957</v>
      </c>
      <c r="C19" s="194" t="s">
        <v>1752</v>
      </c>
      <c r="D19" s="194" t="s">
        <v>1753</v>
      </c>
      <c r="E19" s="195" t="s">
        <v>1264</v>
      </c>
      <c r="F19" s="194" t="s">
        <v>1754</v>
      </c>
      <c r="G19" s="194" t="s">
        <v>1755</v>
      </c>
      <c r="H19" s="195" t="s">
        <v>275</v>
      </c>
      <c r="I19" s="194" t="s">
        <v>927</v>
      </c>
      <c r="J19" s="195" t="s">
        <v>30</v>
      </c>
      <c r="K19" s="195" t="s">
        <v>30</v>
      </c>
      <c r="L19" s="194" t="s">
        <v>281</v>
      </c>
      <c r="M19" s="195" t="s">
        <v>31</v>
      </c>
      <c r="N19" s="194" t="s">
        <v>419</v>
      </c>
      <c r="O19" s="194" t="s">
        <v>94</v>
      </c>
      <c r="P19" s="194" t="s">
        <v>364</v>
      </c>
      <c r="Q19" s="194" t="s">
        <v>364</v>
      </c>
      <c r="R19" s="194" t="s">
        <v>364</v>
      </c>
      <c r="S19" s="195" t="s">
        <v>34</v>
      </c>
      <c r="T19" s="196">
        <v>0.45500000000000002</v>
      </c>
      <c r="U19" s="194" t="s">
        <v>1756</v>
      </c>
      <c r="V19" s="197">
        <v>6.5000000000000002E-2</v>
      </c>
      <c r="W19" s="198">
        <v>7.2859999999999994E-2</v>
      </c>
      <c r="X19" s="195" t="s">
        <v>367</v>
      </c>
      <c r="Y19" s="195" t="s">
        <v>94</v>
      </c>
      <c r="Z19" s="196">
        <v>74330</v>
      </c>
      <c r="AA19" s="199">
        <v>1</v>
      </c>
      <c r="AB19" s="200">
        <v>100</v>
      </c>
      <c r="AC19" s="194"/>
      <c r="AD19" s="196">
        <v>74.33</v>
      </c>
      <c r="AE19" s="194"/>
      <c r="AG19" s="195" t="s">
        <v>36</v>
      </c>
      <c r="AH19" s="201">
        <v>1.353E-3</v>
      </c>
      <c r="AI19" s="201">
        <v>2.6579569248553299E-3</v>
      </c>
      <c r="AJ19" s="201">
        <v>4.8253137449268103E-4</v>
      </c>
    </row>
    <row r="20" spans="1:36">
      <c r="A20" s="193">
        <v>891</v>
      </c>
      <c r="B20" s="193">
        <v>9957</v>
      </c>
      <c r="C20" s="193" t="s">
        <v>1369</v>
      </c>
      <c r="D20" s="193" t="s">
        <v>1370</v>
      </c>
      <c r="E20" s="195" t="s">
        <v>1264</v>
      </c>
      <c r="F20" s="193" t="s">
        <v>1757</v>
      </c>
      <c r="G20" s="193" t="s">
        <v>1758</v>
      </c>
      <c r="H20" s="195" t="s">
        <v>275</v>
      </c>
      <c r="I20" s="194" t="s">
        <v>927</v>
      </c>
      <c r="J20" s="195" t="s">
        <v>30</v>
      </c>
      <c r="K20" s="195" t="s">
        <v>179</v>
      </c>
      <c r="L20" s="194" t="s">
        <v>281</v>
      </c>
      <c r="M20" s="195" t="s">
        <v>31</v>
      </c>
      <c r="N20" s="194" t="s">
        <v>396</v>
      </c>
      <c r="O20" s="194" t="s">
        <v>94</v>
      </c>
      <c r="P20" s="193" t="s">
        <v>1688</v>
      </c>
      <c r="Q20" s="194" t="s">
        <v>370</v>
      </c>
      <c r="R20" s="194" t="s">
        <v>361</v>
      </c>
      <c r="S20" s="193" t="s">
        <v>34</v>
      </c>
      <c r="T20" s="202">
        <v>1.01</v>
      </c>
      <c r="U20" s="193" t="s">
        <v>1759</v>
      </c>
      <c r="V20" s="205">
        <v>3.4500000000000003E-2</v>
      </c>
      <c r="W20" s="201">
        <v>4.7660000000000001E-2</v>
      </c>
      <c r="X20" s="195" t="s">
        <v>367</v>
      </c>
      <c r="Y20" s="195" t="s">
        <v>94</v>
      </c>
      <c r="Z20" s="202">
        <v>307057.7</v>
      </c>
      <c r="AA20" s="203">
        <v>1</v>
      </c>
      <c r="AB20" s="204">
        <v>99.89</v>
      </c>
      <c r="AD20" s="202">
        <v>306.72000000000003</v>
      </c>
      <c r="AG20" s="193" t="s">
        <v>36</v>
      </c>
      <c r="AH20" s="201">
        <v>4.7800000000000002E-4</v>
      </c>
      <c r="AI20" s="201">
        <v>1.09679588226974E-2</v>
      </c>
      <c r="AJ20" s="201">
        <v>1.9911474849741498E-3</v>
      </c>
    </row>
    <row r="21" spans="1:36">
      <c r="A21" s="193">
        <v>891</v>
      </c>
      <c r="B21" s="193">
        <v>9957</v>
      </c>
      <c r="C21" s="193" t="s">
        <v>1369</v>
      </c>
      <c r="D21" s="193" t="s">
        <v>1370</v>
      </c>
      <c r="E21" s="206" t="s">
        <v>1264</v>
      </c>
      <c r="F21" s="193" t="s">
        <v>1760</v>
      </c>
      <c r="G21" s="193" t="s">
        <v>1761</v>
      </c>
      <c r="H21" s="206" t="s">
        <v>275</v>
      </c>
      <c r="I21" s="193" t="s">
        <v>927</v>
      </c>
      <c r="J21" s="193" t="s">
        <v>30</v>
      </c>
      <c r="K21" s="193" t="s">
        <v>179</v>
      </c>
      <c r="L21" s="193" t="s">
        <v>281</v>
      </c>
      <c r="M21" s="206" t="s">
        <v>31</v>
      </c>
      <c r="N21" s="193" t="s">
        <v>396</v>
      </c>
      <c r="O21" s="193" t="s">
        <v>94</v>
      </c>
      <c r="P21" s="193" t="s">
        <v>1688</v>
      </c>
      <c r="Q21" s="193" t="s">
        <v>370</v>
      </c>
      <c r="R21" s="193" t="s">
        <v>361</v>
      </c>
      <c r="S21" s="193" t="s">
        <v>34</v>
      </c>
      <c r="T21" s="202">
        <v>3.0470000000000002</v>
      </c>
      <c r="U21" s="193" t="s">
        <v>1762</v>
      </c>
      <c r="V21" s="205">
        <v>1.4999999999999999E-2</v>
      </c>
      <c r="W21" s="201">
        <v>5.0639999999999998E-2</v>
      </c>
      <c r="X21" s="206" t="s">
        <v>367</v>
      </c>
      <c r="Y21" s="206" t="s">
        <v>94</v>
      </c>
      <c r="Z21" s="202">
        <v>173000</v>
      </c>
      <c r="AA21" s="203">
        <v>1</v>
      </c>
      <c r="AB21" s="204">
        <v>90.42</v>
      </c>
      <c r="AD21" s="202">
        <v>156.42699999999999</v>
      </c>
      <c r="AG21" s="193" t="s">
        <v>36</v>
      </c>
      <c r="AH21" s="201">
        <v>1.47E-4</v>
      </c>
      <c r="AI21" s="201">
        <v>5.5936387017566803E-3</v>
      </c>
      <c r="AJ21" s="201">
        <v>1.0154815324259E-3</v>
      </c>
    </row>
    <row r="22" spans="1:36">
      <c r="A22" s="193">
        <v>891</v>
      </c>
      <c r="B22" s="193">
        <v>9957</v>
      </c>
      <c r="C22" s="193" t="s">
        <v>1377</v>
      </c>
      <c r="D22" s="193" t="s">
        <v>1378</v>
      </c>
      <c r="E22" s="206" t="s">
        <v>1264</v>
      </c>
      <c r="F22" s="193" t="s">
        <v>1763</v>
      </c>
      <c r="G22" s="193" t="s">
        <v>1764</v>
      </c>
      <c r="H22" s="206" t="s">
        <v>275</v>
      </c>
      <c r="I22" s="193" t="s">
        <v>927</v>
      </c>
      <c r="J22" s="193" t="s">
        <v>30</v>
      </c>
      <c r="K22" s="193" t="s">
        <v>30</v>
      </c>
      <c r="L22" s="193" t="s">
        <v>281</v>
      </c>
      <c r="M22" s="206" t="s">
        <v>31</v>
      </c>
      <c r="N22" s="193" t="s">
        <v>396</v>
      </c>
      <c r="O22" s="193" t="s">
        <v>94</v>
      </c>
      <c r="P22" s="193" t="s">
        <v>1727</v>
      </c>
      <c r="Q22" s="193" t="s">
        <v>368</v>
      </c>
      <c r="R22" s="193" t="s">
        <v>361</v>
      </c>
      <c r="S22" s="193" t="s">
        <v>34</v>
      </c>
      <c r="T22" s="202">
        <v>2.415</v>
      </c>
      <c r="U22" s="193" t="s">
        <v>1765</v>
      </c>
      <c r="V22" s="205">
        <v>2.0500000000000001E-2</v>
      </c>
      <c r="W22" s="201">
        <v>5.0180000000000002E-2</v>
      </c>
      <c r="X22" s="206" t="s">
        <v>367</v>
      </c>
      <c r="Y22" s="206" t="s">
        <v>94</v>
      </c>
      <c r="Z22" s="202">
        <v>220000</v>
      </c>
      <c r="AA22" s="203">
        <v>1</v>
      </c>
      <c r="AB22" s="204">
        <v>94.03</v>
      </c>
      <c r="AD22" s="202">
        <v>206.86600000000001</v>
      </c>
      <c r="AG22" s="193" t="s">
        <v>36</v>
      </c>
      <c r="AH22" s="201">
        <v>2.2900000000000001E-4</v>
      </c>
      <c r="AI22" s="201">
        <v>7.3972947291419599E-3</v>
      </c>
      <c r="AJ22" s="201">
        <v>1.3429212339002199E-3</v>
      </c>
    </row>
    <row r="23" spans="1:36">
      <c r="A23" s="193">
        <v>891</v>
      </c>
      <c r="B23" s="193">
        <v>9957</v>
      </c>
      <c r="C23" s="193" t="s">
        <v>1377</v>
      </c>
      <c r="D23" s="193" t="s">
        <v>1378</v>
      </c>
      <c r="E23" s="206" t="s">
        <v>1264</v>
      </c>
      <c r="F23" s="193" t="s">
        <v>1766</v>
      </c>
      <c r="G23" s="193" t="s">
        <v>1767</v>
      </c>
      <c r="H23" s="206" t="s">
        <v>275</v>
      </c>
      <c r="I23" s="193" t="s">
        <v>928</v>
      </c>
      <c r="J23" s="193" t="s">
        <v>30</v>
      </c>
      <c r="K23" s="193" t="s">
        <v>30</v>
      </c>
      <c r="L23" s="193" t="s">
        <v>281</v>
      </c>
      <c r="M23" s="193" t="s">
        <v>31</v>
      </c>
      <c r="N23" s="193" t="s">
        <v>396</v>
      </c>
      <c r="O23" s="193" t="s">
        <v>94</v>
      </c>
      <c r="P23" s="193" t="s">
        <v>1727</v>
      </c>
      <c r="Q23" s="193" t="s">
        <v>368</v>
      </c>
      <c r="R23" s="193" t="s">
        <v>361</v>
      </c>
      <c r="S23" s="193" t="s">
        <v>34</v>
      </c>
      <c r="T23" s="202">
        <v>2.0760000000000001</v>
      </c>
      <c r="U23" s="193" t="s">
        <v>1768</v>
      </c>
      <c r="V23" s="205">
        <v>1.25E-3</v>
      </c>
      <c r="W23" s="201">
        <v>4.8520000000000001E-2</v>
      </c>
      <c r="X23" s="206" t="s">
        <v>367</v>
      </c>
      <c r="Y23" s="206" t="s">
        <v>94</v>
      </c>
      <c r="Z23" s="202">
        <v>78000</v>
      </c>
      <c r="AA23" s="203">
        <v>1</v>
      </c>
      <c r="AB23" s="204">
        <v>91.2</v>
      </c>
      <c r="AD23" s="202">
        <v>71.135999999999996</v>
      </c>
      <c r="AG23" s="193" t="s">
        <v>36</v>
      </c>
      <c r="AH23" s="201">
        <v>1.3799999999999999E-4</v>
      </c>
      <c r="AI23" s="201">
        <v>2.5437430890153201E-3</v>
      </c>
      <c r="AJ23" s="201">
        <v>4.61796742310122E-4</v>
      </c>
    </row>
    <row r="24" spans="1:36">
      <c r="A24" s="193">
        <v>891</v>
      </c>
      <c r="B24" s="193">
        <v>9957</v>
      </c>
      <c r="C24" s="193" t="s">
        <v>1769</v>
      </c>
      <c r="D24" s="193" t="s">
        <v>1770</v>
      </c>
      <c r="E24" s="206" t="s">
        <v>1264</v>
      </c>
      <c r="F24" s="193" t="s">
        <v>1771</v>
      </c>
      <c r="G24" s="193" t="s">
        <v>1772</v>
      </c>
      <c r="H24" s="193" t="s">
        <v>275</v>
      </c>
      <c r="I24" s="193" t="s">
        <v>712</v>
      </c>
      <c r="J24" s="193" t="s">
        <v>30</v>
      </c>
      <c r="K24" s="193" t="s">
        <v>30</v>
      </c>
      <c r="L24" s="193" t="s">
        <v>281</v>
      </c>
      <c r="M24" s="193" t="s">
        <v>31</v>
      </c>
      <c r="N24" s="193" t="s">
        <v>398</v>
      </c>
      <c r="O24" s="193" t="s">
        <v>94</v>
      </c>
      <c r="P24" s="193" t="s">
        <v>1773</v>
      </c>
      <c r="Q24" s="193" t="s">
        <v>370</v>
      </c>
      <c r="R24" s="193" t="s">
        <v>361</v>
      </c>
      <c r="S24" s="193" t="s">
        <v>34</v>
      </c>
      <c r="T24" s="202">
        <v>1.2310000000000001</v>
      </c>
      <c r="U24" s="193" t="s">
        <v>1774</v>
      </c>
      <c r="V24" s="205">
        <v>1.2500000000000001E-2</v>
      </c>
      <c r="W24" s="201">
        <v>3.8019999999999998E-2</v>
      </c>
      <c r="X24" s="206" t="s">
        <v>367</v>
      </c>
      <c r="Y24" s="206" t="s">
        <v>94</v>
      </c>
      <c r="Z24" s="202">
        <v>0.66</v>
      </c>
      <c r="AA24" s="203">
        <v>1</v>
      </c>
      <c r="AB24" s="204">
        <v>107.48</v>
      </c>
      <c r="AD24" s="202">
        <v>1E-3</v>
      </c>
      <c r="AG24" s="193" t="s">
        <v>36</v>
      </c>
      <c r="AH24" s="201">
        <v>0</v>
      </c>
      <c r="AI24" s="201">
        <v>2.5366199217957401E-8</v>
      </c>
      <c r="AJ24" s="201">
        <v>4.6050358679015802E-9</v>
      </c>
    </row>
    <row r="25" spans="1:36">
      <c r="A25" s="193">
        <v>891</v>
      </c>
      <c r="B25" s="193">
        <v>9957</v>
      </c>
      <c r="C25" s="193" t="s">
        <v>1775</v>
      </c>
      <c r="D25" s="193" t="s">
        <v>1776</v>
      </c>
      <c r="E25" s="206" t="s">
        <v>1264</v>
      </c>
      <c r="F25" s="193" t="s">
        <v>1777</v>
      </c>
      <c r="G25" s="193" t="s">
        <v>1778</v>
      </c>
      <c r="H25" s="193" t="s">
        <v>275</v>
      </c>
      <c r="I25" s="193" t="s">
        <v>712</v>
      </c>
      <c r="J25" s="193" t="s">
        <v>30</v>
      </c>
      <c r="K25" s="193" t="s">
        <v>30</v>
      </c>
      <c r="L25" s="193" t="s">
        <v>281</v>
      </c>
      <c r="M25" s="193" t="s">
        <v>31</v>
      </c>
      <c r="N25" s="193" t="s">
        <v>420</v>
      </c>
      <c r="O25" s="193" t="s">
        <v>94</v>
      </c>
      <c r="P25" s="193" t="s">
        <v>1700</v>
      </c>
      <c r="Q25" s="193" t="s">
        <v>368</v>
      </c>
      <c r="R25" s="193" t="s">
        <v>361</v>
      </c>
      <c r="S25" s="193" t="s">
        <v>34</v>
      </c>
      <c r="T25" s="202">
        <v>3.4340000000000002</v>
      </c>
      <c r="U25" s="193" t="s">
        <v>1728</v>
      </c>
      <c r="V25" s="205">
        <v>1.09E-2</v>
      </c>
      <c r="W25" s="201">
        <v>3.0700000000000002E-2</v>
      </c>
      <c r="X25" s="206" t="s">
        <v>367</v>
      </c>
      <c r="Y25" s="206" t="s">
        <v>94</v>
      </c>
      <c r="Z25" s="202">
        <v>144000</v>
      </c>
      <c r="AA25" s="203">
        <v>1</v>
      </c>
      <c r="AB25" s="204">
        <v>107.99</v>
      </c>
      <c r="AD25" s="202">
        <v>155.506</v>
      </c>
      <c r="AG25" s="193" t="s">
        <v>36</v>
      </c>
      <c r="AH25" s="201">
        <v>2.02E-4</v>
      </c>
      <c r="AI25" s="201">
        <v>5.5607047810276103E-3</v>
      </c>
      <c r="AJ25" s="201">
        <v>1.0095026356694401E-3</v>
      </c>
    </row>
    <row r="26" spans="1:36">
      <c r="A26" s="193">
        <v>891</v>
      </c>
      <c r="B26" s="193">
        <v>9957</v>
      </c>
      <c r="C26" s="193" t="s">
        <v>1775</v>
      </c>
      <c r="D26" s="193" t="s">
        <v>1776</v>
      </c>
      <c r="E26" s="206" t="s">
        <v>1264</v>
      </c>
      <c r="F26" s="193" t="s">
        <v>1779</v>
      </c>
      <c r="G26" s="193" t="s">
        <v>1780</v>
      </c>
      <c r="H26" s="193" t="s">
        <v>275</v>
      </c>
      <c r="I26" s="193" t="s">
        <v>712</v>
      </c>
      <c r="J26" s="193" t="s">
        <v>30</v>
      </c>
      <c r="K26" s="193" t="s">
        <v>30</v>
      </c>
      <c r="L26" s="193" t="s">
        <v>281</v>
      </c>
      <c r="M26" s="193" t="s">
        <v>1781</v>
      </c>
      <c r="N26" s="193" t="s">
        <v>420</v>
      </c>
      <c r="O26" s="193" t="s">
        <v>94</v>
      </c>
      <c r="P26" s="193" t="s">
        <v>1700</v>
      </c>
      <c r="Q26" s="193" t="s">
        <v>368</v>
      </c>
      <c r="R26" s="193" t="s">
        <v>361</v>
      </c>
      <c r="S26" s="193" t="s">
        <v>34</v>
      </c>
      <c r="T26" s="202">
        <v>6.5960000000000001</v>
      </c>
      <c r="U26" s="193" t="s">
        <v>1782</v>
      </c>
      <c r="V26" s="205">
        <v>4.02E-2</v>
      </c>
      <c r="W26" s="201">
        <v>3.245E-2</v>
      </c>
      <c r="X26" s="206" t="s">
        <v>367</v>
      </c>
      <c r="Y26" s="206" t="s">
        <v>94</v>
      </c>
      <c r="Z26" s="202">
        <v>220000</v>
      </c>
      <c r="AA26" s="203">
        <v>1</v>
      </c>
      <c r="AB26" s="204">
        <v>108.93</v>
      </c>
      <c r="AD26" s="202">
        <v>239.64599999999999</v>
      </c>
      <c r="AG26" s="193" t="s">
        <v>36</v>
      </c>
      <c r="AH26" s="201">
        <v>2.7300000000000002E-4</v>
      </c>
      <c r="AI26" s="201">
        <v>8.5694705396728004E-3</v>
      </c>
      <c r="AJ26" s="201">
        <v>1.55572062117144E-3</v>
      </c>
    </row>
    <row r="27" spans="1:36">
      <c r="A27" s="193">
        <v>891</v>
      </c>
      <c r="B27" s="193">
        <v>9957</v>
      </c>
      <c r="C27" s="193" t="s">
        <v>1783</v>
      </c>
      <c r="D27" s="193" t="s">
        <v>1784</v>
      </c>
      <c r="E27" s="206" t="s">
        <v>1264</v>
      </c>
      <c r="F27" s="193" t="s">
        <v>1785</v>
      </c>
      <c r="G27" s="193" t="s">
        <v>1786</v>
      </c>
      <c r="H27" s="193" t="s">
        <v>275</v>
      </c>
      <c r="I27" s="193" t="s">
        <v>927</v>
      </c>
      <c r="J27" s="193" t="s">
        <v>30</v>
      </c>
      <c r="K27" s="193" t="s">
        <v>30</v>
      </c>
      <c r="L27" s="193" t="s">
        <v>281</v>
      </c>
      <c r="M27" s="193" t="s">
        <v>31</v>
      </c>
      <c r="N27" s="193" t="s">
        <v>402</v>
      </c>
      <c r="O27" s="193" t="s">
        <v>94</v>
      </c>
      <c r="P27" s="194" t="s">
        <v>364</v>
      </c>
      <c r="Q27" s="193" t="s">
        <v>364</v>
      </c>
      <c r="R27" s="193" t="s">
        <v>364</v>
      </c>
      <c r="S27" s="193" t="s">
        <v>34</v>
      </c>
      <c r="T27" s="202">
        <v>1.4359999999999999</v>
      </c>
      <c r="U27" s="193" t="s">
        <v>1774</v>
      </c>
      <c r="V27" s="205">
        <v>8.5000000000000006E-2</v>
      </c>
      <c r="W27" s="201">
        <v>5.4870000000000002E-2</v>
      </c>
      <c r="X27" s="206" t="s">
        <v>367</v>
      </c>
      <c r="Y27" s="206" t="s">
        <v>94</v>
      </c>
      <c r="Z27" s="202">
        <v>135000</v>
      </c>
      <c r="AA27" s="203">
        <v>1</v>
      </c>
      <c r="AB27" s="204">
        <v>104.4</v>
      </c>
      <c r="AD27" s="202">
        <v>140.94</v>
      </c>
      <c r="AG27" s="193" t="s">
        <v>36</v>
      </c>
      <c r="AH27" s="201">
        <v>1.0380000000000001E-3</v>
      </c>
      <c r="AI27" s="201">
        <v>5.0398553610804496E-3</v>
      </c>
      <c r="AJ27" s="201">
        <v>9.1494648084217004E-4</v>
      </c>
    </row>
    <row r="28" spans="1:36">
      <c r="A28" s="193">
        <v>891</v>
      </c>
      <c r="B28" s="193">
        <v>9957</v>
      </c>
      <c r="C28" s="193" t="s">
        <v>1787</v>
      </c>
      <c r="D28" s="193" t="s">
        <v>1788</v>
      </c>
      <c r="E28" s="206" t="s">
        <v>1264</v>
      </c>
      <c r="F28" s="193" t="s">
        <v>1789</v>
      </c>
      <c r="G28" s="193" t="s">
        <v>1790</v>
      </c>
      <c r="H28" s="193" t="s">
        <v>275</v>
      </c>
      <c r="I28" s="193" t="s">
        <v>712</v>
      </c>
      <c r="J28" s="193" t="s">
        <v>30</v>
      </c>
      <c r="K28" s="193" t="s">
        <v>30</v>
      </c>
      <c r="L28" s="193" t="s">
        <v>281</v>
      </c>
      <c r="M28" s="193" t="s">
        <v>31</v>
      </c>
      <c r="N28" s="193" t="s">
        <v>406</v>
      </c>
      <c r="O28" s="193" t="s">
        <v>94</v>
      </c>
      <c r="P28" s="193" t="s">
        <v>1791</v>
      </c>
      <c r="Q28" s="193" t="s">
        <v>368</v>
      </c>
      <c r="R28" s="193" t="s">
        <v>361</v>
      </c>
      <c r="S28" s="193" t="s">
        <v>34</v>
      </c>
      <c r="T28" s="202">
        <v>2.2010000000000001</v>
      </c>
      <c r="U28" s="193" t="s">
        <v>1792</v>
      </c>
      <c r="V28" s="205">
        <v>2.8799999999999999E-2</v>
      </c>
      <c r="W28" s="201">
        <v>3.0429999999999999E-2</v>
      </c>
      <c r="X28" s="206" t="s">
        <v>367</v>
      </c>
      <c r="Y28" s="206" t="s">
        <v>94</v>
      </c>
      <c r="Z28" s="202">
        <v>208444.44</v>
      </c>
      <c r="AA28" s="203">
        <v>1</v>
      </c>
      <c r="AB28" s="204">
        <v>117.53</v>
      </c>
      <c r="AD28" s="202">
        <v>244.98500000000001</v>
      </c>
      <c r="AG28" s="193" t="s">
        <v>36</v>
      </c>
      <c r="AH28" s="201">
        <v>9.1799999999999998E-4</v>
      </c>
      <c r="AI28" s="201">
        <v>8.7603782272150203E-3</v>
      </c>
      <c r="AJ28" s="201">
        <v>1.59037842469321E-3</v>
      </c>
    </row>
    <row r="29" spans="1:36">
      <c r="A29" s="193">
        <v>891</v>
      </c>
      <c r="B29" s="193">
        <v>9957</v>
      </c>
      <c r="C29" s="193" t="s">
        <v>1793</v>
      </c>
      <c r="D29" s="193" t="s">
        <v>1794</v>
      </c>
      <c r="E29" s="206" t="s">
        <v>1264</v>
      </c>
      <c r="F29" s="193" t="s">
        <v>1795</v>
      </c>
      <c r="G29" s="193" t="s">
        <v>1796</v>
      </c>
      <c r="H29" s="193" t="s">
        <v>275</v>
      </c>
      <c r="I29" s="193" t="s">
        <v>927</v>
      </c>
      <c r="J29" s="193" t="s">
        <v>30</v>
      </c>
      <c r="K29" s="193" t="s">
        <v>30</v>
      </c>
      <c r="L29" s="193" t="s">
        <v>281</v>
      </c>
      <c r="M29" s="193" t="s">
        <v>31</v>
      </c>
      <c r="N29" s="193" t="s">
        <v>406</v>
      </c>
      <c r="O29" s="193" t="s">
        <v>94</v>
      </c>
      <c r="P29" s="193" t="s">
        <v>1704</v>
      </c>
      <c r="Q29" s="193" t="s">
        <v>368</v>
      </c>
      <c r="R29" s="193" t="s">
        <v>361</v>
      </c>
      <c r="S29" s="193" t="s">
        <v>34</v>
      </c>
      <c r="T29" s="202">
        <v>5.8239999999999998</v>
      </c>
      <c r="U29" s="193" t="s">
        <v>1797</v>
      </c>
      <c r="V29" s="205">
        <v>5.3100000000000001E-2</v>
      </c>
      <c r="W29" s="201">
        <v>4.8070000000000002E-2</v>
      </c>
      <c r="X29" s="206" t="s">
        <v>367</v>
      </c>
      <c r="Y29" s="206" t="s">
        <v>94</v>
      </c>
      <c r="Z29" s="202">
        <v>72000</v>
      </c>
      <c r="AA29" s="203">
        <v>1</v>
      </c>
      <c r="AB29" s="204">
        <v>105.58</v>
      </c>
      <c r="AD29" s="202">
        <v>76.018000000000001</v>
      </c>
      <c r="AG29" s="193" t="s">
        <v>36</v>
      </c>
      <c r="AH29" s="201">
        <v>2.2599999999999999E-4</v>
      </c>
      <c r="AI29" s="201">
        <v>2.7183035965408602E-3</v>
      </c>
      <c r="AJ29" s="201">
        <v>4.9348684264273999E-4</v>
      </c>
    </row>
    <row r="30" spans="1:36">
      <c r="A30" s="193">
        <v>891</v>
      </c>
      <c r="B30" s="193">
        <v>9957</v>
      </c>
      <c r="C30" s="193" t="s">
        <v>1798</v>
      </c>
      <c r="D30" s="193" t="s">
        <v>1799</v>
      </c>
      <c r="E30" s="206" t="s">
        <v>266</v>
      </c>
      <c r="F30" s="193" t="s">
        <v>1800</v>
      </c>
      <c r="G30" s="193" t="s">
        <v>1801</v>
      </c>
      <c r="H30" s="193" t="s">
        <v>275</v>
      </c>
      <c r="I30" s="193" t="s">
        <v>927</v>
      </c>
      <c r="J30" s="193" t="s">
        <v>30</v>
      </c>
      <c r="K30" s="193" t="s">
        <v>30</v>
      </c>
      <c r="L30" s="193" t="s">
        <v>281</v>
      </c>
      <c r="M30" s="193" t="s">
        <v>31</v>
      </c>
      <c r="N30" s="193" t="s">
        <v>420</v>
      </c>
      <c r="O30" s="193" t="s">
        <v>94</v>
      </c>
      <c r="P30" s="193" t="s">
        <v>1773</v>
      </c>
      <c r="Q30" s="193" t="s">
        <v>370</v>
      </c>
      <c r="R30" s="193" t="s">
        <v>361</v>
      </c>
      <c r="S30" s="193" t="s">
        <v>34</v>
      </c>
      <c r="T30" s="202">
        <v>0.72799999999999998</v>
      </c>
      <c r="U30" s="193" t="s">
        <v>1802</v>
      </c>
      <c r="V30" s="205">
        <v>7.0000000000000007E-2</v>
      </c>
      <c r="W30" s="201">
        <v>5.9749999999999998E-2</v>
      </c>
      <c r="X30" s="206" t="s">
        <v>367</v>
      </c>
      <c r="Y30" s="206" t="s">
        <v>94</v>
      </c>
      <c r="Z30" s="202">
        <v>0.44</v>
      </c>
      <c r="AA30" s="203">
        <v>1</v>
      </c>
      <c r="AB30" s="204">
        <v>102.57</v>
      </c>
      <c r="AD30" s="202">
        <v>0</v>
      </c>
      <c r="AG30" s="193" t="s">
        <v>36</v>
      </c>
      <c r="AH30" s="201">
        <v>0</v>
      </c>
      <c r="AI30" s="201">
        <v>1.6138264816932699E-8</v>
      </c>
      <c r="AJ30" s="201">
        <v>2.9297762620683801E-9</v>
      </c>
    </row>
    <row r="31" spans="1:36">
      <c r="A31" s="193">
        <v>891</v>
      </c>
      <c r="B31" s="193">
        <v>9957</v>
      </c>
      <c r="C31" s="193" t="s">
        <v>1706</v>
      </c>
      <c r="D31" s="193" t="s">
        <v>1707</v>
      </c>
      <c r="E31" s="206" t="s">
        <v>1264</v>
      </c>
      <c r="F31" s="193" t="s">
        <v>1803</v>
      </c>
      <c r="G31" s="193" t="s">
        <v>1804</v>
      </c>
      <c r="H31" s="193" t="s">
        <v>275</v>
      </c>
      <c r="I31" s="193" t="s">
        <v>712</v>
      </c>
      <c r="J31" s="193" t="s">
        <v>30</v>
      </c>
      <c r="K31" s="193" t="s">
        <v>30</v>
      </c>
      <c r="L31" s="193" t="s">
        <v>281</v>
      </c>
      <c r="M31" s="193" t="s">
        <v>31</v>
      </c>
      <c r="N31" s="193" t="s">
        <v>419</v>
      </c>
      <c r="O31" s="193" t="s">
        <v>94</v>
      </c>
      <c r="P31" s="193" t="s">
        <v>1704</v>
      </c>
      <c r="Q31" s="193" t="s">
        <v>368</v>
      </c>
      <c r="R31" s="193" t="s">
        <v>361</v>
      </c>
      <c r="S31" s="193" t="s">
        <v>34</v>
      </c>
      <c r="T31" s="202">
        <v>4.6710000000000003</v>
      </c>
      <c r="U31" s="193" t="s">
        <v>1805</v>
      </c>
      <c r="V31" s="205">
        <v>6.4999999999999997E-3</v>
      </c>
      <c r="W31" s="201">
        <v>2.8320000000000001E-2</v>
      </c>
      <c r="X31" s="206" t="s">
        <v>367</v>
      </c>
      <c r="Y31" s="206" t="s">
        <v>94</v>
      </c>
      <c r="Z31" s="202">
        <v>139156.63</v>
      </c>
      <c r="AA31" s="203">
        <v>1</v>
      </c>
      <c r="AB31" s="204">
        <v>105.26</v>
      </c>
      <c r="AD31" s="202">
        <v>146.476</v>
      </c>
      <c r="AG31" s="193" t="s">
        <v>36</v>
      </c>
      <c r="AH31" s="201">
        <v>6.2000000000000003E-5</v>
      </c>
      <c r="AI31" s="201">
        <v>5.2378260839383399E-3</v>
      </c>
      <c r="AJ31" s="201">
        <v>9.5088652340517301E-4</v>
      </c>
    </row>
    <row r="32" spans="1:36">
      <c r="A32" s="193">
        <v>891</v>
      </c>
      <c r="B32" s="193">
        <v>9957</v>
      </c>
      <c r="C32" s="193" t="s">
        <v>1706</v>
      </c>
      <c r="D32" s="193" t="s">
        <v>1707</v>
      </c>
      <c r="E32" s="206" t="s">
        <v>1264</v>
      </c>
      <c r="F32" s="193" t="s">
        <v>1806</v>
      </c>
      <c r="G32" s="193" t="s">
        <v>1807</v>
      </c>
      <c r="H32" s="193" t="s">
        <v>275</v>
      </c>
      <c r="I32" s="193" t="s">
        <v>712</v>
      </c>
      <c r="J32" s="193" t="s">
        <v>30</v>
      </c>
      <c r="K32" s="193" t="s">
        <v>30</v>
      </c>
      <c r="L32" s="193" t="s">
        <v>281</v>
      </c>
      <c r="M32" s="193" t="s">
        <v>1781</v>
      </c>
      <c r="N32" s="193" t="s">
        <v>419</v>
      </c>
      <c r="O32" s="193" t="s">
        <v>94</v>
      </c>
      <c r="P32" s="193" t="s">
        <v>1704</v>
      </c>
      <c r="Q32" s="193" t="s">
        <v>368</v>
      </c>
      <c r="R32" s="193" t="s">
        <v>361</v>
      </c>
      <c r="S32" s="193" t="s">
        <v>34</v>
      </c>
      <c r="T32" s="202">
        <v>7.21</v>
      </c>
      <c r="U32" s="193" t="s">
        <v>1808</v>
      </c>
      <c r="V32" s="205">
        <v>3.5999999999999997E-2</v>
      </c>
      <c r="W32" s="201">
        <v>3.048E-2</v>
      </c>
      <c r="X32" s="206" t="s">
        <v>367</v>
      </c>
      <c r="Y32" s="206" t="s">
        <v>94</v>
      </c>
      <c r="Z32" s="202">
        <v>290000</v>
      </c>
      <c r="AA32" s="203">
        <v>1</v>
      </c>
      <c r="AB32" s="204">
        <v>106.32</v>
      </c>
      <c r="AD32" s="202">
        <v>308.32799999999997</v>
      </c>
      <c r="AG32" s="193" t="s">
        <v>36</v>
      </c>
      <c r="AH32" s="201">
        <v>3.97E-4</v>
      </c>
      <c r="AI32" s="201">
        <v>1.10254613578204E-2</v>
      </c>
      <c r="AJ32" s="201">
        <v>2.0015866222868198E-3</v>
      </c>
    </row>
    <row r="33" spans="1:36">
      <c r="A33" s="193">
        <v>891</v>
      </c>
      <c r="B33" s="193">
        <v>9957</v>
      </c>
      <c r="C33" s="193" t="s">
        <v>1809</v>
      </c>
      <c r="D33" s="193" t="s">
        <v>1810</v>
      </c>
      <c r="E33" s="206" t="s">
        <v>1264</v>
      </c>
      <c r="F33" s="193" t="s">
        <v>1811</v>
      </c>
      <c r="G33" s="193" t="s">
        <v>1812</v>
      </c>
      <c r="H33" s="193" t="s">
        <v>275</v>
      </c>
      <c r="I33" s="193" t="s">
        <v>712</v>
      </c>
      <c r="J33" s="193" t="s">
        <v>30</v>
      </c>
      <c r="K33" s="193" t="s">
        <v>30</v>
      </c>
      <c r="L33" s="193" t="s">
        <v>281</v>
      </c>
      <c r="M33" s="193" t="s">
        <v>31</v>
      </c>
      <c r="N33" s="193" t="s">
        <v>419</v>
      </c>
      <c r="O33" s="193" t="s">
        <v>94</v>
      </c>
      <c r="P33" s="193" t="s">
        <v>1727</v>
      </c>
      <c r="Q33" s="193" t="s">
        <v>368</v>
      </c>
      <c r="R33" s="193" t="s">
        <v>361</v>
      </c>
      <c r="S33" s="193" t="s">
        <v>34</v>
      </c>
      <c r="T33" s="202">
        <v>5.5640000000000001</v>
      </c>
      <c r="U33" s="193" t="s">
        <v>1813</v>
      </c>
      <c r="V33" s="205">
        <v>3.6799999999999999E-2</v>
      </c>
      <c r="W33" s="201">
        <v>3.3189999999999997E-2</v>
      </c>
      <c r="X33" s="206" t="s">
        <v>367</v>
      </c>
      <c r="Y33" s="206" t="s">
        <v>94</v>
      </c>
      <c r="Z33" s="202">
        <v>294000</v>
      </c>
      <c r="AA33" s="203">
        <v>1</v>
      </c>
      <c r="AB33" s="204">
        <v>107.29</v>
      </c>
      <c r="AD33" s="202">
        <v>315.43299999999999</v>
      </c>
      <c r="AG33" s="193" t="s">
        <v>36</v>
      </c>
      <c r="AH33" s="201">
        <v>6.6299999999999996E-4</v>
      </c>
      <c r="AI33" s="201">
        <v>1.1279513836877701E-2</v>
      </c>
      <c r="AJ33" s="201">
        <v>2.0477078708166299E-3</v>
      </c>
    </row>
    <row r="34" spans="1:36">
      <c r="A34" s="193">
        <v>891</v>
      </c>
      <c r="B34" s="193">
        <v>9957</v>
      </c>
      <c r="C34" s="193" t="s">
        <v>1392</v>
      </c>
      <c r="D34" s="193" t="s">
        <v>1393</v>
      </c>
      <c r="E34" s="206" t="s">
        <v>1264</v>
      </c>
      <c r="F34" s="193" t="s">
        <v>1814</v>
      </c>
      <c r="G34" s="193" t="s">
        <v>1815</v>
      </c>
      <c r="H34" s="193" t="s">
        <v>275</v>
      </c>
      <c r="I34" s="193" t="s">
        <v>927</v>
      </c>
      <c r="J34" s="193" t="s">
        <v>30</v>
      </c>
      <c r="K34" s="193" t="s">
        <v>30</v>
      </c>
      <c r="L34" s="193" t="s">
        <v>281</v>
      </c>
      <c r="M34" s="193" t="s">
        <v>31</v>
      </c>
      <c r="N34" s="193" t="s">
        <v>440</v>
      </c>
      <c r="O34" s="193" t="s">
        <v>94</v>
      </c>
      <c r="P34" s="193" t="s">
        <v>1704</v>
      </c>
      <c r="Q34" s="193" t="s">
        <v>368</v>
      </c>
      <c r="R34" s="193" t="s">
        <v>361</v>
      </c>
      <c r="S34" s="193" t="s">
        <v>34</v>
      </c>
      <c r="T34" s="202">
        <v>7.4169999999999998</v>
      </c>
      <c r="U34" s="193" t="s">
        <v>1816</v>
      </c>
      <c r="V34" s="205">
        <v>2.7900000000000001E-2</v>
      </c>
      <c r="W34" s="201">
        <v>4.7230000000000001E-2</v>
      </c>
      <c r="X34" s="206" t="s">
        <v>367</v>
      </c>
      <c r="Y34" s="206" t="s">
        <v>94</v>
      </c>
      <c r="Z34" s="202">
        <v>294000</v>
      </c>
      <c r="AA34" s="203">
        <v>1</v>
      </c>
      <c r="AB34" s="204">
        <v>87.32</v>
      </c>
      <c r="AD34" s="202">
        <v>256.721</v>
      </c>
      <c r="AG34" s="193" t="s">
        <v>36</v>
      </c>
      <c r="AH34" s="201">
        <v>2.1000000000000001E-4</v>
      </c>
      <c r="AI34" s="201">
        <v>9.1800461201990997E-3</v>
      </c>
      <c r="AJ34" s="201">
        <v>1.6665658614941599E-3</v>
      </c>
    </row>
    <row r="35" spans="1:36">
      <c r="A35" s="193">
        <v>891</v>
      </c>
      <c r="B35" s="193">
        <v>9957</v>
      </c>
      <c r="C35" s="193" t="s">
        <v>1396</v>
      </c>
      <c r="D35" s="193" t="s">
        <v>1397</v>
      </c>
      <c r="E35" s="206" t="s">
        <v>1264</v>
      </c>
      <c r="F35" s="193" t="s">
        <v>1817</v>
      </c>
      <c r="G35" s="193" t="s">
        <v>1818</v>
      </c>
      <c r="H35" s="193" t="s">
        <v>275</v>
      </c>
      <c r="I35" s="193" t="s">
        <v>712</v>
      </c>
      <c r="J35" s="193" t="s">
        <v>30</v>
      </c>
      <c r="K35" s="193" t="s">
        <v>30</v>
      </c>
      <c r="L35" s="193" t="s">
        <v>281</v>
      </c>
      <c r="M35" s="193" t="s">
        <v>31</v>
      </c>
      <c r="N35" s="193" t="s">
        <v>419</v>
      </c>
      <c r="O35" s="193" t="s">
        <v>94</v>
      </c>
      <c r="P35" s="193" t="s">
        <v>1696</v>
      </c>
      <c r="Q35" s="193" t="s">
        <v>368</v>
      </c>
      <c r="R35" s="193" t="s">
        <v>361</v>
      </c>
      <c r="S35" s="193" t="s">
        <v>34</v>
      </c>
      <c r="T35" s="202">
        <v>4.93</v>
      </c>
      <c r="U35" s="193" t="s">
        <v>1819</v>
      </c>
      <c r="V35" s="205">
        <v>1.8700000000000001E-2</v>
      </c>
      <c r="W35" s="201">
        <v>2.9700000000000001E-2</v>
      </c>
      <c r="X35" s="206" t="s">
        <v>367</v>
      </c>
      <c r="Y35" s="206" t="s">
        <v>94</v>
      </c>
      <c r="Z35" s="202">
        <v>200454.55</v>
      </c>
      <c r="AA35" s="203">
        <v>1</v>
      </c>
      <c r="AB35" s="204">
        <v>106.87</v>
      </c>
      <c r="AD35" s="202">
        <v>214.226</v>
      </c>
      <c r="AG35" s="193" t="s">
        <v>36</v>
      </c>
      <c r="AH35" s="201">
        <v>2.05E-4</v>
      </c>
      <c r="AI35" s="201">
        <v>7.6604720706924196E-3</v>
      </c>
      <c r="AJ35" s="201">
        <v>1.3906990301339099E-3</v>
      </c>
    </row>
    <row r="36" spans="1:36">
      <c r="A36" s="193">
        <v>891</v>
      </c>
      <c r="B36" s="193">
        <v>9957</v>
      </c>
      <c r="C36" s="193" t="s">
        <v>1820</v>
      </c>
      <c r="D36" s="193" t="s">
        <v>1821</v>
      </c>
      <c r="E36" s="206" t="s">
        <v>1264</v>
      </c>
      <c r="F36" s="193" t="s">
        <v>1822</v>
      </c>
      <c r="G36" s="193" t="s">
        <v>1823</v>
      </c>
      <c r="H36" s="193" t="s">
        <v>275</v>
      </c>
      <c r="I36" s="193" t="s">
        <v>712</v>
      </c>
      <c r="J36" s="193" t="s">
        <v>30</v>
      </c>
      <c r="K36" s="193" t="s">
        <v>30</v>
      </c>
      <c r="L36" s="193" t="s">
        <v>281</v>
      </c>
      <c r="M36" s="193" t="s">
        <v>31</v>
      </c>
      <c r="N36" s="193" t="s">
        <v>403</v>
      </c>
      <c r="O36" s="193" t="s">
        <v>94</v>
      </c>
      <c r="P36" s="193" t="s">
        <v>1696</v>
      </c>
      <c r="Q36" s="193" t="s">
        <v>368</v>
      </c>
      <c r="R36" s="193" t="s">
        <v>361</v>
      </c>
      <c r="S36" s="193" t="s">
        <v>34</v>
      </c>
      <c r="T36" s="202">
        <v>2.7149999999999999</v>
      </c>
      <c r="U36" s="193" t="s">
        <v>1824</v>
      </c>
      <c r="V36" s="205">
        <v>1.09E-2</v>
      </c>
      <c r="W36" s="201">
        <v>2.8570000000000002E-2</v>
      </c>
      <c r="X36" s="206" t="s">
        <v>367</v>
      </c>
      <c r="Y36" s="206" t="s">
        <v>94</v>
      </c>
      <c r="Z36" s="202">
        <v>250000</v>
      </c>
      <c r="AA36" s="203">
        <v>1</v>
      </c>
      <c r="AB36" s="204">
        <v>108.07</v>
      </c>
      <c r="AD36" s="202">
        <v>270.17500000000001</v>
      </c>
      <c r="AG36" s="193" t="s">
        <v>36</v>
      </c>
      <c r="AH36" s="201">
        <v>2.7500000000000002E-4</v>
      </c>
      <c r="AI36" s="201">
        <v>9.6611531302675593E-3</v>
      </c>
      <c r="AJ36" s="201">
        <v>1.75390709139728E-3</v>
      </c>
    </row>
    <row r="37" spans="1:36">
      <c r="A37" s="193">
        <v>891</v>
      </c>
      <c r="B37" s="193">
        <v>9957</v>
      </c>
      <c r="C37" s="193" t="s">
        <v>1570</v>
      </c>
      <c r="D37" s="193" t="s">
        <v>1571</v>
      </c>
      <c r="E37" s="206" t="s">
        <v>1264</v>
      </c>
      <c r="F37" s="193" t="s">
        <v>1825</v>
      </c>
      <c r="G37" s="193" t="s">
        <v>1826</v>
      </c>
      <c r="H37" s="193" t="s">
        <v>275</v>
      </c>
      <c r="I37" s="193" t="s">
        <v>927</v>
      </c>
      <c r="J37" s="193" t="s">
        <v>30</v>
      </c>
      <c r="K37" s="193" t="s">
        <v>30</v>
      </c>
      <c r="L37" s="193" t="s">
        <v>281</v>
      </c>
      <c r="M37" s="193" t="s">
        <v>31</v>
      </c>
      <c r="N37" s="193" t="s">
        <v>395</v>
      </c>
      <c r="O37" s="193" t="s">
        <v>94</v>
      </c>
      <c r="P37" s="193" t="s">
        <v>1773</v>
      </c>
      <c r="Q37" s="193" t="s">
        <v>370</v>
      </c>
      <c r="R37" s="193" t="s">
        <v>361</v>
      </c>
      <c r="S37" s="193" t="s">
        <v>34</v>
      </c>
      <c r="T37" s="202">
        <v>2.7770000000000001</v>
      </c>
      <c r="U37" s="193" t="s">
        <v>1827</v>
      </c>
      <c r="V37" s="205">
        <v>7.2499999999999995E-2</v>
      </c>
      <c r="W37" s="201">
        <v>5.3060000000000003E-2</v>
      </c>
      <c r="X37" s="206" t="s">
        <v>367</v>
      </c>
      <c r="Y37" s="206" t="s">
        <v>94</v>
      </c>
      <c r="Z37" s="202">
        <v>355555.56</v>
      </c>
      <c r="AA37" s="203">
        <v>1</v>
      </c>
      <c r="AB37" s="204">
        <v>106.83</v>
      </c>
      <c r="AD37" s="202">
        <v>379.84</v>
      </c>
      <c r="AG37" s="193" t="s">
        <v>36</v>
      </c>
      <c r="AH37" s="201">
        <v>5.5599999999999996E-4</v>
      </c>
      <c r="AI37" s="201">
        <v>1.35826499523345E-2</v>
      </c>
      <c r="AJ37" s="201">
        <v>2.4658242913811299E-3</v>
      </c>
    </row>
    <row r="38" spans="1:36">
      <c r="A38" s="193">
        <v>891</v>
      </c>
      <c r="B38" s="193">
        <v>9957</v>
      </c>
      <c r="C38" s="193" t="s">
        <v>1412</v>
      </c>
      <c r="D38" s="193" t="s">
        <v>1413</v>
      </c>
      <c r="E38" s="206" t="s">
        <v>1264</v>
      </c>
      <c r="F38" s="193" t="s">
        <v>1828</v>
      </c>
      <c r="G38" s="193" t="s">
        <v>1829</v>
      </c>
      <c r="H38" s="193" t="s">
        <v>275</v>
      </c>
      <c r="I38" s="193" t="s">
        <v>927</v>
      </c>
      <c r="J38" s="193" t="s">
        <v>30</v>
      </c>
      <c r="K38" s="193" t="s">
        <v>30</v>
      </c>
      <c r="L38" s="193" t="s">
        <v>281</v>
      </c>
      <c r="M38" s="193" t="s">
        <v>31</v>
      </c>
      <c r="N38" s="193" t="s">
        <v>419</v>
      </c>
      <c r="O38" s="193" t="s">
        <v>94</v>
      </c>
      <c r="P38" s="193" t="s">
        <v>1704</v>
      </c>
      <c r="Q38" s="193" t="s">
        <v>368</v>
      </c>
      <c r="R38" s="193" t="s">
        <v>361</v>
      </c>
      <c r="S38" s="193" t="s">
        <v>34</v>
      </c>
      <c r="T38" s="202">
        <v>4.8040000000000003</v>
      </c>
      <c r="U38" s="193" t="s">
        <v>1830</v>
      </c>
      <c r="V38" s="205">
        <v>2.5499999999999998E-2</v>
      </c>
      <c r="W38" s="201">
        <v>4.9270000000000001E-2</v>
      </c>
      <c r="X38" s="206" t="s">
        <v>367</v>
      </c>
      <c r="Y38" s="206" t="s">
        <v>94</v>
      </c>
      <c r="Z38" s="202">
        <v>375000</v>
      </c>
      <c r="AA38" s="203">
        <v>1</v>
      </c>
      <c r="AB38" s="204">
        <v>89.51</v>
      </c>
      <c r="AD38" s="202">
        <v>335.66300000000001</v>
      </c>
      <c r="AG38" s="193" t="s">
        <v>36</v>
      </c>
      <c r="AH38" s="201">
        <v>1.34E-4</v>
      </c>
      <c r="AI38" s="201">
        <v>1.2002912233139399E-2</v>
      </c>
      <c r="AJ38" s="201">
        <v>2.1790352144578202E-3</v>
      </c>
    </row>
    <row r="39" spans="1:36">
      <c r="A39" s="193">
        <v>891</v>
      </c>
      <c r="B39" s="193">
        <v>9957</v>
      </c>
      <c r="C39" s="193" t="s">
        <v>1412</v>
      </c>
      <c r="D39" s="193" t="s">
        <v>1413</v>
      </c>
      <c r="E39" s="206" t="s">
        <v>1264</v>
      </c>
      <c r="F39" s="193" t="s">
        <v>1831</v>
      </c>
      <c r="G39" s="193" t="s">
        <v>1832</v>
      </c>
      <c r="H39" s="193" t="s">
        <v>275</v>
      </c>
      <c r="I39" s="193" t="s">
        <v>712</v>
      </c>
      <c r="J39" s="193" t="s">
        <v>30</v>
      </c>
      <c r="K39" s="193" t="s">
        <v>30</v>
      </c>
      <c r="L39" s="193" t="s">
        <v>281</v>
      </c>
      <c r="M39" s="193" t="s">
        <v>31</v>
      </c>
      <c r="N39" s="193" t="s">
        <v>419</v>
      </c>
      <c r="O39" s="193" t="s">
        <v>94</v>
      </c>
      <c r="P39" s="193" t="s">
        <v>1704</v>
      </c>
      <c r="Q39" s="193" t="s">
        <v>368</v>
      </c>
      <c r="R39" s="193" t="s">
        <v>361</v>
      </c>
      <c r="S39" s="193" t="s">
        <v>34</v>
      </c>
      <c r="T39" s="202">
        <v>3.992</v>
      </c>
      <c r="U39" s="193" t="s">
        <v>1833</v>
      </c>
      <c r="V39" s="205">
        <v>5.0000000000000001E-3</v>
      </c>
      <c r="W39" s="201">
        <v>2.8850000000000001E-2</v>
      </c>
      <c r="X39" s="206" t="s">
        <v>367</v>
      </c>
      <c r="Y39" s="206" t="s">
        <v>94</v>
      </c>
      <c r="Z39" s="202">
        <v>286226.82</v>
      </c>
      <c r="AA39" s="203">
        <v>1</v>
      </c>
      <c r="AB39" s="204">
        <v>106.2</v>
      </c>
      <c r="AD39" s="202">
        <v>303.97300000000001</v>
      </c>
      <c r="AG39" s="193" t="s">
        <v>36</v>
      </c>
      <c r="AH39" s="201">
        <v>2.14E-4</v>
      </c>
      <c r="AI39" s="201">
        <v>1.0869727282561701E-2</v>
      </c>
      <c r="AJ39" s="201">
        <v>1.9733143140762501E-3</v>
      </c>
    </row>
    <row r="40" spans="1:36">
      <c r="A40" s="193">
        <v>891</v>
      </c>
      <c r="B40" s="193">
        <v>9957</v>
      </c>
      <c r="C40" s="193" t="s">
        <v>1412</v>
      </c>
      <c r="D40" s="193" t="s">
        <v>1413</v>
      </c>
      <c r="E40" s="206" t="s">
        <v>1264</v>
      </c>
      <c r="F40" s="193" t="s">
        <v>1834</v>
      </c>
      <c r="G40" s="193" t="s">
        <v>1835</v>
      </c>
      <c r="H40" s="193" t="s">
        <v>275</v>
      </c>
      <c r="I40" s="193" t="s">
        <v>712</v>
      </c>
      <c r="J40" s="193" t="s">
        <v>30</v>
      </c>
      <c r="K40" s="193" t="s">
        <v>30</v>
      </c>
      <c r="L40" s="193" t="s">
        <v>281</v>
      </c>
      <c r="M40" s="193" t="s">
        <v>31</v>
      </c>
      <c r="N40" s="193" t="s">
        <v>419</v>
      </c>
      <c r="O40" s="193" t="s">
        <v>94</v>
      </c>
      <c r="P40" s="193" t="s">
        <v>1704</v>
      </c>
      <c r="Q40" s="193" t="s">
        <v>368</v>
      </c>
      <c r="R40" s="193" t="s">
        <v>361</v>
      </c>
      <c r="S40" s="193" t="s">
        <v>34</v>
      </c>
      <c r="T40" s="202">
        <v>4.45</v>
      </c>
      <c r="U40" s="193" t="s">
        <v>1836</v>
      </c>
      <c r="V40" s="205">
        <v>5.8999999999999999E-3</v>
      </c>
      <c r="W40" s="201">
        <v>2.8729999999999999E-2</v>
      </c>
      <c r="X40" s="206" t="s">
        <v>367</v>
      </c>
      <c r="Y40" s="206" t="s">
        <v>94</v>
      </c>
      <c r="Z40" s="202">
        <v>250000</v>
      </c>
      <c r="AA40" s="203">
        <v>1</v>
      </c>
      <c r="AB40" s="204">
        <v>102.74</v>
      </c>
      <c r="AD40" s="202">
        <v>256.85000000000002</v>
      </c>
      <c r="AG40" s="193" t="s">
        <v>36</v>
      </c>
      <c r="AH40" s="201">
        <v>1.7899999999999999E-4</v>
      </c>
      <c r="AI40" s="201">
        <v>9.1846661664077792E-3</v>
      </c>
      <c r="AJ40" s="201">
        <v>1.6674045948936499E-3</v>
      </c>
    </row>
    <row r="41" spans="1:36">
      <c r="A41" s="193">
        <v>891</v>
      </c>
      <c r="B41" s="193">
        <v>9957</v>
      </c>
      <c r="C41" s="193" t="s">
        <v>1837</v>
      </c>
      <c r="D41" s="193" t="s">
        <v>1838</v>
      </c>
      <c r="E41" s="206" t="s">
        <v>1264</v>
      </c>
      <c r="F41" s="193" t="s">
        <v>1839</v>
      </c>
      <c r="G41" s="193" t="s">
        <v>1840</v>
      </c>
      <c r="H41" s="193" t="s">
        <v>275</v>
      </c>
      <c r="I41" s="193" t="s">
        <v>927</v>
      </c>
      <c r="J41" s="193" t="s">
        <v>30</v>
      </c>
      <c r="K41" s="193" t="s">
        <v>30</v>
      </c>
      <c r="L41" s="193" t="s">
        <v>281</v>
      </c>
      <c r="M41" s="193" t="s">
        <v>31</v>
      </c>
      <c r="N41" s="193" t="s">
        <v>402</v>
      </c>
      <c r="O41" s="193" t="s">
        <v>94</v>
      </c>
      <c r="P41" s="194" t="s">
        <v>364</v>
      </c>
      <c r="Q41" s="193" t="s">
        <v>364</v>
      </c>
      <c r="R41" s="193" t="s">
        <v>364</v>
      </c>
      <c r="S41" s="193" t="s">
        <v>34</v>
      </c>
      <c r="T41" s="202">
        <v>0.98499999999999999</v>
      </c>
      <c r="U41" s="193" t="s">
        <v>1841</v>
      </c>
      <c r="V41" s="205">
        <v>3.8699999999999998E-2</v>
      </c>
      <c r="W41" s="201">
        <v>4.9630000000000001E-2</v>
      </c>
      <c r="X41" s="206" t="s">
        <v>367</v>
      </c>
      <c r="Y41" s="206" t="s">
        <v>94</v>
      </c>
      <c r="Z41" s="202">
        <v>0.15</v>
      </c>
      <c r="AA41" s="203">
        <v>1</v>
      </c>
      <c r="AB41" s="204">
        <v>99.03</v>
      </c>
      <c r="AD41" s="202">
        <v>0</v>
      </c>
      <c r="AG41" s="193" t="s">
        <v>36</v>
      </c>
      <c r="AH41" s="201">
        <v>0</v>
      </c>
      <c r="AI41" s="201">
        <v>5.3118015794784608E-9</v>
      </c>
      <c r="AJ41" s="201">
        <v>9.6431619835887704E-10</v>
      </c>
    </row>
    <row r="42" spans="1:36">
      <c r="A42" s="193">
        <v>891</v>
      </c>
      <c r="B42" s="193">
        <v>9957</v>
      </c>
      <c r="C42" s="193" t="s">
        <v>1842</v>
      </c>
      <c r="D42" s="193" t="s">
        <v>1843</v>
      </c>
      <c r="E42" s="206" t="s">
        <v>1264</v>
      </c>
      <c r="F42" s="193" t="s">
        <v>1844</v>
      </c>
      <c r="G42" s="193" t="s">
        <v>1845</v>
      </c>
      <c r="H42" s="193" t="s">
        <v>275</v>
      </c>
      <c r="I42" s="193" t="s">
        <v>928</v>
      </c>
      <c r="J42" s="193" t="s">
        <v>30</v>
      </c>
      <c r="K42" s="193" t="s">
        <v>30</v>
      </c>
      <c r="L42" s="193" t="s">
        <v>281</v>
      </c>
      <c r="M42" s="193" t="s">
        <v>31</v>
      </c>
      <c r="N42" s="193" t="s">
        <v>402</v>
      </c>
      <c r="O42" s="193" t="s">
        <v>94</v>
      </c>
      <c r="P42" s="194" t="s">
        <v>364</v>
      </c>
      <c r="Q42" s="193" t="s">
        <v>364</v>
      </c>
      <c r="R42" s="193" t="s">
        <v>364</v>
      </c>
      <c r="S42" s="193" t="s">
        <v>34</v>
      </c>
      <c r="T42" s="202">
        <v>2.9780000000000002</v>
      </c>
      <c r="U42" s="193" t="s">
        <v>1701</v>
      </c>
      <c r="V42" s="205">
        <v>7.0000000000000007E-2</v>
      </c>
      <c r="W42" s="201">
        <v>-4.1079999999999998E-2</v>
      </c>
      <c r="X42" s="206" t="s">
        <v>367</v>
      </c>
      <c r="Y42" s="206" t="s">
        <v>94</v>
      </c>
      <c r="Z42" s="202">
        <v>34907</v>
      </c>
      <c r="AA42" s="203">
        <v>1</v>
      </c>
      <c r="AB42" s="204">
        <v>141</v>
      </c>
      <c r="AD42" s="202">
        <v>49.219000000000001</v>
      </c>
      <c r="AG42" s="193" t="s">
        <v>36</v>
      </c>
      <c r="AH42" s="201">
        <v>6.9899999999999997E-4</v>
      </c>
      <c r="AI42" s="201">
        <v>1.76001125185059E-3</v>
      </c>
      <c r="AJ42" s="201">
        <v>3.1951633246436999E-4</v>
      </c>
    </row>
    <row r="43" spans="1:36">
      <c r="A43" s="193">
        <v>891</v>
      </c>
      <c r="B43" s="193">
        <v>9957</v>
      </c>
      <c r="C43" s="193" t="s">
        <v>1846</v>
      </c>
      <c r="D43" s="193" t="s">
        <v>1847</v>
      </c>
      <c r="E43" s="206" t="s">
        <v>1264</v>
      </c>
      <c r="F43" s="193" t="s">
        <v>1848</v>
      </c>
      <c r="G43" s="193" t="s">
        <v>1849</v>
      </c>
      <c r="H43" s="193" t="s">
        <v>275</v>
      </c>
      <c r="I43" s="193" t="s">
        <v>712</v>
      </c>
      <c r="J43" s="193" t="s">
        <v>30</v>
      </c>
      <c r="K43" s="193" t="s">
        <v>30</v>
      </c>
      <c r="L43" s="193" t="s">
        <v>281</v>
      </c>
      <c r="M43" s="193" t="s">
        <v>31</v>
      </c>
      <c r="N43" s="193" t="s">
        <v>403</v>
      </c>
      <c r="O43" s="193" t="s">
        <v>94</v>
      </c>
      <c r="P43" s="193" t="s">
        <v>1139</v>
      </c>
      <c r="Q43" s="193" t="s">
        <v>368</v>
      </c>
      <c r="R43" s="193" t="s">
        <v>361</v>
      </c>
      <c r="S43" s="193" t="s">
        <v>34</v>
      </c>
      <c r="T43" s="202">
        <v>3.4950000000000001</v>
      </c>
      <c r="U43" s="193" t="s">
        <v>1850</v>
      </c>
      <c r="V43" s="205">
        <v>2E-3</v>
      </c>
      <c r="W43" s="201">
        <v>2.6020000000000001E-2</v>
      </c>
      <c r="X43" s="206" t="s">
        <v>367</v>
      </c>
      <c r="Y43" s="206" t="s">
        <v>94</v>
      </c>
      <c r="Z43" s="202">
        <v>227980.29</v>
      </c>
      <c r="AA43" s="203">
        <v>1</v>
      </c>
      <c r="AB43" s="204">
        <v>105.05</v>
      </c>
      <c r="AD43" s="202">
        <v>239.49299999999999</v>
      </c>
      <c r="AG43" s="193" t="s">
        <v>36</v>
      </c>
      <c r="AH43" s="201">
        <v>6.7000000000000002E-5</v>
      </c>
      <c r="AI43" s="201">
        <v>8.5640099684931408E-3</v>
      </c>
      <c r="AJ43" s="201">
        <v>1.55472929701107E-3</v>
      </c>
    </row>
    <row r="44" spans="1:36">
      <c r="A44" s="193">
        <v>891</v>
      </c>
      <c r="B44" s="193">
        <v>9957</v>
      </c>
      <c r="C44" s="193" t="s">
        <v>1846</v>
      </c>
      <c r="D44" s="193" t="s">
        <v>1847</v>
      </c>
      <c r="E44" s="206" t="s">
        <v>1264</v>
      </c>
      <c r="F44" s="193" t="s">
        <v>1851</v>
      </c>
      <c r="G44" s="193" t="s">
        <v>1852</v>
      </c>
      <c r="H44" s="193" t="s">
        <v>275</v>
      </c>
      <c r="I44" s="193" t="s">
        <v>712</v>
      </c>
      <c r="J44" s="193" t="s">
        <v>30</v>
      </c>
      <c r="K44" s="193" t="s">
        <v>30</v>
      </c>
      <c r="L44" s="193" t="s">
        <v>281</v>
      </c>
      <c r="M44" s="193" t="s">
        <v>1781</v>
      </c>
      <c r="N44" s="193" t="s">
        <v>403</v>
      </c>
      <c r="O44" s="193" t="s">
        <v>94</v>
      </c>
      <c r="P44" s="193" t="s">
        <v>1139</v>
      </c>
      <c r="Q44" s="193" t="s">
        <v>368</v>
      </c>
      <c r="R44" s="193" t="s">
        <v>361</v>
      </c>
      <c r="S44" s="193" t="s">
        <v>34</v>
      </c>
      <c r="T44" s="202">
        <v>4.8159999999999998</v>
      </c>
      <c r="U44" s="193" t="s">
        <v>1853</v>
      </c>
      <c r="V44" s="205">
        <v>2.4E-2</v>
      </c>
      <c r="W44" s="201">
        <v>2.605E-2</v>
      </c>
      <c r="X44" s="206" t="s">
        <v>367</v>
      </c>
      <c r="Y44" s="206" t="s">
        <v>94</v>
      </c>
      <c r="Z44" s="202">
        <v>220000</v>
      </c>
      <c r="AA44" s="203">
        <v>1</v>
      </c>
      <c r="AB44" s="204">
        <v>101.7</v>
      </c>
      <c r="AD44" s="202">
        <v>223.74</v>
      </c>
      <c r="AG44" s="193" t="s">
        <v>36</v>
      </c>
      <c r="AH44" s="201">
        <v>1E-4</v>
      </c>
      <c r="AI44" s="201">
        <v>8.0006899282541403E-3</v>
      </c>
      <c r="AJ44" s="201">
        <v>1.4524629319116399E-3</v>
      </c>
    </row>
    <row r="45" spans="1:36">
      <c r="A45" s="193">
        <v>891</v>
      </c>
      <c r="B45" s="193">
        <v>9957</v>
      </c>
      <c r="C45" s="193" t="s">
        <v>1846</v>
      </c>
      <c r="D45" s="193" t="s">
        <v>1847</v>
      </c>
      <c r="E45" s="206" t="s">
        <v>1264</v>
      </c>
      <c r="F45" s="193" t="s">
        <v>1854</v>
      </c>
      <c r="G45" s="193" t="s">
        <v>1855</v>
      </c>
      <c r="H45" s="193" t="s">
        <v>275</v>
      </c>
      <c r="I45" s="193" t="s">
        <v>712</v>
      </c>
      <c r="J45" s="193" t="s">
        <v>30</v>
      </c>
      <c r="K45" s="193" t="s">
        <v>30</v>
      </c>
      <c r="L45" s="193" t="s">
        <v>281</v>
      </c>
      <c r="M45" s="193" t="s">
        <v>31</v>
      </c>
      <c r="N45" s="193" t="s">
        <v>403</v>
      </c>
      <c r="O45" s="193" t="s">
        <v>94</v>
      </c>
      <c r="P45" s="193" t="s">
        <v>1696</v>
      </c>
      <c r="Q45" s="193" t="s">
        <v>368</v>
      </c>
      <c r="R45" s="193" t="s">
        <v>361</v>
      </c>
      <c r="S45" s="193" t="s">
        <v>34</v>
      </c>
      <c r="T45" s="202">
        <v>2.3279999999999998</v>
      </c>
      <c r="U45" s="193" t="s">
        <v>1856</v>
      </c>
      <c r="V45" s="205">
        <v>2E-3</v>
      </c>
      <c r="W45" s="201">
        <v>2.8879999999999999E-2</v>
      </c>
      <c r="X45" s="206" t="s">
        <v>367</v>
      </c>
      <c r="Y45" s="206" t="s">
        <v>94</v>
      </c>
      <c r="Z45" s="202">
        <v>150000</v>
      </c>
      <c r="AA45" s="203">
        <v>1</v>
      </c>
      <c r="AB45" s="204">
        <v>107.5</v>
      </c>
      <c r="AD45" s="202">
        <v>161.25</v>
      </c>
      <c r="AG45" s="193" t="s">
        <v>36</v>
      </c>
      <c r="AH45" s="201">
        <v>2.6200000000000003E-4</v>
      </c>
      <c r="AI45" s="201">
        <v>5.7661180429560196E-3</v>
      </c>
      <c r="AJ45" s="201">
        <v>1.04679381322407E-3</v>
      </c>
    </row>
    <row r="46" spans="1:36">
      <c r="A46" s="193">
        <v>891</v>
      </c>
      <c r="B46" s="193">
        <v>9957</v>
      </c>
      <c r="C46" s="193" t="s">
        <v>1857</v>
      </c>
      <c r="D46" s="193" t="s">
        <v>1858</v>
      </c>
      <c r="E46" s="206" t="s">
        <v>1264</v>
      </c>
      <c r="F46" s="193" t="s">
        <v>1859</v>
      </c>
      <c r="G46" s="193" t="s">
        <v>1860</v>
      </c>
      <c r="H46" s="193" t="s">
        <v>275</v>
      </c>
      <c r="I46" s="193" t="s">
        <v>712</v>
      </c>
      <c r="J46" s="193" t="s">
        <v>30</v>
      </c>
      <c r="K46" s="193" t="s">
        <v>30</v>
      </c>
      <c r="L46" s="193" t="s">
        <v>281</v>
      </c>
      <c r="M46" s="193" t="s">
        <v>31</v>
      </c>
      <c r="N46" s="193" t="s">
        <v>395</v>
      </c>
      <c r="O46" s="193" t="s">
        <v>94</v>
      </c>
      <c r="P46" s="193" t="s">
        <v>1773</v>
      </c>
      <c r="Q46" s="193" t="s">
        <v>370</v>
      </c>
      <c r="R46" s="193" t="s">
        <v>361</v>
      </c>
      <c r="S46" s="193" t="s">
        <v>34</v>
      </c>
      <c r="T46" s="202">
        <v>3.21</v>
      </c>
      <c r="U46" s="193" t="s">
        <v>1861</v>
      </c>
      <c r="V46" s="205">
        <v>1.7999999999999999E-2</v>
      </c>
      <c r="W46" s="201">
        <v>3.0980000000000001E-2</v>
      </c>
      <c r="X46" s="206" t="s">
        <v>367</v>
      </c>
      <c r="Y46" s="206" t="s">
        <v>94</v>
      </c>
      <c r="Z46" s="202">
        <v>182974.74</v>
      </c>
      <c r="AA46" s="203">
        <v>1</v>
      </c>
      <c r="AB46" s="204">
        <v>112.88</v>
      </c>
      <c r="AD46" s="202">
        <v>206.542</v>
      </c>
      <c r="AG46" s="193" t="s">
        <v>36</v>
      </c>
      <c r="AH46" s="201">
        <v>2.0799999999999999E-4</v>
      </c>
      <c r="AI46" s="201">
        <v>7.38570479654585E-3</v>
      </c>
      <c r="AJ46" s="201">
        <v>1.34081717192179E-3</v>
      </c>
    </row>
    <row r="47" spans="1:36">
      <c r="A47" s="193">
        <v>891</v>
      </c>
      <c r="B47" s="193">
        <v>9957</v>
      </c>
      <c r="C47" s="193" t="s">
        <v>1862</v>
      </c>
      <c r="D47" s="193" t="s">
        <v>1863</v>
      </c>
      <c r="E47" s="206" t="s">
        <v>1264</v>
      </c>
      <c r="F47" s="193" t="s">
        <v>1864</v>
      </c>
      <c r="G47" s="193" t="s">
        <v>1865</v>
      </c>
      <c r="H47" s="193" t="s">
        <v>275</v>
      </c>
      <c r="I47" s="193" t="s">
        <v>927</v>
      </c>
      <c r="J47" s="193" t="s">
        <v>30</v>
      </c>
      <c r="K47" s="193" t="s">
        <v>30</v>
      </c>
      <c r="L47" s="193" t="s">
        <v>281</v>
      </c>
      <c r="M47" s="193" t="s">
        <v>1781</v>
      </c>
      <c r="N47" s="193" t="s">
        <v>409</v>
      </c>
      <c r="O47" s="193" t="s">
        <v>94</v>
      </c>
      <c r="P47" s="193" t="s">
        <v>1791</v>
      </c>
      <c r="Q47" s="193" t="s">
        <v>368</v>
      </c>
      <c r="R47" s="193" t="s">
        <v>361</v>
      </c>
      <c r="S47" s="193" t="s">
        <v>34</v>
      </c>
      <c r="T47" s="202">
        <v>5.5919999999999996</v>
      </c>
      <c r="U47" s="193" t="s">
        <v>1833</v>
      </c>
      <c r="V47" s="205">
        <v>5.6899999999999999E-2</v>
      </c>
      <c r="W47" s="201">
        <v>5.5149999999999998E-2</v>
      </c>
      <c r="X47" s="206" t="s">
        <v>367</v>
      </c>
      <c r="Y47" s="206" t="s">
        <v>94</v>
      </c>
      <c r="Z47" s="202">
        <v>219000</v>
      </c>
      <c r="AA47" s="203">
        <v>1</v>
      </c>
      <c r="AB47" s="204">
        <v>101.37</v>
      </c>
      <c r="AD47" s="202">
        <v>222</v>
      </c>
      <c r="AG47" s="193" t="s">
        <v>36</v>
      </c>
      <c r="AH47" s="201">
        <v>1.3999999999999999E-4</v>
      </c>
      <c r="AI47" s="201">
        <v>7.9384802193590703E-3</v>
      </c>
      <c r="AJ47" s="201">
        <v>1.4411692438690601E-3</v>
      </c>
    </row>
    <row r="48" spans="1:36">
      <c r="A48" s="193">
        <v>891</v>
      </c>
      <c r="B48" s="193">
        <v>9957</v>
      </c>
      <c r="C48" s="193" t="s">
        <v>1866</v>
      </c>
      <c r="D48" s="193" t="s">
        <v>1867</v>
      </c>
      <c r="E48" s="206" t="s">
        <v>1264</v>
      </c>
      <c r="F48" s="193" t="s">
        <v>1868</v>
      </c>
      <c r="G48" s="193" t="s">
        <v>1869</v>
      </c>
      <c r="H48" s="193" t="s">
        <v>275</v>
      </c>
      <c r="I48" s="193" t="s">
        <v>927</v>
      </c>
      <c r="J48" s="193" t="s">
        <v>30</v>
      </c>
      <c r="K48" s="193" t="s">
        <v>30</v>
      </c>
      <c r="L48" s="193" t="s">
        <v>281</v>
      </c>
      <c r="M48" s="193" t="s">
        <v>31</v>
      </c>
      <c r="N48" s="193" t="s">
        <v>400</v>
      </c>
      <c r="O48" s="193" t="s">
        <v>94</v>
      </c>
      <c r="P48" s="193" t="s">
        <v>1700</v>
      </c>
      <c r="Q48" s="193" t="s">
        <v>368</v>
      </c>
      <c r="R48" s="193" t="s">
        <v>361</v>
      </c>
      <c r="S48" s="193" t="s">
        <v>34</v>
      </c>
      <c r="T48" s="202">
        <v>7.6970000000000001</v>
      </c>
      <c r="U48" s="193" t="s">
        <v>1870</v>
      </c>
      <c r="V48" s="205">
        <v>5.8500000000000003E-2</v>
      </c>
      <c r="W48" s="201">
        <v>5.3460000000000001E-2</v>
      </c>
      <c r="X48" s="206" t="s">
        <v>367</v>
      </c>
      <c r="Y48" s="206" t="s">
        <v>94</v>
      </c>
      <c r="Z48" s="202">
        <v>299000</v>
      </c>
      <c r="AA48" s="203">
        <v>1</v>
      </c>
      <c r="AB48" s="204">
        <v>105.43</v>
      </c>
      <c r="AD48" s="202">
        <v>315.23599999999999</v>
      </c>
      <c r="AG48" s="193" t="s">
        <v>36</v>
      </c>
      <c r="AH48" s="201">
        <v>2.99E-4</v>
      </c>
      <c r="AI48" s="201">
        <v>1.12724729150628E-2</v>
      </c>
      <c r="AJ48" s="201">
        <v>2.0464296463092E-3</v>
      </c>
    </row>
    <row r="49" spans="1:36">
      <c r="A49" s="193">
        <v>891</v>
      </c>
      <c r="B49" s="193">
        <v>9957</v>
      </c>
      <c r="C49" s="193" t="s">
        <v>1871</v>
      </c>
      <c r="D49" s="193" t="s">
        <v>1872</v>
      </c>
      <c r="E49" s="206" t="s">
        <v>1264</v>
      </c>
      <c r="F49" s="193" t="s">
        <v>1873</v>
      </c>
      <c r="G49" s="193" t="s">
        <v>1874</v>
      </c>
      <c r="H49" s="193" t="s">
        <v>275</v>
      </c>
      <c r="I49" s="193" t="s">
        <v>712</v>
      </c>
      <c r="J49" s="193" t="s">
        <v>30</v>
      </c>
      <c r="K49" s="193" t="s">
        <v>30</v>
      </c>
      <c r="L49" s="193" t="s">
        <v>281</v>
      </c>
      <c r="M49" s="193" t="s">
        <v>31</v>
      </c>
      <c r="N49" s="193" t="s">
        <v>419</v>
      </c>
      <c r="O49" s="193" t="s">
        <v>94</v>
      </c>
      <c r="P49" s="193" t="s">
        <v>1688</v>
      </c>
      <c r="Q49" s="193" t="s">
        <v>370</v>
      </c>
      <c r="R49" s="193" t="s">
        <v>361</v>
      </c>
      <c r="S49" s="193" t="s">
        <v>34</v>
      </c>
      <c r="T49" s="202">
        <v>5.1120000000000001</v>
      </c>
      <c r="U49" s="193" t="s">
        <v>1875</v>
      </c>
      <c r="V49" s="205">
        <v>3.1800000000000002E-2</v>
      </c>
      <c r="W49" s="201">
        <v>3.049E-2</v>
      </c>
      <c r="X49" s="206" t="s">
        <v>367</v>
      </c>
      <c r="Y49" s="206" t="s">
        <v>94</v>
      </c>
      <c r="Z49" s="202">
        <v>290000</v>
      </c>
      <c r="AA49" s="203">
        <v>1</v>
      </c>
      <c r="AB49" s="204">
        <v>102.65</v>
      </c>
      <c r="AD49" s="202">
        <v>297.685</v>
      </c>
      <c r="AG49" s="193" t="s">
        <v>36</v>
      </c>
      <c r="AH49" s="201">
        <v>1.299E-3</v>
      </c>
      <c r="AI49" s="201">
        <v>1.0644879687549499E-2</v>
      </c>
      <c r="AJ49" s="201">
        <v>1.9324949847417401E-3</v>
      </c>
    </row>
    <row r="50" spans="1:36">
      <c r="A50" s="193">
        <v>891</v>
      </c>
      <c r="B50" s="193">
        <v>9957</v>
      </c>
      <c r="C50" s="193" t="s">
        <v>1876</v>
      </c>
      <c r="D50" s="193" t="s">
        <v>1877</v>
      </c>
      <c r="E50" s="206" t="s">
        <v>1264</v>
      </c>
      <c r="F50" s="193" t="s">
        <v>1878</v>
      </c>
      <c r="G50" s="193" t="s">
        <v>1879</v>
      </c>
      <c r="H50" s="193" t="s">
        <v>275</v>
      </c>
      <c r="I50" s="193" t="s">
        <v>712</v>
      </c>
      <c r="J50" s="193" t="s">
        <v>30</v>
      </c>
      <c r="K50" s="193" t="s">
        <v>30</v>
      </c>
      <c r="L50" s="193" t="s">
        <v>281</v>
      </c>
      <c r="M50" s="193" t="s">
        <v>31</v>
      </c>
      <c r="N50" s="193" t="s">
        <v>395</v>
      </c>
      <c r="O50" s="193" t="s">
        <v>94</v>
      </c>
      <c r="P50" s="193" t="s">
        <v>1139</v>
      </c>
      <c r="Q50" s="193" t="s">
        <v>368</v>
      </c>
      <c r="R50" s="193" t="s">
        <v>361</v>
      </c>
      <c r="S50" s="193" t="s">
        <v>34</v>
      </c>
      <c r="T50" s="202">
        <v>10.058999999999999</v>
      </c>
      <c r="U50" s="193" t="s">
        <v>1880</v>
      </c>
      <c r="V50" s="205">
        <v>3.2000000000000001E-2</v>
      </c>
      <c r="W50" s="201">
        <v>2.7959999999999999E-2</v>
      </c>
      <c r="X50" s="206" t="s">
        <v>367</v>
      </c>
      <c r="Y50" s="206" t="s">
        <v>94</v>
      </c>
      <c r="Z50" s="202">
        <v>370000</v>
      </c>
      <c r="AA50" s="203">
        <v>1</v>
      </c>
      <c r="AB50" s="204">
        <v>110.87</v>
      </c>
      <c r="AD50" s="202">
        <v>410.21899999999999</v>
      </c>
      <c r="AG50" s="193" t="s">
        <v>36</v>
      </c>
      <c r="AH50" s="201">
        <v>7.4999999999999993E-5</v>
      </c>
      <c r="AI50" s="201">
        <v>1.4668968542408499E-2</v>
      </c>
      <c r="AJ50" s="201">
        <v>2.66303696909745E-3</v>
      </c>
    </row>
    <row r="51" spans="1:36">
      <c r="A51" s="193">
        <v>891</v>
      </c>
      <c r="B51" s="193">
        <v>9957</v>
      </c>
      <c r="C51" s="193" t="s">
        <v>1876</v>
      </c>
      <c r="D51" s="193" t="s">
        <v>1877</v>
      </c>
      <c r="E51" s="206" t="s">
        <v>1264</v>
      </c>
      <c r="F51" s="193" t="s">
        <v>1881</v>
      </c>
      <c r="G51" s="193" t="s">
        <v>1882</v>
      </c>
      <c r="H51" s="193" t="s">
        <v>275</v>
      </c>
      <c r="I51" s="193" t="s">
        <v>712</v>
      </c>
      <c r="J51" s="193" t="s">
        <v>30</v>
      </c>
      <c r="K51" s="193" t="s">
        <v>30</v>
      </c>
      <c r="L51" s="193" t="s">
        <v>281</v>
      </c>
      <c r="M51" s="193" t="s">
        <v>1781</v>
      </c>
      <c r="N51" s="193" t="s">
        <v>395</v>
      </c>
      <c r="O51" s="193" t="s">
        <v>94</v>
      </c>
      <c r="P51" s="193" t="s">
        <v>1139</v>
      </c>
      <c r="Q51" s="193" t="s">
        <v>368</v>
      </c>
      <c r="R51" s="193" t="s">
        <v>361</v>
      </c>
      <c r="S51" s="193" t="s">
        <v>34</v>
      </c>
      <c r="T51" s="202">
        <v>7.8319999999999999</v>
      </c>
      <c r="U51" s="193" t="s">
        <v>1883</v>
      </c>
      <c r="V51" s="205">
        <v>2.9899999999999999E-2</v>
      </c>
      <c r="W51" s="201">
        <v>2.759E-2</v>
      </c>
      <c r="X51" s="206" t="s">
        <v>367</v>
      </c>
      <c r="Y51" s="206" t="s">
        <v>94</v>
      </c>
      <c r="Z51" s="202">
        <v>41000</v>
      </c>
      <c r="AA51" s="203">
        <v>1</v>
      </c>
      <c r="AB51" s="204">
        <v>103.17</v>
      </c>
      <c r="AD51" s="202">
        <v>42.3</v>
      </c>
      <c r="AG51" s="193" t="s">
        <v>36</v>
      </c>
      <c r="AH51" s="201">
        <v>1.06E-4</v>
      </c>
      <c r="AI51" s="201">
        <v>1.51258954035117E-3</v>
      </c>
      <c r="AJ51" s="201">
        <v>2.74598848131684E-4</v>
      </c>
    </row>
    <row r="52" spans="1:36">
      <c r="A52" s="193">
        <v>891</v>
      </c>
      <c r="B52" s="193">
        <v>9957</v>
      </c>
      <c r="C52" s="193" t="s">
        <v>1884</v>
      </c>
      <c r="D52" s="193" t="s">
        <v>1885</v>
      </c>
      <c r="E52" s="206" t="s">
        <v>266</v>
      </c>
      <c r="F52" s="193" t="s">
        <v>1886</v>
      </c>
      <c r="G52" s="193" t="s">
        <v>1887</v>
      </c>
      <c r="H52" s="193" t="s">
        <v>275</v>
      </c>
      <c r="I52" s="193" t="s">
        <v>713</v>
      </c>
      <c r="J52" s="193" t="s">
        <v>30</v>
      </c>
      <c r="K52" s="193" t="s">
        <v>179</v>
      </c>
      <c r="L52" s="193" t="s">
        <v>281</v>
      </c>
      <c r="M52" s="193" t="s">
        <v>31</v>
      </c>
      <c r="N52" s="193" t="s">
        <v>420</v>
      </c>
      <c r="O52" s="193" t="s">
        <v>94</v>
      </c>
      <c r="P52" s="193" t="s">
        <v>1696</v>
      </c>
      <c r="Q52" s="193" t="s">
        <v>368</v>
      </c>
      <c r="R52" s="193" t="s">
        <v>361</v>
      </c>
      <c r="S52" s="193" t="s">
        <v>1140</v>
      </c>
      <c r="T52" s="202">
        <v>1.5920000000000001</v>
      </c>
      <c r="U52" s="193" t="s">
        <v>1888</v>
      </c>
      <c r="V52" s="205">
        <v>4.7199999999999999E-2</v>
      </c>
      <c r="W52" s="201">
        <v>5.8950000000000002E-2</v>
      </c>
      <c r="X52" s="206" t="s">
        <v>367</v>
      </c>
      <c r="Y52" s="206" t="s">
        <v>94</v>
      </c>
      <c r="Z52" s="202">
        <v>233000</v>
      </c>
      <c r="AA52" s="203">
        <v>3.3719999999999999</v>
      </c>
      <c r="AB52" s="204">
        <v>31.234000000000002</v>
      </c>
      <c r="AD52" s="202">
        <v>245.39599999999999</v>
      </c>
      <c r="AG52" s="193" t="s">
        <v>36</v>
      </c>
      <c r="AH52" s="201">
        <v>7.0799999999999997E-4</v>
      </c>
      <c r="AI52" s="201">
        <v>8.7750697477334497E-3</v>
      </c>
      <c r="AJ52" s="201">
        <v>1.5930455557978799E-3</v>
      </c>
    </row>
    <row r="53" spans="1:36">
      <c r="A53" s="193">
        <v>891</v>
      </c>
      <c r="B53" s="193">
        <v>9957</v>
      </c>
      <c r="C53" s="193" t="s">
        <v>1889</v>
      </c>
      <c r="D53" s="193" t="s">
        <v>1890</v>
      </c>
      <c r="E53" s="206" t="s">
        <v>1264</v>
      </c>
      <c r="F53" s="193" t="s">
        <v>1891</v>
      </c>
      <c r="G53" s="193" t="s">
        <v>1892</v>
      </c>
      <c r="H53" s="193" t="s">
        <v>275</v>
      </c>
      <c r="I53" s="193" t="s">
        <v>927</v>
      </c>
      <c r="J53" s="193" t="s">
        <v>30</v>
      </c>
      <c r="K53" s="193" t="s">
        <v>30</v>
      </c>
      <c r="L53" s="193" t="s">
        <v>281</v>
      </c>
      <c r="M53" s="193" t="s">
        <v>31</v>
      </c>
      <c r="N53" s="193" t="s">
        <v>402</v>
      </c>
      <c r="O53" s="193" t="s">
        <v>94</v>
      </c>
      <c r="P53" s="194" t="s">
        <v>364</v>
      </c>
      <c r="Q53" s="193" t="s">
        <v>364</v>
      </c>
      <c r="R53" s="193" t="s">
        <v>364</v>
      </c>
      <c r="S53" s="193" t="s">
        <v>34</v>
      </c>
      <c r="T53" s="202">
        <v>0.995</v>
      </c>
      <c r="U53" s="193" t="s">
        <v>1893</v>
      </c>
      <c r="V53" s="205">
        <v>5.6000000000000001E-2</v>
      </c>
      <c r="W53" s="201">
        <v>5.842E-2</v>
      </c>
      <c r="X53" s="206" t="s">
        <v>367</v>
      </c>
      <c r="Y53" s="206" t="s">
        <v>94</v>
      </c>
      <c r="Z53" s="202">
        <v>155378.4</v>
      </c>
      <c r="AA53" s="203">
        <v>1</v>
      </c>
      <c r="AB53" s="204">
        <v>99.8</v>
      </c>
      <c r="AC53" s="202">
        <v>44.283000000000001</v>
      </c>
      <c r="AD53" s="202">
        <v>199.35</v>
      </c>
      <c r="AG53" s="193" t="s">
        <v>36</v>
      </c>
      <c r="AH53" s="201">
        <v>1.142E-3</v>
      </c>
      <c r="AI53" s="201">
        <v>7.1285483290016802E-3</v>
      </c>
      <c r="AJ53" s="201">
        <v>1.2941324184619399E-3</v>
      </c>
    </row>
    <row r="54" spans="1:36">
      <c r="A54" s="193">
        <v>891</v>
      </c>
      <c r="B54" s="193">
        <v>9957</v>
      </c>
      <c r="C54" s="193" t="s">
        <v>1894</v>
      </c>
      <c r="D54" s="193" t="s">
        <v>1895</v>
      </c>
      <c r="E54" s="206" t="s">
        <v>1264</v>
      </c>
      <c r="F54" s="193" t="s">
        <v>1896</v>
      </c>
      <c r="G54" s="193" t="s">
        <v>1897</v>
      </c>
      <c r="H54" s="193" t="s">
        <v>275</v>
      </c>
      <c r="I54" s="193" t="s">
        <v>712</v>
      </c>
      <c r="J54" s="193" t="s">
        <v>30</v>
      </c>
      <c r="K54" s="193" t="s">
        <v>30</v>
      </c>
      <c r="L54" s="193" t="s">
        <v>281</v>
      </c>
      <c r="M54" s="193" t="s">
        <v>31</v>
      </c>
      <c r="N54" s="193" t="s">
        <v>403</v>
      </c>
      <c r="O54" s="193" t="s">
        <v>94</v>
      </c>
      <c r="P54" s="193" t="s">
        <v>1696</v>
      </c>
      <c r="Q54" s="193" t="s">
        <v>368</v>
      </c>
      <c r="R54" s="193" t="s">
        <v>361</v>
      </c>
      <c r="S54" s="193" t="s">
        <v>34</v>
      </c>
      <c r="T54" s="202">
        <v>3.8740000000000001</v>
      </c>
      <c r="U54" s="193" t="s">
        <v>1898</v>
      </c>
      <c r="V54" s="205">
        <v>2.5899999999999999E-2</v>
      </c>
      <c r="W54" s="201">
        <v>2.7470000000000001E-2</v>
      </c>
      <c r="X54" s="206" t="s">
        <v>367</v>
      </c>
      <c r="Y54" s="206" t="s">
        <v>94</v>
      </c>
      <c r="Z54" s="202">
        <v>134000</v>
      </c>
      <c r="AA54" s="203">
        <v>1</v>
      </c>
      <c r="AB54" s="204">
        <v>105.24</v>
      </c>
      <c r="AD54" s="202">
        <v>141.02199999999999</v>
      </c>
      <c r="AG54" s="193" t="s">
        <v>36</v>
      </c>
      <c r="AH54" s="201">
        <v>1.9599999999999999E-4</v>
      </c>
      <c r="AI54" s="201">
        <v>5.0427732850017197E-3</v>
      </c>
      <c r="AJ54" s="201">
        <v>9.15476207199746E-4</v>
      </c>
    </row>
    <row r="55" spans="1:36">
      <c r="A55" s="193">
        <v>891</v>
      </c>
      <c r="B55" s="193">
        <v>9957</v>
      </c>
      <c r="C55" s="193" t="s">
        <v>1899</v>
      </c>
      <c r="D55" s="193" t="s">
        <v>1900</v>
      </c>
      <c r="E55" s="206" t="s">
        <v>1264</v>
      </c>
      <c r="F55" s="193" t="s">
        <v>1901</v>
      </c>
      <c r="G55" s="193" t="s">
        <v>1902</v>
      </c>
      <c r="H55" s="193" t="s">
        <v>275</v>
      </c>
      <c r="I55" s="193" t="s">
        <v>712</v>
      </c>
      <c r="J55" s="193" t="s">
        <v>30</v>
      </c>
      <c r="K55" s="193" t="s">
        <v>30</v>
      </c>
      <c r="L55" s="193" t="s">
        <v>281</v>
      </c>
      <c r="M55" s="193" t="s">
        <v>31</v>
      </c>
      <c r="N55" s="193" t="s">
        <v>419</v>
      </c>
      <c r="O55" s="193" t="s">
        <v>94</v>
      </c>
      <c r="P55" s="194" t="s">
        <v>364</v>
      </c>
      <c r="Q55" s="193" t="s">
        <v>364</v>
      </c>
      <c r="R55" s="193" t="s">
        <v>364</v>
      </c>
      <c r="S55" s="193" t="s">
        <v>34</v>
      </c>
      <c r="T55" s="202">
        <v>2.3610000000000002</v>
      </c>
      <c r="U55" s="193" t="s">
        <v>1903</v>
      </c>
      <c r="V55" s="205">
        <v>4.4999999999999998E-2</v>
      </c>
      <c r="W55" s="201">
        <v>3.3390000000000003E-2</v>
      </c>
      <c r="X55" s="206" t="s">
        <v>367</v>
      </c>
      <c r="Y55" s="206" t="s">
        <v>94</v>
      </c>
      <c r="Z55" s="202">
        <v>215000</v>
      </c>
      <c r="AA55" s="203">
        <v>1</v>
      </c>
      <c r="AB55" s="204">
        <v>108.49</v>
      </c>
      <c r="AD55" s="202">
        <v>233.25399999999999</v>
      </c>
      <c r="AG55" s="193" t="s">
        <v>36</v>
      </c>
      <c r="AH55" s="201">
        <v>2.1900000000000001E-4</v>
      </c>
      <c r="AI55" s="201">
        <v>8.3408819530706602E-3</v>
      </c>
      <c r="AJ55" s="201">
        <v>1.5142221439557199E-3</v>
      </c>
    </row>
    <row r="56" spans="1:36">
      <c r="A56" s="193">
        <v>891</v>
      </c>
      <c r="B56" s="193">
        <v>9957</v>
      </c>
      <c r="C56" s="193" t="s">
        <v>1904</v>
      </c>
      <c r="D56" s="193" t="s">
        <v>1905</v>
      </c>
      <c r="E56" s="206" t="s">
        <v>1264</v>
      </c>
      <c r="F56" s="193" t="s">
        <v>1906</v>
      </c>
      <c r="G56" s="193" t="s">
        <v>1907</v>
      </c>
      <c r="H56" s="193" t="s">
        <v>275</v>
      </c>
      <c r="I56" s="193" t="s">
        <v>712</v>
      </c>
      <c r="J56" s="193" t="s">
        <v>30</v>
      </c>
      <c r="K56" s="193" t="s">
        <v>30</v>
      </c>
      <c r="L56" s="193" t="s">
        <v>281</v>
      </c>
      <c r="M56" s="193" t="s">
        <v>31</v>
      </c>
      <c r="N56" s="193" t="s">
        <v>419</v>
      </c>
      <c r="O56" s="193" t="s">
        <v>94</v>
      </c>
      <c r="P56" s="193" t="s">
        <v>1704</v>
      </c>
      <c r="Q56" s="193" t="s">
        <v>368</v>
      </c>
      <c r="R56" s="193" t="s">
        <v>361</v>
      </c>
      <c r="S56" s="193" t="s">
        <v>34</v>
      </c>
      <c r="T56" s="202">
        <v>1.7569999999999999</v>
      </c>
      <c r="U56" s="193" t="s">
        <v>1908</v>
      </c>
      <c r="V56" s="205">
        <v>1.5800000000000002E-2</v>
      </c>
      <c r="W56" s="201">
        <v>2.7789999999999999E-2</v>
      </c>
      <c r="X56" s="206" t="s">
        <v>367</v>
      </c>
      <c r="Y56" s="206" t="s">
        <v>94</v>
      </c>
      <c r="Z56" s="202">
        <v>106953</v>
      </c>
      <c r="AA56" s="203">
        <v>1</v>
      </c>
      <c r="AB56" s="204">
        <v>116.04</v>
      </c>
      <c r="AD56" s="202">
        <v>124.108</v>
      </c>
      <c r="AG56" s="193" t="s">
        <v>36</v>
      </c>
      <c r="AH56" s="201">
        <v>2.72E-4</v>
      </c>
      <c r="AI56" s="201">
        <v>4.43797137479206E-3</v>
      </c>
      <c r="AJ56" s="201">
        <v>8.0567913174670698E-4</v>
      </c>
    </row>
    <row r="57" spans="1:36">
      <c r="A57" s="193">
        <v>891</v>
      </c>
      <c r="B57" s="193">
        <v>9957</v>
      </c>
      <c r="C57" s="193" t="s">
        <v>1904</v>
      </c>
      <c r="D57" s="193" t="s">
        <v>1905</v>
      </c>
      <c r="E57" s="206" t="s">
        <v>1264</v>
      </c>
      <c r="F57" s="193" t="s">
        <v>1909</v>
      </c>
      <c r="G57" s="193" t="s">
        <v>1910</v>
      </c>
      <c r="H57" s="193" t="s">
        <v>275</v>
      </c>
      <c r="I57" s="193" t="s">
        <v>712</v>
      </c>
      <c r="J57" s="193" t="s">
        <v>30</v>
      </c>
      <c r="K57" s="193" t="s">
        <v>30</v>
      </c>
      <c r="L57" s="193" t="s">
        <v>281</v>
      </c>
      <c r="M57" s="193" t="s">
        <v>31</v>
      </c>
      <c r="N57" s="193" t="s">
        <v>419</v>
      </c>
      <c r="O57" s="193" t="s">
        <v>94</v>
      </c>
      <c r="P57" s="193" t="s">
        <v>1704</v>
      </c>
      <c r="Q57" s="193" t="s">
        <v>368</v>
      </c>
      <c r="R57" s="193" t="s">
        <v>361</v>
      </c>
      <c r="S57" s="193" t="s">
        <v>34</v>
      </c>
      <c r="T57" s="202">
        <v>4.2240000000000002</v>
      </c>
      <c r="U57" s="193" t="s">
        <v>1911</v>
      </c>
      <c r="V57" s="205">
        <v>8.3999999999999995E-3</v>
      </c>
      <c r="W57" s="201">
        <v>2.7869999999999999E-2</v>
      </c>
      <c r="X57" s="206" t="s">
        <v>367</v>
      </c>
      <c r="Y57" s="206" t="s">
        <v>94</v>
      </c>
      <c r="Z57" s="202">
        <v>272747.26</v>
      </c>
      <c r="AA57" s="203">
        <v>1</v>
      </c>
      <c r="AB57" s="204">
        <v>107.28</v>
      </c>
      <c r="AD57" s="202">
        <v>292.60300000000001</v>
      </c>
      <c r="AG57" s="193" t="s">
        <v>36</v>
      </c>
      <c r="AH57" s="201">
        <v>3.5599999999999998E-4</v>
      </c>
      <c r="AI57" s="201">
        <v>1.0463162418345801E-2</v>
      </c>
      <c r="AJ57" s="201">
        <v>1.8995056300769001E-3</v>
      </c>
    </row>
    <row r="58" spans="1:36">
      <c r="A58" s="193">
        <v>891</v>
      </c>
      <c r="B58" s="193">
        <v>9957</v>
      </c>
      <c r="C58" s="193" t="s">
        <v>1488</v>
      </c>
      <c r="D58" s="193" t="s">
        <v>1489</v>
      </c>
      <c r="E58" s="206" t="s">
        <v>1264</v>
      </c>
      <c r="F58" s="193" t="s">
        <v>1912</v>
      </c>
      <c r="G58" s="193" t="s">
        <v>1913</v>
      </c>
      <c r="H58" s="193" t="s">
        <v>275</v>
      </c>
      <c r="I58" s="193" t="s">
        <v>927</v>
      </c>
      <c r="J58" s="193" t="s">
        <v>30</v>
      </c>
      <c r="K58" s="193" t="s">
        <v>30</v>
      </c>
      <c r="L58" s="193" t="s">
        <v>281</v>
      </c>
      <c r="M58" s="193" t="s">
        <v>31</v>
      </c>
      <c r="N58" s="193" t="s">
        <v>400</v>
      </c>
      <c r="O58" s="193" t="s">
        <v>94</v>
      </c>
      <c r="P58" s="193" t="s">
        <v>1696</v>
      </c>
      <c r="Q58" s="193" t="s">
        <v>368</v>
      </c>
      <c r="R58" s="193" t="s">
        <v>361</v>
      </c>
      <c r="S58" s="193" t="s">
        <v>34</v>
      </c>
      <c r="T58" s="202">
        <v>4.694</v>
      </c>
      <c r="U58" s="193" t="s">
        <v>1914</v>
      </c>
      <c r="V58" s="205">
        <v>5.2499999999999998E-2</v>
      </c>
      <c r="W58" s="201">
        <v>4.6530000000000002E-2</v>
      </c>
      <c r="X58" s="206" t="s">
        <v>367</v>
      </c>
      <c r="Y58" s="206" t="s">
        <v>94</v>
      </c>
      <c r="Z58" s="202">
        <v>204000</v>
      </c>
      <c r="AA58" s="203">
        <v>1</v>
      </c>
      <c r="AB58" s="204">
        <v>103.89</v>
      </c>
      <c r="AD58" s="202">
        <v>211.93600000000001</v>
      </c>
      <c r="AG58" s="193" t="s">
        <v>36</v>
      </c>
      <c r="AH58" s="201">
        <v>4.08E-4</v>
      </c>
      <c r="AI58" s="201">
        <v>7.5785779045253396E-3</v>
      </c>
      <c r="AJ58" s="201">
        <v>1.37583178221352E-3</v>
      </c>
    </row>
    <row r="59" spans="1:36">
      <c r="A59" s="193">
        <v>891</v>
      </c>
      <c r="B59" s="193">
        <v>9957</v>
      </c>
      <c r="C59" s="193" t="s">
        <v>1915</v>
      </c>
      <c r="D59" s="193" t="s">
        <v>1916</v>
      </c>
      <c r="E59" s="206" t="s">
        <v>1264</v>
      </c>
      <c r="F59" s="193" t="s">
        <v>1917</v>
      </c>
      <c r="G59" s="193" t="s">
        <v>1918</v>
      </c>
      <c r="H59" s="193" t="s">
        <v>275</v>
      </c>
      <c r="I59" s="193" t="s">
        <v>927</v>
      </c>
      <c r="J59" s="193" t="s">
        <v>30</v>
      </c>
      <c r="K59" s="193" t="s">
        <v>30</v>
      </c>
      <c r="L59" s="193" t="s">
        <v>281</v>
      </c>
      <c r="M59" s="193" t="s">
        <v>1781</v>
      </c>
      <c r="N59" s="193" t="s">
        <v>400</v>
      </c>
      <c r="O59" s="193" t="s">
        <v>94</v>
      </c>
      <c r="P59" s="193" t="s">
        <v>1696</v>
      </c>
      <c r="Q59" s="193" t="s">
        <v>368</v>
      </c>
      <c r="R59" s="193" t="s">
        <v>361</v>
      </c>
      <c r="S59" s="193" t="s">
        <v>34</v>
      </c>
      <c r="T59" s="202">
        <v>8.5109999999999992</v>
      </c>
      <c r="U59" s="193" t="s">
        <v>1919</v>
      </c>
      <c r="V59" s="205">
        <v>5.5100000000000003E-2</v>
      </c>
      <c r="W59" s="201">
        <v>5.1450000000000003E-2</v>
      </c>
      <c r="X59" s="206" t="s">
        <v>367</v>
      </c>
      <c r="Y59" s="206" t="s">
        <v>94</v>
      </c>
      <c r="Z59" s="202">
        <v>299000</v>
      </c>
      <c r="AA59" s="203">
        <v>1</v>
      </c>
      <c r="AB59" s="204">
        <v>104.59</v>
      </c>
      <c r="AD59" s="202">
        <v>312.72399999999999</v>
      </c>
      <c r="AG59" s="193" t="s">
        <v>36</v>
      </c>
      <c r="AH59" s="201">
        <v>5.9800000000000001E-4</v>
      </c>
      <c r="AI59" s="201">
        <v>1.11826609331918E-2</v>
      </c>
      <c r="AJ59" s="201">
        <v>2.0301249806267598E-3</v>
      </c>
    </row>
    <row r="60" spans="1:36">
      <c r="A60" s="193">
        <v>891</v>
      </c>
      <c r="B60" s="193">
        <v>9957</v>
      </c>
      <c r="C60" s="193" t="s">
        <v>1137</v>
      </c>
      <c r="D60" s="193" t="s">
        <v>1492</v>
      </c>
      <c r="E60" s="206" t="s">
        <v>1264</v>
      </c>
      <c r="F60" s="193" t="s">
        <v>1920</v>
      </c>
      <c r="G60" s="193" t="s">
        <v>1921</v>
      </c>
      <c r="H60" s="193" t="s">
        <v>275</v>
      </c>
      <c r="I60" s="193" t="s">
        <v>712</v>
      </c>
      <c r="J60" s="193" t="s">
        <v>30</v>
      </c>
      <c r="K60" s="193" t="s">
        <v>30</v>
      </c>
      <c r="L60" s="193" t="s">
        <v>281</v>
      </c>
      <c r="M60" s="193" t="s">
        <v>31</v>
      </c>
      <c r="N60" s="193" t="s">
        <v>403</v>
      </c>
      <c r="O60" s="193" t="s">
        <v>94</v>
      </c>
      <c r="P60" s="193" t="s">
        <v>1139</v>
      </c>
      <c r="Q60" s="193" t="s">
        <v>368</v>
      </c>
      <c r="R60" s="193" t="s">
        <v>361</v>
      </c>
      <c r="S60" s="193" t="s">
        <v>34</v>
      </c>
      <c r="T60" s="202">
        <v>2.0920000000000001</v>
      </c>
      <c r="U60" s="193" t="s">
        <v>1922</v>
      </c>
      <c r="V60" s="205">
        <v>1.8599999999999998E-2</v>
      </c>
      <c r="W60" s="201">
        <v>2.5680000000000001E-2</v>
      </c>
      <c r="X60" s="206" t="s">
        <v>367</v>
      </c>
      <c r="Y60" s="206" t="s">
        <v>94</v>
      </c>
      <c r="Z60" s="202">
        <v>193500</v>
      </c>
      <c r="AA60" s="203">
        <v>1</v>
      </c>
      <c r="AB60" s="204">
        <v>104.2</v>
      </c>
      <c r="AD60" s="202">
        <v>201.62700000000001</v>
      </c>
      <c r="AG60" s="193" t="s">
        <v>36</v>
      </c>
      <c r="AH60" s="201">
        <v>6.7000000000000002E-5</v>
      </c>
      <c r="AI60" s="201">
        <v>7.2099540009122097E-3</v>
      </c>
      <c r="AJ60" s="201">
        <v>1.3089109840553699E-3</v>
      </c>
    </row>
    <row r="61" spans="1:36">
      <c r="A61" s="193">
        <v>891</v>
      </c>
      <c r="B61" s="193">
        <v>9957</v>
      </c>
      <c r="C61" s="193" t="s">
        <v>1137</v>
      </c>
      <c r="D61" s="193" t="s">
        <v>1492</v>
      </c>
      <c r="E61" s="206" t="s">
        <v>1264</v>
      </c>
      <c r="F61" s="193" t="s">
        <v>1923</v>
      </c>
      <c r="G61" s="193" t="s">
        <v>1924</v>
      </c>
      <c r="H61" s="193" t="s">
        <v>275</v>
      </c>
      <c r="I61" s="193" t="s">
        <v>712</v>
      </c>
      <c r="J61" s="193" t="s">
        <v>30</v>
      </c>
      <c r="K61" s="193" t="s">
        <v>30</v>
      </c>
      <c r="L61" s="193" t="s">
        <v>281</v>
      </c>
      <c r="M61" s="193" t="s">
        <v>31</v>
      </c>
      <c r="N61" s="193" t="s">
        <v>403</v>
      </c>
      <c r="O61" s="193" t="s">
        <v>94</v>
      </c>
      <c r="P61" s="193" t="s">
        <v>1139</v>
      </c>
      <c r="Q61" s="193" t="s">
        <v>368</v>
      </c>
      <c r="R61" s="193" t="s">
        <v>361</v>
      </c>
      <c r="S61" s="193" t="s">
        <v>34</v>
      </c>
      <c r="T61" s="202">
        <v>2.3969999999999998</v>
      </c>
      <c r="U61" s="193" t="s">
        <v>1925</v>
      </c>
      <c r="V61" s="205">
        <v>1E-3</v>
      </c>
      <c r="W61" s="201">
        <v>2.4969999999999999E-2</v>
      </c>
      <c r="X61" s="206" t="s">
        <v>367</v>
      </c>
      <c r="Y61" s="206" t="s">
        <v>94</v>
      </c>
      <c r="Z61" s="202">
        <v>229000</v>
      </c>
      <c r="AA61" s="203">
        <v>1</v>
      </c>
      <c r="AB61" s="204">
        <v>107.95</v>
      </c>
      <c r="AD61" s="202">
        <v>247.20599999999999</v>
      </c>
      <c r="AG61" s="193" t="s">
        <v>36</v>
      </c>
      <c r="AH61" s="201">
        <v>7.2999999999999999E-5</v>
      </c>
      <c r="AI61" s="201">
        <v>8.8397897294137402E-3</v>
      </c>
      <c r="AJ61" s="201">
        <v>1.60479496430984E-3</v>
      </c>
    </row>
    <row r="62" spans="1:36">
      <c r="A62" s="193">
        <v>891</v>
      </c>
      <c r="B62" s="193">
        <v>9957</v>
      </c>
      <c r="C62" s="193" t="s">
        <v>1137</v>
      </c>
      <c r="D62" s="193" t="s">
        <v>1492</v>
      </c>
      <c r="E62" s="206" t="s">
        <v>1264</v>
      </c>
      <c r="F62" s="193" t="s">
        <v>1926</v>
      </c>
      <c r="G62" s="193" t="s">
        <v>1927</v>
      </c>
      <c r="H62" s="193" t="s">
        <v>275</v>
      </c>
      <c r="I62" s="193" t="s">
        <v>712</v>
      </c>
      <c r="J62" s="193" t="s">
        <v>30</v>
      </c>
      <c r="K62" s="193" t="s">
        <v>30</v>
      </c>
      <c r="L62" s="193" t="s">
        <v>281</v>
      </c>
      <c r="M62" s="193" t="s">
        <v>31</v>
      </c>
      <c r="N62" s="193" t="s">
        <v>403</v>
      </c>
      <c r="O62" s="193" t="s">
        <v>94</v>
      </c>
      <c r="P62" s="193" t="s">
        <v>1139</v>
      </c>
      <c r="Q62" s="193" t="s">
        <v>368</v>
      </c>
      <c r="R62" s="193" t="s">
        <v>361</v>
      </c>
      <c r="S62" s="193" t="s">
        <v>34</v>
      </c>
      <c r="T62" s="202">
        <v>4.3879999999999999</v>
      </c>
      <c r="U62" s="193" t="s">
        <v>1928</v>
      </c>
      <c r="V62" s="205">
        <v>2.0199999999999999E-2</v>
      </c>
      <c r="W62" s="201">
        <v>2.6360000000000001E-2</v>
      </c>
      <c r="X62" s="206" t="s">
        <v>367</v>
      </c>
      <c r="Y62" s="206" t="s">
        <v>94</v>
      </c>
      <c r="Z62" s="202">
        <v>656000</v>
      </c>
      <c r="AA62" s="203">
        <v>1</v>
      </c>
      <c r="AB62" s="204">
        <v>102.52</v>
      </c>
      <c r="AD62" s="202">
        <v>672.53099999999995</v>
      </c>
      <c r="AG62" s="193" t="s">
        <v>36</v>
      </c>
      <c r="AH62" s="201">
        <v>1.84E-4</v>
      </c>
      <c r="AI62" s="201">
        <v>2.4048956817183699E-2</v>
      </c>
      <c r="AJ62" s="201">
        <v>4.3659007712257801E-3</v>
      </c>
    </row>
    <row r="63" spans="1:36">
      <c r="A63" s="193">
        <v>891</v>
      </c>
      <c r="B63" s="193">
        <v>9957</v>
      </c>
      <c r="C63" s="193" t="s">
        <v>1137</v>
      </c>
      <c r="D63" s="193" t="s">
        <v>1492</v>
      </c>
      <c r="E63" s="206" t="s">
        <v>1264</v>
      </c>
      <c r="F63" s="193" t="s">
        <v>1929</v>
      </c>
      <c r="G63" s="193" t="s">
        <v>1930</v>
      </c>
      <c r="H63" s="193" t="s">
        <v>275</v>
      </c>
      <c r="I63" s="193" t="s">
        <v>712</v>
      </c>
      <c r="J63" s="193" t="s">
        <v>30</v>
      </c>
      <c r="K63" s="193" t="s">
        <v>30</v>
      </c>
      <c r="L63" s="193" t="s">
        <v>281</v>
      </c>
      <c r="M63" s="193" t="s">
        <v>31</v>
      </c>
      <c r="N63" s="193" t="s">
        <v>403</v>
      </c>
      <c r="O63" s="193" t="s">
        <v>94</v>
      </c>
      <c r="P63" s="193" t="s">
        <v>1696</v>
      </c>
      <c r="Q63" s="193" t="s">
        <v>368</v>
      </c>
      <c r="R63" s="193" t="s">
        <v>361</v>
      </c>
      <c r="S63" s="193" t="s">
        <v>34</v>
      </c>
      <c r="T63" s="202">
        <v>2.6920000000000002</v>
      </c>
      <c r="U63" s="193" t="s">
        <v>1931</v>
      </c>
      <c r="V63" s="205">
        <v>1.4999999999999999E-2</v>
      </c>
      <c r="W63" s="201">
        <v>2.954E-2</v>
      </c>
      <c r="X63" s="206" t="s">
        <v>367</v>
      </c>
      <c r="Y63" s="206" t="s">
        <v>94</v>
      </c>
      <c r="Z63" s="202">
        <v>300000</v>
      </c>
      <c r="AA63" s="203">
        <v>1</v>
      </c>
      <c r="AB63" s="204">
        <v>109.15</v>
      </c>
      <c r="AD63" s="202">
        <v>327.45</v>
      </c>
      <c r="AG63" s="193" t="s">
        <v>36</v>
      </c>
      <c r="AH63" s="201">
        <v>2.14E-4</v>
      </c>
      <c r="AI63" s="201">
        <v>1.1709242500254E-2</v>
      </c>
      <c r="AJ63" s="201">
        <v>2.1257217621099E-3</v>
      </c>
    </row>
    <row r="64" spans="1:36">
      <c r="A64" s="193">
        <v>891</v>
      </c>
      <c r="B64" s="193">
        <v>9957</v>
      </c>
      <c r="C64" s="193" t="s">
        <v>1137</v>
      </c>
      <c r="D64" s="193" t="s">
        <v>1492</v>
      </c>
      <c r="E64" s="206" t="s">
        <v>1264</v>
      </c>
      <c r="F64" s="193" t="s">
        <v>1932</v>
      </c>
      <c r="G64" s="193" t="s">
        <v>1933</v>
      </c>
      <c r="H64" s="193" t="s">
        <v>275</v>
      </c>
      <c r="I64" s="193" t="s">
        <v>712</v>
      </c>
      <c r="J64" s="193" t="s">
        <v>30</v>
      </c>
      <c r="K64" s="193" t="s">
        <v>30</v>
      </c>
      <c r="L64" s="193" t="s">
        <v>281</v>
      </c>
      <c r="M64" s="193" t="s">
        <v>1781</v>
      </c>
      <c r="N64" s="193" t="s">
        <v>403</v>
      </c>
      <c r="O64" s="193" t="s">
        <v>94</v>
      </c>
      <c r="P64" s="193" t="s">
        <v>1696</v>
      </c>
      <c r="Q64" s="193" t="s">
        <v>368</v>
      </c>
      <c r="R64" s="193" t="s">
        <v>361</v>
      </c>
      <c r="S64" s="193" t="s">
        <v>34</v>
      </c>
      <c r="T64" s="202">
        <v>5.2320000000000002</v>
      </c>
      <c r="U64" s="193" t="s">
        <v>1934</v>
      </c>
      <c r="V64" s="205">
        <v>3.1E-2</v>
      </c>
      <c r="W64" s="201">
        <v>2.937E-2</v>
      </c>
      <c r="X64" s="206" t="s">
        <v>367</v>
      </c>
      <c r="Y64" s="206" t="s">
        <v>94</v>
      </c>
      <c r="Z64" s="202">
        <v>294000</v>
      </c>
      <c r="AA64" s="203">
        <v>1</v>
      </c>
      <c r="AB64" s="204">
        <v>103.76</v>
      </c>
      <c r="AD64" s="202">
        <v>305.05399999999997</v>
      </c>
      <c r="AG64" s="193" t="s">
        <v>36</v>
      </c>
      <c r="AH64" s="201">
        <v>1.92E-4</v>
      </c>
      <c r="AI64" s="201">
        <v>1.09084011158023E-2</v>
      </c>
      <c r="AJ64" s="201">
        <v>1.98033524723584E-3</v>
      </c>
    </row>
    <row r="65" spans="1:36">
      <c r="A65" s="193">
        <v>891</v>
      </c>
      <c r="B65" s="193">
        <v>9957</v>
      </c>
      <c r="C65" s="193" t="s">
        <v>1935</v>
      </c>
      <c r="D65" s="193" t="s">
        <v>1936</v>
      </c>
      <c r="E65" s="206" t="s">
        <v>1264</v>
      </c>
      <c r="F65" s="193" t="s">
        <v>1937</v>
      </c>
      <c r="G65" s="193" t="s">
        <v>1938</v>
      </c>
      <c r="H65" s="193" t="s">
        <v>275</v>
      </c>
      <c r="I65" s="193" t="s">
        <v>927</v>
      </c>
      <c r="J65" s="193" t="s">
        <v>30</v>
      </c>
      <c r="K65" s="193" t="s">
        <v>30</v>
      </c>
      <c r="L65" s="193" t="s">
        <v>281</v>
      </c>
      <c r="M65" s="193" t="s">
        <v>31</v>
      </c>
      <c r="N65" s="193" t="s">
        <v>402</v>
      </c>
      <c r="O65" s="193" t="s">
        <v>94</v>
      </c>
      <c r="P65" s="194" t="s">
        <v>364</v>
      </c>
      <c r="Q65" s="193" t="s">
        <v>364</v>
      </c>
      <c r="R65" s="193" t="s">
        <v>364</v>
      </c>
      <c r="S65" s="193" t="s">
        <v>34</v>
      </c>
      <c r="T65" s="202">
        <v>2.8420000000000001</v>
      </c>
      <c r="U65" s="193" t="s">
        <v>1939</v>
      </c>
      <c r="V65" s="205">
        <v>8.1500000000000003E-2</v>
      </c>
      <c r="W65" s="201">
        <v>5.6730000000000003E-2</v>
      </c>
      <c r="X65" s="206" t="s">
        <v>367</v>
      </c>
      <c r="Y65" s="206" t="s">
        <v>94</v>
      </c>
      <c r="Z65" s="202">
        <v>143000</v>
      </c>
      <c r="AA65" s="203">
        <v>1</v>
      </c>
      <c r="AB65" s="204">
        <v>109.5</v>
      </c>
      <c r="AD65" s="202">
        <v>156.58500000000001</v>
      </c>
      <c r="AG65" s="193" t="s">
        <v>36</v>
      </c>
      <c r="AH65" s="201">
        <v>6.9300000000000004E-4</v>
      </c>
      <c r="AI65" s="201">
        <v>5.5993029070156202E-3</v>
      </c>
      <c r="AJ65" s="201">
        <v>1.01650982476707E-3</v>
      </c>
    </row>
    <row r="66" spans="1:36">
      <c r="A66" s="193">
        <v>891</v>
      </c>
      <c r="B66" s="193">
        <v>9957</v>
      </c>
      <c r="C66" s="193" t="s">
        <v>1499</v>
      </c>
      <c r="D66" s="193" t="s">
        <v>1500</v>
      </c>
      <c r="E66" s="206" t="s">
        <v>1264</v>
      </c>
      <c r="F66" s="193" t="s">
        <v>1940</v>
      </c>
      <c r="G66" s="193" t="s">
        <v>1941</v>
      </c>
      <c r="H66" s="193" t="s">
        <v>275</v>
      </c>
      <c r="I66" s="193" t="s">
        <v>712</v>
      </c>
      <c r="J66" s="193" t="s">
        <v>30</v>
      </c>
      <c r="K66" s="193" t="s">
        <v>30</v>
      </c>
      <c r="L66" s="193" t="s">
        <v>281</v>
      </c>
      <c r="M66" s="193" t="s">
        <v>31</v>
      </c>
      <c r="N66" s="193" t="s">
        <v>419</v>
      </c>
      <c r="O66" s="193" t="s">
        <v>94</v>
      </c>
      <c r="P66" s="193" t="s">
        <v>1704</v>
      </c>
      <c r="Q66" s="193" t="s">
        <v>368</v>
      </c>
      <c r="R66" s="193" t="s">
        <v>361</v>
      </c>
      <c r="S66" s="193" t="s">
        <v>34</v>
      </c>
      <c r="T66" s="202">
        <v>5.1150000000000002</v>
      </c>
      <c r="U66" s="193" t="s">
        <v>1942</v>
      </c>
      <c r="V66" s="205">
        <v>3.5000000000000001E-3</v>
      </c>
      <c r="W66" s="201">
        <v>2.9239999999999999E-2</v>
      </c>
      <c r="X66" s="206" t="s">
        <v>367</v>
      </c>
      <c r="Y66" s="206" t="s">
        <v>94</v>
      </c>
      <c r="Z66" s="202">
        <v>600000</v>
      </c>
      <c r="AA66" s="203">
        <v>1</v>
      </c>
      <c r="AB66" s="204">
        <v>100.33</v>
      </c>
      <c r="AD66" s="202">
        <v>601.98</v>
      </c>
      <c r="AG66" s="193" t="s">
        <v>36</v>
      </c>
      <c r="AH66" s="201">
        <v>1.7200000000000001E-4</v>
      </c>
      <c r="AI66" s="201">
        <v>2.1526125516270801E-2</v>
      </c>
      <c r="AJ66" s="201">
        <v>3.9079004011449503E-3</v>
      </c>
    </row>
    <row r="67" spans="1:36">
      <c r="A67" s="193">
        <v>891</v>
      </c>
      <c r="B67" s="193">
        <v>9957</v>
      </c>
      <c r="C67" s="193" t="s">
        <v>1499</v>
      </c>
      <c r="D67" s="193" t="s">
        <v>1500</v>
      </c>
      <c r="E67" s="206" t="s">
        <v>1264</v>
      </c>
      <c r="F67" s="193" t="s">
        <v>1943</v>
      </c>
      <c r="G67" s="193" t="s">
        <v>1944</v>
      </c>
      <c r="H67" s="193" t="s">
        <v>275</v>
      </c>
      <c r="I67" s="193" t="s">
        <v>712</v>
      </c>
      <c r="J67" s="193" t="s">
        <v>30</v>
      </c>
      <c r="K67" s="193" t="s">
        <v>30</v>
      </c>
      <c r="L67" s="193" t="s">
        <v>281</v>
      </c>
      <c r="M67" s="193" t="s">
        <v>31</v>
      </c>
      <c r="N67" s="193" t="s">
        <v>419</v>
      </c>
      <c r="O67" s="193" t="s">
        <v>94</v>
      </c>
      <c r="P67" s="193" t="s">
        <v>1704</v>
      </c>
      <c r="Q67" s="193" t="s">
        <v>368</v>
      </c>
      <c r="R67" s="193" t="s">
        <v>361</v>
      </c>
      <c r="S67" s="193" t="s">
        <v>34</v>
      </c>
      <c r="T67" s="202">
        <v>1.9359999999999999</v>
      </c>
      <c r="U67" s="193" t="s">
        <v>1945</v>
      </c>
      <c r="V67" s="205">
        <v>3.6999999999999998E-2</v>
      </c>
      <c r="W67" s="201">
        <v>2.853E-2</v>
      </c>
      <c r="X67" s="206" t="s">
        <v>367</v>
      </c>
      <c r="Y67" s="206" t="s">
        <v>94</v>
      </c>
      <c r="Z67" s="202">
        <v>75749.41</v>
      </c>
      <c r="AA67" s="203">
        <v>1</v>
      </c>
      <c r="AB67" s="204">
        <v>119.11</v>
      </c>
      <c r="AD67" s="202">
        <v>90.224999999999994</v>
      </c>
      <c r="AG67" s="193" t="s">
        <v>36</v>
      </c>
      <c r="AH67" s="201">
        <v>3.3599999999999998E-4</v>
      </c>
      <c r="AI67" s="201">
        <v>3.22634856024437E-3</v>
      </c>
      <c r="AJ67" s="201">
        <v>5.8571844818438397E-4</v>
      </c>
    </row>
    <row r="68" spans="1:36">
      <c r="A68" s="193">
        <v>891</v>
      </c>
      <c r="B68" s="193">
        <v>9957</v>
      </c>
      <c r="C68" s="193" t="s">
        <v>1946</v>
      </c>
      <c r="D68" s="193" t="s">
        <v>1947</v>
      </c>
      <c r="E68" s="206" t="s">
        <v>1264</v>
      </c>
      <c r="F68" s="193" t="s">
        <v>1948</v>
      </c>
      <c r="G68" s="193" t="s">
        <v>1949</v>
      </c>
      <c r="H68" s="193" t="s">
        <v>275</v>
      </c>
      <c r="I68" s="193" t="s">
        <v>712</v>
      </c>
      <c r="J68" s="193" t="s">
        <v>30</v>
      </c>
      <c r="K68" s="193" t="s">
        <v>30</v>
      </c>
      <c r="L68" s="193" t="s">
        <v>281</v>
      </c>
      <c r="M68" s="193" t="s">
        <v>31</v>
      </c>
      <c r="N68" s="193" t="s">
        <v>419</v>
      </c>
      <c r="O68" s="193" t="s">
        <v>94</v>
      </c>
      <c r="P68" s="193" t="s">
        <v>1700</v>
      </c>
      <c r="Q68" s="193" t="s">
        <v>368</v>
      </c>
      <c r="R68" s="193" t="s">
        <v>361</v>
      </c>
      <c r="S68" s="193" t="s">
        <v>34</v>
      </c>
      <c r="T68" s="202">
        <v>1.133</v>
      </c>
      <c r="U68" s="193" t="s">
        <v>1950</v>
      </c>
      <c r="V68" s="205">
        <v>2.0500000000000001E-2</v>
      </c>
      <c r="W68" s="201">
        <v>3.2419999999999997E-2</v>
      </c>
      <c r="X68" s="206" t="s">
        <v>367</v>
      </c>
      <c r="Y68" s="206" t="s">
        <v>94</v>
      </c>
      <c r="Z68" s="202">
        <v>272297.33</v>
      </c>
      <c r="AA68" s="203">
        <v>1</v>
      </c>
      <c r="AB68" s="204">
        <v>117.83</v>
      </c>
      <c r="AD68" s="202">
        <v>320.84800000000001</v>
      </c>
      <c r="AG68" s="193" t="s">
        <v>36</v>
      </c>
      <c r="AH68" s="201">
        <v>3.6099999999999999E-4</v>
      </c>
      <c r="AI68" s="201">
        <v>1.1473160425376799E-2</v>
      </c>
      <c r="AJ68" s="201">
        <v>2.0828629004713598E-3</v>
      </c>
    </row>
    <row r="69" spans="1:36">
      <c r="A69" s="193">
        <v>891</v>
      </c>
      <c r="B69" s="193">
        <v>9957</v>
      </c>
      <c r="C69" s="193" t="s">
        <v>1946</v>
      </c>
      <c r="D69" s="193" t="s">
        <v>1947</v>
      </c>
      <c r="E69" s="206" t="s">
        <v>1264</v>
      </c>
      <c r="F69" s="193" t="s">
        <v>1951</v>
      </c>
      <c r="G69" s="193" t="s">
        <v>1952</v>
      </c>
      <c r="H69" s="193" t="s">
        <v>275</v>
      </c>
      <c r="I69" s="193" t="s">
        <v>712</v>
      </c>
      <c r="J69" s="193" t="s">
        <v>30</v>
      </c>
      <c r="K69" s="193" t="s">
        <v>30</v>
      </c>
      <c r="L69" s="193" t="s">
        <v>281</v>
      </c>
      <c r="M69" s="193" t="s">
        <v>31</v>
      </c>
      <c r="N69" s="193" t="s">
        <v>419</v>
      </c>
      <c r="O69" s="193" t="s">
        <v>94</v>
      </c>
      <c r="P69" s="193" t="s">
        <v>1700</v>
      </c>
      <c r="Q69" s="193" t="s">
        <v>368</v>
      </c>
      <c r="R69" s="193" t="s">
        <v>361</v>
      </c>
      <c r="S69" s="193" t="s">
        <v>34</v>
      </c>
      <c r="T69" s="202">
        <v>5.1100000000000003</v>
      </c>
      <c r="U69" s="193" t="s">
        <v>1953</v>
      </c>
      <c r="V69" s="205">
        <v>9.7000000000000003E-3</v>
      </c>
      <c r="W69" s="201">
        <v>3.2030000000000003E-2</v>
      </c>
      <c r="X69" s="206" t="s">
        <v>367</v>
      </c>
      <c r="Y69" s="206" t="s">
        <v>94</v>
      </c>
      <c r="Z69" s="202">
        <v>213529.41</v>
      </c>
      <c r="AA69" s="203">
        <v>1</v>
      </c>
      <c r="AB69" s="204">
        <v>103.36</v>
      </c>
      <c r="AD69" s="202">
        <v>220.70400000000001</v>
      </c>
      <c r="AG69" s="193" t="s">
        <v>36</v>
      </c>
      <c r="AH69" s="201">
        <v>3.5500000000000001E-4</v>
      </c>
      <c r="AI69" s="201">
        <v>7.8921259289002604E-3</v>
      </c>
      <c r="AJ69" s="201">
        <v>1.4327539835314899E-3</v>
      </c>
    </row>
    <row r="70" spans="1:36">
      <c r="A70" s="193">
        <v>891</v>
      </c>
      <c r="B70" s="193">
        <v>9957</v>
      </c>
      <c r="C70" s="193" t="s">
        <v>1954</v>
      </c>
      <c r="D70" s="193" t="s">
        <v>1955</v>
      </c>
      <c r="E70" s="206" t="s">
        <v>1264</v>
      </c>
      <c r="F70" s="193" t="s">
        <v>1956</v>
      </c>
      <c r="G70" s="193" t="s">
        <v>1957</v>
      </c>
      <c r="H70" s="193" t="s">
        <v>275</v>
      </c>
      <c r="I70" s="193" t="s">
        <v>712</v>
      </c>
      <c r="J70" s="193" t="s">
        <v>30</v>
      </c>
      <c r="K70" s="193" t="s">
        <v>30</v>
      </c>
      <c r="L70" s="193" t="s">
        <v>281</v>
      </c>
      <c r="M70" s="193" t="s">
        <v>31</v>
      </c>
      <c r="N70" s="193" t="s">
        <v>403</v>
      </c>
      <c r="O70" s="193" t="s">
        <v>94</v>
      </c>
      <c r="P70" s="193" t="s">
        <v>1139</v>
      </c>
      <c r="Q70" s="193" t="s">
        <v>368</v>
      </c>
      <c r="R70" s="193" t="s">
        <v>361</v>
      </c>
      <c r="S70" s="193" t="s">
        <v>34</v>
      </c>
      <c r="T70" s="202">
        <v>4.9790000000000001</v>
      </c>
      <c r="U70" s="193" t="s">
        <v>1958</v>
      </c>
      <c r="V70" s="205">
        <v>2E-3</v>
      </c>
      <c r="W70" s="201">
        <v>2.6159999999999999E-2</v>
      </c>
      <c r="X70" s="206" t="s">
        <v>367</v>
      </c>
      <c r="Y70" s="206" t="s">
        <v>94</v>
      </c>
      <c r="Z70" s="202">
        <v>300000</v>
      </c>
      <c r="AA70" s="203">
        <v>1</v>
      </c>
      <c r="AB70" s="204">
        <v>104.05</v>
      </c>
      <c r="AC70" s="202">
        <v>0.70299999999999996</v>
      </c>
      <c r="AD70" s="202">
        <v>312.85300000000001</v>
      </c>
      <c r="AG70" s="193" t="s">
        <v>36</v>
      </c>
      <c r="AH70" s="201">
        <v>8.7000000000000001E-5</v>
      </c>
      <c r="AI70" s="201">
        <v>1.1187267748618E-2</v>
      </c>
      <c r="AJ70" s="201">
        <v>2.0309613120807601E-3</v>
      </c>
    </row>
    <row r="71" spans="1:36">
      <c r="A71" s="193">
        <v>891</v>
      </c>
      <c r="B71" s="193">
        <v>9957</v>
      </c>
      <c r="C71" s="193" t="s">
        <v>1954</v>
      </c>
      <c r="D71" s="193" t="s">
        <v>1955</v>
      </c>
      <c r="E71" s="206" t="s">
        <v>1264</v>
      </c>
      <c r="F71" s="193" t="s">
        <v>1959</v>
      </c>
      <c r="G71" s="193" t="s">
        <v>1960</v>
      </c>
      <c r="H71" s="193" t="s">
        <v>275</v>
      </c>
      <c r="I71" s="193" t="s">
        <v>712</v>
      </c>
      <c r="J71" s="193" t="s">
        <v>30</v>
      </c>
      <c r="K71" s="193" t="s">
        <v>30</v>
      </c>
      <c r="L71" s="193" t="s">
        <v>281</v>
      </c>
      <c r="M71" s="193" t="s">
        <v>31</v>
      </c>
      <c r="N71" s="193" t="s">
        <v>403</v>
      </c>
      <c r="O71" s="193" t="s">
        <v>94</v>
      </c>
      <c r="P71" s="193" t="s">
        <v>1696</v>
      </c>
      <c r="Q71" s="193" t="s">
        <v>368</v>
      </c>
      <c r="R71" s="193" t="s">
        <v>361</v>
      </c>
      <c r="S71" s="193" t="s">
        <v>34</v>
      </c>
      <c r="T71" s="202">
        <v>3.7949999999999999</v>
      </c>
      <c r="U71" s="193" t="s">
        <v>1961</v>
      </c>
      <c r="V71" s="205">
        <v>3.3599999999999998E-2</v>
      </c>
      <c r="W71" s="201">
        <v>2.733E-2</v>
      </c>
      <c r="X71" s="206" t="s">
        <v>367</v>
      </c>
      <c r="Y71" s="206" t="s">
        <v>94</v>
      </c>
      <c r="Z71" s="202">
        <v>42000</v>
      </c>
      <c r="AA71" s="203">
        <v>1</v>
      </c>
      <c r="AB71" s="204">
        <v>107.56</v>
      </c>
      <c r="AD71" s="202">
        <v>45.174999999999997</v>
      </c>
      <c r="AG71" s="193" t="s">
        <v>36</v>
      </c>
      <c r="AH71" s="201">
        <v>3.6000000000000001E-5</v>
      </c>
      <c r="AI71" s="201">
        <v>1.61541417559161E-3</v>
      </c>
      <c r="AJ71" s="201">
        <v>2.9326585966610801E-4</v>
      </c>
    </row>
    <row r="72" spans="1:36">
      <c r="A72" s="193">
        <v>891</v>
      </c>
      <c r="B72" s="193">
        <v>9957</v>
      </c>
      <c r="C72" s="193" t="s">
        <v>1954</v>
      </c>
      <c r="D72" s="193" t="s">
        <v>1955</v>
      </c>
      <c r="E72" s="206" t="s">
        <v>1264</v>
      </c>
      <c r="F72" s="193" t="s">
        <v>1962</v>
      </c>
      <c r="G72" s="193" t="s">
        <v>1963</v>
      </c>
      <c r="H72" s="193" t="s">
        <v>275</v>
      </c>
      <c r="I72" s="193" t="s">
        <v>712</v>
      </c>
      <c r="J72" s="193" t="s">
        <v>30</v>
      </c>
      <c r="K72" s="193" t="s">
        <v>30</v>
      </c>
      <c r="L72" s="193" t="s">
        <v>281</v>
      </c>
      <c r="M72" s="193" t="s">
        <v>31</v>
      </c>
      <c r="N72" s="193" t="s">
        <v>403</v>
      </c>
      <c r="O72" s="193" t="s">
        <v>94</v>
      </c>
      <c r="P72" s="193" t="s">
        <v>1139</v>
      </c>
      <c r="Q72" s="193" t="s">
        <v>368</v>
      </c>
      <c r="R72" s="193" t="s">
        <v>361</v>
      </c>
      <c r="S72" s="193" t="s">
        <v>34</v>
      </c>
      <c r="T72" s="202">
        <v>0.97499999999999998</v>
      </c>
      <c r="U72" s="193" t="s">
        <v>1964</v>
      </c>
      <c r="V72" s="205">
        <v>3.8E-3</v>
      </c>
      <c r="W72" s="201">
        <v>2.5610000000000001E-2</v>
      </c>
      <c r="X72" s="206" t="s">
        <v>367</v>
      </c>
      <c r="Y72" s="206" t="s">
        <v>94</v>
      </c>
      <c r="Z72" s="202">
        <v>413357</v>
      </c>
      <c r="AA72" s="203">
        <v>1</v>
      </c>
      <c r="AB72" s="204">
        <v>112.93</v>
      </c>
      <c r="AD72" s="202">
        <v>466.80399999999997</v>
      </c>
      <c r="AG72" s="193" t="s">
        <v>36</v>
      </c>
      <c r="AH72" s="201">
        <v>1.3799999999999999E-4</v>
      </c>
      <c r="AI72" s="201">
        <v>1.6692386440110001E-2</v>
      </c>
      <c r="AJ72" s="201">
        <v>3.0303727262049902E-3</v>
      </c>
    </row>
    <row r="73" spans="1:36">
      <c r="A73" s="193">
        <v>891</v>
      </c>
      <c r="B73" s="193">
        <v>9957</v>
      </c>
      <c r="C73" s="193" t="s">
        <v>1965</v>
      </c>
      <c r="D73" s="193" t="s">
        <v>1966</v>
      </c>
      <c r="E73" s="206" t="s">
        <v>1264</v>
      </c>
      <c r="F73" s="193" t="s">
        <v>1967</v>
      </c>
      <c r="G73" s="193" t="s">
        <v>1968</v>
      </c>
      <c r="H73" s="193" t="s">
        <v>275</v>
      </c>
      <c r="I73" s="193" t="s">
        <v>712</v>
      </c>
      <c r="J73" s="193" t="s">
        <v>30</v>
      </c>
      <c r="K73" s="193" t="s">
        <v>30</v>
      </c>
      <c r="L73" s="193" t="s">
        <v>281</v>
      </c>
      <c r="M73" s="193" t="s">
        <v>31</v>
      </c>
      <c r="N73" s="193" t="s">
        <v>398</v>
      </c>
      <c r="O73" s="193" t="s">
        <v>94</v>
      </c>
      <c r="P73" s="193" t="s">
        <v>1969</v>
      </c>
      <c r="Q73" s="193" t="s">
        <v>370</v>
      </c>
      <c r="R73" s="193" t="s">
        <v>361</v>
      </c>
      <c r="S73" s="193" t="s">
        <v>34</v>
      </c>
      <c r="T73" s="202">
        <v>2.782</v>
      </c>
      <c r="U73" s="193" t="s">
        <v>1970</v>
      </c>
      <c r="V73" s="205">
        <v>0.01</v>
      </c>
      <c r="W73" s="201">
        <v>3.107E-2</v>
      </c>
      <c r="X73" s="206" t="s">
        <v>367</v>
      </c>
      <c r="Y73" s="206" t="s">
        <v>94</v>
      </c>
      <c r="Z73" s="202">
        <v>325402.5</v>
      </c>
      <c r="AA73" s="203">
        <v>1</v>
      </c>
      <c r="AB73" s="204">
        <v>108.19</v>
      </c>
      <c r="AD73" s="202">
        <v>352.053</v>
      </c>
      <c r="AG73" s="193" t="s">
        <v>36</v>
      </c>
      <c r="AH73" s="201">
        <v>1.8100000000000001E-4</v>
      </c>
      <c r="AI73" s="201">
        <v>1.25890167573404E-2</v>
      </c>
      <c r="AJ73" s="201">
        <v>2.2854379251317199E-3</v>
      </c>
    </row>
    <row r="74" spans="1:36">
      <c r="A74" s="193">
        <v>891</v>
      </c>
      <c r="B74" s="193">
        <v>9957</v>
      </c>
      <c r="C74" s="193" t="s">
        <v>1965</v>
      </c>
      <c r="D74" s="193" t="s">
        <v>1966</v>
      </c>
      <c r="E74" s="206" t="s">
        <v>1264</v>
      </c>
      <c r="F74" s="193" t="s">
        <v>1971</v>
      </c>
      <c r="G74" s="193" t="s">
        <v>1972</v>
      </c>
      <c r="H74" s="193" t="s">
        <v>275</v>
      </c>
      <c r="I74" s="193" t="s">
        <v>712</v>
      </c>
      <c r="J74" s="193" t="s">
        <v>30</v>
      </c>
      <c r="K74" s="193" t="s">
        <v>30</v>
      </c>
      <c r="L74" s="193" t="s">
        <v>281</v>
      </c>
      <c r="M74" s="193" t="s">
        <v>31</v>
      </c>
      <c r="N74" s="193" t="s">
        <v>398</v>
      </c>
      <c r="O74" s="193" t="s">
        <v>94</v>
      </c>
      <c r="P74" s="193" t="s">
        <v>1969</v>
      </c>
      <c r="Q74" s="193" t="s">
        <v>370</v>
      </c>
      <c r="R74" s="193" t="s">
        <v>361</v>
      </c>
      <c r="S74" s="193" t="s">
        <v>34</v>
      </c>
      <c r="T74" s="202">
        <v>1.056</v>
      </c>
      <c r="U74" s="193" t="s">
        <v>1973</v>
      </c>
      <c r="V74" s="205">
        <v>3.5400000000000001E-2</v>
      </c>
      <c r="W74" s="201">
        <v>3.4250000000000003E-2</v>
      </c>
      <c r="X74" s="206" t="s">
        <v>367</v>
      </c>
      <c r="Y74" s="206" t="s">
        <v>94</v>
      </c>
      <c r="Z74" s="202">
        <v>226800</v>
      </c>
      <c r="AA74" s="203">
        <v>1</v>
      </c>
      <c r="AB74" s="204">
        <v>109.8</v>
      </c>
      <c r="AD74" s="202">
        <v>249.02600000000001</v>
      </c>
      <c r="AG74" s="193" t="s">
        <v>36</v>
      </c>
      <c r="AH74" s="201">
        <v>2.2599999999999999E-4</v>
      </c>
      <c r="AI74" s="201">
        <v>8.9049030586814508E-3</v>
      </c>
      <c r="AJ74" s="201">
        <v>1.6166157820121699E-3</v>
      </c>
    </row>
    <row r="75" spans="1:36">
      <c r="A75" s="193">
        <v>891</v>
      </c>
      <c r="B75" s="193">
        <v>9957</v>
      </c>
      <c r="C75" s="193" t="s">
        <v>1965</v>
      </c>
      <c r="D75" s="193" t="s">
        <v>1966</v>
      </c>
      <c r="E75" s="206" t="s">
        <v>1264</v>
      </c>
      <c r="F75" s="193" t="s">
        <v>1974</v>
      </c>
      <c r="G75" s="193" t="s">
        <v>1975</v>
      </c>
      <c r="H75" s="193" t="s">
        <v>275</v>
      </c>
      <c r="I75" s="193" t="s">
        <v>712</v>
      </c>
      <c r="J75" s="193" t="s">
        <v>30</v>
      </c>
      <c r="K75" s="193" t="s">
        <v>30</v>
      </c>
      <c r="L75" s="193" t="s">
        <v>281</v>
      </c>
      <c r="M75" s="193" t="s">
        <v>31</v>
      </c>
      <c r="N75" s="193" t="s">
        <v>398</v>
      </c>
      <c r="O75" s="193" t="s">
        <v>94</v>
      </c>
      <c r="P75" s="193" t="s">
        <v>1969</v>
      </c>
      <c r="Q75" s="193" t="s">
        <v>370</v>
      </c>
      <c r="R75" s="193" t="s">
        <v>361</v>
      </c>
      <c r="S75" s="193" t="s">
        <v>34</v>
      </c>
      <c r="T75" s="202">
        <v>0.17899999999999999</v>
      </c>
      <c r="U75" s="193" t="s">
        <v>1976</v>
      </c>
      <c r="V75" s="205">
        <v>0.01</v>
      </c>
      <c r="W75" s="201">
        <v>3.569E-2</v>
      </c>
      <c r="X75" s="206" t="s">
        <v>367</v>
      </c>
      <c r="Y75" s="206" t="s">
        <v>94</v>
      </c>
      <c r="Z75" s="202">
        <v>121882.57</v>
      </c>
      <c r="AA75" s="203">
        <v>1</v>
      </c>
      <c r="AB75" s="204">
        <v>115.84</v>
      </c>
      <c r="AD75" s="202">
        <v>141.18899999999999</v>
      </c>
      <c r="AG75" s="193" t="s">
        <v>36</v>
      </c>
      <c r="AH75" s="201">
        <v>7.2099999999999996E-4</v>
      </c>
      <c r="AI75" s="201">
        <v>5.0487510629523601E-3</v>
      </c>
      <c r="AJ75" s="201">
        <v>9.1656142622040205E-4</v>
      </c>
    </row>
    <row r="76" spans="1:36">
      <c r="A76" s="193">
        <v>891</v>
      </c>
      <c r="B76" s="193">
        <v>9957</v>
      </c>
      <c r="C76" s="193" t="s">
        <v>1511</v>
      </c>
      <c r="D76" s="193" t="s">
        <v>1512</v>
      </c>
      <c r="E76" s="206" t="s">
        <v>1264</v>
      </c>
      <c r="F76" s="193" t="s">
        <v>1977</v>
      </c>
      <c r="G76" s="193" t="s">
        <v>1978</v>
      </c>
      <c r="H76" s="193" t="s">
        <v>275</v>
      </c>
      <c r="I76" s="193" t="s">
        <v>712</v>
      </c>
      <c r="J76" s="193" t="s">
        <v>30</v>
      </c>
      <c r="K76" s="193" t="s">
        <v>30</v>
      </c>
      <c r="L76" s="193" t="s">
        <v>281</v>
      </c>
      <c r="M76" s="193" t="s">
        <v>31</v>
      </c>
      <c r="N76" s="193" t="s">
        <v>419</v>
      </c>
      <c r="O76" s="193" t="s">
        <v>94</v>
      </c>
      <c r="P76" s="193" t="s">
        <v>1704</v>
      </c>
      <c r="Q76" s="193" t="s">
        <v>368</v>
      </c>
      <c r="R76" s="193" t="s">
        <v>361</v>
      </c>
      <c r="S76" s="193" t="s">
        <v>34</v>
      </c>
      <c r="T76" s="202">
        <v>3.7440000000000002</v>
      </c>
      <c r="U76" s="193" t="s">
        <v>1728</v>
      </c>
      <c r="V76" s="205">
        <v>1.43E-2</v>
      </c>
      <c r="W76" s="201">
        <v>2.81E-2</v>
      </c>
      <c r="X76" s="206" t="s">
        <v>367</v>
      </c>
      <c r="Y76" s="206" t="s">
        <v>94</v>
      </c>
      <c r="Z76" s="202">
        <v>515317.27</v>
      </c>
      <c r="AA76" s="203">
        <v>1</v>
      </c>
      <c r="AB76" s="204">
        <v>111.28</v>
      </c>
      <c r="AC76" s="202">
        <v>11.061999999999999</v>
      </c>
      <c r="AD76" s="202">
        <v>584.50699999999995</v>
      </c>
      <c r="AG76" s="193" t="s">
        <v>36</v>
      </c>
      <c r="AH76" s="201">
        <v>2.6699999999999998E-4</v>
      </c>
      <c r="AI76" s="201">
        <v>2.0901294949660899E-2</v>
      </c>
      <c r="AJ76" s="201">
        <v>3.7944672791436602E-3</v>
      </c>
    </row>
    <row r="77" spans="1:36">
      <c r="A77" s="193">
        <v>891</v>
      </c>
      <c r="B77" s="193">
        <v>9957</v>
      </c>
      <c r="C77" s="193" t="s">
        <v>1511</v>
      </c>
      <c r="D77" s="193" t="s">
        <v>1512</v>
      </c>
      <c r="E77" s="206" t="s">
        <v>1264</v>
      </c>
      <c r="F77" s="193" t="s">
        <v>1979</v>
      </c>
      <c r="G77" s="193" t="s">
        <v>1980</v>
      </c>
      <c r="H77" s="193" t="s">
        <v>275</v>
      </c>
      <c r="I77" s="193" t="s">
        <v>712</v>
      </c>
      <c r="J77" s="193" t="s">
        <v>30</v>
      </c>
      <c r="K77" s="193" t="s">
        <v>30</v>
      </c>
      <c r="L77" s="193" t="s">
        <v>281</v>
      </c>
      <c r="M77" s="193" t="s">
        <v>31</v>
      </c>
      <c r="N77" s="193" t="s">
        <v>419</v>
      </c>
      <c r="O77" s="193" t="s">
        <v>94</v>
      </c>
      <c r="P77" s="193" t="s">
        <v>1704</v>
      </c>
      <c r="Q77" s="193" t="s">
        <v>368</v>
      </c>
      <c r="R77" s="193" t="s">
        <v>361</v>
      </c>
      <c r="S77" s="193" t="s">
        <v>34</v>
      </c>
      <c r="T77" s="202">
        <v>5.5979999999999999</v>
      </c>
      <c r="U77" s="193" t="s">
        <v>1981</v>
      </c>
      <c r="V77" s="205">
        <v>3.61E-2</v>
      </c>
      <c r="W77" s="201">
        <v>2.928E-2</v>
      </c>
      <c r="X77" s="206" t="s">
        <v>367</v>
      </c>
      <c r="Y77" s="206" t="s">
        <v>94</v>
      </c>
      <c r="Z77" s="202">
        <v>292500</v>
      </c>
      <c r="AA77" s="203">
        <v>1</v>
      </c>
      <c r="AB77" s="204">
        <v>111.6</v>
      </c>
      <c r="AC77" s="202">
        <v>6.49</v>
      </c>
      <c r="AD77" s="202">
        <v>332.92</v>
      </c>
      <c r="AG77" s="193" t="s">
        <v>36</v>
      </c>
      <c r="AH77" s="201">
        <v>1.8699999999999999E-4</v>
      </c>
      <c r="AI77" s="201">
        <v>1.19048560434247E-2</v>
      </c>
      <c r="AJ77" s="201">
        <v>2.16123387706289E-3</v>
      </c>
    </row>
    <row r="78" spans="1:36">
      <c r="A78" s="193">
        <v>891</v>
      </c>
      <c r="B78" s="193">
        <v>9957</v>
      </c>
      <c r="C78" s="193" t="s">
        <v>1511</v>
      </c>
      <c r="D78" s="193" t="s">
        <v>1512</v>
      </c>
      <c r="E78" s="206" t="s">
        <v>1264</v>
      </c>
      <c r="F78" s="193" t="s">
        <v>1982</v>
      </c>
      <c r="G78" s="193" t="s">
        <v>1983</v>
      </c>
      <c r="H78" s="193" t="s">
        <v>275</v>
      </c>
      <c r="I78" s="193" t="s">
        <v>712</v>
      </c>
      <c r="J78" s="193" t="s">
        <v>30</v>
      </c>
      <c r="K78" s="193" t="s">
        <v>30</v>
      </c>
      <c r="L78" s="193" t="s">
        <v>281</v>
      </c>
      <c r="M78" s="193" t="s">
        <v>31</v>
      </c>
      <c r="N78" s="193" t="s">
        <v>419</v>
      </c>
      <c r="O78" s="193" t="s">
        <v>94</v>
      </c>
      <c r="P78" s="193" t="s">
        <v>1704</v>
      </c>
      <c r="Q78" s="193" t="s">
        <v>368</v>
      </c>
      <c r="R78" s="193" t="s">
        <v>361</v>
      </c>
      <c r="S78" s="193" t="s">
        <v>34</v>
      </c>
      <c r="T78" s="202">
        <v>4.6920000000000002</v>
      </c>
      <c r="U78" s="193" t="s">
        <v>1958</v>
      </c>
      <c r="V78" s="205">
        <v>2.5000000000000001E-3</v>
      </c>
      <c r="W78" s="201">
        <v>2.7019999999999999E-2</v>
      </c>
      <c r="X78" s="206" t="s">
        <v>367</v>
      </c>
      <c r="Y78" s="206" t="s">
        <v>94</v>
      </c>
      <c r="Z78" s="202">
        <v>228593.93</v>
      </c>
      <c r="AA78" s="203">
        <v>1</v>
      </c>
      <c r="AB78" s="204">
        <v>102.52</v>
      </c>
      <c r="AC78" s="202">
        <v>3.3849999999999998</v>
      </c>
      <c r="AD78" s="202">
        <v>237.739</v>
      </c>
      <c r="AG78" s="193" t="s">
        <v>36</v>
      </c>
      <c r="AH78" s="201">
        <v>1.7100000000000001E-4</v>
      </c>
      <c r="AI78" s="201">
        <v>8.5012929267097408E-3</v>
      </c>
      <c r="AJ78" s="201">
        <v>1.5433435066346799E-3</v>
      </c>
    </row>
    <row r="79" spans="1:36">
      <c r="A79" s="193">
        <v>891</v>
      </c>
      <c r="B79" s="193">
        <v>9957</v>
      </c>
      <c r="C79" s="193" t="s">
        <v>1984</v>
      </c>
      <c r="D79" s="193" t="s">
        <v>1985</v>
      </c>
      <c r="E79" s="206" t="s">
        <v>1264</v>
      </c>
      <c r="F79" s="193" t="s">
        <v>1986</v>
      </c>
      <c r="G79" s="193" t="s">
        <v>1987</v>
      </c>
      <c r="H79" s="193" t="s">
        <v>275</v>
      </c>
      <c r="I79" s="193" t="s">
        <v>927</v>
      </c>
      <c r="J79" s="193" t="s">
        <v>30</v>
      </c>
      <c r="K79" s="193" t="s">
        <v>30</v>
      </c>
      <c r="L79" s="193" t="s">
        <v>281</v>
      </c>
      <c r="M79" s="193" t="s">
        <v>31</v>
      </c>
      <c r="N79" s="193" t="s">
        <v>400</v>
      </c>
      <c r="O79" s="193" t="s">
        <v>94</v>
      </c>
      <c r="P79" s="193" t="s">
        <v>1988</v>
      </c>
      <c r="Q79" s="193" t="s">
        <v>370</v>
      </c>
      <c r="R79" s="193" t="s">
        <v>361</v>
      </c>
      <c r="S79" s="193" t="s">
        <v>34</v>
      </c>
      <c r="T79" s="202">
        <v>6.0990000000000002</v>
      </c>
      <c r="U79" s="193" t="s">
        <v>1989</v>
      </c>
      <c r="V79" s="205">
        <v>5.0200000000000002E-2</v>
      </c>
      <c r="W79" s="201">
        <v>4.7890000000000002E-2</v>
      </c>
      <c r="X79" s="206" t="s">
        <v>367</v>
      </c>
      <c r="Y79" s="206" t="s">
        <v>94</v>
      </c>
      <c r="Z79" s="202">
        <v>220000</v>
      </c>
      <c r="AA79" s="203">
        <v>1</v>
      </c>
      <c r="AB79" s="204">
        <v>103.09</v>
      </c>
      <c r="AD79" s="202">
        <v>226.798</v>
      </c>
      <c r="AG79" s="193" t="s">
        <v>36</v>
      </c>
      <c r="AH79" s="201">
        <v>5.5000000000000003E-4</v>
      </c>
      <c r="AI79" s="201">
        <v>8.1100405575586995E-3</v>
      </c>
      <c r="AJ79" s="201">
        <v>1.4723146868315801E-3</v>
      </c>
    </row>
    <row r="80" spans="1:36">
      <c r="A80" s="193">
        <v>891</v>
      </c>
      <c r="B80" s="193">
        <v>9957</v>
      </c>
      <c r="C80" s="193" t="s">
        <v>1990</v>
      </c>
      <c r="D80" s="193" t="s">
        <v>1991</v>
      </c>
      <c r="E80" s="206" t="s">
        <v>1264</v>
      </c>
      <c r="F80" s="193" t="s">
        <v>1992</v>
      </c>
      <c r="G80" s="193" t="s">
        <v>1993</v>
      </c>
      <c r="H80" s="193" t="s">
        <v>275</v>
      </c>
      <c r="I80" s="193" t="s">
        <v>927</v>
      </c>
      <c r="J80" s="193" t="s">
        <v>30</v>
      </c>
      <c r="K80" s="193" t="s">
        <v>30</v>
      </c>
      <c r="L80" s="193" t="s">
        <v>281</v>
      </c>
      <c r="M80" s="193" t="s">
        <v>31</v>
      </c>
      <c r="N80" s="193" t="s">
        <v>398</v>
      </c>
      <c r="O80" s="193" t="s">
        <v>94</v>
      </c>
      <c r="P80" s="193" t="s">
        <v>1773</v>
      </c>
      <c r="Q80" s="193" t="s">
        <v>370</v>
      </c>
      <c r="R80" s="193" t="s">
        <v>361</v>
      </c>
      <c r="S80" s="193" t="s">
        <v>34</v>
      </c>
      <c r="T80" s="202">
        <v>0.73099999999999998</v>
      </c>
      <c r="U80" s="193" t="s">
        <v>1994</v>
      </c>
      <c r="V80" s="205">
        <v>0.114</v>
      </c>
      <c r="W80" s="201">
        <v>5.91E-2</v>
      </c>
      <c r="X80" s="206" t="s">
        <v>367</v>
      </c>
      <c r="Y80" s="206" t="s">
        <v>94</v>
      </c>
      <c r="Z80" s="202">
        <v>196310</v>
      </c>
      <c r="AA80" s="203">
        <v>1</v>
      </c>
      <c r="AB80" s="204">
        <v>102.52</v>
      </c>
      <c r="AD80" s="202">
        <v>201.25700000000001</v>
      </c>
      <c r="AG80" s="193" t="s">
        <v>36</v>
      </c>
      <c r="AH80" s="201">
        <v>8.12E-4</v>
      </c>
      <c r="AI80" s="201">
        <v>7.1967236475325097E-3</v>
      </c>
      <c r="AJ80" s="201">
        <v>1.3065091164624E-3</v>
      </c>
    </row>
    <row r="81" spans="1:36">
      <c r="A81" s="193">
        <v>891</v>
      </c>
      <c r="B81" s="193">
        <v>9957</v>
      </c>
      <c r="C81" s="193" t="s">
        <v>1990</v>
      </c>
      <c r="D81" s="193" t="s">
        <v>1991</v>
      </c>
      <c r="E81" s="206" t="s">
        <v>1264</v>
      </c>
      <c r="F81" s="193" t="s">
        <v>1995</v>
      </c>
      <c r="G81" s="193" t="s">
        <v>1996</v>
      </c>
      <c r="H81" s="193" t="s">
        <v>275</v>
      </c>
      <c r="I81" s="193" t="s">
        <v>927</v>
      </c>
      <c r="J81" s="193" t="s">
        <v>30</v>
      </c>
      <c r="K81" s="193" t="s">
        <v>30</v>
      </c>
      <c r="L81" s="193" t="s">
        <v>281</v>
      </c>
      <c r="M81" s="193" t="s">
        <v>1781</v>
      </c>
      <c r="N81" s="193" t="s">
        <v>398</v>
      </c>
      <c r="O81" s="193" t="s">
        <v>94</v>
      </c>
      <c r="P81" s="193" t="s">
        <v>1773</v>
      </c>
      <c r="Q81" s="193" t="s">
        <v>370</v>
      </c>
      <c r="R81" s="193" t="s">
        <v>361</v>
      </c>
      <c r="S81" s="193" t="s">
        <v>34</v>
      </c>
      <c r="T81" s="202">
        <v>3.1070000000000002</v>
      </c>
      <c r="U81" s="193" t="s">
        <v>1997</v>
      </c>
      <c r="V81" s="205">
        <v>6.4000000000000001E-2</v>
      </c>
      <c r="W81" s="201">
        <v>5.5649999999999998E-2</v>
      </c>
      <c r="X81" s="206" t="s">
        <v>367</v>
      </c>
      <c r="Y81" s="206" t="s">
        <v>94</v>
      </c>
      <c r="Z81" s="202">
        <v>146000</v>
      </c>
      <c r="AA81" s="203">
        <v>1</v>
      </c>
      <c r="AB81" s="204">
        <v>103.33</v>
      </c>
      <c r="AD81" s="202">
        <v>150.86199999999999</v>
      </c>
      <c r="AG81" s="193" t="s">
        <v>36</v>
      </c>
      <c r="AH81" s="201">
        <v>4.2200000000000001E-4</v>
      </c>
      <c r="AI81" s="201">
        <v>5.39464773316479E-3</v>
      </c>
      <c r="AJ81" s="201">
        <v>9.7935627219749698E-4</v>
      </c>
    </row>
    <row r="82" spans="1:36">
      <c r="A82" s="193">
        <v>891</v>
      </c>
      <c r="B82" s="193">
        <v>9957</v>
      </c>
      <c r="C82" s="193" t="s">
        <v>1998</v>
      </c>
      <c r="D82" s="193" t="s">
        <v>1999</v>
      </c>
      <c r="E82" s="206" t="s">
        <v>1264</v>
      </c>
      <c r="F82" s="193" t="s">
        <v>2000</v>
      </c>
      <c r="G82" s="193" t="s">
        <v>2001</v>
      </c>
      <c r="H82" s="193" t="s">
        <v>275</v>
      </c>
      <c r="I82" s="193" t="s">
        <v>712</v>
      </c>
      <c r="J82" s="193" t="s">
        <v>30</v>
      </c>
      <c r="K82" s="193" t="s">
        <v>30</v>
      </c>
      <c r="L82" s="193" t="s">
        <v>281</v>
      </c>
      <c r="M82" s="193" t="s">
        <v>31</v>
      </c>
      <c r="N82" s="193" t="s">
        <v>402</v>
      </c>
      <c r="O82" s="193" t="s">
        <v>94</v>
      </c>
      <c r="P82" s="193" t="s">
        <v>2002</v>
      </c>
      <c r="Q82" s="193" t="s">
        <v>370</v>
      </c>
      <c r="R82" s="193" t="s">
        <v>361</v>
      </c>
      <c r="S82" s="193" t="s">
        <v>34</v>
      </c>
      <c r="T82" s="202">
        <v>3.5459999999999998</v>
      </c>
      <c r="U82" s="193" t="s">
        <v>2003</v>
      </c>
      <c r="V82" s="205">
        <v>2.07E-2</v>
      </c>
      <c r="W82" s="201">
        <v>3.721E-2</v>
      </c>
      <c r="X82" s="206" t="s">
        <v>367</v>
      </c>
      <c r="Y82" s="206" t="s">
        <v>94</v>
      </c>
      <c r="Z82" s="202">
        <v>335231.8</v>
      </c>
      <c r="AA82" s="203">
        <v>1</v>
      </c>
      <c r="AB82" s="204">
        <v>107.9</v>
      </c>
      <c r="AD82" s="202">
        <v>361.71499999999997</v>
      </c>
      <c r="AG82" s="193" t="s">
        <v>36</v>
      </c>
      <c r="AH82" s="201">
        <v>8.03E-4</v>
      </c>
      <c r="AI82" s="201">
        <v>1.29345242472328E-2</v>
      </c>
      <c r="AJ82" s="201">
        <v>2.3481621184533899E-3</v>
      </c>
    </row>
    <row r="83" spans="1:36">
      <c r="A83" s="193">
        <v>891</v>
      </c>
      <c r="B83" s="193">
        <v>9957</v>
      </c>
      <c r="C83" s="193" t="s">
        <v>1519</v>
      </c>
      <c r="D83" s="193" t="s">
        <v>1520</v>
      </c>
      <c r="E83" s="206" t="s">
        <v>265</v>
      </c>
      <c r="F83" s="193" t="s">
        <v>2004</v>
      </c>
      <c r="G83" s="193" t="s">
        <v>2005</v>
      </c>
      <c r="H83" s="193" t="s">
        <v>275</v>
      </c>
      <c r="I83" s="193" t="s">
        <v>927</v>
      </c>
      <c r="J83" s="193" t="s">
        <v>30</v>
      </c>
      <c r="K83" s="193" t="s">
        <v>30</v>
      </c>
      <c r="L83" s="193" t="s">
        <v>281</v>
      </c>
      <c r="M83" s="193" t="s">
        <v>31</v>
      </c>
      <c r="N83" s="193" t="s">
        <v>409</v>
      </c>
      <c r="O83" s="193" t="s">
        <v>94</v>
      </c>
      <c r="P83" s="193" t="s">
        <v>1791</v>
      </c>
      <c r="Q83" s="193" t="s">
        <v>368</v>
      </c>
      <c r="R83" s="193" t="s">
        <v>361</v>
      </c>
      <c r="S83" s="193" t="s">
        <v>34</v>
      </c>
      <c r="T83" s="202">
        <v>1.7090000000000001</v>
      </c>
      <c r="U83" s="193" t="s">
        <v>2006</v>
      </c>
      <c r="V83" s="205">
        <v>5.2499999999999998E-2</v>
      </c>
      <c r="W83" s="201">
        <v>5.1819999999999998E-2</v>
      </c>
      <c r="X83" s="206" t="s">
        <v>367</v>
      </c>
      <c r="Y83" s="206" t="s">
        <v>94</v>
      </c>
      <c r="Z83" s="202">
        <v>405000</v>
      </c>
      <c r="AA83" s="203">
        <v>1</v>
      </c>
      <c r="AB83" s="204">
        <v>102.65</v>
      </c>
      <c r="AD83" s="202">
        <v>415.733</v>
      </c>
      <c r="AG83" s="193" t="s">
        <v>36</v>
      </c>
      <c r="AH83" s="201">
        <v>1.227E-3</v>
      </c>
      <c r="AI83" s="201">
        <v>1.48661250808882E-2</v>
      </c>
      <c r="AJ83" s="201">
        <v>2.69882920282899E-3</v>
      </c>
    </row>
    <row r="84" spans="1:36">
      <c r="A84" s="193">
        <v>891</v>
      </c>
      <c r="B84" s="193">
        <v>9957</v>
      </c>
      <c r="C84" s="193" t="s">
        <v>1519</v>
      </c>
      <c r="D84" s="193" t="s">
        <v>1520</v>
      </c>
      <c r="E84" s="206" t="s">
        <v>265</v>
      </c>
      <c r="F84" s="193" t="s">
        <v>2007</v>
      </c>
      <c r="G84" s="193" t="s">
        <v>2008</v>
      </c>
      <c r="H84" s="193" t="s">
        <v>275</v>
      </c>
      <c r="I84" s="193" t="s">
        <v>927</v>
      </c>
      <c r="J84" s="193" t="s">
        <v>30</v>
      </c>
      <c r="K84" s="193" t="s">
        <v>179</v>
      </c>
      <c r="L84" s="193" t="s">
        <v>281</v>
      </c>
      <c r="M84" s="193" t="s">
        <v>31</v>
      </c>
      <c r="N84" s="193" t="s">
        <v>409</v>
      </c>
      <c r="O84" s="193" t="s">
        <v>94</v>
      </c>
      <c r="P84" s="193" t="s">
        <v>1791</v>
      </c>
      <c r="Q84" s="193" t="s">
        <v>368</v>
      </c>
      <c r="R84" s="193" t="s">
        <v>361</v>
      </c>
      <c r="S84" s="193" t="s">
        <v>34</v>
      </c>
      <c r="T84" s="202">
        <v>2.5539999999999998</v>
      </c>
      <c r="U84" s="193" t="s">
        <v>2009</v>
      </c>
      <c r="V84" s="205">
        <v>6.5000000000000002E-2</v>
      </c>
      <c r="W84" s="201">
        <v>5.2010000000000001E-2</v>
      </c>
      <c r="X84" s="206" t="s">
        <v>367</v>
      </c>
      <c r="Y84" s="206" t="s">
        <v>94</v>
      </c>
      <c r="Z84" s="202">
        <v>287000</v>
      </c>
      <c r="AA84" s="203">
        <v>1</v>
      </c>
      <c r="AB84" s="204">
        <v>103.44</v>
      </c>
      <c r="AD84" s="202">
        <v>296.87299999999999</v>
      </c>
      <c r="AG84" s="193" t="s">
        <v>36</v>
      </c>
      <c r="AH84" s="201">
        <v>5.7399999999999997E-4</v>
      </c>
      <c r="AI84" s="201">
        <v>1.06158363320488E-2</v>
      </c>
      <c r="AJ84" s="201">
        <v>1.9272223897953799E-3</v>
      </c>
    </row>
    <row r="85" spans="1:36">
      <c r="A85" s="193">
        <v>891</v>
      </c>
      <c r="B85" s="193">
        <v>9957</v>
      </c>
      <c r="C85" s="193" t="s">
        <v>1519</v>
      </c>
      <c r="D85" s="193" t="s">
        <v>1520</v>
      </c>
      <c r="E85" s="206" t="s">
        <v>265</v>
      </c>
      <c r="F85" s="193" t="s">
        <v>2010</v>
      </c>
      <c r="G85" s="193" t="s">
        <v>2011</v>
      </c>
      <c r="H85" s="193" t="s">
        <v>275</v>
      </c>
      <c r="I85" s="193" t="s">
        <v>927</v>
      </c>
      <c r="J85" s="193" t="s">
        <v>30</v>
      </c>
      <c r="K85" s="193" t="s">
        <v>30</v>
      </c>
      <c r="L85" s="193" t="s">
        <v>281</v>
      </c>
      <c r="M85" s="193" t="s">
        <v>1781</v>
      </c>
      <c r="N85" s="193" t="s">
        <v>409</v>
      </c>
      <c r="O85" s="193" t="s">
        <v>94</v>
      </c>
      <c r="P85" s="193" t="s">
        <v>1791</v>
      </c>
      <c r="Q85" s="193" t="s">
        <v>368</v>
      </c>
      <c r="R85" s="193" t="s">
        <v>361</v>
      </c>
      <c r="S85" s="193" t="s">
        <v>34</v>
      </c>
      <c r="T85" s="202">
        <v>3.129</v>
      </c>
      <c r="U85" s="193" t="s">
        <v>1722</v>
      </c>
      <c r="V85" s="205">
        <v>6.7000000000000004E-2</v>
      </c>
      <c r="W85" s="201">
        <v>5.1139999999999998E-2</v>
      </c>
      <c r="X85" s="206" t="s">
        <v>367</v>
      </c>
      <c r="Y85" s="206" t="s">
        <v>94</v>
      </c>
      <c r="Z85" s="202">
        <v>240000</v>
      </c>
      <c r="AA85" s="203">
        <v>1</v>
      </c>
      <c r="AB85" s="204">
        <v>106.88</v>
      </c>
      <c r="AD85" s="202">
        <v>256.512</v>
      </c>
      <c r="AG85" s="193" t="s">
        <v>36</v>
      </c>
      <c r="AH85" s="201">
        <v>2.6400000000000002E-4</v>
      </c>
      <c r="AI85" s="201">
        <v>9.1725796678123108E-3</v>
      </c>
      <c r="AJ85" s="201">
        <v>1.6652103852262401E-3</v>
      </c>
    </row>
    <row r="86" spans="1:36">
      <c r="A86" s="193">
        <v>891</v>
      </c>
      <c r="B86" s="193">
        <v>9957</v>
      </c>
      <c r="C86" s="193" t="s">
        <v>1527</v>
      </c>
      <c r="D86" s="193" t="s">
        <v>1528</v>
      </c>
      <c r="E86" s="206" t="s">
        <v>1264</v>
      </c>
      <c r="F86" s="193" t="s">
        <v>2012</v>
      </c>
      <c r="G86" s="193" t="s">
        <v>2013</v>
      </c>
      <c r="H86" s="193" t="s">
        <v>275</v>
      </c>
      <c r="I86" s="193" t="s">
        <v>712</v>
      </c>
      <c r="J86" s="193" t="s">
        <v>30</v>
      </c>
      <c r="K86" s="193" t="s">
        <v>30</v>
      </c>
      <c r="L86" s="193" t="s">
        <v>281</v>
      </c>
      <c r="M86" s="193" t="s">
        <v>31</v>
      </c>
      <c r="N86" s="193" t="s">
        <v>396</v>
      </c>
      <c r="O86" s="193" t="s">
        <v>94</v>
      </c>
      <c r="P86" s="193" t="s">
        <v>1773</v>
      </c>
      <c r="Q86" s="193" t="s">
        <v>370</v>
      </c>
      <c r="R86" s="193" t="s">
        <v>361</v>
      </c>
      <c r="S86" s="193" t="s">
        <v>34</v>
      </c>
      <c r="T86" s="202">
        <v>2.1589999999999998</v>
      </c>
      <c r="U86" s="193" t="s">
        <v>1903</v>
      </c>
      <c r="V86" s="205">
        <v>1.4800000000000001E-2</v>
      </c>
      <c r="W86" s="201">
        <v>2.9860000000000001E-2</v>
      </c>
      <c r="X86" s="206" t="s">
        <v>367</v>
      </c>
      <c r="Y86" s="206" t="s">
        <v>94</v>
      </c>
      <c r="Z86" s="202">
        <v>285780</v>
      </c>
      <c r="AA86" s="203">
        <v>1</v>
      </c>
      <c r="AB86" s="204">
        <v>111.27</v>
      </c>
      <c r="AD86" s="202">
        <v>317.98700000000002</v>
      </c>
      <c r="AG86" s="193" t="s">
        <v>36</v>
      </c>
      <c r="AH86" s="201">
        <v>9.8299999999999993E-4</v>
      </c>
      <c r="AI86" s="201">
        <v>1.13708708165543E-2</v>
      </c>
      <c r="AJ86" s="201">
        <v>2.06429301881531E-3</v>
      </c>
    </row>
    <row r="87" spans="1:36">
      <c r="A87" s="193">
        <v>891</v>
      </c>
      <c r="B87" s="193">
        <v>9957</v>
      </c>
      <c r="C87" s="193" t="s">
        <v>1539</v>
      </c>
      <c r="D87" s="193" t="s">
        <v>1540</v>
      </c>
      <c r="E87" s="206" t="s">
        <v>1264</v>
      </c>
      <c r="F87" s="193" t="s">
        <v>2014</v>
      </c>
      <c r="G87" s="193" t="s">
        <v>2015</v>
      </c>
      <c r="H87" s="193" t="s">
        <v>275</v>
      </c>
      <c r="I87" s="193" t="s">
        <v>712</v>
      </c>
      <c r="J87" s="193" t="s">
        <v>30</v>
      </c>
      <c r="K87" s="193" t="s">
        <v>30</v>
      </c>
      <c r="L87" s="193" t="s">
        <v>281</v>
      </c>
      <c r="M87" s="193" t="s">
        <v>31</v>
      </c>
      <c r="N87" s="193" t="s">
        <v>419</v>
      </c>
      <c r="O87" s="193" t="s">
        <v>94</v>
      </c>
      <c r="P87" s="193" t="s">
        <v>1727</v>
      </c>
      <c r="Q87" s="193" t="s">
        <v>368</v>
      </c>
      <c r="R87" s="193" t="s">
        <v>361</v>
      </c>
      <c r="S87" s="193" t="s">
        <v>34</v>
      </c>
      <c r="T87" s="202">
        <v>3.5569999999999999</v>
      </c>
      <c r="U87" s="193" t="s">
        <v>1728</v>
      </c>
      <c r="V87" s="205">
        <v>3.6200000000000003E-2</v>
      </c>
      <c r="W87" s="201">
        <v>3.0020000000000002E-2</v>
      </c>
      <c r="X87" s="206" t="s">
        <v>367</v>
      </c>
      <c r="Y87" s="206" t="s">
        <v>94</v>
      </c>
      <c r="Z87" s="202">
        <v>125800</v>
      </c>
      <c r="AA87" s="203">
        <v>1</v>
      </c>
      <c r="AB87" s="204">
        <v>110.37</v>
      </c>
      <c r="AD87" s="202">
        <v>138.845</v>
      </c>
      <c r="AG87" s="193" t="s">
        <v>36</v>
      </c>
      <c r="AH87" s="201">
        <v>6.8999999999999997E-5</v>
      </c>
      <c r="AI87" s="201">
        <v>4.9649569741924303E-3</v>
      </c>
      <c r="AJ87" s="201">
        <v>9.0134926215348595E-4</v>
      </c>
    </row>
    <row r="88" spans="1:36">
      <c r="A88" s="193">
        <v>891</v>
      </c>
      <c r="B88" s="193">
        <v>9957</v>
      </c>
      <c r="C88" s="193" t="s">
        <v>2016</v>
      </c>
      <c r="D88" s="193" t="s">
        <v>2017</v>
      </c>
      <c r="E88" s="206" t="s">
        <v>266</v>
      </c>
      <c r="F88" s="193" t="s">
        <v>2018</v>
      </c>
      <c r="G88" s="193" t="s">
        <v>2019</v>
      </c>
      <c r="H88" s="193" t="s">
        <v>275</v>
      </c>
      <c r="I88" s="193" t="s">
        <v>927</v>
      </c>
      <c r="J88" s="193" t="s">
        <v>30</v>
      </c>
      <c r="K88" s="193" t="s">
        <v>179</v>
      </c>
      <c r="L88" s="193" t="s">
        <v>281</v>
      </c>
      <c r="M88" s="193" t="s">
        <v>31</v>
      </c>
      <c r="N88" s="193" t="s">
        <v>420</v>
      </c>
      <c r="O88" s="193" t="s">
        <v>94</v>
      </c>
      <c r="P88" s="193" t="s">
        <v>1696</v>
      </c>
      <c r="Q88" s="193" t="s">
        <v>368</v>
      </c>
      <c r="R88" s="193" t="s">
        <v>361</v>
      </c>
      <c r="S88" s="193" t="s">
        <v>34</v>
      </c>
      <c r="T88" s="202">
        <v>3.359</v>
      </c>
      <c r="U88" s="193" t="s">
        <v>2020</v>
      </c>
      <c r="V88" s="205">
        <v>4.4999999999999998E-2</v>
      </c>
      <c r="W88" s="201">
        <v>5.5239999999999997E-2</v>
      </c>
      <c r="X88" s="206" t="s">
        <v>367</v>
      </c>
      <c r="Y88" s="206" t="s">
        <v>94</v>
      </c>
      <c r="Z88" s="202">
        <v>261941.61</v>
      </c>
      <c r="AA88" s="203">
        <v>1</v>
      </c>
      <c r="AB88" s="204">
        <v>97.83</v>
      </c>
      <c r="AD88" s="202">
        <v>256.25700000000001</v>
      </c>
      <c r="AG88" s="193" t="s">
        <v>36</v>
      </c>
      <c r="AH88" s="201">
        <v>3.2400000000000001E-4</v>
      </c>
      <c r="AI88" s="201">
        <v>9.1634782147928893E-3</v>
      </c>
      <c r="AJ88" s="201">
        <v>1.66355808732996E-3</v>
      </c>
    </row>
    <row r="89" spans="1:36">
      <c r="A89" s="193">
        <v>891</v>
      </c>
      <c r="B89" s="193">
        <v>9957</v>
      </c>
      <c r="C89" s="193" t="s">
        <v>2016</v>
      </c>
      <c r="D89" s="193" t="s">
        <v>2017</v>
      </c>
      <c r="E89" s="206" t="s">
        <v>266</v>
      </c>
      <c r="F89" s="193" t="s">
        <v>2021</v>
      </c>
      <c r="G89" s="193" t="s">
        <v>2022</v>
      </c>
      <c r="H89" s="193" t="s">
        <v>275</v>
      </c>
      <c r="I89" s="193" t="s">
        <v>927</v>
      </c>
      <c r="J89" s="193" t="s">
        <v>30</v>
      </c>
      <c r="K89" s="193" t="s">
        <v>30</v>
      </c>
      <c r="L89" s="193" t="s">
        <v>281</v>
      </c>
      <c r="M89" s="193" t="s">
        <v>31</v>
      </c>
      <c r="N89" s="193" t="s">
        <v>420</v>
      </c>
      <c r="O89" s="193" t="s">
        <v>94</v>
      </c>
      <c r="P89" s="193" t="s">
        <v>1704</v>
      </c>
      <c r="Q89" s="193" t="s">
        <v>368</v>
      </c>
      <c r="R89" s="193" t="s">
        <v>361</v>
      </c>
      <c r="S89" s="193" t="s">
        <v>34</v>
      </c>
      <c r="T89" s="202">
        <v>1.877</v>
      </c>
      <c r="U89" s="193" t="s">
        <v>1774</v>
      </c>
      <c r="V89" s="205">
        <v>6.3500000000000001E-2</v>
      </c>
      <c r="W89" s="201">
        <v>5.33E-2</v>
      </c>
      <c r="X89" s="206" t="s">
        <v>367</v>
      </c>
      <c r="Y89" s="206" t="s">
        <v>94</v>
      </c>
      <c r="Z89" s="202">
        <v>139680</v>
      </c>
      <c r="AA89" s="203">
        <v>1</v>
      </c>
      <c r="AB89" s="204">
        <v>102.04</v>
      </c>
      <c r="AD89" s="202">
        <v>142.529</v>
      </c>
      <c r="AG89" s="193" t="s">
        <v>36</v>
      </c>
      <c r="AH89" s="201">
        <v>3.5100000000000002E-4</v>
      </c>
      <c r="AI89" s="201">
        <v>5.0966930862151698E-3</v>
      </c>
      <c r="AJ89" s="201">
        <v>9.2526492708026604E-4</v>
      </c>
    </row>
    <row r="90" spans="1:36">
      <c r="A90" s="193">
        <v>891</v>
      </c>
      <c r="B90" s="193">
        <v>9957</v>
      </c>
      <c r="C90" s="193" t="s">
        <v>2016</v>
      </c>
      <c r="D90" s="193" t="s">
        <v>2017</v>
      </c>
      <c r="E90" s="206" t="s">
        <v>266</v>
      </c>
      <c r="F90" s="193" t="s">
        <v>2023</v>
      </c>
      <c r="G90" s="193" t="s">
        <v>2024</v>
      </c>
      <c r="H90" s="193" t="s">
        <v>275</v>
      </c>
      <c r="I90" s="193" t="s">
        <v>927</v>
      </c>
      <c r="J90" s="193" t="s">
        <v>30</v>
      </c>
      <c r="K90" s="193" t="s">
        <v>30</v>
      </c>
      <c r="L90" s="193" t="s">
        <v>281</v>
      </c>
      <c r="M90" s="193" t="s">
        <v>1781</v>
      </c>
      <c r="N90" s="193" t="s">
        <v>420</v>
      </c>
      <c r="O90" s="193" t="s">
        <v>94</v>
      </c>
      <c r="P90" s="193" t="s">
        <v>1704</v>
      </c>
      <c r="Q90" s="193" t="s">
        <v>368</v>
      </c>
      <c r="R90" s="193" t="s">
        <v>361</v>
      </c>
      <c r="S90" s="193" t="s">
        <v>34</v>
      </c>
      <c r="T90" s="202">
        <v>3.3980000000000001</v>
      </c>
      <c r="U90" s="193" t="s">
        <v>2025</v>
      </c>
      <c r="V90" s="205">
        <v>6.25E-2</v>
      </c>
      <c r="W90" s="201">
        <v>5.2850000000000001E-2</v>
      </c>
      <c r="X90" s="206" t="s">
        <v>367</v>
      </c>
      <c r="Y90" s="206" t="s">
        <v>94</v>
      </c>
      <c r="Z90" s="202">
        <v>138000</v>
      </c>
      <c r="AA90" s="203">
        <v>1</v>
      </c>
      <c r="AB90" s="204">
        <v>104.82</v>
      </c>
      <c r="AD90" s="202">
        <v>144.65199999999999</v>
      </c>
      <c r="AG90" s="193" t="s">
        <v>36</v>
      </c>
      <c r="AH90" s="201">
        <v>2.5099999999999998E-4</v>
      </c>
      <c r="AI90" s="201">
        <v>5.1725779888524498E-3</v>
      </c>
      <c r="AJ90" s="201">
        <v>9.3904124001837101E-4</v>
      </c>
    </row>
    <row r="91" spans="1:36">
      <c r="A91" s="193">
        <v>891</v>
      </c>
      <c r="B91" s="193">
        <v>9957</v>
      </c>
      <c r="C91" s="193" t="s">
        <v>2026</v>
      </c>
      <c r="D91" s="193" t="s">
        <v>2027</v>
      </c>
      <c r="E91" s="206" t="s">
        <v>1264</v>
      </c>
      <c r="F91" s="193" t="s">
        <v>2028</v>
      </c>
      <c r="G91" s="193" t="s">
        <v>2029</v>
      </c>
      <c r="H91" s="193" t="s">
        <v>275</v>
      </c>
      <c r="I91" s="193" t="s">
        <v>712</v>
      </c>
      <c r="J91" s="193" t="s">
        <v>30</v>
      </c>
      <c r="K91" s="193" t="s">
        <v>30</v>
      </c>
      <c r="L91" s="193" t="s">
        <v>281</v>
      </c>
      <c r="M91" s="193" t="s">
        <v>31</v>
      </c>
      <c r="N91" s="193" t="s">
        <v>396</v>
      </c>
      <c r="O91" s="193" t="s">
        <v>94</v>
      </c>
      <c r="P91" s="194" t="s">
        <v>364</v>
      </c>
      <c r="Q91" s="193" t="s">
        <v>364</v>
      </c>
      <c r="R91" s="193" t="s">
        <v>364</v>
      </c>
      <c r="S91" s="193" t="s">
        <v>34</v>
      </c>
      <c r="T91" s="202">
        <v>1.7689999999999999</v>
      </c>
      <c r="U91" s="193" t="s">
        <v>1903</v>
      </c>
      <c r="V91" s="205">
        <v>2.9499999999999998E-2</v>
      </c>
      <c r="W91" s="201">
        <v>2.8840000000000001E-2</v>
      </c>
      <c r="X91" s="206" t="s">
        <v>367</v>
      </c>
      <c r="Y91" s="206" t="s">
        <v>94</v>
      </c>
      <c r="Z91" s="202">
        <v>121600</v>
      </c>
      <c r="AA91" s="203">
        <v>1</v>
      </c>
      <c r="AB91" s="204">
        <v>112.49</v>
      </c>
      <c r="AD91" s="202">
        <v>136.78800000000001</v>
      </c>
      <c r="AG91" s="193" t="s">
        <v>36</v>
      </c>
      <c r="AH91" s="201">
        <v>4.9899999999999999E-4</v>
      </c>
      <c r="AI91" s="201">
        <v>4.8913788048432997E-3</v>
      </c>
      <c r="AJ91" s="201">
        <v>8.8799171867462597E-4</v>
      </c>
    </row>
    <row r="92" spans="1:36">
      <c r="A92" s="193">
        <v>891</v>
      </c>
      <c r="B92" s="193">
        <v>9957</v>
      </c>
      <c r="C92" s="193" t="s">
        <v>2030</v>
      </c>
      <c r="D92" s="193" t="s">
        <v>2031</v>
      </c>
      <c r="E92" s="206" t="s">
        <v>266</v>
      </c>
      <c r="F92" s="193" t="s">
        <v>2032</v>
      </c>
      <c r="G92" s="193" t="s">
        <v>2033</v>
      </c>
      <c r="H92" s="193" t="s">
        <v>275</v>
      </c>
      <c r="I92" s="193" t="s">
        <v>713</v>
      </c>
      <c r="J92" s="193" t="s">
        <v>30</v>
      </c>
      <c r="K92" s="193" t="s">
        <v>179</v>
      </c>
      <c r="L92" s="193" t="s">
        <v>281</v>
      </c>
      <c r="M92" s="193" t="s">
        <v>31</v>
      </c>
      <c r="N92" s="193" t="s">
        <v>398</v>
      </c>
      <c r="O92" s="193" t="s">
        <v>94</v>
      </c>
      <c r="P92" s="193" t="s">
        <v>1969</v>
      </c>
      <c r="Q92" s="193" t="s">
        <v>370</v>
      </c>
      <c r="R92" s="193" t="s">
        <v>361</v>
      </c>
      <c r="S92" s="193" t="s">
        <v>34</v>
      </c>
      <c r="T92" s="202">
        <v>1.1160000000000001</v>
      </c>
      <c r="U92" s="193" t="s">
        <v>2034</v>
      </c>
      <c r="V92" s="205">
        <v>7.9135999999999998E-2</v>
      </c>
      <c r="W92" s="201">
        <v>5.5309999999999998E-2</v>
      </c>
      <c r="X92" s="206" t="s">
        <v>367</v>
      </c>
      <c r="Y92" s="206" t="s">
        <v>94</v>
      </c>
      <c r="Z92" s="202">
        <v>212000</v>
      </c>
      <c r="AA92" s="203">
        <v>1</v>
      </c>
      <c r="AB92" s="204">
        <v>95.62</v>
      </c>
      <c r="AD92" s="202">
        <v>202.714</v>
      </c>
      <c r="AG92" s="193" t="s">
        <v>36</v>
      </c>
      <c r="AH92" s="201">
        <v>5.04E-4</v>
      </c>
      <c r="AI92" s="201">
        <v>7.2488381978729E-3</v>
      </c>
      <c r="AJ92" s="201">
        <v>1.31597010710964E-3</v>
      </c>
    </row>
    <row r="93" spans="1:36">
      <c r="A93" s="193">
        <v>891</v>
      </c>
      <c r="B93" s="193">
        <v>9957</v>
      </c>
      <c r="C93" s="193" t="s">
        <v>2035</v>
      </c>
      <c r="D93" s="193" t="s">
        <v>2036</v>
      </c>
      <c r="E93" s="206" t="s">
        <v>266</v>
      </c>
      <c r="F93" s="193" t="s">
        <v>2037</v>
      </c>
      <c r="G93" s="193" t="s">
        <v>2038</v>
      </c>
      <c r="H93" s="193" t="s">
        <v>275</v>
      </c>
      <c r="I93" s="193" t="s">
        <v>927</v>
      </c>
      <c r="J93" s="193" t="s">
        <v>30</v>
      </c>
      <c r="K93" s="193" t="s">
        <v>179</v>
      </c>
      <c r="L93" s="193" t="s">
        <v>281</v>
      </c>
      <c r="M93" s="193" t="s">
        <v>1781</v>
      </c>
      <c r="N93" s="193" t="s">
        <v>420</v>
      </c>
      <c r="O93" s="193" t="s">
        <v>94</v>
      </c>
      <c r="P93" s="193" t="s">
        <v>1704</v>
      </c>
      <c r="Q93" s="193" t="s">
        <v>368</v>
      </c>
      <c r="R93" s="193" t="s">
        <v>361</v>
      </c>
      <c r="S93" s="193" t="s">
        <v>34</v>
      </c>
      <c r="T93" s="202">
        <v>3.96</v>
      </c>
      <c r="U93" s="193" t="s">
        <v>2039</v>
      </c>
      <c r="V93" s="205">
        <v>6.7400000000000002E-2</v>
      </c>
      <c r="W93" s="201">
        <v>5.6840000000000002E-2</v>
      </c>
      <c r="X93" s="206" t="s">
        <v>367</v>
      </c>
      <c r="Y93" s="206" t="s">
        <v>94</v>
      </c>
      <c r="Z93" s="202">
        <v>277000</v>
      </c>
      <c r="AA93" s="203">
        <v>1</v>
      </c>
      <c r="AB93" s="204">
        <v>104.44</v>
      </c>
      <c r="AD93" s="202">
        <v>289.29899999999998</v>
      </c>
      <c r="AG93" s="193" t="s">
        <v>36</v>
      </c>
      <c r="AH93" s="201">
        <v>9.7199999999999999E-4</v>
      </c>
      <c r="AI93" s="201">
        <v>1.0344998638669899E-2</v>
      </c>
      <c r="AJ93" s="201">
        <v>1.8780539163606E-3</v>
      </c>
    </row>
    <row r="94" spans="1:36">
      <c r="A94" s="193">
        <v>891</v>
      </c>
      <c r="B94" s="193">
        <v>9957</v>
      </c>
      <c r="C94" s="193" t="s">
        <v>1554</v>
      </c>
      <c r="D94" s="193" t="s">
        <v>1555</v>
      </c>
      <c r="E94" s="206" t="s">
        <v>1264</v>
      </c>
      <c r="F94" s="193" t="s">
        <v>2040</v>
      </c>
      <c r="G94" s="193" t="s">
        <v>2041</v>
      </c>
      <c r="H94" s="193" t="s">
        <v>275</v>
      </c>
      <c r="I94" s="193" t="s">
        <v>712</v>
      </c>
      <c r="J94" s="193" t="s">
        <v>30</v>
      </c>
      <c r="K94" s="193" t="s">
        <v>30</v>
      </c>
      <c r="L94" s="193" t="s">
        <v>281</v>
      </c>
      <c r="M94" s="193" t="s">
        <v>31</v>
      </c>
      <c r="N94" s="193" t="s">
        <v>419</v>
      </c>
      <c r="O94" s="193" t="s">
        <v>94</v>
      </c>
      <c r="P94" s="193" t="s">
        <v>2042</v>
      </c>
      <c r="Q94" s="193" t="s">
        <v>368</v>
      </c>
      <c r="R94" s="193" t="s">
        <v>361</v>
      </c>
      <c r="S94" s="193" t="s">
        <v>34</v>
      </c>
      <c r="T94" s="202">
        <v>2.6779999999999999</v>
      </c>
      <c r="U94" s="193" t="s">
        <v>2043</v>
      </c>
      <c r="V94" s="205">
        <v>1.34E-2</v>
      </c>
      <c r="W94" s="201">
        <v>2.8029999999999999E-2</v>
      </c>
      <c r="X94" s="206" t="s">
        <v>367</v>
      </c>
      <c r="Y94" s="206" t="s">
        <v>94</v>
      </c>
      <c r="Z94" s="202">
        <v>294117.65000000002</v>
      </c>
      <c r="AA94" s="203">
        <v>1</v>
      </c>
      <c r="AB94" s="204">
        <v>114.07</v>
      </c>
      <c r="AC94" s="202">
        <v>37.442</v>
      </c>
      <c r="AD94" s="202">
        <v>372.94200000000001</v>
      </c>
      <c r="AG94" s="193" t="s">
        <v>36</v>
      </c>
      <c r="AH94" s="201">
        <v>1.3300000000000001E-4</v>
      </c>
      <c r="AI94" s="201">
        <v>1.33359855639232E-2</v>
      </c>
      <c r="AJ94" s="201">
        <v>2.4210442931555999E-3</v>
      </c>
    </row>
    <row r="95" spans="1:36">
      <c r="A95" s="193">
        <v>891</v>
      </c>
      <c r="B95" s="193">
        <v>9957</v>
      </c>
      <c r="C95" s="193" t="s">
        <v>1554</v>
      </c>
      <c r="D95" s="193" t="s">
        <v>1555</v>
      </c>
      <c r="E95" s="206" t="s">
        <v>1264</v>
      </c>
      <c r="F95" s="193" t="s">
        <v>2044</v>
      </c>
      <c r="G95" s="193" t="s">
        <v>2045</v>
      </c>
      <c r="H95" s="193" t="s">
        <v>275</v>
      </c>
      <c r="I95" s="193" t="s">
        <v>712</v>
      </c>
      <c r="J95" s="193" t="s">
        <v>30</v>
      </c>
      <c r="K95" s="193" t="s">
        <v>30</v>
      </c>
      <c r="L95" s="193" t="s">
        <v>281</v>
      </c>
      <c r="M95" s="193" t="s">
        <v>31</v>
      </c>
      <c r="N95" s="193" t="s">
        <v>419</v>
      </c>
      <c r="O95" s="193" t="s">
        <v>94</v>
      </c>
      <c r="P95" s="193" t="s">
        <v>2046</v>
      </c>
      <c r="Q95" s="193" t="s">
        <v>370</v>
      </c>
      <c r="R95" s="193" t="s">
        <v>361</v>
      </c>
      <c r="S95" s="193" t="s">
        <v>34</v>
      </c>
      <c r="T95" s="202">
        <v>1.9570000000000001</v>
      </c>
      <c r="U95" s="193" t="s">
        <v>1945</v>
      </c>
      <c r="V95" s="205">
        <v>1.77E-2</v>
      </c>
      <c r="W95" s="201">
        <v>2.8219999999999999E-2</v>
      </c>
      <c r="X95" s="206" t="s">
        <v>367</v>
      </c>
      <c r="Y95" s="206" t="s">
        <v>94</v>
      </c>
      <c r="Z95" s="202">
        <v>170780.3</v>
      </c>
      <c r="AA95" s="203">
        <v>1</v>
      </c>
      <c r="AB95" s="204">
        <v>114.73</v>
      </c>
      <c r="AD95" s="202">
        <v>195.93600000000001</v>
      </c>
      <c r="AG95" s="193" t="s">
        <v>36</v>
      </c>
      <c r="AH95" s="201">
        <v>6.9999999999999994E-5</v>
      </c>
      <c r="AI95" s="201">
        <v>7.0064587801320199E-3</v>
      </c>
      <c r="AJ95" s="201">
        <v>1.27196801192985E-3</v>
      </c>
    </row>
    <row r="96" spans="1:36">
      <c r="A96" s="193">
        <v>891</v>
      </c>
      <c r="B96" s="193">
        <v>9957</v>
      </c>
      <c r="C96" s="193" t="s">
        <v>1554</v>
      </c>
      <c r="D96" s="193" t="s">
        <v>1555</v>
      </c>
      <c r="E96" s="206" t="s">
        <v>1264</v>
      </c>
      <c r="F96" s="193" t="s">
        <v>2047</v>
      </c>
      <c r="G96" s="193" t="s">
        <v>2048</v>
      </c>
      <c r="H96" s="193" t="s">
        <v>275</v>
      </c>
      <c r="I96" s="193" t="s">
        <v>712</v>
      </c>
      <c r="J96" s="193" t="s">
        <v>30</v>
      </c>
      <c r="K96" s="193" t="s">
        <v>30</v>
      </c>
      <c r="L96" s="193" t="s">
        <v>281</v>
      </c>
      <c r="M96" s="193" t="s">
        <v>31</v>
      </c>
      <c r="N96" s="193" t="s">
        <v>419</v>
      </c>
      <c r="O96" s="193" t="s">
        <v>94</v>
      </c>
      <c r="P96" s="193" t="s">
        <v>2042</v>
      </c>
      <c r="Q96" s="193" t="s">
        <v>368</v>
      </c>
      <c r="R96" s="193" t="s">
        <v>361</v>
      </c>
      <c r="S96" s="193" t="s">
        <v>34</v>
      </c>
      <c r="T96" s="202">
        <v>6.4160000000000004</v>
      </c>
      <c r="U96" s="193" t="s">
        <v>2049</v>
      </c>
      <c r="V96" s="205">
        <v>8.9999999999999993E-3</v>
      </c>
      <c r="W96" s="201">
        <v>2.8410000000000001E-2</v>
      </c>
      <c r="X96" s="206" t="s">
        <v>367</v>
      </c>
      <c r="Y96" s="206" t="s">
        <v>94</v>
      </c>
      <c r="Z96" s="202">
        <v>361469.39</v>
      </c>
      <c r="AA96" s="203">
        <v>1</v>
      </c>
      <c r="AB96" s="204">
        <v>101.93</v>
      </c>
      <c r="AC96" s="202">
        <v>10.598000000000001</v>
      </c>
      <c r="AD96" s="202">
        <v>379.04399999999998</v>
      </c>
      <c r="AG96" s="193" t="s">
        <v>36</v>
      </c>
      <c r="AH96" s="201">
        <v>1.34E-4</v>
      </c>
      <c r="AI96" s="201">
        <v>1.3554176395822201E-2</v>
      </c>
      <c r="AJ96" s="201">
        <v>2.4606551390024202E-3</v>
      </c>
    </row>
    <row r="97" spans="1:36">
      <c r="A97" s="193">
        <v>891</v>
      </c>
      <c r="B97" s="193">
        <v>9957</v>
      </c>
      <c r="C97" s="193" t="s">
        <v>1554</v>
      </c>
      <c r="D97" s="193" t="s">
        <v>1555</v>
      </c>
      <c r="E97" s="206" t="s">
        <v>1264</v>
      </c>
      <c r="F97" s="193" t="s">
        <v>2050</v>
      </c>
      <c r="G97" s="193" t="s">
        <v>2051</v>
      </c>
      <c r="H97" s="193" t="s">
        <v>275</v>
      </c>
      <c r="I97" s="193" t="s">
        <v>712</v>
      </c>
      <c r="J97" s="193" t="s">
        <v>30</v>
      </c>
      <c r="K97" s="193" t="s">
        <v>30</v>
      </c>
      <c r="L97" s="193" t="s">
        <v>281</v>
      </c>
      <c r="M97" s="193" t="s">
        <v>1781</v>
      </c>
      <c r="N97" s="193" t="s">
        <v>419</v>
      </c>
      <c r="O97" s="193" t="s">
        <v>94</v>
      </c>
      <c r="P97" s="193" t="s">
        <v>2046</v>
      </c>
      <c r="Q97" s="193" t="s">
        <v>370</v>
      </c>
      <c r="R97" s="193" t="s">
        <v>361</v>
      </c>
      <c r="S97" s="193" t="s">
        <v>34</v>
      </c>
      <c r="T97" s="202">
        <v>11.936</v>
      </c>
      <c r="U97" s="193" t="s">
        <v>2052</v>
      </c>
      <c r="V97" s="205">
        <v>3.6700000000000003E-2</v>
      </c>
      <c r="W97" s="201">
        <v>3.1620000000000002E-2</v>
      </c>
      <c r="X97" s="206" t="s">
        <v>367</v>
      </c>
      <c r="Y97" s="206" t="s">
        <v>94</v>
      </c>
      <c r="Z97" s="202">
        <v>150000</v>
      </c>
      <c r="AA97" s="203">
        <v>1</v>
      </c>
      <c r="AB97" s="204">
        <v>109.54</v>
      </c>
      <c r="AC97" s="202">
        <v>2.835</v>
      </c>
      <c r="AD97" s="202">
        <v>167.14500000000001</v>
      </c>
      <c r="AG97" s="193" t="s">
        <v>36</v>
      </c>
      <c r="AH97" s="201">
        <v>4.6E-5</v>
      </c>
      <c r="AI97" s="201">
        <v>5.9769112271142802E-3</v>
      </c>
      <c r="AJ97" s="201">
        <v>1.0850616737504799E-3</v>
      </c>
    </row>
    <row r="98" spans="1:36">
      <c r="A98" s="193">
        <v>891</v>
      </c>
      <c r="B98" s="193">
        <v>9957</v>
      </c>
      <c r="C98" s="193" t="s">
        <v>2053</v>
      </c>
      <c r="D98" s="193" t="s">
        <v>2054</v>
      </c>
      <c r="E98" s="206" t="s">
        <v>1264</v>
      </c>
      <c r="F98" s="193" t="s">
        <v>2055</v>
      </c>
      <c r="G98" s="193" t="s">
        <v>2056</v>
      </c>
      <c r="H98" s="193" t="s">
        <v>275</v>
      </c>
      <c r="I98" s="193" t="s">
        <v>927</v>
      </c>
      <c r="J98" s="193" t="s">
        <v>30</v>
      </c>
      <c r="K98" s="193" t="s">
        <v>30</v>
      </c>
      <c r="L98" s="193" t="s">
        <v>281</v>
      </c>
      <c r="M98" s="193" t="s">
        <v>31</v>
      </c>
      <c r="N98" s="193" t="s">
        <v>402</v>
      </c>
      <c r="O98" s="193" t="s">
        <v>94</v>
      </c>
      <c r="P98" s="193" t="s">
        <v>1773</v>
      </c>
      <c r="Q98" s="193" t="s">
        <v>370</v>
      </c>
      <c r="R98" s="193" t="s">
        <v>361</v>
      </c>
      <c r="S98" s="193" t="s">
        <v>34</v>
      </c>
      <c r="T98" s="202">
        <v>1.385</v>
      </c>
      <c r="U98" s="193" t="s">
        <v>35</v>
      </c>
      <c r="V98" s="205">
        <v>0.06</v>
      </c>
      <c r="W98" s="201">
        <v>5.2359999999999997E-2</v>
      </c>
      <c r="X98" s="206" t="s">
        <v>367</v>
      </c>
      <c r="Y98" s="206" t="s">
        <v>94</v>
      </c>
      <c r="Z98" s="202">
        <v>0.38</v>
      </c>
      <c r="AA98" s="203">
        <v>1</v>
      </c>
      <c r="AB98" s="204">
        <v>101.65</v>
      </c>
      <c r="AD98" s="202">
        <v>0</v>
      </c>
      <c r="AG98" s="193" t="s">
        <v>36</v>
      </c>
      <c r="AH98" s="201">
        <v>0</v>
      </c>
      <c r="AI98" s="201">
        <v>1.3812579326838E-8</v>
      </c>
      <c r="AJ98" s="201">
        <v>2.5075661781957204E-9</v>
      </c>
    </row>
    <row r="99" spans="1:36">
      <c r="A99" s="193">
        <v>891</v>
      </c>
      <c r="B99" s="193">
        <v>9957</v>
      </c>
      <c r="C99" s="193" t="s">
        <v>1558</v>
      </c>
      <c r="D99" s="193" t="s">
        <v>1559</v>
      </c>
      <c r="E99" s="206" t="s">
        <v>1264</v>
      </c>
      <c r="F99" s="193" t="s">
        <v>2057</v>
      </c>
      <c r="G99" s="193" t="s">
        <v>2058</v>
      </c>
      <c r="H99" s="193" t="s">
        <v>275</v>
      </c>
      <c r="I99" s="193" t="s">
        <v>712</v>
      </c>
      <c r="J99" s="193" t="s">
        <v>30</v>
      </c>
      <c r="K99" s="193" t="s">
        <v>30</v>
      </c>
      <c r="L99" s="193" t="s">
        <v>281</v>
      </c>
      <c r="M99" s="193" t="s">
        <v>31</v>
      </c>
      <c r="N99" s="193" t="s">
        <v>403</v>
      </c>
      <c r="O99" s="193" t="s">
        <v>94</v>
      </c>
      <c r="P99" s="193" t="s">
        <v>1139</v>
      </c>
      <c r="Q99" s="193" t="s">
        <v>368</v>
      </c>
      <c r="R99" s="193" t="s">
        <v>361</v>
      </c>
      <c r="S99" s="193" t="s">
        <v>34</v>
      </c>
      <c r="T99" s="202">
        <v>3.335</v>
      </c>
      <c r="U99" s="193" t="s">
        <v>2059</v>
      </c>
      <c r="V99" s="205">
        <v>1E-3</v>
      </c>
      <c r="W99" s="201">
        <v>2.5729999999999999E-2</v>
      </c>
      <c r="X99" s="206" t="s">
        <v>367</v>
      </c>
      <c r="Y99" s="206" t="s">
        <v>94</v>
      </c>
      <c r="Z99" s="202">
        <v>86800</v>
      </c>
      <c r="AA99" s="203">
        <v>1</v>
      </c>
      <c r="AB99" s="204">
        <v>105.19</v>
      </c>
      <c r="AD99" s="202">
        <v>91.305000000000007</v>
      </c>
      <c r="AG99" s="193" t="s">
        <v>36</v>
      </c>
      <c r="AH99" s="201">
        <v>8.7999999999999998E-5</v>
      </c>
      <c r="AI99" s="201">
        <v>3.2649609092877899E-3</v>
      </c>
      <c r="AJ99" s="201">
        <v>5.9272821936693504E-4</v>
      </c>
    </row>
    <row r="100" spans="1:36">
      <c r="A100" s="193">
        <v>891</v>
      </c>
      <c r="B100" s="193">
        <v>9957</v>
      </c>
      <c r="C100" s="193" t="s">
        <v>1558</v>
      </c>
      <c r="D100" s="193" t="s">
        <v>1559</v>
      </c>
      <c r="E100" s="206" t="s">
        <v>1264</v>
      </c>
      <c r="F100" s="193" t="s">
        <v>2060</v>
      </c>
      <c r="G100" s="193" t="s">
        <v>2061</v>
      </c>
      <c r="H100" s="193" t="s">
        <v>275</v>
      </c>
      <c r="I100" s="193" t="s">
        <v>712</v>
      </c>
      <c r="J100" s="193" t="s">
        <v>30</v>
      </c>
      <c r="K100" s="193" t="s">
        <v>30</v>
      </c>
      <c r="L100" s="193" t="s">
        <v>281</v>
      </c>
      <c r="M100" s="193" t="s">
        <v>31</v>
      </c>
      <c r="N100" s="193" t="s">
        <v>403</v>
      </c>
      <c r="O100" s="193" t="s">
        <v>94</v>
      </c>
      <c r="P100" s="193" t="s">
        <v>1139</v>
      </c>
      <c r="Q100" s="193" t="s">
        <v>368</v>
      </c>
      <c r="R100" s="193" t="s">
        <v>361</v>
      </c>
      <c r="S100" s="193" t="s">
        <v>34</v>
      </c>
      <c r="T100" s="202">
        <v>3.7149999999999999</v>
      </c>
      <c r="U100" s="193" t="s">
        <v>2062</v>
      </c>
      <c r="V100" s="205">
        <v>1.3899999999999999E-2</v>
      </c>
      <c r="W100" s="201">
        <v>2.511E-2</v>
      </c>
      <c r="X100" s="206" t="s">
        <v>367</v>
      </c>
      <c r="Y100" s="206" t="s">
        <v>94</v>
      </c>
      <c r="Z100" s="202">
        <v>229600</v>
      </c>
      <c r="AA100" s="203">
        <v>1</v>
      </c>
      <c r="AB100" s="204">
        <v>105.13</v>
      </c>
      <c r="AD100" s="202">
        <v>241.37799999999999</v>
      </c>
      <c r="AG100" s="193" t="s">
        <v>36</v>
      </c>
      <c r="AH100" s="201">
        <v>1.4300000000000001E-4</v>
      </c>
      <c r="AI100" s="201">
        <v>8.6314220695150393E-3</v>
      </c>
      <c r="AJ100" s="201">
        <v>1.56696743881816E-3</v>
      </c>
    </row>
    <row r="101" spans="1:36">
      <c r="A101" s="193">
        <v>891</v>
      </c>
      <c r="B101" s="193">
        <v>9957</v>
      </c>
      <c r="C101" s="193" t="s">
        <v>1558</v>
      </c>
      <c r="D101" s="193" t="s">
        <v>1559</v>
      </c>
      <c r="E101" s="206" t="s">
        <v>1264</v>
      </c>
      <c r="F101" s="193" t="s">
        <v>2063</v>
      </c>
      <c r="G101" s="193" t="s">
        <v>2064</v>
      </c>
      <c r="H101" s="193" t="s">
        <v>275</v>
      </c>
      <c r="I101" s="193" t="s">
        <v>712</v>
      </c>
      <c r="J101" s="193" t="s">
        <v>30</v>
      </c>
      <c r="K101" s="193" t="s">
        <v>30</v>
      </c>
      <c r="L101" s="193" t="s">
        <v>281</v>
      </c>
      <c r="M101" s="193" t="s">
        <v>31</v>
      </c>
      <c r="N101" s="193" t="s">
        <v>403</v>
      </c>
      <c r="O101" s="193" t="s">
        <v>94</v>
      </c>
      <c r="P101" s="193" t="s">
        <v>1139</v>
      </c>
      <c r="Q101" s="193" t="s">
        <v>368</v>
      </c>
      <c r="R101" s="193" t="s">
        <v>361</v>
      </c>
      <c r="S101" s="193" t="s">
        <v>34</v>
      </c>
      <c r="T101" s="202">
        <v>2.8039999999999998</v>
      </c>
      <c r="U101" s="193" t="s">
        <v>2065</v>
      </c>
      <c r="V101" s="205">
        <v>1.7500000000000002E-2</v>
      </c>
      <c r="W101" s="201">
        <v>2.4469999999999999E-2</v>
      </c>
      <c r="X101" s="206" t="s">
        <v>367</v>
      </c>
      <c r="Y101" s="206" t="s">
        <v>94</v>
      </c>
      <c r="Z101" s="202">
        <v>265106</v>
      </c>
      <c r="AA101" s="203">
        <v>1</v>
      </c>
      <c r="AB101" s="204">
        <v>115.29</v>
      </c>
      <c r="AD101" s="202">
        <v>305.64100000000002</v>
      </c>
      <c r="AG101" s="193" t="s">
        <v>36</v>
      </c>
      <c r="AH101" s="201">
        <v>1.1900000000000001E-4</v>
      </c>
      <c r="AI101" s="201">
        <v>1.09293668068278E-2</v>
      </c>
      <c r="AJ101" s="201">
        <v>1.9841414051209099E-3</v>
      </c>
    </row>
    <row r="102" spans="1:36">
      <c r="A102" s="193">
        <v>891</v>
      </c>
      <c r="B102" s="193">
        <v>9957</v>
      </c>
      <c r="C102" s="193" t="s">
        <v>1558</v>
      </c>
      <c r="D102" s="193" t="s">
        <v>1559</v>
      </c>
      <c r="E102" s="206" t="s">
        <v>1264</v>
      </c>
      <c r="F102" s="193" t="s">
        <v>2066</v>
      </c>
      <c r="G102" s="193" t="s">
        <v>2067</v>
      </c>
      <c r="H102" s="193" t="s">
        <v>275</v>
      </c>
      <c r="I102" s="193" t="s">
        <v>712</v>
      </c>
      <c r="J102" s="193" t="s">
        <v>30</v>
      </c>
      <c r="K102" s="193" t="s">
        <v>30</v>
      </c>
      <c r="L102" s="193" t="s">
        <v>281</v>
      </c>
      <c r="M102" s="193" t="s">
        <v>1781</v>
      </c>
      <c r="N102" s="193" t="s">
        <v>403</v>
      </c>
      <c r="O102" s="193" t="s">
        <v>94</v>
      </c>
      <c r="P102" s="193" t="s">
        <v>1696</v>
      </c>
      <c r="Q102" s="193" t="s">
        <v>368</v>
      </c>
      <c r="R102" s="193" t="s">
        <v>361</v>
      </c>
      <c r="S102" s="193" t="s">
        <v>34</v>
      </c>
      <c r="T102" s="202">
        <v>6.56</v>
      </c>
      <c r="U102" s="193" t="s">
        <v>2068</v>
      </c>
      <c r="V102" s="205">
        <v>3.4500000000000003E-2</v>
      </c>
      <c r="W102" s="201">
        <v>2.903E-2</v>
      </c>
      <c r="X102" s="206" t="s">
        <v>367</v>
      </c>
      <c r="Y102" s="206" t="s">
        <v>94</v>
      </c>
      <c r="Z102" s="202">
        <v>290000</v>
      </c>
      <c r="AA102" s="203">
        <v>1</v>
      </c>
      <c r="AB102" s="204">
        <v>106.85</v>
      </c>
      <c r="AD102" s="202">
        <v>309.86500000000001</v>
      </c>
      <c r="AG102" s="193" t="s">
        <v>36</v>
      </c>
      <c r="AH102" s="201">
        <v>1.9699999999999999E-4</v>
      </c>
      <c r="AI102" s="201">
        <v>1.10804227434454E-2</v>
      </c>
      <c r="AJ102" s="201">
        <v>2.01156443370341E-3</v>
      </c>
    </row>
    <row r="103" spans="1:36">
      <c r="A103" s="193">
        <v>891</v>
      </c>
      <c r="B103" s="193">
        <v>9957</v>
      </c>
      <c r="C103" s="193" t="s">
        <v>1558</v>
      </c>
      <c r="D103" s="193" t="s">
        <v>1559</v>
      </c>
      <c r="E103" s="206" t="s">
        <v>1264</v>
      </c>
      <c r="F103" s="193" t="s">
        <v>2069</v>
      </c>
      <c r="G103" s="193" t="s">
        <v>2070</v>
      </c>
      <c r="H103" s="193" t="s">
        <v>275</v>
      </c>
      <c r="I103" s="193" t="s">
        <v>712</v>
      </c>
      <c r="J103" s="193" t="s">
        <v>30</v>
      </c>
      <c r="K103" s="193" t="s">
        <v>30</v>
      </c>
      <c r="L103" s="193" t="s">
        <v>281</v>
      </c>
      <c r="M103" s="193" t="s">
        <v>31</v>
      </c>
      <c r="N103" s="193" t="s">
        <v>403</v>
      </c>
      <c r="O103" s="193" t="s">
        <v>94</v>
      </c>
      <c r="P103" s="193" t="s">
        <v>1696</v>
      </c>
      <c r="Q103" s="193" t="s">
        <v>368</v>
      </c>
      <c r="R103" s="193" t="s">
        <v>361</v>
      </c>
      <c r="S103" s="193" t="s">
        <v>34</v>
      </c>
      <c r="T103" s="202">
        <v>2.673</v>
      </c>
      <c r="U103" s="193" t="s">
        <v>2071</v>
      </c>
      <c r="V103" s="205">
        <v>8.3999999999999995E-3</v>
      </c>
      <c r="W103" s="201">
        <v>2.9729999999999999E-2</v>
      </c>
      <c r="X103" s="206" t="s">
        <v>367</v>
      </c>
      <c r="Y103" s="206" t="s">
        <v>94</v>
      </c>
      <c r="Z103" s="202">
        <v>300000</v>
      </c>
      <c r="AA103" s="203">
        <v>1</v>
      </c>
      <c r="AB103" s="204">
        <v>107.82</v>
      </c>
      <c r="AD103" s="202">
        <v>323.45999999999998</v>
      </c>
      <c r="AG103" s="193" t="s">
        <v>36</v>
      </c>
      <c r="AH103" s="201">
        <v>7.54E-4</v>
      </c>
      <c r="AI103" s="201">
        <v>1.15665646026329E-2</v>
      </c>
      <c r="AJ103" s="201">
        <v>2.0998197012431401E-3</v>
      </c>
    </row>
    <row r="104" spans="1:36">
      <c r="A104" s="193">
        <v>891</v>
      </c>
      <c r="B104" s="193">
        <v>9957</v>
      </c>
      <c r="C104" s="193" t="s">
        <v>1566</v>
      </c>
      <c r="D104" s="193" t="s">
        <v>1567</v>
      </c>
      <c r="E104" s="206" t="s">
        <v>1264</v>
      </c>
      <c r="F104" s="193" t="s">
        <v>2072</v>
      </c>
      <c r="G104" s="193" t="s">
        <v>2073</v>
      </c>
      <c r="H104" s="193" t="s">
        <v>275</v>
      </c>
      <c r="I104" s="193" t="s">
        <v>927</v>
      </c>
      <c r="J104" s="193" t="s">
        <v>30</v>
      </c>
      <c r="K104" s="193" t="s">
        <v>30</v>
      </c>
      <c r="L104" s="193" t="s">
        <v>281</v>
      </c>
      <c r="M104" s="193" t="s">
        <v>31</v>
      </c>
      <c r="N104" s="193" t="s">
        <v>432</v>
      </c>
      <c r="O104" s="193" t="s">
        <v>94</v>
      </c>
      <c r="P104" s="193" t="s">
        <v>1696</v>
      </c>
      <c r="Q104" s="193" t="s">
        <v>368</v>
      </c>
      <c r="R104" s="193" t="s">
        <v>361</v>
      </c>
      <c r="S104" s="193" t="s">
        <v>34</v>
      </c>
      <c r="T104" s="202">
        <v>0.90200000000000002</v>
      </c>
      <c r="U104" s="193" t="s">
        <v>2074</v>
      </c>
      <c r="V104" s="205">
        <v>2.29E-2</v>
      </c>
      <c r="W104" s="201">
        <v>4.7030000000000002E-2</v>
      </c>
      <c r="X104" s="206" t="s">
        <v>367</v>
      </c>
      <c r="Y104" s="206" t="s">
        <v>94</v>
      </c>
      <c r="Z104" s="202">
        <v>140192.31</v>
      </c>
      <c r="AA104" s="203">
        <v>1</v>
      </c>
      <c r="AB104" s="204">
        <v>98.11</v>
      </c>
      <c r="AD104" s="202">
        <v>137.54300000000001</v>
      </c>
      <c r="AG104" s="193" t="s">
        <v>36</v>
      </c>
      <c r="AH104" s="201">
        <v>4.2299999999999998E-4</v>
      </c>
      <c r="AI104" s="201">
        <v>4.9183708648693498E-3</v>
      </c>
      <c r="AJ104" s="201">
        <v>8.92891916906947E-4</v>
      </c>
    </row>
    <row r="105" spans="1:36">
      <c r="A105" s="193">
        <v>891</v>
      </c>
      <c r="B105" s="193">
        <v>9957</v>
      </c>
      <c r="C105" s="193" t="s">
        <v>2075</v>
      </c>
      <c r="D105" s="193" t="s">
        <v>2076</v>
      </c>
      <c r="E105" s="206" t="s">
        <v>1264</v>
      </c>
      <c r="F105" s="193" t="s">
        <v>2077</v>
      </c>
      <c r="G105" s="193" t="s">
        <v>2078</v>
      </c>
      <c r="H105" s="193" t="s">
        <v>275</v>
      </c>
      <c r="I105" s="193" t="s">
        <v>927</v>
      </c>
      <c r="J105" s="193" t="s">
        <v>30</v>
      </c>
      <c r="K105" s="193" t="s">
        <v>30</v>
      </c>
      <c r="L105" s="193" t="s">
        <v>281</v>
      </c>
      <c r="M105" s="193" t="s">
        <v>1781</v>
      </c>
      <c r="N105" s="193" t="s">
        <v>400</v>
      </c>
      <c r="O105" s="193" t="s">
        <v>94</v>
      </c>
      <c r="P105" s="193" t="s">
        <v>1704</v>
      </c>
      <c r="Q105" s="193" t="s">
        <v>368</v>
      </c>
      <c r="R105" s="193" t="s">
        <v>361</v>
      </c>
      <c r="S105" s="193" t="s">
        <v>34</v>
      </c>
      <c r="T105" s="202">
        <v>5.4450000000000003</v>
      </c>
      <c r="U105" s="193" t="s">
        <v>2079</v>
      </c>
      <c r="V105" s="205">
        <v>5.1499999999999997E-2</v>
      </c>
      <c r="W105" s="201">
        <v>4.768E-2</v>
      </c>
      <c r="X105" s="206" t="s">
        <v>367</v>
      </c>
      <c r="Y105" s="206" t="s">
        <v>94</v>
      </c>
      <c r="Z105" s="202">
        <v>220000</v>
      </c>
      <c r="AA105" s="203">
        <v>1</v>
      </c>
      <c r="AB105" s="204">
        <v>103.43</v>
      </c>
      <c r="AD105" s="202">
        <v>227.54599999999999</v>
      </c>
      <c r="AG105" s="193" t="s">
        <v>36</v>
      </c>
      <c r="AH105" s="201">
        <v>3.9599999999999998E-4</v>
      </c>
      <c r="AI105" s="201">
        <v>8.1367881935036999E-3</v>
      </c>
      <c r="AJ105" s="201">
        <v>1.4771705117760201E-3</v>
      </c>
    </row>
    <row r="106" spans="1:36">
      <c r="A106" s="193">
        <v>891</v>
      </c>
      <c r="B106" s="193">
        <v>9957</v>
      </c>
      <c r="C106" s="193" t="s">
        <v>2075</v>
      </c>
      <c r="D106" s="193" t="s">
        <v>2076</v>
      </c>
      <c r="E106" s="206" t="s">
        <v>1264</v>
      </c>
      <c r="F106" s="193" t="s">
        <v>2080</v>
      </c>
      <c r="G106" s="193" t="s">
        <v>2081</v>
      </c>
      <c r="H106" s="193" t="s">
        <v>275</v>
      </c>
      <c r="I106" s="193" t="s">
        <v>712</v>
      </c>
      <c r="J106" s="193" t="s">
        <v>30</v>
      </c>
      <c r="K106" s="193" t="s">
        <v>30</v>
      </c>
      <c r="L106" s="193" t="s">
        <v>281</v>
      </c>
      <c r="M106" s="193" t="s">
        <v>31</v>
      </c>
      <c r="N106" s="193" t="s">
        <v>400</v>
      </c>
      <c r="O106" s="193" t="s">
        <v>94</v>
      </c>
      <c r="P106" s="193" t="s">
        <v>1696</v>
      </c>
      <c r="Q106" s="193" t="s">
        <v>368</v>
      </c>
      <c r="R106" s="193" t="s">
        <v>361</v>
      </c>
      <c r="S106" s="193" t="s">
        <v>34</v>
      </c>
      <c r="T106" s="202">
        <v>6.133</v>
      </c>
      <c r="U106" s="193" t="s">
        <v>2082</v>
      </c>
      <c r="V106" s="205">
        <v>2.0899999999999998E-2</v>
      </c>
      <c r="W106" s="201">
        <v>2.9159999999999998E-2</v>
      </c>
      <c r="X106" s="206" t="s">
        <v>367</v>
      </c>
      <c r="Y106" s="206" t="s">
        <v>94</v>
      </c>
      <c r="Z106" s="202">
        <v>600000</v>
      </c>
      <c r="AA106" s="203">
        <v>1</v>
      </c>
      <c r="AB106" s="204">
        <v>110.73</v>
      </c>
      <c r="AD106" s="202">
        <v>664.38</v>
      </c>
      <c r="AG106" s="193" t="s">
        <v>36</v>
      </c>
      <c r="AH106" s="201">
        <v>3.8900000000000002E-4</v>
      </c>
      <c r="AI106" s="201">
        <v>2.3757479103126301E-2</v>
      </c>
      <c r="AJ106" s="201">
        <v>4.3129852628204998E-3</v>
      </c>
    </row>
    <row r="107" spans="1:36">
      <c r="A107" s="193">
        <v>891</v>
      </c>
      <c r="B107" s="193">
        <v>9957</v>
      </c>
      <c r="C107" s="193" t="s">
        <v>2083</v>
      </c>
      <c r="D107" s="193" t="s">
        <v>2084</v>
      </c>
      <c r="E107" s="206" t="s">
        <v>266</v>
      </c>
      <c r="F107" s="193" t="s">
        <v>2085</v>
      </c>
      <c r="G107" s="193" t="s">
        <v>2086</v>
      </c>
      <c r="H107" s="193" t="s">
        <v>275</v>
      </c>
      <c r="I107" s="193" t="s">
        <v>927</v>
      </c>
      <c r="J107" s="193" t="s">
        <v>30</v>
      </c>
      <c r="K107" s="193" t="s">
        <v>179</v>
      </c>
      <c r="L107" s="193" t="s">
        <v>281</v>
      </c>
      <c r="M107" s="193" t="s">
        <v>31</v>
      </c>
      <c r="N107" s="193" t="s">
        <v>420</v>
      </c>
      <c r="O107" s="193" t="s">
        <v>94</v>
      </c>
      <c r="P107" s="193" t="s">
        <v>1727</v>
      </c>
      <c r="Q107" s="193" t="s">
        <v>368</v>
      </c>
      <c r="R107" s="193" t="s">
        <v>361</v>
      </c>
      <c r="S107" s="193" t="s">
        <v>34</v>
      </c>
      <c r="T107" s="202">
        <v>0.57399999999999995</v>
      </c>
      <c r="U107" s="193" t="s">
        <v>1976</v>
      </c>
      <c r="V107" s="205">
        <v>4.045E-2</v>
      </c>
      <c r="W107" s="201">
        <v>0.44588</v>
      </c>
      <c r="X107" s="206" t="s">
        <v>367</v>
      </c>
      <c r="Y107" s="206" t="s">
        <v>94</v>
      </c>
      <c r="Z107" s="202">
        <v>0.26</v>
      </c>
      <c r="AA107" s="203">
        <v>1</v>
      </c>
      <c r="AB107" s="204">
        <v>84.44</v>
      </c>
      <c r="AD107" s="202">
        <v>0</v>
      </c>
      <c r="AG107" s="193" t="s">
        <v>36</v>
      </c>
      <c r="AH107" s="201">
        <v>0</v>
      </c>
      <c r="AI107" s="201">
        <v>7.8506457030867401E-9</v>
      </c>
      <c r="AJ107" s="201">
        <v>1.4252235716618E-9</v>
      </c>
    </row>
    <row r="108" spans="1:36">
      <c r="A108" s="193">
        <v>891</v>
      </c>
      <c r="B108" s="193">
        <v>9957</v>
      </c>
      <c r="C108" s="193" t="s">
        <v>2087</v>
      </c>
      <c r="D108" s="193" t="s">
        <v>2088</v>
      </c>
      <c r="E108" s="206" t="s">
        <v>1264</v>
      </c>
      <c r="F108" s="193" t="s">
        <v>2089</v>
      </c>
      <c r="G108" s="193" t="s">
        <v>2090</v>
      </c>
      <c r="H108" s="193" t="s">
        <v>275</v>
      </c>
      <c r="I108" s="193" t="s">
        <v>927</v>
      </c>
      <c r="J108" s="193" t="s">
        <v>30</v>
      </c>
      <c r="K108" s="193" t="s">
        <v>30</v>
      </c>
      <c r="L108" s="193" t="s">
        <v>281</v>
      </c>
      <c r="M108" s="193" t="s">
        <v>31</v>
      </c>
      <c r="N108" s="193" t="s">
        <v>420</v>
      </c>
      <c r="O108" s="193" t="s">
        <v>94</v>
      </c>
      <c r="P108" s="193" t="s">
        <v>1688</v>
      </c>
      <c r="Q108" s="193" t="s">
        <v>370</v>
      </c>
      <c r="R108" s="193" t="s">
        <v>361</v>
      </c>
      <c r="S108" s="193" t="s">
        <v>34</v>
      </c>
      <c r="T108" s="202">
        <v>5.6509999999999998</v>
      </c>
      <c r="U108" s="193" t="s">
        <v>2091</v>
      </c>
      <c r="V108" s="205">
        <v>5.5899999999999998E-2</v>
      </c>
      <c r="W108" s="201">
        <v>5.2449999999999997E-2</v>
      </c>
      <c r="X108" s="206" t="s">
        <v>367</v>
      </c>
      <c r="Y108" s="206" t="s">
        <v>94</v>
      </c>
      <c r="Z108" s="202">
        <v>191000</v>
      </c>
      <c r="AA108" s="203">
        <v>1</v>
      </c>
      <c r="AB108" s="204">
        <v>103.88</v>
      </c>
      <c r="AD108" s="202">
        <v>198.411</v>
      </c>
      <c r="AG108" s="193" t="s">
        <v>36</v>
      </c>
      <c r="AH108" s="201">
        <v>8.5400000000000005E-4</v>
      </c>
      <c r="AI108" s="201">
        <v>7.0949463181230301E-3</v>
      </c>
      <c r="AJ108" s="201">
        <v>1.28803223514318E-3</v>
      </c>
    </row>
    <row r="109" spans="1:36">
      <c r="A109" s="193">
        <v>891</v>
      </c>
      <c r="B109" s="193">
        <v>9957</v>
      </c>
      <c r="C109" s="193" t="s">
        <v>1578</v>
      </c>
      <c r="D109" s="193" t="s">
        <v>1579</v>
      </c>
      <c r="E109" s="206" t="s">
        <v>1264</v>
      </c>
      <c r="F109" s="193" t="s">
        <v>2092</v>
      </c>
      <c r="G109" s="193" t="s">
        <v>2093</v>
      </c>
      <c r="H109" s="193" t="s">
        <v>275</v>
      </c>
      <c r="I109" s="193" t="s">
        <v>712</v>
      </c>
      <c r="J109" s="193" t="s">
        <v>30</v>
      </c>
      <c r="K109" s="193" t="s">
        <v>30</v>
      </c>
      <c r="L109" s="193" t="s">
        <v>281</v>
      </c>
      <c r="M109" s="193" t="s">
        <v>31</v>
      </c>
      <c r="N109" s="193" t="s">
        <v>416</v>
      </c>
      <c r="O109" s="193" t="s">
        <v>94</v>
      </c>
      <c r="P109" s="193" t="s">
        <v>1688</v>
      </c>
      <c r="Q109" s="193" t="s">
        <v>370</v>
      </c>
      <c r="R109" s="193" t="s">
        <v>361</v>
      </c>
      <c r="S109" s="193" t="s">
        <v>34</v>
      </c>
      <c r="T109" s="202">
        <v>3.407</v>
      </c>
      <c r="U109" s="193" t="s">
        <v>2094</v>
      </c>
      <c r="V109" s="205">
        <v>3.2500000000000001E-2</v>
      </c>
      <c r="W109" s="201">
        <v>3.083E-2</v>
      </c>
      <c r="X109" s="206" t="s">
        <v>367</v>
      </c>
      <c r="Y109" s="206" t="s">
        <v>94</v>
      </c>
      <c r="Z109" s="202">
        <v>196710</v>
      </c>
      <c r="AA109" s="203">
        <v>1</v>
      </c>
      <c r="AB109" s="204">
        <v>111.12</v>
      </c>
      <c r="AD109" s="202">
        <v>218.584</v>
      </c>
      <c r="AG109" s="193" t="s">
        <v>36</v>
      </c>
      <c r="AH109" s="201">
        <v>5.4100000000000003E-4</v>
      </c>
      <c r="AI109" s="201">
        <v>7.8163226217143698E-3</v>
      </c>
      <c r="AJ109" s="201">
        <v>1.4189924836119599E-3</v>
      </c>
    </row>
    <row r="110" spans="1:36">
      <c r="A110" s="193">
        <v>891</v>
      </c>
      <c r="B110" s="193">
        <v>9957</v>
      </c>
      <c r="C110" s="193" t="s">
        <v>2095</v>
      </c>
      <c r="D110" s="193" t="s">
        <v>2096</v>
      </c>
      <c r="E110" s="206" t="s">
        <v>1264</v>
      </c>
      <c r="F110" s="193" t="s">
        <v>2097</v>
      </c>
      <c r="G110" s="193" t="s">
        <v>2098</v>
      </c>
      <c r="H110" s="193" t="s">
        <v>275</v>
      </c>
      <c r="I110" s="193" t="s">
        <v>927</v>
      </c>
      <c r="J110" s="193" t="s">
        <v>30</v>
      </c>
      <c r="K110" s="193" t="s">
        <v>30</v>
      </c>
      <c r="L110" s="193" t="s">
        <v>281</v>
      </c>
      <c r="M110" s="193" t="s">
        <v>31</v>
      </c>
      <c r="N110" s="193" t="s">
        <v>402</v>
      </c>
      <c r="O110" s="193" t="s">
        <v>94</v>
      </c>
      <c r="P110" s="193" t="s">
        <v>1727</v>
      </c>
      <c r="Q110" s="193" t="s">
        <v>368</v>
      </c>
      <c r="R110" s="193" t="s">
        <v>361</v>
      </c>
      <c r="S110" s="193" t="s">
        <v>34</v>
      </c>
      <c r="T110" s="202">
        <v>2.246</v>
      </c>
      <c r="U110" s="193" t="s">
        <v>1997</v>
      </c>
      <c r="V110" s="205">
        <v>5.3400000000000003E-2</v>
      </c>
      <c r="W110" s="201">
        <v>5.16E-2</v>
      </c>
      <c r="X110" s="206" t="s">
        <v>367</v>
      </c>
      <c r="Y110" s="206" t="s">
        <v>94</v>
      </c>
      <c r="Z110" s="202">
        <v>285000</v>
      </c>
      <c r="AA110" s="203">
        <v>1</v>
      </c>
      <c r="AB110" s="204">
        <v>100.99</v>
      </c>
      <c r="AD110" s="202">
        <v>287.822</v>
      </c>
      <c r="AG110" s="193" t="s">
        <v>36</v>
      </c>
      <c r="AH110" s="201">
        <v>4.0900000000000002E-4</v>
      </c>
      <c r="AI110" s="201">
        <v>1.02921720576786E-2</v>
      </c>
      <c r="AJ110" s="201">
        <v>1.8684636620953201E-3</v>
      </c>
    </row>
    <row r="111" spans="1:36">
      <c r="A111" s="193">
        <v>891</v>
      </c>
      <c r="B111" s="193">
        <v>9957</v>
      </c>
      <c r="C111" s="193" t="s">
        <v>2099</v>
      </c>
      <c r="D111" s="193" t="s">
        <v>2100</v>
      </c>
      <c r="E111" s="206" t="s">
        <v>1264</v>
      </c>
      <c r="F111" s="193" t="s">
        <v>2101</v>
      </c>
      <c r="G111" s="193" t="s">
        <v>2102</v>
      </c>
      <c r="H111" s="193" t="s">
        <v>275</v>
      </c>
      <c r="I111" s="193" t="s">
        <v>927</v>
      </c>
      <c r="J111" s="193" t="s">
        <v>30</v>
      </c>
      <c r="K111" s="193" t="s">
        <v>30</v>
      </c>
      <c r="L111" s="193" t="s">
        <v>281</v>
      </c>
      <c r="M111" s="193" t="s">
        <v>31</v>
      </c>
      <c r="N111" s="193" t="s">
        <v>402</v>
      </c>
      <c r="O111" s="193" t="s">
        <v>94</v>
      </c>
      <c r="P111" s="193" t="s">
        <v>1773</v>
      </c>
      <c r="Q111" s="193" t="s">
        <v>370</v>
      </c>
      <c r="R111" s="193" t="s">
        <v>361</v>
      </c>
      <c r="S111" s="193" t="s">
        <v>34</v>
      </c>
      <c r="T111" s="202">
        <v>3.3000000000000002E-2</v>
      </c>
      <c r="U111" s="193" t="s">
        <v>2103</v>
      </c>
      <c r="V111" s="205">
        <v>4.3499999999999997E-2</v>
      </c>
      <c r="W111" s="201">
        <v>9.1929999999999998E-2</v>
      </c>
      <c r="X111" s="206" t="s">
        <v>367</v>
      </c>
      <c r="Y111" s="206" t="s">
        <v>94</v>
      </c>
      <c r="Z111" s="202">
        <v>61884</v>
      </c>
      <c r="AA111" s="203">
        <v>1</v>
      </c>
      <c r="AB111" s="204">
        <v>101.88</v>
      </c>
      <c r="AD111" s="202">
        <v>63.046999999999997</v>
      </c>
      <c r="AG111" s="193" t="s">
        <v>36</v>
      </c>
      <c r="AH111" s="201">
        <v>2.5790000000000001E-3</v>
      </c>
      <c r="AI111" s="201">
        <v>2.2545045668894998E-3</v>
      </c>
      <c r="AJ111" s="201">
        <v>4.0928774175692502E-4</v>
      </c>
    </row>
    <row r="112" spans="1:36">
      <c r="A112" s="193">
        <v>891</v>
      </c>
      <c r="B112" s="193">
        <v>9957</v>
      </c>
      <c r="C112" s="193" t="s">
        <v>2099</v>
      </c>
      <c r="D112" s="193" t="s">
        <v>2100</v>
      </c>
      <c r="E112" s="206" t="s">
        <v>1264</v>
      </c>
      <c r="F112" s="193" t="s">
        <v>2104</v>
      </c>
      <c r="G112" s="193" t="s">
        <v>2105</v>
      </c>
      <c r="H112" s="193" t="s">
        <v>275</v>
      </c>
      <c r="I112" s="193" t="s">
        <v>927</v>
      </c>
      <c r="J112" s="193" t="s">
        <v>30</v>
      </c>
      <c r="K112" s="193" t="s">
        <v>30</v>
      </c>
      <c r="L112" s="193" t="s">
        <v>281</v>
      </c>
      <c r="M112" s="193" t="s">
        <v>31</v>
      </c>
      <c r="N112" s="193" t="s">
        <v>402</v>
      </c>
      <c r="O112" s="193" t="s">
        <v>94</v>
      </c>
      <c r="P112" s="193" t="s">
        <v>1773</v>
      </c>
      <c r="Q112" s="193" t="s">
        <v>370</v>
      </c>
      <c r="R112" s="193" t="s">
        <v>361</v>
      </c>
      <c r="S112" s="193" t="s">
        <v>34</v>
      </c>
      <c r="T112" s="202">
        <v>3.3000000000000002E-2</v>
      </c>
      <c r="U112" s="193" t="s">
        <v>2103</v>
      </c>
      <c r="V112" s="205">
        <v>0.06</v>
      </c>
      <c r="W112" s="201">
        <v>2.392E-2</v>
      </c>
      <c r="X112" s="206" t="s">
        <v>367</v>
      </c>
      <c r="Y112" s="206" t="s">
        <v>94</v>
      </c>
      <c r="Z112" s="202">
        <v>15669.8</v>
      </c>
      <c r="AA112" s="203">
        <v>1</v>
      </c>
      <c r="AB112" s="204">
        <v>102.92</v>
      </c>
      <c r="AD112" s="202">
        <v>16.126999999999999</v>
      </c>
      <c r="AG112" s="193" t="s">
        <v>36</v>
      </c>
      <c r="AH112" s="201">
        <v>6.0300000000000002E-4</v>
      </c>
      <c r="AI112" s="201">
        <v>5.7669612943621795E-4</v>
      </c>
      <c r="AJ112" s="201">
        <v>1.0469468989480101E-4</v>
      </c>
    </row>
    <row r="113" spans="1:36">
      <c r="A113" s="193">
        <v>891</v>
      </c>
      <c r="B113" s="193">
        <v>9957</v>
      </c>
      <c r="C113" s="193" t="s">
        <v>2106</v>
      </c>
      <c r="D113" s="193" t="s">
        <v>2107</v>
      </c>
      <c r="E113" s="206" t="s">
        <v>1264</v>
      </c>
      <c r="F113" s="193" t="s">
        <v>2108</v>
      </c>
      <c r="G113" s="193" t="s">
        <v>2109</v>
      </c>
      <c r="H113" s="193" t="s">
        <v>275</v>
      </c>
      <c r="I113" s="193" t="s">
        <v>712</v>
      </c>
      <c r="J113" s="193" t="s">
        <v>30</v>
      </c>
      <c r="K113" s="193" t="s">
        <v>30</v>
      </c>
      <c r="L113" s="193" t="s">
        <v>281</v>
      </c>
      <c r="M113" s="193" t="s">
        <v>31</v>
      </c>
      <c r="N113" s="193" t="s">
        <v>419</v>
      </c>
      <c r="O113" s="193" t="s">
        <v>94</v>
      </c>
      <c r="P113" s="193" t="s">
        <v>1704</v>
      </c>
      <c r="Q113" s="193" t="s">
        <v>368</v>
      </c>
      <c r="R113" s="193" t="s">
        <v>361</v>
      </c>
      <c r="S113" s="193" t="s">
        <v>34</v>
      </c>
      <c r="T113" s="202">
        <v>6.0019999999999998</v>
      </c>
      <c r="U113" s="193" t="s">
        <v>2110</v>
      </c>
      <c r="V113" s="205">
        <v>2.5000000000000001E-2</v>
      </c>
      <c r="W113" s="201">
        <v>2.9499999999999998E-2</v>
      </c>
      <c r="X113" s="206" t="s">
        <v>367</v>
      </c>
      <c r="Y113" s="206" t="s">
        <v>94</v>
      </c>
      <c r="Z113" s="202">
        <v>337750</v>
      </c>
      <c r="AA113" s="203">
        <v>1</v>
      </c>
      <c r="AB113" s="204">
        <v>114.89</v>
      </c>
      <c r="AD113" s="202">
        <v>388.041</v>
      </c>
      <c r="AG113" s="193" t="s">
        <v>36</v>
      </c>
      <c r="AH113" s="201">
        <v>2.5000000000000001E-4</v>
      </c>
      <c r="AI113" s="201">
        <v>1.38759073944418E-2</v>
      </c>
      <c r="AJ113" s="201">
        <v>2.51906289554998E-3</v>
      </c>
    </row>
    <row r="114" spans="1:36">
      <c r="A114" s="193">
        <v>891</v>
      </c>
      <c r="B114" s="193">
        <v>9957</v>
      </c>
      <c r="C114" s="193" t="s">
        <v>2111</v>
      </c>
      <c r="D114" s="193" t="s">
        <v>2112</v>
      </c>
      <c r="E114" s="206" t="s">
        <v>1264</v>
      </c>
      <c r="F114" s="193" t="s">
        <v>2113</v>
      </c>
      <c r="G114" s="193" t="s">
        <v>2114</v>
      </c>
      <c r="H114" s="193" t="s">
        <v>275</v>
      </c>
      <c r="I114" s="193" t="s">
        <v>927</v>
      </c>
      <c r="J114" s="193" t="s">
        <v>30</v>
      </c>
      <c r="K114" s="193" t="s">
        <v>30</v>
      </c>
      <c r="L114" s="193" t="s">
        <v>281</v>
      </c>
      <c r="M114" s="193" t="s">
        <v>1781</v>
      </c>
      <c r="N114" s="193" t="s">
        <v>402</v>
      </c>
      <c r="O114" s="193" t="s">
        <v>94</v>
      </c>
      <c r="P114" s="193" t="s">
        <v>1688</v>
      </c>
      <c r="Q114" s="193" t="s">
        <v>370</v>
      </c>
      <c r="R114" s="193" t="s">
        <v>361</v>
      </c>
      <c r="S114" s="193" t="s">
        <v>34</v>
      </c>
      <c r="T114" s="202">
        <v>3.6869999999999998</v>
      </c>
      <c r="U114" s="193" t="s">
        <v>74</v>
      </c>
      <c r="V114" s="205">
        <v>5.8200000000000002E-2</v>
      </c>
      <c r="W114" s="201">
        <v>4.8480000000000002E-2</v>
      </c>
      <c r="X114" s="206" t="s">
        <v>367</v>
      </c>
      <c r="Y114" s="206" t="s">
        <v>94</v>
      </c>
      <c r="Z114" s="202">
        <v>207000</v>
      </c>
      <c r="AA114" s="203">
        <v>1</v>
      </c>
      <c r="AB114" s="204">
        <v>104.76</v>
      </c>
      <c r="AD114" s="202">
        <v>216.85300000000001</v>
      </c>
      <c r="AG114" s="193" t="s">
        <v>36</v>
      </c>
      <c r="AH114" s="201">
        <v>1.183E-3</v>
      </c>
      <c r="AI114" s="201">
        <v>7.7544257314279197E-3</v>
      </c>
      <c r="AJ114" s="201">
        <v>1.4077555853509499E-3</v>
      </c>
    </row>
    <row r="115" spans="1:36">
      <c r="A115" s="193">
        <v>891</v>
      </c>
      <c r="B115" s="193">
        <v>9957</v>
      </c>
      <c r="C115" s="193" t="s">
        <v>2115</v>
      </c>
      <c r="D115" s="193" t="s">
        <v>2116</v>
      </c>
      <c r="E115" s="206" t="s">
        <v>1264</v>
      </c>
      <c r="F115" s="193" t="s">
        <v>2117</v>
      </c>
      <c r="G115" s="193" t="s">
        <v>2118</v>
      </c>
      <c r="H115" s="193" t="s">
        <v>275</v>
      </c>
      <c r="I115" s="193" t="s">
        <v>927</v>
      </c>
      <c r="J115" s="193" t="s">
        <v>30</v>
      </c>
      <c r="K115" s="193" t="s">
        <v>30</v>
      </c>
      <c r="L115" s="193" t="s">
        <v>281</v>
      </c>
      <c r="M115" s="193" t="s">
        <v>31</v>
      </c>
      <c r="N115" s="193" t="s">
        <v>398</v>
      </c>
      <c r="O115" s="193" t="s">
        <v>94</v>
      </c>
      <c r="P115" s="193" t="s">
        <v>2119</v>
      </c>
      <c r="Q115" s="193" t="s">
        <v>370</v>
      </c>
      <c r="R115" s="193" t="s">
        <v>361</v>
      </c>
      <c r="S115" s="193" t="s">
        <v>34</v>
      </c>
      <c r="T115" s="202">
        <v>0.499</v>
      </c>
      <c r="U115" s="193" t="s">
        <v>2120</v>
      </c>
      <c r="V115" s="205">
        <v>3.15E-2</v>
      </c>
      <c r="W115" s="201">
        <v>5.3269999999999998E-2</v>
      </c>
      <c r="X115" s="206" t="s">
        <v>367</v>
      </c>
      <c r="Y115" s="206" t="s">
        <v>94</v>
      </c>
      <c r="Z115" s="202">
        <v>49999.66</v>
      </c>
      <c r="AA115" s="203">
        <v>1</v>
      </c>
      <c r="AB115" s="204">
        <v>98.98</v>
      </c>
      <c r="AD115" s="202">
        <v>49.49</v>
      </c>
      <c r="AG115" s="193" t="s">
        <v>36</v>
      </c>
      <c r="AH115" s="201">
        <v>1.1590000000000001E-3</v>
      </c>
      <c r="AI115" s="201">
        <v>1.7696945206986401E-3</v>
      </c>
      <c r="AJ115" s="201">
        <v>3.21274254492053E-4</v>
      </c>
    </row>
    <row r="116" spans="1:36">
      <c r="A116" s="193">
        <v>891</v>
      </c>
      <c r="B116" s="193">
        <v>9957</v>
      </c>
      <c r="C116" s="193" t="s">
        <v>2121</v>
      </c>
      <c r="D116" s="193" t="s">
        <v>2122</v>
      </c>
      <c r="E116" s="206" t="s">
        <v>1264</v>
      </c>
      <c r="F116" s="193" t="s">
        <v>2123</v>
      </c>
      <c r="G116" s="193" t="s">
        <v>2124</v>
      </c>
      <c r="H116" s="193" t="s">
        <v>275</v>
      </c>
      <c r="I116" s="193" t="s">
        <v>927</v>
      </c>
      <c r="J116" s="193" t="s">
        <v>30</v>
      </c>
      <c r="K116" s="193" t="s">
        <v>30</v>
      </c>
      <c r="L116" s="193" t="s">
        <v>281</v>
      </c>
      <c r="M116" s="193" t="s">
        <v>31</v>
      </c>
      <c r="N116" s="193" t="s">
        <v>419</v>
      </c>
      <c r="O116" s="193" t="s">
        <v>94</v>
      </c>
      <c r="P116" s="193" t="s">
        <v>1773</v>
      </c>
      <c r="Q116" s="193" t="s">
        <v>370</v>
      </c>
      <c r="R116" s="193" t="s">
        <v>361</v>
      </c>
      <c r="S116" s="193" t="s">
        <v>34</v>
      </c>
      <c r="T116" s="202">
        <v>2.6080000000000001</v>
      </c>
      <c r="U116" s="193" t="s">
        <v>2125</v>
      </c>
      <c r="V116" s="205">
        <v>4.1000000000000002E-2</v>
      </c>
      <c r="W116" s="201">
        <v>5.0680000000000003E-2</v>
      </c>
      <c r="X116" s="206" t="s">
        <v>367</v>
      </c>
      <c r="Y116" s="206" t="s">
        <v>94</v>
      </c>
      <c r="Z116" s="202">
        <v>0.67</v>
      </c>
      <c r="AA116" s="203">
        <v>1</v>
      </c>
      <c r="AB116" s="204">
        <v>98.37</v>
      </c>
      <c r="AD116" s="202">
        <v>1E-3</v>
      </c>
      <c r="AG116" s="193" t="s">
        <v>36</v>
      </c>
      <c r="AH116" s="201">
        <v>0</v>
      </c>
      <c r="AI116" s="201">
        <v>2.3567921324858401E-8</v>
      </c>
      <c r="AJ116" s="201">
        <v>4.2785725248118102E-9</v>
      </c>
    </row>
    <row r="117" spans="1:36">
      <c r="A117" s="193">
        <v>891</v>
      </c>
      <c r="B117" s="193">
        <v>9957</v>
      </c>
      <c r="C117" s="193" t="s">
        <v>2126</v>
      </c>
      <c r="D117" s="193" t="s">
        <v>2127</v>
      </c>
      <c r="E117" s="206" t="s">
        <v>1264</v>
      </c>
      <c r="F117" s="193" t="s">
        <v>2128</v>
      </c>
      <c r="G117" s="193" t="s">
        <v>2129</v>
      </c>
      <c r="H117" s="193" t="s">
        <v>275</v>
      </c>
      <c r="I117" s="193" t="s">
        <v>713</v>
      </c>
      <c r="J117" s="193" t="s">
        <v>30</v>
      </c>
      <c r="K117" s="193" t="s">
        <v>30</v>
      </c>
      <c r="L117" s="193" t="s">
        <v>281</v>
      </c>
      <c r="M117" s="193" t="s">
        <v>31</v>
      </c>
      <c r="N117" s="193" t="s">
        <v>409</v>
      </c>
      <c r="O117" s="193" t="s">
        <v>94</v>
      </c>
      <c r="P117" s="193" t="s">
        <v>1969</v>
      </c>
      <c r="Q117" s="193" t="s">
        <v>370</v>
      </c>
      <c r="R117" s="193" t="s">
        <v>361</v>
      </c>
      <c r="S117" s="193" t="s">
        <v>34</v>
      </c>
      <c r="T117" s="202">
        <v>2.4249999999999998</v>
      </c>
      <c r="U117" s="193" t="s">
        <v>2130</v>
      </c>
      <c r="V117" s="205">
        <v>4.6899999999999997E-2</v>
      </c>
      <c r="W117" s="201">
        <v>6.2420000000000003E-2</v>
      </c>
      <c r="X117" s="206" t="s">
        <v>367</v>
      </c>
      <c r="Y117" s="206" t="s">
        <v>94</v>
      </c>
      <c r="Z117" s="202">
        <v>103544.22</v>
      </c>
      <c r="AA117" s="203">
        <v>1</v>
      </c>
      <c r="AB117" s="204">
        <v>94.12</v>
      </c>
      <c r="AD117" s="202">
        <v>97.456000000000003</v>
      </c>
      <c r="AG117" s="193" t="s">
        <v>36</v>
      </c>
      <c r="AH117" s="201">
        <v>7.7000000000000001E-5</v>
      </c>
      <c r="AI117" s="201">
        <v>3.48491014765198E-3</v>
      </c>
      <c r="AJ117" s="201">
        <v>6.3265829020970102E-4</v>
      </c>
    </row>
    <row r="118" spans="1:36">
      <c r="A118" s="193">
        <v>891</v>
      </c>
      <c r="B118" s="193">
        <v>9957</v>
      </c>
      <c r="C118" s="193" t="s">
        <v>1876</v>
      </c>
      <c r="D118" s="193" t="s">
        <v>1877</v>
      </c>
      <c r="E118" s="206" t="s">
        <v>1264</v>
      </c>
      <c r="F118" s="193" t="s">
        <v>2131</v>
      </c>
      <c r="G118" s="193" t="s">
        <v>2132</v>
      </c>
      <c r="H118" s="193" t="s">
        <v>275</v>
      </c>
      <c r="I118" s="193" t="s">
        <v>713</v>
      </c>
      <c r="J118" s="193" t="s">
        <v>160</v>
      </c>
      <c r="K118" s="193" t="s">
        <v>30</v>
      </c>
      <c r="L118" s="193" t="s">
        <v>281</v>
      </c>
      <c r="M118" s="193" t="s">
        <v>268</v>
      </c>
      <c r="N118" s="193" t="s">
        <v>395</v>
      </c>
      <c r="O118" s="193" t="s">
        <v>94</v>
      </c>
      <c r="P118" s="193" t="s">
        <v>2133</v>
      </c>
      <c r="Q118" s="193" t="s">
        <v>388</v>
      </c>
      <c r="R118" s="193" t="s">
        <v>361</v>
      </c>
      <c r="S118" s="193" t="s">
        <v>1140</v>
      </c>
      <c r="T118" s="202">
        <v>16.472999999999999</v>
      </c>
      <c r="U118" s="193" t="s">
        <v>2134</v>
      </c>
      <c r="V118" s="205">
        <v>8.1000000000000003E-2</v>
      </c>
      <c r="W118" s="201">
        <v>6.1039999999999997E-2</v>
      </c>
      <c r="X118" s="206" t="s">
        <v>367</v>
      </c>
      <c r="Y118" s="206" t="s">
        <v>94</v>
      </c>
      <c r="Z118" s="202">
        <v>100000</v>
      </c>
      <c r="AA118" s="203">
        <v>3.3719999999999999</v>
      </c>
      <c r="AB118" s="204">
        <v>132.428</v>
      </c>
      <c r="AD118" s="202">
        <v>446.54700000000003</v>
      </c>
      <c r="AG118" s="193" t="s">
        <v>36</v>
      </c>
      <c r="AH118" s="201">
        <v>8.0000000000000004E-4</v>
      </c>
      <c r="AI118" s="201">
        <v>1.5968024553236499E-2</v>
      </c>
      <c r="AJ118" s="201">
        <v>2.8988704683487201E-3</v>
      </c>
    </row>
    <row r="119" spans="1:36">
      <c r="A119" s="193">
        <v>891</v>
      </c>
      <c r="B119" s="193">
        <v>9957</v>
      </c>
      <c r="C119" s="193" t="s">
        <v>1373</v>
      </c>
      <c r="D119" s="193" t="s">
        <v>1374</v>
      </c>
      <c r="E119" s="206" t="s">
        <v>267</v>
      </c>
      <c r="F119" s="193" t="s">
        <v>2135</v>
      </c>
      <c r="G119" s="193" t="s">
        <v>2136</v>
      </c>
      <c r="H119" s="193" t="s">
        <v>275</v>
      </c>
      <c r="I119" s="193" t="s">
        <v>713</v>
      </c>
      <c r="J119" s="193" t="s">
        <v>160</v>
      </c>
      <c r="K119" s="193" t="s">
        <v>251</v>
      </c>
      <c r="L119" s="193" t="s">
        <v>281</v>
      </c>
      <c r="M119" s="193" t="s">
        <v>268</v>
      </c>
      <c r="N119" s="193" t="s">
        <v>409</v>
      </c>
      <c r="O119" s="193" t="s">
        <v>94</v>
      </c>
      <c r="P119" s="193" t="s">
        <v>1683</v>
      </c>
      <c r="Q119" s="193" t="s">
        <v>388</v>
      </c>
      <c r="R119" s="193" t="s">
        <v>361</v>
      </c>
      <c r="S119" s="193" t="s">
        <v>1140</v>
      </c>
      <c r="T119" s="202">
        <v>2.5489999999999999</v>
      </c>
      <c r="U119" s="193" t="s">
        <v>2137</v>
      </c>
      <c r="V119" s="205">
        <v>5.3749999999999999E-2</v>
      </c>
      <c r="W119" s="201">
        <v>7.4149999999999994E-2</v>
      </c>
      <c r="X119" s="206" t="s">
        <v>367</v>
      </c>
      <c r="Y119" s="206" t="s">
        <v>94</v>
      </c>
      <c r="Z119" s="202">
        <v>150000</v>
      </c>
      <c r="AA119" s="203">
        <v>3.3719999999999999</v>
      </c>
      <c r="AB119" s="204">
        <v>96.94</v>
      </c>
      <c r="AD119" s="202">
        <v>490.32100000000003</v>
      </c>
      <c r="AG119" s="193" t="s">
        <v>36</v>
      </c>
      <c r="AH119" s="201">
        <v>2.4000000000000001E-4</v>
      </c>
      <c r="AI119" s="201">
        <v>1.7533325767021098E-2</v>
      </c>
      <c r="AJ119" s="201">
        <v>3.1830387101736499E-3</v>
      </c>
    </row>
    <row r="120" spans="1:36">
      <c r="A120" s="193">
        <v>891</v>
      </c>
      <c r="B120" s="193">
        <v>9957</v>
      </c>
      <c r="C120" s="193" t="s">
        <v>1373</v>
      </c>
      <c r="D120" s="193" t="s">
        <v>1374</v>
      </c>
      <c r="E120" s="206" t="s">
        <v>267</v>
      </c>
      <c r="F120" s="193" t="s">
        <v>2138</v>
      </c>
      <c r="G120" s="193" t="s">
        <v>2139</v>
      </c>
      <c r="H120" s="193" t="s">
        <v>275</v>
      </c>
      <c r="I120" s="193" t="s">
        <v>713</v>
      </c>
      <c r="J120" s="193" t="s">
        <v>160</v>
      </c>
      <c r="K120" s="193" t="s">
        <v>251</v>
      </c>
      <c r="L120" s="193" t="s">
        <v>281</v>
      </c>
      <c r="M120" s="193" t="s">
        <v>268</v>
      </c>
      <c r="N120" s="193" t="s">
        <v>409</v>
      </c>
      <c r="O120" s="193" t="s">
        <v>94</v>
      </c>
      <c r="P120" s="193" t="s">
        <v>1683</v>
      </c>
      <c r="Q120" s="193" t="s">
        <v>388</v>
      </c>
      <c r="R120" s="193" t="s">
        <v>361</v>
      </c>
      <c r="S120" s="193" t="s">
        <v>1140</v>
      </c>
      <c r="T120" s="202">
        <v>4.8440000000000003</v>
      </c>
      <c r="U120" s="193" t="s">
        <v>2140</v>
      </c>
      <c r="V120" s="205">
        <v>5.8749999999999997E-2</v>
      </c>
      <c r="W120" s="201">
        <v>7.6170000000000002E-2</v>
      </c>
      <c r="X120" s="206" t="s">
        <v>367</v>
      </c>
      <c r="Y120" s="206" t="s">
        <v>94</v>
      </c>
      <c r="Z120" s="202">
        <v>150000</v>
      </c>
      <c r="AA120" s="203">
        <v>3.3719999999999999</v>
      </c>
      <c r="AB120" s="204">
        <v>94.051000000000002</v>
      </c>
      <c r="AD120" s="202">
        <v>475.71</v>
      </c>
      <c r="AG120" s="193" t="s">
        <v>36</v>
      </c>
      <c r="AH120" s="201">
        <v>2.4000000000000001E-4</v>
      </c>
      <c r="AI120" s="201">
        <v>1.7010869386295601E-2</v>
      </c>
      <c r="AJ120" s="201">
        <v>3.0881908241351401E-3</v>
      </c>
    </row>
    <row r="121" spans="1:36">
      <c r="A121" s="193">
        <v>891</v>
      </c>
      <c r="B121" s="193">
        <v>9957</v>
      </c>
      <c r="C121" s="193" t="s">
        <v>1137</v>
      </c>
      <c r="D121" s="193" t="s">
        <v>1492</v>
      </c>
      <c r="E121" s="206" t="s">
        <v>1264</v>
      </c>
      <c r="F121" s="193" t="s">
        <v>2141</v>
      </c>
      <c r="G121" s="193" t="s">
        <v>2142</v>
      </c>
      <c r="H121" s="193" t="s">
        <v>275</v>
      </c>
      <c r="I121" s="193" t="s">
        <v>713</v>
      </c>
      <c r="J121" s="193" t="s">
        <v>160</v>
      </c>
      <c r="K121" s="193" t="s">
        <v>30</v>
      </c>
      <c r="L121" s="193" t="s">
        <v>281</v>
      </c>
      <c r="M121" s="193" t="s">
        <v>268</v>
      </c>
      <c r="N121" s="193" t="s">
        <v>403</v>
      </c>
      <c r="O121" s="193" t="s">
        <v>94</v>
      </c>
      <c r="P121" s="193" t="s">
        <v>2143</v>
      </c>
      <c r="Q121" s="193" t="s">
        <v>388</v>
      </c>
      <c r="R121" s="193" t="s">
        <v>361</v>
      </c>
      <c r="S121" s="193" t="s">
        <v>1140</v>
      </c>
      <c r="T121" s="202">
        <v>4.8479999999999999</v>
      </c>
      <c r="U121" s="193" t="s">
        <v>2144</v>
      </c>
      <c r="V121" s="205">
        <v>3.2750000000000001E-2</v>
      </c>
      <c r="W121" s="201">
        <v>5.8430000000000003E-2</v>
      </c>
      <c r="X121" s="206" t="s">
        <v>367</v>
      </c>
      <c r="Y121" s="206" t="s">
        <v>94</v>
      </c>
      <c r="Z121" s="202">
        <v>35000</v>
      </c>
      <c r="AA121" s="203">
        <v>3.3719999999999999</v>
      </c>
      <c r="AB121" s="204">
        <v>99.753</v>
      </c>
      <c r="AD121" s="202">
        <v>117.72799999999999</v>
      </c>
      <c r="AG121" s="193" t="s">
        <v>36</v>
      </c>
      <c r="AH121" s="201">
        <v>4.6999999999999997E-5</v>
      </c>
      <c r="AI121" s="201">
        <v>4.2098337569078303E-3</v>
      </c>
      <c r="AJ121" s="201">
        <v>7.6426252438872399E-4</v>
      </c>
    </row>
    <row r="122" spans="1:36">
      <c r="A122" s="193">
        <v>891</v>
      </c>
      <c r="B122" s="193">
        <v>9957</v>
      </c>
      <c r="C122" s="193" t="s">
        <v>1679</v>
      </c>
      <c r="D122" s="193" t="s">
        <v>1680</v>
      </c>
      <c r="E122" s="206" t="s">
        <v>1264</v>
      </c>
      <c r="F122" s="193" t="s">
        <v>2145</v>
      </c>
      <c r="G122" s="193" t="s">
        <v>2146</v>
      </c>
      <c r="H122" s="193" t="s">
        <v>275</v>
      </c>
      <c r="I122" s="193" t="s">
        <v>713</v>
      </c>
      <c r="J122" s="193" t="s">
        <v>160</v>
      </c>
      <c r="K122" s="193" t="s">
        <v>30</v>
      </c>
      <c r="L122" s="193" t="s">
        <v>281</v>
      </c>
      <c r="M122" s="193" t="s">
        <v>268</v>
      </c>
      <c r="N122" s="193" t="s">
        <v>409</v>
      </c>
      <c r="O122" s="193" t="s">
        <v>94</v>
      </c>
      <c r="P122" s="193" t="s">
        <v>1683</v>
      </c>
      <c r="Q122" s="193" t="s">
        <v>388</v>
      </c>
      <c r="R122" s="193" t="s">
        <v>361</v>
      </c>
      <c r="S122" s="193" t="s">
        <v>1140</v>
      </c>
      <c r="T122" s="202">
        <v>1.9019999999999999</v>
      </c>
      <c r="U122" s="193" t="s">
        <v>1774</v>
      </c>
      <c r="V122" s="205">
        <v>6.5000000000000002E-2</v>
      </c>
      <c r="W122" s="201">
        <v>7.0449999999999999E-2</v>
      </c>
      <c r="X122" s="206" t="s">
        <v>367</v>
      </c>
      <c r="Y122" s="206" t="s">
        <v>94</v>
      </c>
      <c r="Z122" s="202">
        <v>24000</v>
      </c>
      <c r="AA122" s="203">
        <v>3.3719999999999999</v>
      </c>
      <c r="AB122" s="204">
        <v>99.572999999999993</v>
      </c>
      <c r="AD122" s="202">
        <v>80.582999999999998</v>
      </c>
      <c r="AG122" s="193" t="s">
        <v>36</v>
      </c>
      <c r="AH122" s="201">
        <v>4.0000000000000003E-5</v>
      </c>
      <c r="AI122" s="201">
        <v>2.8815399262546401E-3</v>
      </c>
      <c r="AJ122" s="201">
        <v>5.2312112670782705E-4</v>
      </c>
    </row>
    <row r="123" spans="1:36">
      <c r="A123" s="193">
        <v>891</v>
      </c>
      <c r="B123" s="193">
        <v>9957</v>
      </c>
      <c r="C123" s="193" t="s">
        <v>1503</v>
      </c>
      <c r="D123" s="193" t="s">
        <v>1504</v>
      </c>
      <c r="E123" s="206" t="s">
        <v>1264</v>
      </c>
      <c r="F123" s="193" t="s">
        <v>2147</v>
      </c>
      <c r="G123" s="193" t="s">
        <v>2148</v>
      </c>
      <c r="H123" s="193" t="s">
        <v>275</v>
      </c>
      <c r="I123" s="193" t="s">
        <v>713</v>
      </c>
      <c r="J123" s="193" t="s">
        <v>160</v>
      </c>
      <c r="K123" s="193" t="s">
        <v>30</v>
      </c>
      <c r="L123" s="193" t="s">
        <v>281</v>
      </c>
      <c r="M123" s="193" t="s">
        <v>268</v>
      </c>
      <c r="N123" s="193" t="s">
        <v>403</v>
      </c>
      <c r="O123" s="193" t="s">
        <v>94</v>
      </c>
      <c r="P123" s="193" t="s">
        <v>2143</v>
      </c>
      <c r="Q123" s="193" t="s">
        <v>388</v>
      </c>
      <c r="R123" s="193" t="s">
        <v>361</v>
      </c>
      <c r="S123" s="193" t="s">
        <v>1140</v>
      </c>
      <c r="T123" s="202">
        <v>5.0060000000000002</v>
      </c>
      <c r="U123" s="193" t="s">
        <v>2149</v>
      </c>
      <c r="V123" s="205">
        <v>3.0769999999999999E-2</v>
      </c>
      <c r="W123" s="201">
        <v>6.2969999999999998E-2</v>
      </c>
      <c r="X123" s="206" t="s">
        <v>367</v>
      </c>
      <c r="Y123" s="206" t="s">
        <v>94</v>
      </c>
      <c r="Z123" s="202">
        <v>35000</v>
      </c>
      <c r="AA123" s="203">
        <v>3.3719999999999999</v>
      </c>
      <c r="AB123" s="204">
        <v>98.424999999999997</v>
      </c>
      <c r="AD123" s="202">
        <v>116.161</v>
      </c>
      <c r="AG123" s="193" t="s">
        <v>36</v>
      </c>
      <c r="AH123" s="201">
        <v>5.8E-5</v>
      </c>
      <c r="AI123" s="201">
        <v>4.1537928974862198E-3</v>
      </c>
      <c r="AJ123" s="201">
        <v>7.5408874291334096E-4</v>
      </c>
    </row>
    <row r="124" spans="1:36">
      <c r="A124" s="193">
        <v>891</v>
      </c>
      <c r="B124" s="193">
        <v>9957</v>
      </c>
      <c r="C124" s="193" t="s">
        <v>1476</v>
      </c>
      <c r="D124" s="193" t="s">
        <v>1477</v>
      </c>
      <c r="E124" s="206" t="s">
        <v>1264</v>
      </c>
      <c r="F124" s="193" t="s">
        <v>2150</v>
      </c>
      <c r="G124" s="193" t="s">
        <v>2151</v>
      </c>
      <c r="H124" s="193" t="s">
        <v>275</v>
      </c>
      <c r="I124" s="193" t="s">
        <v>713</v>
      </c>
      <c r="J124" s="193" t="s">
        <v>160</v>
      </c>
      <c r="K124" s="193" t="s">
        <v>179</v>
      </c>
      <c r="L124" s="193" t="s">
        <v>281</v>
      </c>
      <c r="M124" s="193" t="s">
        <v>268</v>
      </c>
      <c r="N124" s="193" t="s">
        <v>422</v>
      </c>
      <c r="O124" s="193" t="s">
        <v>94</v>
      </c>
      <c r="P124" s="193" t="s">
        <v>1683</v>
      </c>
      <c r="Q124" s="193" t="s">
        <v>388</v>
      </c>
      <c r="R124" s="193" t="s">
        <v>361</v>
      </c>
      <c r="S124" s="193" t="s">
        <v>1142</v>
      </c>
      <c r="T124" s="202">
        <v>4.2009999999999996</v>
      </c>
      <c r="U124" s="193" t="s">
        <v>2152</v>
      </c>
      <c r="V124" s="205">
        <v>4.3749999999999997E-2</v>
      </c>
      <c r="W124" s="201">
        <v>4.0820000000000002E-2</v>
      </c>
      <c r="X124" s="206" t="s">
        <v>367</v>
      </c>
      <c r="Y124" s="206" t="s">
        <v>94</v>
      </c>
      <c r="Z124" s="202">
        <v>106000</v>
      </c>
      <c r="AA124" s="203">
        <v>3.9552</v>
      </c>
      <c r="AB124" s="204">
        <v>102.464</v>
      </c>
      <c r="AD124" s="202">
        <v>429.58199999999999</v>
      </c>
      <c r="AG124" s="193" t="s">
        <v>36</v>
      </c>
      <c r="AH124" s="201">
        <v>7.1000000000000005E-5</v>
      </c>
      <c r="AI124" s="201">
        <v>1.53613664579036E-2</v>
      </c>
      <c r="AJ124" s="201">
        <v>2.7887364169460601E-3</v>
      </c>
    </row>
    <row r="125" spans="1:36">
      <c r="A125" s="193">
        <v>891</v>
      </c>
      <c r="B125" s="193">
        <v>9957</v>
      </c>
      <c r="C125" s="193" t="s">
        <v>1476</v>
      </c>
      <c r="D125" s="193" t="s">
        <v>1477</v>
      </c>
      <c r="E125" s="206" t="s">
        <v>1264</v>
      </c>
      <c r="F125" s="193" t="s">
        <v>2153</v>
      </c>
      <c r="G125" s="193" t="s">
        <v>2154</v>
      </c>
      <c r="H125" s="193" t="s">
        <v>275</v>
      </c>
      <c r="I125" s="193" t="s">
        <v>713</v>
      </c>
      <c r="J125" s="193" t="s">
        <v>160</v>
      </c>
      <c r="K125" s="193" t="s">
        <v>179</v>
      </c>
      <c r="L125" s="193" t="s">
        <v>281</v>
      </c>
      <c r="M125" s="193" t="s">
        <v>268</v>
      </c>
      <c r="N125" s="193" t="s">
        <v>422</v>
      </c>
      <c r="O125" s="193" t="s">
        <v>94</v>
      </c>
      <c r="P125" s="193" t="s">
        <v>1683</v>
      </c>
      <c r="Q125" s="193" t="s">
        <v>388</v>
      </c>
      <c r="R125" s="193" t="s">
        <v>361</v>
      </c>
      <c r="S125" s="193" t="s">
        <v>1140</v>
      </c>
      <c r="T125" s="202">
        <v>3.3149999999999999</v>
      </c>
      <c r="U125" s="193" t="s">
        <v>2155</v>
      </c>
      <c r="V125" s="205">
        <v>5.1249999999999997E-2</v>
      </c>
      <c r="W125" s="201">
        <v>5.0509999999999999E-2</v>
      </c>
      <c r="X125" s="206" t="s">
        <v>367</v>
      </c>
      <c r="Y125" s="206" t="s">
        <v>94</v>
      </c>
      <c r="Z125" s="202">
        <v>63000</v>
      </c>
      <c r="AA125" s="203">
        <v>3.3719999999999999</v>
      </c>
      <c r="AB125" s="204">
        <v>102.14700000000001</v>
      </c>
      <c r="AD125" s="202">
        <v>216.99799999999999</v>
      </c>
      <c r="AG125" s="193" t="s">
        <v>36</v>
      </c>
      <c r="AH125" s="201">
        <v>6.3E-5</v>
      </c>
      <c r="AI125" s="201">
        <v>7.7595938507002797E-3</v>
      </c>
      <c r="AJ125" s="201">
        <v>1.4086938171457299E-3</v>
      </c>
    </row>
  </sheetData>
  <sheetProtection formatColumns="0"/>
  <autoFilter ref="A1:AJ125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615C2728-ECAD-4ED5-89AB-3D4B7EF3E10F}">
      <formula1>israel_abroad</formula1>
    </dataValidation>
    <dataValidation type="list" allowBlank="1" showInputMessage="1" showErrorMessage="1" sqref="O2:O20" xr:uid="{15B19FA6-31A1-4C60-AFE5-D6CFB14E83E0}">
      <formula1>Holding_interest</formula1>
    </dataValidation>
    <dataValidation type="list" allowBlank="1" showInputMessage="1" showErrorMessage="1" sqref="Q2:Q20" xr:uid="{58A447DF-D51E-4BA7-8AD4-F89D522E0AD7}">
      <formula1>Rating_Agency</formula1>
    </dataValidation>
    <dataValidation type="list" allowBlank="1" showInputMessage="1" showErrorMessage="1" sqref="R2:R20" xr:uid="{76056AC8-7A03-4A2F-A6F1-49BFC3C0F0CF}">
      <formula1>What_is_rated</formula1>
    </dataValidation>
    <dataValidation type="list" allowBlank="1" showInputMessage="1" showErrorMessage="1" sqref="X2:X20" xr:uid="{1589EEA3-056D-454F-8706-44DEFE0C4204}">
      <formula1>Subordination_Risk</formula1>
    </dataValidation>
    <dataValidation type="list" allowBlank="1" showInputMessage="1" showErrorMessage="1" sqref="AG2:AG5 AG8:AG19" xr:uid="{A0B1A364-31E3-4960-BDF1-D8CA9581F591}">
      <formula1>In_the_books</formula1>
    </dataValidation>
    <dataValidation type="list" allowBlank="1" showInputMessage="1" showErrorMessage="1" sqref="K2:K20" xr:uid="{822D828F-2818-4826-81F1-394FED70197D}">
      <formula1>Country_list</formula1>
    </dataValidation>
    <dataValidation type="list" allowBlank="1" showInputMessage="1" showErrorMessage="1" sqref="Y2:Y20" xr:uid="{05CBA588-D36C-40C4-8427-C752B9608335}">
      <formula1>Yes_No_Bad_Debt</formula1>
    </dataValidation>
    <dataValidation type="list" allowBlank="1" showInputMessage="1" showErrorMessage="1" sqref="H3:H20" xr:uid="{08B3A972-D098-4D5A-880C-4B93AF3C555B}">
      <formula1>Type_of_Security_ID_Fund</formula1>
    </dataValidation>
    <dataValidation type="list" allowBlank="1" showInputMessage="1" showErrorMessage="1" sqref="E2:E20" xr:uid="{6F3D1C03-DAF8-497B-A93B-B0A90F74ECDE}">
      <formula1>Issuer_Number_Type_2</formula1>
    </dataValidation>
    <dataValidation type="list" allowBlank="1" showInputMessage="1" showErrorMessage="1" sqref="H2" xr:uid="{D23053DD-579B-4413-963B-B16D8A4A2F03}">
      <formula1>Security_ID_Number_Type</formula1>
    </dataValidation>
    <dataValidation type="list" allowBlank="1" showInputMessage="1" showErrorMessage="1" sqref="N3:N20" xr:uid="{8D517107-4926-43DC-853E-088CDBD9B7A0}">
      <formula1>Industry_Sector</formula1>
    </dataValidation>
    <dataValidation type="list" allowBlank="1" showInputMessage="1" showErrorMessage="1" sqref="L2:L20" xr:uid="{F8C2A7ED-9322-493C-9927-5D63BDBADAF5}">
      <formula1>Tradeable_Status</formula1>
    </dataValidation>
    <dataValidation type="list" allowBlank="1" showInputMessage="1" showErrorMessage="1" sqref="M2:M20" xr:uid="{4C778C5B-4C9C-4C2F-ADDD-169D7F85DE3A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8"/>
  <sheetViews>
    <sheetView rightToLeft="1" topLeftCell="G52" zoomScale="70" zoomScaleNormal="70" workbookViewId="0">
      <selection activeCell="X94" sqref="X94"/>
    </sheetView>
  </sheetViews>
  <sheetFormatPr defaultColWidth="0" defaultRowHeight="14.25" zeroHeight="1"/>
  <cols>
    <col min="1" max="5" width="11.625" style="4" customWidth="1"/>
    <col min="6" max="6" width="25" style="4" customWidth="1"/>
    <col min="7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0" style="4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280</v>
      </c>
      <c r="M1" s="21" t="s">
        <v>8</v>
      </c>
      <c r="N1" s="21" t="s">
        <v>104</v>
      </c>
      <c r="O1" s="21" t="s">
        <v>80</v>
      </c>
      <c r="P1" s="21" t="s">
        <v>11</v>
      </c>
      <c r="Q1" s="21" t="s">
        <v>17</v>
      </c>
      <c r="R1" s="162" t="s">
        <v>18</v>
      </c>
      <c r="S1" s="171" t="s">
        <v>19</v>
      </c>
      <c r="T1" s="21" t="s">
        <v>16</v>
      </c>
      <c r="U1" s="21" t="s">
        <v>20</v>
      </c>
      <c r="V1" s="167" t="s">
        <v>23</v>
      </c>
      <c r="W1" s="167" t="s">
        <v>24</v>
      </c>
      <c r="X1" s="167" t="s">
        <v>25</v>
      </c>
    </row>
    <row r="2" spans="1:24">
      <c r="A2" s="20">
        <v>891</v>
      </c>
      <c r="B2" s="20">
        <v>9957</v>
      </c>
      <c r="C2" s="20" t="s">
        <v>1337</v>
      </c>
      <c r="D2" s="20" t="s">
        <v>1338</v>
      </c>
      <c r="E2" s="20" t="s">
        <v>1264</v>
      </c>
      <c r="F2" s="20" t="s">
        <v>1339</v>
      </c>
      <c r="G2" s="20" t="s">
        <v>1340</v>
      </c>
      <c r="H2" s="20" t="s">
        <v>275</v>
      </c>
      <c r="I2" s="20" t="s">
        <v>889</v>
      </c>
      <c r="J2" s="20" t="s">
        <v>30</v>
      </c>
      <c r="K2" s="20" t="s">
        <v>30</v>
      </c>
      <c r="L2" s="22" t="s">
        <v>281</v>
      </c>
      <c r="M2" s="20" t="s">
        <v>31</v>
      </c>
      <c r="N2" s="22" t="s">
        <v>395</v>
      </c>
      <c r="O2" s="22" t="s">
        <v>94</v>
      </c>
      <c r="P2" s="20" t="s">
        <v>34</v>
      </c>
      <c r="Q2" s="159">
        <v>9723</v>
      </c>
      <c r="R2" s="178">
        <v>1</v>
      </c>
      <c r="S2" s="179">
        <v>4100</v>
      </c>
      <c r="T2" s="22"/>
      <c r="U2" s="159">
        <v>398.64299999999997</v>
      </c>
      <c r="V2" s="180">
        <v>3.4999999999999997E-5</v>
      </c>
      <c r="W2" s="180">
        <v>1.21068697071885E-2</v>
      </c>
      <c r="X2" s="180">
        <v>2.5878445492587198E-3</v>
      </c>
    </row>
    <row r="3" spans="1:24">
      <c r="A3" s="20">
        <v>891</v>
      </c>
      <c r="B3" s="20">
        <v>9957</v>
      </c>
      <c r="C3" s="20" t="s">
        <v>1341</v>
      </c>
      <c r="D3" s="20" t="s">
        <v>1342</v>
      </c>
      <c r="E3" s="20" t="s">
        <v>267</v>
      </c>
      <c r="F3" s="20" t="s">
        <v>1343</v>
      </c>
      <c r="G3" s="20" t="s">
        <v>1344</v>
      </c>
      <c r="H3" s="20" t="s">
        <v>275</v>
      </c>
      <c r="I3" s="20" t="s">
        <v>889</v>
      </c>
      <c r="J3" s="20" t="s">
        <v>30</v>
      </c>
      <c r="K3" s="20" t="s">
        <v>179</v>
      </c>
      <c r="L3" s="22" t="s">
        <v>281</v>
      </c>
      <c r="M3" s="20" t="s">
        <v>31</v>
      </c>
      <c r="N3" s="22" t="s">
        <v>396</v>
      </c>
      <c r="O3" s="22" t="s">
        <v>94</v>
      </c>
      <c r="P3" s="20" t="s">
        <v>34</v>
      </c>
      <c r="Q3" s="159">
        <v>1457</v>
      </c>
      <c r="R3" s="178">
        <v>1</v>
      </c>
      <c r="S3" s="179">
        <v>27780</v>
      </c>
      <c r="T3" s="22"/>
      <c r="U3" s="159">
        <v>404.755</v>
      </c>
      <c r="V3" s="180">
        <v>2.5999999999999998E-5</v>
      </c>
      <c r="W3" s="180">
        <v>1.2292480253222E-2</v>
      </c>
      <c r="X3" s="180">
        <v>2.6275188210940501E-3</v>
      </c>
    </row>
    <row r="4" spans="1:24">
      <c r="A4" s="20">
        <v>891</v>
      </c>
      <c r="B4" s="20">
        <v>9957</v>
      </c>
      <c r="C4" s="20" t="s">
        <v>1345</v>
      </c>
      <c r="D4" s="20" t="s">
        <v>1346</v>
      </c>
      <c r="E4" s="20" t="s">
        <v>1264</v>
      </c>
      <c r="F4" s="20" t="s">
        <v>1347</v>
      </c>
      <c r="G4" s="20" t="s">
        <v>1348</v>
      </c>
      <c r="H4" s="20" t="s">
        <v>275</v>
      </c>
      <c r="I4" s="20" t="s">
        <v>889</v>
      </c>
      <c r="J4" s="20" t="s">
        <v>30</v>
      </c>
      <c r="K4" s="20" t="s">
        <v>30</v>
      </c>
      <c r="L4" s="22" t="s">
        <v>281</v>
      </c>
      <c r="M4" s="20" t="s">
        <v>31</v>
      </c>
      <c r="N4" s="22" t="s">
        <v>411</v>
      </c>
      <c r="O4" s="22" t="s">
        <v>94</v>
      </c>
      <c r="P4" s="20" t="s">
        <v>34</v>
      </c>
      <c r="Q4" s="159">
        <v>25440</v>
      </c>
      <c r="R4" s="178">
        <v>1</v>
      </c>
      <c r="S4" s="179">
        <v>2309</v>
      </c>
      <c r="T4" s="22"/>
      <c r="U4" s="159">
        <v>587.41</v>
      </c>
      <c r="V4" s="180">
        <v>1.9000000000000001E-5</v>
      </c>
      <c r="W4" s="180">
        <v>1.7839750082032601E-2</v>
      </c>
      <c r="X4" s="180">
        <v>3.81324827362388E-3</v>
      </c>
    </row>
    <row r="5" spans="1:24">
      <c r="A5" s="20">
        <v>891</v>
      </c>
      <c r="B5" s="20">
        <v>9957</v>
      </c>
      <c r="C5" s="20" t="s">
        <v>1349</v>
      </c>
      <c r="D5" s="20" t="s">
        <v>1350</v>
      </c>
      <c r="E5" s="20" t="s">
        <v>1264</v>
      </c>
      <c r="F5" s="20" t="s">
        <v>1351</v>
      </c>
      <c r="G5" s="20" t="s">
        <v>1352</v>
      </c>
      <c r="H5" s="20" t="s">
        <v>275</v>
      </c>
      <c r="I5" s="20" t="s">
        <v>889</v>
      </c>
      <c r="J5" s="20" t="s">
        <v>30</v>
      </c>
      <c r="K5" s="20" t="s">
        <v>30</v>
      </c>
      <c r="L5" s="22" t="s">
        <v>281</v>
      </c>
      <c r="M5" s="20" t="s">
        <v>31</v>
      </c>
      <c r="N5" s="22" t="s">
        <v>418</v>
      </c>
      <c r="O5" s="22" t="s">
        <v>94</v>
      </c>
      <c r="P5" s="20" t="s">
        <v>34</v>
      </c>
      <c r="Q5" s="159">
        <v>12000</v>
      </c>
      <c r="R5" s="178">
        <v>1</v>
      </c>
      <c r="S5" s="179">
        <v>2100</v>
      </c>
      <c r="T5" s="22"/>
      <c r="U5" s="159">
        <v>252</v>
      </c>
      <c r="V5" s="180">
        <v>8.1000000000000004E-5</v>
      </c>
      <c r="W5" s="180">
        <v>7.6532917076469397E-3</v>
      </c>
      <c r="X5" s="180">
        <v>1.6358918290630901E-3</v>
      </c>
    </row>
    <row r="6" spans="1:24">
      <c r="A6" s="20">
        <v>891</v>
      </c>
      <c r="B6" s="20">
        <v>9957</v>
      </c>
      <c r="C6" s="20" t="s">
        <v>1353</v>
      </c>
      <c r="D6" s="20" t="s">
        <v>1354</v>
      </c>
      <c r="E6" s="20" t="s">
        <v>1264</v>
      </c>
      <c r="F6" s="20" t="s">
        <v>1355</v>
      </c>
      <c r="G6" s="20" t="s">
        <v>1356</v>
      </c>
      <c r="H6" s="20" t="s">
        <v>275</v>
      </c>
      <c r="I6" s="20" t="s">
        <v>889</v>
      </c>
      <c r="J6" s="20" t="s">
        <v>30</v>
      </c>
      <c r="K6" s="20" t="s">
        <v>30</v>
      </c>
      <c r="L6" s="22" t="s">
        <v>281</v>
      </c>
      <c r="M6" s="20" t="s">
        <v>31</v>
      </c>
      <c r="N6" s="22" t="s">
        <v>401</v>
      </c>
      <c r="O6" s="22" t="s">
        <v>94</v>
      </c>
      <c r="P6" s="20" t="s">
        <v>34</v>
      </c>
      <c r="Q6" s="159">
        <v>806</v>
      </c>
      <c r="R6" s="178">
        <v>1</v>
      </c>
      <c r="S6" s="179">
        <v>149800</v>
      </c>
      <c r="T6" s="158">
        <v>1.7050000000000001</v>
      </c>
      <c r="U6" s="159">
        <v>1209.0930000000001</v>
      </c>
      <c r="V6" s="180">
        <v>1.7E-5</v>
      </c>
      <c r="W6" s="180">
        <v>3.6720393087910801E-2</v>
      </c>
      <c r="X6" s="180">
        <v>7.8489875085353596E-3</v>
      </c>
    </row>
    <row r="7" spans="1:24">
      <c r="A7" s="20">
        <v>891</v>
      </c>
      <c r="B7" s="20">
        <v>9957</v>
      </c>
      <c r="C7" s="20" t="s">
        <v>1357</v>
      </c>
      <c r="D7" s="20" t="s">
        <v>1358</v>
      </c>
      <c r="E7" s="20" t="s">
        <v>1264</v>
      </c>
      <c r="F7" s="20" t="s">
        <v>1359</v>
      </c>
      <c r="G7" s="20" t="s">
        <v>1360</v>
      </c>
      <c r="H7" s="20" t="s">
        <v>275</v>
      </c>
      <c r="I7" s="20" t="s">
        <v>889</v>
      </c>
      <c r="J7" s="20" t="s">
        <v>30</v>
      </c>
      <c r="K7" s="20" t="s">
        <v>30</v>
      </c>
      <c r="L7" s="22" t="s">
        <v>281</v>
      </c>
      <c r="M7" s="20" t="s">
        <v>31</v>
      </c>
      <c r="N7" s="22" t="s">
        <v>419</v>
      </c>
      <c r="O7" s="22" t="s">
        <v>94</v>
      </c>
      <c r="P7" s="20" t="s">
        <v>34</v>
      </c>
      <c r="Q7" s="159">
        <v>9180</v>
      </c>
      <c r="R7" s="178">
        <v>1</v>
      </c>
      <c r="S7" s="179">
        <v>3489</v>
      </c>
      <c r="T7" s="22"/>
      <c r="U7" s="159">
        <v>320.29000000000002</v>
      </c>
      <c r="V7" s="180">
        <v>4.3000000000000002E-5</v>
      </c>
      <c r="W7" s="180">
        <v>9.7272790940499208E-3</v>
      </c>
      <c r="X7" s="180">
        <v>2.0792068297975498E-3</v>
      </c>
    </row>
    <row r="8" spans="1:24">
      <c r="A8" s="20">
        <v>891</v>
      </c>
      <c r="B8" s="20">
        <v>9957</v>
      </c>
      <c r="C8" s="20" t="s">
        <v>1361</v>
      </c>
      <c r="D8" s="20" t="s">
        <v>1362</v>
      </c>
      <c r="E8" s="20" t="s">
        <v>1264</v>
      </c>
      <c r="F8" s="20" t="s">
        <v>1363</v>
      </c>
      <c r="G8" s="20" t="s">
        <v>1364</v>
      </c>
      <c r="H8" s="20" t="s">
        <v>275</v>
      </c>
      <c r="I8" s="20" t="s">
        <v>889</v>
      </c>
      <c r="J8" s="20" t="s">
        <v>30</v>
      </c>
      <c r="K8" s="20" t="s">
        <v>30</v>
      </c>
      <c r="L8" s="22" t="s">
        <v>281</v>
      </c>
      <c r="M8" s="20" t="s">
        <v>31</v>
      </c>
      <c r="N8" s="22" t="s">
        <v>420</v>
      </c>
      <c r="O8" s="22" t="s">
        <v>94</v>
      </c>
      <c r="P8" s="20" t="s">
        <v>34</v>
      </c>
      <c r="Q8" s="159">
        <v>2562</v>
      </c>
      <c r="R8" s="178">
        <v>1</v>
      </c>
      <c r="S8" s="179">
        <v>5007</v>
      </c>
      <c r="T8" s="22"/>
      <c r="U8" s="159">
        <v>128.279</v>
      </c>
      <c r="V8" s="180">
        <v>3.8999999999999999E-5</v>
      </c>
      <c r="W8" s="180">
        <v>3.8958698773191398E-3</v>
      </c>
      <c r="X8" s="180">
        <v>8.3274255612542103E-4</v>
      </c>
    </row>
    <row r="9" spans="1:24">
      <c r="A9" s="20">
        <v>891</v>
      </c>
      <c r="B9" s="20">
        <v>9957</v>
      </c>
      <c r="C9" s="20" t="s">
        <v>1365</v>
      </c>
      <c r="D9" s="20" t="s">
        <v>1366</v>
      </c>
      <c r="E9" s="20" t="s">
        <v>1264</v>
      </c>
      <c r="F9" s="20" t="s">
        <v>1367</v>
      </c>
      <c r="G9" s="20" t="s">
        <v>1368</v>
      </c>
      <c r="H9" s="20" t="s">
        <v>275</v>
      </c>
      <c r="I9" s="20" t="s">
        <v>889</v>
      </c>
      <c r="J9" s="20" t="s">
        <v>30</v>
      </c>
      <c r="K9" s="20" t="s">
        <v>30</v>
      </c>
      <c r="L9" s="22" t="s">
        <v>281</v>
      </c>
      <c r="M9" s="20" t="s">
        <v>31</v>
      </c>
      <c r="N9" s="22" t="s">
        <v>419</v>
      </c>
      <c r="O9" s="22" t="s">
        <v>94</v>
      </c>
      <c r="P9" s="20" t="s">
        <v>34</v>
      </c>
      <c r="Q9" s="159">
        <v>13336</v>
      </c>
      <c r="R9" s="178">
        <v>1</v>
      </c>
      <c r="S9" s="179">
        <v>2281</v>
      </c>
      <c r="T9" s="22"/>
      <c r="U9" s="159">
        <v>304.19400000000002</v>
      </c>
      <c r="V9" s="180">
        <v>2.8E-5</v>
      </c>
      <c r="W9" s="180">
        <v>9.2384390565183605E-3</v>
      </c>
      <c r="X9" s="180">
        <v>1.9747172253679001E-3</v>
      </c>
    </row>
    <row r="10" spans="1:24">
      <c r="A10" s="20">
        <v>891</v>
      </c>
      <c r="B10" s="20">
        <v>9957</v>
      </c>
      <c r="C10" s="20" t="s">
        <v>1369</v>
      </c>
      <c r="D10" s="20" t="s">
        <v>1370</v>
      </c>
      <c r="E10" s="20" t="s">
        <v>1264</v>
      </c>
      <c r="F10" s="20" t="s">
        <v>1371</v>
      </c>
      <c r="G10" s="20" t="s">
        <v>1372</v>
      </c>
      <c r="H10" s="20" t="s">
        <v>275</v>
      </c>
      <c r="I10" s="20" t="s">
        <v>889</v>
      </c>
      <c r="J10" s="20" t="s">
        <v>30</v>
      </c>
      <c r="K10" s="20" t="s">
        <v>179</v>
      </c>
      <c r="L10" s="22" t="s">
        <v>281</v>
      </c>
      <c r="M10" s="20" t="s">
        <v>31</v>
      </c>
      <c r="N10" s="22" t="s">
        <v>396</v>
      </c>
      <c r="O10" s="22" t="s">
        <v>94</v>
      </c>
      <c r="P10" s="20" t="s">
        <v>34</v>
      </c>
      <c r="Q10" s="159">
        <v>2775.4</v>
      </c>
      <c r="R10" s="178">
        <v>1</v>
      </c>
      <c r="S10" s="179">
        <v>7640</v>
      </c>
      <c r="T10" s="22"/>
      <c r="U10" s="159">
        <v>212.041</v>
      </c>
      <c r="V10" s="180">
        <v>2.3E-5</v>
      </c>
      <c r="W10" s="180">
        <v>6.4397153156063999E-3</v>
      </c>
      <c r="X10" s="180">
        <v>1.3764897600554E-3</v>
      </c>
    </row>
    <row r="11" spans="1:24">
      <c r="A11" s="20">
        <v>891</v>
      </c>
      <c r="B11" s="20">
        <v>9957</v>
      </c>
      <c r="C11" s="20" t="s">
        <v>1373</v>
      </c>
      <c r="D11" s="20" t="s">
        <v>1374</v>
      </c>
      <c r="E11" s="20" t="s">
        <v>267</v>
      </c>
      <c r="F11" s="20" t="s">
        <v>1375</v>
      </c>
      <c r="G11" s="20" t="s">
        <v>1376</v>
      </c>
      <c r="H11" s="20" t="s">
        <v>275</v>
      </c>
      <c r="I11" s="20" t="s">
        <v>889</v>
      </c>
      <c r="J11" s="20" t="s">
        <v>30</v>
      </c>
      <c r="K11" s="20" t="s">
        <v>188</v>
      </c>
      <c r="L11" s="22" t="s">
        <v>281</v>
      </c>
      <c r="M11" s="20" t="s">
        <v>31</v>
      </c>
      <c r="N11" s="22" t="s">
        <v>409</v>
      </c>
      <c r="O11" s="22" t="s">
        <v>94</v>
      </c>
      <c r="P11" s="20" t="s">
        <v>34</v>
      </c>
      <c r="Q11" s="159">
        <v>8728</v>
      </c>
      <c r="R11" s="178">
        <v>1</v>
      </c>
      <c r="S11" s="179">
        <v>4272</v>
      </c>
      <c r="T11" s="158">
        <v>8.8290000000000006</v>
      </c>
      <c r="U11" s="159">
        <v>381.68900000000002</v>
      </c>
      <c r="V11" s="180">
        <v>4.6999999999999997E-5</v>
      </c>
      <c r="W11" s="180">
        <v>1.1591985542272001E-2</v>
      </c>
      <c r="X11" s="180">
        <v>2.4777880101280701E-3</v>
      </c>
    </row>
    <row r="12" spans="1:24">
      <c r="A12" s="20">
        <v>891</v>
      </c>
      <c r="B12" s="20">
        <v>9957</v>
      </c>
      <c r="C12" s="20" t="s">
        <v>1377</v>
      </c>
      <c r="D12" s="20" t="s">
        <v>1378</v>
      </c>
      <c r="E12" s="20" t="s">
        <v>1264</v>
      </c>
      <c r="F12" s="20" t="s">
        <v>1379</v>
      </c>
      <c r="G12" s="20" t="s">
        <v>1380</v>
      </c>
      <c r="H12" s="20" t="s">
        <v>275</v>
      </c>
      <c r="I12" s="20" t="s">
        <v>889</v>
      </c>
      <c r="J12" s="20" t="s">
        <v>30</v>
      </c>
      <c r="K12" s="20" t="s">
        <v>30</v>
      </c>
      <c r="L12" s="22" t="s">
        <v>281</v>
      </c>
      <c r="M12" s="20" t="s">
        <v>31</v>
      </c>
      <c r="N12" s="22" t="s">
        <v>396</v>
      </c>
      <c r="O12" s="22" t="s">
        <v>94</v>
      </c>
      <c r="P12" s="20" t="s">
        <v>34</v>
      </c>
      <c r="Q12" s="159">
        <v>11984</v>
      </c>
      <c r="R12" s="178">
        <v>1</v>
      </c>
      <c r="S12" s="179">
        <v>1244</v>
      </c>
      <c r="T12" s="22"/>
      <c r="U12" s="159">
        <v>149.08099999999999</v>
      </c>
      <c r="V12" s="180">
        <v>2.1999999999999999E-5</v>
      </c>
      <c r="W12" s="180">
        <v>4.5276193449842999E-3</v>
      </c>
      <c r="X12" s="180">
        <v>9.6777906481302202E-4</v>
      </c>
    </row>
    <row r="13" spans="1:24">
      <c r="A13" s="20">
        <v>891</v>
      </c>
      <c r="B13" s="20">
        <v>9957</v>
      </c>
      <c r="C13" s="20" t="s">
        <v>1381</v>
      </c>
      <c r="D13" s="20" t="s">
        <v>1382</v>
      </c>
      <c r="E13" s="20" t="s">
        <v>1264</v>
      </c>
      <c r="F13" s="20" t="s">
        <v>1383</v>
      </c>
      <c r="G13" s="20" t="s">
        <v>1384</v>
      </c>
      <c r="H13" s="20" t="s">
        <v>275</v>
      </c>
      <c r="I13" s="20" t="s">
        <v>889</v>
      </c>
      <c r="J13" s="20" t="s">
        <v>30</v>
      </c>
      <c r="K13" s="20" t="s">
        <v>30</v>
      </c>
      <c r="L13" s="22" t="s">
        <v>281</v>
      </c>
      <c r="M13" s="20" t="s">
        <v>31</v>
      </c>
      <c r="N13" s="22" t="s">
        <v>401</v>
      </c>
      <c r="O13" s="22" t="s">
        <v>94</v>
      </c>
      <c r="P13" s="20" t="s">
        <v>34</v>
      </c>
      <c r="Q13" s="159">
        <v>6000</v>
      </c>
      <c r="R13" s="178">
        <v>1</v>
      </c>
      <c r="S13" s="179">
        <v>1336</v>
      </c>
      <c r="T13" s="22"/>
      <c r="U13" s="159">
        <v>80.16</v>
      </c>
      <c r="V13" s="180">
        <v>8.1000000000000004E-5</v>
      </c>
      <c r="W13" s="180">
        <v>2.43447564795626E-3</v>
      </c>
      <c r="X13" s="180">
        <v>5.2036940086387803E-4</v>
      </c>
    </row>
    <row r="14" spans="1:24">
      <c r="A14" s="20">
        <v>891</v>
      </c>
      <c r="B14" s="20">
        <v>9957</v>
      </c>
      <c r="C14" s="20" t="s">
        <v>1385</v>
      </c>
      <c r="D14" s="20" t="s">
        <v>1386</v>
      </c>
      <c r="E14" s="20" t="s">
        <v>266</v>
      </c>
      <c r="F14" s="20" t="s">
        <v>1385</v>
      </c>
      <c r="G14" s="20" t="s">
        <v>1387</v>
      </c>
      <c r="H14" s="20" t="s">
        <v>275</v>
      </c>
      <c r="I14" s="20" t="s">
        <v>889</v>
      </c>
      <c r="J14" s="20" t="s">
        <v>30</v>
      </c>
      <c r="K14" s="20" t="s">
        <v>193</v>
      </c>
      <c r="L14" s="22" t="s">
        <v>281</v>
      </c>
      <c r="M14" s="20" t="s">
        <v>31</v>
      </c>
      <c r="N14" s="22" t="s">
        <v>420</v>
      </c>
      <c r="O14" s="22" t="s">
        <v>94</v>
      </c>
      <c r="P14" s="20" t="s">
        <v>34</v>
      </c>
      <c r="Q14" s="159">
        <v>2139</v>
      </c>
      <c r="R14" s="178">
        <v>1</v>
      </c>
      <c r="S14" s="179">
        <v>12250</v>
      </c>
      <c r="T14" s="22"/>
      <c r="U14" s="159">
        <v>262.02699999999999</v>
      </c>
      <c r="V14" s="180">
        <v>9.7999999999999997E-5</v>
      </c>
      <c r="W14" s="180">
        <v>7.9578289401803903E-3</v>
      </c>
      <c r="X14" s="180">
        <v>1.70098669142789E-3</v>
      </c>
    </row>
    <row r="15" spans="1:24">
      <c r="A15" s="20">
        <v>891</v>
      </c>
      <c r="B15" s="20">
        <v>9957</v>
      </c>
      <c r="C15" s="20" t="s">
        <v>1388</v>
      </c>
      <c r="D15" s="20" t="s">
        <v>1389</v>
      </c>
      <c r="E15" s="20" t="s">
        <v>1264</v>
      </c>
      <c r="F15" s="20" t="s">
        <v>1390</v>
      </c>
      <c r="G15" s="20" t="s">
        <v>1391</v>
      </c>
      <c r="H15" s="20" t="s">
        <v>275</v>
      </c>
      <c r="I15" s="20" t="s">
        <v>889</v>
      </c>
      <c r="J15" s="20" t="s">
        <v>30</v>
      </c>
      <c r="K15" s="20" t="s">
        <v>30</v>
      </c>
      <c r="L15" s="22" t="s">
        <v>281</v>
      </c>
      <c r="M15" s="20" t="s">
        <v>31</v>
      </c>
      <c r="N15" s="22" t="s">
        <v>402</v>
      </c>
      <c r="O15" s="22" t="s">
        <v>94</v>
      </c>
      <c r="P15" s="20" t="s">
        <v>34</v>
      </c>
      <c r="Q15" s="159">
        <v>3000</v>
      </c>
      <c r="R15" s="178">
        <v>1</v>
      </c>
      <c r="S15" s="179">
        <v>7670</v>
      </c>
      <c r="T15" s="22"/>
      <c r="U15" s="159">
        <v>230.1</v>
      </c>
      <c r="V15" s="180">
        <v>2.6999999999999999E-5</v>
      </c>
      <c r="W15" s="180">
        <v>6.9881842140061901E-3</v>
      </c>
      <c r="X15" s="180">
        <v>1.4937250391564201E-3</v>
      </c>
    </row>
    <row r="16" spans="1:24">
      <c r="A16" s="20">
        <v>891</v>
      </c>
      <c r="B16" s="20">
        <v>9957</v>
      </c>
      <c r="C16" s="20" t="s">
        <v>1392</v>
      </c>
      <c r="D16" s="20" t="s">
        <v>1393</v>
      </c>
      <c r="E16" s="20" t="s">
        <v>1264</v>
      </c>
      <c r="F16" s="20" t="s">
        <v>1394</v>
      </c>
      <c r="G16" s="20" t="s">
        <v>1395</v>
      </c>
      <c r="H16" s="20" t="s">
        <v>275</v>
      </c>
      <c r="I16" s="20" t="s">
        <v>889</v>
      </c>
      <c r="J16" s="20" t="s">
        <v>30</v>
      </c>
      <c r="K16" s="20" t="s">
        <v>30</v>
      </c>
      <c r="L16" s="22" t="s">
        <v>281</v>
      </c>
      <c r="M16" s="20" t="s">
        <v>31</v>
      </c>
      <c r="N16" s="22" t="s">
        <v>440</v>
      </c>
      <c r="O16" s="22" t="s">
        <v>94</v>
      </c>
      <c r="P16" s="20" t="s">
        <v>34</v>
      </c>
      <c r="Q16" s="159">
        <v>74329</v>
      </c>
      <c r="R16" s="178">
        <v>1</v>
      </c>
      <c r="S16" s="179">
        <v>575</v>
      </c>
      <c r="T16" s="22"/>
      <c r="U16" s="159">
        <v>427.392</v>
      </c>
      <c r="V16" s="180">
        <v>2.6999999999999999E-5</v>
      </c>
      <c r="W16" s="180">
        <v>1.29799751436179E-2</v>
      </c>
      <c r="X16" s="180">
        <v>2.77447091918244E-3</v>
      </c>
    </row>
    <row r="17" spans="1:24">
      <c r="A17" s="20">
        <v>891</v>
      </c>
      <c r="B17" s="20">
        <v>9957</v>
      </c>
      <c r="C17" s="20" t="s">
        <v>1396</v>
      </c>
      <c r="D17" s="20" t="s">
        <v>1397</v>
      </c>
      <c r="E17" s="20" t="s">
        <v>1264</v>
      </c>
      <c r="F17" s="20" t="s">
        <v>1398</v>
      </c>
      <c r="G17" s="20" t="s">
        <v>1399</v>
      </c>
      <c r="H17" s="20" t="s">
        <v>275</v>
      </c>
      <c r="I17" s="20" t="s">
        <v>889</v>
      </c>
      <c r="J17" s="20" t="s">
        <v>30</v>
      </c>
      <c r="K17" s="20" t="s">
        <v>30</v>
      </c>
      <c r="L17" s="22" t="s">
        <v>281</v>
      </c>
      <c r="M17" s="20" t="s">
        <v>31</v>
      </c>
      <c r="N17" s="22" t="s">
        <v>419</v>
      </c>
      <c r="O17" s="22" t="s">
        <v>94</v>
      </c>
      <c r="P17" s="20" t="s">
        <v>34</v>
      </c>
      <c r="Q17" s="159">
        <v>1367</v>
      </c>
      <c r="R17" s="178">
        <v>1</v>
      </c>
      <c r="S17" s="179">
        <v>64490</v>
      </c>
      <c r="T17" s="22"/>
      <c r="U17" s="159">
        <v>881.57799999999997</v>
      </c>
      <c r="V17" s="180">
        <v>5.5000000000000002E-5</v>
      </c>
      <c r="W17" s="180">
        <v>2.6773713861236E-2</v>
      </c>
      <c r="X17" s="180">
        <v>5.7228838795608302E-3</v>
      </c>
    </row>
    <row r="18" spans="1:24">
      <c r="A18" s="20">
        <v>891</v>
      </c>
      <c r="B18" s="20">
        <v>9957</v>
      </c>
      <c r="C18" s="20" t="s">
        <v>1400</v>
      </c>
      <c r="D18" s="20" t="s">
        <v>1401</v>
      </c>
      <c r="E18" s="20" t="s">
        <v>1264</v>
      </c>
      <c r="F18" s="20" t="s">
        <v>1402</v>
      </c>
      <c r="G18" s="20" t="s">
        <v>1403</v>
      </c>
      <c r="H18" s="20" t="s">
        <v>275</v>
      </c>
      <c r="I18" s="20" t="s">
        <v>889</v>
      </c>
      <c r="J18" s="20" t="s">
        <v>30</v>
      </c>
      <c r="K18" s="20" t="s">
        <v>30</v>
      </c>
      <c r="L18" s="22" t="s">
        <v>281</v>
      </c>
      <c r="M18" s="20" t="s">
        <v>31</v>
      </c>
      <c r="N18" s="22" t="s">
        <v>403</v>
      </c>
      <c r="O18" s="22" t="s">
        <v>94</v>
      </c>
      <c r="P18" s="20" t="s">
        <v>34</v>
      </c>
      <c r="Q18" s="159">
        <v>2503</v>
      </c>
      <c r="R18" s="178">
        <v>1</v>
      </c>
      <c r="S18" s="179">
        <v>24370</v>
      </c>
      <c r="T18" s="22"/>
      <c r="U18" s="159">
        <v>609.98099999999999</v>
      </c>
      <c r="V18" s="180">
        <v>2.5000000000000001E-5</v>
      </c>
      <c r="W18" s="180">
        <v>1.8525251168457799E-2</v>
      </c>
      <c r="X18" s="180">
        <v>3.95977419592427E-3</v>
      </c>
    </row>
    <row r="19" spans="1:24">
      <c r="A19" s="20">
        <v>891</v>
      </c>
      <c r="B19" s="20">
        <v>9957</v>
      </c>
      <c r="C19" s="20" t="s">
        <v>1404</v>
      </c>
      <c r="D19" s="20" t="s">
        <v>1405</v>
      </c>
      <c r="E19" s="20" t="s">
        <v>1264</v>
      </c>
      <c r="F19" s="20" t="s">
        <v>1406</v>
      </c>
      <c r="G19" s="20" t="s">
        <v>1407</v>
      </c>
      <c r="H19" s="20" t="s">
        <v>275</v>
      </c>
      <c r="I19" s="20" t="s">
        <v>889</v>
      </c>
      <c r="J19" s="20" t="s">
        <v>30</v>
      </c>
      <c r="K19" s="20" t="s">
        <v>30</v>
      </c>
      <c r="L19" s="22" t="s">
        <v>281</v>
      </c>
      <c r="M19" s="20" t="s">
        <v>31</v>
      </c>
      <c r="N19" s="22" t="s">
        <v>419</v>
      </c>
      <c r="O19" s="22" t="s">
        <v>94</v>
      </c>
      <c r="P19" s="20" t="s">
        <v>34</v>
      </c>
      <c r="Q19" s="159">
        <v>10069</v>
      </c>
      <c r="R19" s="178">
        <v>1</v>
      </c>
      <c r="S19" s="179">
        <v>1506</v>
      </c>
      <c r="T19" s="22"/>
      <c r="U19" s="159">
        <v>151.63900000000001</v>
      </c>
      <c r="V19" s="180">
        <v>1.44E-4</v>
      </c>
      <c r="W19" s="180">
        <v>4.60531179649489E-3</v>
      </c>
      <c r="X19" s="180">
        <v>9.8438583369902404E-4</v>
      </c>
    </row>
    <row r="20" spans="1:24">
      <c r="A20" s="4">
        <v>891</v>
      </c>
      <c r="B20" s="4">
        <v>9957</v>
      </c>
      <c r="C20" s="4" t="s">
        <v>1408</v>
      </c>
      <c r="D20" s="4" t="s">
        <v>1409</v>
      </c>
      <c r="E20" s="20" t="s">
        <v>1264</v>
      </c>
      <c r="F20" s="4" t="s">
        <v>1410</v>
      </c>
      <c r="G20" s="4" t="s">
        <v>1411</v>
      </c>
      <c r="H20" s="20" t="s">
        <v>275</v>
      </c>
      <c r="I20" s="4" t="s">
        <v>889</v>
      </c>
      <c r="J20" s="4" t="s">
        <v>30</v>
      </c>
      <c r="K20" s="20" t="s">
        <v>30</v>
      </c>
      <c r="L20" s="22" t="s">
        <v>281</v>
      </c>
      <c r="M20" s="20" t="s">
        <v>31</v>
      </c>
      <c r="N20" s="22" t="s">
        <v>418</v>
      </c>
      <c r="O20" s="4" t="s">
        <v>94</v>
      </c>
      <c r="P20" s="4" t="s">
        <v>34</v>
      </c>
      <c r="Q20" s="157">
        <v>1344</v>
      </c>
      <c r="R20" s="170">
        <v>1</v>
      </c>
      <c r="S20" s="172">
        <v>56070</v>
      </c>
      <c r="U20" s="157">
        <v>753.58100000000002</v>
      </c>
      <c r="V20" s="169">
        <v>1.4799999999999999E-4</v>
      </c>
      <c r="W20" s="169">
        <v>2.2886403522547401E-2</v>
      </c>
      <c r="X20" s="169">
        <v>4.8919709256302702E-3</v>
      </c>
    </row>
    <row r="21" spans="1:24">
      <c r="A21" s="4">
        <v>891</v>
      </c>
      <c r="B21" s="4">
        <v>9957</v>
      </c>
      <c r="C21" s="4" t="s">
        <v>1412</v>
      </c>
      <c r="D21" s="4" t="s">
        <v>1413</v>
      </c>
      <c r="E21" s="4" t="s">
        <v>1264</v>
      </c>
      <c r="F21" s="4" t="s">
        <v>1414</v>
      </c>
      <c r="G21" s="4" t="s">
        <v>1415</v>
      </c>
      <c r="H21" s="4" t="s">
        <v>275</v>
      </c>
      <c r="I21" s="4" t="s">
        <v>889</v>
      </c>
      <c r="J21" s="4" t="s">
        <v>30</v>
      </c>
      <c r="K21" s="4" t="s">
        <v>30</v>
      </c>
      <c r="L21" s="2" t="s">
        <v>281</v>
      </c>
      <c r="M21" s="4" t="s">
        <v>31</v>
      </c>
      <c r="N21" s="22" t="s">
        <v>419</v>
      </c>
      <c r="O21" s="4" t="s">
        <v>94</v>
      </c>
      <c r="P21" s="4" t="s">
        <v>34</v>
      </c>
      <c r="Q21" s="157">
        <v>6272</v>
      </c>
      <c r="R21" s="170">
        <v>1</v>
      </c>
      <c r="S21" s="172">
        <v>3685</v>
      </c>
      <c r="U21" s="157">
        <v>231.12299999999999</v>
      </c>
      <c r="V21" s="169">
        <v>2.8E-5</v>
      </c>
      <c r="W21" s="169">
        <v>7.0192590079556499E-3</v>
      </c>
      <c r="X21" s="169">
        <v>1.5003672793131499E-3</v>
      </c>
    </row>
    <row r="22" spans="1:24">
      <c r="A22" s="4">
        <v>891</v>
      </c>
      <c r="B22" s="4">
        <v>9957</v>
      </c>
      <c r="C22" s="4" t="s">
        <v>1416</v>
      </c>
      <c r="D22" s="4" t="s">
        <v>1417</v>
      </c>
      <c r="E22" s="4" t="s">
        <v>1264</v>
      </c>
      <c r="F22" s="4" t="s">
        <v>1418</v>
      </c>
      <c r="G22" s="4" t="s">
        <v>1419</v>
      </c>
      <c r="H22" s="4" t="s">
        <v>275</v>
      </c>
      <c r="I22" s="4" t="s">
        <v>889</v>
      </c>
      <c r="J22" s="4" t="s">
        <v>30</v>
      </c>
      <c r="K22" s="4" t="s">
        <v>30</v>
      </c>
      <c r="L22" s="2" t="s">
        <v>281</v>
      </c>
      <c r="M22" s="4" t="s">
        <v>31</v>
      </c>
      <c r="N22" s="4" t="s">
        <v>396</v>
      </c>
      <c r="O22" s="4" t="s">
        <v>94</v>
      </c>
      <c r="P22" s="4" t="s">
        <v>34</v>
      </c>
      <c r="Q22" s="157">
        <v>10141</v>
      </c>
      <c r="R22" s="170">
        <v>1</v>
      </c>
      <c r="S22" s="172">
        <v>1532</v>
      </c>
      <c r="U22" s="157">
        <v>155.36000000000001</v>
      </c>
      <c r="V22" s="169">
        <v>5.7000000000000003E-5</v>
      </c>
      <c r="W22" s="169">
        <v>4.7183187225993397E-3</v>
      </c>
      <c r="X22" s="169">
        <v>1.0085410748819901E-3</v>
      </c>
    </row>
    <row r="23" spans="1:24">
      <c r="A23" s="4">
        <v>891</v>
      </c>
      <c r="B23" s="4">
        <v>9957</v>
      </c>
      <c r="C23" s="4" t="s">
        <v>1420</v>
      </c>
      <c r="D23" s="4" t="s">
        <v>1421</v>
      </c>
      <c r="E23" s="4" t="s">
        <v>1264</v>
      </c>
      <c r="F23" s="4" t="s">
        <v>1422</v>
      </c>
      <c r="G23" s="4" t="s">
        <v>1423</v>
      </c>
      <c r="H23" s="4" t="s">
        <v>275</v>
      </c>
      <c r="I23" s="4" t="s">
        <v>889</v>
      </c>
      <c r="J23" s="4" t="s">
        <v>30</v>
      </c>
      <c r="K23" s="4" t="s">
        <v>30</v>
      </c>
      <c r="L23" s="2" t="s">
        <v>281</v>
      </c>
      <c r="M23" s="2" t="s">
        <v>31</v>
      </c>
      <c r="N23" s="4" t="s">
        <v>403</v>
      </c>
      <c r="O23" s="4" t="s">
        <v>94</v>
      </c>
      <c r="P23" s="4" t="s">
        <v>34</v>
      </c>
      <c r="Q23" s="157">
        <v>19618</v>
      </c>
      <c r="R23" s="170">
        <v>1</v>
      </c>
      <c r="S23" s="172">
        <v>3356</v>
      </c>
      <c r="U23" s="157">
        <v>658.38</v>
      </c>
      <c r="V23" s="169">
        <v>1.5999999999999999E-5</v>
      </c>
      <c r="W23" s="169">
        <v>1.9995138121999701E-2</v>
      </c>
      <c r="X23" s="169">
        <v>4.2739626717853297E-3</v>
      </c>
    </row>
    <row r="24" spans="1:24">
      <c r="A24" s="4">
        <v>891</v>
      </c>
      <c r="B24" s="4">
        <v>9957</v>
      </c>
      <c r="C24" s="4" t="s">
        <v>1424</v>
      </c>
      <c r="D24" s="4" t="s">
        <v>1425</v>
      </c>
      <c r="E24" s="4" t="s">
        <v>1264</v>
      </c>
      <c r="F24" s="4" t="s">
        <v>1426</v>
      </c>
      <c r="G24" s="4" t="s">
        <v>1427</v>
      </c>
      <c r="H24" s="4" t="s">
        <v>275</v>
      </c>
      <c r="I24" s="4" t="s">
        <v>889</v>
      </c>
      <c r="J24" s="4" t="s">
        <v>30</v>
      </c>
      <c r="K24" s="4" t="s">
        <v>30</v>
      </c>
      <c r="L24" s="2" t="s">
        <v>281</v>
      </c>
      <c r="M24" s="2" t="s">
        <v>31</v>
      </c>
      <c r="N24" s="4" t="s">
        <v>431</v>
      </c>
      <c r="O24" s="4" t="s">
        <v>94</v>
      </c>
      <c r="P24" s="4" t="s">
        <v>34</v>
      </c>
      <c r="Q24" s="157">
        <v>1296</v>
      </c>
      <c r="R24" s="170">
        <v>1</v>
      </c>
      <c r="S24" s="172">
        <v>10170</v>
      </c>
      <c r="U24" s="157">
        <v>131.803</v>
      </c>
      <c r="V24" s="169">
        <v>5.1999999999999997E-5</v>
      </c>
      <c r="W24" s="169">
        <v>4.0028902285767099E-3</v>
      </c>
      <c r="X24" s="169">
        <v>8.5561816636654103E-4</v>
      </c>
    </row>
    <row r="25" spans="1:24">
      <c r="A25" s="4">
        <v>891</v>
      </c>
      <c r="B25" s="4">
        <v>9957</v>
      </c>
      <c r="C25" s="4" t="s">
        <v>1428</v>
      </c>
      <c r="D25" s="4" t="s">
        <v>1429</v>
      </c>
      <c r="E25" s="4" t="s">
        <v>1264</v>
      </c>
      <c r="F25" s="4" t="s">
        <v>1430</v>
      </c>
      <c r="G25" s="4" t="s">
        <v>1431</v>
      </c>
      <c r="H25" s="4" t="s">
        <v>275</v>
      </c>
      <c r="I25" s="4" t="s">
        <v>889</v>
      </c>
      <c r="J25" s="4" t="s">
        <v>30</v>
      </c>
      <c r="K25" s="4" t="s">
        <v>30</v>
      </c>
      <c r="L25" s="2" t="s">
        <v>281</v>
      </c>
      <c r="M25" s="2" t="s">
        <v>31</v>
      </c>
      <c r="N25" s="4" t="s">
        <v>402</v>
      </c>
      <c r="O25" s="4" t="s">
        <v>94</v>
      </c>
      <c r="P25" s="4" t="s">
        <v>34</v>
      </c>
      <c r="Q25" s="157">
        <v>323</v>
      </c>
      <c r="R25" s="170">
        <v>1</v>
      </c>
      <c r="S25" s="172">
        <v>36740</v>
      </c>
      <c r="U25" s="157">
        <v>118.67</v>
      </c>
      <c r="V25" s="169">
        <v>1.5E-5</v>
      </c>
      <c r="W25" s="169">
        <v>3.6040383238285902E-3</v>
      </c>
      <c r="X25" s="169">
        <v>7.70363533862233E-4</v>
      </c>
    </row>
    <row r="26" spans="1:24">
      <c r="A26" s="4">
        <v>891</v>
      </c>
      <c r="B26" s="4">
        <v>9957</v>
      </c>
      <c r="C26" s="4" t="s">
        <v>1432</v>
      </c>
      <c r="D26" s="4" t="s">
        <v>1433</v>
      </c>
      <c r="E26" s="4" t="s">
        <v>1264</v>
      </c>
      <c r="F26" s="4" t="s">
        <v>1434</v>
      </c>
      <c r="G26" s="4" t="s">
        <v>1435</v>
      </c>
      <c r="H26" s="4" t="s">
        <v>275</v>
      </c>
      <c r="I26" s="4" t="s">
        <v>889</v>
      </c>
      <c r="J26" s="4" t="s">
        <v>30</v>
      </c>
      <c r="K26" s="4" t="s">
        <v>30</v>
      </c>
      <c r="L26" s="2" t="s">
        <v>281</v>
      </c>
      <c r="M26" s="2" t="s">
        <v>31</v>
      </c>
      <c r="N26" s="4" t="s">
        <v>433</v>
      </c>
      <c r="O26" s="4" t="s">
        <v>94</v>
      </c>
      <c r="P26" s="4" t="s">
        <v>34</v>
      </c>
      <c r="Q26" s="157">
        <v>227</v>
      </c>
      <c r="R26" s="170">
        <v>1</v>
      </c>
      <c r="S26" s="172">
        <v>48100</v>
      </c>
      <c r="U26" s="157">
        <v>109.187</v>
      </c>
      <c r="V26" s="169">
        <v>3.6000000000000001E-5</v>
      </c>
      <c r="W26" s="169">
        <v>3.3160315939795501E-3</v>
      </c>
      <c r="X26" s="169">
        <v>7.0880206801552195E-4</v>
      </c>
    </row>
    <row r="27" spans="1:24">
      <c r="A27" s="4">
        <v>891</v>
      </c>
      <c r="B27" s="4">
        <v>9957</v>
      </c>
      <c r="C27" s="4" t="s">
        <v>1436</v>
      </c>
      <c r="D27" s="4" t="s">
        <v>1437</v>
      </c>
      <c r="E27" s="4" t="s">
        <v>1264</v>
      </c>
      <c r="F27" s="4" t="s">
        <v>1438</v>
      </c>
      <c r="G27" s="4" t="s">
        <v>1439</v>
      </c>
      <c r="H27" s="4" t="s">
        <v>275</v>
      </c>
      <c r="I27" s="4" t="s">
        <v>889</v>
      </c>
      <c r="J27" s="4" t="s">
        <v>30</v>
      </c>
      <c r="K27" s="4" t="s">
        <v>30</v>
      </c>
      <c r="L27" s="2" t="s">
        <v>281</v>
      </c>
      <c r="M27" s="2" t="s">
        <v>31</v>
      </c>
      <c r="N27" s="4" t="s">
        <v>434</v>
      </c>
      <c r="O27" s="4" t="s">
        <v>94</v>
      </c>
      <c r="P27" s="4" t="s">
        <v>34</v>
      </c>
      <c r="Q27" s="157">
        <v>1778</v>
      </c>
      <c r="R27" s="170">
        <v>1</v>
      </c>
      <c r="S27" s="172">
        <v>6510</v>
      </c>
      <c r="U27" s="157">
        <v>115.748</v>
      </c>
      <c r="V27" s="169">
        <v>1.7E-5</v>
      </c>
      <c r="W27" s="169">
        <v>3.5152844361840299E-3</v>
      </c>
      <c r="X27" s="169">
        <v>7.5139238195249495E-4</v>
      </c>
    </row>
    <row r="28" spans="1:24">
      <c r="A28" s="4">
        <v>891</v>
      </c>
      <c r="B28" s="4">
        <v>9957</v>
      </c>
      <c r="C28" s="4" t="s">
        <v>1440</v>
      </c>
      <c r="D28" s="4" t="s">
        <v>1441</v>
      </c>
      <c r="E28" s="4" t="s">
        <v>1264</v>
      </c>
      <c r="F28" s="4" t="s">
        <v>1442</v>
      </c>
      <c r="G28" s="4" t="s">
        <v>1443</v>
      </c>
      <c r="H28" s="4" t="s">
        <v>275</v>
      </c>
      <c r="I28" s="4" t="s">
        <v>889</v>
      </c>
      <c r="J28" s="4" t="s">
        <v>30</v>
      </c>
      <c r="K28" s="4" t="s">
        <v>30</v>
      </c>
      <c r="L28" s="2" t="s">
        <v>281</v>
      </c>
      <c r="M28" s="2" t="s">
        <v>31</v>
      </c>
      <c r="N28" s="4" t="s">
        <v>433</v>
      </c>
      <c r="O28" s="4" t="s">
        <v>94</v>
      </c>
      <c r="P28" s="4" t="s">
        <v>34</v>
      </c>
      <c r="Q28" s="157">
        <v>44000</v>
      </c>
      <c r="R28" s="170">
        <v>1</v>
      </c>
      <c r="S28" s="172">
        <v>732.6</v>
      </c>
      <c r="T28" s="156">
        <v>5.2729999999999997</v>
      </c>
      <c r="U28" s="157">
        <v>327.61700000000002</v>
      </c>
      <c r="V28" s="169">
        <v>4.7899999999999999E-4</v>
      </c>
      <c r="W28" s="169">
        <v>9.9497924764087205E-3</v>
      </c>
      <c r="X28" s="169">
        <v>2.1267690864007101E-3</v>
      </c>
    </row>
    <row r="29" spans="1:24">
      <c r="A29" s="4">
        <v>891</v>
      </c>
      <c r="B29" s="4">
        <v>9957</v>
      </c>
      <c r="C29" s="4" t="s">
        <v>1444</v>
      </c>
      <c r="D29" s="4" t="s">
        <v>1445</v>
      </c>
      <c r="E29" s="4" t="s">
        <v>1264</v>
      </c>
      <c r="F29" s="4" t="s">
        <v>1446</v>
      </c>
      <c r="G29" s="4" t="s">
        <v>1447</v>
      </c>
      <c r="H29" s="4" t="s">
        <v>275</v>
      </c>
      <c r="I29" s="4" t="s">
        <v>889</v>
      </c>
      <c r="J29" s="4" t="s">
        <v>30</v>
      </c>
      <c r="K29" s="4" t="s">
        <v>30</v>
      </c>
      <c r="L29" s="2" t="s">
        <v>281</v>
      </c>
      <c r="M29" s="2" t="s">
        <v>31</v>
      </c>
      <c r="N29" s="4" t="s">
        <v>402</v>
      </c>
      <c r="O29" s="4" t="s">
        <v>94</v>
      </c>
      <c r="P29" s="4" t="s">
        <v>34</v>
      </c>
      <c r="Q29" s="157">
        <v>27000</v>
      </c>
      <c r="R29" s="170">
        <v>1</v>
      </c>
      <c r="S29" s="172">
        <v>711.9</v>
      </c>
      <c r="U29" s="157">
        <v>192.21299999999999</v>
      </c>
      <c r="V29" s="169">
        <v>3.0899999999999998E-4</v>
      </c>
      <c r="W29" s="169">
        <v>5.8375482500077E-3</v>
      </c>
      <c r="X29" s="169">
        <v>1.24777649261787E-3</v>
      </c>
    </row>
    <row r="30" spans="1:24">
      <c r="A30" s="4">
        <v>891</v>
      </c>
      <c r="B30" s="4">
        <v>9957</v>
      </c>
      <c r="C30" s="4" t="s">
        <v>1448</v>
      </c>
      <c r="D30" s="4" t="s">
        <v>1449</v>
      </c>
      <c r="E30" s="4" t="s">
        <v>1264</v>
      </c>
      <c r="F30" s="4" t="s">
        <v>1450</v>
      </c>
      <c r="G30" s="4" t="s">
        <v>1451</v>
      </c>
      <c r="H30" s="4" t="s">
        <v>275</v>
      </c>
      <c r="I30" s="4" t="s">
        <v>889</v>
      </c>
      <c r="J30" s="4" t="s">
        <v>30</v>
      </c>
      <c r="K30" s="4" t="s">
        <v>30</v>
      </c>
      <c r="L30" s="2" t="s">
        <v>281</v>
      </c>
      <c r="M30" s="2" t="s">
        <v>31</v>
      </c>
      <c r="N30" s="4" t="s">
        <v>400</v>
      </c>
      <c r="O30" s="4" t="s">
        <v>94</v>
      </c>
      <c r="P30" s="4" t="s">
        <v>34</v>
      </c>
      <c r="Q30" s="157">
        <v>6229</v>
      </c>
      <c r="R30" s="170">
        <v>1</v>
      </c>
      <c r="S30" s="172">
        <v>9745</v>
      </c>
      <c r="U30" s="157">
        <v>607.01599999999996</v>
      </c>
      <c r="V30" s="169">
        <v>2.4000000000000001E-5</v>
      </c>
      <c r="W30" s="169">
        <v>1.84352019915619E-2</v>
      </c>
      <c r="X30" s="169">
        <v>3.9405261758141E-3</v>
      </c>
    </row>
    <row r="31" spans="1:24">
      <c r="A31" s="4">
        <v>891</v>
      </c>
      <c r="B31" s="4">
        <v>9957</v>
      </c>
      <c r="C31" s="4" t="s">
        <v>1452</v>
      </c>
      <c r="D31" s="4" t="s">
        <v>1453</v>
      </c>
      <c r="E31" s="4" t="s">
        <v>1264</v>
      </c>
      <c r="F31" s="4" t="s">
        <v>1454</v>
      </c>
      <c r="G31" s="4" t="s">
        <v>1455</v>
      </c>
      <c r="H31" s="4" t="s">
        <v>275</v>
      </c>
      <c r="I31" s="4" t="s">
        <v>889</v>
      </c>
      <c r="J31" s="4" t="s">
        <v>30</v>
      </c>
      <c r="K31" s="4" t="s">
        <v>30</v>
      </c>
      <c r="L31" s="2" t="s">
        <v>281</v>
      </c>
      <c r="M31" s="2" t="s">
        <v>31</v>
      </c>
      <c r="N31" s="4" t="s">
        <v>400</v>
      </c>
      <c r="O31" s="4" t="s">
        <v>94</v>
      </c>
      <c r="P31" s="4" t="s">
        <v>34</v>
      </c>
      <c r="Q31" s="157">
        <v>10085</v>
      </c>
      <c r="R31" s="170">
        <v>1</v>
      </c>
      <c r="S31" s="172">
        <v>9432</v>
      </c>
      <c r="U31" s="157">
        <v>951.21699999999998</v>
      </c>
      <c r="V31" s="169">
        <v>4.5000000000000003E-5</v>
      </c>
      <c r="W31" s="169">
        <v>2.8888661543377499E-2</v>
      </c>
      <c r="X31" s="169">
        <v>6.1749541473979002E-3</v>
      </c>
    </row>
    <row r="32" spans="1:24">
      <c r="A32" s="4">
        <v>891</v>
      </c>
      <c r="B32" s="4">
        <v>9957</v>
      </c>
      <c r="C32" s="4" t="s">
        <v>1456</v>
      </c>
      <c r="D32" s="4" t="s">
        <v>1457</v>
      </c>
      <c r="E32" s="4" t="s">
        <v>1264</v>
      </c>
      <c r="F32" s="4" t="s">
        <v>1458</v>
      </c>
      <c r="G32" s="4" t="s">
        <v>1459</v>
      </c>
      <c r="H32" s="4" t="s">
        <v>275</v>
      </c>
      <c r="I32" s="4" t="s">
        <v>889</v>
      </c>
      <c r="J32" s="4" t="s">
        <v>30</v>
      </c>
      <c r="K32" s="4" t="s">
        <v>30</v>
      </c>
      <c r="L32" s="2" t="s">
        <v>281</v>
      </c>
      <c r="M32" s="2" t="s">
        <v>31</v>
      </c>
      <c r="N32" s="4" t="s">
        <v>432</v>
      </c>
      <c r="O32" s="4" t="s">
        <v>94</v>
      </c>
      <c r="P32" s="4" t="s">
        <v>34</v>
      </c>
      <c r="Q32" s="157">
        <v>1520</v>
      </c>
      <c r="R32" s="170">
        <v>1</v>
      </c>
      <c r="S32" s="172">
        <v>8680</v>
      </c>
      <c r="U32" s="157">
        <v>131.93600000000001</v>
      </c>
      <c r="V32" s="169">
        <v>2.0999999999999999E-5</v>
      </c>
      <c r="W32" s="169">
        <v>4.00692339182582E-3</v>
      </c>
      <c r="X32" s="169">
        <v>8.5648025539391995E-4</v>
      </c>
    </row>
    <row r="33" spans="1:24">
      <c r="A33" s="4">
        <v>891</v>
      </c>
      <c r="B33" s="4">
        <v>9957</v>
      </c>
      <c r="C33" s="4" t="s">
        <v>1460</v>
      </c>
      <c r="D33" s="4" t="s">
        <v>1461</v>
      </c>
      <c r="E33" s="4" t="s">
        <v>1264</v>
      </c>
      <c r="F33" s="4" t="s">
        <v>1462</v>
      </c>
      <c r="G33" s="4" t="s">
        <v>1463</v>
      </c>
      <c r="H33" s="4" t="s">
        <v>275</v>
      </c>
      <c r="I33" s="4" t="s">
        <v>889</v>
      </c>
      <c r="J33" s="4" t="s">
        <v>30</v>
      </c>
      <c r="K33" s="4" t="s">
        <v>30</v>
      </c>
      <c r="L33" s="2" t="s">
        <v>281</v>
      </c>
      <c r="M33" s="2" t="s">
        <v>31</v>
      </c>
      <c r="N33" s="4" t="s">
        <v>406</v>
      </c>
      <c r="O33" s="4" t="s">
        <v>94</v>
      </c>
      <c r="P33" s="4" t="s">
        <v>34</v>
      </c>
      <c r="Q33" s="157">
        <v>175</v>
      </c>
      <c r="R33" s="170">
        <v>1</v>
      </c>
      <c r="S33" s="172">
        <v>112370</v>
      </c>
      <c r="U33" s="157">
        <v>196.648</v>
      </c>
      <c r="V33" s="169">
        <v>2.3E-5</v>
      </c>
      <c r="W33" s="169">
        <v>5.9722249249186598E-3</v>
      </c>
      <c r="X33" s="169">
        <v>1.2765636446654099E-3</v>
      </c>
    </row>
    <row r="34" spans="1:24">
      <c r="A34" s="4">
        <v>891</v>
      </c>
      <c r="B34" s="4">
        <v>9957</v>
      </c>
      <c r="C34" s="4" t="s">
        <v>1464</v>
      </c>
      <c r="D34" s="4" t="s">
        <v>1465</v>
      </c>
      <c r="E34" s="4" t="s">
        <v>1264</v>
      </c>
      <c r="F34" s="4" t="s">
        <v>1466</v>
      </c>
      <c r="G34" s="4" t="s">
        <v>1467</v>
      </c>
      <c r="H34" s="4" t="s">
        <v>275</v>
      </c>
      <c r="I34" s="4" t="s">
        <v>889</v>
      </c>
      <c r="J34" s="4" t="s">
        <v>30</v>
      </c>
      <c r="K34" s="4" t="s">
        <v>30</v>
      </c>
      <c r="L34" s="2" t="s">
        <v>281</v>
      </c>
      <c r="M34" s="2" t="s">
        <v>31</v>
      </c>
      <c r="N34" s="4" t="s">
        <v>432</v>
      </c>
      <c r="O34" s="4" t="s">
        <v>94</v>
      </c>
      <c r="P34" s="4" t="s">
        <v>34</v>
      </c>
      <c r="Q34" s="157">
        <v>761</v>
      </c>
      <c r="R34" s="170">
        <v>1</v>
      </c>
      <c r="S34" s="172">
        <v>28610</v>
      </c>
      <c r="U34" s="157">
        <v>217.72200000000001</v>
      </c>
      <c r="V34" s="169">
        <v>3.3000000000000003E-5</v>
      </c>
      <c r="W34" s="169">
        <v>6.6122648511963396E-3</v>
      </c>
      <c r="X34" s="169">
        <v>1.4133722396684799E-3</v>
      </c>
    </row>
    <row r="35" spans="1:24">
      <c r="A35" s="4">
        <v>891</v>
      </c>
      <c r="B35" s="4">
        <v>9957</v>
      </c>
      <c r="C35" s="4" t="s">
        <v>1468</v>
      </c>
      <c r="D35" s="4" t="s">
        <v>1469</v>
      </c>
      <c r="E35" s="4" t="s">
        <v>1264</v>
      </c>
      <c r="F35" s="4" t="s">
        <v>1470</v>
      </c>
      <c r="G35" s="4" t="s">
        <v>1471</v>
      </c>
      <c r="H35" s="4" t="s">
        <v>275</v>
      </c>
      <c r="I35" s="4" t="s">
        <v>889</v>
      </c>
      <c r="J35" s="4" t="s">
        <v>30</v>
      </c>
      <c r="K35" s="4" t="s">
        <v>30</v>
      </c>
      <c r="L35" s="2" t="s">
        <v>281</v>
      </c>
      <c r="M35" s="2" t="s">
        <v>31</v>
      </c>
      <c r="N35" s="4" t="s">
        <v>418</v>
      </c>
      <c r="O35" s="4" t="s">
        <v>94</v>
      </c>
      <c r="P35" s="4" t="s">
        <v>34</v>
      </c>
      <c r="Q35" s="157">
        <v>6747</v>
      </c>
      <c r="R35" s="170">
        <v>1</v>
      </c>
      <c r="S35" s="172">
        <v>1866</v>
      </c>
      <c r="T35" s="156">
        <v>2.762</v>
      </c>
      <c r="U35" s="157">
        <v>128.661</v>
      </c>
      <c r="V35" s="169">
        <v>1.83E-4</v>
      </c>
      <c r="W35" s="169">
        <v>3.9074573254069701E-3</v>
      </c>
      <c r="X35" s="169">
        <v>8.3521937425423297E-4</v>
      </c>
    </row>
    <row r="36" spans="1:24">
      <c r="A36" s="4">
        <v>891</v>
      </c>
      <c r="B36" s="4">
        <v>9957</v>
      </c>
      <c r="C36" s="4" t="s">
        <v>1472</v>
      </c>
      <c r="D36" s="4" t="s">
        <v>1473</v>
      </c>
      <c r="E36" s="4" t="s">
        <v>1264</v>
      </c>
      <c r="F36" s="4" t="s">
        <v>1474</v>
      </c>
      <c r="G36" s="4" t="s">
        <v>1475</v>
      </c>
      <c r="H36" s="4" t="s">
        <v>275</v>
      </c>
      <c r="I36" s="4" t="s">
        <v>889</v>
      </c>
      <c r="J36" s="4" t="s">
        <v>30</v>
      </c>
      <c r="K36" s="4" t="s">
        <v>251</v>
      </c>
      <c r="L36" s="2" t="s">
        <v>281</v>
      </c>
      <c r="M36" s="2" t="s">
        <v>31</v>
      </c>
      <c r="N36" s="4" t="s">
        <v>413</v>
      </c>
      <c r="O36" s="4" t="s">
        <v>94</v>
      </c>
      <c r="P36" s="4" t="s">
        <v>34</v>
      </c>
      <c r="Q36" s="157">
        <v>2003</v>
      </c>
      <c r="R36" s="170">
        <v>1</v>
      </c>
      <c r="S36" s="172">
        <v>14620</v>
      </c>
      <c r="U36" s="157">
        <v>292.839</v>
      </c>
      <c r="V36" s="169">
        <v>1.8E-5</v>
      </c>
      <c r="W36" s="169">
        <v>8.8935683692815005E-3</v>
      </c>
      <c r="X36" s="169">
        <v>1.9010010832312501E-3</v>
      </c>
    </row>
    <row r="37" spans="1:24">
      <c r="A37" s="4">
        <v>891</v>
      </c>
      <c r="B37" s="4">
        <v>9957</v>
      </c>
      <c r="C37" s="4" t="s">
        <v>1476</v>
      </c>
      <c r="D37" s="4" t="s">
        <v>1477</v>
      </c>
      <c r="E37" s="4" t="s">
        <v>1264</v>
      </c>
      <c r="F37" s="4" t="s">
        <v>1478</v>
      </c>
      <c r="G37" s="4" t="s">
        <v>1479</v>
      </c>
      <c r="H37" s="4" t="s">
        <v>275</v>
      </c>
      <c r="I37" s="4" t="s">
        <v>889</v>
      </c>
      <c r="J37" s="4" t="s">
        <v>30</v>
      </c>
      <c r="K37" s="4" t="s">
        <v>179</v>
      </c>
      <c r="L37" s="2" t="s">
        <v>281</v>
      </c>
      <c r="M37" s="2" t="s">
        <v>31</v>
      </c>
      <c r="N37" s="4" t="s">
        <v>422</v>
      </c>
      <c r="O37" s="4" t="s">
        <v>94</v>
      </c>
      <c r="P37" s="4" t="s">
        <v>34</v>
      </c>
      <c r="Q37" s="157">
        <v>27613</v>
      </c>
      <c r="R37" s="170">
        <v>1</v>
      </c>
      <c r="S37" s="172">
        <v>5699</v>
      </c>
      <c r="U37" s="157">
        <v>1573.665</v>
      </c>
      <c r="V37" s="169">
        <v>2.1999999999999999E-5</v>
      </c>
      <c r="W37" s="169">
        <v>4.77925250007393E-2</v>
      </c>
      <c r="X37" s="169">
        <v>1.0215656756018401E-2</v>
      </c>
    </row>
    <row r="38" spans="1:24">
      <c r="A38" s="4">
        <v>891</v>
      </c>
      <c r="B38" s="4">
        <v>9957</v>
      </c>
      <c r="C38" s="4" t="s">
        <v>1480</v>
      </c>
      <c r="D38" s="4" t="s">
        <v>1481</v>
      </c>
      <c r="E38" s="4" t="s">
        <v>1264</v>
      </c>
      <c r="F38" s="4" t="s">
        <v>1482</v>
      </c>
      <c r="G38" s="4" t="s">
        <v>1483</v>
      </c>
      <c r="H38" s="4" t="s">
        <v>275</v>
      </c>
      <c r="I38" s="4" t="s">
        <v>889</v>
      </c>
      <c r="J38" s="4" t="s">
        <v>30</v>
      </c>
      <c r="K38" s="4" t="s">
        <v>30</v>
      </c>
      <c r="L38" s="2" t="s">
        <v>281</v>
      </c>
      <c r="M38" s="2" t="s">
        <v>31</v>
      </c>
      <c r="N38" s="4" t="s">
        <v>431</v>
      </c>
      <c r="O38" s="4" t="s">
        <v>94</v>
      </c>
      <c r="P38" s="4" t="s">
        <v>34</v>
      </c>
      <c r="Q38" s="157">
        <v>25353</v>
      </c>
      <c r="R38" s="170">
        <v>1</v>
      </c>
      <c r="S38" s="172">
        <v>810</v>
      </c>
      <c r="U38" s="157">
        <v>205.35900000000001</v>
      </c>
      <c r="V38" s="169">
        <v>2.33E-4</v>
      </c>
      <c r="W38" s="169">
        <v>6.2368040784848396E-3</v>
      </c>
      <c r="X38" s="169">
        <v>1.3331174638576001E-3</v>
      </c>
    </row>
    <row r="39" spans="1:24">
      <c r="A39" s="4">
        <v>891</v>
      </c>
      <c r="B39" s="4">
        <v>9957</v>
      </c>
      <c r="C39" s="4" t="s">
        <v>1484</v>
      </c>
      <c r="D39" s="4" t="s">
        <v>1485</v>
      </c>
      <c r="E39" s="4" t="s">
        <v>265</v>
      </c>
      <c r="F39" s="4" t="s">
        <v>1486</v>
      </c>
      <c r="G39" s="4" t="s">
        <v>1487</v>
      </c>
      <c r="H39" s="4" t="s">
        <v>275</v>
      </c>
      <c r="I39" s="4" t="s">
        <v>889</v>
      </c>
      <c r="J39" s="4" t="s">
        <v>30</v>
      </c>
      <c r="K39" s="4" t="s">
        <v>30</v>
      </c>
      <c r="L39" s="2" t="s">
        <v>281</v>
      </c>
      <c r="M39" s="2" t="s">
        <v>31</v>
      </c>
      <c r="N39" s="4" t="s">
        <v>409</v>
      </c>
      <c r="O39" s="4" t="s">
        <v>94</v>
      </c>
      <c r="P39" s="4" t="s">
        <v>34</v>
      </c>
      <c r="Q39" s="157">
        <v>111900</v>
      </c>
      <c r="R39" s="170">
        <v>1</v>
      </c>
      <c r="S39" s="172">
        <v>229.9</v>
      </c>
      <c r="U39" s="157">
        <v>257.25799999999998</v>
      </c>
      <c r="V39" s="169">
        <v>4.3000000000000002E-5</v>
      </c>
      <c r="W39" s="169">
        <v>7.8129812835516094E-3</v>
      </c>
      <c r="X39" s="169">
        <v>1.6700254910726E-3</v>
      </c>
    </row>
    <row r="40" spans="1:24">
      <c r="A40" s="4">
        <v>891</v>
      </c>
      <c r="B40" s="4">
        <v>9957</v>
      </c>
      <c r="C40" s="4" t="s">
        <v>1488</v>
      </c>
      <c r="D40" s="4" t="s">
        <v>1489</v>
      </c>
      <c r="E40" s="4" t="s">
        <v>1264</v>
      </c>
      <c r="F40" s="4" t="s">
        <v>1490</v>
      </c>
      <c r="G40" s="4" t="s">
        <v>1491</v>
      </c>
      <c r="H40" s="4" t="s">
        <v>275</v>
      </c>
      <c r="I40" s="4" t="s">
        <v>889</v>
      </c>
      <c r="J40" s="4" t="s">
        <v>30</v>
      </c>
      <c r="K40" s="4" t="s">
        <v>30</v>
      </c>
      <c r="L40" s="2" t="s">
        <v>281</v>
      </c>
      <c r="M40" s="2" t="s">
        <v>31</v>
      </c>
      <c r="N40" s="4" t="s">
        <v>400</v>
      </c>
      <c r="O40" s="4" t="s">
        <v>94</v>
      </c>
      <c r="P40" s="4" t="s">
        <v>34</v>
      </c>
      <c r="Q40" s="157">
        <v>4988</v>
      </c>
      <c r="R40" s="170">
        <v>1</v>
      </c>
      <c r="S40" s="172">
        <v>14880</v>
      </c>
      <c r="U40" s="157">
        <v>742.21400000000006</v>
      </c>
      <c r="V40" s="169">
        <v>6.3E-5</v>
      </c>
      <c r="W40" s="169">
        <v>2.2541203622286302E-2</v>
      </c>
      <c r="X40" s="169">
        <v>4.8181844141784299E-3</v>
      </c>
    </row>
    <row r="41" spans="1:24">
      <c r="A41" s="4">
        <v>891</v>
      </c>
      <c r="B41" s="4">
        <v>9957</v>
      </c>
      <c r="C41" s="4" t="s">
        <v>1137</v>
      </c>
      <c r="D41" s="4" t="s">
        <v>1492</v>
      </c>
      <c r="E41" s="4" t="s">
        <v>1264</v>
      </c>
      <c r="F41" s="4" t="s">
        <v>1493</v>
      </c>
      <c r="G41" s="4" t="s">
        <v>1494</v>
      </c>
      <c r="H41" s="4" t="s">
        <v>275</v>
      </c>
      <c r="I41" s="4" t="s">
        <v>889</v>
      </c>
      <c r="J41" s="4" t="s">
        <v>30</v>
      </c>
      <c r="K41" s="4" t="s">
        <v>30</v>
      </c>
      <c r="L41" s="2" t="s">
        <v>281</v>
      </c>
      <c r="M41" s="2" t="s">
        <v>31</v>
      </c>
      <c r="N41" s="4" t="s">
        <v>403</v>
      </c>
      <c r="O41" s="4" t="s">
        <v>94</v>
      </c>
      <c r="P41" s="4" t="s">
        <v>34</v>
      </c>
      <c r="Q41" s="157">
        <v>30015</v>
      </c>
      <c r="R41" s="170">
        <v>1</v>
      </c>
      <c r="S41" s="172">
        <v>6262</v>
      </c>
      <c r="U41" s="157">
        <v>1879.539</v>
      </c>
      <c r="V41" s="169">
        <v>1.9000000000000001E-5</v>
      </c>
      <c r="W41" s="169">
        <v>5.7081994201930698E-2</v>
      </c>
      <c r="X41" s="169">
        <v>1.22012816796546E-2</v>
      </c>
    </row>
    <row r="42" spans="1:24">
      <c r="A42" s="4">
        <v>891</v>
      </c>
      <c r="B42" s="4">
        <v>9957</v>
      </c>
      <c r="C42" s="4" t="s">
        <v>1495</v>
      </c>
      <c r="D42" s="4" t="s">
        <v>1496</v>
      </c>
      <c r="E42" s="4" t="s">
        <v>1264</v>
      </c>
      <c r="F42" s="4" t="s">
        <v>1497</v>
      </c>
      <c r="G42" s="4" t="s">
        <v>1498</v>
      </c>
      <c r="H42" s="4" t="s">
        <v>275</v>
      </c>
      <c r="I42" s="4" t="s">
        <v>889</v>
      </c>
      <c r="J42" s="4" t="s">
        <v>30</v>
      </c>
      <c r="K42" s="4" t="s">
        <v>30</v>
      </c>
      <c r="L42" s="2" t="s">
        <v>281</v>
      </c>
      <c r="M42" s="2" t="s">
        <v>31</v>
      </c>
      <c r="N42" s="4" t="s">
        <v>431</v>
      </c>
      <c r="O42" s="4" t="s">
        <v>94</v>
      </c>
      <c r="P42" s="4" t="s">
        <v>34</v>
      </c>
      <c r="Q42" s="157">
        <v>939</v>
      </c>
      <c r="R42" s="170">
        <v>1</v>
      </c>
      <c r="S42" s="172">
        <v>30850</v>
      </c>
      <c r="U42" s="157">
        <v>289.68200000000002</v>
      </c>
      <c r="V42" s="169">
        <v>6.4999999999999994E-5</v>
      </c>
      <c r="W42" s="169">
        <v>8.7976865944790796E-3</v>
      </c>
      <c r="X42" s="169">
        <v>1.88050634476484E-3</v>
      </c>
    </row>
    <row r="43" spans="1:24">
      <c r="A43" s="4">
        <v>891</v>
      </c>
      <c r="B43" s="4">
        <v>9957</v>
      </c>
      <c r="C43" s="4" t="s">
        <v>1499</v>
      </c>
      <c r="D43" s="4" t="s">
        <v>1500</v>
      </c>
      <c r="E43" s="4" t="s">
        <v>1264</v>
      </c>
      <c r="F43" s="4" t="s">
        <v>1501</v>
      </c>
      <c r="G43" s="4" t="s">
        <v>1502</v>
      </c>
      <c r="H43" s="4" t="s">
        <v>275</v>
      </c>
      <c r="I43" s="4" t="s">
        <v>889</v>
      </c>
      <c r="J43" s="4" t="s">
        <v>30</v>
      </c>
      <c r="K43" s="4" t="s">
        <v>30</v>
      </c>
      <c r="L43" s="2" t="s">
        <v>281</v>
      </c>
      <c r="M43" s="2" t="s">
        <v>31</v>
      </c>
      <c r="N43" s="4" t="s">
        <v>419</v>
      </c>
      <c r="O43" s="4" t="s">
        <v>94</v>
      </c>
      <c r="P43" s="4" t="s">
        <v>34</v>
      </c>
      <c r="Q43" s="157">
        <v>13606.16</v>
      </c>
      <c r="R43" s="170">
        <v>1</v>
      </c>
      <c r="S43" s="172">
        <v>1262</v>
      </c>
      <c r="U43" s="157">
        <v>171.71</v>
      </c>
      <c r="V43" s="169">
        <v>1.9000000000000001E-5</v>
      </c>
      <c r="W43" s="169">
        <v>5.2148600124665798E-3</v>
      </c>
      <c r="X43" s="169">
        <v>1.1146768227295E-3</v>
      </c>
    </row>
    <row r="44" spans="1:24">
      <c r="A44" s="4">
        <v>891</v>
      </c>
      <c r="B44" s="4">
        <v>9957</v>
      </c>
      <c r="C44" s="4" t="s">
        <v>1503</v>
      </c>
      <c r="D44" s="4" t="s">
        <v>1504</v>
      </c>
      <c r="E44" s="4" t="s">
        <v>1264</v>
      </c>
      <c r="F44" s="4" t="s">
        <v>1505</v>
      </c>
      <c r="G44" s="4" t="s">
        <v>1506</v>
      </c>
      <c r="H44" s="4" t="s">
        <v>275</v>
      </c>
      <c r="I44" s="4" t="s">
        <v>889</v>
      </c>
      <c r="J44" s="4" t="s">
        <v>30</v>
      </c>
      <c r="K44" s="4" t="s">
        <v>30</v>
      </c>
      <c r="L44" s="2" t="s">
        <v>281</v>
      </c>
      <c r="M44" s="2" t="s">
        <v>31</v>
      </c>
      <c r="N44" s="4" t="s">
        <v>403</v>
      </c>
      <c r="O44" s="4" t="s">
        <v>94</v>
      </c>
      <c r="P44" s="4" t="s">
        <v>34</v>
      </c>
      <c r="Q44" s="157">
        <v>5269.93</v>
      </c>
      <c r="R44" s="170">
        <v>1</v>
      </c>
      <c r="S44" s="172">
        <v>21950</v>
      </c>
      <c r="U44" s="157">
        <v>1156.75</v>
      </c>
      <c r="V44" s="169">
        <v>2.0000000000000002E-5</v>
      </c>
      <c r="W44" s="169">
        <v>3.51307237673378E-2</v>
      </c>
      <c r="X44" s="169">
        <v>7.5091955403500501E-3</v>
      </c>
    </row>
    <row r="45" spans="1:24">
      <c r="A45" s="4">
        <v>891</v>
      </c>
      <c r="B45" s="4">
        <v>9957</v>
      </c>
      <c r="C45" s="4" t="s">
        <v>1507</v>
      </c>
      <c r="D45" s="4" t="s">
        <v>1508</v>
      </c>
      <c r="E45" s="4" t="s">
        <v>1264</v>
      </c>
      <c r="F45" s="4" t="s">
        <v>1509</v>
      </c>
      <c r="G45" s="4" t="s">
        <v>1510</v>
      </c>
      <c r="H45" s="4" t="s">
        <v>275</v>
      </c>
      <c r="I45" s="4" t="s">
        <v>889</v>
      </c>
      <c r="J45" s="4" t="s">
        <v>30</v>
      </c>
      <c r="K45" s="4" t="s">
        <v>30</v>
      </c>
      <c r="L45" s="2" t="s">
        <v>281</v>
      </c>
      <c r="M45" s="2" t="s">
        <v>31</v>
      </c>
      <c r="N45" s="4" t="s">
        <v>432</v>
      </c>
      <c r="O45" s="4" t="s">
        <v>94</v>
      </c>
      <c r="P45" s="4" t="s">
        <v>34</v>
      </c>
      <c r="Q45" s="157">
        <v>2046</v>
      </c>
      <c r="R45" s="170">
        <v>1</v>
      </c>
      <c r="S45" s="172">
        <v>11720</v>
      </c>
      <c r="U45" s="157">
        <v>239.791</v>
      </c>
      <c r="V45" s="169">
        <v>3.1999999999999999E-5</v>
      </c>
      <c r="W45" s="169">
        <v>7.2825079465345596E-3</v>
      </c>
      <c r="X45" s="169">
        <v>1.5566367649255299E-3</v>
      </c>
    </row>
    <row r="46" spans="1:24">
      <c r="A46" s="4">
        <v>891</v>
      </c>
      <c r="B46" s="4">
        <v>9957</v>
      </c>
      <c r="C46" s="4" t="s">
        <v>1511</v>
      </c>
      <c r="D46" s="4" t="s">
        <v>1512</v>
      </c>
      <c r="E46" s="4" t="s">
        <v>1264</v>
      </c>
      <c r="F46" s="4" t="s">
        <v>1513</v>
      </c>
      <c r="G46" s="4" t="s">
        <v>1514</v>
      </c>
      <c r="H46" s="4" t="s">
        <v>275</v>
      </c>
      <c r="I46" s="4" t="s">
        <v>889</v>
      </c>
      <c r="J46" s="4" t="s">
        <v>30</v>
      </c>
      <c r="K46" s="4" t="s">
        <v>30</v>
      </c>
      <c r="L46" s="2" t="s">
        <v>281</v>
      </c>
      <c r="M46" s="2" t="s">
        <v>31</v>
      </c>
      <c r="N46" s="4" t="s">
        <v>419</v>
      </c>
      <c r="O46" s="4" t="s">
        <v>94</v>
      </c>
      <c r="P46" s="4" t="s">
        <v>34</v>
      </c>
      <c r="Q46" s="157">
        <v>839</v>
      </c>
      <c r="R46" s="170">
        <v>1</v>
      </c>
      <c r="S46" s="172">
        <v>38400</v>
      </c>
      <c r="U46" s="157">
        <v>322.17599999999999</v>
      </c>
      <c r="V46" s="169">
        <v>1.8E-5</v>
      </c>
      <c r="W46" s="169">
        <v>9.7845512269954804E-3</v>
      </c>
      <c r="X46" s="169">
        <v>2.0914487536517101E-3</v>
      </c>
    </row>
    <row r="47" spans="1:24">
      <c r="A47" s="4">
        <v>891</v>
      </c>
      <c r="B47" s="4">
        <v>9957</v>
      </c>
      <c r="C47" s="4" t="s">
        <v>1515</v>
      </c>
      <c r="D47" s="4" t="s">
        <v>1516</v>
      </c>
      <c r="E47" s="4" t="s">
        <v>1264</v>
      </c>
      <c r="F47" s="4" t="s">
        <v>1517</v>
      </c>
      <c r="G47" s="4" t="s">
        <v>1518</v>
      </c>
      <c r="H47" s="4" t="s">
        <v>275</v>
      </c>
      <c r="I47" s="4" t="s">
        <v>889</v>
      </c>
      <c r="J47" s="4" t="s">
        <v>30</v>
      </c>
      <c r="K47" s="4" t="s">
        <v>30</v>
      </c>
      <c r="L47" s="2" t="s">
        <v>281</v>
      </c>
      <c r="M47" s="2" t="s">
        <v>31</v>
      </c>
      <c r="N47" s="4" t="s">
        <v>400</v>
      </c>
      <c r="O47" s="4" t="s">
        <v>94</v>
      </c>
      <c r="P47" s="4" t="s">
        <v>34</v>
      </c>
      <c r="Q47" s="157">
        <v>1337</v>
      </c>
      <c r="R47" s="170">
        <v>1</v>
      </c>
      <c r="S47" s="172">
        <v>26530</v>
      </c>
      <c r="U47" s="157">
        <v>354.70600000000002</v>
      </c>
      <c r="V47" s="169">
        <v>2.0999999999999999E-5</v>
      </c>
      <c r="W47" s="169">
        <v>1.07724970388166E-2</v>
      </c>
      <c r="X47" s="169">
        <v>2.3026222647176001E-3</v>
      </c>
    </row>
    <row r="48" spans="1:24">
      <c r="A48" s="4">
        <v>891</v>
      </c>
      <c r="B48" s="4">
        <v>9957</v>
      </c>
      <c r="C48" s="4" t="s">
        <v>1519</v>
      </c>
      <c r="D48" s="4" t="s">
        <v>1520</v>
      </c>
      <c r="E48" s="4" t="s">
        <v>265</v>
      </c>
      <c r="F48" s="4" t="s">
        <v>1521</v>
      </c>
      <c r="G48" s="4" t="s">
        <v>1522</v>
      </c>
      <c r="H48" s="4" t="s">
        <v>275</v>
      </c>
      <c r="I48" s="4" t="s">
        <v>889</v>
      </c>
      <c r="J48" s="4" t="s">
        <v>30</v>
      </c>
      <c r="K48" s="4" t="s">
        <v>179</v>
      </c>
      <c r="L48" s="2" t="s">
        <v>281</v>
      </c>
      <c r="M48" s="2" t="s">
        <v>31</v>
      </c>
      <c r="N48" s="4" t="s">
        <v>409</v>
      </c>
      <c r="O48" s="4" t="s">
        <v>94</v>
      </c>
      <c r="P48" s="4" t="s">
        <v>34</v>
      </c>
      <c r="Q48" s="157">
        <v>6549</v>
      </c>
      <c r="R48" s="170">
        <v>1</v>
      </c>
      <c r="S48" s="172">
        <v>9900</v>
      </c>
      <c r="U48" s="157">
        <v>648.351</v>
      </c>
      <c r="V48" s="169">
        <v>6.3E-5</v>
      </c>
      <c r="W48" s="169">
        <v>1.9690552904542101E-2</v>
      </c>
      <c r="X48" s="169">
        <v>4.2088575526384297E-3</v>
      </c>
    </row>
    <row r="49" spans="1:24">
      <c r="A49" s="4">
        <v>891</v>
      </c>
      <c r="B49" s="4">
        <v>9957</v>
      </c>
      <c r="C49" s="4" t="s">
        <v>1523</v>
      </c>
      <c r="D49" s="4" t="s">
        <v>1524</v>
      </c>
      <c r="E49" s="4" t="s">
        <v>1264</v>
      </c>
      <c r="F49" s="4" t="s">
        <v>1525</v>
      </c>
      <c r="G49" s="4" t="s">
        <v>1526</v>
      </c>
      <c r="H49" s="4" t="s">
        <v>275</v>
      </c>
      <c r="I49" s="4" t="s">
        <v>889</v>
      </c>
      <c r="J49" s="4" t="s">
        <v>30</v>
      </c>
      <c r="K49" s="4" t="s">
        <v>251</v>
      </c>
      <c r="L49" s="2" t="s">
        <v>281</v>
      </c>
      <c r="M49" s="2" t="s">
        <v>31</v>
      </c>
      <c r="N49" s="4" t="s">
        <v>413</v>
      </c>
      <c r="O49" s="4" t="s">
        <v>94</v>
      </c>
      <c r="P49" s="4" t="s">
        <v>34</v>
      </c>
      <c r="Q49" s="157">
        <v>1220</v>
      </c>
      <c r="R49" s="170">
        <v>1</v>
      </c>
      <c r="S49" s="172">
        <v>95280</v>
      </c>
      <c r="U49" s="157">
        <v>1162.4159999999999</v>
      </c>
      <c r="V49" s="169">
        <v>4.1999999999999998E-5</v>
      </c>
      <c r="W49" s="169">
        <v>3.5302812435064002E-2</v>
      </c>
      <c r="X49" s="169">
        <v>7.5459795094134996E-3</v>
      </c>
    </row>
    <row r="50" spans="1:24">
      <c r="A50" s="4">
        <v>891</v>
      </c>
      <c r="B50" s="4">
        <v>9957</v>
      </c>
      <c r="C50" s="4" t="s">
        <v>1527</v>
      </c>
      <c r="D50" s="4" t="s">
        <v>1528</v>
      </c>
      <c r="E50" s="4" t="s">
        <v>1264</v>
      </c>
      <c r="F50" s="4" t="s">
        <v>1529</v>
      </c>
      <c r="G50" s="4" t="s">
        <v>1530</v>
      </c>
      <c r="H50" s="4" t="s">
        <v>275</v>
      </c>
      <c r="I50" s="4" t="s">
        <v>889</v>
      </c>
      <c r="J50" s="4" t="s">
        <v>30</v>
      </c>
      <c r="K50" s="4" t="s">
        <v>30</v>
      </c>
      <c r="L50" s="2" t="s">
        <v>281</v>
      </c>
      <c r="M50" s="2" t="s">
        <v>31</v>
      </c>
      <c r="N50" s="4" t="s">
        <v>396</v>
      </c>
      <c r="O50" s="4" t="s">
        <v>94</v>
      </c>
      <c r="P50" s="4" t="s">
        <v>34</v>
      </c>
      <c r="Q50" s="157">
        <v>1087</v>
      </c>
      <c r="R50" s="170">
        <v>1</v>
      </c>
      <c r="S50" s="172">
        <v>9339</v>
      </c>
      <c r="U50" s="157">
        <v>101.515</v>
      </c>
      <c r="V50" s="169">
        <v>3.1000000000000001E-5</v>
      </c>
      <c r="W50" s="169">
        <v>3.0830292538545998E-3</v>
      </c>
      <c r="X50" s="169">
        <v>6.5899779569409398E-4</v>
      </c>
    </row>
    <row r="51" spans="1:24">
      <c r="A51" s="4">
        <v>891</v>
      </c>
      <c r="B51" s="4">
        <v>9957</v>
      </c>
      <c r="C51" s="4" t="s">
        <v>1531</v>
      </c>
      <c r="D51" s="4" t="s">
        <v>1532</v>
      </c>
      <c r="E51" s="4" t="s">
        <v>265</v>
      </c>
      <c r="F51" s="4" t="s">
        <v>1533</v>
      </c>
      <c r="G51" s="4" t="s">
        <v>1534</v>
      </c>
      <c r="H51" s="4" t="s">
        <v>275</v>
      </c>
      <c r="I51" s="4" t="s">
        <v>889</v>
      </c>
      <c r="J51" s="4" t="s">
        <v>30</v>
      </c>
      <c r="K51" s="4" t="s">
        <v>30</v>
      </c>
      <c r="L51" s="2" t="s">
        <v>281</v>
      </c>
      <c r="M51" s="2" t="s">
        <v>31</v>
      </c>
      <c r="N51" s="4" t="s">
        <v>409</v>
      </c>
      <c r="O51" s="4" t="s">
        <v>94</v>
      </c>
      <c r="P51" s="4" t="s">
        <v>34</v>
      </c>
      <c r="Q51" s="157">
        <v>34038</v>
      </c>
      <c r="R51" s="170">
        <v>1</v>
      </c>
      <c r="S51" s="172">
        <v>1656</v>
      </c>
      <c r="U51" s="157">
        <v>563.66899999999998</v>
      </c>
      <c r="V51" s="169">
        <v>2.9E-5</v>
      </c>
      <c r="W51" s="169">
        <v>1.7118751692378299E-2</v>
      </c>
      <c r="X51" s="169">
        <v>3.6591347993883902E-3</v>
      </c>
    </row>
    <row r="52" spans="1:24">
      <c r="A52" s="4">
        <v>891</v>
      </c>
      <c r="B52" s="4">
        <v>9957</v>
      </c>
      <c r="C52" s="4" t="s">
        <v>1535</v>
      </c>
      <c r="D52" s="4" t="s">
        <v>1536</v>
      </c>
      <c r="E52" s="4" t="s">
        <v>1264</v>
      </c>
      <c r="F52" s="4" t="s">
        <v>1537</v>
      </c>
      <c r="G52" s="4" t="s">
        <v>1538</v>
      </c>
      <c r="H52" s="4" t="s">
        <v>275</v>
      </c>
      <c r="I52" s="4" t="s">
        <v>889</v>
      </c>
      <c r="J52" s="4" t="s">
        <v>30</v>
      </c>
      <c r="K52" s="4" t="s">
        <v>179</v>
      </c>
      <c r="L52" s="2" t="s">
        <v>281</v>
      </c>
      <c r="M52" s="2" t="s">
        <v>31</v>
      </c>
      <c r="N52" s="4" t="s">
        <v>436</v>
      </c>
      <c r="O52" s="4" t="s">
        <v>94</v>
      </c>
      <c r="P52" s="4" t="s">
        <v>34</v>
      </c>
      <c r="Q52" s="157">
        <v>710</v>
      </c>
      <c r="R52" s="170">
        <v>1</v>
      </c>
      <c r="S52" s="172">
        <v>57150</v>
      </c>
      <c r="U52" s="157">
        <v>405.76499999999999</v>
      </c>
      <c r="V52" s="169">
        <v>9.0000000000000002E-6</v>
      </c>
      <c r="W52" s="169">
        <v>1.2323166308545099E-2</v>
      </c>
      <c r="X52" s="169">
        <v>2.63407796833248E-3</v>
      </c>
    </row>
    <row r="53" spans="1:24">
      <c r="A53" s="4">
        <v>891</v>
      </c>
      <c r="B53" s="4">
        <v>9957</v>
      </c>
      <c r="C53" s="4" t="s">
        <v>1539</v>
      </c>
      <c r="D53" s="4" t="s">
        <v>1540</v>
      </c>
      <c r="E53" s="4" t="s">
        <v>1264</v>
      </c>
      <c r="F53" s="4" t="s">
        <v>1541</v>
      </c>
      <c r="G53" s="4" t="s">
        <v>1542</v>
      </c>
      <c r="H53" s="4" t="s">
        <v>275</v>
      </c>
      <c r="I53" s="4" t="s">
        <v>889</v>
      </c>
      <c r="J53" s="4" t="s">
        <v>30</v>
      </c>
      <c r="K53" s="4" t="s">
        <v>30</v>
      </c>
      <c r="L53" s="2" t="s">
        <v>281</v>
      </c>
      <c r="M53" s="2" t="s">
        <v>31</v>
      </c>
      <c r="N53" s="4" t="s">
        <v>419</v>
      </c>
      <c r="O53" s="4" t="s">
        <v>94</v>
      </c>
      <c r="P53" s="4" t="s">
        <v>34</v>
      </c>
      <c r="Q53" s="157">
        <v>308</v>
      </c>
      <c r="R53" s="170">
        <v>1</v>
      </c>
      <c r="S53" s="172">
        <v>34080</v>
      </c>
      <c r="U53" s="157">
        <v>104.96599999999999</v>
      </c>
      <c r="V53" s="169">
        <v>4.1999999999999998E-5</v>
      </c>
      <c r="W53" s="169">
        <v>3.1878511059585399E-3</v>
      </c>
      <c r="X53" s="169">
        <v>6.8140347653241197E-4</v>
      </c>
    </row>
    <row r="54" spans="1:24">
      <c r="A54" s="4">
        <v>891</v>
      </c>
      <c r="B54" s="4">
        <v>9957</v>
      </c>
      <c r="C54" s="4" t="s">
        <v>1543</v>
      </c>
      <c r="D54" s="4" t="s">
        <v>1544</v>
      </c>
      <c r="E54" s="4" t="s">
        <v>1264</v>
      </c>
      <c r="F54" s="4" t="s">
        <v>1543</v>
      </c>
      <c r="G54" s="4" t="s">
        <v>1545</v>
      </c>
      <c r="H54" s="4" t="s">
        <v>275</v>
      </c>
      <c r="I54" s="4" t="s">
        <v>889</v>
      </c>
      <c r="J54" s="4" t="s">
        <v>30</v>
      </c>
      <c r="K54" s="4" t="s">
        <v>30</v>
      </c>
      <c r="L54" s="2" t="s">
        <v>281</v>
      </c>
      <c r="M54" s="2" t="s">
        <v>31</v>
      </c>
      <c r="N54" s="4" t="s">
        <v>394</v>
      </c>
      <c r="O54" s="4" t="s">
        <v>94</v>
      </c>
      <c r="P54" s="4" t="s">
        <v>34</v>
      </c>
      <c r="Q54" s="157">
        <v>3201</v>
      </c>
      <c r="R54" s="170">
        <v>1</v>
      </c>
      <c r="S54" s="172">
        <v>12570</v>
      </c>
      <c r="U54" s="157">
        <v>402.36599999999999</v>
      </c>
      <c r="V54" s="169">
        <v>3.8999999999999999E-5</v>
      </c>
      <c r="W54" s="169">
        <v>1.22199288700459E-2</v>
      </c>
      <c r="X54" s="169">
        <v>2.6120109560525801E-3</v>
      </c>
    </row>
    <row r="55" spans="1:24">
      <c r="A55" s="4">
        <v>891</v>
      </c>
      <c r="B55" s="4">
        <v>9957</v>
      </c>
      <c r="C55" s="4" t="s">
        <v>1546</v>
      </c>
      <c r="D55" s="4" t="s">
        <v>1547</v>
      </c>
      <c r="E55" s="4" t="s">
        <v>1264</v>
      </c>
      <c r="F55" s="4" t="s">
        <v>1548</v>
      </c>
      <c r="G55" s="4" t="s">
        <v>1549</v>
      </c>
      <c r="H55" s="4" t="s">
        <v>275</v>
      </c>
      <c r="I55" s="4" t="s">
        <v>889</v>
      </c>
      <c r="J55" s="4" t="s">
        <v>30</v>
      </c>
      <c r="K55" s="4" t="s">
        <v>30</v>
      </c>
      <c r="L55" s="2" t="s">
        <v>281</v>
      </c>
      <c r="M55" s="2" t="s">
        <v>31</v>
      </c>
      <c r="N55" s="4" t="s">
        <v>396</v>
      </c>
      <c r="O55" s="4" t="s">
        <v>94</v>
      </c>
      <c r="P55" s="4" t="s">
        <v>34</v>
      </c>
      <c r="Q55" s="157">
        <v>4417</v>
      </c>
      <c r="R55" s="170">
        <v>1</v>
      </c>
      <c r="S55" s="172">
        <v>3958</v>
      </c>
      <c r="U55" s="157">
        <v>174.82499999999999</v>
      </c>
      <c r="V55" s="169">
        <v>2.6699999999999998E-4</v>
      </c>
      <c r="W55" s="169">
        <v>5.3094668703513401E-3</v>
      </c>
      <c r="X55" s="169">
        <v>1.1348990475837199E-3</v>
      </c>
    </row>
    <row r="56" spans="1:24">
      <c r="A56" s="4">
        <v>891</v>
      </c>
      <c r="B56" s="4">
        <v>9957</v>
      </c>
      <c r="C56" s="4" t="s">
        <v>1550</v>
      </c>
      <c r="D56" s="4" t="s">
        <v>1551</v>
      </c>
      <c r="E56" s="4" t="s">
        <v>1264</v>
      </c>
      <c r="F56" s="4" t="s">
        <v>1552</v>
      </c>
      <c r="G56" s="4" t="s">
        <v>1553</v>
      </c>
      <c r="H56" s="4" t="s">
        <v>275</v>
      </c>
      <c r="I56" s="4" t="s">
        <v>889</v>
      </c>
      <c r="J56" s="4" t="s">
        <v>30</v>
      </c>
      <c r="K56" s="4" t="s">
        <v>251</v>
      </c>
      <c r="L56" s="2" t="s">
        <v>281</v>
      </c>
      <c r="M56" s="2" t="s">
        <v>31</v>
      </c>
      <c r="N56" s="4" t="s">
        <v>417</v>
      </c>
      <c r="O56" s="4" t="s">
        <v>94</v>
      </c>
      <c r="P56" s="4" t="s">
        <v>34</v>
      </c>
      <c r="Q56" s="157">
        <v>802</v>
      </c>
      <c r="R56" s="170">
        <v>1</v>
      </c>
      <c r="S56" s="172">
        <v>15810</v>
      </c>
      <c r="U56" s="157">
        <v>126.79600000000001</v>
      </c>
      <c r="V56" s="169">
        <v>6.4999999999999994E-5</v>
      </c>
      <c r="W56" s="169">
        <v>3.8508266111950099E-3</v>
      </c>
      <c r="X56" s="169">
        <v>8.23114553715276E-4</v>
      </c>
    </row>
    <row r="57" spans="1:24">
      <c r="A57" s="4">
        <v>891</v>
      </c>
      <c r="B57" s="4">
        <v>9957</v>
      </c>
      <c r="C57" s="4" t="s">
        <v>1554</v>
      </c>
      <c r="D57" s="4" t="s">
        <v>1555</v>
      </c>
      <c r="E57" s="4" t="s">
        <v>1264</v>
      </c>
      <c r="F57" s="4" t="s">
        <v>1556</v>
      </c>
      <c r="G57" s="4" t="s">
        <v>1557</v>
      </c>
      <c r="H57" s="4" t="s">
        <v>275</v>
      </c>
      <c r="I57" s="4" t="s">
        <v>889</v>
      </c>
      <c r="J57" s="4" t="s">
        <v>30</v>
      </c>
      <c r="K57" s="4" t="s">
        <v>30</v>
      </c>
      <c r="L57" s="2" t="s">
        <v>281</v>
      </c>
      <c r="M57" s="2" t="s">
        <v>31</v>
      </c>
      <c r="N57" s="4" t="s">
        <v>419</v>
      </c>
      <c r="O57" s="4" t="s">
        <v>94</v>
      </c>
      <c r="P57" s="4" t="s">
        <v>34</v>
      </c>
      <c r="Q57" s="157">
        <v>2269</v>
      </c>
      <c r="R57" s="170">
        <v>1</v>
      </c>
      <c r="S57" s="172">
        <v>30970</v>
      </c>
      <c r="U57" s="157">
        <v>702.70899999999995</v>
      </c>
      <c r="V57" s="169">
        <v>1.9000000000000001E-5</v>
      </c>
      <c r="W57" s="169">
        <v>2.13414256292714E-2</v>
      </c>
      <c r="X57" s="169">
        <v>4.5617317542724E-3</v>
      </c>
    </row>
    <row r="58" spans="1:24">
      <c r="A58" s="4">
        <v>891</v>
      </c>
      <c r="B58" s="4">
        <v>9957</v>
      </c>
      <c r="C58" s="4" t="s">
        <v>1558</v>
      </c>
      <c r="D58" s="4" t="s">
        <v>1559</v>
      </c>
      <c r="E58" s="4" t="s">
        <v>1264</v>
      </c>
      <c r="F58" s="4" t="s">
        <v>1560</v>
      </c>
      <c r="G58" s="4" t="s">
        <v>1561</v>
      </c>
      <c r="H58" s="4" t="s">
        <v>275</v>
      </c>
      <c r="I58" s="4" t="s">
        <v>889</v>
      </c>
      <c r="J58" s="4" t="s">
        <v>30</v>
      </c>
      <c r="K58" s="4" t="s">
        <v>30</v>
      </c>
      <c r="L58" s="2" t="s">
        <v>281</v>
      </c>
      <c r="M58" s="2" t="s">
        <v>31</v>
      </c>
      <c r="N58" s="4" t="s">
        <v>403</v>
      </c>
      <c r="O58" s="4" t="s">
        <v>94</v>
      </c>
      <c r="P58" s="4" t="s">
        <v>34</v>
      </c>
      <c r="Q58" s="157">
        <v>27951</v>
      </c>
      <c r="R58" s="170">
        <v>1</v>
      </c>
      <c r="S58" s="172">
        <v>6462</v>
      </c>
      <c r="U58" s="157">
        <v>1806.194</v>
      </c>
      <c r="V58" s="169">
        <v>2.0999999999999999E-5</v>
      </c>
      <c r="W58" s="169">
        <v>5.48544708505984E-2</v>
      </c>
      <c r="X58" s="169">
        <v>1.1725148351840801E-2</v>
      </c>
    </row>
    <row r="59" spans="1:24">
      <c r="A59" s="4">
        <v>891</v>
      </c>
      <c r="B59" s="4">
        <v>9957</v>
      </c>
      <c r="C59" s="4" t="s">
        <v>1562</v>
      </c>
      <c r="D59" s="4" t="s">
        <v>1563</v>
      </c>
      <c r="E59" s="4" t="s">
        <v>1264</v>
      </c>
      <c r="F59" s="4" t="s">
        <v>1564</v>
      </c>
      <c r="G59" s="4" t="s">
        <v>1565</v>
      </c>
      <c r="H59" s="4" t="s">
        <v>275</v>
      </c>
      <c r="I59" s="4" t="s">
        <v>889</v>
      </c>
      <c r="J59" s="4" t="s">
        <v>30</v>
      </c>
      <c r="K59" s="4" t="s">
        <v>30</v>
      </c>
      <c r="L59" s="2" t="s">
        <v>281</v>
      </c>
      <c r="M59" s="2" t="s">
        <v>31</v>
      </c>
      <c r="N59" s="4" t="s">
        <v>431</v>
      </c>
      <c r="O59" s="4" t="s">
        <v>94</v>
      </c>
      <c r="P59" s="4" t="s">
        <v>34</v>
      </c>
      <c r="Q59" s="157">
        <v>1175</v>
      </c>
      <c r="R59" s="170">
        <v>1</v>
      </c>
      <c r="S59" s="172">
        <v>33720</v>
      </c>
      <c r="U59" s="157">
        <v>396.21</v>
      </c>
      <c r="V59" s="169">
        <v>8.5000000000000006E-5</v>
      </c>
      <c r="W59" s="169">
        <v>1.20329789979635E-2</v>
      </c>
      <c r="X59" s="169">
        <v>2.5720504031471699E-3</v>
      </c>
    </row>
    <row r="60" spans="1:24">
      <c r="A60" s="4">
        <v>891</v>
      </c>
      <c r="B60" s="4">
        <v>9957</v>
      </c>
      <c r="C60" s="4" t="s">
        <v>1566</v>
      </c>
      <c r="D60" s="4" t="s">
        <v>1567</v>
      </c>
      <c r="E60" s="4" t="s">
        <v>1264</v>
      </c>
      <c r="F60" s="4" t="s">
        <v>1568</v>
      </c>
      <c r="G60" s="4" t="s">
        <v>1569</v>
      </c>
      <c r="H60" s="4" t="s">
        <v>275</v>
      </c>
      <c r="I60" s="4" t="s">
        <v>889</v>
      </c>
      <c r="J60" s="4" t="s">
        <v>30</v>
      </c>
      <c r="K60" s="4" t="s">
        <v>30</v>
      </c>
      <c r="L60" s="2" t="s">
        <v>281</v>
      </c>
      <c r="M60" s="2" t="s">
        <v>31</v>
      </c>
      <c r="N60" s="4" t="s">
        <v>432</v>
      </c>
      <c r="O60" s="4" t="s">
        <v>94</v>
      </c>
      <c r="P60" s="4" t="s">
        <v>34</v>
      </c>
      <c r="Q60" s="157">
        <v>555</v>
      </c>
      <c r="R60" s="170">
        <v>1</v>
      </c>
      <c r="S60" s="172">
        <v>42880</v>
      </c>
      <c r="U60" s="157">
        <v>237.98400000000001</v>
      </c>
      <c r="V60" s="169">
        <v>3.4999999999999997E-5</v>
      </c>
      <c r="W60" s="169">
        <v>7.2276229117168604E-3</v>
      </c>
      <c r="X60" s="169">
        <v>1.54490508352282E-3</v>
      </c>
    </row>
    <row r="61" spans="1:24">
      <c r="A61" s="4">
        <v>891</v>
      </c>
      <c r="B61" s="4">
        <v>9957</v>
      </c>
      <c r="C61" s="4" t="s">
        <v>1570</v>
      </c>
      <c r="D61" s="4" t="s">
        <v>1571</v>
      </c>
      <c r="E61" s="4" t="s">
        <v>1264</v>
      </c>
      <c r="F61" s="4" t="s">
        <v>1572</v>
      </c>
      <c r="G61" s="4" t="s">
        <v>1573</v>
      </c>
      <c r="H61" s="4" t="s">
        <v>275</v>
      </c>
      <c r="I61" s="4" t="s">
        <v>889</v>
      </c>
      <c r="J61" s="4" t="s">
        <v>30</v>
      </c>
      <c r="K61" s="4" t="s">
        <v>30</v>
      </c>
      <c r="L61" s="2" t="s">
        <v>281</v>
      </c>
      <c r="M61" s="2" t="s">
        <v>31</v>
      </c>
      <c r="N61" s="4" t="s">
        <v>395</v>
      </c>
      <c r="O61" s="4" t="s">
        <v>94</v>
      </c>
      <c r="P61" s="4" t="s">
        <v>34</v>
      </c>
      <c r="Q61" s="157">
        <v>2834</v>
      </c>
      <c r="R61" s="170">
        <v>1</v>
      </c>
      <c r="S61" s="172">
        <v>6455</v>
      </c>
      <c r="U61" s="157">
        <v>182.935</v>
      </c>
      <c r="V61" s="169">
        <v>2.2699999999999999E-4</v>
      </c>
      <c r="W61" s="169">
        <v>5.5557643752019098E-3</v>
      </c>
      <c r="X61" s="169">
        <v>1.1875451626274099E-3</v>
      </c>
    </row>
    <row r="62" spans="1:24">
      <c r="A62" s="4">
        <v>891</v>
      </c>
      <c r="B62" s="4">
        <v>9957</v>
      </c>
      <c r="C62" s="4" t="s">
        <v>1574</v>
      </c>
      <c r="D62" s="4" t="s">
        <v>1575</v>
      </c>
      <c r="E62" s="4" t="s">
        <v>1264</v>
      </c>
      <c r="F62" s="4" t="s">
        <v>1576</v>
      </c>
      <c r="G62" s="4" t="s">
        <v>1577</v>
      </c>
      <c r="H62" s="4" t="s">
        <v>275</v>
      </c>
      <c r="I62" s="4" t="s">
        <v>889</v>
      </c>
      <c r="J62" s="4" t="s">
        <v>30</v>
      </c>
      <c r="K62" s="4" t="s">
        <v>30</v>
      </c>
      <c r="L62" s="2" t="s">
        <v>281</v>
      </c>
      <c r="M62" s="2" t="s">
        <v>31</v>
      </c>
      <c r="N62" s="4" t="s">
        <v>402</v>
      </c>
      <c r="O62" s="4" t="s">
        <v>94</v>
      </c>
      <c r="P62" s="4" t="s">
        <v>34</v>
      </c>
      <c r="Q62" s="157">
        <v>1698</v>
      </c>
      <c r="R62" s="170">
        <v>1</v>
      </c>
      <c r="S62" s="172">
        <v>11810</v>
      </c>
      <c r="U62" s="157">
        <v>200.53399999999999</v>
      </c>
      <c r="V62" s="169">
        <v>7.4999999999999993E-5</v>
      </c>
      <c r="W62" s="169">
        <v>6.0902526533449597E-3</v>
      </c>
      <c r="X62" s="169">
        <v>1.3017920828213201E-3</v>
      </c>
    </row>
    <row r="63" spans="1:24">
      <c r="A63" s="4">
        <v>891</v>
      </c>
      <c r="B63" s="4">
        <v>9957</v>
      </c>
      <c r="C63" s="4" t="s">
        <v>1578</v>
      </c>
      <c r="D63" s="4" t="s">
        <v>1579</v>
      </c>
      <c r="E63" s="4" t="s">
        <v>1264</v>
      </c>
      <c r="F63" s="4" t="s">
        <v>1580</v>
      </c>
      <c r="G63" s="4" t="s">
        <v>1581</v>
      </c>
      <c r="H63" s="4" t="s">
        <v>275</v>
      </c>
      <c r="I63" s="4" t="s">
        <v>889</v>
      </c>
      <c r="J63" s="4" t="s">
        <v>30</v>
      </c>
      <c r="K63" s="4" t="s">
        <v>30</v>
      </c>
      <c r="L63" s="2" t="s">
        <v>281</v>
      </c>
      <c r="M63" s="2" t="s">
        <v>31</v>
      </c>
      <c r="N63" s="4" t="s">
        <v>416</v>
      </c>
      <c r="O63" s="4" t="s">
        <v>94</v>
      </c>
      <c r="P63" s="4" t="s">
        <v>34</v>
      </c>
      <c r="Q63" s="157">
        <v>557</v>
      </c>
      <c r="R63" s="170">
        <v>1</v>
      </c>
      <c r="S63" s="172">
        <v>58480</v>
      </c>
      <c r="U63" s="157">
        <v>325.73399999999998</v>
      </c>
      <c r="V63" s="169">
        <v>3.4E-5</v>
      </c>
      <c r="W63" s="169">
        <v>9.8925962689761296E-3</v>
      </c>
      <c r="X63" s="169">
        <v>2.1145433916321598E-3</v>
      </c>
    </row>
    <row r="64" spans="1:24">
      <c r="A64" s="4">
        <v>891</v>
      </c>
      <c r="B64" s="4">
        <v>9957</v>
      </c>
      <c r="C64" s="4" t="s">
        <v>1582</v>
      </c>
      <c r="D64" s="4" t="s">
        <v>1583</v>
      </c>
      <c r="E64" s="4" t="s">
        <v>1264</v>
      </c>
      <c r="F64" s="4" t="s">
        <v>1584</v>
      </c>
      <c r="G64" s="4" t="s">
        <v>1585</v>
      </c>
      <c r="H64" s="4" t="s">
        <v>275</v>
      </c>
      <c r="I64" s="4" t="s">
        <v>889</v>
      </c>
      <c r="J64" s="4" t="s">
        <v>30</v>
      </c>
      <c r="K64" s="4" t="s">
        <v>251</v>
      </c>
      <c r="L64" s="2" t="s">
        <v>281</v>
      </c>
      <c r="M64" s="2" t="s">
        <v>31</v>
      </c>
      <c r="N64" s="4" t="s">
        <v>413</v>
      </c>
      <c r="O64" s="4" t="s">
        <v>94</v>
      </c>
      <c r="P64" s="4" t="s">
        <v>34</v>
      </c>
      <c r="Q64" s="157">
        <v>1275</v>
      </c>
      <c r="R64" s="170">
        <v>1</v>
      </c>
      <c r="S64" s="172">
        <v>29040</v>
      </c>
      <c r="U64" s="157">
        <v>370.26</v>
      </c>
      <c r="V64" s="169">
        <v>2.6999999999999999E-5</v>
      </c>
      <c r="W64" s="169">
        <v>1.1244872173307E-2</v>
      </c>
      <c r="X64" s="169">
        <v>2.4035924945591302E-3</v>
      </c>
    </row>
    <row r="65" spans="1:24">
      <c r="A65" s="4">
        <v>891</v>
      </c>
      <c r="B65" s="4">
        <v>9957</v>
      </c>
      <c r="C65" s="4" t="s">
        <v>1586</v>
      </c>
      <c r="D65" s="4" t="s">
        <v>1587</v>
      </c>
      <c r="E65" s="4" t="s">
        <v>1264</v>
      </c>
      <c r="F65" s="4" t="s">
        <v>1588</v>
      </c>
      <c r="G65" s="4" t="s">
        <v>1589</v>
      </c>
      <c r="H65" s="4" t="s">
        <v>275</v>
      </c>
      <c r="I65" s="4" t="s">
        <v>889</v>
      </c>
      <c r="J65" s="4" t="s">
        <v>30</v>
      </c>
      <c r="K65" s="4" t="s">
        <v>30</v>
      </c>
      <c r="L65" s="2" t="s">
        <v>281</v>
      </c>
      <c r="M65" s="2" t="s">
        <v>31</v>
      </c>
      <c r="N65" s="4" t="s">
        <v>417</v>
      </c>
      <c r="O65" s="4" t="s">
        <v>94</v>
      </c>
      <c r="P65" s="4" t="s">
        <v>34</v>
      </c>
      <c r="Q65" s="157">
        <v>1969</v>
      </c>
      <c r="R65" s="170">
        <v>1</v>
      </c>
      <c r="S65" s="172">
        <v>3315</v>
      </c>
      <c r="U65" s="157">
        <v>65.272000000000006</v>
      </c>
      <c r="V65" s="169">
        <v>2.0999999999999999E-5</v>
      </c>
      <c r="W65" s="169">
        <v>1.98233466267313E-3</v>
      </c>
      <c r="X65" s="169">
        <v>4.2372422233629401E-4</v>
      </c>
    </row>
    <row r="66" spans="1:24">
      <c r="A66" s="4">
        <v>891</v>
      </c>
      <c r="B66" s="4">
        <v>9957</v>
      </c>
      <c r="C66" s="4" t="s">
        <v>1590</v>
      </c>
      <c r="D66" s="4" t="s">
        <v>1591</v>
      </c>
      <c r="E66" s="4" t="s">
        <v>1264</v>
      </c>
      <c r="F66" s="4" t="s">
        <v>1592</v>
      </c>
      <c r="G66" s="4" t="s">
        <v>1593</v>
      </c>
      <c r="H66" s="4" t="s">
        <v>275</v>
      </c>
      <c r="I66" s="4" t="s">
        <v>889</v>
      </c>
      <c r="J66" s="4" t="s">
        <v>30</v>
      </c>
      <c r="K66" s="4" t="s">
        <v>30</v>
      </c>
      <c r="L66" s="2" t="s">
        <v>281</v>
      </c>
      <c r="M66" s="2" t="s">
        <v>31</v>
      </c>
      <c r="N66" s="4" t="s">
        <v>431</v>
      </c>
      <c r="O66" s="4" t="s">
        <v>94</v>
      </c>
      <c r="P66" s="4" t="s">
        <v>34</v>
      </c>
      <c r="Q66" s="157">
        <v>600</v>
      </c>
      <c r="R66" s="170">
        <v>1</v>
      </c>
      <c r="S66" s="172">
        <v>6518</v>
      </c>
      <c r="U66" s="157">
        <v>39.107999999999997</v>
      </c>
      <c r="V66" s="169">
        <v>1.2E-5</v>
      </c>
      <c r="W66" s="169">
        <v>1.1877179845343499E-3</v>
      </c>
      <c r="X66" s="169">
        <v>2.5387483194841003E-4</v>
      </c>
    </row>
    <row r="67" spans="1:24">
      <c r="A67" s="4">
        <v>891</v>
      </c>
      <c r="B67" s="4">
        <v>9957</v>
      </c>
      <c r="C67" s="4" t="s">
        <v>1594</v>
      </c>
      <c r="D67" s="4" t="s">
        <v>1595</v>
      </c>
      <c r="E67" s="4" t="s">
        <v>1264</v>
      </c>
      <c r="F67" s="4" t="s">
        <v>1596</v>
      </c>
      <c r="G67" s="4" t="s">
        <v>1597</v>
      </c>
      <c r="H67" s="4" t="s">
        <v>275</v>
      </c>
      <c r="I67" s="4" t="s">
        <v>889</v>
      </c>
      <c r="J67" s="4" t="s">
        <v>30</v>
      </c>
      <c r="K67" s="4" t="s">
        <v>30</v>
      </c>
      <c r="L67" s="2" t="s">
        <v>281</v>
      </c>
      <c r="M67" s="2" t="s">
        <v>31</v>
      </c>
      <c r="N67" s="4" t="s">
        <v>431</v>
      </c>
      <c r="O67" s="4" t="s">
        <v>94</v>
      </c>
      <c r="P67" s="4" t="s">
        <v>34</v>
      </c>
      <c r="Q67" s="157">
        <v>300</v>
      </c>
      <c r="R67" s="170">
        <v>1</v>
      </c>
      <c r="S67" s="172">
        <v>32510</v>
      </c>
      <c r="U67" s="157">
        <v>97.53</v>
      </c>
      <c r="V67" s="169">
        <v>2.1999999999999999E-5</v>
      </c>
      <c r="W67" s="169">
        <v>2.9620061120905002E-3</v>
      </c>
      <c r="X67" s="169">
        <v>6.3312908765286995E-4</v>
      </c>
    </row>
    <row r="68" spans="1:24">
      <c r="A68" s="4">
        <v>891</v>
      </c>
      <c r="B68" s="4">
        <v>9957</v>
      </c>
      <c r="C68" s="4" t="s">
        <v>1598</v>
      </c>
      <c r="D68" s="4" t="s">
        <v>1599</v>
      </c>
      <c r="E68" s="4" t="s">
        <v>265</v>
      </c>
      <c r="F68" s="4" t="s">
        <v>1600</v>
      </c>
      <c r="G68" s="4" t="s">
        <v>1601</v>
      </c>
      <c r="H68" s="4" t="s">
        <v>275</v>
      </c>
      <c r="I68" s="4" t="s">
        <v>889</v>
      </c>
      <c r="J68" s="4" t="s">
        <v>30</v>
      </c>
      <c r="K68" s="4" t="s">
        <v>30</v>
      </c>
      <c r="L68" s="2" t="s">
        <v>281</v>
      </c>
      <c r="M68" s="2" t="s">
        <v>31</v>
      </c>
      <c r="N68" s="4" t="s">
        <v>409</v>
      </c>
      <c r="O68" s="4" t="s">
        <v>94</v>
      </c>
      <c r="P68" s="4" t="s">
        <v>34</v>
      </c>
      <c r="Q68" s="157">
        <v>31992</v>
      </c>
      <c r="R68" s="170">
        <v>1</v>
      </c>
      <c r="S68" s="172">
        <v>483.9</v>
      </c>
      <c r="U68" s="157">
        <v>154.809</v>
      </c>
      <c r="V68" s="169">
        <v>2.8E-5</v>
      </c>
      <c r="W68" s="169">
        <v>4.7015898417346299E-3</v>
      </c>
      <c r="X68" s="169">
        <v>1.0049652750090299E-3</v>
      </c>
    </row>
    <row r="69" spans="1:24">
      <c r="A69" s="4">
        <v>891</v>
      </c>
      <c r="B69" s="4">
        <v>9957</v>
      </c>
      <c r="C69" s="4" t="s">
        <v>1602</v>
      </c>
      <c r="D69" s="4" t="s">
        <v>1603</v>
      </c>
      <c r="E69" s="4" t="s">
        <v>1264</v>
      </c>
      <c r="F69" s="4" t="s">
        <v>1604</v>
      </c>
      <c r="G69" s="4" t="s">
        <v>1605</v>
      </c>
      <c r="H69" s="4" t="s">
        <v>275</v>
      </c>
      <c r="I69" s="4" t="s">
        <v>889</v>
      </c>
      <c r="J69" s="4" t="s">
        <v>30</v>
      </c>
      <c r="K69" s="4" t="s">
        <v>30</v>
      </c>
      <c r="L69" s="2" t="s">
        <v>281</v>
      </c>
      <c r="M69" s="2" t="s">
        <v>31</v>
      </c>
      <c r="N69" s="4" t="s">
        <v>431</v>
      </c>
      <c r="O69" s="4" t="s">
        <v>94</v>
      </c>
      <c r="P69" s="4" t="s">
        <v>34</v>
      </c>
      <c r="Q69" s="157">
        <v>5141</v>
      </c>
      <c r="R69" s="170">
        <v>1</v>
      </c>
      <c r="S69" s="172">
        <v>3869</v>
      </c>
      <c r="U69" s="157">
        <v>198.905</v>
      </c>
      <c r="V69" s="169">
        <v>1.9000000000000001E-5</v>
      </c>
      <c r="W69" s="169">
        <v>6.0407944704925004E-3</v>
      </c>
      <c r="X69" s="169">
        <v>1.2912203915413699E-3</v>
      </c>
    </row>
    <row r="70" spans="1:24">
      <c r="A70" s="4">
        <v>891</v>
      </c>
      <c r="B70" s="4">
        <v>9957</v>
      </c>
      <c r="C70" s="4" t="s">
        <v>1606</v>
      </c>
      <c r="D70" s="4" t="s">
        <v>1607</v>
      </c>
      <c r="E70" s="4" t="s">
        <v>1264</v>
      </c>
      <c r="F70" s="4" t="s">
        <v>1608</v>
      </c>
      <c r="G70" s="4" t="s">
        <v>1609</v>
      </c>
      <c r="H70" s="4" t="s">
        <v>275</v>
      </c>
      <c r="I70" s="4" t="s">
        <v>889</v>
      </c>
      <c r="J70" s="4" t="s">
        <v>30</v>
      </c>
      <c r="K70" s="4" t="s">
        <v>251</v>
      </c>
      <c r="L70" s="2" t="s">
        <v>281</v>
      </c>
      <c r="M70" s="2" t="s">
        <v>31</v>
      </c>
      <c r="N70" s="4" t="s">
        <v>410</v>
      </c>
      <c r="O70" s="4" t="s">
        <v>94</v>
      </c>
      <c r="P70" s="4" t="s">
        <v>34</v>
      </c>
      <c r="Q70" s="157">
        <v>3199</v>
      </c>
      <c r="R70" s="170">
        <v>1</v>
      </c>
      <c r="S70" s="172">
        <v>10400</v>
      </c>
      <c r="U70" s="157">
        <v>332.69600000000003</v>
      </c>
      <c r="V70" s="169">
        <v>2.4399999999999999E-4</v>
      </c>
      <c r="W70" s="169">
        <v>1.0104045785584499E-2</v>
      </c>
      <c r="X70" s="169">
        <v>2.15974074588085E-3</v>
      </c>
    </row>
    <row r="71" spans="1:24">
      <c r="A71" s="4">
        <v>891</v>
      </c>
      <c r="B71" s="4">
        <v>9957</v>
      </c>
      <c r="C71" s="4" t="s">
        <v>1610</v>
      </c>
      <c r="D71" s="4" t="s">
        <v>1611</v>
      </c>
      <c r="E71" s="4" t="s">
        <v>267</v>
      </c>
      <c r="F71" s="4" t="s">
        <v>1612</v>
      </c>
      <c r="G71" s="4" t="s">
        <v>1613</v>
      </c>
      <c r="H71" s="4" t="s">
        <v>275</v>
      </c>
      <c r="I71" s="4" t="s">
        <v>889</v>
      </c>
      <c r="J71" s="4" t="s">
        <v>160</v>
      </c>
      <c r="K71" s="4" t="s">
        <v>179</v>
      </c>
      <c r="L71" s="2" t="s">
        <v>281</v>
      </c>
      <c r="M71" s="2" t="s">
        <v>300</v>
      </c>
      <c r="N71" s="4" t="s">
        <v>504</v>
      </c>
      <c r="O71" s="4" t="s">
        <v>94</v>
      </c>
      <c r="P71" s="4" t="s">
        <v>1140</v>
      </c>
      <c r="Q71" s="157">
        <v>517</v>
      </c>
      <c r="R71" s="170">
        <v>3.3719999999999999</v>
      </c>
      <c r="S71" s="172">
        <v>14190</v>
      </c>
      <c r="U71" s="157">
        <v>247.37799999999999</v>
      </c>
      <c r="V71" s="169">
        <v>0</v>
      </c>
      <c r="W71" s="169">
        <v>7.5129107671684696E-3</v>
      </c>
      <c r="X71" s="169">
        <v>1.60588538970897E-3</v>
      </c>
    </row>
    <row r="72" spans="1:24">
      <c r="A72" s="4">
        <v>891</v>
      </c>
      <c r="B72" s="4">
        <v>9957</v>
      </c>
      <c r="C72" s="4" t="s">
        <v>1614</v>
      </c>
      <c r="D72" s="4" t="s">
        <v>1615</v>
      </c>
      <c r="E72" s="4" t="s">
        <v>267</v>
      </c>
      <c r="F72" s="4" t="s">
        <v>1616</v>
      </c>
      <c r="G72" s="4" t="s">
        <v>1617</v>
      </c>
      <c r="H72" s="4" t="s">
        <v>275</v>
      </c>
      <c r="I72" s="4" t="s">
        <v>889</v>
      </c>
      <c r="J72" s="4" t="s">
        <v>160</v>
      </c>
      <c r="K72" s="4" t="s">
        <v>179</v>
      </c>
      <c r="L72" s="2" t="s">
        <v>281</v>
      </c>
      <c r="M72" s="2" t="s">
        <v>300</v>
      </c>
      <c r="N72" s="4" t="s">
        <v>1618</v>
      </c>
      <c r="O72" s="4" t="s">
        <v>94</v>
      </c>
      <c r="P72" s="4" t="s">
        <v>1140</v>
      </c>
      <c r="Q72" s="157">
        <v>501</v>
      </c>
      <c r="R72" s="170">
        <v>3.3719999999999999</v>
      </c>
      <c r="S72" s="172">
        <v>13234</v>
      </c>
      <c r="U72" s="157">
        <v>223.571</v>
      </c>
      <c r="V72" s="169">
        <v>9.9999999999999995E-7</v>
      </c>
      <c r="W72" s="169">
        <v>6.7899120403049603E-3</v>
      </c>
      <c r="X72" s="169">
        <v>1.45134434320511E-3</v>
      </c>
    </row>
    <row r="73" spans="1:24">
      <c r="A73" s="4">
        <v>891</v>
      </c>
      <c r="B73" s="4">
        <v>9957</v>
      </c>
      <c r="C73" s="4" t="s">
        <v>1619</v>
      </c>
      <c r="D73" s="4" t="s">
        <v>1620</v>
      </c>
      <c r="E73" s="4" t="s">
        <v>267</v>
      </c>
      <c r="F73" s="4" t="s">
        <v>1621</v>
      </c>
      <c r="G73" s="4" t="s">
        <v>1622</v>
      </c>
      <c r="H73" s="4" t="s">
        <v>275</v>
      </c>
      <c r="I73" s="4" t="s">
        <v>889</v>
      </c>
      <c r="J73" s="4" t="s">
        <v>160</v>
      </c>
      <c r="K73" s="4" t="s">
        <v>223</v>
      </c>
      <c r="L73" s="2" t="s">
        <v>281</v>
      </c>
      <c r="M73" s="2" t="s">
        <v>298</v>
      </c>
      <c r="N73" s="4" t="s">
        <v>471</v>
      </c>
      <c r="O73" s="4" t="s">
        <v>94</v>
      </c>
      <c r="P73" s="4" t="s">
        <v>1140</v>
      </c>
      <c r="Q73" s="157">
        <v>308</v>
      </c>
      <c r="R73" s="170">
        <v>3.3719999999999999</v>
      </c>
      <c r="S73" s="172">
        <v>11341</v>
      </c>
      <c r="T73" s="156">
        <v>0.60899999999999999</v>
      </c>
      <c r="U73" s="157">
        <v>119.839</v>
      </c>
      <c r="V73" s="169">
        <v>0</v>
      </c>
      <c r="W73" s="169">
        <v>3.6395485088839101E-3</v>
      </c>
      <c r="X73" s="169">
        <v>7.7795383928891502E-4</v>
      </c>
    </row>
    <row r="74" spans="1:24">
      <c r="A74" s="4">
        <v>891</v>
      </c>
      <c r="B74" s="4">
        <v>9957</v>
      </c>
      <c r="C74" s="4" t="s">
        <v>1623</v>
      </c>
      <c r="D74" s="4" t="s">
        <v>1624</v>
      </c>
      <c r="E74" s="4" t="s">
        <v>267</v>
      </c>
      <c r="F74" s="4" t="s">
        <v>1625</v>
      </c>
      <c r="G74" s="4" t="s">
        <v>1626</v>
      </c>
      <c r="H74" s="4" t="s">
        <v>275</v>
      </c>
      <c r="I74" s="4" t="s">
        <v>889</v>
      </c>
      <c r="J74" s="4" t="s">
        <v>160</v>
      </c>
      <c r="K74" s="4" t="s">
        <v>179</v>
      </c>
      <c r="L74" s="2" t="s">
        <v>281</v>
      </c>
      <c r="M74" s="2" t="s">
        <v>298</v>
      </c>
      <c r="N74" s="4" t="s">
        <v>1627</v>
      </c>
      <c r="O74" s="4" t="s">
        <v>94</v>
      </c>
      <c r="P74" s="4" t="s">
        <v>1140</v>
      </c>
      <c r="Q74" s="157">
        <v>134</v>
      </c>
      <c r="R74" s="170">
        <v>3.3719999999999999</v>
      </c>
      <c r="S74" s="172">
        <v>50849</v>
      </c>
      <c r="T74" s="156">
        <v>0.16300000000000001</v>
      </c>
      <c r="U74" s="157">
        <v>230.309</v>
      </c>
      <c r="V74" s="169">
        <v>0</v>
      </c>
      <c r="W74" s="169">
        <v>6.9945224612514498E-3</v>
      </c>
      <c r="X74" s="169">
        <v>1.4950798401068E-3</v>
      </c>
    </row>
    <row r="75" spans="1:24">
      <c r="A75" s="4">
        <v>891</v>
      </c>
      <c r="B75" s="4">
        <v>9957</v>
      </c>
      <c r="C75" s="4" t="s">
        <v>1628</v>
      </c>
      <c r="D75" s="4" t="s">
        <v>1629</v>
      </c>
      <c r="E75" s="4" t="s">
        <v>267</v>
      </c>
      <c r="F75" s="4" t="s">
        <v>1630</v>
      </c>
      <c r="G75" s="4" t="s">
        <v>1631</v>
      </c>
      <c r="H75" s="4" t="s">
        <v>275</v>
      </c>
      <c r="I75" s="4" t="s">
        <v>889</v>
      </c>
      <c r="J75" s="4" t="s">
        <v>160</v>
      </c>
      <c r="K75" s="4" t="s">
        <v>179</v>
      </c>
      <c r="L75" s="2" t="s">
        <v>281</v>
      </c>
      <c r="M75" s="2" t="s">
        <v>298</v>
      </c>
      <c r="N75" s="4" t="s">
        <v>490</v>
      </c>
      <c r="O75" s="4" t="s">
        <v>94</v>
      </c>
      <c r="P75" s="4" t="s">
        <v>1140</v>
      </c>
      <c r="Q75" s="157">
        <v>62</v>
      </c>
      <c r="R75" s="170">
        <v>3.3719999999999999</v>
      </c>
      <c r="S75" s="172">
        <v>77953</v>
      </c>
      <c r="U75" s="157">
        <v>162.97200000000001</v>
      </c>
      <c r="V75" s="169">
        <v>0</v>
      </c>
      <c r="W75" s="169">
        <v>4.9494827517745799E-3</v>
      </c>
      <c r="X75" s="169">
        <v>1.0579524080633999E-3</v>
      </c>
    </row>
    <row r="76" spans="1:24">
      <c r="A76" s="4">
        <v>891</v>
      </c>
      <c r="B76" s="4">
        <v>9957</v>
      </c>
      <c r="C76" s="4" t="s">
        <v>1632</v>
      </c>
      <c r="D76" s="4" t="s">
        <v>1633</v>
      </c>
      <c r="E76" s="4" t="s">
        <v>267</v>
      </c>
      <c r="F76" s="4" t="s">
        <v>1634</v>
      </c>
      <c r="G76" s="4" t="s">
        <v>1635</v>
      </c>
      <c r="H76" s="4" t="s">
        <v>275</v>
      </c>
      <c r="I76" s="4" t="s">
        <v>889</v>
      </c>
      <c r="J76" s="4" t="s">
        <v>160</v>
      </c>
      <c r="K76" s="4" t="s">
        <v>179</v>
      </c>
      <c r="L76" s="2" t="s">
        <v>281</v>
      </c>
      <c r="M76" s="2" t="s">
        <v>300</v>
      </c>
      <c r="N76" s="4" t="s">
        <v>505</v>
      </c>
      <c r="O76" s="4" t="s">
        <v>94</v>
      </c>
      <c r="P76" s="4" t="s">
        <v>1140</v>
      </c>
      <c r="Q76" s="157">
        <v>116</v>
      </c>
      <c r="R76" s="170">
        <v>3.3719999999999999</v>
      </c>
      <c r="S76" s="172">
        <v>73809</v>
      </c>
      <c r="U76" s="157">
        <v>288.70499999999998</v>
      </c>
      <c r="V76" s="169">
        <v>0</v>
      </c>
      <c r="W76" s="169">
        <v>8.7680416200714498E-3</v>
      </c>
      <c r="X76" s="169">
        <v>1.87416972867091E-3</v>
      </c>
    </row>
    <row r="77" spans="1:24">
      <c r="A77" s="4">
        <v>891</v>
      </c>
      <c r="B77" s="4">
        <v>9957</v>
      </c>
      <c r="C77" s="4" t="s">
        <v>1636</v>
      </c>
      <c r="D77" s="4" t="s">
        <v>1637</v>
      </c>
      <c r="E77" s="4" t="s">
        <v>267</v>
      </c>
      <c r="F77" s="4" t="s">
        <v>1638</v>
      </c>
      <c r="G77" s="4" t="s">
        <v>1639</v>
      </c>
      <c r="H77" s="4" t="s">
        <v>275</v>
      </c>
      <c r="I77" s="4" t="s">
        <v>889</v>
      </c>
      <c r="J77" s="4" t="s">
        <v>160</v>
      </c>
      <c r="K77" s="4" t="s">
        <v>179</v>
      </c>
      <c r="L77" s="2" t="s">
        <v>281</v>
      </c>
      <c r="M77" s="2" t="s">
        <v>300</v>
      </c>
      <c r="N77" s="4" t="s">
        <v>1640</v>
      </c>
      <c r="O77" s="4" t="s">
        <v>94</v>
      </c>
      <c r="P77" s="4" t="s">
        <v>1140</v>
      </c>
      <c r="Q77" s="157">
        <v>4408</v>
      </c>
      <c r="R77" s="170">
        <v>3.3719999999999999</v>
      </c>
      <c r="S77" s="172">
        <v>2240</v>
      </c>
      <c r="U77" s="157">
        <v>332.94900000000001</v>
      </c>
      <c r="V77" s="169">
        <v>9.9999999999999995E-7</v>
      </c>
      <c r="W77" s="169">
        <v>1.0111716764899701E-2</v>
      </c>
      <c r="X77" s="169">
        <v>2.16138041843769E-3</v>
      </c>
    </row>
    <row r="78" spans="1:24">
      <c r="A78" s="4">
        <v>891</v>
      </c>
      <c r="B78" s="4">
        <v>9957</v>
      </c>
      <c r="C78" s="4" t="s">
        <v>1641</v>
      </c>
      <c r="D78" s="4" t="s">
        <v>1642</v>
      </c>
      <c r="E78" s="4" t="s">
        <v>267</v>
      </c>
      <c r="F78" s="4" t="s">
        <v>1643</v>
      </c>
      <c r="G78" s="4" t="s">
        <v>1644</v>
      </c>
      <c r="H78" s="4" t="s">
        <v>275</v>
      </c>
      <c r="I78" s="4" t="s">
        <v>889</v>
      </c>
      <c r="J78" s="4" t="s">
        <v>160</v>
      </c>
      <c r="K78" s="4" t="s">
        <v>179</v>
      </c>
      <c r="L78" s="2" t="s">
        <v>281</v>
      </c>
      <c r="M78" s="2" t="s">
        <v>298</v>
      </c>
      <c r="N78" s="4" t="s">
        <v>492</v>
      </c>
      <c r="O78" s="4" t="s">
        <v>94</v>
      </c>
      <c r="P78" s="4" t="s">
        <v>1140</v>
      </c>
      <c r="Q78" s="157">
        <v>271</v>
      </c>
      <c r="R78" s="170">
        <v>3.3719999999999999</v>
      </c>
      <c r="S78" s="172">
        <v>28991</v>
      </c>
      <c r="U78" s="157">
        <v>264.923</v>
      </c>
      <c r="V78" s="169">
        <v>0</v>
      </c>
      <c r="W78" s="169">
        <v>8.0457730646143703E-3</v>
      </c>
      <c r="X78" s="169">
        <v>1.7197847563745E-3</v>
      </c>
    </row>
    <row r="79" spans="1:24">
      <c r="A79" s="4">
        <v>891</v>
      </c>
      <c r="B79" s="4">
        <v>9957</v>
      </c>
      <c r="C79" s="4" t="s">
        <v>1645</v>
      </c>
      <c r="D79" s="4" t="s">
        <v>1646</v>
      </c>
      <c r="E79" s="4" t="s">
        <v>267</v>
      </c>
      <c r="F79" s="4" t="s">
        <v>1647</v>
      </c>
      <c r="G79" s="4" t="s">
        <v>1648</v>
      </c>
      <c r="H79" s="4" t="s">
        <v>275</v>
      </c>
      <c r="I79" s="4" t="s">
        <v>889</v>
      </c>
      <c r="J79" s="4" t="s">
        <v>160</v>
      </c>
      <c r="K79" s="4" t="s">
        <v>179</v>
      </c>
      <c r="L79" s="2" t="s">
        <v>281</v>
      </c>
      <c r="M79" s="2" t="s">
        <v>300</v>
      </c>
      <c r="N79" s="4" t="s">
        <v>1640</v>
      </c>
      <c r="O79" s="4" t="s">
        <v>94</v>
      </c>
      <c r="P79" s="4" t="s">
        <v>1140</v>
      </c>
      <c r="Q79" s="157">
        <v>1926</v>
      </c>
      <c r="R79" s="170">
        <v>3.3719999999999999</v>
      </c>
      <c r="S79" s="172">
        <v>7740</v>
      </c>
      <c r="U79" s="157">
        <v>502.67200000000003</v>
      </c>
      <c r="V79" s="169">
        <v>3.0000000000000001E-6</v>
      </c>
      <c r="W79" s="169">
        <v>1.5266255815966001E-2</v>
      </c>
      <c r="X79" s="169">
        <v>3.2631636299414201E-3</v>
      </c>
    </row>
    <row r="80" spans="1:24">
      <c r="A80" s="4">
        <v>891</v>
      </c>
      <c r="B80" s="4">
        <v>9957</v>
      </c>
      <c r="C80" s="4" t="s">
        <v>1535</v>
      </c>
      <c r="D80" s="4" t="s">
        <v>1536</v>
      </c>
      <c r="E80" s="4" t="s">
        <v>1264</v>
      </c>
      <c r="F80" s="4" t="s">
        <v>1649</v>
      </c>
      <c r="G80" s="4" t="s">
        <v>1650</v>
      </c>
      <c r="H80" s="4" t="s">
        <v>275</v>
      </c>
      <c r="I80" s="4" t="s">
        <v>889</v>
      </c>
      <c r="J80" s="4" t="s">
        <v>160</v>
      </c>
      <c r="K80" s="4" t="s">
        <v>30</v>
      </c>
      <c r="L80" s="2" t="s">
        <v>281</v>
      </c>
      <c r="M80" s="2" t="s">
        <v>300</v>
      </c>
      <c r="N80" s="4" t="s">
        <v>506</v>
      </c>
      <c r="O80" s="4" t="s">
        <v>94</v>
      </c>
      <c r="P80" s="4" t="s">
        <v>1140</v>
      </c>
      <c r="Q80" s="157">
        <v>353</v>
      </c>
      <c r="R80" s="170">
        <v>3.3719999999999999</v>
      </c>
      <c r="S80" s="172">
        <v>16891</v>
      </c>
      <c r="U80" s="157">
        <v>201.05600000000001</v>
      </c>
      <c r="V80" s="169">
        <v>6.0000000000000002E-6</v>
      </c>
      <c r="W80" s="169">
        <v>6.1061203433084403E-3</v>
      </c>
      <c r="X80" s="169">
        <v>1.30518380305739E-3</v>
      </c>
    </row>
    <row r="81" spans="1:24">
      <c r="A81" s="4">
        <v>891</v>
      </c>
      <c r="B81" s="4">
        <v>9957</v>
      </c>
      <c r="C81" s="4" t="s">
        <v>1651</v>
      </c>
      <c r="D81" s="4" t="s">
        <v>1652</v>
      </c>
      <c r="E81" s="4" t="s">
        <v>267</v>
      </c>
      <c r="F81" s="4" t="s">
        <v>1651</v>
      </c>
      <c r="G81" s="4" t="s">
        <v>1653</v>
      </c>
      <c r="H81" s="4" t="s">
        <v>275</v>
      </c>
      <c r="I81" s="4" t="s">
        <v>889</v>
      </c>
      <c r="J81" s="4" t="s">
        <v>160</v>
      </c>
      <c r="K81" s="4" t="s">
        <v>179</v>
      </c>
      <c r="L81" s="2" t="s">
        <v>281</v>
      </c>
      <c r="M81" s="2" t="s">
        <v>298</v>
      </c>
      <c r="N81" s="4" t="s">
        <v>471</v>
      </c>
      <c r="O81" s="4" t="s">
        <v>94</v>
      </c>
      <c r="P81" s="4" t="s">
        <v>1140</v>
      </c>
      <c r="Q81" s="157">
        <v>895</v>
      </c>
      <c r="R81" s="170">
        <v>3.3719999999999999</v>
      </c>
      <c r="S81" s="172">
        <v>7104</v>
      </c>
      <c r="U81" s="157">
        <v>214.39400000000001</v>
      </c>
      <c r="V81" s="169">
        <v>9.9999999999999995E-7</v>
      </c>
      <c r="W81" s="169">
        <v>6.5112036687124701E-3</v>
      </c>
      <c r="X81" s="169">
        <v>1.3917704023184601E-3</v>
      </c>
    </row>
    <row r="82" spans="1:24">
      <c r="A82" s="4">
        <v>891</v>
      </c>
      <c r="B82" s="4">
        <v>9957</v>
      </c>
      <c r="C82" s="4" t="s">
        <v>1654</v>
      </c>
      <c r="D82" s="4" t="s">
        <v>1655</v>
      </c>
      <c r="E82" s="4" t="s">
        <v>267</v>
      </c>
      <c r="F82" s="4" t="s">
        <v>1656</v>
      </c>
      <c r="G82" s="4" t="s">
        <v>1657</v>
      </c>
      <c r="H82" s="4" t="s">
        <v>275</v>
      </c>
      <c r="I82" s="4" t="s">
        <v>889</v>
      </c>
      <c r="J82" s="4" t="s">
        <v>160</v>
      </c>
      <c r="K82" s="4" t="s">
        <v>179</v>
      </c>
      <c r="L82" s="2" t="s">
        <v>281</v>
      </c>
      <c r="M82" s="2" t="s">
        <v>300</v>
      </c>
      <c r="N82" s="4" t="s">
        <v>504</v>
      </c>
      <c r="O82" s="4" t="s">
        <v>94</v>
      </c>
      <c r="P82" s="4" t="s">
        <v>1140</v>
      </c>
      <c r="Q82" s="157">
        <v>1340</v>
      </c>
      <c r="R82" s="170">
        <v>3.3719999999999999</v>
      </c>
      <c r="S82" s="172">
        <v>15799</v>
      </c>
      <c r="T82" s="156">
        <v>0.01</v>
      </c>
      <c r="U82" s="157">
        <v>713.90899999999999</v>
      </c>
      <c r="V82" s="169">
        <v>0</v>
      </c>
      <c r="W82" s="169">
        <v>2.1681548092851999E-2</v>
      </c>
      <c r="X82" s="169">
        <v>4.6344329631517597E-3</v>
      </c>
    </row>
    <row r="83" spans="1:24">
      <c r="A83" s="4">
        <v>891</v>
      </c>
      <c r="B83" s="4">
        <v>9957</v>
      </c>
      <c r="C83" s="4" t="s">
        <v>1341</v>
      </c>
      <c r="D83" s="4" t="s">
        <v>1342</v>
      </c>
      <c r="E83" s="4" t="s">
        <v>267</v>
      </c>
      <c r="F83" s="4" t="s">
        <v>1658</v>
      </c>
      <c r="G83" s="4" t="s">
        <v>1344</v>
      </c>
      <c r="H83" s="4" t="s">
        <v>275</v>
      </c>
      <c r="I83" s="4" t="s">
        <v>889</v>
      </c>
      <c r="J83" s="4" t="s">
        <v>160</v>
      </c>
      <c r="K83" s="4" t="s">
        <v>179</v>
      </c>
      <c r="L83" s="2" t="s">
        <v>281</v>
      </c>
      <c r="M83" s="2" t="s">
        <v>298</v>
      </c>
      <c r="N83" s="4" t="s">
        <v>513</v>
      </c>
      <c r="O83" s="4" t="s">
        <v>94</v>
      </c>
      <c r="P83" s="4" t="s">
        <v>1140</v>
      </c>
      <c r="Q83" s="157">
        <v>451</v>
      </c>
      <c r="R83" s="170">
        <v>3.3719999999999999</v>
      </c>
      <c r="S83" s="172">
        <v>8376</v>
      </c>
      <c r="U83" s="157">
        <v>127.38</v>
      </c>
      <c r="V83" s="169">
        <v>6.9999999999999999E-6</v>
      </c>
      <c r="W83" s="169">
        <v>3.8685525677626198E-3</v>
      </c>
      <c r="X83" s="169">
        <v>8.2690347861439002E-4</v>
      </c>
    </row>
    <row r="84" spans="1:24">
      <c r="A84" s="4">
        <v>891</v>
      </c>
      <c r="B84" s="4">
        <v>9957</v>
      </c>
      <c r="C84" s="4" t="s">
        <v>1659</v>
      </c>
      <c r="D84" s="4" t="s">
        <v>1660</v>
      </c>
      <c r="E84" s="4" t="s">
        <v>267</v>
      </c>
      <c r="F84" s="4" t="s">
        <v>1661</v>
      </c>
      <c r="G84" s="4" t="s">
        <v>1662</v>
      </c>
      <c r="H84" s="4" t="s">
        <v>275</v>
      </c>
      <c r="I84" s="4" t="s">
        <v>889</v>
      </c>
      <c r="J84" s="4" t="s">
        <v>160</v>
      </c>
      <c r="K84" s="4" t="s">
        <v>179</v>
      </c>
      <c r="L84" s="2" t="s">
        <v>281</v>
      </c>
      <c r="M84" s="2" t="s">
        <v>300</v>
      </c>
      <c r="N84" s="4" t="s">
        <v>500</v>
      </c>
      <c r="O84" s="4" t="s">
        <v>94</v>
      </c>
      <c r="P84" s="4" t="s">
        <v>1140</v>
      </c>
      <c r="Q84" s="157">
        <v>436</v>
      </c>
      <c r="R84" s="170">
        <v>3.3719999999999999</v>
      </c>
      <c r="S84" s="172">
        <v>20464</v>
      </c>
      <c r="U84" s="157">
        <v>300.86</v>
      </c>
      <c r="V84" s="169">
        <v>9.9999999999999995E-7</v>
      </c>
      <c r="W84" s="169">
        <v>9.1371826932293999E-3</v>
      </c>
      <c r="X84" s="169">
        <v>1.95307366810226E-3</v>
      </c>
    </row>
    <row r="85" spans="1:24">
      <c r="A85" s="4">
        <v>891</v>
      </c>
      <c r="B85" s="4">
        <v>9957</v>
      </c>
      <c r="C85" s="4" t="s">
        <v>1663</v>
      </c>
      <c r="D85" s="4" t="s">
        <v>1664</v>
      </c>
      <c r="E85" s="4" t="s">
        <v>267</v>
      </c>
      <c r="F85" s="4" t="s">
        <v>1665</v>
      </c>
      <c r="G85" s="4" t="s">
        <v>1666</v>
      </c>
      <c r="H85" s="4" t="s">
        <v>275</v>
      </c>
      <c r="I85" s="4" t="s">
        <v>889</v>
      </c>
      <c r="J85" s="4" t="s">
        <v>160</v>
      </c>
      <c r="K85" s="4" t="s">
        <v>188</v>
      </c>
      <c r="L85" s="2" t="s">
        <v>281</v>
      </c>
      <c r="M85" s="2" t="s">
        <v>334</v>
      </c>
      <c r="N85" s="4" t="s">
        <v>473</v>
      </c>
      <c r="O85" s="4" t="s">
        <v>94</v>
      </c>
      <c r="P85" s="4" t="s">
        <v>1146</v>
      </c>
      <c r="Q85" s="157">
        <v>3960</v>
      </c>
      <c r="R85" s="170">
        <v>4.6235999999999997</v>
      </c>
      <c r="S85" s="172">
        <v>1600</v>
      </c>
      <c r="U85" s="157">
        <v>292.95100000000002</v>
      </c>
      <c r="V85" s="169">
        <v>8.8999999999999995E-5</v>
      </c>
      <c r="W85" s="169">
        <v>8.8969909699254893E-3</v>
      </c>
      <c r="X85" s="169">
        <v>1.90173266444382E-3</v>
      </c>
    </row>
    <row r="86" spans="1:24">
      <c r="A86" s="4">
        <v>891</v>
      </c>
      <c r="B86" s="4">
        <v>9957</v>
      </c>
      <c r="C86" s="4" t="s">
        <v>1667</v>
      </c>
      <c r="D86" s="4" t="s">
        <v>1668</v>
      </c>
      <c r="E86" s="4" t="s">
        <v>267</v>
      </c>
      <c r="F86" s="4" t="s">
        <v>1669</v>
      </c>
      <c r="G86" s="4" t="s">
        <v>1670</v>
      </c>
      <c r="H86" s="4" t="s">
        <v>275</v>
      </c>
      <c r="I86" s="4" t="s">
        <v>889</v>
      </c>
      <c r="J86" s="4" t="s">
        <v>160</v>
      </c>
      <c r="K86" s="4" t="s">
        <v>179</v>
      </c>
      <c r="L86" s="2" t="s">
        <v>281</v>
      </c>
      <c r="M86" s="2" t="s">
        <v>300</v>
      </c>
      <c r="N86" s="4" t="s">
        <v>500</v>
      </c>
      <c r="O86" s="4" t="s">
        <v>94</v>
      </c>
      <c r="P86" s="4" t="s">
        <v>1140</v>
      </c>
      <c r="Q86" s="157">
        <v>121</v>
      </c>
      <c r="R86" s="170">
        <v>3.3719999999999999</v>
      </c>
      <c r="S86" s="172">
        <v>27269</v>
      </c>
      <c r="T86" s="156">
        <v>7.0000000000000007E-2</v>
      </c>
      <c r="U86" s="157">
        <v>111.496</v>
      </c>
      <c r="V86" s="169">
        <v>0</v>
      </c>
      <c r="W86" s="169">
        <v>3.3861631484503299E-3</v>
      </c>
      <c r="X86" s="169">
        <v>7.2379269444148404E-4</v>
      </c>
    </row>
    <row r="87" spans="1:24">
      <c r="A87" s="4">
        <v>891</v>
      </c>
      <c r="B87" s="4">
        <v>9957</v>
      </c>
      <c r="C87" s="4" t="s">
        <v>1671</v>
      </c>
      <c r="D87" s="4" t="s">
        <v>1672</v>
      </c>
      <c r="E87" s="4" t="s">
        <v>267</v>
      </c>
      <c r="F87" s="4" t="s">
        <v>1673</v>
      </c>
      <c r="G87" s="4" t="s">
        <v>1674</v>
      </c>
      <c r="H87" s="4" t="s">
        <v>275</v>
      </c>
      <c r="I87" s="4" t="s">
        <v>889</v>
      </c>
      <c r="J87" s="4" t="s">
        <v>160</v>
      </c>
      <c r="K87" s="4" t="s">
        <v>179</v>
      </c>
      <c r="L87" s="2" t="s">
        <v>281</v>
      </c>
      <c r="M87" s="2" t="s">
        <v>300</v>
      </c>
      <c r="N87" s="4" t="s">
        <v>473</v>
      </c>
      <c r="O87" s="4" t="s">
        <v>94</v>
      </c>
      <c r="P87" s="4" t="s">
        <v>1140</v>
      </c>
      <c r="Q87" s="157">
        <v>17661</v>
      </c>
      <c r="R87" s="170">
        <v>3.3719999999999999</v>
      </c>
      <c r="S87" s="172">
        <v>0.04</v>
      </c>
      <c r="U87" s="157">
        <v>2.4E-2</v>
      </c>
      <c r="V87" s="169">
        <v>3.1999999999999999E-5</v>
      </c>
      <c r="W87" s="169">
        <v>7.2345341985713302E-7</v>
      </c>
      <c r="X87" s="169">
        <v>1.5463823717440699E-7</v>
      </c>
    </row>
    <row r="88" spans="1:24">
      <c r="A88" s="4">
        <v>891</v>
      </c>
      <c r="B88" s="4">
        <v>9957</v>
      </c>
      <c r="C88" s="4" t="s">
        <v>1675</v>
      </c>
      <c r="D88" s="4" t="s">
        <v>1676</v>
      </c>
      <c r="E88" s="4" t="s">
        <v>267</v>
      </c>
      <c r="F88" s="4" t="s">
        <v>1677</v>
      </c>
      <c r="G88" s="4" t="s">
        <v>1678</v>
      </c>
      <c r="H88" s="4" t="s">
        <v>275</v>
      </c>
      <c r="I88" s="4" t="s">
        <v>889</v>
      </c>
      <c r="J88" s="4" t="s">
        <v>160</v>
      </c>
      <c r="K88" s="4" t="s">
        <v>223</v>
      </c>
      <c r="L88" s="2" t="s">
        <v>281</v>
      </c>
      <c r="M88" s="2" t="s">
        <v>298</v>
      </c>
      <c r="N88" s="4" t="s">
        <v>504</v>
      </c>
      <c r="O88" s="4" t="s">
        <v>94</v>
      </c>
      <c r="P88" s="4" t="s">
        <v>1140</v>
      </c>
      <c r="Q88" s="157">
        <v>375</v>
      </c>
      <c r="R88" s="170">
        <v>3.3719999999999999</v>
      </c>
      <c r="S88" s="172">
        <v>22649</v>
      </c>
      <c r="T88" s="156">
        <v>0.223</v>
      </c>
      <c r="U88" s="157">
        <v>287.14699999999999</v>
      </c>
      <c r="V88" s="169">
        <v>0</v>
      </c>
      <c r="W88" s="169">
        <v>8.7207168020009603E-3</v>
      </c>
      <c r="X88" s="169">
        <v>1.8640540443156299E-3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topLeftCell="H1" zoomScale="70" zoomScaleNormal="70" workbookViewId="0">
      <selection activeCell="O48" sqref="O48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2" customWidth="1"/>
    <col min="20" max="23" width="11.625" style="2" customWidth="1"/>
    <col min="24" max="24" width="11.625" style="2" hidden="1" customWidth="1"/>
    <col min="25" max="16384" width="0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526</v>
      </c>
      <c r="N1" s="21" t="s">
        <v>80</v>
      </c>
      <c r="O1" s="21" t="s">
        <v>11</v>
      </c>
      <c r="P1" s="21" t="s">
        <v>17</v>
      </c>
      <c r="Q1" s="162" t="s">
        <v>18</v>
      </c>
      <c r="R1" s="171" t="s">
        <v>19</v>
      </c>
      <c r="S1" s="21" t="s">
        <v>16</v>
      </c>
      <c r="T1" s="21" t="s">
        <v>20</v>
      </c>
      <c r="U1" s="167" t="s">
        <v>23</v>
      </c>
      <c r="V1" s="167" t="s">
        <v>24</v>
      </c>
      <c r="W1" s="167" t="s">
        <v>25</v>
      </c>
    </row>
    <row r="2" spans="1:23">
      <c r="A2" s="22">
        <v>891</v>
      </c>
      <c r="B2" s="22">
        <v>9957</v>
      </c>
      <c r="C2" s="22" t="s">
        <v>1272</v>
      </c>
      <c r="D2" s="22" t="s">
        <v>1273</v>
      </c>
      <c r="E2" s="20" t="s">
        <v>1264</v>
      </c>
      <c r="F2" s="22" t="s">
        <v>1274</v>
      </c>
      <c r="G2" s="22" t="s">
        <v>1275</v>
      </c>
      <c r="H2" s="20" t="s">
        <v>275</v>
      </c>
      <c r="I2" s="22" t="s">
        <v>942</v>
      </c>
      <c r="J2" s="20" t="s">
        <v>30</v>
      </c>
      <c r="K2" s="20" t="s">
        <v>179</v>
      </c>
      <c r="L2" s="20" t="s">
        <v>31</v>
      </c>
      <c r="M2" s="22" t="s">
        <v>1276</v>
      </c>
      <c r="N2" s="22" t="s">
        <v>94</v>
      </c>
      <c r="O2" s="20" t="s">
        <v>34</v>
      </c>
      <c r="P2" s="159">
        <v>1747</v>
      </c>
      <c r="Q2" s="175">
        <v>1</v>
      </c>
      <c r="R2" s="176">
        <v>8961</v>
      </c>
      <c r="S2" s="131"/>
      <c r="T2" s="158">
        <v>156.54900000000001</v>
      </c>
      <c r="U2" s="174">
        <v>2.0000000000000002E-5</v>
      </c>
      <c r="V2" s="174">
        <v>4.9965370908427401E-3</v>
      </c>
      <c r="W2" s="174">
        <v>1.01625670676069E-3</v>
      </c>
    </row>
    <row r="3" spans="1:23">
      <c r="A3" s="22">
        <v>891</v>
      </c>
      <c r="B3" s="22">
        <v>9957</v>
      </c>
      <c r="C3" s="22" t="s">
        <v>1272</v>
      </c>
      <c r="D3" s="22" t="s">
        <v>1273</v>
      </c>
      <c r="E3" s="20" t="s">
        <v>1264</v>
      </c>
      <c r="F3" s="22" t="s">
        <v>1277</v>
      </c>
      <c r="G3" s="22" t="s">
        <v>1278</v>
      </c>
      <c r="H3" s="20" t="s">
        <v>275</v>
      </c>
      <c r="I3" s="22" t="s">
        <v>942</v>
      </c>
      <c r="J3" s="20" t="s">
        <v>30</v>
      </c>
      <c r="K3" s="20" t="s">
        <v>179</v>
      </c>
      <c r="L3" s="20" t="s">
        <v>31</v>
      </c>
      <c r="M3" s="22" t="s">
        <v>1279</v>
      </c>
      <c r="N3" s="22" t="s">
        <v>94</v>
      </c>
      <c r="O3" s="20" t="s">
        <v>34</v>
      </c>
      <c r="P3" s="159">
        <v>31179</v>
      </c>
      <c r="Q3" s="175">
        <v>1</v>
      </c>
      <c r="R3" s="176">
        <v>7820</v>
      </c>
      <c r="S3" s="131"/>
      <c r="T3" s="158">
        <v>2438.1979999999999</v>
      </c>
      <c r="U3" s="174">
        <v>1.279E-3</v>
      </c>
      <c r="V3" s="174">
        <v>7.78195416320763E-2</v>
      </c>
      <c r="W3" s="174">
        <v>1.5827888328014302E-2</v>
      </c>
    </row>
    <row r="4" spans="1:23">
      <c r="A4" s="22">
        <v>891</v>
      </c>
      <c r="B4" s="22">
        <v>9957</v>
      </c>
      <c r="C4" s="22" t="s">
        <v>1280</v>
      </c>
      <c r="D4" s="22" t="s">
        <v>1281</v>
      </c>
      <c r="E4" s="20" t="s">
        <v>1264</v>
      </c>
      <c r="F4" s="22" t="s">
        <v>1282</v>
      </c>
      <c r="G4" s="22" t="s">
        <v>1283</v>
      </c>
      <c r="H4" s="20" t="s">
        <v>275</v>
      </c>
      <c r="I4" s="22" t="s">
        <v>942</v>
      </c>
      <c r="J4" s="20" t="s">
        <v>30</v>
      </c>
      <c r="K4" s="20" t="s">
        <v>251</v>
      </c>
      <c r="L4" s="20" t="s">
        <v>31</v>
      </c>
      <c r="M4" s="22" t="s">
        <v>1276</v>
      </c>
      <c r="N4" s="22" t="s">
        <v>94</v>
      </c>
      <c r="O4" s="20" t="s">
        <v>34</v>
      </c>
      <c r="P4" s="159">
        <v>222910</v>
      </c>
      <c r="Q4" s="175">
        <v>1</v>
      </c>
      <c r="R4" s="176">
        <v>864.7</v>
      </c>
      <c r="S4" s="131"/>
      <c r="T4" s="158">
        <v>1927.5029999999999</v>
      </c>
      <c r="U4" s="174">
        <v>4.4299999999999998E-4</v>
      </c>
      <c r="V4" s="174">
        <v>6.15197758180068E-2</v>
      </c>
      <c r="W4" s="174">
        <v>1.2512642983886799E-2</v>
      </c>
    </row>
    <row r="5" spans="1:23">
      <c r="A5" s="22">
        <v>891</v>
      </c>
      <c r="B5" s="22">
        <v>9957</v>
      </c>
      <c r="C5" s="22" t="s">
        <v>1280</v>
      </c>
      <c r="D5" s="22" t="s">
        <v>1281</v>
      </c>
      <c r="E5" s="20" t="s">
        <v>1264</v>
      </c>
      <c r="F5" s="22" t="s">
        <v>1284</v>
      </c>
      <c r="G5" s="22" t="s">
        <v>1285</v>
      </c>
      <c r="H5" s="20" t="s">
        <v>275</v>
      </c>
      <c r="I5" s="22" t="s">
        <v>941</v>
      </c>
      <c r="J5" s="20" t="s">
        <v>30</v>
      </c>
      <c r="K5" s="20" t="s">
        <v>30</v>
      </c>
      <c r="L5" s="20" t="s">
        <v>31</v>
      </c>
      <c r="M5" s="22" t="s">
        <v>1267</v>
      </c>
      <c r="N5" s="22" t="s">
        <v>94</v>
      </c>
      <c r="O5" s="20" t="s">
        <v>34</v>
      </c>
      <c r="P5" s="159">
        <v>23148</v>
      </c>
      <c r="Q5" s="175">
        <v>1</v>
      </c>
      <c r="R5" s="176">
        <v>3032</v>
      </c>
      <c r="S5" s="131"/>
      <c r="T5" s="158">
        <v>701.84699999999998</v>
      </c>
      <c r="U5" s="174">
        <v>9.2999999999999997E-5</v>
      </c>
      <c r="V5" s="174">
        <v>2.2400741995125598E-2</v>
      </c>
      <c r="W5" s="174">
        <v>4.55613635505358E-3</v>
      </c>
    </row>
    <row r="6" spans="1:23">
      <c r="A6" s="22">
        <v>891</v>
      </c>
      <c r="B6" s="22">
        <v>9957</v>
      </c>
      <c r="C6" s="22" t="s">
        <v>1280</v>
      </c>
      <c r="D6" s="22" t="s">
        <v>1281</v>
      </c>
      <c r="E6" s="20" t="s">
        <v>1264</v>
      </c>
      <c r="F6" s="22" t="s">
        <v>1286</v>
      </c>
      <c r="G6" s="22" t="s">
        <v>1287</v>
      </c>
      <c r="H6" s="20" t="s">
        <v>275</v>
      </c>
      <c r="I6" s="22" t="s">
        <v>942</v>
      </c>
      <c r="J6" s="20" t="s">
        <v>30</v>
      </c>
      <c r="K6" s="20" t="s">
        <v>248</v>
      </c>
      <c r="L6" s="20" t="s">
        <v>31</v>
      </c>
      <c r="M6" s="22" t="s">
        <v>1279</v>
      </c>
      <c r="N6" s="22" t="s">
        <v>94</v>
      </c>
      <c r="O6" s="20" t="s">
        <v>34</v>
      </c>
      <c r="P6" s="159">
        <v>171631</v>
      </c>
      <c r="Q6" s="175">
        <v>1</v>
      </c>
      <c r="R6" s="176">
        <v>699.4</v>
      </c>
      <c r="S6" s="131"/>
      <c r="T6" s="158">
        <v>1200.3869999999999</v>
      </c>
      <c r="U6" s="174">
        <v>7.27E-4</v>
      </c>
      <c r="V6" s="174">
        <v>3.8312553138422599E-2</v>
      </c>
      <c r="W6" s="174">
        <v>7.7924747424381203E-3</v>
      </c>
    </row>
    <row r="7" spans="1:23">
      <c r="A7" s="22">
        <v>891</v>
      </c>
      <c r="B7" s="22">
        <v>9957</v>
      </c>
      <c r="C7" s="22" t="s">
        <v>1280</v>
      </c>
      <c r="D7" s="22" t="s">
        <v>1281</v>
      </c>
      <c r="E7" s="20" t="s">
        <v>1264</v>
      </c>
      <c r="F7" s="22" t="s">
        <v>1288</v>
      </c>
      <c r="G7" s="22" t="s">
        <v>1289</v>
      </c>
      <c r="H7" s="20" t="s">
        <v>275</v>
      </c>
      <c r="I7" s="22" t="s">
        <v>942</v>
      </c>
      <c r="J7" s="20" t="s">
        <v>30</v>
      </c>
      <c r="K7" s="20" t="s">
        <v>193</v>
      </c>
      <c r="L7" s="20" t="s">
        <v>31</v>
      </c>
      <c r="M7" s="22" t="s">
        <v>1279</v>
      </c>
      <c r="N7" s="22" t="s">
        <v>94</v>
      </c>
      <c r="O7" s="20" t="s">
        <v>34</v>
      </c>
      <c r="P7" s="159">
        <v>2287</v>
      </c>
      <c r="Q7" s="175">
        <v>1</v>
      </c>
      <c r="R7" s="176">
        <v>20650</v>
      </c>
      <c r="S7" s="131"/>
      <c r="T7" s="158">
        <v>472.26499999999999</v>
      </c>
      <c r="U7" s="174">
        <v>2.0000000000000001E-4</v>
      </c>
      <c r="V7" s="174">
        <v>1.50732170862607E-2</v>
      </c>
      <c r="W7" s="174">
        <v>3.06577489126347E-3</v>
      </c>
    </row>
    <row r="8" spans="1:23">
      <c r="A8" s="22">
        <v>891</v>
      </c>
      <c r="B8" s="22">
        <v>9957</v>
      </c>
      <c r="C8" s="22" t="s">
        <v>1290</v>
      </c>
      <c r="D8" s="22" t="s">
        <v>1291</v>
      </c>
      <c r="E8" s="20" t="s">
        <v>1264</v>
      </c>
      <c r="F8" s="22" t="s">
        <v>1292</v>
      </c>
      <c r="G8" s="22" t="s">
        <v>1293</v>
      </c>
      <c r="H8" s="20" t="s">
        <v>275</v>
      </c>
      <c r="I8" s="22" t="s">
        <v>942</v>
      </c>
      <c r="J8" s="20" t="s">
        <v>30</v>
      </c>
      <c r="K8" s="20" t="s">
        <v>248</v>
      </c>
      <c r="L8" s="20" t="s">
        <v>31</v>
      </c>
      <c r="M8" s="22" t="s">
        <v>1279</v>
      </c>
      <c r="N8" s="22" t="s">
        <v>94</v>
      </c>
      <c r="O8" s="20" t="s">
        <v>34</v>
      </c>
      <c r="P8" s="159">
        <v>22280</v>
      </c>
      <c r="Q8" s="175">
        <v>1</v>
      </c>
      <c r="R8" s="176">
        <v>7493</v>
      </c>
      <c r="S8" s="131"/>
      <c r="T8" s="158">
        <v>1669.44</v>
      </c>
      <c r="U8" s="174">
        <v>1.6000000000000001E-3</v>
      </c>
      <c r="V8" s="174">
        <v>5.3283243348866097E-2</v>
      </c>
      <c r="W8" s="174">
        <v>1.08373964661421E-2</v>
      </c>
    </row>
    <row r="9" spans="1:23">
      <c r="A9" s="22">
        <v>891</v>
      </c>
      <c r="B9" s="22">
        <v>9957</v>
      </c>
      <c r="C9" s="22" t="s">
        <v>1290</v>
      </c>
      <c r="D9" s="22" t="s">
        <v>1291</v>
      </c>
      <c r="E9" s="20" t="s">
        <v>1264</v>
      </c>
      <c r="F9" s="22" t="s">
        <v>1294</v>
      </c>
      <c r="G9" s="22" t="s">
        <v>1295</v>
      </c>
      <c r="H9" s="20" t="s">
        <v>275</v>
      </c>
      <c r="I9" s="22" t="s">
        <v>943</v>
      </c>
      <c r="J9" s="20" t="s">
        <v>30</v>
      </c>
      <c r="K9" s="20" t="s">
        <v>30</v>
      </c>
      <c r="L9" s="20" t="s">
        <v>31</v>
      </c>
      <c r="M9" s="22" t="s">
        <v>1296</v>
      </c>
      <c r="N9" s="22" t="s">
        <v>94</v>
      </c>
      <c r="O9" s="20" t="s">
        <v>34</v>
      </c>
      <c r="P9" s="159">
        <v>99385</v>
      </c>
      <c r="Q9" s="175">
        <v>1</v>
      </c>
      <c r="R9" s="176">
        <v>4144.0200000000004</v>
      </c>
      <c r="S9" s="131"/>
      <c r="T9" s="158">
        <v>4118.5339999999997</v>
      </c>
      <c r="U9" s="174">
        <v>1.8400000000000001E-3</v>
      </c>
      <c r="V9" s="174">
        <v>0.13145055320455701</v>
      </c>
      <c r="W9" s="174">
        <v>2.6736018140716501E-2</v>
      </c>
    </row>
    <row r="10" spans="1:23">
      <c r="A10" s="22">
        <v>891</v>
      </c>
      <c r="B10" s="22">
        <v>9957</v>
      </c>
      <c r="C10" s="22" t="s">
        <v>1297</v>
      </c>
      <c r="D10" s="22" t="s">
        <v>1298</v>
      </c>
      <c r="E10" s="20" t="s">
        <v>267</v>
      </c>
      <c r="F10" s="22" t="s">
        <v>1299</v>
      </c>
      <c r="G10" s="22" t="s">
        <v>1300</v>
      </c>
      <c r="H10" s="20" t="s">
        <v>275</v>
      </c>
      <c r="I10" s="22" t="s">
        <v>942</v>
      </c>
      <c r="J10" s="20" t="s">
        <v>160</v>
      </c>
      <c r="K10" s="20" t="s">
        <v>1301</v>
      </c>
      <c r="L10" s="20" t="s">
        <v>300</v>
      </c>
      <c r="M10" s="22" t="s">
        <v>692</v>
      </c>
      <c r="N10" s="22" t="s">
        <v>94</v>
      </c>
      <c r="O10" s="20" t="s">
        <v>1140</v>
      </c>
      <c r="P10" s="159">
        <v>13433</v>
      </c>
      <c r="Q10" s="175">
        <v>3.3719999999999999</v>
      </c>
      <c r="R10" s="176">
        <v>6036</v>
      </c>
      <c r="S10" s="131"/>
      <c r="T10" s="158">
        <v>2734.0709999999999</v>
      </c>
      <c r="U10" s="174">
        <v>0</v>
      </c>
      <c r="V10" s="174">
        <v>8.7262880590344205E-2</v>
      </c>
      <c r="W10" s="174">
        <v>1.7748589881124498E-2</v>
      </c>
    </row>
    <row r="11" spans="1:23">
      <c r="A11" s="22">
        <v>891</v>
      </c>
      <c r="B11" s="22">
        <v>9957</v>
      </c>
      <c r="C11" s="22" t="s">
        <v>1302</v>
      </c>
      <c r="D11" s="22" t="s">
        <v>1303</v>
      </c>
      <c r="E11" s="20" t="s">
        <v>267</v>
      </c>
      <c r="F11" s="22" t="s">
        <v>1304</v>
      </c>
      <c r="G11" s="22" t="s">
        <v>1305</v>
      </c>
      <c r="H11" s="20" t="s">
        <v>275</v>
      </c>
      <c r="I11" s="22" t="s">
        <v>942</v>
      </c>
      <c r="J11" s="20" t="s">
        <v>160</v>
      </c>
      <c r="K11" s="20" t="s">
        <v>179</v>
      </c>
      <c r="L11" s="20" t="s">
        <v>298</v>
      </c>
      <c r="M11" s="22" t="s">
        <v>692</v>
      </c>
      <c r="N11" s="22" t="s">
        <v>94</v>
      </c>
      <c r="O11" s="20" t="s">
        <v>1140</v>
      </c>
      <c r="P11" s="159">
        <v>1932</v>
      </c>
      <c r="Q11" s="175">
        <v>3.3719999999999999</v>
      </c>
      <c r="R11" s="176">
        <v>21579</v>
      </c>
      <c r="S11" s="131"/>
      <c r="T11" s="158">
        <v>1405.808</v>
      </c>
      <c r="U11" s="174">
        <v>6.9999999999999999E-6</v>
      </c>
      <c r="V11" s="174">
        <v>4.4868932425206801E-2</v>
      </c>
      <c r="W11" s="174">
        <v>9.1259911961581903E-3</v>
      </c>
    </row>
    <row r="12" spans="1:23">
      <c r="A12" s="22">
        <v>891</v>
      </c>
      <c r="B12" s="22">
        <v>9957</v>
      </c>
      <c r="C12" s="22" t="s">
        <v>1302</v>
      </c>
      <c r="D12" s="22" t="s">
        <v>1303</v>
      </c>
      <c r="E12" s="20" t="s">
        <v>267</v>
      </c>
      <c r="F12" s="22" t="s">
        <v>1306</v>
      </c>
      <c r="G12" s="22" t="s">
        <v>1307</v>
      </c>
      <c r="H12" s="20" t="s">
        <v>275</v>
      </c>
      <c r="I12" s="22" t="s">
        <v>942</v>
      </c>
      <c r="J12" s="20" t="s">
        <v>160</v>
      </c>
      <c r="K12" s="20" t="s">
        <v>179</v>
      </c>
      <c r="L12" s="20" t="s">
        <v>314</v>
      </c>
      <c r="M12" s="22" t="s">
        <v>692</v>
      </c>
      <c r="N12" s="22" t="s">
        <v>94</v>
      </c>
      <c r="O12" s="20" t="s">
        <v>1140</v>
      </c>
      <c r="P12" s="159">
        <v>775</v>
      </c>
      <c r="Q12" s="175">
        <v>3.3719999999999999</v>
      </c>
      <c r="R12" s="176">
        <v>10950</v>
      </c>
      <c r="S12" s="131"/>
      <c r="T12" s="158">
        <v>286.15600000000001</v>
      </c>
      <c r="U12" s="174">
        <v>6.9999999999999999E-6</v>
      </c>
      <c r="V12" s="174">
        <v>9.1332032176011206E-3</v>
      </c>
      <c r="W12" s="174">
        <v>1.8576223603155499E-3</v>
      </c>
    </row>
    <row r="13" spans="1:23">
      <c r="A13" s="22">
        <v>891</v>
      </c>
      <c r="B13" s="22">
        <v>9957</v>
      </c>
      <c r="C13" s="22" t="s">
        <v>1302</v>
      </c>
      <c r="D13" s="22" t="s">
        <v>1303</v>
      </c>
      <c r="E13" s="20" t="s">
        <v>267</v>
      </c>
      <c r="F13" s="22" t="s">
        <v>1308</v>
      </c>
      <c r="G13" s="22" t="s">
        <v>1309</v>
      </c>
      <c r="H13" s="20" t="s">
        <v>275</v>
      </c>
      <c r="I13" s="22" t="s">
        <v>944</v>
      </c>
      <c r="J13" s="20" t="s">
        <v>160</v>
      </c>
      <c r="K13" s="20" t="s">
        <v>179</v>
      </c>
      <c r="L13" s="20" t="s">
        <v>298</v>
      </c>
      <c r="M13" s="22" t="s">
        <v>689</v>
      </c>
      <c r="N13" s="22" t="s">
        <v>94</v>
      </c>
      <c r="O13" s="20" t="s">
        <v>1140</v>
      </c>
      <c r="P13" s="159">
        <v>1580</v>
      </c>
      <c r="Q13" s="175">
        <v>3.3719999999999999</v>
      </c>
      <c r="R13" s="176">
        <v>8065</v>
      </c>
      <c r="S13" s="131"/>
      <c r="T13" s="158">
        <v>429.68400000000003</v>
      </c>
      <c r="U13" s="174">
        <v>5.0000000000000004E-6</v>
      </c>
      <c r="V13" s="174">
        <v>1.3714145663977099E-2</v>
      </c>
      <c r="W13" s="174">
        <v>2.7893503550794401E-3</v>
      </c>
    </row>
    <row r="14" spans="1:23">
      <c r="A14" s="22">
        <v>891</v>
      </c>
      <c r="B14" s="22">
        <v>9957</v>
      </c>
      <c r="C14" s="22" t="s">
        <v>1310</v>
      </c>
      <c r="D14" s="22" t="s">
        <v>1311</v>
      </c>
      <c r="E14" s="20" t="s">
        <v>267</v>
      </c>
      <c r="F14" s="22" t="s">
        <v>1312</v>
      </c>
      <c r="G14" s="22" t="s">
        <v>1313</v>
      </c>
      <c r="H14" s="20" t="s">
        <v>275</v>
      </c>
      <c r="I14" s="22" t="s">
        <v>942</v>
      </c>
      <c r="J14" s="20" t="s">
        <v>160</v>
      </c>
      <c r="K14" s="20" t="s">
        <v>223</v>
      </c>
      <c r="L14" s="20" t="s">
        <v>298</v>
      </c>
      <c r="M14" s="22" t="s">
        <v>692</v>
      </c>
      <c r="N14" s="22" t="s">
        <v>94</v>
      </c>
      <c r="O14" s="20" t="s">
        <v>1140</v>
      </c>
      <c r="P14" s="159">
        <v>2622</v>
      </c>
      <c r="Q14" s="175">
        <v>3.3719999999999999</v>
      </c>
      <c r="R14" s="176">
        <v>3433</v>
      </c>
      <c r="S14" s="131"/>
      <c r="T14" s="158">
        <v>303.52499999999998</v>
      </c>
      <c r="U14" s="174">
        <v>1.1E-5</v>
      </c>
      <c r="V14" s="174">
        <v>9.6875462761380707E-3</v>
      </c>
      <c r="W14" s="174">
        <v>1.9703714184816298E-3</v>
      </c>
    </row>
    <row r="15" spans="1:23">
      <c r="A15" s="22">
        <v>891</v>
      </c>
      <c r="B15" s="22">
        <v>9957</v>
      </c>
      <c r="C15" s="22" t="s">
        <v>1302</v>
      </c>
      <c r="D15" s="22" t="s">
        <v>1303</v>
      </c>
      <c r="E15" s="20" t="s">
        <v>267</v>
      </c>
      <c r="F15" s="22" t="s">
        <v>1314</v>
      </c>
      <c r="G15" s="22" t="s">
        <v>1315</v>
      </c>
      <c r="H15" s="20" t="s">
        <v>275</v>
      </c>
      <c r="I15" s="22" t="s">
        <v>942</v>
      </c>
      <c r="J15" s="20" t="s">
        <v>160</v>
      </c>
      <c r="K15" s="20" t="s">
        <v>223</v>
      </c>
      <c r="L15" s="20" t="s">
        <v>300</v>
      </c>
      <c r="M15" s="22" t="s">
        <v>692</v>
      </c>
      <c r="N15" s="22" t="s">
        <v>94</v>
      </c>
      <c r="O15" s="20" t="s">
        <v>1140</v>
      </c>
      <c r="P15" s="159">
        <v>2900</v>
      </c>
      <c r="Q15" s="175">
        <v>3.3719999999999999</v>
      </c>
      <c r="R15" s="176">
        <v>5510</v>
      </c>
      <c r="S15" s="131"/>
      <c r="T15" s="158">
        <v>538.81200000000001</v>
      </c>
      <c r="U15" s="174">
        <v>1.8E-5</v>
      </c>
      <c r="V15" s="174">
        <v>1.7197166500403399E-2</v>
      </c>
      <c r="W15" s="174">
        <v>3.4977696503734998E-3</v>
      </c>
    </row>
    <row r="16" spans="1:23">
      <c r="A16" s="22">
        <v>891</v>
      </c>
      <c r="B16" s="22">
        <v>9957</v>
      </c>
      <c r="C16" s="22" t="s">
        <v>1316</v>
      </c>
      <c r="D16" s="22" t="s">
        <v>1317</v>
      </c>
      <c r="E16" s="20" t="s">
        <v>267</v>
      </c>
      <c r="F16" s="22" t="s">
        <v>1318</v>
      </c>
      <c r="G16" s="22" t="s">
        <v>1319</v>
      </c>
      <c r="H16" s="20" t="s">
        <v>275</v>
      </c>
      <c r="I16" s="22" t="s">
        <v>942</v>
      </c>
      <c r="J16" s="20" t="s">
        <v>160</v>
      </c>
      <c r="K16" s="20" t="s">
        <v>179</v>
      </c>
      <c r="L16" s="20" t="s">
        <v>300</v>
      </c>
      <c r="M16" s="22" t="s">
        <v>692</v>
      </c>
      <c r="N16" s="22" t="s">
        <v>94</v>
      </c>
      <c r="O16" s="20" t="s">
        <v>1140</v>
      </c>
      <c r="P16" s="159">
        <v>1072</v>
      </c>
      <c r="Q16" s="175">
        <v>3.3719999999999999</v>
      </c>
      <c r="R16" s="176">
        <v>55164</v>
      </c>
      <c r="S16" s="160">
        <v>0.318</v>
      </c>
      <c r="T16" s="158">
        <v>1995.133</v>
      </c>
      <c r="U16" s="174">
        <v>1.9999999999999999E-6</v>
      </c>
      <c r="V16" s="174">
        <v>6.3678329322548799E-2</v>
      </c>
      <c r="W16" s="174">
        <v>1.2951675945317801E-2</v>
      </c>
    </row>
    <row r="17" spans="1:23">
      <c r="A17" s="22">
        <v>891</v>
      </c>
      <c r="B17" s="22">
        <v>9957</v>
      </c>
      <c r="C17" s="22" t="s">
        <v>1316</v>
      </c>
      <c r="D17" s="22" t="s">
        <v>1317</v>
      </c>
      <c r="E17" s="20" t="s">
        <v>267</v>
      </c>
      <c r="F17" s="22" t="s">
        <v>1320</v>
      </c>
      <c r="G17" s="22" t="s">
        <v>1321</v>
      </c>
      <c r="H17" s="20" t="s">
        <v>275</v>
      </c>
      <c r="I17" s="22" t="s">
        <v>942</v>
      </c>
      <c r="J17" s="20" t="s">
        <v>160</v>
      </c>
      <c r="K17" s="20" t="s">
        <v>179</v>
      </c>
      <c r="L17" s="20" t="s">
        <v>334</v>
      </c>
      <c r="M17" s="22" t="s">
        <v>692</v>
      </c>
      <c r="N17" s="22" t="s">
        <v>94</v>
      </c>
      <c r="O17" s="20" t="s">
        <v>1140</v>
      </c>
      <c r="P17" s="159">
        <v>988</v>
      </c>
      <c r="Q17" s="175">
        <v>3.3719999999999999</v>
      </c>
      <c r="R17" s="176">
        <v>122758</v>
      </c>
      <c r="S17" s="131"/>
      <c r="T17" s="158">
        <v>4089.7269999999999</v>
      </c>
      <c r="U17" s="174">
        <v>1.95E-4</v>
      </c>
      <c r="V17" s="174">
        <v>0.13053111509314999</v>
      </c>
      <c r="W17" s="174">
        <v>2.6549011593946001E-2</v>
      </c>
    </row>
    <row r="18" spans="1:23">
      <c r="A18" s="22">
        <v>891</v>
      </c>
      <c r="B18" s="22">
        <v>9957</v>
      </c>
      <c r="C18" s="22" t="s">
        <v>1322</v>
      </c>
      <c r="D18" s="22" t="s">
        <v>1323</v>
      </c>
      <c r="E18" s="20" t="s">
        <v>267</v>
      </c>
      <c r="F18" s="22" t="s">
        <v>1324</v>
      </c>
      <c r="G18" s="22" t="s">
        <v>1325</v>
      </c>
      <c r="H18" s="20" t="s">
        <v>275</v>
      </c>
      <c r="I18" s="22" t="s">
        <v>944</v>
      </c>
      <c r="J18" s="20" t="s">
        <v>160</v>
      </c>
      <c r="K18" s="20" t="s">
        <v>179</v>
      </c>
      <c r="L18" s="20" t="s">
        <v>1326</v>
      </c>
      <c r="M18" s="22" t="s">
        <v>689</v>
      </c>
      <c r="N18" s="22" t="s">
        <v>94</v>
      </c>
      <c r="O18" s="20" t="s">
        <v>1140</v>
      </c>
      <c r="P18" s="159">
        <v>31999</v>
      </c>
      <c r="Q18" s="175">
        <v>3.3719999999999999</v>
      </c>
      <c r="R18" s="176">
        <v>1125.9000000000001</v>
      </c>
      <c r="S18" s="131"/>
      <c r="T18" s="158">
        <v>1214.8530000000001</v>
      </c>
      <c r="U18" s="174">
        <v>0</v>
      </c>
      <c r="V18" s="174">
        <v>3.87742605995351E-2</v>
      </c>
      <c r="W18" s="174">
        <v>7.8863824419880806E-3</v>
      </c>
    </row>
    <row r="19" spans="1:23">
      <c r="A19" s="22">
        <v>891</v>
      </c>
      <c r="B19" s="22">
        <v>9957</v>
      </c>
      <c r="C19" s="22" t="s">
        <v>1322</v>
      </c>
      <c r="D19" s="22" t="s">
        <v>1323</v>
      </c>
      <c r="E19" s="20" t="s">
        <v>267</v>
      </c>
      <c r="F19" s="22" t="s">
        <v>1327</v>
      </c>
      <c r="G19" s="22" t="s">
        <v>1328</v>
      </c>
      <c r="H19" s="20" t="s">
        <v>275</v>
      </c>
      <c r="I19" s="22" t="s">
        <v>942</v>
      </c>
      <c r="J19" s="20" t="s">
        <v>160</v>
      </c>
      <c r="K19" s="20" t="s">
        <v>179</v>
      </c>
      <c r="L19" s="20" t="s">
        <v>298</v>
      </c>
      <c r="M19" s="22" t="s">
        <v>692</v>
      </c>
      <c r="N19" s="22" t="s">
        <v>94</v>
      </c>
      <c r="O19" s="20" t="s">
        <v>1140</v>
      </c>
      <c r="P19" s="159">
        <v>338</v>
      </c>
      <c r="Q19" s="175">
        <v>3.3719999999999999</v>
      </c>
      <c r="R19" s="176">
        <v>61785</v>
      </c>
      <c r="S19" s="160">
        <v>0.44600000000000001</v>
      </c>
      <c r="T19" s="158">
        <v>705.69</v>
      </c>
      <c r="U19" s="174">
        <v>0</v>
      </c>
      <c r="V19" s="174">
        <v>2.2523385205497199E-2</v>
      </c>
      <c r="W19" s="174">
        <v>4.58108102829683E-3</v>
      </c>
    </row>
    <row r="20" spans="1:23">
      <c r="A20" s="2">
        <v>891</v>
      </c>
      <c r="B20" s="2">
        <v>9957</v>
      </c>
      <c r="C20" s="2" t="s">
        <v>1329</v>
      </c>
      <c r="D20" s="2" t="s">
        <v>1330</v>
      </c>
      <c r="E20" s="20" t="s">
        <v>267</v>
      </c>
      <c r="F20" s="2" t="s">
        <v>1331</v>
      </c>
      <c r="G20" s="2" t="s">
        <v>1332</v>
      </c>
      <c r="H20" s="20" t="s">
        <v>275</v>
      </c>
      <c r="I20" s="22" t="s">
        <v>942</v>
      </c>
      <c r="J20" s="20" t="s">
        <v>160</v>
      </c>
      <c r="K20" s="20" t="s">
        <v>179</v>
      </c>
      <c r="L20" s="20" t="s">
        <v>300</v>
      </c>
      <c r="M20" s="22" t="s">
        <v>692</v>
      </c>
      <c r="N20" s="22" t="s">
        <v>94</v>
      </c>
      <c r="O20" s="2" t="s">
        <v>1140</v>
      </c>
      <c r="P20" s="159">
        <v>357</v>
      </c>
      <c r="Q20" s="163">
        <v>3.3719999999999999</v>
      </c>
      <c r="R20" s="177">
        <v>27888</v>
      </c>
      <c r="T20" s="156">
        <v>335.71699999999998</v>
      </c>
      <c r="U20" s="168">
        <v>1.5999999999999999E-5</v>
      </c>
      <c r="V20" s="168">
        <v>1.0715017512527699E-2</v>
      </c>
      <c r="W20" s="168">
        <v>2.1793510609821E-3</v>
      </c>
    </row>
    <row r="21" spans="1:23">
      <c r="A21" s="2">
        <v>891</v>
      </c>
      <c r="B21" s="2">
        <v>9957</v>
      </c>
      <c r="C21" s="2" t="s">
        <v>1333</v>
      </c>
      <c r="D21" s="2" t="s">
        <v>1334</v>
      </c>
      <c r="E21" s="4" t="s">
        <v>267</v>
      </c>
      <c r="F21" s="2" t="s">
        <v>1335</v>
      </c>
      <c r="G21" s="2" t="s">
        <v>1336</v>
      </c>
      <c r="H21" s="4" t="s">
        <v>275</v>
      </c>
      <c r="I21" s="2" t="s">
        <v>942</v>
      </c>
      <c r="J21" s="2" t="s">
        <v>160</v>
      </c>
      <c r="K21" s="2" t="s">
        <v>179</v>
      </c>
      <c r="L21" s="4" t="s">
        <v>298</v>
      </c>
      <c r="M21" s="2" t="s">
        <v>692</v>
      </c>
      <c r="N21" s="2" t="s">
        <v>94</v>
      </c>
      <c r="O21" s="2" t="s">
        <v>1140</v>
      </c>
      <c r="P21" s="157">
        <v>2400</v>
      </c>
      <c r="Q21" s="163">
        <v>3.3719999999999999</v>
      </c>
      <c r="R21" s="177">
        <v>56803</v>
      </c>
      <c r="S21" s="161">
        <v>3.1379999999999999</v>
      </c>
      <c r="T21" s="156">
        <v>4607.5330000000004</v>
      </c>
      <c r="U21" s="168">
        <v>3.0000000000000001E-6</v>
      </c>
      <c r="V21" s="168">
        <v>0.14705785427891199</v>
      </c>
      <c r="W21" s="168">
        <v>2.9910421553095E-2</v>
      </c>
    </row>
    <row r="22" spans="1:23" hidden="1">
      <c r="L22" s="4"/>
    </row>
    <row r="26" spans="1:23" hidden="1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48574"/>
  <sheetViews>
    <sheetView rightToLeft="1" topLeftCell="E1" zoomScale="70" zoomScaleNormal="70" workbookViewId="0"/>
  </sheetViews>
  <sheetFormatPr defaultColWidth="0" defaultRowHeight="14.25" zeroHeight="1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0" style="4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1073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280</v>
      </c>
      <c r="M1" s="21" t="s">
        <v>8</v>
      </c>
      <c r="N1" s="21" t="s">
        <v>526</v>
      </c>
      <c r="O1" s="21" t="s">
        <v>80</v>
      </c>
      <c r="P1" s="21" t="s">
        <v>11</v>
      </c>
      <c r="Q1" s="21" t="s">
        <v>17</v>
      </c>
      <c r="R1" s="162" t="s">
        <v>18</v>
      </c>
      <c r="S1" s="171" t="s">
        <v>19</v>
      </c>
      <c r="T1" s="21" t="s">
        <v>20</v>
      </c>
      <c r="U1" s="167" t="s">
        <v>23</v>
      </c>
      <c r="V1" s="167" t="s">
        <v>24</v>
      </c>
      <c r="W1" s="167" t="s">
        <v>25</v>
      </c>
    </row>
    <row r="2" spans="1:23">
      <c r="A2" s="20">
        <v>891</v>
      </c>
      <c r="B2" s="20">
        <v>9957</v>
      </c>
      <c r="C2" s="20" t="s">
        <v>1262</v>
      </c>
      <c r="D2" s="20" t="s">
        <v>1263</v>
      </c>
      <c r="E2" s="20" t="s">
        <v>1264</v>
      </c>
      <c r="F2" s="20" t="s">
        <v>1265</v>
      </c>
      <c r="G2" s="20" t="s">
        <v>1266</v>
      </c>
      <c r="H2" s="20" t="s">
        <v>275</v>
      </c>
      <c r="I2" s="20" t="s">
        <v>889</v>
      </c>
      <c r="J2" s="20" t="s">
        <v>30</v>
      </c>
      <c r="K2" s="20" t="s">
        <v>30</v>
      </c>
      <c r="L2" s="4" t="s">
        <v>281</v>
      </c>
      <c r="M2" s="20" t="s">
        <v>31</v>
      </c>
      <c r="N2" s="22" t="s">
        <v>1267</v>
      </c>
      <c r="O2" s="22" t="s">
        <v>94</v>
      </c>
      <c r="P2" s="20" t="s">
        <v>34</v>
      </c>
      <c r="Q2" s="159">
        <v>295799.52</v>
      </c>
      <c r="R2" s="178">
        <v>1</v>
      </c>
      <c r="S2" s="179">
        <v>74.8</v>
      </c>
      <c r="T2" s="159">
        <v>221.25800000000001</v>
      </c>
      <c r="U2" s="180">
        <v>9.5500000000000001E-4</v>
      </c>
      <c r="V2" s="180">
        <v>0.21712002612824599</v>
      </c>
      <c r="W2" s="180">
        <v>1.43632627508322E-3</v>
      </c>
    </row>
    <row r="3" spans="1:23">
      <c r="A3" s="20">
        <v>891</v>
      </c>
      <c r="B3" s="20">
        <v>9957</v>
      </c>
      <c r="C3" s="20" t="s">
        <v>1268</v>
      </c>
      <c r="D3" s="20" t="s">
        <v>1269</v>
      </c>
      <c r="E3" s="20" t="s">
        <v>267</v>
      </c>
      <c r="F3" s="20" t="s">
        <v>1270</v>
      </c>
      <c r="G3" s="20" t="s">
        <v>1271</v>
      </c>
      <c r="H3" s="20" t="s">
        <v>275</v>
      </c>
      <c r="I3" s="20" t="s">
        <v>889</v>
      </c>
      <c r="J3" s="20" t="s">
        <v>160</v>
      </c>
      <c r="K3" s="20" t="s">
        <v>199</v>
      </c>
      <c r="L3" s="4" t="s">
        <v>281</v>
      </c>
      <c r="M3" s="20" t="s">
        <v>268</v>
      </c>
      <c r="N3" s="22" t="s">
        <v>692</v>
      </c>
      <c r="O3" s="22" t="s">
        <v>94</v>
      </c>
      <c r="P3" s="20" t="s">
        <v>1140</v>
      </c>
      <c r="Q3" s="159">
        <v>15643.62</v>
      </c>
      <c r="R3" s="178">
        <v>3.3719999999999999</v>
      </c>
      <c r="S3" s="179">
        <v>1512.41</v>
      </c>
      <c r="T3" s="159">
        <v>797.80100000000004</v>
      </c>
      <c r="U3" s="180">
        <v>6.8199999999999999E-4</v>
      </c>
      <c r="V3" s="180">
        <v>0.78287997387175401</v>
      </c>
      <c r="W3" s="180">
        <v>5.1790297595315999E-3</v>
      </c>
    </row>
    <row r="4" spans="1:23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M4" s="20"/>
      <c r="N4" s="22"/>
      <c r="O4" s="22"/>
      <c r="P4" s="20"/>
      <c r="Q4" s="20"/>
      <c r="R4" s="20"/>
      <c r="S4" s="20"/>
      <c r="T4" s="20"/>
      <c r="U4" s="20"/>
      <c r="V4" s="20"/>
      <c r="W4" s="20"/>
    </row>
    <row r="5" spans="1:23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 hidden="1">
      <c r="E20" s="20"/>
      <c r="H20" s="20"/>
      <c r="I20" s="20"/>
      <c r="J20" s="20"/>
      <c r="K20" s="20"/>
      <c r="M20" s="20"/>
      <c r="N20" s="22"/>
      <c r="O20" s="22"/>
    </row>
    <row r="21" spans="1:23" hidden="1">
      <c r="M21" s="4"/>
    </row>
    <row r="22" spans="1:23" hidden="1">
      <c r="H22" s="2"/>
      <c r="M22" s="4"/>
    </row>
    <row r="23" spans="1:23" hidden="1">
      <c r="H23" s="2"/>
    </row>
    <row r="24" spans="1:23" hidden="1">
      <c r="H24" s="2"/>
    </row>
    <row r="25" spans="1:23" hidden="1">
      <c r="H25" s="2"/>
    </row>
    <row r="26" spans="1:23" hidden="1">
      <c r="H26" s="2"/>
    </row>
    <row r="27" spans="1:23" hidden="1">
      <c r="H27" s="2"/>
    </row>
    <row r="28" spans="1:23" hidden="1">
      <c r="H28" s="2"/>
    </row>
    <row r="1048574" spans="14:14" hidden="1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topLeftCell="G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0" style="2" hidden="1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6</v>
      </c>
      <c r="J1" s="21" t="s">
        <v>7</v>
      </c>
      <c r="K1" s="21" t="s">
        <v>280</v>
      </c>
      <c r="L1" s="21" t="s">
        <v>8</v>
      </c>
      <c r="M1" s="21" t="s">
        <v>1079</v>
      </c>
      <c r="N1" s="21" t="s">
        <v>104</v>
      </c>
      <c r="O1" s="181" t="s">
        <v>1080</v>
      </c>
      <c r="P1" s="21" t="s">
        <v>80</v>
      </c>
      <c r="Q1" s="21" t="s">
        <v>11</v>
      </c>
      <c r="R1" s="171" t="s">
        <v>1081</v>
      </c>
      <c r="S1" s="21" t="s">
        <v>1082</v>
      </c>
      <c r="T1" s="21" t="s">
        <v>17</v>
      </c>
      <c r="U1" s="162" t="s">
        <v>18</v>
      </c>
      <c r="V1" s="171" t="s">
        <v>19</v>
      </c>
      <c r="W1" s="21" t="s">
        <v>20</v>
      </c>
      <c r="X1" s="167" t="s">
        <v>24</v>
      </c>
      <c r="Y1" s="167" t="s">
        <v>25</v>
      </c>
    </row>
    <row r="2" spans="1:25">
      <c r="A2" s="29">
        <v>891</v>
      </c>
      <c r="B2" s="22">
        <v>9957</v>
      </c>
      <c r="C2" s="22" t="s">
        <v>1729</v>
      </c>
      <c r="D2" s="22" t="s">
        <v>1730</v>
      </c>
      <c r="E2" s="20" t="s">
        <v>1264</v>
      </c>
      <c r="F2" s="22" t="s">
        <v>2163</v>
      </c>
      <c r="G2" s="22" t="s">
        <v>2164</v>
      </c>
      <c r="H2" s="20" t="s">
        <v>275</v>
      </c>
      <c r="I2" s="20" t="s">
        <v>30</v>
      </c>
      <c r="J2" s="20" t="s">
        <v>30</v>
      </c>
      <c r="K2" s="22" t="s">
        <v>281</v>
      </c>
      <c r="L2" s="20" t="s">
        <v>31</v>
      </c>
      <c r="M2" s="22" t="s">
        <v>2165</v>
      </c>
      <c r="N2" s="22" t="s">
        <v>396</v>
      </c>
      <c r="O2" s="182" t="s">
        <v>2166</v>
      </c>
      <c r="P2" s="22" t="s">
        <v>94</v>
      </c>
      <c r="Q2" s="20" t="s">
        <v>34</v>
      </c>
      <c r="R2" s="179">
        <v>8000</v>
      </c>
      <c r="S2" s="159">
        <v>0</v>
      </c>
      <c r="T2" s="158">
        <v>834</v>
      </c>
      <c r="U2" s="175">
        <v>1</v>
      </c>
      <c r="V2" s="176">
        <v>327.10000000000002</v>
      </c>
      <c r="W2" s="158">
        <v>2.7280000000000002</v>
      </c>
      <c r="X2" s="174">
        <v>7.2334225680671396E-2</v>
      </c>
      <c r="Y2" s="174">
        <v>1.7709269095911599E-5</v>
      </c>
    </row>
    <row r="3" spans="1:25">
      <c r="A3" s="22">
        <v>891</v>
      </c>
      <c r="B3" s="22">
        <v>9957</v>
      </c>
      <c r="C3" s="22" t="s">
        <v>1396</v>
      </c>
      <c r="D3" s="22" t="s">
        <v>1397</v>
      </c>
      <c r="E3" s="20" t="s">
        <v>1264</v>
      </c>
      <c r="F3" s="22" t="s">
        <v>2167</v>
      </c>
      <c r="G3" s="22" t="s">
        <v>2168</v>
      </c>
      <c r="H3" s="20" t="s">
        <v>275</v>
      </c>
      <c r="I3" s="20" t="s">
        <v>30</v>
      </c>
      <c r="J3" s="20" t="s">
        <v>30</v>
      </c>
      <c r="K3" s="22" t="s">
        <v>281</v>
      </c>
      <c r="L3" s="20" t="s">
        <v>1781</v>
      </c>
      <c r="M3" s="22" t="s">
        <v>1399</v>
      </c>
      <c r="N3" s="22" t="s">
        <v>419</v>
      </c>
      <c r="O3" s="182" t="s">
        <v>2169</v>
      </c>
      <c r="P3" s="22" t="s">
        <v>94</v>
      </c>
      <c r="Q3" s="20" t="s">
        <v>34</v>
      </c>
      <c r="R3" s="179">
        <v>58000</v>
      </c>
      <c r="S3" s="159">
        <v>1</v>
      </c>
      <c r="T3" s="158">
        <v>357</v>
      </c>
      <c r="U3" s="175">
        <v>1</v>
      </c>
      <c r="V3" s="176">
        <v>9800</v>
      </c>
      <c r="W3" s="158">
        <v>34.985999999999997</v>
      </c>
      <c r="X3" s="174">
        <v>0.92766577431932795</v>
      </c>
      <c r="Y3" s="174">
        <v>2.2711631560159201E-4</v>
      </c>
    </row>
    <row r="4" spans="1:25" hidden="1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 hidden="1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 hidden="1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 hidden="1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 hidden="1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 hidden="1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 hidden="1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 hidden="1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 hidden="1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 hidden="1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 hidden="1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 hidden="1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 hidden="1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 hidden="1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 hidden="1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 hidden="1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 hidden="1">
      <c r="E20" s="20"/>
      <c r="H20" s="20"/>
      <c r="I20" s="20"/>
      <c r="J20" s="20"/>
      <c r="K20" s="22"/>
      <c r="L20" s="20"/>
      <c r="N20" s="22"/>
      <c r="P20" s="22"/>
    </row>
    <row r="21" spans="1:25" hidden="1">
      <c r="H21" s="4"/>
      <c r="L21" s="4"/>
    </row>
    <row r="22" spans="1:25" hidden="1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zoomScale="70" zoomScaleNormal="70" workbookViewId="0">
      <selection activeCell="M49" sqref="M49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0" style="2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104</v>
      </c>
      <c r="N1" s="21" t="s">
        <v>127</v>
      </c>
      <c r="O1" s="21" t="s">
        <v>1080</v>
      </c>
      <c r="P1" s="21" t="s">
        <v>80</v>
      </c>
      <c r="Q1" s="21" t="s">
        <v>11</v>
      </c>
      <c r="R1" s="21" t="s">
        <v>1081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>
        <v>891</v>
      </c>
      <c r="B2" s="22">
        <v>9957</v>
      </c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 hidden="1">
      <c r="E20" s="20"/>
      <c r="H20" s="20"/>
      <c r="I20" s="22"/>
      <c r="J20" s="20"/>
      <c r="K20" s="20"/>
      <c r="L20" s="20"/>
      <c r="M20" s="22"/>
      <c r="P20" s="22"/>
    </row>
    <row r="21" spans="1:24" hidden="1">
      <c r="H21" s="4"/>
      <c r="L21" s="4"/>
    </row>
    <row r="22" spans="1:24" hidden="1">
      <c r="L22" s="4"/>
    </row>
    <row r="30" spans="1:24" hidden="1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topLeftCell="B1" zoomScale="70" zoomScaleNormal="70" workbookViewId="0">
      <selection activeCell="T14" sqref="T14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0" width="11.625" style="2" customWidth="1"/>
    <col min="21" max="16384" width="0" style="2" hidden="1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6</v>
      </c>
      <c r="J1" s="21" t="s">
        <v>7</v>
      </c>
      <c r="K1" s="21" t="s">
        <v>8</v>
      </c>
      <c r="L1" s="21" t="s">
        <v>127</v>
      </c>
      <c r="M1" s="21" t="s">
        <v>80</v>
      </c>
      <c r="N1" s="21" t="s">
        <v>11</v>
      </c>
      <c r="O1" s="21" t="s">
        <v>17</v>
      </c>
      <c r="P1" s="162" t="s">
        <v>18</v>
      </c>
      <c r="Q1" s="171" t="s">
        <v>19</v>
      </c>
      <c r="R1" s="21" t="s">
        <v>20</v>
      </c>
      <c r="S1" s="167" t="s">
        <v>24</v>
      </c>
      <c r="T1" s="167" t="s">
        <v>25</v>
      </c>
    </row>
    <row r="2" spans="1:20">
      <c r="A2" s="22">
        <v>891</v>
      </c>
      <c r="B2" s="22">
        <v>9957</v>
      </c>
      <c r="C2" s="2" t="s">
        <v>2156</v>
      </c>
      <c r="D2" s="2" t="s">
        <v>2157</v>
      </c>
      <c r="E2" s="20" t="s">
        <v>33</v>
      </c>
      <c r="F2" s="22" t="s">
        <v>2158</v>
      </c>
      <c r="G2" s="22" t="s">
        <v>2159</v>
      </c>
      <c r="H2" s="20" t="s">
        <v>268</v>
      </c>
      <c r="I2" s="20" t="s">
        <v>160</v>
      </c>
      <c r="J2" s="20" t="s">
        <v>179</v>
      </c>
      <c r="K2" s="20" t="s">
        <v>2160</v>
      </c>
      <c r="L2" s="22" t="s">
        <v>704</v>
      </c>
      <c r="M2" s="22" t="s">
        <v>94</v>
      </c>
      <c r="N2" s="20" t="s">
        <v>1140</v>
      </c>
      <c r="O2" s="158">
        <v>12</v>
      </c>
      <c r="P2" s="175">
        <v>3.3719999999999999</v>
      </c>
      <c r="Q2" s="176">
        <v>6253.75</v>
      </c>
      <c r="R2" s="158">
        <v>448.64499999999998</v>
      </c>
      <c r="S2" s="174">
        <v>0.93953636828413301</v>
      </c>
      <c r="T2" s="174">
        <v>2.9124366479892001E-3</v>
      </c>
    </row>
    <row r="3" spans="1:20">
      <c r="A3" s="22">
        <v>891</v>
      </c>
      <c r="B3" s="22">
        <v>9957</v>
      </c>
      <c r="C3" s="2" t="s">
        <v>2156</v>
      </c>
      <c r="D3" s="2" t="s">
        <v>2157</v>
      </c>
      <c r="E3" s="20" t="s">
        <v>33</v>
      </c>
      <c r="F3" s="22" t="s">
        <v>2161</v>
      </c>
      <c r="G3" s="22" t="s">
        <v>2162</v>
      </c>
      <c r="H3" s="20" t="s">
        <v>268</v>
      </c>
      <c r="I3" s="20" t="s">
        <v>160</v>
      </c>
      <c r="J3" s="20" t="s">
        <v>179</v>
      </c>
      <c r="K3" s="20" t="s">
        <v>314</v>
      </c>
      <c r="L3" s="22" t="s">
        <v>708</v>
      </c>
      <c r="M3" s="22" t="s">
        <v>94</v>
      </c>
      <c r="N3" s="20" t="s">
        <v>1140</v>
      </c>
      <c r="O3" s="158">
        <v>4</v>
      </c>
      <c r="P3" s="175">
        <v>3.3719999999999999</v>
      </c>
      <c r="Q3" s="176">
        <v>114.26600000000001</v>
      </c>
      <c r="R3" s="158">
        <v>28.872</v>
      </c>
      <c r="S3" s="174">
        <v>6.04636317158668E-2</v>
      </c>
      <c r="T3" s="174">
        <v>1.8742914359070101E-4</v>
      </c>
    </row>
    <row r="4" spans="1:20" hidden="1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 hidden="1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 hidden="1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 hidden="1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 hidden="1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 hidden="1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 hidden="1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 hidden="1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 hidden="1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 hidden="1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 hidden="1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 hidden="1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 hidden="1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 hidden="1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 hidden="1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 hidden="1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 hidden="1">
      <c r="E20" s="20"/>
      <c r="H20" s="20"/>
      <c r="J20" s="20"/>
      <c r="K20" s="20"/>
      <c r="L20" s="22"/>
      <c r="M20" s="22"/>
    </row>
    <row r="21" spans="1:20" hidden="1">
      <c r="H21" s="4"/>
      <c r="K21" s="4"/>
    </row>
    <row r="22" spans="1:20" hidden="1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:B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1.625" style="143" customWidth="1"/>
    <col min="18" max="28" width="11.625" style="2" customWidth="1"/>
    <col min="29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280</v>
      </c>
      <c r="M1" s="21" t="s">
        <v>8</v>
      </c>
      <c r="N1" s="21" t="s">
        <v>127</v>
      </c>
      <c r="O1" s="21" t="s">
        <v>80</v>
      </c>
      <c r="P1" s="21" t="s">
        <v>12</v>
      </c>
      <c r="Q1" s="141" t="s">
        <v>14</v>
      </c>
      <c r="R1" s="21" t="s">
        <v>15</v>
      </c>
      <c r="S1" s="21" t="s">
        <v>9</v>
      </c>
      <c r="T1" s="21" t="s">
        <v>10</v>
      </c>
      <c r="U1" s="21" t="s">
        <v>128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>
        <v>891</v>
      </c>
      <c r="B2" s="22">
        <v>9957</v>
      </c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6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6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6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6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6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6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6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6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6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6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6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6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6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6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6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6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6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6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 hidden="1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 hidden="1">
      <c r="H21" s="4"/>
      <c r="M21" s="4"/>
      <c r="N21" s="22"/>
    </row>
    <row r="22" spans="1:28" hidden="1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:B2"/>
    </sheetView>
  </sheetViews>
  <sheetFormatPr defaultColWidth="0" defaultRowHeight="14.25" zeroHeight="1"/>
  <cols>
    <col min="1" max="8" width="11.625" customWidth="1"/>
    <col min="9" max="9" width="11.625" style="2" customWidth="1"/>
    <col min="10" max="15" width="11.625" customWidth="1"/>
    <col min="16" max="16" width="11.625" style="142" customWidth="1"/>
    <col min="17" max="23" width="11.625" customWidth="1"/>
    <col min="24" max="24" width="11.625" style="2" customWidth="1"/>
    <col min="25" max="25" width="11.625" customWidth="1"/>
    <col min="26" max="27" width="0" hidden="1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103</v>
      </c>
      <c r="G1" s="21" t="s">
        <v>5</v>
      </c>
      <c r="H1" s="21" t="s">
        <v>6</v>
      </c>
      <c r="I1" s="21" t="s">
        <v>7</v>
      </c>
      <c r="J1" s="21" t="s">
        <v>112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1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>
        <v>891</v>
      </c>
      <c r="B2" s="22">
        <v>9957</v>
      </c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6"/>
      <c r="Q2" s="22"/>
      <c r="R2" s="22"/>
      <c r="S2" s="22"/>
      <c r="T2" s="22"/>
      <c r="U2" s="22"/>
      <c r="V2" s="22"/>
      <c r="W2" s="20"/>
      <c r="X2" s="22"/>
      <c r="Y2" s="22"/>
    </row>
    <row r="3" spans="1:27" hidden="1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6"/>
      <c r="Q3" s="22"/>
      <c r="R3" s="22"/>
      <c r="S3" s="22"/>
      <c r="T3" s="22"/>
      <c r="U3" s="22"/>
      <c r="V3" s="22"/>
      <c r="W3" s="20"/>
      <c r="X3" s="22"/>
      <c r="Y3" s="22"/>
    </row>
    <row r="4" spans="1:27" hidden="1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6"/>
      <c r="Q4" s="22"/>
      <c r="R4" s="22"/>
      <c r="S4" s="22"/>
      <c r="T4" s="22"/>
      <c r="U4" s="22"/>
      <c r="V4" s="22"/>
      <c r="W4" s="20"/>
      <c r="X4" s="22"/>
      <c r="Y4" s="22"/>
    </row>
    <row r="5" spans="1:27" hidden="1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5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 hidden="1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6"/>
      <c r="Q6" s="22"/>
      <c r="R6" s="22"/>
      <c r="S6" s="22"/>
      <c r="T6" s="22"/>
      <c r="U6" s="22"/>
      <c r="V6" s="22"/>
      <c r="W6" s="20"/>
      <c r="X6" s="22"/>
      <c r="Y6" s="22"/>
    </row>
    <row r="7" spans="1:27" hidden="1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6"/>
      <c r="Q7" s="22"/>
      <c r="R7" s="22"/>
      <c r="S7" s="22"/>
      <c r="T7" s="22"/>
      <c r="U7" s="22"/>
      <c r="V7" s="22"/>
      <c r="W7" s="20"/>
      <c r="X7" s="22"/>
      <c r="Y7" s="22"/>
    </row>
    <row r="8" spans="1:27" hidden="1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6"/>
      <c r="Q8" s="22"/>
      <c r="R8" s="22"/>
      <c r="S8" s="22"/>
      <c r="T8" s="22"/>
      <c r="U8" s="22"/>
      <c r="V8" s="22"/>
      <c r="W8" s="20"/>
      <c r="X8" s="22"/>
      <c r="Y8" s="22"/>
    </row>
    <row r="9" spans="1:27" hidden="1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6"/>
      <c r="Q9" s="22"/>
      <c r="R9" s="22"/>
      <c r="S9" s="22"/>
      <c r="T9" s="22"/>
      <c r="U9" s="22"/>
      <c r="V9" s="22"/>
      <c r="W9" s="20"/>
      <c r="X9" s="22"/>
      <c r="Y9" s="22"/>
    </row>
    <row r="10" spans="1:27" hidden="1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6"/>
      <c r="Q10" s="22"/>
      <c r="R10" s="22"/>
      <c r="S10" s="22"/>
      <c r="T10" s="22"/>
      <c r="U10" s="22"/>
      <c r="V10" s="22"/>
      <c r="W10" s="20"/>
      <c r="X10" s="22"/>
      <c r="Y10" s="22"/>
    </row>
    <row r="11" spans="1:27" hidden="1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6"/>
      <c r="Q11" s="22"/>
      <c r="R11" s="22"/>
      <c r="S11" s="22"/>
      <c r="T11" s="22"/>
      <c r="U11" s="22"/>
      <c r="V11" s="22"/>
      <c r="W11" s="20"/>
      <c r="X11" s="22"/>
      <c r="Y11" s="22"/>
    </row>
    <row r="12" spans="1:27" hidden="1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6"/>
      <c r="Q12" s="22"/>
      <c r="R12" s="22"/>
      <c r="S12" s="22"/>
      <c r="T12" s="22"/>
      <c r="U12" s="22"/>
      <c r="V12" s="22"/>
      <c r="W12" s="20"/>
      <c r="X12" s="22"/>
      <c r="Y12" s="22"/>
    </row>
    <row r="13" spans="1:27" hidden="1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6"/>
      <c r="Q13" s="22"/>
      <c r="R13" s="22"/>
      <c r="S13" s="22"/>
      <c r="T13" s="22"/>
      <c r="U13" s="22"/>
      <c r="V13" s="22"/>
      <c r="W13" s="20"/>
      <c r="X13" s="22"/>
      <c r="Y13" s="22"/>
    </row>
    <row r="14" spans="1:27" hidden="1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6"/>
      <c r="Q14" s="22"/>
      <c r="R14" s="22"/>
      <c r="S14" s="22"/>
      <c r="T14" s="22"/>
      <c r="U14" s="22"/>
      <c r="V14" s="22"/>
      <c r="W14" s="20"/>
      <c r="X14" s="22"/>
      <c r="Y14" s="22"/>
    </row>
    <row r="15" spans="1:27" hidden="1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6"/>
      <c r="Q15" s="22"/>
      <c r="R15" s="22"/>
      <c r="S15" s="22"/>
      <c r="T15" s="22"/>
      <c r="U15" s="22"/>
      <c r="V15" s="22"/>
      <c r="W15" s="20"/>
      <c r="X15" s="22"/>
      <c r="Y15" s="22"/>
    </row>
    <row r="16" spans="1:27" hidden="1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6"/>
      <c r="Q16" s="22"/>
      <c r="R16" s="22"/>
      <c r="S16" s="22"/>
      <c r="T16" s="22"/>
      <c r="U16" s="22"/>
      <c r="V16" s="22"/>
      <c r="W16" s="20"/>
      <c r="X16" s="22"/>
      <c r="Y16" s="22"/>
    </row>
    <row r="17" spans="1:25" hidden="1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6"/>
      <c r="Q17" s="22"/>
      <c r="R17" s="22"/>
      <c r="S17" s="22"/>
      <c r="T17" s="22"/>
      <c r="U17" s="22"/>
      <c r="V17" s="22"/>
      <c r="W17" s="20"/>
      <c r="X17" s="22"/>
      <c r="Y17" s="22"/>
    </row>
    <row r="18" spans="1:25" hidden="1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6"/>
      <c r="Q18" s="22"/>
      <c r="R18" s="22"/>
      <c r="S18" s="22"/>
      <c r="T18" s="22"/>
      <c r="U18" s="22"/>
      <c r="V18" s="22"/>
      <c r="W18" s="20"/>
      <c r="X18" s="22"/>
      <c r="Y18" s="22"/>
    </row>
    <row r="19" spans="1:25" hidden="1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6"/>
      <c r="Q19" s="22"/>
      <c r="R19" s="22"/>
      <c r="S19" s="22"/>
      <c r="T19" s="22"/>
      <c r="U19" s="22"/>
      <c r="V19" s="22"/>
      <c r="W19" s="20"/>
      <c r="X19" s="22"/>
      <c r="Y19" s="22"/>
    </row>
    <row r="20" spans="1:25" hidden="1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>
      <selection activeCell="A2" sqref="A2:B2"/>
    </sheetView>
  </sheetViews>
  <sheetFormatPr defaultColWidth="0" defaultRowHeight="14.25" zeroHeight="1"/>
  <cols>
    <col min="1" max="7" width="11.625" style="2" customWidth="1"/>
    <col min="8" max="8" width="11.625" customWidth="1"/>
    <col min="9" max="9" width="11.625" style="2" customWidth="1"/>
    <col min="10" max="10" width="11.625" style="143" customWidth="1"/>
    <col min="11" max="15" width="11.625" style="2" customWidth="1"/>
    <col min="16" max="16" width="11.625" customWidth="1"/>
    <col min="17" max="18" width="11.625" style="2" customWidth="1"/>
    <col min="19" max="19" width="11.625" style="2" hidden="1" customWidth="1"/>
    <col min="20" max="16384" width="0" style="2" hidden="1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112</v>
      </c>
      <c r="G1" s="21" t="s">
        <v>12</v>
      </c>
      <c r="H1" s="21" t="s">
        <v>710</v>
      </c>
      <c r="I1" s="21" t="s">
        <v>13</v>
      </c>
      <c r="J1" s="141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>
        <v>891</v>
      </c>
      <c r="B2" s="22">
        <v>9957</v>
      </c>
      <c r="C2" s="22"/>
      <c r="D2" s="22"/>
      <c r="E2" s="22"/>
      <c r="F2" s="22"/>
      <c r="G2" s="22"/>
      <c r="H2" s="22"/>
      <c r="I2" s="22"/>
      <c r="J2" s="146"/>
      <c r="K2" s="22"/>
      <c r="L2" s="22"/>
      <c r="M2" s="22"/>
      <c r="N2" s="22"/>
      <c r="O2" s="22"/>
      <c r="P2" s="20"/>
      <c r="Q2" s="22"/>
      <c r="R2" s="22"/>
    </row>
    <row r="3" spans="1:19" hidden="1">
      <c r="A3" s="22"/>
      <c r="B3" s="22"/>
      <c r="C3" s="22"/>
      <c r="D3" s="22"/>
      <c r="E3" s="22"/>
      <c r="F3" s="22"/>
      <c r="G3" s="22"/>
      <c r="H3" s="22"/>
      <c r="I3" s="22"/>
      <c r="J3" s="146"/>
      <c r="K3" s="22"/>
      <c r="L3" s="22"/>
      <c r="M3" s="22"/>
      <c r="N3" s="22"/>
      <c r="O3" s="22"/>
      <c r="P3" s="20"/>
      <c r="Q3" s="22"/>
      <c r="R3" s="22"/>
    </row>
    <row r="4" spans="1:19" hidden="1">
      <c r="A4" s="22"/>
      <c r="B4" s="22"/>
      <c r="C4" s="22"/>
      <c r="D4" s="22"/>
      <c r="E4" s="22"/>
      <c r="F4" s="22"/>
      <c r="G4" s="22"/>
      <c r="H4" s="22"/>
      <c r="I4" s="22"/>
      <c r="J4" s="146"/>
      <c r="K4" s="22"/>
      <c r="L4" s="22"/>
      <c r="M4" s="22"/>
      <c r="N4" s="22"/>
      <c r="O4" s="22"/>
      <c r="P4" s="20"/>
      <c r="Q4" s="22"/>
      <c r="R4" s="22"/>
    </row>
    <row r="5" spans="1:19" hidden="1">
      <c r="A5" s="22"/>
      <c r="B5" s="22"/>
      <c r="C5" s="22"/>
      <c r="D5" s="22"/>
      <c r="E5" s="22"/>
      <c r="F5" s="22"/>
      <c r="G5" s="22"/>
      <c r="H5" s="22"/>
      <c r="I5" s="22"/>
      <c r="J5" s="146"/>
      <c r="K5" s="22"/>
      <c r="L5" s="22"/>
      <c r="M5" s="22"/>
      <c r="N5" s="22"/>
      <c r="O5" s="22"/>
      <c r="P5" s="22"/>
      <c r="Q5" s="22"/>
      <c r="R5" s="22"/>
    </row>
    <row r="6" spans="1:19" hidden="1">
      <c r="A6" s="22"/>
      <c r="B6" s="22"/>
      <c r="C6" s="22"/>
      <c r="D6" s="22"/>
      <c r="E6" s="22"/>
      <c r="F6" s="22"/>
      <c r="G6" s="22"/>
      <c r="H6" s="22"/>
      <c r="I6" s="22"/>
      <c r="J6" s="146"/>
      <c r="K6" s="22"/>
      <c r="L6" s="22"/>
      <c r="M6" s="22"/>
      <c r="N6" s="22"/>
      <c r="O6" s="22"/>
      <c r="P6" s="20"/>
      <c r="Q6" s="22"/>
      <c r="R6" s="22"/>
    </row>
    <row r="7" spans="1:19" hidden="1">
      <c r="A7" s="22"/>
      <c r="B7" s="22"/>
      <c r="C7" s="22"/>
      <c r="D7" s="22"/>
      <c r="E7" s="22"/>
      <c r="F7" s="22"/>
      <c r="G7" s="22"/>
      <c r="H7" s="22"/>
      <c r="I7" s="22"/>
      <c r="J7" s="146"/>
      <c r="K7" s="22"/>
      <c r="L7" s="22"/>
      <c r="M7" s="22"/>
      <c r="N7" s="22"/>
      <c r="O7" s="22"/>
      <c r="P7" s="20"/>
      <c r="Q7" s="22"/>
      <c r="R7" s="22"/>
    </row>
    <row r="8" spans="1:19" hidden="1">
      <c r="A8" s="22"/>
      <c r="B8" s="22"/>
      <c r="C8" s="22"/>
      <c r="D8" s="22"/>
      <c r="E8" s="22"/>
      <c r="F8" s="22"/>
      <c r="G8" s="22"/>
      <c r="H8" s="22"/>
      <c r="I8" s="22"/>
      <c r="J8" s="146"/>
      <c r="K8" s="22"/>
      <c r="L8" s="22"/>
      <c r="M8" s="22"/>
      <c r="N8" s="22"/>
      <c r="O8" s="22"/>
      <c r="P8" s="20"/>
      <c r="Q8" s="22"/>
      <c r="R8" s="22"/>
    </row>
    <row r="9" spans="1:19" hidden="1">
      <c r="A9" s="22"/>
      <c r="B9" s="22"/>
      <c r="C9" s="22"/>
      <c r="D9" s="22"/>
      <c r="E9" s="22"/>
      <c r="F9" s="22"/>
      <c r="G9" s="22"/>
      <c r="H9" s="22"/>
      <c r="I9" s="22"/>
      <c r="J9" s="146"/>
      <c r="K9" s="22"/>
      <c r="L9" s="22"/>
      <c r="M9" s="22"/>
      <c r="N9" s="22"/>
      <c r="O9" s="22"/>
      <c r="P9" s="20"/>
      <c r="Q9" s="22"/>
      <c r="R9" s="22"/>
    </row>
    <row r="10" spans="1:19" hidden="1">
      <c r="A10" s="22"/>
      <c r="B10" s="22"/>
      <c r="C10" s="22"/>
      <c r="D10" s="22"/>
      <c r="E10" s="22"/>
      <c r="F10" s="22"/>
      <c r="G10" s="22"/>
      <c r="H10" s="22"/>
      <c r="I10" s="22"/>
      <c r="J10" s="146"/>
      <c r="K10" s="22"/>
      <c r="L10" s="22"/>
      <c r="M10" s="22"/>
      <c r="N10" s="22"/>
      <c r="O10" s="22"/>
      <c r="P10" s="20"/>
      <c r="Q10" s="22"/>
      <c r="R10" s="22"/>
    </row>
    <row r="11" spans="1:19" hidden="1">
      <c r="A11" s="22"/>
      <c r="B11" s="22"/>
      <c r="C11" s="22"/>
      <c r="D11" s="22"/>
      <c r="E11" s="22"/>
      <c r="F11" s="22"/>
      <c r="G11" s="22"/>
      <c r="H11" s="22"/>
      <c r="I11" s="22"/>
      <c r="J11" s="146"/>
      <c r="K11" s="22"/>
      <c r="L11" s="22"/>
      <c r="M11" s="22"/>
      <c r="N11" s="22"/>
      <c r="O11" s="22"/>
      <c r="P11" s="20"/>
      <c r="Q11" s="22"/>
      <c r="R11" s="22"/>
    </row>
    <row r="12" spans="1:19" hidden="1">
      <c r="A12" s="22"/>
      <c r="B12" s="22"/>
      <c r="C12" s="22"/>
      <c r="D12" s="22"/>
      <c r="E12" s="22"/>
      <c r="F12" s="22"/>
      <c r="G12" s="22"/>
      <c r="H12" s="22"/>
      <c r="I12" s="22"/>
      <c r="J12" s="146"/>
      <c r="K12" s="22"/>
      <c r="L12" s="22"/>
      <c r="M12" s="22"/>
      <c r="N12" s="22"/>
      <c r="O12" s="22"/>
      <c r="P12" s="20"/>
      <c r="Q12" s="22"/>
      <c r="R12" s="22"/>
    </row>
    <row r="13" spans="1:19" hidden="1">
      <c r="A13" s="22"/>
      <c r="B13" s="22"/>
      <c r="C13" s="22"/>
      <c r="D13" s="22"/>
      <c r="E13" s="22"/>
      <c r="F13" s="22"/>
      <c r="G13" s="22"/>
      <c r="H13" s="22"/>
      <c r="I13" s="22"/>
      <c r="J13" s="146"/>
      <c r="K13" s="22"/>
      <c r="L13" s="22"/>
      <c r="M13" s="22"/>
      <c r="N13" s="22"/>
      <c r="O13" s="22"/>
      <c r="P13" s="20"/>
      <c r="Q13" s="22"/>
      <c r="R13" s="22"/>
    </row>
    <row r="14" spans="1:19" hidden="1">
      <c r="A14" s="22"/>
      <c r="B14" s="22"/>
      <c r="C14" s="22"/>
      <c r="D14" s="22"/>
      <c r="E14" s="22"/>
      <c r="F14" s="22"/>
      <c r="G14" s="22"/>
      <c r="H14" s="22"/>
      <c r="I14" s="22"/>
      <c r="J14" s="146"/>
      <c r="K14" s="22"/>
      <c r="L14" s="22"/>
      <c r="M14" s="22"/>
      <c r="N14" s="22"/>
      <c r="O14" s="22"/>
      <c r="P14" s="20"/>
      <c r="Q14" s="22"/>
      <c r="R14" s="22"/>
    </row>
    <row r="15" spans="1:19" hidden="1">
      <c r="A15" s="22"/>
      <c r="B15" s="22"/>
      <c r="C15" s="22"/>
      <c r="D15" s="22"/>
      <c r="E15" s="22"/>
      <c r="F15" s="22"/>
      <c r="G15" s="22"/>
      <c r="H15" s="22"/>
      <c r="I15" s="22"/>
      <c r="J15" s="146"/>
      <c r="K15" s="22"/>
      <c r="L15" s="22"/>
      <c r="M15" s="22"/>
      <c r="N15" s="22"/>
      <c r="O15" s="22"/>
      <c r="P15" s="20"/>
      <c r="Q15" s="22"/>
      <c r="R15" s="22"/>
    </row>
    <row r="16" spans="1:19" hidden="1">
      <c r="A16" s="22"/>
      <c r="B16" s="22"/>
      <c r="C16" s="22"/>
      <c r="D16" s="22"/>
      <c r="E16" s="22"/>
      <c r="F16" s="22"/>
      <c r="G16" s="22"/>
      <c r="H16" s="22"/>
      <c r="I16" s="22"/>
      <c r="J16" s="146"/>
      <c r="K16" s="22"/>
      <c r="L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2"/>
      <c r="D17" s="22"/>
      <c r="E17" s="22"/>
      <c r="F17" s="22"/>
      <c r="G17" s="22"/>
      <c r="H17" s="22"/>
      <c r="I17" s="22"/>
      <c r="J17" s="146"/>
      <c r="K17" s="22"/>
      <c r="L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2"/>
      <c r="D18" s="22"/>
      <c r="E18" s="22"/>
      <c r="F18" s="22"/>
      <c r="G18" s="22"/>
      <c r="H18" s="22"/>
      <c r="I18" s="22"/>
      <c r="J18" s="146"/>
      <c r="K18" s="22"/>
      <c r="L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2"/>
      <c r="D19" s="22"/>
      <c r="E19" s="22"/>
      <c r="F19" s="22"/>
      <c r="G19" s="22"/>
      <c r="H19" s="22"/>
      <c r="I19" s="22"/>
      <c r="J19" s="146"/>
      <c r="K19" s="22"/>
      <c r="L19" s="22"/>
      <c r="M19" s="22"/>
      <c r="N19" s="22"/>
      <c r="O19" s="22"/>
      <c r="P19" s="20"/>
      <c r="Q19" s="22"/>
      <c r="R19" s="22"/>
    </row>
    <row r="20" spans="1:18" hidden="1">
      <c r="C20" s="22"/>
      <c r="H20" s="22"/>
      <c r="P20" s="20"/>
    </row>
    <row r="21" spans="1:18" hidden="1">
      <c r="H21" s="2"/>
    </row>
    <row r="22" spans="1:18" hidden="1">
      <c r="H22" s="2"/>
    </row>
    <row r="23" spans="1:18" hidden="1">
      <c r="H23" s="2"/>
    </row>
    <row r="24" spans="1:18" hidden="1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0" defaultRowHeight="14.25" zeroHeight="1"/>
  <cols>
    <col min="1" max="3" width="11.625" style="2" customWidth="1"/>
    <col min="4" max="6" width="11.625" customWidth="1"/>
    <col min="7" max="7" width="11.625" style="2" customWidth="1"/>
    <col min="8" max="8" width="11.625" style="2" hidden="1" customWidth="1"/>
    <col min="9" max="16384" width="0" style="2" hidden="1"/>
  </cols>
  <sheetData>
    <row r="1" spans="1:8" ht="66.75" customHeight="1">
      <c r="A1" s="21" t="s">
        <v>1084</v>
      </c>
      <c r="B1" s="21" t="s">
        <v>1</v>
      </c>
      <c r="C1" s="21" t="s">
        <v>5</v>
      </c>
      <c r="D1" s="21" t="s">
        <v>1085</v>
      </c>
      <c r="E1" s="21" t="s">
        <v>1086</v>
      </c>
      <c r="F1" s="21" t="s">
        <v>1087</v>
      </c>
      <c r="G1" s="21" t="s">
        <v>25</v>
      </c>
      <c r="H1" s="11"/>
    </row>
    <row r="2" spans="1:8" hidden="1">
      <c r="A2" s="22"/>
      <c r="B2" s="22"/>
      <c r="C2" s="22"/>
      <c r="D2" s="124"/>
      <c r="G2" s="29"/>
    </row>
    <row r="3" spans="1:8" hidden="1">
      <c r="A3" s="22"/>
      <c r="B3" s="22"/>
      <c r="C3" s="22"/>
      <c r="G3" s="22"/>
    </row>
    <row r="4" spans="1:8" hidden="1">
      <c r="A4" s="22"/>
      <c r="B4" s="22"/>
      <c r="C4" s="22"/>
      <c r="G4" s="22"/>
    </row>
    <row r="5" spans="1:8" hidden="1">
      <c r="A5" s="22"/>
      <c r="B5" s="22"/>
      <c r="C5" s="22"/>
      <c r="G5" s="22"/>
    </row>
    <row r="6" spans="1:8" hidden="1">
      <c r="A6" s="22"/>
      <c r="B6" s="22"/>
      <c r="C6" s="22"/>
      <c r="G6" s="22"/>
    </row>
    <row r="7" spans="1:8" hidden="1">
      <c r="A7" s="22"/>
      <c r="B7" s="22"/>
      <c r="C7" s="22"/>
      <c r="G7" s="22"/>
    </row>
    <row r="8" spans="1:8" hidden="1">
      <c r="A8" s="22"/>
      <c r="B8" s="22"/>
      <c r="C8" s="22"/>
      <c r="G8" s="22"/>
    </row>
    <row r="9" spans="1:8" hidden="1">
      <c r="A9" s="22"/>
      <c r="B9" s="22"/>
      <c r="C9" s="22"/>
      <c r="G9" s="22"/>
    </row>
    <row r="10" spans="1:8" hidden="1">
      <c r="A10" s="22"/>
      <c r="B10" s="22"/>
      <c r="C10" s="22"/>
      <c r="G10" s="22"/>
    </row>
    <row r="11" spans="1:8" hidden="1">
      <c r="A11" s="22"/>
      <c r="B11" s="22"/>
      <c r="C11" s="22"/>
      <c r="G11" s="22"/>
    </row>
    <row r="12" spans="1:8" hidden="1">
      <c r="A12" s="22"/>
      <c r="B12" s="22"/>
      <c r="C12" s="22"/>
      <c r="G12" s="22"/>
    </row>
    <row r="13" spans="1:8" hidden="1">
      <c r="A13" s="22"/>
      <c r="B13" s="22"/>
      <c r="C13" s="22"/>
      <c r="G13" s="22"/>
    </row>
    <row r="14" spans="1:8" hidden="1">
      <c r="A14" s="22"/>
      <c r="B14" s="22"/>
      <c r="C14" s="22"/>
      <c r="G14" s="22"/>
    </row>
    <row r="15" spans="1:8" hidden="1">
      <c r="A15" s="22"/>
      <c r="B15" s="22"/>
      <c r="C15" s="22"/>
      <c r="G15" s="22"/>
    </row>
    <row r="16" spans="1:8" hidden="1">
      <c r="A16" s="22"/>
      <c r="B16" s="22"/>
      <c r="C16" s="22"/>
      <c r="G16" s="22"/>
    </row>
    <row r="17" spans="1:7" hidden="1">
      <c r="A17" s="22"/>
      <c r="B17" s="22"/>
      <c r="C17" s="22"/>
      <c r="G17" s="22"/>
    </row>
    <row r="18" spans="1:7" hidden="1">
      <c r="A18" s="22"/>
      <c r="B18" s="22"/>
      <c r="C18" s="22"/>
      <c r="G18" s="22"/>
    </row>
    <row r="19" spans="1:7" hidden="1">
      <c r="A19" s="22"/>
      <c r="B19" s="22"/>
      <c r="C19" s="22"/>
      <c r="G19" s="22"/>
    </row>
    <row r="20" spans="1:7" hidden="1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>
      <selection activeCell="A2" sqref="A2:B2"/>
    </sheetView>
  </sheetViews>
  <sheetFormatPr defaultColWidth="0" defaultRowHeight="14.25" zeroHeight="1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104</v>
      </c>
      <c r="M1" s="21" t="s">
        <v>80</v>
      </c>
      <c r="N1" s="21" t="s">
        <v>112</v>
      </c>
      <c r="O1" s="21" t="s">
        <v>9</v>
      </c>
      <c r="P1" s="21" t="s">
        <v>10</v>
      </c>
      <c r="Q1" s="21" t="s">
        <v>128</v>
      </c>
      <c r="R1" s="21" t="s">
        <v>11</v>
      </c>
      <c r="S1" s="21" t="s">
        <v>12</v>
      </c>
      <c r="T1" s="21" t="s">
        <v>710</v>
      </c>
      <c r="U1" s="21" t="s">
        <v>867</v>
      </c>
      <c r="V1" s="21" t="s">
        <v>13</v>
      </c>
      <c r="W1" s="21" t="s">
        <v>14</v>
      </c>
      <c r="X1" s="21" t="s">
        <v>15</v>
      </c>
      <c r="Y1" s="21" t="s">
        <v>365</v>
      </c>
      <c r="Z1" s="21" t="s">
        <v>788</v>
      </c>
      <c r="AA1" s="21" t="s">
        <v>105</v>
      </c>
      <c r="AB1" s="21" t="s">
        <v>106</v>
      </c>
      <c r="AC1" s="21" t="s">
        <v>118</v>
      </c>
      <c r="AD1" s="21" t="s">
        <v>89</v>
      </c>
      <c r="AE1" s="21" t="s">
        <v>107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120</v>
      </c>
      <c r="AL1" s="21" t="s">
        <v>22</v>
      </c>
      <c r="AM1" s="21" t="s">
        <v>24</v>
      </c>
      <c r="AN1" s="21" t="s">
        <v>25</v>
      </c>
    </row>
    <row r="2" spans="1:40">
      <c r="A2" s="22">
        <v>891</v>
      </c>
      <c r="B2" s="22">
        <v>9957</v>
      </c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 hidden="1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 hidden="1">
      <c r="AL21" s="2"/>
    </row>
    <row r="22" spans="1:38" hidden="1">
      <c r="T22" s="2"/>
      <c r="U22" s="2"/>
      <c r="AL22" s="2"/>
    </row>
    <row r="23" spans="1:38" hidden="1">
      <c r="T23" s="2"/>
      <c r="U23" s="2"/>
    </row>
    <row r="24" spans="1:38" hidden="1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T1" zoomScale="70" zoomScaleNormal="70" workbookViewId="0">
      <selection activeCell="AG2" sqref="AG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6" width="24.2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0" style="2" hidden="1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280</v>
      </c>
      <c r="M1" s="21" t="s">
        <v>104</v>
      </c>
      <c r="N1" s="21" t="s">
        <v>80</v>
      </c>
      <c r="O1" s="181" t="s">
        <v>112</v>
      </c>
      <c r="P1" s="21" t="s">
        <v>9</v>
      </c>
      <c r="Q1" s="21" t="s">
        <v>10</v>
      </c>
      <c r="R1" s="21" t="s">
        <v>128</v>
      </c>
      <c r="S1" s="21" t="s">
        <v>11</v>
      </c>
      <c r="T1" s="21" t="s">
        <v>12</v>
      </c>
      <c r="U1" s="21" t="s">
        <v>13</v>
      </c>
      <c r="V1" s="167" t="s">
        <v>15</v>
      </c>
      <c r="W1" s="167" t="s">
        <v>14</v>
      </c>
      <c r="X1" s="21" t="s">
        <v>365</v>
      </c>
      <c r="Y1" s="21" t="s">
        <v>788</v>
      </c>
      <c r="Z1" s="21" t="s">
        <v>105</v>
      </c>
      <c r="AA1" s="21" t="s">
        <v>106</v>
      </c>
      <c r="AB1" s="181" t="s">
        <v>89</v>
      </c>
      <c r="AC1" s="181" t="s">
        <v>107</v>
      </c>
      <c r="AD1" s="21" t="s">
        <v>17</v>
      </c>
      <c r="AE1" s="162" t="s">
        <v>18</v>
      </c>
      <c r="AF1" s="171" t="s">
        <v>19</v>
      </c>
      <c r="AG1" s="21" t="s">
        <v>20</v>
      </c>
      <c r="AH1" s="21" t="s">
        <v>21</v>
      </c>
      <c r="AI1" s="21" t="s">
        <v>120</v>
      </c>
      <c r="AJ1" s="21" t="s">
        <v>22</v>
      </c>
      <c r="AK1" s="167" t="s">
        <v>24</v>
      </c>
      <c r="AL1" s="167" t="s">
        <v>25</v>
      </c>
    </row>
    <row r="2" spans="1:38">
      <c r="A2" s="2">
        <v>891</v>
      </c>
      <c r="B2" s="22">
        <v>9957</v>
      </c>
      <c r="C2" s="22" t="s">
        <v>2432</v>
      </c>
      <c r="D2" s="22" t="s">
        <v>2433</v>
      </c>
      <c r="E2" s="20" t="s">
        <v>1264</v>
      </c>
      <c r="F2" s="22" t="s">
        <v>2434</v>
      </c>
      <c r="G2" s="22" t="s">
        <v>2435</v>
      </c>
      <c r="H2" s="22" t="s">
        <v>275</v>
      </c>
      <c r="I2" s="22" t="s">
        <v>712</v>
      </c>
      <c r="J2" s="20" t="s">
        <v>30</v>
      </c>
      <c r="K2" s="20" t="s">
        <v>30</v>
      </c>
      <c r="L2" s="22" t="s">
        <v>268</v>
      </c>
      <c r="M2" s="22" t="s">
        <v>406</v>
      </c>
      <c r="N2" s="22" t="s">
        <v>94</v>
      </c>
      <c r="O2" s="182" t="s">
        <v>2436</v>
      </c>
      <c r="P2" s="22" t="s">
        <v>2437</v>
      </c>
      <c r="Q2" s="22" t="s">
        <v>368</v>
      </c>
      <c r="R2" s="22" t="s">
        <v>361</v>
      </c>
      <c r="S2" s="20" t="s">
        <v>34</v>
      </c>
      <c r="T2" s="158">
        <v>0.01</v>
      </c>
      <c r="U2" s="22" t="s">
        <v>2438</v>
      </c>
      <c r="V2" s="174">
        <v>1E-4</v>
      </c>
      <c r="W2" s="168">
        <v>5.7000000000000002E-2</v>
      </c>
      <c r="X2" s="20" t="s">
        <v>366</v>
      </c>
      <c r="Y2" s="20" t="s">
        <v>294</v>
      </c>
      <c r="Z2" s="22" t="s">
        <v>849</v>
      </c>
      <c r="AA2" s="22" t="s">
        <v>853</v>
      </c>
      <c r="AB2" s="183" t="s">
        <v>2439</v>
      </c>
      <c r="AC2" s="22"/>
      <c r="AD2" s="158">
        <v>16666.7</v>
      </c>
      <c r="AE2" s="175">
        <v>1</v>
      </c>
      <c r="AF2" s="176">
        <v>0</v>
      </c>
      <c r="AG2" s="158">
        <v>0</v>
      </c>
      <c r="AH2" s="22"/>
      <c r="AI2" s="29"/>
      <c r="AJ2" s="22" t="s">
        <v>36</v>
      </c>
      <c r="AK2" s="168">
        <v>9.5313670628507795E-11</v>
      </c>
      <c r="AL2" s="168">
        <v>1.0819412042637199E-12</v>
      </c>
    </row>
    <row r="3" spans="1:38">
      <c r="A3" s="22">
        <v>891</v>
      </c>
      <c r="B3" s="22">
        <v>9957</v>
      </c>
      <c r="C3" s="22" t="s">
        <v>2440</v>
      </c>
      <c r="D3" s="22" t="s">
        <v>2441</v>
      </c>
      <c r="E3" s="20" t="s">
        <v>265</v>
      </c>
      <c r="F3" s="22" t="s">
        <v>2442</v>
      </c>
      <c r="G3" s="22" t="s">
        <v>2443</v>
      </c>
      <c r="H3" s="22" t="s">
        <v>275</v>
      </c>
      <c r="I3" s="22" t="s">
        <v>927</v>
      </c>
      <c r="J3" s="20" t="s">
        <v>30</v>
      </c>
      <c r="K3" s="20" t="s">
        <v>30</v>
      </c>
      <c r="L3" s="22" t="s">
        <v>282</v>
      </c>
      <c r="M3" s="22" t="s">
        <v>406</v>
      </c>
      <c r="N3" s="22" t="s">
        <v>94</v>
      </c>
      <c r="O3" s="182" t="s">
        <v>2444</v>
      </c>
      <c r="P3" s="22" t="s">
        <v>1700</v>
      </c>
      <c r="Q3" s="22" t="s">
        <v>368</v>
      </c>
      <c r="R3" s="22" t="s">
        <v>361</v>
      </c>
      <c r="S3" s="20" t="s">
        <v>34</v>
      </c>
      <c r="T3" s="158">
        <v>1.91</v>
      </c>
      <c r="U3" s="22" t="s">
        <v>2009</v>
      </c>
      <c r="V3" s="174">
        <v>5.0999999999999997E-2</v>
      </c>
      <c r="W3" s="168">
        <v>2.86E-2</v>
      </c>
      <c r="X3" s="20" t="s">
        <v>367</v>
      </c>
      <c r="Y3" s="20" t="s">
        <v>94</v>
      </c>
      <c r="Z3" s="22" t="s">
        <v>851</v>
      </c>
      <c r="AA3" s="22" t="s">
        <v>854</v>
      </c>
      <c r="AB3" s="183" t="s">
        <v>95</v>
      </c>
      <c r="AC3" s="22"/>
      <c r="AD3" s="158">
        <v>90285.74</v>
      </c>
      <c r="AE3" s="175">
        <v>1</v>
      </c>
      <c r="AF3" s="176">
        <v>97.29</v>
      </c>
      <c r="AG3" s="158">
        <v>87.838999999999999</v>
      </c>
      <c r="AH3" s="22"/>
      <c r="AI3" s="22"/>
      <c r="AJ3" s="22" t="s">
        <v>36</v>
      </c>
      <c r="AK3" s="168">
        <v>5.0233442586671097E-2</v>
      </c>
      <c r="AL3" s="168">
        <v>5.7021863713933797E-4</v>
      </c>
    </row>
    <row r="4" spans="1:38">
      <c r="A4" s="22">
        <v>891</v>
      </c>
      <c r="B4" s="22">
        <v>9957</v>
      </c>
      <c r="C4" s="22" t="s">
        <v>2445</v>
      </c>
      <c r="D4" s="22" t="s">
        <v>2446</v>
      </c>
      <c r="E4" s="20" t="s">
        <v>1264</v>
      </c>
      <c r="F4" s="22" t="s">
        <v>2447</v>
      </c>
      <c r="G4" s="22" t="s">
        <v>2448</v>
      </c>
      <c r="H4" s="22" t="s">
        <v>275</v>
      </c>
      <c r="I4" s="22" t="s">
        <v>927</v>
      </c>
      <c r="J4" s="20" t="s">
        <v>30</v>
      </c>
      <c r="K4" s="20" t="s">
        <v>30</v>
      </c>
      <c r="L4" s="22" t="s">
        <v>282</v>
      </c>
      <c r="M4" s="22" t="s">
        <v>406</v>
      </c>
      <c r="N4" s="22" t="s">
        <v>94</v>
      </c>
      <c r="O4" s="183" t="s">
        <v>2449</v>
      </c>
      <c r="P4" s="22" t="s">
        <v>1727</v>
      </c>
      <c r="Q4" s="22" t="s">
        <v>388</v>
      </c>
      <c r="R4" s="22" t="s">
        <v>361</v>
      </c>
      <c r="S4" s="22" t="s">
        <v>34</v>
      </c>
      <c r="T4" s="158">
        <v>1.72</v>
      </c>
      <c r="U4" s="22" t="s">
        <v>1774</v>
      </c>
      <c r="V4" s="174">
        <v>5.21E-2</v>
      </c>
      <c r="W4" s="168">
        <v>4.4699999999999997E-2</v>
      </c>
      <c r="X4" s="20" t="s">
        <v>367</v>
      </c>
      <c r="Y4" s="20" t="s">
        <v>94</v>
      </c>
      <c r="Z4" s="22" t="s">
        <v>851</v>
      </c>
      <c r="AA4" s="22" t="s">
        <v>854</v>
      </c>
      <c r="AB4" s="183" t="s">
        <v>95</v>
      </c>
      <c r="AD4" s="156">
        <v>398163.28</v>
      </c>
      <c r="AE4" s="175">
        <v>1</v>
      </c>
      <c r="AF4" s="176">
        <v>98.87</v>
      </c>
      <c r="AG4" s="158">
        <v>393.66399999999999</v>
      </c>
      <c r="AH4" s="22"/>
      <c r="AI4" s="22"/>
      <c r="AJ4" s="22" t="s">
        <v>36</v>
      </c>
      <c r="AK4" s="168">
        <v>0.22512893472720599</v>
      </c>
      <c r="AL4" s="168">
        <v>2.5555229291579699E-3</v>
      </c>
    </row>
    <row r="5" spans="1:38">
      <c r="A5" s="22">
        <v>891</v>
      </c>
      <c r="B5" s="22">
        <v>9957</v>
      </c>
      <c r="C5" s="22" t="s">
        <v>2450</v>
      </c>
      <c r="D5" s="22" t="s">
        <v>2451</v>
      </c>
      <c r="E5" s="20" t="s">
        <v>1264</v>
      </c>
      <c r="F5" s="22" t="s">
        <v>2452</v>
      </c>
      <c r="G5" s="22" t="s">
        <v>2453</v>
      </c>
      <c r="H5" s="22" t="s">
        <v>275</v>
      </c>
      <c r="I5" s="22" t="s">
        <v>927</v>
      </c>
      <c r="J5" s="20" t="s">
        <v>30</v>
      </c>
      <c r="K5" s="20" t="s">
        <v>30</v>
      </c>
      <c r="L5" s="22" t="s">
        <v>268</v>
      </c>
      <c r="M5" s="22" t="s">
        <v>406</v>
      </c>
      <c r="N5" s="22" t="s">
        <v>94</v>
      </c>
      <c r="O5" s="182" t="s">
        <v>2454</v>
      </c>
      <c r="P5" s="22" t="s">
        <v>1969</v>
      </c>
      <c r="Q5" s="22" t="s">
        <v>370</v>
      </c>
      <c r="R5" s="22" t="s">
        <v>361</v>
      </c>
      <c r="S5" s="20" t="s">
        <v>34</v>
      </c>
      <c r="T5" s="158">
        <v>1.59</v>
      </c>
      <c r="U5" s="22" t="s">
        <v>2455</v>
      </c>
      <c r="V5" s="174">
        <v>4.7500000000000001E-2</v>
      </c>
      <c r="W5" s="168">
        <v>2.1000000000000001E-2</v>
      </c>
      <c r="X5" s="20" t="s">
        <v>367</v>
      </c>
      <c r="Y5" s="20" t="s">
        <v>94</v>
      </c>
      <c r="Z5" s="22" t="s">
        <v>851</v>
      </c>
      <c r="AA5" s="22" t="s">
        <v>2197</v>
      </c>
      <c r="AB5" s="183" t="s">
        <v>95</v>
      </c>
      <c r="AC5" s="22"/>
      <c r="AD5" s="158">
        <v>144857.32999999999</v>
      </c>
      <c r="AE5" s="175">
        <v>1</v>
      </c>
      <c r="AF5" s="176">
        <v>96.74</v>
      </c>
      <c r="AG5" s="156">
        <v>140.13499999999999</v>
      </c>
      <c r="AJ5" s="22" t="s">
        <v>36</v>
      </c>
      <c r="AK5" s="168">
        <v>8.0140516278383603E-2</v>
      </c>
      <c r="AL5" s="168">
        <v>9.0970504147824902E-4</v>
      </c>
    </row>
    <row r="6" spans="1:38">
      <c r="A6" s="22">
        <v>891</v>
      </c>
      <c r="B6" s="22">
        <v>9957</v>
      </c>
      <c r="C6" s="22" t="s">
        <v>2456</v>
      </c>
      <c r="D6" s="22" t="s">
        <v>2457</v>
      </c>
      <c r="E6" s="20" t="s">
        <v>1264</v>
      </c>
      <c r="F6" s="22" t="s">
        <v>2458</v>
      </c>
      <c r="G6" s="22" t="s">
        <v>2459</v>
      </c>
      <c r="H6" s="22" t="s">
        <v>275</v>
      </c>
      <c r="I6" s="22" t="s">
        <v>927</v>
      </c>
      <c r="J6" s="20" t="s">
        <v>30</v>
      </c>
      <c r="K6" s="20" t="s">
        <v>30</v>
      </c>
      <c r="L6" s="22" t="s">
        <v>268</v>
      </c>
      <c r="M6" s="22" t="s">
        <v>419</v>
      </c>
      <c r="N6" s="22" t="s">
        <v>94</v>
      </c>
      <c r="O6" s="182" t="s">
        <v>2460</v>
      </c>
      <c r="P6" s="22" t="s">
        <v>2461</v>
      </c>
      <c r="Q6" s="22" t="s">
        <v>370</v>
      </c>
      <c r="R6" s="22" t="s">
        <v>361</v>
      </c>
      <c r="S6" s="20" t="s">
        <v>34</v>
      </c>
      <c r="T6" s="158">
        <v>1.46</v>
      </c>
      <c r="U6" s="22" t="s">
        <v>1774</v>
      </c>
      <c r="V6" s="174">
        <v>4.6300000000000001E-2</v>
      </c>
      <c r="W6" s="168">
        <v>3.1E-2</v>
      </c>
      <c r="X6" s="20" t="s">
        <v>367</v>
      </c>
      <c r="Y6" s="20" t="s">
        <v>94</v>
      </c>
      <c r="Z6" s="22" t="s">
        <v>851</v>
      </c>
      <c r="AA6" s="22" t="s">
        <v>2197</v>
      </c>
      <c r="AB6" s="183" t="s">
        <v>95</v>
      </c>
      <c r="AC6" s="22"/>
      <c r="AD6" s="158">
        <v>99016</v>
      </c>
      <c r="AE6" s="175">
        <v>1</v>
      </c>
      <c r="AF6" s="176">
        <v>97.91</v>
      </c>
      <c r="AG6" s="156">
        <v>96.947000000000003</v>
      </c>
      <c r="AJ6" s="22" t="s">
        <v>36</v>
      </c>
      <c r="AK6" s="168">
        <v>5.5441887249205998E-2</v>
      </c>
      <c r="AL6" s="168">
        <v>6.2934164492368602E-4</v>
      </c>
    </row>
    <row r="7" spans="1:38">
      <c r="A7" s="22">
        <v>891</v>
      </c>
      <c r="B7" s="22">
        <v>9957</v>
      </c>
      <c r="C7" s="22" t="s">
        <v>2462</v>
      </c>
      <c r="D7" s="22" t="s">
        <v>2463</v>
      </c>
      <c r="E7" s="20" t="s">
        <v>1264</v>
      </c>
      <c r="F7" s="22" t="s">
        <v>2464</v>
      </c>
      <c r="G7" s="22" t="s">
        <v>2465</v>
      </c>
      <c r="H7" s="22" t="s">
        <v>275</v>
      </c>
      <c r="I7" s="22" t="s">
        <v>927</v>
      </c>
      <c r="J7" s="20" t="s">
        <v>30</v>
      </c>
      <c r="K7" s="20" t="s">
        <v>30</v>
      </c>
      <c r="L7" s="22" t="s">
        <v>268</v>
      </c>
      <c r="M7" s="22" t="s">
        <v>434</v>
      </c>
      <c r="N7" s="22" t="s">
        <v>94</v>
      </c>
      <c r="O7" s="182" t="s">
        <v>2466</v>
      </c>
      <c r="P7" s="22" t="s">
        <v>2461</v>
      </c>
      <c r="Q7" s="22" t="s">
        <v>370</v>
      </c>
      <c r="R7" s="22" t="s">
        <v>361</v>
      </c>
      <c r="S7" s="20" t="s">
        <v>34</v>
      </c>
      <c r="T7" s="158">
        <v>0.46</v>
      </c>
      <c r="U7" s="22" t="s">
        <v>2467</v>
      </c>
      <c r="V7" s="174">
        <v>5.1999999999999998E-2</v>
      </c>
      <c r="W7" s="168">
        <v>6.5000000000000002E-2</v>
      </c>
      <c r="X7" s="20" t="s">
        <v>367</v>
      </c>
      <c r="Y7" s="20" t="s">
        <v>94</v>
      </c>
      <c r="Z7" s="22" t="s">
        <v>851</v>
      </c>
      <c r="AA7" s="22" t="s">
        <v>854</v>
      </c>
      <c r="AB7" s="183" t="s">
        <v>95</v>
      </c>
      <c r="AC7" s="22"/>
      <c r="AD7" s="158">
        <v>47082.84</v>
      </c>
      <c r="AE7" s="175">
        <v>1</v>
      </c>
      <c r="AF7" s="176">
        <v>100.81</v>
      </c>
      <c r="AG7" s="158">
        <v>47.463999999999999</v>
      </c>
      <c r="AH7" s="22"/>
      <c r="AI7" s="22"/>
      <c r="AJ7" s="22" t="s">
        <v>36</v>
      </c>
      <c r="AK7" s="168">
        <v>2.7143874757914001E-2</v>
      </c>
      <c r="AL7" s="168">
        <v>3.0812029743797599E-4</v>
      </c>
    </row>
    <row r="8" spans="1:38">
      <c r="A8" s="22">
        <v>891</v>
      </c>
      <c r="B8" s="22">
        <v>9957</v>
      </c>
      <c r="C8" s="22" t="s">
        <v>2468</v>
      </c>
      <c r="D8" s="22" t="s">
        <v>2469</v>
      </c>
      <c r="E8" s="20" t="s">
        <v>1264</v>
      </c>
      <c r="F8" s="22" t="s">
        <v>2470</v>
      </c>
      <c r="G8" s="22" t="s">
        <v>2471</v>
      </c>
      <c r="H8" s="22" t="s">
        <v>275</v>
      </c>
      <c r="I8" s="22" t="s">
        <v>712</v>
      </c>
      <c r="J8" s="20" t="s">
        <v>30</v>
      </c>
      <c r="K8" s="20" t="s">
        <v>30</v>
      </c>
      <c r="L8" s="22" t="s">
        <v>268</v>
      </c>
      <c r="M8" s="22" t="s">
        <v>401</v>
      </c>
      <c r="N8" s="22" t="s">
        <v>94</v>
      </c>
      <c r="O8" s="182" t="s">
        <v>2472</v>
      </c>
      <c r="P8" s="22" t="s">
        <v>1139</v>
      </c>
      <c r="Q8" s="22" t="s">
        <v>368</v>
      </c>
      <c r="R8" s="22" t="s">
        <v>361</v>
      </c>
      <c r="S8" s="20" t="s">
        <v>34</v>
      </c>
      <c r="T8" s="158">
        <v>4.38</v>
      </c>
      <c r="U8" s="22" t="s">
        <v>2473</v>
      </c>
      <c r="V8" s="174">
        <v>2.4899999999999999E-2</v>
      </c>
      <c r="W8" s="168">
        <v>2.3217999999999999E-2</v>
      </c>
      <c r="X8" s="20" t="s">
        <v>367</v>
      </c>
      <c r="Y8" s="20" t="s">
        <v>94</v>
      </c>
      <c r="Z8" s="22" t="s">
        <v>851</v>
      </c>
      <c r="AA8" s="22" t="s">
        <v>2197</v>
      </c>
      <c r="AB8" s="183" t="s">
        <v>95</v>
      </c>
      <c r="AC8" s="22"/>
      <c r="AD8" s="158">
        <v>256538.47</v>
      </c>
      <c r="AE8" s="175">
        <v>1</v>
      </c>
      <c r="AF8" s="176">
        <v>117.69</v>
      </c>
      <c r="AG8" s="158">
        <v>301.92</v>
      </c>
      <c r="AH8" s="22"/>
      <c r="AI8" s="22"/>
      <c r="AJ8" s="22" t="s">
        <v>36</v>
      </c>
      <c r="AK8" s="168">
        <v>0.172662346973669</v>
      </c>
      <c r="AL8" s="168">
        <v>1.9599550241203101E-3</v>
      </c>
    </row>
    <row r="9" spans="1:38">
      <c r="A9" s="22">
        <v>891</v>
      </c>
      <c r="B9" s="22">
        <v>9957</v>
      </c>
      <c r="C9" s="22" t="s">
        <v>2468</v>
      </c>
      <c r="D9" s="22" t="s">
        <v>2469</v>
      </c>
      <c r="E9" s="20" t="s">
        <v>1264</v>
      </c>
      <c r="F9" s="22" t="s">
        <v>2474</v>
      </c>
      <c r="G9" s="22" t="s">
        <v>2475</v>
      </c>
      <c r="H9" s="22" t="s">
        <v>275</v>
      </c>
      <c r="I9" s="22" t="s">
        <v>927</v>
      </c>
      <c r="J9" s="20" t="s">
        <v>30</v>
      </c>
      <c r="K9" s="20" t="s">
        <v>30</v>
      </c>
      <c r="L9" s="22" t="s">
        <v>282</v>
      </c>
      <c r="M9" s="22" t="s">
        <v>401</v>
      </c>
      <c r="N9" s="22" t="s">
        <v>94</v>
      </c>
      <c r="O9" s="182" t="s">
        <v>2472</v>
      </c>
      <c r="P9" s="22" t="s">
        <v>1139</v>
      </c>
      <c r="Q9" s="22" t="s">
        <v>368</v>
      </c>
      <c r="R9" s="22" t="s">
        <v>361</v>
      </c>
      <c r="S9" s="20" t="s">
        <v>34</v>
      </c>
      <c r="T9" s="158">
        <v>0.7</v>
      </c>
      <c r="U9" s="22" t="s">
        <v>2467</v>
      </c>
      <c r="V9" s="174">
        <v>4.7199999999999999E-2</v>
      </c>
      <c r="W9" s="168">
        <v>2.5000000000000001E-2</v>
      </c>
      <c r="X9" s="20" t="s">
        <v>367</v>
      </c>
      <c r="Y9" s="20" t="s">
        <v>94</v>
      </c>
      <c r="Z9" s="22" t="s">
        <v>851</v>
      </c>
      <c r="AA9" s="22" t="s">
        <v>2197</v>
      </c>
      <c r="AB9" s="183" t="s">
        <v>95</v>
      </c>
      <c r="AC9" s="22"/>
      <c r="AD9" s="158">
        <v>151744.60999999999</v>
      </c>
      <c r="AE9" s="175">
        <v>1</v>
      </c>
      <c r="AF9" s="176">
        <v>99.24</v>
      </c>
      <c r="AG9" s="158">
        <v>150.59100000000001</v>
      </c>
      <c r="AH9" s="22"/>
      <c r="AI9" s="22"/>
      <c r="AJ9" s="22" t="s">
        <v>36</v>
      </c>
      <c r="AK9" s="168">
        <v>8.6120314311079693E-2</v>
      </c>
      <c r="AL9" s="168">
        <v>9.7758397051420499E-4</v>
      </c>
    </row>
    <row r="10" spans="1:38">
      <c r="A10" s="22">
        <v>891</v>
      </c>
      <c r="B10" s="22">
        <v>9957</v>
      </c>
      <c r="C10" s="22" t="s">
        <v>2468</v>
      </c>
      <c r="D10" s="22" t="s">
        <v>2469</v>
      </c>
      <c r="E10" s="20" t="s">
        <v>1264</v>
      </c>
      <c r="F10" s="22" t="s">
        <v>2476</v>
      </c>
      <c r="G10" s="22" t="s">
        <v>2477</v>
      </c>
      <c r="H10" s="22" t="s">
        <v>275</v>
      </c>
      <c r="I10" s="22" t="s">
        <v>927</v>
      </c>
      <c r="J10" s="20" t="s">
        <v>30</v>
      </c>
      <c r="K10" s="20" t="s">
        <v>30</v>
      </c>
      <c r="L10" s="22" t="s">
        <v>282</v>
      </c>
      <c r="M10" s="22" t="s">
        <v>401</v>
      </c>
      <c r="N10" s="22" t="s">
        <v>94</v>
      </c>
      <c r="O10" s="182" t="s">
        <v>2472</v>
      </c>
      <c r="P10" s="22" t="s">
        <v>1139</v>
      </c>
      <c r="Q10" s="22" t="s">
        <v>368</v>
      </c>
      <c r="R10" s="22" t="s">
        <v>361</v>
      </c>
      <c r="S10" s="20" t="s">
        <v>34</v>
      </c>
      <c r="T10" s="158">
        <v>4.13</v>
      </c>
      <c r="U10" s="22" t="s">
        <v>2473</v>
      </c>
      <c r="V10" s="174">
        <v>4.65E-2</v>
      </c>
      <c r="W10" s="168">
        <v>3.7400000000000003E-2</v>
      </c>
      <c r="X10" s="20" t="s">
        <v>367</v>
      </c>
      <c r="Y10" s="20" t="s">
        <v>94</v>
      </c>
      <c r="Z10" s="22" t="s">
        <v>851</v>
      </c>
      <c r="AA10" s="22" t="s">
        <v>2197</v>
      </c>
      <c r="AB10" s="183" t="s">
        <v>95</v>
      </c>
      <c r="AC10" s="22"/>
      <c r="AD10" s="158">
        <v>543089.79</v>
      </c>
      <c r="AE10" s="175">
        <v>1</v>
      </c>
      <c r="AF10" s="176">
        <v>97.6</v>
      </c>
      <c r="AG10" s="158">
        <v>530.05600000000004</v>
      </c>
      <c r="AH10" s="22"/>
      <c r="AI10" s="22"/>
      <c r="AJ10" s="22" t="s">
        <v>36</v>
      </c>
      <c r="AK10" s="168">
        <v>0.30312868302055601</v>
      </c>
      <c r="AL10" s="168">
        <v>3.4409273107570801E-3</v>
      </c>
    </row>
    <row r="11" spans="1:3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 hidden="1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 hidden="1">
      <c r="L21" s="2"/>
    </row>
    <row r="22" spans="1:36" hidden="1">
      <c r="L22" s="2"/>
    </row>
    <row r="23" spans="1:36" hidden="1">
      <c r="L23" s="2"/>
    </row>
    <row r="24" spans="1:36" hidden="1">
      <c r="L24" s="2"/>
    </row>
    <row r="25" spans="1:36" hidden="1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>
      <selection activeCell="R16" sqref="R16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13" width="15.75" style="2" customWidth="1"/>
    <col min="14" max="26" width="11.625" style="2" customWidth="1"/>
    <col min="27" max="16384" width="0" style="2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280</v>
      </c>
      <c r="M1" s="21" t="s">
        <v>104</v>
      </c>
      <c r="N1" s="21" t="s">
        <v>80</v>
      </c>
      <c r="O1" s="181" t="s">
        <v>112</v>
      </c>
      <c r="P1" s="21" t="s">
        <v>11</v>
      </c>
      <c r="Q1" s="21" t="s">
        <v>105</v>
      </c>
      <c r="R1" s="21" t="s">
        <v>106</v>
      </c>
      <c r="S1" s="181" t="s">
        <v>89</v>
      </c>
      <c r="T1" s="181" t="s">
        <v>107</v>
      </c>
      <c r="U1" s="21" t="s">
        <v>17</v>
      </c>
      <c r="V1" s="162" t="s">
        <v>18</v>
      </c>
      <c r="W1" s="171" t="s">
        <v>19</v>
      </c>
      <c r="X1" s="21" t="s">
        <v>20</v>
      </c>
      <c r="Y1" s="167" t="s">
        <v>24</v>
      </c>
      <c r="Z1" s="167" t="s">
        <v>25</v>
      </c>
    </row>
    <row r="2" spans="1:26">
      <c r="A2" s="22">
        <v>891</v>
      </c>
      <c r="B2" s="22">
        <v>9957</v>
      </c>
      <c r="C2" s="22" t="s">
        <v>2389</v>
      </c>
      <c r="D2" s="22" t="s">
        <v>2390</v>
      </c>
      <c r="E2" s="20" t="s">
        <v>1264</v>
      </c>
      <c r="F2" s="22" t="s">
        <v>2391</v>
      </c>
      <c r="G2" s="22" t="s">
        <v>2392</v>
      </c>
      <c r="H2" s="20" t="s">
        <v>33</v>
      </c>
      <c r="I2" s="22" t="s">
        <v>724</v>
      </c>
      <c r="J2" s="20" t="s">
        <v>30</v>
      </c>
      <c r="K2" s="20" t="s">
        <v>30</v>
      </c>
      <c r="L2" s="22" t="s">
        <v>268</v>
      </c>
      <c r="M2" s="22" t="s">
        <v>2393</v>
      </c>
      <c r="N2" s="22" t="s">
        <v>94</v>
      </c>
      <c r="O2" s="182" t="s">
        <v>2394</v>
      </c>
      <c r="P2" s="20" t="s">
        <v>1140</v>
      </c>
      <c r="Q2" s="22" t="s">
        <v>850</v>
      </c>
      <c r="R2" s="22" t="s">
        <v>2197</v>
      </c>
      <c r="S2" s="182" t="s">
        <v>2395</v>
      </c>
      <c r="T2" s="22"/>
      <c r="U2" s="158">
        <v>36518</v>
      </c>
      <c r="V2" s="175">
        <v>3.3719999999999999</v>
      </c>
      <c r="W2" s="176">
        <v>27.384</v>
      </c>
      <c r="X2" s="158">
        <v>33.72</v>
      </c>
      <c r="Y2" s="174">
        <v>1.75243902215798E-2</v>
      </c>
      <c r="Z2" s="174">
        <v>2.18899857468967E-4</v>
      </c>
    </row>
    <row r="3" spans="1:26">
      <c r="A3" s="22">
        <v>891</v>
      </c>
      <c r="B3" s="22">
        <v>9957</v>
      </c>
      <c r="C3" s="22" t="s">
        <v>2396</v>
      </c>
      <c r="D3" s="22" t="s">
        <v>2397</v>
      </c>
      <c r="E3" s="20" t="s">
        <v>1264</v>
      </c>
      <c r="F3" s="22" t="s">
        <v>2396</v>
      </c>
      <c r="G3" s="22" t="s">
        <v>2398</v>
      </c>
      <c r="H3" s="20" t="s">
        <v>33</v>
      </c>
      <c r="I3" s="22" t="s">
        <v>724</v>
      </c>
      <c r="J3" s="20" t="s">
        <v>30</v>
      </c>
      <c r="K3" s="20" t="s">
        <v>30</v>
      </c>
      <c r="L3" s="22" t="s">
        <v>268</v>
      </c>
      <c r="M3" s="22" t="s">
        <v>2399</v>
      </c>
      <c r="N3" s="22" t="s">
        <v>94</v>
      </c>
      <c r="O3" s="182" t="s">
        <v>2312</v>
      </c>
      <c r="P3" s="20" t="s">
        <v>1140</v>
      </c>
      <c r="Q3" s="22" t="s">
        <v>850</v>
      </c>
      <c r="R3" s="22" t="s">
        <v>2197</v>
      </c>
      <c r="S3" s="182" t="s">
        <v>2180</v>
      </c>
      <c r="T3" s="22"/>
      <c r="U3" s="158">
        <v>25178</v>
      </c>
      <c r="V3" s="175">
        <v>3.3719999999999999</v>
      </c>
      <c r="W3" s="176">
        <v>830.05</v>
      </c>
      <c r="X3" s="158">
        <v>704.71400000000006</v>
      </c>
      <c r="Y3" s="174">
        <v>0.36623894804246199</v>
      </c>
      <c r="Z3" s="174">
        <v>4.5747471103078502E-3</v>
      </c>
    </row>
    <row r="4" spans="1:26">
      <c r="A4" s="22">
        <v>891</v>
      </c>
      <c r="B4" s="22">
        <v>9957</v>
      </c>
      <c r="C4" s="22" t="s">
        <v>2400</v>
      </c>
      <c r="D4" s="22" t="s">
        <v>2401</v>
      </c>
      <c r="E4" s="20" t="s">
        <v>1264</v>
      </c>
      <c r="F4" s="22" t="s">
        <v>2400</v>
      </c>
      <c r="G4" s="22" t="s">
        <v>2402</v>
      </c>
      <c r="H4" s="20" t="s">
        <v>33</v>
      </c>
      <c r="I4" s="22" t="s">
        <v>724</v>
      </c>
      <c r="J4" s="20" t="s">
        <v>30</v>
      </c>
      <c r="K4" s="20" t="s">
        <v>30</v>
      </c>
      <c r="L4" s="22" t="s">
        <v>268</v>
      </c>
      <c r="M4" s="22" t="s">
        <v>419</v>
      </c>
      <c r="N4" s="22" t="s">
        <v>94</v>
      </c>
      <c r="O4" s="183" t="s">
        <v>2403</v>
      </c>
      <c r="P4" s="20" t="s">
        <v>34</v>
      </c>
      <c r="Q4" s="22" t="s">
        <v>850</v>
      </c>
      <c r="R4" s="22" t="s">
        <v>854</v>
      </c>
      <c r="S4" s="182" t="s">
        <v>95</v>
      </c>
      <c r="T4" s="22"/>
      <c r="U4" s="158">
        <v>50.63</v>
      </c>
      <c r="V4" s="175">
        <v>1</v>
      </c>
      <c r="W4" s="176">
        <v>159065.17600000001</v>
      </c>
      <c r="X4" s="158">
        <v>80.534999999999997</v>
      </c>
      <c r="Y4" s="174">
        <v>4.1853763585415198E-2</v>
      </c>
      <c r="Z4" s="174">
        <v>5.2280180751198299E-4</v>
      </c>
    </row>
    <row r="5" spans="1:26">
      <c r="A5" s="22">
        <v>891</v>
      </c>
      <c r="B5" s="22">
        <v>9957</v>
      </c>
      <c r="C5" s="22" t="s">
        <v>2404</v>
      </c>
      <c r="D5" s="22" t="s">
        <v>2405</v>
      </c>
      <c r="E5" s="20" t="s">
        <v>1264</v>
      </c>
      <c r="F5" s="22" t="s">
        <v>2406</v>
      </c>
      <c r="G5" s="22" t="s">
        <v>2407</v>
      </c>
      <c r="H5" s="20" t="s">
        <v>33</v>
      </c>
      <c r="I5" s="22" t="s">
        <v>724</v>
      </c>
      <c r="J5" s="20" t="s">
        <v>30</v>
      </c>
      <c r="K5" s="20" t="s">
        <v>30</v>
      </c>
      <c r="L5" s="22" t="s">
        <v>268</v>
      </c>
      <c r="M5" s="22" t="s">
        <v>419</v>
      </c>
      <c r="N5" s="22" t="s">
        <v>94</v>
      </c>
      <c r="O5" s="182" t="s">
        <v>2408</v>
      </c>
      <c r="P5" s="20" t="s">
        <v>34</v>
      </c>
      <c r="Q5" s="22" t="s">
        <v>850</v>
      </c>
      <c r="R5" s="22" t="s">
        <v>2197</v>
      </c>
      <c r="S5" s="182" t="s">
        <v>95</v>
      </c>
      <c r="T5" s="22"/>
      <c r="U5" s="158">
        <v>5</v>
      </c>
      <c r="V5" s="175">
        <v>1</v>
      </c>
      <c r="W5" s="176">
        <v>680012.79</v>
      </c>
      <c r="X5" s="158">
        <v>34.000999999999998</v>
      </c>
      <c r="Y5" s="174">
        <v>1.7670081978003401E-2</v>
      </c>
      <c r="Z5" s="174">
        <v>2.20719715638769E-4</v>
      </c>
    </row>
    <row r="6" spans="1:26">
      <c r="A6" s="22">
        <v>891</v>
      </c>
      <c r="B6" s="22">
        <v>9957</v>
      </c>
      <c r="C6" s="22" t="s">
        <v>2409</v>
      </c>
      <c r="D6" s="22" t="s">
        <v>2410</v>
      </c>
      <c r="E6" s="20" t="s">
        <v>33</v>
      </c>
      <c r="F6" s="22" t="s">
        <v>2411</v>
      </c>
      <c r="G6" s="22" t="s">
        <v>2412</v>
      </c>
      <c r="H6" s="20" t="s">
        <v>275</v>
      </c>
      <c r="I6" s="22" t="s">
        <v>724</v>
      </c>
      <c r="J6" s="20" t="s">
        <v>30</v>
      </c>
      <c r="K6" s="20" t="s">
        <v>30</v>
      </c>
      <c r="L6" s="22" t="s">
        <v>268</v>
      </c>
      <c r="M6" s="22" t="s">
        <v>404</v>
      </c>
      <c r="N6" s="22" t="s">
        <v>94</v>
      </c>
      <c r="O6" s="182" t="s">
        <v>2413</v>
      </c>
      <c r="P6" s="20" t="s">
        <v>34</v>
      </c>
      <c r="Q6" s="22" t="s">
        <v>849</v>
      </c>
      <c r="R6" s="22" t="s">
        <v>853</v>
      </c>
      <c r="S6" s="182" t="s">
        <v>2238</v>
      </c>
      <c r="T6" s="22"/>
      <c r="U6" s="158">
        <v>316640</v>
      </c>
      <c r="V6" s="175">
        <v>1</v>
      </c>
      <c r="W6" s="176">
        <v>0</v>
      </c>
      <c r="X6" s="158">
        <v>0</v>
      </c>
      <c r="Y6" s="174">
        <v>1.6455733891461101E-9</v>
      </c>
      <c r="Z6" s="174">
        <v>2.0555110664862598E-11</v>
      </c>
    </row>
    <row r="7" spans="1:26">
      <c r="A7" s="22">
        <v>891</v>
      </c>
      <c r="B7" s="22">
        <v>9957</v>
      </c>
      <c r="C7" s="22" t="s">
        <v>2414</v>
      </c>
      <c r="D7" s="22" t="s">
        <v>2415</v>
      </c>
      <c r="E7" s="20" t="s">
        <v>33</v>
      </c>
      <c r="F7" s="22" t="s">
        <v>2416</v>
      </c>
      <c r="G7" s="22" t="s">
        <v>2417</v>
      </c>
      <c r="H7" s="20" t="s">
        <v>33</v>
      </c>
      <c r="I7" s="22" t="s">
        <v>724</v>
      </c>
      <c r="J7" s="20" t="s">
        <v>160</v>
      </c>
      <c r="K7" s="20" t="s">
        <v>193</v>
      </c>
      <c r="L7" s="22" t="s">
        <v>268</v>
      </c>
      <c r="M7" s="22" t="s">
        <v>502</v>
      </c>
      <c r="N7" s="22" t="s">
        <v>94</v>
      </c>
      <c r="O7" s="182" t="s">
        <v>2418</v>
      </c>
      <c r="P7" s="20" t="s">
        <v>1140</v>
      </c>
      <c r="Q7" s="22" t="s">
        <v>850</v>
      </c>
      <c r="R7" s="22" t="s">
        <v>854</v>
      </c>
      <c r="S7" s="182" t="s">
        <v>2207</v>
      </c>
      <c r="T7" s="22"/>
      <c r="U7" s="158">
        <v>45225</v>
      </c>
      <c r="V7" s="175">
        <v>3.3719999999999999</v>
      </c>
      <c r="W7" s="176">
        <v>157.821</v>
      </c>
      <c r="X7" s="158">
        <v>240.67500000000001</v>
      </c>
      <c r="Y7" s="174">
        <v>0.125078664850862</v>
      </c>
      <c r="Z7" s="174">
        <v>1.5623768680148699E-3</v>
      </c>
    </row>
    <row r="8" spans="1:26">
      <c r="A8" s="22">
        <v>891</v>
      </c>
      <c r="B8" s="22">
        <v>9957</v>
      </c>
      <c r="C8" s="22" t="s">
        <v>2419</v>
      </c>
      <c r="D8" s="22" t="s">
        <v>2420</v>
      </c>
      <c r="E8" s="20" t="s">
        <v>33</v>
      </c>
      <c r="F8" s="22" t="s">
        <v>2421</v>
      </c>
      <c r="G8" s="22" t="s">
        <v>2422</v>
      </c>
      <c r="H8" s="20" t="s">
        <v>33</v>
      </c>
      <c r="I8" s="22" t="s">
        <v>724</v>
      </c>
      <c r="J8" s="20" t="s">
        <v>160</v>
      </c>
      <c r="K8" s="20" t="s">
        <v>193</v>
      </c>
      <c r="L8" s="22" t="s">
        <v>268</v>
      </c>
      <c r="M8" s="22" t="s">
        <v>502</v>
      </c>
      <c r="N8" s="22" t="s">
        <v>94</v>
      </c>
      <c r="O8" s="182" t="s">
        <v>2418</v>
      </c>
      <c r="P8" s="20" t="s">
        <v>1142</v>
      </c>
      <c r="Q8" s="22" t="s">
        <v>850</v>
      </c>
      <c r="R8" s="22" t="s">
        <v>2197</v>
      </c>
      <c r="S8" s="182" t="s">
        <v>2207</v>
      </c>
      <c r="T8" s="22"/>
      <c r="U8" s="158">
        <v>75375</v>
      </c>
      <c r="V8" s="175">
        <v>3.9552</v>
      </c>
      <c r="W8" s="176">
        <v>99.906999999999996</v>
      </c>
      <c r="X8" s="158">
        <v>297.84699999999998</v>
      </c>
      <c r="Y8" s="174">
        <v>0.15479071633060101</v>
      </c>
      <c r="Z8" s="174">
        <v>1.93351467947587E-3</v>
      </c>
    </row>
    <row r="9" spans="1:26">
      <c r="A9" s="22">
        <v>891</v>
      </c>
      <c r="B9" s="22">
        <v>9957</v>
      </c>
      <c r="C9" s="22" t="s">
        <v>2423</v>
      </c>
      <c r="D9" s="22" t="s">
        <v>2424</v>
      </c>
      <c r="E9" s="20" t="s">
        <v>33</v>
      </c>
      <c r="F9" s="22" t="s">
        <v>2423</v>
      </c>
      <c r="G9" s="22" t="s">
        <v>2425</v>
      </c>
      <c r="H9" s="20" t="s">
        <v>33</v>
      </c>
      <c r="I9" s="22" t="s">
        <v>724</v>
      </c>
      <c r="J9" s="20" t="s">
        <v>160</v>
      </c>
      <c r="K9" s="20" t="s">
        <v>251</v>
      </c>
      <c r="L9" s="22" t="s">
        <v>268</v>
      </c>
      <c r="M9" s="22" t="s">
        <v>502</v>
      </c>
      <c r="N9" s="22" t="s">
        <v>94</v>
      </c>
      <c r="O9" s="182" t="s">
        <v>2426</v>
      </c>
      <c r="P9" s="20" t="s">
        <v>1140</v>
      </c>
      <c r="Q9" s="22" t="s">
        <v>850</v>
      </c>
      <c r="R9" s="22" t="s">
        <v>2197</v>
      </c>
      <c r="S9" s="182" t="s">
        <v>2287</v>
      </c>
      <c r="T9" s="22"/>
      <c r="U9" s="158">
        <v>9960</v>
      </c>
      <c r="V9" s="175">
        <v>3.3719999999999999</v>
      </c>
      <c r="W9" s="176">
        <v>381.3</v>
      </c>
      <c r="X9" s="158">
        <v>128.06</v>
      </c>
      <c r="Y9" s="174">
        <v>6.6552624798231999E-2</v>
      </c>
      <c r="Z9" s="174">
        <v>8.3131908718734996E-4</v>
      </c>
    </row>
    <row r="10" spans="1:26">
      <c r="A10" s="22">
        <v>891</v>
      </c>
      <c r="B10" s="22">
        <v>9957</v>
      </c>
      <c r="C10" s="22" t="s">
        <v>2427</v>
      </c>
      <c r="D10" s="22" t="s">
        <v>2428</v>
      </c>
      <c r="E10" s="20" t="s">
        <v>267</v>
      </c>
      <c r="F10" s="22" t="s">
        <v>2429</v>
      </c>
      <c r="G10" s="22" t="s">
        <v>2430</v>
      </c>
      <c r="H10" s="20" t="s">
        <v>275</v>
      </c>
      <c r="I10" s="22" t="s">
        <v>724</v>
      </c>
      <c r="J10" s="20" t="s">
        <v>160</v>
      </c>
      <c r="K10" s="20" t="s">
        <v>179</v>
      </c>
      <c r="L10" s="22" t="s">
        <v>268</v>
      </c>
      <c r="M10" s="22" t="s">
        <v>434</v>
      </c>
      <c r="N10" s="22" t="s">
        <v>94</v>
      </c>
      <c r="O10" s="182" t="s">
        <v>2431</v>
      </c>
      <c r="P10" s="20" t="s">
        <v>1140</v>
      </c>
      <c r="Q10" s="22" t="s">
        <v>852</v>
      </c>
      <c r="R10" s="22" t="s">
        <v>2197</v>
      </c>
      <c r="S10" s="182" t="s">
        <v>2312</v>
      </c>
      <c r="T10" s="22"/>
      <c r="U10" s="158">
        <v>4800</v>
      </c>
      <c r="V10" s="175">
        <v>3.3719999999999999</v>
      </c>
      <c r="W10" s="176">
        <v>2500</v>
      </c>
      <c r="X10" s="158">
        <v>404.64</v>
      </c>
      <c r="Y10" s="174">
        <v>0.210290808547272</v>
      </c>
      <c r="Z10" s="174">
        <v>2.62677487980988E-3</v>
      </c>
    </row>
    <row r="11" spans="1:26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idden="1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idden="1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A7" zoomScale="70" zoomScaleNormal="70" workbookViewId="0">
      <selection activeCell="A58" sqref="A58"/>
    </sheetView>
  </sheetViews>
  <sheetFormatPr defaultColWidth="0" defaultRowHeight="14.25" zeroHeight="1"/>
  <cols>
    <col min="1" max="4" width="11.625" style="2" customWidth="1"/>
    <col min="5" max="5" width="23.375" style="2" customWidth="1"/>
    <col min="6" max="6" width="18.375" style="2" customWidth="1"/>
    <col min="7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0" style="2" hidden="1"/>
  </cols>
  <sheetData>
    <row r="1" spans="1:27" ht="66.75" customHeight="1">
      <c r="A1" s="21" t="s">
        <v>0</v>
      </c>
      <c r="B1" s="21" t="s">
        <v>1</v>
      </c>
      <c r="C1" s="21" t="s">
        <v>142</v>
      </c>
      <c r="D1" s="21" t="s">
        <v>143</v>
      </c>
      <c r="E1" s="21" t="s">
        <v>144</v>
      </c>
      <c r="F1" s="21" t="s">
        <v>145</v>
      </c>
      <c r="G1" s="21" t="s">
        <v>146</v>
      </c>
      <c r="H1" s="21" t="s">
        <v>147</v>
      </c>
      <c r="I1" s="21" t="s">
        <v>5</v>
      </c>
      <c r="J1" s="21" t="s">
        <v>789</v>
      </c>
      <c r="K1" s="21" t="s">
        <v>6</v>
      </c>
      <c r="L1" s="21" t="s">
        <v>1090</v>
      </c>
      <c r="M1" s="21" t="s">
        <v>1091</v>
      </c>
      <c r="N1" s="21" t="s">
        <v>7</v>
      </c>
      <c r="O1" s="21" t="s">
        <v>80</v>
      </c>
      <c r="P1" s="184" t="s">
        <v>112</v>
      </c>
      <c r="Q1" s="21" t="s">
        <v>11</v>
      </c>
      <c r="R1" s="21" t="s">
        <v>105</v>
      </c>
      <c r="S1" s="21" t="s">
        <v>106</v>
      </c>
      <c r="T1" s="181" t="s">
        <v>89</v>
      </c>
      <c r="U1" s="162" t="s">
        <v>18</v>
      </c>
      <c r="V1" s="105" t="s">
        <v>2170</v>
      </c>
      <c r="W1" s="21" t="s">
        <v>20</v>
      </c>
      <c r="X1" s="167" t="s">
        <v>1093</v>
      </c>
      <c r="Y1" s="167" t="s">
        <v>24</v>
      </c>
      <c r="Z1" s="167" t="s">
        <v>25</v>
      </c>
      <c r="AA1" s="11"/>
    </row>
    <row r="2" spans="1:27">
      <c r="A2" s="22">
        <v>891</v>
      </c>
      <c r="B2" s="22">
        <v>9957</v>
      </c>
      <c r="C2" s="22" t="s">
        <v>2171</v>
      </c>
      <c r="D2" s="22" t="s">
        <v>2172</v>
      </c>
      <c r="E2" s="22" t="s">
        <v>1264</v>
      </c>
      <c r="F2" s="22" t="s">
        <v>2173</v>
      </c>
      <c r="G2" s="22">
        <v>62018528</v>
      </c>
      <c r="H2" s="22" t="s">
        <v>33</v>
      </c>
      <c r="I2" s="2" t="s">
        <v>986</v>
      </c>
      <c r="J2" s="22" t="s">
        <v>525</v>
      </c>
      <c r="K2" s="20" t="s">
        <v>30</v>
      </c>
      <c r="L2" s="22" t="s">
        <v>30</v>
      </c>
      <c r="M2" s="22" t="s">
        <v>30</v>
      </c>
      <c r="N2" s="20" t="s">
        <v>248</v>
      </c>
      <c r="O2" s="22" t="s">
        <v>94</v>
      </c>
      <c r="P2" s="185" t="s">
        <v>2174</v>
      </c>
      <c r="Q2" s="20" t="s">
        <v>1142</v>
      </c>
      <c r="R2" s="22" t="s">
        <v>850</v>
      </c>
      <c r="S2" s="22" t="s">
        <v>854</v>
      </c>
      <c r="T2" s="182" t="s">
        <v>2175</v>
      </c>
      <c r="U2" s="175">
        <v>3.9552</v>
      </c>
      <c r="V2" s="158">
        <v>78.966999999999999</v>
      </c>
      <c r="W2" s="158">
        <v>312.33</v>
      </c>
      <c r="X2" s="174">
        <v>0</v>
      </c>
      <c r="Y2" s="174">
        <v>1.3887264051521299E-2</v>
      </c>
      <c r="Z2" s="174">
        <v>2.02753118597846E-3</v>
      </c>
    </row>
    <row r="3" spans="1:27">
      <c r="A3" s="22">
        <v>891</v>
      </c>
      <c r="B3" s="22">
        <v>9957</v>
      </c>
      <c r="C3" s="22" t="s">
        <v>2176</v>
      </c>
      <c r="D3" s="2" t="s">
        <v>2177</v>
      </c>
      <c r="E3" s="22" t="s">
        <v>1264</v>
      </c>
      <c r="F3" s="22" t="s">
        <v>2178</v>
      </c>
      <c r="G3" s="22">
        <v>62018080</v>
      </c>
      <c r="H3" s="22" t="s">
        <v>33</v>
      </c>
      <c r="I3" s="2" t="s">
        <v>986</v>
      </c>
      <c r="J3" s="22" t="s">
        <v>525</v>
      </c>
      <c r="K3" s="20" t="s">
        <v>30</v>
      </c>
      <c r="L3" s="22" t="s">
        <v>30</v>
      </c>
      <c r="M3" s="22" t="s">
        <v>30</v>
      </c>
      <c r="N3" s="20" t="s">
        <v>30</v>
      </c>
      <c r="O3" s="22" t="s">
        <v>94</v>
      </c>
      <c r="P3" s="185" t="s">
        <v>2179</v>
      </c>
      <c r="Q3" s="20" t="s">
        <v>1140</v>
      </c>
      <c r="R3" s="22" t="s">
        <v>850</v>
      </c>
      <c r="S3" s="22" t="s">
        <v>854</v>
      </c>
      <c r="T3" s="186" t="s">
        <v>2180</v>
      </c>
      <c r="U3" s="175">
        <v>3.3719999999999999</v>
      </c>
      <c r="V3" s="158">
        <v>105.58</v>
      </c>
      <c r="W3" s="158">
        <v>356.017</v>
      </c>
      <c r="X3" s="187">
        <v>0</v>
      </c>
      <c r="Y3" s="174">
        <v>1.58297252251983E-2</v>
      </c>
      <c r="Z3" s="174">
        <v>2.3111292073433E-3</v>
      </c>
    </row>
    <row r="4" spans="1:27">
      <c r="A4" s="22">
        <v>891</v>
      </c>
      <c r="B4" s="22">
        <v>9957</v>
      </c>
      <c r="C4" s="22" t="s">
        <v>2181</v>
      </c>
      <c r="D4" s="2" t="s">
        <v>2182</v>
      </c>
      <c r="E4" s="22" t="s">
        <v>266</v>
      </c>
      <c r="F4" s="22" t="s">
        <v>2183</v>
      </c>
      <c r="G4" s="22">
        <v>50007947</v>
      </c>
      <c r="H4" s="22" t="s">
        <v>33</v>
      </c>
      <c r="I4" s="2" t="s">
        <v>989</v>
      </c>
      <c r="J4" s="22" t="s">
        <v>525</v>
      </c>
      <c r="K4" s="20" t="s">
        <v>30</v>
      </c>
      <c r="L4" s="22" t="s">
        <v>172</v>
      </c>
      <c r="M4" s="22" t="s">
        <v>172</v>
      </c>
      <c r="N4" s="20" t="s">
        <v>30</v>
      </c>
      <c r="O4" s="22" t="s">
        <v>94</v>
      </c>
      <c r="P4" s="185" t="s">
        <v>2184</v>
      </c>
      <c r="Q4" s="20" t="s">
        <v>34</v>
      </c>
      <c r="R4" s="22" t="s">
        <v>850</v>
      </c>
      <c r="S4" s="22" t="s">
        <v>854</v>
      </c>
      <c r="T4" s="182" t="s">
        <v>95</v>
      </c>
      <c r="U4" s="175">
        <v>1</v>
      </c>
      <c r="V4" s="158">
        <v>410.80099999999999</v>
      </c>
      <c r="W4" s="158">
        <v>410.80099999999999</v>
      </c>
      <c r="X4" s="187">
        <v>0</v>
      </c>
      <c r="Y4" s="174">
        <v>1.82656152033118E-2</v>
      </c>
      <c r="Z4" s="174">
        <v>2.6667675013884399E-3</v>
      </c>
    </row>
    <row r="5" spans="1:27">
      <c r="A5" s="22">
        <v>891</v>
      </c>
      <c r="B5" s="22">
        <v>9957</v>
      </c>
      <c r="C5" s="22" t="s">
        <v>2185</v>
      </c>
      <c r="D5" s="2" t="s">
        <v>2186</v>
      </c>
      <c r="E5" s="22" t="s">
        <v>33</v>
      </c>
      <c r="F5" s="22" t="s">
        <v>2185</v>
      </c>
      <c r="G5" s="22">
        <v>62018569</v>
      </c>
      <c r="H5" s="22" t="s">
        <v>33</v>
      </c>
      <c r="I5" s="2" t="s">
        <v>986</v>
      </c>
      <c r="J5" s="22" t="s">
        <v>525</v>
      </c>
      <c r="K5" s="20" t="s">
        <v>30</v>
      </c>
      <c r="L5" s="22" t="s">
        <v>30</v>
      </c>
      <c r="M5" s="22" t="s">
        <v>30</v>
      </c>
      <c r="N5" s="20" t="s">
        <v>251</v>
      </c>
      <c r="O5" s="22" t="s">
        <v>94</v>
      </c>
      <c r="P5" s="185" t="s">
        <v>2187</v>
      </c>
      <c r="Q5" s="20" t="s">
        <v>1140</v>
      </c>
      <c r="R5" s="22" t="s">
        <v>850</v>
      </c>
      <c r="S5" s="22" t="s">
        <v>854</v>
      </c>
      <c r="T5" s="182" t="s">
        <v>2188</v>
      </c>
      <c r="U5" s="175">
        <v>3.3719999999999999</v>
      </c>
      <c r="V5" s="158">
        <v>49.411999999999999</v>
      </c>
      <c r="W5" s="158">
        <v>166.61799999999999</v>
      </c>
      <c r="X5" s="187">
        <v>0</v>
      </c>
      <c r="Y5" s="174">
        <v>7.4084177644901401E-3</v>
      </c>
      <c r="Z5" s="174">
        <v>1.0816239973931499E-3</v>
      </c>
    </row>
    <row r="6" spans="1:27">
      <c r="A6" s="22">
        <v>891</v>
      </c>
      <c r="B6" s="22">
        <v>9957</v>
      </c>
      <c r="C6" s="22" t="s">
        <v>2189</v>
      </c>
      <c r="D6" s="2" t="s">
        <v>2190</v>
      </c>
      <c r="E6" s="22" t="s">
        <v>265</v>
      </c>
      <c r="F6" s="22" t="s">
        <v>2191</v>
      </c>
      <c r="G6" s="22">
        <v>62018254</v>
      </c>
      <c r="H6" s="22" t="s">
        <v>33</v>
      </c>
      <c r="I6" s="2" t="s">
        <v>986</v>
      </c>
      <c r="J6" s="22" t="s">
        <v>809</v>
      </c>
      <c r="K6" s="20" t="s">
        <v>160</v>
      </c>
      <c r="L6" s="22" t="s">
        <v>172</v>
      </c>
      <c r="M6" s="22" t="s">
        <v>172</v>
      </c>
      <c r="N6" s="20" t="s">
        <v>30</v>
      </c>
      <c r="O6" s="22" t="s">
        <v>94</v>
      </c>
      <c r="P6" s="185" t="s">
        <v>2192</v>
      </c>
      <c r="Q6" s="20" t="s">
        <v>1140</v>
      </c>
      <c r="R6" s="22" t="s">
        <v>850</v>
      </c>
      <c r="S6" s="22" t="s">
        <v>854</v>
      </c>
      <c r="T6" s="182" t="s">
        <v>95</v>
      </c>
      <c r="U6" s="175">
        <v>3.3719999999999999</v>
      </c>
      <c r="V6" s="158">
        <v>48.941000000000003</v>
      </c>
      <c r="W6" s="158">
        <v>165.03</v>
      </c>
      <c r="X6" s="174">
        <v>0</v>
      </c>
      <c r="Y6" s="174">
        <v>7.3377953784976996E-3</v>
      </c>
      <c r="Z6" s="174">
        <v>1.0713131766658501E-3</v>
      </c>
    </row>
    <row r="7" spans="1:27">
      <c r="A7" s="22">
        <v>891</v>
      </c>
      <c r="B7" s="22">
        <v>9957</v>
      </c>
      <c r="C7" s="22" t="s">
        <v>2193</v>
      </c>
      <c r="D7" s="2" t="s">
        <v>2194</v>
      </c>
      <c r="E7" s="22" t="s">
        <v>1264</v>
      </c>
      <c r="F7" s="22" t="s">
        <v>2195</v>
      </c>
      <c r="G7" s="22">
        <v>50008341</v>
      </c>
      <c r="H7" s="22" t="s">
        <v>33</v>
      </c>
      <c r="I7" s="2" t="s">
        <v>988</v>
      </c>
      <c r="J7" s="22" t="s">
        <v>525</v>
      </c>
      <c r="K7" s="20" t="s">
        <v>30</v>
      </c>
      <c r="L7" s="22" t="s">
        <v>30</v>
      </c>
      <c r="M7" s="22" t="s">
        <v>30</v>
      </c>
      <c r="N7" s="20" t="s">
        <v>30</v>
      </c>
      <c r="O7" s="22" t="s">
        <v>94</v>
      </c>
      <c r="P7" s="185" t="s">
        <v>2196</v>
      </c>
      <c r="Q7" s="20" t="s">
        <v>34</v>
      </c>
      <c r="R7" s="22" t="s">
        <v>850</v>
      </c>
      <c r="S7" s="22" t="s">
        <v>2197</v>
      </c>
      <c r="T7" s="182" t="s">
        <v>2198</v>
      </c>
      <c r="U7" s="175">
        <v>1</v>
      </c>
      <c r="V7" s="158">
        <v>434.18</v>
      </c>
      <c r="W7" s="158">
        <v>434.18</v>
      </c>
      <c r="X7" s="174">
        <v>0</v>
      </c>
      <c r="Y7" s="174">
        <v>1.93051245069331E-2</v>
      </c>
      <c r="Z7" s="174">
        <v>2.8185351586741299E-3</v>
      </c>
    </row>
    <row r="8" spans="1:27">
      <c r="A8" s="22">
        <v>891</v>
      </c>
      <c r="B8" s="22">
        <v>9957</v>
      </c>
      <c r="C8" s="22" t="s">
        <v>2199</v>
      </c>
      <c r="D8" s="2" t="s">
        <v>2200</v>
      </c>
      <c r="E8" s="22" t="s">
        <v>265</v>
      </c>
      <c r="F8" s="22" t="s">
        <v>2201</v>
      </c>
      <c r="G8" s="22">
        <v>50006691</v>
      </c>
      <c r="H8" s="22" t="s">
        <v>33</v>
      </c>
      <c r="I8" s="2" t="s">
        <v>989</v>
      </c>
      <c r="J8" s="22" t="s">
        <v>525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94</v>
      </c>
      <c r="P8" s="185" t="s">
        <v>2179</v>
      </c>
      <c r="Q8" s="20" t="s">
        <v>34</v>
      </c>
      <c r="R8" s="22" t="s">
        <v>850</v>
      </c>
      <c r="S8" s="22" t="s">
        <v>854</v>
      </c>
      <c r="T8" s="182" t="s">
        <v>2202</v>
      </c>
      <c r="U8" s="175">
        <v>1</v>
      </c>
      <c r="V8" s="158">
        <v>484.28300000000002</v>
      </c>
      <c r="W8" s="158">
        <v>484.28300000000002</v>
      </c>
      <c r="X8" s="174">
        <v>2.4600000000000002E-4</v>
      </c>
      <c r="Y8" s="174">
        <v>2.1532906915541199E-2</v>
      </c>
      <c r="Z8" s="174">
        <v>3.1437898879188302E-3</v>
      </c>
    </row>
    <row r="9" spans="1:27">
      <c r="A9" s="22">
        <v>891</v>
      </c>
      <c r="B9" s="22">
        <v>9957</v>
      </c>
      <c r="C9" s="22" t="s">
        <v>2203</v>
      </c>
      <c r="D9" s="2" t="s">
        <v>2204</v>
      </c>
      <c r="E9" s="22" t="s">
        <v>33</v>
      </c>
      <c r="F9" s="22" t="s">
        <v>2205</v>
      </c>
      <c r="G9" s="22">
        <v>62020158</v>
      </c>
      <c r="H9" s="22" t="s">
        <v>33</v>
      </c>
      <c r="I9" s="2" t="s">
        <v>986</v>
      </c>
      <c r="J9" s="22" t="s">
        <v>525</v>
      </c>
      <c r="K9" s="20" t="s">
        <v>30</v>
      </c>
      <c r="L9" s="22" t="s">
        <v>30</v>
      </c>
      <c r="M9" s="22" t="s">
        <v>30</v>
      </c>
      <c r="N9" s="20" t="s">
        <v>30</v>
      </c>
      <c r="O9" s="22" t="s">
        <v>94</v>
      </c>
      <c r="P9" s="185" t="s">
        <v>2206</v>
      </c>
      <c r="Q9" s="20" t="s">
        <v>34</v>
      </c>
      <c r="R9" s="22" t="s">
        <v>850</v>
      </c>
      <c r="S9" s="22" t="s">
        <v>854</v>
      </c>
      <c r="T9" s="182" t="s">
        <v>2207</v>
      </c>
      <c r="U9" s="175">
        <v>1</v>
      </c>
      <c r="V9" s="158">
        <v>411.98899999999998</v>
      </c>
      <c r="W9" s="158">
        <v>411.98899999999998</v>
      </c>
      <c r="X9" s="174">
        <v>0</v>
      </c>
      <c r="Y9" s="174">
        <v>1.8318457732961101E-2</v>
      </c>
      <c r="Z9" s="174">
        <v>2.6744824750803498E-3</v>
      </c>
    </row>
    <row r="10" spans="1:27">
      <c r="A10" s="22">
        <v>891</v>
      </c>
      <c r="B10" s="22">
        <v>9957</v>
      </c>
      <c r="C10" s="22" t="s">
        <v>2208</v>
      </c>
      <c r="D10" s="2" t="s">
        <v>2209</v>
      </c>
      <c r="E10" s="22" t="s">
        <v>33</v>
      </c>
      <c r="F10" s="22" t="s">
        <v>2210</v>
      </c>
      <c r="G10" s="22">
        <v>50005</v>
      </c>
      <c r="H10" s="22" t="s">
        <v>33</v>
      </c>
      <c r="I10" s="2" t="s">
        <v>988</v>
      </c>
      <c r="J10" s="22" t="s">
        <v>525</v>
      </c>
      <c r="K10" s="20" t="s">
        <v>30</v>
      </c>
      <c r="L10" s="22" t="s">
        <v>30</v>
      </c>
      <c r="M10" s="22" t="s">
        <v>30</v>
      </c>
      <c r="N10" s="20" t="s">
        <v>30</v>
      </c>
      <c r="O10" s="22" t="s">
        <v>94</v>
      </c>
      <c r="P10" s="185" t="s">
        <v>2211</v>
      </c>
      <c r="Q10" s="20" t="s">
        <v>34</v>
      </c>
      <c r="R10" s="22" t="s">
        <v>850</v>
      </c>
      <c r="S10" s="22" t="s">
        <v>854</v>
      </c>
      <c r="T10" s="182" t="s">
        <v>2198</v>
      </c>
      <c r="U10" s="175">
        <v>1</v>
      </c>
      <c r="V10" s="158">
        <v>1386.001</v>
      </c>
      <c r="W10" s="158">
        <v>1386.001</v>
      </c>
      <c r="X10" s="174">
        <v>0</v>
      </c>
      <c r="Y10" s="174">
        <v>6.1626405465372201E-2</v>
      </c>
      <c r="Z10" s="174">
        <v>8.9974136372173597E-3</v>
      </c>
    </row>
    <row r="11" spans="1:27">
      <c r="A11" s="22">
        <v>891</v>
      </c>
      <c r="B11" s="22">
        <v>9957</v>
      </c>
      <c r="C11" s="22" t="s">
        <v>2212</v>
      </c>
      <c r="D11" s="2" t="s">
        <v>2213</v>
      </c>
      <c r="E11" s="22" t="s">
        <v>1264</v>
      </c>
      <c r="F11" s="22" t="s">
        <v>2214</v>
      </c>
      <c r="G11" s="22">
        <v>62017520</v>
      </c>
      <c r="H11" s="22" t="s">
        <v>33</v>
      </c>
      <c r="I11" s="2" t="s">
        <v>986</v>
      </c>
      <c r="J11" s="22" t="s">
        <v>525</v>
      </c>
      <c r="K11" s="20" t="s">
        <v>30</v>
      </c>
      <c r="L11" s="22" t="s">
        <v>30</v>
      </c>
      <c r="M11" s="22" t="s">
        <v>30</v>
      </c>
      <c r="N11" s="20" t="s">
        <v>30</v>
      </c>
      <c r="O11" s="22" t="s">
        <v>94</v>
      </c>
      <c r="P11" s="185" t="s">
        <v>2215</v>
      </c>
      <c r="Q11" s="20" t="s">
        <v>1140</v>
      </c>
      <c r="R11" s="22" t="s">
        <v>850</v>
      </c>
      <c r="S11" s="22" t="s">
        <v>854</v>
      </c>
      <c r="T11" s="182" t="s">
        <v>2216</v>
      </c>
      <c r="U11" s="175">
        <v>3.3719999999999999</v>
      </c>
      <c r="V11" s="158">
        <v>125.23</v>
      </c>
      <c r="W11" s="158">
        <v>422.27499999999998</v>
      </c>
      <c r="X11" s="174">
        <v>0</v>
      </c>
      <c r="Y11" s="174">
        <v>1.8775822160031101E-2</v>
      </c>
      <c r="Z11" s="174">
        <v>2.7412573729868901E-3</v>
      </c>
    </row>
    <row r="12" spans="1:27">
      <c r="A12" s="22">
        <v>891</v>
      </c>
      <c r="B12" s="22">
        <v>9957</v>
      </c>
      <c r="C12" s="22" t="s">
        <v>2217</v>
      </c>
      <c r="D12" s="2" t="s">
        <v>2218</v>
      </c>
      <c r="E12" s="22" t="s">
        <v>266</v>
      </c>
      <c r="F12" s="22" t="s">
        <v>2219</v>
      </c>
      <c r="G12" s="22">
        <v>62000073</v>
      </c>
      <c r="H12" s="22" t="s">
        <v>33</v>
      </c>
      <c r="I12" s="2" t="s">
        <v>990</v>
      </c>
      <c r="J12" s="22" t="s">
        <v>525</v>
      </c>
      <c r="K12" s="20" t="s">
        <v>160</v>
      </c>
      <c r="L12" s="22" t="s">
        <v>172</v>
      </c>
      <c r="M12" s="22" t="s">
        <v>30</v>
      </c>
      <c r="N12" s="20" t="s">
        <v>179</v>
      </c>
      <c r="O12" s="22" t="s">
        <v>94</v>
      </c>
      <c r="P12" s="185" t="s">
        <v>2220</v>
      </c>
      <c r="Q12" s="20" t="s">
        <v>1140</v>
      </c>
      <c r="R12" s="22" t="s">
        <v>850</v>
      </c>
      <c r="S12" s="22" t="s">
        <v>854</v>
      </c>
      <c r="T12" s="182" t="s">
        <v>2207</v>
      </c>
      <c r="U12" s="175">
        <v>3.3719999999999999</v>
      </c>
      <c r="V12" s="158">
        <v>146.85499999999999</v>
      </c>
      <c r="W12" s="158">
        <v>495.19600000000003</v>
      </c>
      <c r="X12" s="174">
        <v>0</v>
      </c>
      <c r="Y12" s="174">
        <v>2.2018138057070799E-2</v>
      </c>
      <c r="Z12" s="174">
        <v>3.2146333073432101E-3</v>
      </c>
    </row>
    <row r="13" spans="1:27">
      <c r="A13" s="22">
        <v>891</v>
      </c>
      <c r="B13" s="22">
        <v>9957</v>
      </c>
      <c r="C13" s="22" t="s">
        <v>2217</v>
      </c>
      <c r="D13" s="2" t="s">
        <v>2218</v>
      </c>
      <c r="E13" s="22" t="s">
        <v>266</v>
      </c>
      <c r="F13" s="22" t="s">
        <v>2217</v>
      </c>
      <c r="G13" s="22">
        <v>60388022</v>
      </c>
      <c r="H13" s="22" t="s">
        <v>33</v>
      </c>
      <c r="I13" s="2" t="s">
        <v>990</v>
      </c>
      <c r="J13" s="22" t="s">
        <v>525</v>
      </c>
      <c r="K13" s="20" t="s">
        <v>160</v>
      </c>
      <c r="L13" s="22" t="s">
        <v>172</v>
      </c>
      <c r="M13" s="22" t="s">
        <v>30</v>
      </c>
      <c r="N13" s="20" t="s">
        <v>179</v>
      </c>
      <c r="O13" s="22" t="s">
        <v>94</v>
      </c>
      <c r="P13" s="185" t="s">
        <v>2221</v>
      </c>
      <c r="Q13" s="20" t="s">
        <v>1140</v>
      </c>
      <c r="R13" s="22" t="s">
        <v>850</v>
      </c>
      <c r="S13" s="22" t="s">
        <v>854</v>
      </c>
      <c r="T13" s="182" t="s">
        <v>2216</v>
      </c>
      <c r="U13" s="175">
        <v>3.3719999999999999</v>
      </c>
      <c r="V13" s="158">
        <v>48.402999999999999</v>
      </c>
      <c r="W13" s="158">
        <v>163.21299999999999</v>
      </c>
      <c r="X13" s="174">
        <v>9.2E-5</v>
      </c>
      <c r="Y13" s="174">
        <v>7.2570238821186303E-3</v>
      </c>
      <c r="Z13" s="174">
        <v>1.0595205926666499E-3</v>
      </c>
    </row>
    <row r="14" spans="1:27">
      <c r="A14" s="22">
        <v>891</v>
      </c>
      <c r="B14" s="22">
        <v>9957</v>
      </c>
      <c r="C14" s="22" t="s">
        <v>2222</v>
      </c>
      <c r="D14" s="2" t="s">
        <v>2223</v>
      </c>
      <c r="E14" s="22" t="s">
        <v>33</v>
      </c>
      <c r="F14" s="22" t="s">
        <v>2224</v>
      </c>
      <c r="G14" s="22">
        <v>60397874</v>
      </c>
      <c r="H14" s="22" t="s">
        <v>33</v>
      </c>
      <c r="I14" s="2" t="s">
        <v>986</v>
      </c>
      <c r="J14" s="22" t="s">
        <v>525</v>
      </c>
      <c r="K14" s="20" t="s">
        <v>160</v>
      </c>
      <c r="L14" s="22" t="s">
        <v>2225</v>
      </c>
      <c r="M14" s="22" t="s">
        <v>248</v>
      </c>
      <c r="N14" s="20" t="s">
        <v>179</v>
      </c>
      <c r="O14" s="22" t="s">
        <v>94</v>
      </c>
      <c r="P14" s="185" t="s">
        <v>2226</v>
      </c>
      <c r="Q14" s="20" t="s">
        <v>1140</v>
      </c>
      <c r="R14" s="22" t="s">
        <v>850</v>
      </c>
      <c r="S14" s="22" t="s">
        <v>854</v>
      </c>
      <c r="T14" s="182" t="s">
        <v>2216</v>
      </c>
      <c r="U14" s="175">
        <v>3.3719999999999999</v>
      </c>
      <c r="V14" s="158">
        <v>84.927000000000007</v>
      </c>
      <c r="W14" s="158">
        <v>286.375</v>
      </c>
      <c r="X14" s="174">
        <v>1.8100000000000001E-4</v>
      </c>
      <c r="Y14" s="174">
        <v>1.2733204594628299E-2</v>
      </c>
      <c r="Z14" s="174">
        <v>1.85903928356753E-3</v>
      </c>
    </row>
    <row r="15" spans="1:27">
      <c r="A15" s="22">
        <v>891</v>
      </c>
      <c r="B15" s="22">
        <v>9957</v>
      </c>
      <c r="C15" s="22" t="s">
        <v>2227</v>
      </c>
      <c r="D15" s="2" t="s">
        <v>2228</v>
      </c>
      <c r="E15" s="22" t="s">
        <v>33</v>
      </c>
      <c r="F15" s="22" t="s">
        <v>2229</v>
      </c>
      <c r="G15" s="22">
        <v>62020409</v>
      </c>
      <c r="H15" s="22" t="s">
        <v>33</v>
      </c>
      <c r="I15" s="2" t="s">
        <v>986</v>
      </c>
      <c r="J15" s="22" t="s">
        <v>525</v>
      </c>
      <c r="K15" s="20" t="s">
        <v>160</v>
      </c>
      <c r="L15" s="22" t="s">
        <v>179</v>
      </c>
      <c r="M15" s="22" t="s">
        <v>179</v>
      </c>
      <c r="N15" s="20" t="s">
        <v>179</v>
      </c>
      <c r="O15" s="22" t="s">
        <v>94</v>
      </c>
      <c r="P15" s="185" t="s">
        <v>2230</v>
      </c>
      <c r="Q15" s="20" t="s">
        <v>1140</v>
      </c>
      <c r="R15" s="22" t="s">
        <v>850</v>
      </c>
      <c r="S15" s="22" t="s">
        <v>854</v>
      </c>
      <c r="T15" s="182" t="s">
        <v>2216</v>
      </c>
      <c r="U15" s="175">
        <v>3.3719999999999999</v>
      </c>
      <c r="V15" s="158">
        <v>221.8</v>
      </c>
      <c r="W15" s="158">
        <v>747.91099999999994</v>
      </c>
      <c r="X15" s="174">
        <v>0</v>
      </c>
      <c r="Y15" s="174">
        <v>3.3254703783140702E-2</v>
      </c>
      <c r="Z15" s="174">
        <v>4.8551643254315198E-3</v>
      </c>
    </row>
    <row r="16" spans="1:27">
      <c r="A16" s="22">
        <v>891</v>
      </c>
      <c r="B16" s="22">
        <v>9957</v>
      </c>
      <c r="C16" s="22" t="s">
        <v>2231</v>
      </c>
      <c r="D16" s="2" t="s">
        <v>2232</v>
      </c>
      <c r="E16" s="22" t="s">
        <v>266</v>
      </c>
      <c r="F16" s="22" t="s">
        <v>2233</v>
      </c>
      <c r="G16" s="22">
        <v>62022132</v>
      </c>
      <c r="H16" s="22" t="s">
        <v>33</v>
      </c>
      <c r="I16" s="2" t="s">
        <v>986</v>
      </c>
      <c r="J16" s="22" t="s">
        <v>525</v>
      </c>
      <c r="K16" s="20" t="s">
        <v>160</v>
      </c>
      <c r="L16" s="22" t="s">
        <v>172</v>
      </c>
      <c r="M16" s="22" t="s">
        <v>179</v>
      </c>
      <c r="N16" s="20" t="s">
        <v>179</v>
      </c>
      <c r="O16" s="22" t="s">
        <v>94</v>
      </c>
      <c r="P16" s="185" t="s">
        <v>2234</v>
      </c>
      <c r="Q16" s="20" t="s">
        <v>1140</v>
      </c>
      <c r="R16" s="22" t="s">
        <v>850</v>
      </c>
      <c r="S16" s="22" t="s">
        <v>854</v>
      </c>
      <c r="T16" s="182" t="s">
        <v>2234</v>
      </c>
      <c r="U16" s="175">
        <v>3.3719999999999999</v>
      </c>
      <c r="V16" s="158">
        <v>54.637</v>
      </c>
      <c r="W16" s="158">
        <v>184.23599999999999</v>
      </c>
      <c r="X16" s="174">
        <v>3.4E-5</v>
      </c>
      <c r="Y16" s="174">
        <v>8.1917477492735105E-3</v>
      </c>
      <c r="Z16" s="174">
        <v>1.19598964689532E-3</v>
      </c>
    </row>
    <row r="17" spans="1:26">
      <c r="A17" s="22">
        <v>891</v>
      </c>
      <c r="B17" s="22">
        <v>9957</v>
      </c>
      <c r="C17" s="22" t="s">
        <v>2235</v>
      </c>
      <c r="D17" s="2" t="s">
        <v>2236</v>
      </c>
      <c r="E17" s="22" t="s">
        <v>266</v>
      </c>
      <c r="F17" s="22" t="s">
        <v>2237</v>
      </c>
      <c r="G17" s="22">
        <v>62022363</v>
      </c>
      <c r="H17" s="22" t="s">
        <v>33</v>
      </c>
      <c r="I17" s="2" t="s">
        <v>990</v>
      </c>
      <c r="J17" s="22" t="s">
        <v>525</v>
      </c>
      <c r="K17" s="20" t="s">
        <v>160</v>
      </c>
      <c r="L17" s="22" t="s">
        <v>179</v>
      </c>
      <c r="M17" s="22" t="s">
        <v>179</v>
      </c>
      <c r="N17" s="20" t="s">
        <v>227</v>
      </c>
      <c r="O17" s="22" t="s">
        <v>94</v>
      </c>
      <c r="P17" s="185" t="s">
        <v>2238</v>
      </c>
      <c r="Q17" s="20" t="s">
        <v>1142</v>
      </c>
      <c r="R17" s="22" t="s">
        <v>850</v>
      </c>
      <c r="S17" s="22" t="s">
        <v>2197</v>
      </c>
      <c r="T17" s="182" t="s">
        <v>95</v>
      </c>
      <c r="U17" s="175">
        <v>3.9552</v>
      </c>
      <c r="V17" s="158">
        <v>29.437999999999999</v>
      </c>
      <c r="W17" s="158">
        <v>116.432</v>
      </c>
      <c r="X17" s="174">
        <v>2.3699999999999999E-4</v>
      </c>
      <c r="Y17" s="174">
        <v>5.1769807437090903E-3</v>
      </c>
      <c r="Z17" s="174">
        <v>7.55835697235866E-4</v>
      </c>
    </row>
    <row r="18" spans="1:26">
      <c r="A18" s="22">
        <v>891</v>
      </c>
      <c r="B18" s="22">
        <v>9957</v>
      </c>
      <c r="C18" s="22" t="s">
        <v>2239</v>
      </c>
      <c r="D18" s="2" t="s">
        <v>2240</v>
      </c>
      <c r="E18" s="22" t="s">
        <v>267</v>
      </c>
      <c r="F18" s="22" t="s">
        <v>2241</v>
      </c>
      <c r="G18" s="22">
        <v>62020128</v>
      </c>
      <c r="H18" s="22" t="s">
        <v>33</v>
      </c>
      <c r="I18" s="2" t="s">
        <v>986</v>
      </c>
      <c r="J18" s="22" t="s">
        <v>525</v>
      </c>
      <c r="K18" s="20" t="s">
        <v>160</v>
      </c>
      <c r="L18" s="22" t="s">
        <v>30</v>
      </c>
      <c r="M18" s="22" t="s">
        <v>30</v>
      </c>
      <c r="N18" s="20" t="s">
        <v>179</v>
      </c>
      <c r="O18" s="22" t="s">
        <v>94</v>
      </c>
      <c r="P18" s="185" t="s">
        <v>2242</v>
      </c>
      <c r="Q18" s="20" t="s">
        <v>1140</v>
      </c>
      <c r="R18" s="22" t="s">
        <v>850</v>
      </c>
      <c r="S18" s="22" t="s">
        <v>854</v>
      </c>
      <c r="T18" s="182" t="s">
        <v>2243</v>
      </c>
      <c r="U18" s="175">
        <v>3.3719999999999999</v>
      </c>
      <c r="V18" s="158">
        <v>27.042999999999999</v>
      </c>
      <c r="W18" s="158">
        <v>91.19</v>
      </c>
      <c r="X18" s="174">
        <v>0</v>
      </c>
      <c r="Y18" s="174">
        <v>4.0546378321925196E-3</v>
      </c>
      <c r="Z18" s="174">
        <v>5.9197438906030599E-4</v>
      </c>
    </row>
    <row r="19" spans="1:26">
      <c r="A19" s="22">
        <v>891</v>
      </c>
      <c r="B19" s="22">
        <v>9957</v>
      </c>
      <c r="C19" s="22" t="s">
        <v>2244</v>
      </c>
      <c r="D19" s="2" t="s">
        <v>2245</v>
      </c>
      <c r="E19" s="22" t="s">
        <v>33</v>
      </c>
      <c r="F19" s="22" t="s">
        <v>2246</v>
      </c>
      <c r="G19" s="22">
        <v>62019567</v>
      </c>
      <c r="H19" s="22" t="s">
        <v>33</v>
      </c>
      <c r="I19" s="2" t="s">
        <v>986</v>
      </c>
      <c r="J19" s="22" t="s">
        <v>525</v>
      </c>
      <c r="K19" s="20" t="s">
        <v>160</v>
      </c>
      <c r="L19" s="22" t="s">
        <v>172</v>
      </c>
      <c r="M19" s="22" t="s">
        <v>172</v>
      </c>
      <c r="N19" s="20" t="s">
        <v>179</v>
      </c>
      <c r="O19" s="22" t="s">
        <v>94</v>
      </c>
      <c r="P19" s="185" t="s">
        <v>2247</v>
      </c>
      <c r="Q19" s="20" t="s">
        <v>1140</v>
      </c>
      <c r="R19" s="22" t="s">
        <v>850</v>
      </c>
      <c r="S19" s="22" t="s">
        <v>854</v>
      </c>
      <c r="T19" s="182" t="s">
        <v>2248</v>
      </c>
      <c r="U19" s="175">
        <v>3.3719999999999999</v>
      </c>
      <c r="V19" s="158">
        <v>60.29</v>
      </c>
      <c r="W19" s="158">
        <v>203.298</v>
      </c>
      <c r="X19" s="174">
        <v>0</v>
      </c>
      <c r="Y19" s="174">
        <v>9.0393247907220205E-3</v>
      </c>
      <c r="Z19" s="174">
        <v>1.3197353233425E-3</v>
      </c>
    </row>
    <row r="20" spans="1:26">
      <c r="A20" s="2">
        <v>891</v>
      </c>
      <c r="B20" s="2">
        <v>9957</v>
      </c>
      <c r="C20" s="2" t="s">
        <v>2244</v>
      </c>
      <c r="D20" s="2" t="s">
        <v>2245</v>
      </c>
      <c r="E20" s="22" t="s">
        <v>33</v>
      </c>
      <c r="F20" s="2" t="s">
        <v>2249</v>
      </c>
      <c r="G20" s="2">
        <v>62019575</v>
      </c>
      <c r="H20" s="22" t="s">
        <v>33</v>
      </c>
      <c r="I20" s="2" t="s">
        <v>986</v>
      </c>
      <c r="J20" s="22" t="s">
        <v>525</v>
      </c>
      <c r="K20" s="20" t="s">
        <v>160</v>
      </c>
      <c r="L20" s="22" t="s">
        <v>172</v>
      </c>
      <c r="M20" s="22" t="s">
        <v>172</v>
      </c>
      <c r="N20" s="20" t="s">
        <v>179</v>
      </c>
      <c r="O20" s="22" t="s">
        <v>94</v>
      </c>
      <c r="P20" s="185" t="s">
        <v>2247</v>
      </c>
      <c r="Q20" s="2" t="s">
        <v>1140</v>
      </c>
      <c r="R20" s="22" t="s">
        <v>850</v>
      </c>
      <c r="S20" s="22" t="s">
        <v>854</v>
      </c>
      <c r="T20" s="183" t="s">
        <v>2248</v>
      </c>
      <c r="U20" s="163">
        <v>3.3719999999999999</v>
      </c>
      <c r="V20" s="156">
        <v>60.194000000000003</v>
      </c>
      <c r="W20" s="156">
        <v>202.97300000000001</v>
      </c>
      <c r="X20" s="168">
        <v>0</v>
      </c>
      <c r="Y20" s="168">
        <v>9.0248597403319794E-3</v>
      </c>
      <c r="Z20" s="168">
        <v>1.3176234357407601E-3</v>
      </c>
    </row>
    <row r="21" spans="1:26">
      <c r="A21" s="2">
        <v>891</v>
      </c>
      <c r="B21" s="2">
        <v>9957</v>
      </c>
      <c r="C21" s="2" t="s">
        <v>2250</v>
      </c>
      <c r="D21" s="2" t="s">
        <v>2251</v>
      </c>
      <c r="E21" s="2" t="s">
        <v>33</v>
      </c>
      <c r="F21" s="2" t="s">
        <v>2252</v>
      </c>
      <c r="G21" s="2">
        <v>62017934</v>
      </c>
      <c r="H21" s="2" t="s">
        <v>33</v>
      </c>
      <c r="I21" s="2" t="s">
        <v>986</v>
      </c>
      <c r="J21" s="2" t="s">
        <v>525</v>
      </c>
      <c r="K21" s="2" t="s">
        <v>160</v>
      </c>
      <c r="L21" s="2" t="s">
        <v>172</v>
      </c>
      <c r="M21" s="2" t="s">
        <v>179</v>
      </c>
      <c r="N21" s="2" t="s">
        <v>179</v>
      </c>
      <c r="O21" s="2" t="s">
        <v>94</v>
      </c>
      <c r="P21" s="185" t="s">
        <v>2253</v>
      </c>
      <c r="Q21" s="2" t="s">
        <v>1140</v>
      </c>
      <c r="R21" s="2" t="s">
        <v>850</v>
      </c>
      <c r="S21" s="2" t="s">
        <v>854</v>
      </c>
      <c r="T21" s="183" t="s">
        <v>2254</v>
      </c>
      <c r="U21" s="163">
        <v>3.3719999999999999</v>
      </c>
      <c r="V21" s="156">
        <v>202.66399999999999</v>
      </c>
      <c r="W21" s="156">
        <v>683.38300000000004</v>
      </c>
      <c r="X21" s="168">
        <v>0</v>
      </c>
      <c r="Y21" s="168">
        <v>3.0385551669552899E-2</v>
      </c>
      <c r="Z21" s="168">
        <v>4.4362700517982601E-3</v>
      </c>
    </row>
    <row r="22" spans="1:26">
      <c r="A22" s="2">
        <v>891</v>
      </c>
      <c r="B22" s="2">
        <v>9957</v>
      </c>
      <c r="C22" s="2" t="s">
        <v>2255</v>
      </c>
      <c r="D22" s="2" t="s">
        <v>2256</v>
      </c>
      <c r="E22" s="2" t="s">
        <v>266</v>
      </c>
      <c r="F22" s="2" t="s">
        <v>2257</v>
      </c>
      <c r="G22" s="2">
        <v>62009865</v>
      </c>
      <c r="H22" s="2" t="s">
        <v>33</v>
      </c>
      <c r="I22" s="2" t="s">
        <v>990</v>
      </c>
      <c r="J22" s="2" t="s">
        <v>525</v>
      </c>
      <c r="K22" s="2" t="s">
        <v>160</v>
      </c>
      <c r="L22" s="2" t="s">
        <v>179</v>
      </c>
      <c r="M22" s="2" t="s">
        <v>179</v>
      </c>
      <c r="N22" s="2" t="s">
        <v>179</v>
      </c>
      <c r="O22" s="2" t="s">
        <v>94</v>
      </c>
      <c r="P22" s="185" t="s">
        <v>2258</v>
      </c>
      <c r="Q22" s="2" t="s">
        <v>1140</v>
      </c>
      <c r="R22" s="2" t="s">
        <v>850</v>
      </c>
      <c r="S22" s="2" t="s">
        <v>854</v>
      </c>
      <c r="T22" s="183" t="s">
        <v>2198</v>
      </c>
      <c r="U22" s="163">
        <v>3.3719999999999999</v>
      </c>
      <c r="V22" s="156">
        <v>58.731999999999999</v>
      </c>
      <c r="W22" s="156">
        <v>198.04499999999999</v>
      </c>
      <c r="X22" s="168">
        <v>0</v>
      </c>
      <c r="Y22" s="168">
        <v>8.8057655107412793E-3</v>
      </c>
      <c r="Z22" s="168">
        <v>1.28563582597724E-3</v>
      </c>
    </row>
    <row r="23" spans="1:26">
      <c r="A23" s="2">
        <v>891</v>
      </c>
      <c r="B23" s="2">
        <v>9957</v>
      </c>
      <c r="C23" s="2" t="s">
        <v>2259</v>
      </c>
      <c r="D23" s="2" t="s">
        <v>2260</v>
      </c>
      <c r="E23" s="2" t="s">
        <v>33</v>
      </c>
      <c r="F23" s="2" t="s">
        <v>2261</v>
      </c>
      <c r="G23" s="2">
        <v>62020359</v>
      </c>
      <c r="H23" s="2" t="s">
        <v>33</v>
      </c>
      <c r="I23" s="2" t="s">
        <v>990</v>
      </c>
      <c r="J23" s="2" t="s">
        <v>525</v>
      </c>
      <c r="K23" s="2" t="s">
        <v>160</v>
      </c>
      <c r="L23" s="2" t="s">
        <v>172</v>
      </c>
      <c r="M23" s="2" t="s">
        <v>179</v>
      </c>
      <c r="N23" s="2" t="s">
        <v>179</v>
      </c>
      <c r="O23" s="2" t="s">
        <v>94</v>
      </c>
      <c r="P23" s="185" t="s">
        <v>2262</v>
      </c>
      <c r="Q23" s="2" t="s">
        <v>1140</v>
      </c>
      <c r="R23" s="2" t="s">
        <v>850</v>
      </c>
      <c r="S23" s="2" t="s">
        <v>854</v>
      </c>
      <c r="T23" s="183" t="s">
        <v>2202</v>
      </c>
      <c r="U23" s="163">
        <v>3.3719999999999999</v>
      </c>
      <c r="V23" s="156">
        <v>387.36799999999999</v>
      </c>
      <c r="W23" s="156">
        <v>1306.204</v>
      </c>
      <c r="X23" s="168">
        <v>0</v>
      </c>
      <c r="Y23" s="168">
        <v>5.8078329607102797E-2</v>
      </c>
      <c r="Z23" s="168">
        <v>8.47939695472541E-3</v>
      </c>
    </row>
    <row r="24" spans="1:26">
      <c r="A24" s="2">
        <v>891</v>
      </c>
      <c r="B24" s="2">
        <v>9957</v>
      </c>
      <c r="C24" s="2" t="s">
        <v>2263</v>
      </c>
      <c r="D24" s="2" t="s">
        <v>2256</v>
      </c>
      <c r="E24" s="2" t="s">
        <v>266</v>
      </c>
      <c r="F24" s="2" t="s">
        <v>2264</v>
      </c>
      <c r="G24" s="2">
        <v>62016969</v>
      </c>
      <c r="H24" s="2" t="s">
        <v>33</v>
      </c>
      <c r="I24" s="2" t="s">
        <v>989</v>
      </c>
      <c r="J24" s="2" t="s">
        <v>525</v>
      </c>
      <c r="K24" s="2" t="s">
        <v>160</v>
      </c>
      <c r="L24" s="2" t="s">
        <v>179</v>
      </c>
      <c r="M24" s="2" t="s">
        <v>179</v>
      </c>
      <c r="N24" s="2" t="s">
        <v>179</v>
      </c>
      <c r="O24" s="2" t="s">
        <v>94</v>
      </c>
      <c r="P24" s="185" t="s">
        <v>2265</v>
      </c>
      <c r="Q24" s="2" t="s">
        <v>1140</v>
      </c>
      <c r="R24" s="2" t="s">
        <v>850</v>
      </c>
      <c r="S24" s="2" t="s">
        <v>854</v>
      </c>
      <c r="T24" s="183" t="s">
        <v>2180</v>
      </c>
      <c r="U24" s="163">
        <v>3.3719999999999999</v>
      </c>
      <c r="V24" s="156">
        <v>115.56399999999999</v>
      </c>
      <c r="W24" s="156">
        <v>389.68200000000002</v>
      </c>
      <c r="X24" s="168">
        <v>0</v>
      </c>
      <c r="Y24" s="168">
        <v>1.7326618487191001E-2</v>
      </c>
      <c r="Z24" s="168">
        <v>2.5296746140923598E-3</v>
      </c>
    </row>
    <row r="25" spans="1:26">
      <c r="A25" s="2">
        <v>891</v>
      </c>
      <c r="B25" s="2">
        <v>9957</v>
      </c>
      <c r="C25" s="2" t="s">
        <v>2266</v>
      </c>
      <c r="D25" s="2" t="s">
        <v>2267</v>
      </c>
      <c r="E25" s="2" t="s">
        <v>1264</v>
      </c>
      <c r="F25" s="2" t="s">
        <v>2268</v>
      </c>
      <c r="G25" s="2">
        <v>62018891</v>
      </c>
      <c r="H25" s="2" t="s">
        <v>33</v>
      </c>
      <c r="I25" s="2" t="s">
        <v>986</v>
      </c>
      <c r="J25" s="2" t="s">
        <v>525</v>
      </c>
      <c r="K25" s="2" t="s">
        <v>160</v>
      </c>
      <c r="L25" s="2" t="s">
        <v>208</v>
      </c>
      <c r="M25" s="2" t="s">
        <v>208</v>
      </c>
      <c r="N25" s="2" t="s">
        <v>251</v>
      </c>
      <c r="O25" s="2" t="s">
        <v>94</v>
      </c>
      <c r="P25" s="185" t="s">
        <v>2269</v>
      </c>
      <c r="Q25" s="2" t="s">
        <v>1142</v>
      </c>
      <c r="R25" s="11" t="s">
        <v>850</v>
      </c>
      <c r="S25" s="2" t="s">
        <v>854</v>
      </c>
      <c r="T25" s="183" t="s">
        <v>2270</v>
      </c>
      <c r="U25" s="163">
        <v>3.9552</v>
      </c>
      <c r="V25" s="156">
        <v>177.553</v>
      </c>
      <c r="W25" s="156">
        <v>702.25699999999995</v>
      </c>
      <c r="X25" s="168">
        <v>0</v>
      </c>
      <c r="Y25" s="168">
        <v>3.1224793356478799E-2</v>
      </c>
      <c r="Z25" s="168">
        <v>4.5587987721064996E-3</v>
      </c>
    </row>
    <row r="26" spans="1:26">
      <c r="A26" s="2">
        <v>891</v>
      </c>
      <c r="B26" s="2">
        <v>9957</v>
      </c>
      <c r="C26" s="2" t="s">
        <v>2271</v>
      </c>
      <c r="D26" s="2" t="s">
        <v>2272</v>
      </c>
      <c r="E26" s="2" t="s">
        <v>1264</v>
      </c>
      <c r="F26" s="2" t="s">
        <v>2273</v>
      </c>
      <c r="G26" s="2">
        <v>62017942</v>
      </c>
      <c r="H26" s="2" t="s">
        <v>33</v>
      </c>
      <c r="I26" s="2" t="s">
        <v>990</v>
      </c>
      <c r="J26" s="2" t="s">
        <v>525</v>
      </c>
      <c r="K26" s="2" t="s">
        <v>160</v>
      </c>
      <c r="L26" s="2" t="s">
        <v>172</v>
      </c>
      <c r="M26" s="2" t="s">
        <v>30</v>
      </c>
      <c r="N26" s="2" t="s">
        <v>248</v>
      </c>
      <c r="O26" s="2" t="s">
        <v>94</v>
      </c>
      <c r="P26" s="185" t="s">
        <v>2253</v>
      </c>
      <c r="Q26" s="2" t="s">
        <v>1142</v>
      </c>
      <c r="R26" s="11" t="s">
        <v>850</v>
      </c>
      <c r="S26" s="2" t="s">
        <v>854</v>
      </c>
      <c r="T26" s="183" t="s">
        <v>2274</v>
      </c>
      <c r="U26" s="163">
        <v>3.9552</v>
      </c>
      <c r="V26" s="156">
        <v>103.93</v>
      </c>
      <c r="W26" s="156">
        <v>411.06299999999999</v>
      </c>
      <c r="X26" s="168">
        <v>0</v>
      </c>
      <c r="Y26" s="168">
        <v>1.82772696344022E-2</v>
      </c>
      <c r="Z26" s="168">
        <v>2.6684690404679199E-3</v>
      </c>
    </row>
    <row r="27" spans="1:26">
      <c r="A27" s="2">
        <v>891</v>
      </c>
      <c r="B27" s="2">
        <v>9957</v>
      </c>
      <c r="C27" s="2" t="s">
        <v>2275</v>
      </c>
      <c r="D27" s="2" t="s">
        <v>2276</v>
      </c>
      <c r="E27" s="2" t="s">
        <v>33</v>
      </c>
      <c r="F27" s="2" t="s">
        <v>2277</v>
      </c>
      <c r="G27" s="2">
        <v>62017876</v>
      </c>
      <c r="H27" s="2" t="s">
        <v>33</v>
      </c>
      <c r="I27" s="2" t="s">
        <v>986</v>
      </c>
      <c r="J27" s="2" t="s">
        <v>525</v>
      </c>
      <c r="K27" s="2" t="s">
        <v>160</v>
      </c>
      <c r="L27" s="2" t="s">
        <v>172</v>
      </c>
      <c r="M27" s="2" t="s">
        <v>172</v>
      </c>
      <c r="N27" s="2" t="s">
        <v>179</v>
      </c>
      <c r="O27" s="2" t="s">
        <v>94</v>
      </c>
      <c r="P27" s="185" t="s">
        <v>2278</v>
      </c>
      <c r="Q27" s="2" t="s">
        <v>1140</v>
      </c>
      <c r="R27" s="2" t="s">
        <v>850</v>
      </c>
      <c r="S27" s="2" t="s">
        <v>854</v>
      </c>
      <c r="T27" s="183" t="s">
        <v>2198</v>
      </c>
      <c r="U27" s="163">
        <v>3.3719999999999999</v>
      </c>
      <c r="V27" s="156">
        <v>63.232999999999997</v>
      </c>
      <c r="W27" s="156">
        <v>213.221</v>
      </c>
      <c r="X27" s="168">
        <v>0</v>
      </c>
      <c r="Y27" s="168">
        <v>9.4805346187084808E-3</v>
      </c>
      <c r="Z27" s="168">
        <v>1.3841516606774801E-3</v>
      </c>
    </row>
    <row r="28" spans="1:26">
      <c r="A28" s="2">
        <v>891</v>
      </c>
      <c r="B28" s="2">
        <v>9957</v>
      </c>
      <c r="C28" s="2" t="s">
        <v>2279</v>
      </c>
      <c r="D28" s="2" t="s">
        <v>2280</v>
      </c>
      <c r="E28" s="2" t="s">
        <v>33</v>
      </c>
      <c r="F28" s="2" t="s">
        <v>2281</v>
      </c>
      <c r="G28" s="2">
        <v>62018734</v>
      </c>
      <c r="H28" s="2" t="s">
        <v>33</v>
      </c>
      <c r="I28" s="2" t="s">
        <v>986</v>
      </c>
      <c r="J28" s="2" t="s">
        <v>525</v>
      </c>
      <c r="K28" s="2" t="s">
        <v>160</v>
      </c>
      <c r="L28" s="2" t="s">
        <v>179</v>
      </c>
      <c r="M28" s="2" t="s">
        <v>179</v>
      </c>
      <c r="N28" s="2" t="s">
        <v>179</v>
      </c>
      <c r="O28" s="2" t="s">
        <v>94</v>
      </c>
      <c r="P28" s="185" t="s">
        <v>2282</v>
      </c>
      <c r="Q28" s="2" t="s">
        <v>1140</v>
      </c>
      <c r="R28" s="2" t="s">
        <v>850</v>
      </c>
      <c r="S28" s="2" t="s">
        <v>854</v>
      </c>
      <c r="T28" s="183" t="s">
        <v>2198</v>
      </c>
      <c r="U28" s="163">
        <v>3.3719999999999999</v>
      </c>
      <c r="V28" s="156">
        <v>83.998999999999995</v>
      </c>
      <c r="W28" s="156">
        <v>283.24599999999998</v>
      </c>
      <c r="X28" s="168">
        <v>0</v>
      </c>
      <c r="Y28" s="168">
        <v>1.2594100349457E-2</v>
      </c>
      <c r="Z28" s="168">
        <v>1.83873015758414E-3</v>
      </c>
    </row>
    <row r="29" spans="1:26">
      <c r="A29" s="2">
        <v>891</v>
      </c>
      <c r="B29" s="2">
        <v>9957</v>
      </c>
      <c r="C29" s="2" t="s">
        <v>2283</v>
      </c>
      <c r="D29" s="2" t="s">
        <v>2284</v>
      </c>
      <c r="E29" s="2" t="s">
        <v>267</v>
      </c>
      <c r="F29" s="2" t="s">
        <v>2285</v>
      </c>
      <c r="G29" s="2">
        <v>62015433</v>
      </c>
      <c r="H29" s="2" t="s">
        <v>33</v>
      </c>
      <c r="I29" s="2" t="s">
        <v>986</v>
      </c>
      <c r="J29" s="2" t="s">
        <v>525</v>
      </c>
      <c r="K29" s="2" t="s">
        <v>160</v>
      </c>
      <c r="L29" s="2" t="s">
        <v>179</v>
      </c>
      <c r="M29" s="2" t="s">
        <v>179</v>
      </c>
      <c r="N29" s="2" t="s">
        <v>179</v>
      </c>
      <c r="O29" s="2" t="s">
        <v>94</v>
      </c>
      <c r="P29" s="185" t="s">
        <v>2286</v>
      </c>
      <c r="Q29" s="2" t="s">
        <v>1140</v>
      </c>
      <c r="R29" s="2" t="s">
        <v>850</v>
      </c>
      <c r="S29" s="2" t="s">
        <v>854</v>
      </c>
      <c r="T29" s="183" t="s">
        <v>2287</v>
      </c>
      <c r="U29" s="163">
        <v>3.3719999999999999</v>
      </c>
      <c r="V29" s="156">
        <v>212.07</v>
      </c>
      <c r="W29" s="156">
        <v>715.1</v>
      </c>
      <c r="X29" s="168">
        <v>0</v>
      </c>
      <c r="Y29" s="168">
        <v>3.1795810264836598E-2</v>
      </c>
      <c r="Z29" s="168">
        <v>4.6421668556340502E-3</v>
      </c>
    </row>
    <row r="30" spans="1:26">
      <c r="A30" s="2">
        <v>891</v>
      </c>
      <c r="B30" s="2">
        <v>9957</v>
      </c>
      <c r="C30" s="2" t="s">
        <v>2288</v>
      </c>
      <c r="D30" s="2" t="s">
        <v>2289</v>
      </c>
      <c r="E30" s="2" t="s">
        <v>33</v>
      </c>
      <c r="F30" s="2" t="s">
        <v>2290</v>
      </c>
      <c r="G30" s="2">
        <v>62014352</v>
      </c>
      <c r="H30" s="2" t="s">
        <v>33</v>
      </c>
      <c r="I30" s="2" t="s">
        <v>986</v>
      </c>
      <c r="J30" s="2" t="s">
        <v>525</v>
      </c>
      <c r="K30" s="2" t="s">
        <v>160</v>
      </c>
      <c r="L30" s="2" t="s">
        <v>179</v>
      </c>
      <c r="M30" s="2" t="s">
        <v>179</v>
      </c>
      <c r="N30" s="2" t="s">
        <v>179</v>
      </c>
      <c r="O30" s="2" t="s">
        <v>94</v>
      </c>
      <c r="P30" s="185" t="s">
        <v>2291</v>
      </c>
      <c r="Q30" s="2" t="s">
        <v>1140</v>
      </c>
      <c r="R30" s="2" t="s">
        <v>850</v>
      </c>
      <c r="S30" s="2" t="s">
        <v>854</v>
      </c>
      <c r="T30" s="183" t="s">
        <v>2287</v>
      </c>
      <c r="U30" s="163">
        <v>3.3719999999999999</v>
      </c>
      <c r="V30" s="156">
        <v>173.32900000000001</v>
      </c>
      <c r="W30" s="156">
        <v>584.46600000000001</v>
      </c>
      <c r="X30" s="168">
        <v>0</v>
      </c>
      <c r="Y30" s="168">
        <v>2.5987358667117901E-2</v>
      </c>
      <c r="Z30" s="168">
        <v>3.7941368395754899E-3</v>
      </c>
    </row>
    <row r="31" spans="1:26">
      <c r="A31" s="2">
        <v>891</v>
      </c>
      <c r="B31" s="2">
        <v>9957</v>
      </c>
      <c r="C31" s="2" t="s">
        <v>2292</v>
      </c>
      <c r="D31" s="2" t="s">
        <v>2293</v>
      </c>
      <c r="E31" s="2" t="s">
        <v>33</v>
      </c>
      <c r="F31" s="2" t="s">
        <v>2292</v>
      </c>
      <c r="G31" s="2">
        <v>62021076</v>
      </c>
      <c r="H31" s="2" t="s">
        <v>33</v>
      </c>
      <c r="I31" s="2" t="s">
        <v>986</v>
      </c>
      <c r="J31" s="2" t="s">
        <v>525</v>
      </c>
      <c r="K31" s="2" t="s">
        <v>160</v>
      </c>
      <c r="L31" s="2" t="s">
        <v>179</v>
      </c>
      <c r="M31" s="2" t="s">
        <v>179</v>
      </c>
      <c r="N31" s="2" t="s">
        <v>179</v>
      </c>
      <c r="O31" s="2" t="s">
        <v>94</v>
      </c>
      <c r="P31" s="185" t="s">
        <v>2294</v>
      </c>
      <c r="Q31" s="2" t="s">
        <v>1140</v>
      </c>
      <c r="R31" s="2" t="s">
        <v>850</v>
      </c>
      <c r="S31" s="2" t="s">
        <v>854</v>
      </c>
      <c r="T31" s="183" t="s">
        <v>2295</v>
      </c>
      <c r="U31" s="163">
        <v>3.3719999999999999</v>
      </c>
      <c r="V31" s="156">
        <v>149.733</v>
      </c>
      <c r="W31" s="156">
        <v>504.89800000000002</v>
      </c>
      <c r="X31" s="168">
        <v>0</v>
      </c>
      <c r="Y31" s="168">
        <v>2.24495208049648E-2</v>
      </c>
      <c r="Z31" s="168">
        <v>3.2776148976120601E-3</v>
      </c>
    </row>
    <row r="32" spans="1:26">
      <c r="A32" s="2">
        <v>891</v>
      </c>
      <c r="B32" s="2">
        <v>9957</v>
      </c>
      <c r="C32" s="2" t="s">
        <v>2296</v>
      </c>
      <c r="D32" s="2" t="s">
        <v>2297</v>
      </c>
      <c r="E32" s="2" t="s">
        <v>265</v>
      </c>
      <c r="F32" s="2" t="s">
        <v>2298</v>
      </c>
      <c r="G32" s="2">
        <v>60402914</v>
      </c>
      <c r="H32" s="2" t="s">
        <v>33</v>
      </c>
      <c r="I32" s="2" t="s">
        <v>989</v>
      </c>
      <c r="J32" s="2" t="s">
        <v>525</v>
      </c>
      <c r="K32" s="2" t="s">
        <v>160</v>
      </c>
      <c r="L32" s="2" t="s">
        <v>30</v>
      </c>
      <c r="M32" s="2" t="s">
        <v>30</v>
      </c>
      <c r="N32" s="2" t="s">
        <v>179</v>
      </c>
      <c r="O32" s="2" t="s">
        <v>94</v>
      </c>
      <c r="P32" s="185" t="s">
        <v>2299</v>
      </c>
      <c r="Q32" s="2" t="s">
        <v>1140</v>
      </c>
      <c r="R32" s="2" t="s">
        <v>850</v>
      </c>
      <c r="S32" s="2" t="s">
        <v>854</v>
      </c>
      <c r="T32" s="183" t="s">
        <v>95</v>
      </c>
      <c r="U32" s="163">
        <v>3.3719999999999999</v>
      </c>
      <c r="V32" s="156">
        <v>52.152999999999999</v>
      </c>
      <c r="W32" s="156">
        <v>175.86099999999999</v>
      </c>
      <c r="X32" s="168">
        <v>0</v>
      </c>
      <c r="Y32" s="168">
        <v>7.8193893867037397E-3</v>
      </c>
      <c r="Z32" s="168">
        <v>1.1416255770778799E-3</v>
      </c>
    </row>
    <row r="33" spans="1:26">
      <c r="A33" s="2">
        <v>891</v>
      </c>
      <c r="B33" s="2">
        <v>9957</v>
      </c>
      <c r="C33" s="2" t="s">
        <v>2300</v>
      </c>
      <c r="D33" s="2" t="s">
        <v>2301</v>
      </c>
      <c r="E33" s="2" t="s">
        <v>266</v>
      </c>
      <c r="F33" s="2" t="s">
        <v>2302</v>
      </c>
      <c r="G33" s="2">
        <v>62000395</v>
      </c>
      <c r="H33" s="2" t="s">
        <v>33</v>
      </c>
      <c r="I33" s="2" t="s">
        <v>986</v>
      </c>
      <c r="J33" s="2" t="s">
        <v>525</v>
      </c>
      <c r="K33" s="2" t="s">
        <v>160</v>
      </c>
      <c r="L33" s="2" t="s">
        <v>172</v>
      </c>
      <c r="M33" s="2" t="s">
        <v>30</v>
      </c>
      <c r="N33" s="2" t="s">
        <v>179</v>
      </c>
      <c r="O33" s="2" t="s">
        <v>94</v>
      </c>
      <c r="P33" s="185" t="s">
        <v>2303</v>
      </c>
      <c r="Q33" s="2" t="s">
        <v>1140</v>
      </c>
      <c r="R33" s="2" t="s">
        <v>850</v>
      </c>
      <c r="S33" s="2" t="s">
        <v>854</v>
      </c>
      <c r="T33" s="183" t="s">
        <v>2198</v>
      </c>
      <c r="U33" s="163">
        <v>3.3719999999999999</v>
      </c>
      <c r="V33" s="156">
        <v>126.065</v>
      </c>
      <c r="W33" s="156">
        <v>425.09199999999998</v>
      </c>
      <c r="X33" s="168">
        <v>0</v>
      </c>
      <c r="Y33" s="168">
        <v>1.8901039477706199E-2</v>
      </c>
      <c r="Z33" s="168">
        <v>2.7595390169211499E-3</v>
      </c>
    </row>
    <row r="34" spans="1:26">
      <c r="A34" s="2">
        <v>891</v>
      </c>
      <c r="B34" s="2">
        <v>9957</v>
      </c>
      <c r="C34" s="2" t="s">
        <v>2304</v>
      </c>
      <c r="D34" s="2" t="s">
        <v>2305</v>
      </c>
      <c r="E34" s="2" t="s">
        <v>33</v>
      </c>
      <c r="F34" s="2" t="s">
        <v>2306</v>
      </c>
      <c r="G34" s="2">
        <v>62019021</v>
      </c>
      <c r="H34" s="2" t="s">
        <v>33</v>
      </c>
      <c r="I34" s="2" t="s">
        <v>986</v>
      </c>
      <c r="J34" s="2" t="s">
        <v>525</v>
      </c>
      <c r="K34" s="2" t="s">
        <v>160</v>
      </c>
      <c r="L34" s="2" t="s">
        <v>179</v>
      </c>
      <c r="M34" s="2" t="s">
        <v>179</v>
      </c>
      <c r="N34" s="2" t="s">
        <v>179</v>
      </c>
      <c r="O34" s="2" t="s">
        <v>94</v>
      </c>
      <c r="P34" s="185" t="s">
        <v>2307</v>
      </c>
      <c r="Q34" s="2" t="s">
        <v>1140</v>
      </c>
      <c r="R34" s="2" t="s">
        <v>850</v>
      </c>
      <c r="S34" s="2" t="s">
        <v>854</v>
      </c>
      <c r="T34" s="183" t="s">
        <v>2243</v>
      </c>
      <c r="U34" s="163">
        <v>3.3719999999999999</v>
      </c>
      <c r="V34" s="156">
        <v>215.86199999999999</v>
      </c>
      <c r="W34" s="156">
        <v>727.88699999999994</v>
      </c>
      <c r="X34" s="168">
        <v>0</v>
      </c>
      <c r="Y34" s="168">
        <v>3.2364368044079203E-2</v>
      </c>
      <c r="Z34" s="168">
        <v>4.7251759079692196E-3</v>
      </c>
    </row>
    <row r="35" spans="1:26">
      <c r="A35" s="2">
        <v>891</v>
      </c>
      <c r="B35" s="2">
        <v>9957</v>
      </c>
      <c r="C35" s="2" t="s">
        <v>2308</v>
      </c>
      <c r="D35" s="2" t="s">
        <v>2309</v>
      </c>
      <c r="E35" s="2" t="s">
        <v>267</v>
      </c>
      <c r="F35" s="2" t="s">
        <v>2310</v>
      </c>
      <c r="G35" s="2">
        <v>62010970</v>
      </c>
      <c r="H35" s="2" t="s">
        <v>33</v>
      </c>
      <c r="I35" s="2" t="s">
        <v>986</v>
      </c>
      <c r="J35" s="2" t="s">
        <v>525</v>
      </c>
      <c r="K35" s="2" t="s">
        <v>160</v>
      </c>
      <c r="L35" s="2" t="s">
        <v>179</v>
      </c>
      <c r="M35" s="2" t="s">
        <v>179</v>
      </c>
      <c r="N35" s="2" t="s">
        <v>251</v>
      </c>
      <c r="O35" s="2" t="s">
        <v>94</v>
      </c>
      <c r="P35" s="185" t="s">
        <v>2311</v>
      </c>
      <c r="Q35" s="2" t="s">
        <v>1140</v>
      </c>
      <c r="R35" s="2" t="s">
        <v>850</v>
      </c>
      <c r="S35" s="2" t="s">
        <v>854</v>
      </c>
      <c r="T35" s="183" t="s">
        <v>2312</v>
      </c>
      <c r="U35" s="163">
        <v>3.3719999999999999</v>
      </c>
      <c r="V35" s="156">
        <v>247.84899999999999</v>
      </c>
      <c r="W35" s="156">
        <v>835.74599999999998</v>
      </c>
      <c r="X35" s="168">
        <v>0</v>
      </c>
      <c r="Y35" s="168">
        <v>3.7160148693466399E-2</v>
      </c>
      <c r="Z35" s="168">
        <v>5.42535664851469E-3</v>
      </c>
    </row>
    <row r="36" spans="1:26">
      <c r="A36" s="2">
        <v>891</v>
      </c>
      <c r="B36" s="2">
        <v>9957</v>
      </c>
      <c r="C36" s="2" t="s">
        <v>2313</v>
      </c>
      <c r="D36" s="2" t="s">
        <v>2314</v>
      </c>
      <c r="E36" s="2" t="s">
        <v>266</v>
      </c>
      <c r="F36" s="2" t="s">
        <v>2315</v>
      </c>
      <c r="G36" s="2">
        <v>62021001</v>
      </c>
      <c r="H36" s="2" t="s">
        <v>33</v>
      </c>
      <c r="I36" s="2" t="s">
        <v>986</v>
      </c>
      <c r="J36" s="2" t="s">
        <v>525</v>
      </c>
      <c r="K36" s="2" t="s">
        <v>160</v>
      </c>
      <c r="L36" s="2" t="s">
        <v>179</v>
      </c>
      <c r="M36" s="2" t="s">
        <v>179</v>
      </c>
      <c r="N36" s="2" t="s">
        <v>179</v>
      </c>
      <c r="O36" s="2" t="s">
        <v>94</v>
      </c>
      <c r="P36" s="185" t="s">
        <v>2316</v>
      </c>
      <c r="Q36" s="2" t="s">
        <v>1140</v>
      </c>
      <c r="R36" s="2" t="s">
        <v>850</v>
      </c>
      <c r="S36" s="2" t="s">
        <v>854</v>
      </c>
      <c r="T36" s="183" t="s">
        <v>2216</v>
      </c>
      <c r="U36" s="163">
        <v>3.3719999999999999</v>
      </c>
      <c r="V36" s="156">
        <v>67.433999999999997</v>
      </c>
      <c r="W36" s="156">
        <v>227.387</v>
      </c>
      <c r="X36" s="168">
        <v>0</v>
      </c>
      <c r="Y36" s="168">
        <v>1.0110405508403E-2</v>
      </c>
      <c r="Z36" s="168">
        <v>1.4761123857892E-3</v>
      </c>
    </row>
    <row r="37" spans="1:26">
      <c r="A37" s="2">
        <v>891</v>
      </c>
      <c r="B37" s="2">
        <v>9957</v>
      </c>
      <c r="C37" s="2" t="s">
        <v>2317</v>
      </c>
      <c r="D37" s="2" t="s">
        <v>2318</v>
      </c>
      <c r="E37" s="2" t="s">
        <v>33</v>
      </c>
      <c r="F37" s="2" t="s">
        <v>2319</v>
      </c>
      <c r="G37" s="2">
        <v>62021175</v>
      </c>
      <c r="H37" s="2" t="s">
        <v>33</v>
      </c>
      <c r="I37" s="2" t="s">
        <v>990</v>
      </c>
      <c r="J37" s="2" t="s">
        <v>525</v>
      </c>
      <c r="K37" s="2" t="s">
        <v>160</v>
      </c>
      <c r="L37" s="2" t="s">
        <v>179</v>
      </c>
      <c r="M37" s="2" t="s">
        <v>179</v>
      </c>
      <c r="N37" s="2" t="s">
        <v>179</v>
      </c>
      <c r="O37" s="2" t="s">
        <v>94</v>
      </c>
      <c r="P37" s="185" t="s">
        <v>2320</v>
      </c>
      <c r="Q37" s="2" t="s">
        <v>1140</v>
      </c>
      <c r="R37" s="2" t="s">
        <v>850</v>
      </c>
      <c r="S37" s="2" t="s">
        <v>854</v>
      </c>
      <c r="T37" s="183" t="s">
        <v>2321</v>
      </c>
      <c r="U37" s="163">
        <v>3.3719999999999999</v>
      </c>
      <c r="V37" s="156">
        <v>38.951999999999998</v>
      </c>
      <c r="W37" s="156">
        <v>131.345</v>
      </c>
      <c r="X37" s="168">
        <v>2.5595E-2</v>
      </c>
      <c r="Y37" s="168">
        <v>5.8400664150146898E-3</v>
      </c>
      <c r="Z37" s="168">
        <v>8.5264575806280802E-4</v>
      </c>
    </row>
    <row r="38" spans="1:26">
      <c r="A38" s="2">
        <v>891</v>
      </c>
      <c r="B38" s="2">
        <v>9957</v>
      </c>
      <c r="C38" s="2" t="s">
        <v>2322</v>
      </c>
      <c r="D38" s="2" t="s">
        <v>2323</v>
      </c>
      <c r="E38" s="2" t="s">
        <v>266</v>
      </c>
      <c r="F38" s="2" t="s">
        <v>2324</v>
      </c>
      <c r="G38" s="2">
        <v>62019740</v>
      </c>
      <c r="H38" s="2" t="s">
        <v>33</v>
      </c>
      <c r="I38" s="2" t="s">
        <v>986</v>
      </c>
      <c r="J38" s="2" t="s">
        <v>525</v>
      </c>
      <c r="K38" s="2" t="s">
        <v>160</v>
      </c>
      <c r="L38" s="2" t="s">
        <v>179</v>
      </c>
      <c r="M38" s="2" t="s">
        <v>179</v>
      </c>
      <c r="N38" s="2" t="s">
        <v>179</v>
      </c>
      <c r="O38" s="2" t="s">
        <v>94</v>
      </c>
      <c r="P38" s="185" t="s">
        <v>2325</v>
      </c>
      <c r="Q38" s="2" t="s">
        <v>1140</v>
      </c>
      <c r="R38" s="2" t="s">
        <v>850</v>
      </c>
      <c r="S38" s="2" t="s">
        <v>854</v>
      </c>
      <c r="T38" s="183" t="s">
        <v>95</v>
      </c>
      <c r="U38" s="163">
        <v>3.3719999999999999</v>
      </c>
      <c r="V38" s="156">
        <v>273.00700000000001</v>
      </c>
      <c r="W38" s="156">
        <v>920.57799999999997</v>
      </c>
      <c r="X38" s="168">
        <v>0</v>
      </c>
      <c r="Y38" s="168">
        <v>4.0932092388910102E-2</v>
      </c>
      <c r="Z38" s="168">
        <v>5.97605788425804E-3</v>
      </c>
    </row>
    <row r="39" spans="1:26">
      <c r="A39" s="2">
        <v>891</v>
      </c>
      <c r="B39" s="2">
        <v>9957</v>
      </c>
      <c r="C39" s="2" t="s">
        <v>2326</v>
      </c>
      <c r="D39" s="2" t="s">
        <v>2327</v>
      </c>
      <c r="E39" s="2" t="s">
        <v>33</v>
      </c>
      <c r="F39" s="2" t="s">
        <v>2328</v>
      </c>
      <c r="G39" s="2">
        <v>62018866</v>
      </c>
      <c r="H39" s="2" t="s">
        <v>33</v>
      </c>
      <c r="I39" s="2" t="s">
        <v>986</v>
      </c>
      <c r="J39" s="2" t="s">
        <v>525</v>
      </c>
      <c r="K39" s="2" t="s">
        <v>160</v>
      </c>
      <c r="L39" s="2" t="s">
        <v>179</v>
      </c>
      <c r="M39" s="2" t="s">
        <v>179</v>
      </c>
      <c r="N39" s="2" t="s">
        <v>179</v>
      </c>
      <c r="O39" s="2" t="s">
        <v>94</v>
      </c>
      <c r="P39" s="185" t="s">
        <v>2329</v>
      </c>
      <c r="Q39" s="2" t="s">
        <v>1140</v>
      </c>
      <c r="R39" s="2" t="s">
        <v>850</v>
      </c>
      <c r="S39" s="2" t="s">
        <v>854</v>
      </c>
      <c r="T39" s="183" t="s">
        <v>2216</v>
      </c>
      <c r="U39" s="163">
        <v>3.3719999999999999</v>
      </c>
      <c r="V39" s="156">
        <v>128.09899999999999</v>
      </c>
      <c r="W39" s="156">
        <v>431.95</v>
      </c>
      <c r="X39" s="168">
        <v>0</v>
      </c>
      <c r="Y39" s="168">
        <v>1.9205973221880401E-2</v>
      </c>
      <c r="Z39" s="168">
        <v>2.8040591379238601E-3</v>
      </c>
    </row>
    <row r="40" spans="1:26">
      <c r="A40" s="2">
        <v>891</v>
      </c>
      <c r="B40" s="2">
        <v>9957</v>
      </c>
      <c r="C40" s="2" t="s">
        <v>2330</v>
      </c>
      <c r="D40" s="2" t="s">
        <v>2331</v>
      </c>
      <c r="E40" s="2" t="s">
        <v>33</v>
      </c>
      <c r="F40" s="2" t="s">
        <v>2332</v>
      </c>
      <c r="G40" s="2">
        <v>62018486</v>
      </c>
      <c r="H40" s="2" t="s">
        <v>33</v>
      </c>
      <c r="I40" s="2" t="s">
        <v>986</v>
      </c>
      <c r="J40" s="2" t="s">
        <v>525</v>
      </c>
      <c r="K40" s="2" t="s">
        <v>160</v>
      </c>
      <c r="L40" s="2" t="s">
        <v>179</v>
      </c>
      <c r="M40" s="2" t="s">
        <v>179</v>
      </c>
      <c r="N40" s="2" t="s">
        <v>179</v>
      </c>
      <c r="O40" s="2" t="s">
        <v>94</v>
      </c>
      <c r="P40" s="185" t="s">
        <v>2333</v>
      </c>
      <c r="Q40" s="2" t="s">
        <v>1140</v>
      </c>
      <c r="R40" s="2" t="s">
        <v>850</v>
      </c>
      <c r="S40" s="2" t="s">
        <v>854</v>
      </c>
      <c r="T40" s="183" t="s">
        <v>2238</v>
      </c>
      <c r="U40" s="163">
        <v>3.3719999999999999</v>
      </c>
      <c r="V40" s="156">
        <v>178.066</v>
      </c>
      <c r="W40" s="156">
        <v>600.43799999999999</v>
      </c>
      <c r="X40" s="168">
        <v>0</v>
      </c>
      <c r="Y40" s="168">
        <v>2.6697554915689502E-2</v>
      </c>
      <c r="Z40" s="168">
        <v>3.8978250129119902E-3</v>
      </c>
    </row>
    <row r="41" spans="1:26">
      <c r="A41" s="2">
        <v>891</v>
      </c>
      <c r="B41" s="2">
        <v>9957</v>
      </c>
      <c r="C41" s="2" t="s">
        <v>2334</v>
      </c>
      <c r="D41" s="2" t="s">
        <v>2335</v>
      </c>
      <c r="E41" s="2" t="s">
        <v>33</v>
      </c>
      <c r="F41" s="2" t="s">
        <v>2336</v>
      </c>
      <c r="G41" s="2">
        <v>62021282</v>
      </c>
      <c r="H41" s="2" t="s">
        <v>33</v>
      </c>
      <c r="I41" s="2" t="s">
        <v>986</v>
      </c>
      <c r="J41" s="2" t="s">
        <v>525</v>
      </c>
      <c r="K41" s="2" t="s">
        <v>160</v>
      </c>
      <c r="L41" s="2" t="s">
        <v>208</v>
      </c>
      <c r="M41" s="2" t="s">
        <v>208</v>
      </c>
      <c r="N41" s="2" t="s">
        <v>208</v>
      </c>
      <c r="O41" s="2" t="s">
        <v>94</v>
      </c>
      <c r="P41" s="185" t="s">
        <v>2337</v>
      </c>
      <c r="Q41" s="2" t="s">
        <v>1140</v>
      </c>
      <c r="R41" s="2" t="s">
        <v>850</v>
      </c>
      <c r="S41" s="2" t="s">
        <v>854</v>
      </c>
      <c r="T41" s="183" t="s">
        <v>95</v>
      </c>
      <c r="U41" s="163">
        <v>3.3719999999999999</v>
      </c>
      <c r="V41" s="156">
        <v>72.974000000000004</v>
      </c>
      <c r="W41" s="156">
        <v>246.06800000000001</v>
      </c>
      <c r="X41" s="168">
        <v>0</v>
      </c>
      <c r="Y41" s="168">
        <v>1.09410378656788E-2</v>
      </c>
      <c r="Z41" s="168">
        <v>1.5973841497746301E-3</v>
      </c>
    </row>
    <row r="42" spans="1:26">
      <c r="A42" s="2">
        <v>891</v>
      </c>
      <c r="B42" s="2">
        <v>9957</v>
      </c>
      <c r="C42" s="2" t="s">
        <v>2338</v>
      </c>
      <c r="D42" s="2" t="s">
        <v>2339</v>
      </c>
      <c r="E42" s="2" t="s">
        <v>33</v>
      </c>
      <c r="F42" s="2" t="s">
        <v>2340</v>
      </c>
      <c r="G42" s="2">
        <v>62018668</v>
      </c>
      <c r="H42" s="2" t="s">
        <v>33</v>
      </c>
      <c r="I42" s="2" t="s">
        <v>986</v>
      </c>
      <c r="J42" s="2" t="s">
        <v>525</v>
      </c>
      <c r="K42" s="2" t="s">
        <v>160</v>
      </c>
      <c r="L42" s="2" t="s">
        <v>179</v>
      </c>
      <c r="M42" s="2" t="s">
        <v>179</v>
      </c>
      <c r="N42" s="2" t="s">
        <v>251</v>
      </c>
      <c r="O42" s="2" t="s">
        <v>94</v>
      </c>
      <c r="P42" s="185" t="s">
        <v>2341</v>
      </c>
      <c r="Q42" s="2" t="s">
        <v>1140</v>
      </c>
      <c r="R42" s="2" t="s">
        <v>850</v>
      </c>
      <c r="S42" s="2" t="s">
        <v>854</v>
      </c>
      <c r="T42" s="183" t="s">
        <v>2342</v>
      </c>
      <c r="U42" s="163">
        <v>3.3719999999999999</v>
      </c>
      <c r="V42" s="156">
        <v>5.258</v>
      </c>
      <c r="W42" s="156">
        <v>17.73</v>
      </c>
      <c r="X42" s="168">
        <v>0</v>
      </c>
      <c r="Y42" s="168">
        <v>7.8832753564340801E-4</v>
      </c>
      <c r="Z42" s="168">
        <v>1.15095288557393E-4</v>
      </c>
    </row>
    <row r="43" spans="1:26">
      <c r="A43" s="2">
        <v>891</v>
      </c>
      <c r="B43" s="2">
        <v>9957</v>
      </c>
      <c r="C43" s="2" t="s">
        <v>2343</v>
      </c>
      <c r="D43" s="2" t="s">
        <v>2344</v>
      </c>
      <c r="E43" s="2" t="s">
        <v>267</v>
      </c>
      <c r="F43" s="2" t="s">
        <v>2345</v>
      </c>
      <c r="G43" s="2">
        <v>62014592</v>
      </c>
      <c r="H43" s="2" t="s">
        <v>33</v>
      </c>
      <c r="I43" s="2" t="s">
        <v>986</v>
      </c>
      <c r="J43" s="2" t="s">
        <v>525</v>
      </c>
      <c r="K43" s="2" t="s">
        <v>160</v>
      </c>
      <c r="L43" s="2" t="s">
        <v>208</v>
      </c>
      <c r="M43" s="2" t="s">
        <v>188</v>
      </c>
      <c r="N43" s="2" t="s">
        <v>179</v>
      </c>
      <c r="O43" s="2" t="s">
        <v>94</v>
      </c>
      <c r="P43" s="185" t="s">
        <v>2346</v>
      </c>
      <c r="Q43" s="2" t="s">
        <v>1140</v>
      </c>
      <c r="R43" s="2" t="s">
        <v>850</v>
      </c>
      <c r="S43" s="2" t="s">
        <v>854</v>
      </c>
      <c r="T43" s="183" t="s">
        <v>2321</v>
      </c>
      <c r="U43" s="163">
        <v>3.3719999999999999</v>
      </c>
      <c r="V43" s="156">
        <v>145.74700000000001</v>
      </c>
      <c r="W43" s="156">
        <v>491.459</v>
      </c>
      <c r="X43" s="168">
        <v>0</v>
      </c>
      <c r="Y43" s="168">
        <v>2.1851977799903499E-2</v>
      </c>
      <c r="Z43" s="168">
        <v>3.1903740218549399E-3</v>
      </c>
    </row>
    <row r="44" spans="1:26">
      <c r="A44" s="2">
        <v>891</v>
      </c>
      <c r="B44" s="2">
        <v>9957</v>
      </c>
      <c r="C44" s="2" t="s">
        <v>2347</v>
      </c>
      <c r="D44" s="2" t="s">
        <v>2348</v>
      </c>
      <c r="E44" s="2" t="s">
        <v>33</v>
      </c>
      <c r="F44" s="2" t="s">
        <v>2349</v>
      </c>
      <c r="G44" s="2">
        <v>60407392</v>
      </c>
      <c r="H44" s="2" t="s">
        <v>33</v>
      </c>
      <c r="I44" s="2" t="s">
        <v>986</v>
      </c>
      <c r="J44" s="2" t="s">
        <v>525</v>
      </c>
      <c r="K44" s="2" t="s">
        <v>160</v>
      </c>
      <c r="L44" s="2" t="s">
        <v>30</v>
      </c>
      <c r="M44" s="2" t="s">
        <v>30</v>
      </c>
      <c r="N44" s="2" t="s">
        <v>179</v>
      </c>
      <c r="O44" s="2" t="s">
        <v>94</v>
      </c>
      <c r="P44" s="185" t="s">
        <v>2350</v>
      </c>
      <c r="Q44" s="2" t="s">
        <v>1140</v>
      </c>
      <c r="R44" s="2" t="s">
        <v>850</v>
      </c>
      <c r="S44" s="2" t="s">
        <v>854</v>
      </c>
      <c r="T44" s="183" t="s">
        <v>95</v>
      </c>
      <c r="U44" s="163">
        <v>3.3719999999999999</v>
      </c>
      <c r="V44" s="156">
        <v>39.83</v>
      </c>
      <c r="W44" s="156">
        <v>134.30600000000001</v>
      </c>
      <c r="X44" s="168">
        <v>9.9299999999999996E-4</v>
      </c>
      <c r="Y44" s="168">
        <v>5.9717181669709197E-3</v>
      </c>
      <c r="Z44" s="168">
        <v>8.7186682506273396E-4</v>
      </c>
    </row>
    <row r="45" spans="1:26">
      <c r="A45" s="2">
        <v>891</v>
      </c>
      <c r="B45" s="2">
        <v>9957</v>
      </c>
      <c r="C45" s="2" t="s">
        <v>2351</v>
      </c>
      <c r="D45" s="2" t="s">
        <v>2352</v>
      </c>
      <c r="E45" s="2" t="s">
        <v>33</v>
      </c>
      <c r="F45" s="2" t="s">
        <v>2351</v>
      </c>
      <c r="G45" s="2">
        <v>620211181</v>
      </c>
      <c r="H45" s="2" t="s">
        <v>33</v>
      </c>
      <c r="I45" s="2" t="s">
        <v>990</v>
      </c>
      <c r="J45" s="2" t="s">
        <v>525</v>
      </c>
      <c r="K45" s="2" t="s">
        <v>160</v>
      </c>
      <c r="L45" s="2" t="s">
        <v>2353</v>
      </c>
      <c r="M45" s="2" t="s">
        <v>248</v>
      </c>
      <c r="N45" s="2" t="s">
        <v>248</v>
      </c>
      <c r="O45" s="2" t="s">
        <v>94</v>
      </c>
      <c r="P45" s="185" t="s">
        <v>2354</v>
      </c>
      <c r="Q45" s="2" t="s">
        <v>1146</v>
      </c>
      <c r="R45" s="2" t="s">
        <v>850</v>
      </c>
      <c r="S45" s="2" t="s">
        <v>854</v>
      </c>
      <c r="T45" s="183" t="s">
        <v>2216</v>
      </c>
      <c r="U45" s="163">
        <v>4.6235999999999997</v>
      </c>
      <c r="V45" s="156">
        <v>25.827000000000002</v>
      </c>
      <c r="W45" s="156">
        <v>119.413</v>
      </c>
      <c r="X45" s="168">
        <v>0</v>
      </c>
      <c r="Y45" s="168">
        <v>5.30953223485779E-3</v>
      </c>
      <c r="Z45" s="168">
        <v>7.7518812555110999E-4</v>
      </c>
    </row>
    <row r="46" spans="1:26">
      <c r="A46" s="2">
        <v>891</v>
      </c>
      <c r="B46" s="2">
        <v>9957</v>
      </c>
      <c r="C46" s="2" t="s">
        <v>2355</v>
      </c>
      <c r="D46" s="2" t="s">
        <v>2356</v>
      </c>
      <c r="E46" s="2" t="s">
        <v>33</v>
      </c>
      <c r="F46" s="2" t="s">
        <v>2357</v>
      </c>
      <c r="G46" s="2">
        <v>62019716</v>
      </c>
      <c r="H46" s="2" t="s">
        <v>33</v>
      </c>
      <c r="I46" s="2" t="s">
        <v>986</v>
      </c>
      <c r="J46" s="2" t="s">
        <v>525</v>
      </c>
      <c r="K46" s="2" t="s">
        <v>160</v>
      </c>
      <c r="L46" s="2" t="s">
        <v>208</v>
      </c>
      <c r="M46" s="2" t="s">
        <v>208</v>
      </c>
      <c r="N46" s="2" t="s">
        <v>248</v>
      </c>
      <c r="O46" s="2" t="s">
        <v>94</v>
      </c>
      <c r="P46" s="185" t="s">
        <v>2358</v>
      </c>
      <c r="Q46" s="2" t="s">
        <v>1142</v>
      </c>
      <c r="R46" s="2" t="s">
        <v>850</v>
      </c>
      <c r="S46" s="2" t="s">
        <v>854</v>
      </c>
      <c r="T46" s="183" t="s">
        <v>2359</v>
      </c>
      <c r="U46" s="163">
        <v>3.9552</v>
      </c>
      <c r="V46" s="156">
        <v>78.176000000000002</v>
      </c>
      <c r="W46" s="156">
        <v>309.2</v>
      </c>
      <c r="X46" s="168">
        <v>0</v>
      </c>
      <c r="Y46" s="168">
        <v>1.37481043710872E-2</v>
      </c>
      <c r="Z46" s="168">
        <v>2.0072139664841001E-3</v>
      </c>
    </row>
    <row r="47" spans="1:26">
      <c r="A47" s="2">
        <v>891</v>
      </c>
      <c r="B47" s="2">
        <v>9957</v>
      </c>
      <c r="C47" s="2" t="s">
        <v>2338</v>
      </c>
      <c r="D47" s="2" t="s">
        <v>2339</v>
      </c>
      <c r="E47" s="2" t="s">
        <v>33</v>
      </c>
      <c r="F47" s="2" t="s">
        <v>2360</v>
      </c>
      <c r="G47" s="2">
        <v>62018965</v>
      </c>
      <c r="H47" s="2" t="s">
        <v>33</v>
      </c>
      <c r="I47" s="2" t="s">
        <v>986</v>
      </c>
      <c r="J47" s="2" t="s">
        <v>525</v>
      </c>
      <c r="K47" s="2" t="s">
        <v>160</v>
      </c>
      <c r="L47" s="2" t="s">
        <v>172</v>
      </c>
      <c r="M47" s="2" t="s">
        <v>172</v>
      </c>
      <c r="N47" s="2" t="s">
        <v>179</v>
      </c>
      <c r="O47" s="2" t="s">
        <v>94</v>
      </c>
      <c r="P47" s="185" t="s">
        <v>2361</v>
      </c>
      <c r="Q47" s="2" t="s">
        <v>1140</v>
      </c>
      <c r="R47" s="2" t="s">
        <v>850</v>
      </c>
      <c r="S47" s="2" t="s">
        <v>854</v>
      </c>
      <c r="T47" s="183" t="s">
        <v>2188</v>
      </c>
      <c r="U47" s="163">
        <v>3.3719999999999999</v>
      </c>
      <c r="V47" s="156">
        <v>86.691000000000003</v>
      </c>
      <c r="W47" s="156">
        <v>292.32100000000003</v>
      </c>
      <c r="X47" s="168">
        <v>0</v>
      </c>
      <c r="Y47" s="168">
        <v>1.2997590427510501E-2</v>
      </c>
      <c r="Z47" s="168">
        <v>1.89763943686703E-3</v>
      </c>
    </row>
    <row r="48" spans="1:26">
      <c r="A48" s="2">
        <v>891</v>
      </c>
      <c r="B48" s="2">
        <v>9957</v>
      </c>
      <c r="C48" s="2" t="s">
        <v>2362</v>
      </c>
      <c r="D48" s="2" t="s">
        <v>2363</v>
      </c>
      <c r="E48" s="2" t="s">
        <v>267</v>
      </c>
      <c r="F48" s="2" t="s">
        <v>2364</v>
      </c>
      <c r="G48" s="2">
        <v>62018098</v>
      </c>
      <c r="H48" s="2" t="s">
        <v>33</v>
      </c>
      <c r="I48" s="2" t="s">
        <v>986</v>
      </c>
      <c r="J48" s="2" t="s">
        <v>525</v>
      </c>
      <c r="K48" s="2" t="s">
        <v>160</v>
      </c>
      <c r="L48" s="2" t="s">
        <v>172</v>
      </c>
      <c r="M48" s="2" t="s">
        <v>179</v>
      </c>
      <c r="N48" s="2" t="s">
        <v>179</v>
      </c>
      <c r="O48" s="2" t="s">
        <v>94</v>
      </c>
      <c r="P48" s="185" t="s">
        <v>2365</v>
      </c>
      <c r="Q48" s="2" t="s">
        <v>1140</v>
      </c>
      <c r="R48" s="2" t="s">
        <v>850</v>
      </c>
      <c r="S48" s="2" t="s">
        <v>854</v>
      </c>
      <c r="T48" s="183" t="s">
        <v>2180</v>
      </c>
      <c r="U48" s="163">
        <v>3.3719999999999999</v>
      </c>
      <c r="V48" s="156">
        <v>85.269000000000005</v>
      </c>
      <c r="W48" s="156">
        <v>287.52600000000001</v>
      </c>
      <c r="X48" s="168">
        <v>0</v>
      </c>
      <c r="Y48" s="168">
        <v>1.27843983773637E-2</v>
      </c>
      <c r="Z48" s="168">
        <v>1.86651354132191E-3</v>
      </c>
    </row>
    <row r="49" spans="1:26">
      <c r="A49" s="2">
        <v>891</v>
      </c>
      <c r="B49" s="2">
        <v>9957</v>
      </c>
      <c r="C49" s="2" t="s">
        <v>2366</v>
      </c>
      <c r="D49" s="2" t="s">
        <v>2367</v>
      </c>
      <c r="E49" s="2" t="s">
        <v>33</v>
      </c>
      <c r="F49" s="2" t="s">
        <v>2366</v>
      </c>
      <c r="G49" s="2">
        <v>62020938</v>
      </c>
      <c r="H49" s="2" t="s">
        <v>33</v>
      </c>
      <c r="I49" s="2" t="s">
        <v>986</v>
      </c>
      <c r="J49" s="2" t="s">
        <v>525</v>
      </c>
      <c r="K49" s="2" t="s">
        <v>160</v>
      </c>
      <c r="L49" s="2" t="s">
        <v>30</v>
      </c>
      <c r="M49" s="2" t="s">
        <v>30</v>
      </c>
      <c r="N49" s="2" t="s">
        <v>179</v>
      </c>
      <c r="O49" s="2" t="s">
        <v>94</v>
      </c>
      <c r="P49" s="185" t="s">
        <v>2368</v>
      </c>
      <c r="Q49" s="2" t="s">
        <v>1140</v>
      </c>
      <c r="R49" s="2" t="s">
        <v>850</v>
      </c>
      <c r="S49" s="2" t="s">
        <v>854</v>
      </c>
      <c r="T49" s="183" t="s">
        <v>2287</v>
      </c>
      <c r="U49" s="163">
        <v>3.3719999999999999</v>
      </c>
      <c r="V49" s="156">
        <v>24.542999999999999</v>
      </c>
      <c r="W49" s="156">
        <v>82.759</v>
      </c>
      <c r="X49" s="168">
        <v>0</v>
      </c>
      <c r="Y49" s="168">
        <v>3.67973788765774E-3</v>
      </c>
      <c r="Z49" s="168">
        <v>5.37239249990016E-4</v>
      </c>
    </row>
    <row r="50" spans="1:26">
      <c r="A50" s="2">
        <v>891</v>
      </c>
      <c r="B50" s="2">
        <v>9957</v>
      </c>
      <c r="C50" s="2" t="s">
        <v>2369</v>
      </c>
      <c r="D50" s="2" t="s">
        <v>2370</v>
      </c>
      <c r="E50" s="2" t="s">
        <v>33</v>
      </c>
      <c r="F50" s="2" t="s">
        <v>2371</v>
      </c>
      <c r="G50" s="2">
        <v>62020284</v>
      </c>
      <c r="H50" s="2" t="s">
        <v>33</v>
      </c>
      <c r="I50" s="2" t="s">
        <v>986</v>
      </c>
      <c r="J50" s="2" t="s">
        <v>525</v>
      </c>
      <c r="K50" s="2" t="s">
        <v>160</v>
      </c>
      <c r="L50" s="2" t="s">
        <v>172</v>
      </c>
      <c r="M50" s="2" t="s">
        <v>172</v>
      </c>
      <c r="N50" s="2" t="s">
        <v>179</v>
      </c>
      <c r="O50" s="2" t="s">
        <v>94</v>
      </c>
      <c r="P50" s="185" t="s">
        <v>2372</v>
      </c>
      <c r="Q50" s="2" t="s">
        <v>1140</v>
      </c>
      <c r="R50" s="2" t="s">
        <v>850</v>
      </c>
      <c r="S50" s="2" t="s">
        <v>854</v>
      </c>
      <c r="T50" s="183" t="s">
        <v>95</v>
      </c>
      <c r="U50" s="163">
        <v>3.3719999999999999</v>
      </c>
      <c r="V50" s="156">
        <v>93.98</v>
      </c>
      <c r="W50" s="156">
        <v>316.90199999999999</v>
      </c>
      <c r="X50" s="168">
        <v>0</v>
      </c>
      <c r="Y50" s="168">
        <v>1.40905510747524E-2</v>
      </c>
      <c r="Z50" s="168">
        <v>2.0572109542738399E-3</v>
      </c>
    </row>
    <row r="51" spans="1:26">
      <c r="A51" s="2">
        <v>891</v>
      </c>
      <c r="B51" s="2">
        <v>9957</v>
      </c>
      <c r="C51" s="2" t="s">
        <v>2373</v>
      </c>
      <c r="D51" s="2" t="s">
        <v>2374</v>
      </c>
      <c r="E51" s="2" t="s">
        <v>33</v>
      </c>
      <c r="F51" s="2" t="s">
        <v>2375</v>
      </c>
      <c r="G51" s="2">
        <v>62000698</v>
      </c>
      <c r="H51" s="2" t="s">
        <v>33</v>
      </c>
      <c r="I51" s="2" t="s">
        <v>986</v>
      </c>
      <c r="J51" s="2" t="s">
        <v>525</v>
      </c>
      <c r="K51" s="2" t="s">
        <v>160</v>
      </c>
      <c r="L51" s="2" t="s">
        <v>172</v>
      </c>
      <c r="M51" s="2" t="s">
        <v>179</v>
      </c>
      <c r="N51" s="2" t="s">
        <v>251</v>
      </c>
      <c r="O51" s="2" t="s">
        <v>94</v>
      </c>
      <c r="P51" s="185" t="s">
        <v>2376</v>
      </c>
      <c r="Q51" s="2" t="s">
        <v>1140</v>
      </c>
      <c r="R51" s="2" t="s">
        <v>850</v>
      </c>
      <c r="S51" s="2" t="s">
        <v>854</v>
      </c>
      <c r="T51" s="183" t="s">
        <v>2216</v>
      </c>
      <c r="U51" s="163">
        <v>3.3719999999999999</v>
      </c>
      <c r="V51" s="156">
        <v>134.11000000000001</v>
      </c>
      <c r="W51" s="156">
        <v>452.22</v>
      </c>
      <c r="X51" s="168">
        <v>0</v>
      </c>
      <c r="Y51" s="168">
        <v>2.0107242332033402E-2</v>
      </c>
      <c r="Z51" s="168">
        <v>2.93564382019208E-3</v>
      </c>
    </row>
    <row r="52" spans="1:26">
      <c r="A52" s="2">
        <v>891</v>
      </c>
      <c r="B52" s="2">
        <v>9957</v>
      </c>
      <c r="C52" s="2" t="s">
        <v>2377</v>
      </c>
      <c r="D52" s="2" t="s">
        <v>2378</v>
      </c>
      <c r="E52" s="2" t="s">
        <v>33</v>
      </c>
      <c r="F52" s="2" t="s">
        <v>2379</v>
      </c>
      <c r="G52" s="2">
        <v>11811062</v>
      </c>
      <c r="H52" s="2" t="s">
        <v>33</v>
      </c>
      <c r="I52" s="2" t="s">
        <v>986</v>
      </c>
      <c r="J52" s="2" t="s">
        <v>525</v>
      </c>
      <c r="K52" s="2" t="s">
        <v>160</v>
      </c>
      <c r="L52" s="2" t="s">
        <v>172</v>
      </c>
      <c r="M52" s="2" t="s">
        <v>30</v>
      </c>
      <c r="N52" s="2" t="s">
        <v>179</v>
      </c>
      <c r="O52" s="2" t="s">
        <v>94</v>
      </c>
      <c r="P52" s="185" t="s">
        <v>2180</v>
      </c>
      <c r="Q52" s="2" t="s">
        <v>1140</v>
      </c>
      <c r="R52" s="2" t="s">
        <v>850</v>
      </c>
      <c r="S52" s="2" t="s">
        <v>854</v>
      </c>
      <c r="T52" s="183" t="s">
        <v>2248</v>
      </c>
      <c r="U52" s="163">
        <v>3.3719999999999999</v>
      </c>
      <c r="V52" s="156">
        <v>311.76799999999997</v>
      </c>
      <c r="W52" s="156">
        <v>1051.2809999999999</v>
      </c>
      <c r="X52" s="168">
        <v>4.3429999999999996E-3</v>
      </c>
      <c r="Y52" s="168">
        <v>4.6743602936179997E-2</v>
      </c>
      <c r="Z52" s="168">
        <v>6.8245345048881297E-3</v>
      </c>
    </row>
    <row r="53" spans="1:26">
      <c r="A53" s="2">
        <v>891</v>
      </c>
      <c r="B53" s="2">
        <v>9957</v>
      </c>
      <c r="C53" s="2" t="s">
        <v>2380</v>
      </c>
      <c r="D53" s="2" t="s">
        <v>2381</v>
      </c>
      <c r="E53" s="2" t="s">
        <v>33</v>
      </c>
      <c r="F53" s="2" t="s">
        <v>2382</v>
      </c>
      <c r="G53" s="2">
        <v>62014261</v>
      </c>
      <c r="H53" s="2" t="s">
        <v>33</v>
      </c>
      <c r="I53" s="2" t="s">
        <v>986</v>
      </c>
      <c r="J53" s="2" t="s">
        <v>525</v>
      </c>
      <c r="K53" s="2" t="s">
        <v>160</v>
      </c>
      <c r="L53" s="2" t="s">
        <v>208</v>
      </c>
      <c r="M53" s="2" t="s">
        <v>188</v>
      </c>
      <c r="N53" s="2" t="s">
        <v>251</v>
      </c>
      <c r="O53" s="2" t="s">
        <v>94</v>
      </c>
      <c r="P53" s="185" t="s">
        <v>2383</v>
      </c>
      <c r="Q53" s="2" t="s">
        <v>1140</v>
      </c>
      <c r="R53" s="2" t="s">
        <v>850</v>
      </c>
      <c r="S53" s="2" t="s">
        <v>854</v>
      </c>
      <c r="T53" s="183" t="s">
        <v>95</v>
      </c>
      <c r="U53" s="163">
        <v>3.3719999999999999</v>
      </c>
      <c r="V53" s="156">
        <v>244.92500000000001</v>
      </c>
      <c r="W53" s="156">
        <v>825.88800000000003</v>
      </c>
      <c r="X53" s="168">
        <v>0</v>
      </c>
      <c r="Y53" s="168">
        <v>3.6721826511979701E-2</v>
      </c>
      <c r="Z53" s="168">
        <v>5.3613619056212597E-3</v>
      </c>
    </row>
    <row r="54" spans="1:26">
      <c r="A54" s="2">
        <v>891</v>
      </c>
      <c r="B54" s="2">
        <v>9957</v>
      </c>
      <c r="C54" s="2" t="s">
        <v>2384</v>
      </c>
      <c r="D54" s="2" t="s">
        <v>2385</v>
      </c>
      <c r="E54" s="2" t="s">
        <v>33</v>
      </c>
      <c r="F54" s="2" t="s">
        <v>2386</v>
      </c>
      <c r="G54" s="2">
        <v>60418969</v>
      </c>
      <c r="H54" s="2" t="s">
        <v>33</v>
      </c>
      <c r="I54" s="2" t="s">
        <v>990</v>
      </c>
      <c r="J54" s="2" t="s">
        <v>525</v>
      </c>
      <c r="K54" s="2" t="s">
        <v>160</v>
      </c>
      <c r="L54" s="2" t="s">
        <v>172</v>
      </c>
      <c r="M54" s="2" t="s">
        <v>179</v>
      </c>
      <c r="N54" s="2" t="s">
        <v>179</v>
      </c>
      <c r="O54" s="2" t="s">
        <v>94</v>
      </c>
      <c r="P54" s="185" t="s">
        <v>2387</v>
      </c>
      <c r="Q54" s="2" t="s">
        <v>1140</v>
      </c>
      <c r="R54" s="2" t="s">
        <v>850</v>
      </c>
      <c r="S54" s="2" t="s">
        <v>854</v>
      </c>
      <c r="T54" s="183" t="s">
        <v>2388</v>
      </c>
      <c r="U54" s="163">
        <v>3.3719999999999999</v>
      </c>
      <c r="V54" s="156">
        <v>105.312</v>
      </c>
      <c r="W54" s="156">
        <v>355.11200000000002</v>
      </c>
      <c r="X54" s="168">
        <v>0</v>
      </c>
      <c r="Y54" s="168">
        <v>1.5789505878928401E-2</v>
      </c>
      <c r="Z54" s="168">
        <v>2.3052572099117401E-3</v>
      </c>
    </row>
    <row r="1048574" spans="12:12" hidden="1">
      <c r="L1048574" s="22"/>
    </row>
  </sheetData>
  <sheetProtection formatColumns="0"/>
  <autoFilter ref="A1:AA1" xr:uid="{00000000-0001-0000-1300-000000000000}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8" width="11.625" style="2" customWidth="1"/>
    <col min="29" max="29" width="11.625" style="2" hidden="1" customWidth="1"/>
    <col min="30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6</v>
      </c>
      <c r="J1" s="21" t="s">
        <v>7</v>
      </c>
      <c r="K1" s="21" t="s">
        <v>280</v>
      </c>
      <c r="L1" s="21" t="s">
        <v>1079</v>
      </c>
      <c r="M1" s="21" t="s">
        <v>104</v>
      </c>
      <c r="N1" s="21" t="s">
        <v>1080</v>
      </c>
      <c r="O1" s="21" t="s">
        <v>80</v>
      </c>
      <c r="P1" s="21" t="s">
        <v>112</v>
      </c>
      <c r="Q1" s="21" t="s">
        <v>11</v>
      </c>
      <c r="R1" s="21" t="s">
        <v>105</v>
      </c>
      <c r="S1" s="21" t="s">
        <v>106</v>
      </c>
      <c r="T1" s="21" t="s">
        <v>89</v>
      </c>
      <c r="U1" s="21" t="s">
        <v>1081</v>
      </c>
      <c r="V1" s="21" t="s">
        <v>1082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0"/>
      <c r="J20" s="20"/>
      <c r="K20" s="22"/>
      <c r="M20" s="22"/>
      <c r="O20" s="22"/>
      <c r="S20" s="22"/>
    </row>
    <row r="24" spans="1:28" hidden="1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0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8" width="11.625" style="2" customWidth="1"/>
    <col min="29" max="29" width="11.625" style="2" hidden="1" customWidth="1"/>
    <col min="30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104</v>
      </c>
      <c r="M1" s="21" t="s">
        <v>127</v>
      </c>
      <c r="N1" s="21" t="s">
        <v>1080</v>
      </c>
      <c r="O1" s="21" t="s">
        <v>80</v>
      </c>
      <c r="P1" s="21" t="s">
        <v>112</v>
      </c>
      <c r="Q1" s="21" t="s">
        <v>11</v>
      </c>
      <c r="R1" s="21" t="s">
        <v>105</v>
      </c>
      <c r="S1" s="21" t="s">
        <v>106</v>
      </c>
      <c r="T1" s="21" t="s">
        <v>89</v>
      </c>
      <c r="U1" s="21" t="s">
        <v>1081</v>
      </c>
      <c r="V1" s="21" t="s">
        <v>1082</v>
      </c>
      <c r="W1" s="21" t="s">
        <v>17</v>
      </c>
      <c r="X1" s="21" t="s">
        <v>19</v>
      </c>
      <c r="Y1" s="21" t="s">
        <v>18</v>
      </c>
      <c r="Z1" s="21" t="s">
        <v>1261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J17" sqref="J17"/>
    </sheetView>
  </sheetViews>
  <sheetFormatPr defaultColWidth="0" defaultRowHeight="14.25" zeroHeight="1"/>
  <cols>
    <col min="1" max="6" width="11.625" style="11" customWidth="1"/>
    <col min="7" max="7" width="18.25" style="11" customWidth="1"/>
    <col min="8" max="8" width="11.625" style="11" customWidth="1"/>
    <col min="9" max="10" width="11.625" style="153" customWidth="1"/>
    <col min="11" max="13" width="11.625" style="11" customWidth="1"/>
    <col min="14" max="14" width="18.625" style="11" customWidth="1"/>
    <col min="15" max="15" width="11.625" style="11" customWidth="1"/>
    <col min="16" max="17" width="11.625" style="153" customWidth="1"/>
    <col min="18" max="33" width="11.625" style="11" customWidth="1"/>
    <col min="34" max="34" width="11.625" style="142" customWidth="1"/>
    <col min="35" max="39" width="11.625" style="11" customWidth="1"/>
    <col min="40" max="41" width="11.625" style="2" customWidth="1"/>
    <col min="42" max="16384" width="0" style="11" hidden="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1095</v>
      </c>
      <c r="E1" s="21" t="s">
        <v>1096</v>
      </c>
      <c r="F1" s="21" t="s">
        <v>18</v>
      </c>
      <c r="G1" s="21" t="s">
        <v>1097</v>
      </c>
      <c r="H1" s="21" t="s">
        <v>1098</v>
      </c>
      <c r="I1" s="151" t="s">
        <v>1099</v>
      </c>
      <c r="J1" s="151" t="s">
        <v>1100</v>
      </c>
      <c r="K1" s="21" t="s">
        <v>1101</v>
      </c>
      <c r="L1" s="21" t="s">
        <v>1102</v>
      </c>
      <c r="M1" s="21" t="s">
        <v>18</v>
      </c>
      <c r="N1" s="21" t="s">
        <v>1103</v>
      </c>
      <c r="O1" s="21" t="s">
        <v>1104</v>
      </c>
      <c r="P1" s="151" t="s">
        <v>1258</v>
      </c>
      <c r="Q1" s="151" t="s">
        <v>1259</v>
      </c>
      <c r="R1" s="21" t="s">
        <v>1260</v>
      </c>
      <c r="S1" s="21" t="s">
        <v>6</v>
      </c>
      <c r="T1" s="21" t="s">
        <v>7</v>
      </c>
      <c r="U1" s="21" t="s">
        <v>1108</v>
      </c>
      <c r="V1" s="21" t="s">
        <v>885</v>
      </c>
      <c r="W1" s="21" t="s">
        <v>892</v>
      </c>
      <c r="X1" s="21" t="s">
        <v>278</v>
      </c>
      <c r="Y1" s="21" t="s">
        <v>80</v>
      </c>
      <c r="Z1" s="21" t="s">
        <v>1109</v>
      </c>
      <c r="AA1" s="21" t="s">
        <v>1110</v>
      </c>
      <c r="AB1" s="21" t="s">
        <v>856</v>
      </c>
      <c r="AC1" s="21" t="s">
        <v>864</v>
      </c>
      <c r="AD1" s="21" t="s">
        <v>1111</v>
      </c>
      <c r="AE1" s="21" t="s">
        <v>882</v>
      </c>
      <c r="AF1" s="21" t="s">
        <v>867</v>
      </c>
      <c r="AG1" s="21" t="s">
        <v>878</v>
      </c>
      <c r="AH1" s="141" t="s">
        <v>1112</v>
      </c>
      <c r="AI1" s="21" t="s">
        <v>1113</v>
      </c>
      <c r="AJ1" s="21" t="s">
        <v>1114</v>
      </c>
      <c r="AK1" s="21" t="s">
        <v>907</v>
      </c>
      <c r="AL1" s="21" t="s">
        <v>1115</v>
      </c>
      <c r="AM1" s="21" t="s">
        <v>1116</v>
      </c>
      <c r="AN1" s="21" t="s">
        <v>24</v>
      </c>
      <c r="AO1" s="21" t="s">
        <v>25</v>
      </c>
    </row>
    <row r="2" spans="1:41" s="188" customFormat="1">
      <c r="A2" s="188">
        <v>891</v>
      </c>
      <c r="B2" s="188">
        <v>891</v>
      </c>
      <c r="C2" s="188" t="s">
        <v>1006</v>
      </c>
      <c r="D2" s="188">
        <v>9941677</v>
      </c>
      <c r="E2" s="188" t="s">
        <v>1140</v>
      </c>
      <c r="F2" s="188">
        <v>3.3719999999999999</v>
      </c>
      <c r="G2" s="189">
        <v>-5071000</v>
      </c>
      <c r="H2" s="189">
        <v>-18052.28</v>
      </c>
      <c r="I2" s="188">
        <v>83.17</v>
      </c>
      <c r="J2" s="188">
        <v>11.72</v>
      </c>
      <c r="K2" s="188">
        <v>9941677</v>
      </c>
      <c r="L2" s="188" t="s">
        <v>34</v>
      </c>
      <c r="M2" s="188">
        <v>1</v>
      </c>
      <c r="N2" s="189">
        <v>18133896</v>
      </c>
      <c r="O2" s="189">
        <v>17018.37</v>
      </c>
      <c r="P2" s="188">
        <v>82.77</v>
      </c>
      <c r="Q2" s="188">
        <v>11.05</v>
      </c>
      <c r="R2" s="189">
        <v>1033.9100000000001</v>
      </c>
      <c r="S2" s="188" t="s">
        <v>30</v>
      </c>
      <c r="T2" s="188" t="s">
        <v>30</v>
      </c>
      <c r="U2" s="188" t="s">
        <v>703</v>
      </c>
      <c r="V2" s="188" t="s">
        <v>887</v>
      </c>
      <c r="W2" s="188" t="s">
        <v>901</v>
      </c>
      <c r="X2" s="188" t="s">
        <v>2478</v>
      </c>
      <c r="Y2" s="188" t="s">
        <v>94</v>
      </c>
      <c r="Z2" s="190">
        <v>45784</v>
      </c>
      <c r="AA2" s="190">
        <v>45876</v>
      </c>
      <c r="AB2" s="188" t="s">
        <v>863</v>
      </c>
      <c r="AC2" s="188" t="s">
        <v>2479</v>
      </c>
      <c r="AD2" s="188" t="s">
        <v>94</v>
      </c>
      <c r="AE2" s="188" t="s">
        <v>883</v>
      </c>
      <c r="AF2" s="188" t="s">
        <v>863</v>
      </c>
      <c r="AG2" s="188" t="s">
        <v>859</v>
      </c>
      <c r="AH2" s="188" t="s">
        <v>863</v>
      </c>
      <c r="AI2" s="188">
        <v>3.5590000000000002</v>
      </c>
      <c r="AJ2" s="188">
        <v>3.3559999999999999</v>
      </c>
      <c r="AK2" s="188" t="s">
        <v>94</v>
      </c>
      <c r="AL2" s="188" t="s">
        <v>2480</v>
      </c>
      <c r="AM2" s="188" t="s">
        <v>2481</v>
      </c>
      <c r="AN2" s="191">
        <v>0.90190000000000003</v>
      </c>
      <c r="AO2" s="191">
        <v>6.7000000000000002E-3</v>
      </c>
    </row>
    <row r="3" spans="1:41" s="188" customFormat="1">
      <c r="A3" s="188">
        <v>891</v>
      </c>
      <c r="B3" s="188">
        <v>891</v>
      </c>
      <c r="C3" s="188" t="s">
        <v>1006</v>
      </c>
      <c r="D3" s="188">
        <v>9941678</v>
      </c>
      <c r="E3" s="188" t="s">
        <v>1142</v>
      </c>
      <c r="F3" s="188">
        <v>3.9552</v>
      </c>
      <c r="G3" s="189">
        <v>-897500</v>
      </c>
      <c r="H3" s="189">
        <v>-3654.19</v>
      </c>
      <c r="I3" s="188">
        <v>16.829999999999998</v>
      </c>
      <c r="J3" s="188">
        <v>2.37</v>
      </c>
      <c r="K3" s="188">
        <v>9941678</v>
      </c>
      <c r="L3" s="188" t="s">
        <v>34</v>
      </c>
      <c r="M3" s="188">
        <v>1</v>
      </c>
      <c r="N3" s="189">
        <v>3670416</v>
      </c>
      <c r="O3" s="189">
        <v>3541.68</v>
      </c>
      <c r="P3" s="188">
        <v>17.23</v>
      </c>
      <c r="Q3" s="188">
        <v>2.2999999999999998</v>
      </c>
      <c r="R3" s="188">
        <v>112.511</v>
      </c>
      <c r="S3" s="188" t="s">
        <v>30</v>
      </c>
      <c r="T3" s="188" t="s">
        <v>30</v>
      </c>
      <c r="U3" s="188" t="s">
        <v>703</v>
      </c>
      <c r="V3" s="188" t="s">
        <v>887</v>
      </c>
      <c r="W3" s="188" t="s">
        <v>901</v>
      </c>
      <c r="X3" s="188" t="s">
        <v>2482</v>
      </c>
      <c r="Y3" s="188" t="s">
        <v>94</v>
      </c>
      <c r="Z3" s="190">
        <v>45784</v>
      </c>
      <c r="AA3" s="190">
        <v>45876</v>
      </c>
      <c r="AB3" s="188" t="s">
        <v>863</v>
      </c>
      <c r="AC3" s="188" t="s">
        <v>2479</v>
      </c>
      <c r="AD3" s="188" t="s">
        <v>94</v>
      </c>
      <c r="AE3" s="188" t="s">
        <v>883</v>
      </c>
      <c r="AF3" s="188" t="s">
        <v>863</v>
      </c>
      <c r="AG3" s="188" t="s">
        <v>859</v>
      </c>
      <c r="AH3" s="188" t="s">
        <v>863</v>
      </c>
      <c r="AI3" s="188">
        <v>4.0709999999999997</v>
      </c>
      <c r="AJ3" s="188">
        <v>3.9460000000000002</v>
      </c>
      <c r="AK3" s="188" t="s">
        <v>94</v>
      </c>
      <c r="AL3" s="188" t="s">
        <v>2480</v>
      </c>
      <c r="AM3" s="188" t="s">
        <v>2481</v>
      </c>
      <c r="AN3" s="191">
        <v>9.8100000000000007E-2</v>
      </c>
      <c r="AO3" s="191">
        <v>6.9999999999999999E-4</v>
      </c>
    </row>
    <row r="4" spans="1:41" hidden="1">
      <c r="A4" s="12"/>
      <c r="B4" s="12"/>
      <c r="C4" s="12"/>
      <c r="D4" s="1"/>
      <c r="E4" s="12"/>
      <c r="F4" s="12"/>
      <c r="G4" s="12"/>
      <c r="H4" s="14"/>
      <c r="I4" s="152"/>
      <c r="J4" s="154"/>
      <c r="L4" s="12"/>
      <c r="P4" s="152"/>
      <c r="Q4" s="152"/>
      <c r="R4" s="13"/>
      <c r="T4" s="20"/>
      <c r="U4" s="12"/>
      <c r="V4" s="12"/>
      <c r="X4" s="12"/>
      <c r="Y4" s="12"/>
      <c r="Z4" s="1"/>
      <c r="AA4" s="26"/>
      <c r="AB4" s="12"/>
      <c r="AC4" s="12"/>
      <c r="AD4" s="12"/>
      <c r="AE4" s="12"/>
      <c r="AF4" s="12"/>
      <c r="AG4" s="12"/>
      <c r="AI4" s="12"/>
      <c r="AJ4" s="12"/>
      <c r="AK4" s="12"/>
      <c r="AN4" s="22"/>
      <c r="AO4" s="22"/>
    </row>
    <row r="5" spans="1:41" hidden="1">
      <c r="A5" s="12"/>
      <c r="B5" s="12"/>
      <c r="C5" s="12"/>
      <c r="D5" s="1"/>
      <c r="E5" s="12"/>
      <c r="F5" s="12"/>
      <c r="G5" s="12"/>
      <c r="H5" s="14"/>
      <c r="I5" s="152"/>
      <c r="J5" s="154"/>
      <c r="L5" s="12"/>
      <c r="P5" s="152"/>
      <c r="Q5" s="152"/>
      <c r="R5" s="13"/>
      <c r="T5" s="20"/>
      <c r="U5" s="12"/>
      <c r="V5" s="12"/>
      <c r="X5" s="12"/>
      <c r="Y5" s="12"/>
      <c r="Z5" s="1"/>
      <c r="AA5" s="26"/>
      <c r="AB5" s="12"/>
      <c r="AC5" s="12"/>
      <c r="AD5" s="12"/>
      <c r="AE5" s="12"/>
      <c r="AF5" s="12"/>
      <c r="AG5" s="12"/>
      <c r="AI5" s="12"/>
      <c r="AJ5" s="12"/>
      <c r="AK5" s="12"/>
      <c r="AN5" s="22"/>
      <c r="AO5" s="22"/>
    </row>
    <row r="6" spans="1:41" hidden="1">
      <c r="A6" s="12"/>
      <c r="B6" s="12"/>
      <c r="C6" s="12"/>
      <c r="D6" s="1"/>
      <c r="E6" s="12"/>
      <c r="F6" s="12"/>
      <c r="G6" s="12"/>
      <c r="H6" s="14"/>
      <c r="I6" s="152"/>
      <c r="J6" s="154"/>
      <c r="L6" s="12"/>
      <c r="P6" s="152"/>
      <c r="Q6" s="152"/>
      <c r="R6" s="13"/>
      <c r="T6" s="20"/>
      <c r="U6" s="12"/>
      <c r="V6" s="12"/>
      <c r="X6" s="12"/>
      <c r="Y6" s="12"/>
      <c r="Z6" s="1"/>
      <c r="AA6" s="26"/>
      <c r="AB6" s="12"/>
      <c r="AC6" s="12"/>
      <c r="AD6" s="12"/>
      <c r="AE6" s="12"/>
      <c r="AF6" s="12"/>
      <c r="AG6" s="12"/>
      <c r="AI6" s="12"/>
      <c r="AJ6" s="12"/>
      <c r="AK6" s="12"/>
      <c r="AN6" s="22"/>
      <c r="AO6" s="22"/>
    </row>
    <row r="7" spans="1:41" hidden="1">
      <c r="A7" s="12"/>
      <c r="B7" s="12"/>
      <c r="C7" s="12"/>
      <c r="D7" s="1"/>
      <c r="E7" s="12"/>
      <c r="F7" s="12"/>
      <c r="G7" s="12"/>
      <c r="H7" s="14"/>
      <c r="I7" s="152"/>
      <c r="J7" s="154"/>
      <c r="L7" s="12"/>
      <c r="P7" s="152"/>
      <c r="Q7" s="152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 hidden="1">
      <c r="A8" s="12"/>
      <c r="B8" s="12"/>
      <c r="C8" s="12"/>
      <c r="D8" s="1"/>
      <c r="E8" s="12"/>
      <c r="F8" s="12"/>
      <c r="G8" s="12"/>
      <c r="H8" s="14"/>
      <c r="I8" s="152"/>
      <c r="J8" s="154"/>
      <c r="L8" s="12"/>
      <c r="P8" s="152"/>
      <c r="Q8" s="152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 hidden="1">
      <c r="A9" s="12"/>
      <c r="B9" s="12"/>
      <c r="C9" s="12"/>
      <c r="D9" s="1"/>
      <c r="E9" s="12"/>
      <c r="F9" s="12"/>
      <c r="G9" s="12"/>
      <c r="H9" s="14"/>
      <c r="I9" s="152"/>
      <c r="J9" s="154"/>
      <c r="L9" s="12"/>
      <c r="P9" s="152"/>
      <c r="Q9" s="152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 hidden="1">
      <c r="A10" s="12"/>
      <c r="B10" s="12"/>
      <c r="C10" s="12"/>
      <c r="D10" s="1"/>
      <c r="E10" s="12"/>
      <c r="F10" s="12"/>
      <c r="G10" s="12"/>
      <c r="H10" s="14"/>
      <c r="I10" s="152"/>
      <c r="J10" s="154"/>
      <c r="L10" s="12"/>
      <c r="P10" s="152"/>
      <c r="Q10" s="152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 hidden="1">
      <c r="A11" s="12"/>
      <c r="B11" s="12"/>
      <c r="C11" s="12"/>
      <c r="D11" s="1"/>
      <c r="E11" s="12"/>
      <c r="F11" s="12"/>
      <c r="G11" s="12"/>
      <c r="H11" s="14"/>
      <c r="I11" s="152"/>
      <c r="J11" s="154"/>
      <c r="L11" s="12"/>
      <c r="P11" s="152"/>
      <c r="Q11" s="152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 hidden="1">
      <c r="A12" s="12"/>
      <c r="B12" s="12"/>
      <c r="C12" s="12"/>
      <c r="D12" s="1"/>
      <c r="E12" s="12"/>
      <c r="F12" s="12"/>
      <c r="G12" s="12"/>
      <c r="H12" s="14"/>
      <c r="I12" s="152"/>
      <c r="J12" s="154"/>
      <c r="L12" s="12"/>
      <c r="P12" s="152"/>
      <c r="Q12" s="152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 hidden="1">
      <c r="A13" s="12"/>
      <c r="B13" s="12"/>
      <c r="C13" s="12"/>
      <c r="D13" s="1"/>
      <c r="E13" s="12"/>
      <c r="F13" s="12"/>
      <c r="G13" s="12"/>
      <c r="H13" s="14"/>
      <c r="I13" s="152"/>
      <c r="J13" s="154"/>
      <c r="L13" s="12"/>
      <c r="P13" s="152"/>
      <c r="Q13" s="152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 hidden="1">
      <c r="A14" s="12"/>
      <c r="B14" s="12"/>
      <c r="C14" s="12"/>
      <c r="D14" s="1"/>
      <c r="E14" s="12"/>
      <c r="F14" s="12"/>
      <c r="G14" s="12"/>
      <c r="H14" s="14"/>
      <c r="I14" s="152"/>
      <c r="J14" s="154"/>
      <c r="L14" s="12"/>
      <c r="P14" s="152"/>
      <c r="Q14" s="152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 hidden="1">
      <c r="A15" s="12"/>
      <c r="B15" s="12"/>
      <c r="C15" s="12"/>
      <c r="D15" s="1"/>
      <c r="E15" s="12"/>
      <c r="F15" s="12"/>
      <c r="G15" s="12"/>
      <c r="H15" s="14"/>
      <c r="I15" s="152"/>
      <c r="J15" s="154"/>
      <c r="L15" s="12"/>
      <c r="P15" s="152"/>
      <c r="Q15" s="152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 hidden="1">
      <c r="A16" s="12"/>
      <c r="B16" s="12"/>
      <c r="C16" s="12"/>
      <c r="D16" s="1"/>
      <c r="E16" s="12"/>
      <c r="F16" s="12"/>
      <c r="G16" s="12"/>
      <c r="H16" s="14"/>
      <c r="I16" s="152"/>
      <c r="J16" s="154"/>
      <c r="L16" s="12"/>
      <c r="P16" s="152"/>
      <c r="Q16" s="152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 hidden="1">
      <c r="A17" s="12"/>
      <c r="B17" s="12"/>
      <c r="C17" s="12"/>
      <c r="D17" s="1"/>
      <c r="E17" s="12"/>
      <c r="F17" s="12"/>
      <c r="G17" s="12"/>
      <c r="H17" s="14"/>
      <c r="I17" s="152"/>
      <c r="J17" s="154"/>
      <c r="L17" s="12"/>
      <c r="P17" s="152"/>
      <c r="Q17" s="152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 hidden="1">
      <c r="A18" s="12"/>
      <c r="B18" s="12"/>
      <c r="C18" s="12"/>
      <c r="D18" s="1"/>
      <c r="E18" s="12"/>
      <c r="F18" s="12"/>
      <c r="G18" s="12"/>
      <c r="H18" s="14"/>
      <c r="I18" s="152"/>
      <c r="J18" s="154"/>
      <c r="L18" s="12"/>
      <c r="P18" s="152"/>
      <c r="Q18" s="152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 hidden="1">
      <c r="A19" s="12"/>
      <c r="B19" s="12"/>
      <c r="C19" s="12"/>
      <c r="D19" s="1"/>
      <c r="E19" s="12"/>
      <c r="F19" s="12"/>
      <c r="G19" s="12"/>
      <c r="H19" s="14"/>
      <c r="I19" s="152"/>
      <c r="J19" s="154"/>
      <c r="L19" s="12"/>
      <c r="P19" s="152"/>
      <c r="Q19" s="152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 hidden="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 hidden="1">
      <c r="I21" s="152"/>
      <c r="J21" s="152"/>
      <c r="P21" s="152"/>
      <c r="Q21" s="152"/>
    </row>
    <row r="22" spans="1:41" hidden="1">
      <c r="C22" s="12"/>
      <c r="E22" s="12"/>
      <c r="T22" s="20"/>
      <c r="AE22" s="12"/>
      <c r="AF22" s="12"/>
    </row>
    <row r="23" spans="1:41" hidden="1">
      <c r="C23" s="12"/>
      <c r="E23" s="12"/>
      <c r="T23" s="20"/>
      <c r="AE23" s="12"/>
      <c r="AF23" s="12"/>
    </row>
    <row r="24" spans="1:41" hidden="1">
      <c r="C24" s="12"/>
      <c r="E24" s="12"/>
      <c r="T24" s="20"/>
      <c r="AE24" s="12"/>
      <c r="AF24" s="12"/>
    </row>
    <row r="25" spans="1:41" hidden="1">
      <c r="C25" s="12"/>
      <c r="E25" s="12"/>
      <c r="T25" s="20"/>
      <c r="AE25" s="12"/>
      <c r="AF25" s="12"/>
    </row>
    <row r="26" spans="1:41" hidden="1">
      <c r="C26" s="12"/>
      <c r="E26" s="12"/>
      <c r="T26" s="20"/>
      <c r="AE26" s="12"/>
      <c r="AF26" s="12"/>
    </row>
    <row r="27" spans="1:41" hidden="1">
      <c r="C27" s="12"/>
      <c r="E27" s="12"/>
      <c r="T27" s="20"/>
    </row>
    <row r="28" spans="1:41" hidden="1">
      <c r="C28" s="12"/>
      <c r="E28" s="12"/>
      <c r="T28" s="20"/>
    </row>
    <row r="29" spans="1:41" hidden="1">
      <c r="C29" s="12"/>
      <c r="E29" s="12"/>
      <c r="T29" s="20"/>
    </row>
    <row r="30" spans="1:41" hidden="1">
      <c r="C30" s="12"/>
      <c r="E30" s="12"/>
      <c r="T30" s="20"/>
    </row>
    <row r="31" spans="1:41" hidden="1">
      <c r="C31" s="12"/>
      <c r="E31" s="12"/>
      <c r="T31" s="20"/>
    </row>
    <row r="32" spans="1:41" hidden="1">
      <c r="C32" s="12"/>
      <c r="E32" s="12"/>
      <c r="T32" s="20"/>
    </row>
    <row r="33" spans="3:20" hidden="1">
      <c r="C33" s="12"/>
      <c r="T33" s="20"/>
    </row>
    <row r="34" spans="3:20" hidden="1">
      <c r="C34" s="12"/>
      <c r="T34" s="20"/>
    </row>
    <row r="35" spans="3:20" hidden="1">
      <c r="C35" s="12"/>
    </row>
    <row r="36" spans="3:20" hidden="1">
      <c r="C36" s="12"/>
    </row>
    <row r="37" spans="3:20" hidden="1">
      <c r="C37" s="12"/>
    </row>
    <row r="38" spans="3:20" hidden="1">
      <c r="C38" s="12"/>
    </row>
    <row r="39" spans="3:20" hidden="1">
      <c r="C39" s="12"/>
    </row>
    <row r="40" spans="3:20" hidden="1">
      <c r="C40" s="12"/>
    </row>
    <row r="41" spans="3:20" hidden="1">
      <c r="C41" s="12"/>
    </row>
    <row r="42" spans="3:20" hidden="1">
      <c r="C42" s="12"/>
    </row>
    <row r="43" spans="3:20" hidden="1">
      <c r="C43" s="12"/>
    </row>
    <row r="44" spans="3:20" hidden="1">
      <c r="C44" s="12"/>
    </row>
    <row r="45" spans="3:20" hidden="1">
      <c r="C45" s="12"/>
    </row>
    <row r="46" spans="3:20" hidden="1">
      <c r="C46" s="12"/>
    </row>
    <row r="47" spans="3:20" hidden="1">
      <c r="C47" s="12"/>
    </row>
    <row r="48" spans="3:20" hidden="1">
      <c r="C48" s="12"/>
    </row>
    <row r="49" spans="3:3" hidden="1">
      <c r="C49" s="12"/>
    </row>
    <row r="50" spans="3:3" hidden="1">
      <c r="C50" s="12"/>
    </row>
    <row r="51" spans="3:3" hidden="1">
      <c r="C51" s="12"/>
    </row>
    <row r="52" spans="3:3" hidden="1">
      <c r="C52" s="12"/>
    </row>
    <row r="53" spans="3:3" hidden="1">
      <c r="C53" s="12"/>
    </row>
    <row r="54" spans="3:3" hidden="1">
      <c r="C54" s="12"/>
    </row>
    <row r="55" spans="3:3" hidden="1">
      <c r="C55" s="12"/>
    </row>
    <row r="56" spans="3:3" hidden="1">
      <c r="C56" s="12"/>
    </row>
    <row r="57" spans="3:3" hidden="1">
      <c r="C57" s="12"/>
    </row>
    <row r="58" spans="3:3" hidden="1">
      <c r="C58" s="12"/>
    </row>
    <row r="59" spans="3:3" hidden="1">
      <c r="C59" s="12"/>
    </row>
    <row r="60" spans="3:3" hidden="1">
      <c r="C60" s="12"/>
    </row>
    <row r="61" spans="3:3" hidden="1">
      <c r="C61" s="12"/>
    </row>
    <row r="62" spans="3:3" hidden="1">
      <c r="C62" s="12"/>
    </row>
    <row r="63" spans="3:3" hidden="1">
      <c r="C63" s="12"/>
    </row>
    <row r="64" spans="3:3" hidden="1">
      <c r="C64" s="12"/>
    </row>
    <row r="65" spans="3:3" hidden="1">
      <c r="C65" s="12"/>
    </row>
    <row r="66" spans="3:3" hidden="1">
      <c r="C66" s="12"/>
    </row>
    <row r="67" spans="3:3" hidden="1">
      <c r="C67" s="12"/>
    </row>
    <row r="68" spans="3:3" hidden="1">
      <c r="C68" s="12"/>
    </row>
    <row r="69" spans="3:3" hidden="1">
      <c r="C69" s="12"/>
    </row>
    <row r="70" spans="3:3" hidden="1">
      <c r="C70" s="12"/>
    </row>
    <row r="71" spans="3:3" hidden="1">
      <c r="C71" s="12"/>
    </row>
    <row r="72" spans="3:3" hidden="1">
      <c r="C72" s="12"/>
    </row>
    <row r="73" spans="3:3" hidden="1">
      <c r="C73" s="12"/>
    </row>
    <row r="74" spans="3:3" hidden="1">
      <c r="C74" s="12"/>
    </row>
    <row r="75" spans="3:3" hidden="1">
      <c r="C75" s="12"/>
    </row>
    <row r="76" spans="3:3" hidden="1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B3" sqref="B3"/>
    </sheetView>
  </sheetViews>
  <sheetFormatPr defaultColWidth="0" defaultRowHeight="14.25" zeroHeight="1"/>
  <cols>
    <col min="1" max="21" width="11.625" style="2" customWidth="1"/>
    <col min="22" max="22" width="11.625" style="143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3" customWidth="1"/>
    <col min="43" max="49" width="11.625" style="2" customWidth="1"/>
    <col min="50" max="50" width="11.625" style="4" customWidth="1"/>
    <col min="51" max="53" width="11.625" style="2" customWidth="1"/>
    <col min="54" max="16384" width="0" style="2" hidden="1"/>
  </cols>
  <sheetData>
    <row r="1" spans="1:53" ht="66.75" customHeight="1">
      <c r="A1" s="21" t="s">
        <v>0</v>
      </c>
      <c r="B1" s="21" t="s">
        <v>1</v>
      </c>
      <c r="C1" s="21" t="s">
        <v>75</v>
      </c>
      <c r="D1" s="21" t="s">
        <v>76</v>
      </c>
      <c r="E1" s="21" t="s">
        <v>77</v>
      </c>
      <c r="F1" s="21" t="s">
        <v>78</v>
      </c>
      <c r="G1" s="21" t="s">
        <v>5</v>
      </c>
      <c r="H1" s="21" t="s">
        <v>1117</v>
      </c>
      <c r="I1" s="21" t="s">
        <v>6</v>
      </c>
      <c r="J1" s="21" t="s">
        <v>7</v>
      </c>
      <c r="K1" s="21" t="s">
        <v>104</v>
      </c>
      <c r="L1" s="21" t="s">
        <v>80</v>
      </c>
      <c r="M1" s="21" t="s">
        <v>1118</v>
      </c>
      <c r="N1" s="21" t="s">
        <v>1119</v>
      </c>
      <c r="O1" s="21" t="s">
        <v>1120</v>
      </c>
      <c r="P1" s="21" t="s">
        <v>9</v>
      </c>
      <c r="Q1" s="21" t="s">
        <v>10</v>
      </c>
      <c r="R1" s="21" t="s">
        <v>81</v>
      </c>
      <c r="S1" s="21" t="s">
        <v>11</v>
      </c>
      <c r="T1" s="21" t="s">
        <v>12</v>
      </c>
      <c r="U1" s="21" t="s">
        <v>82</v>
      </c>
      <c r="V1" s="141" t="s">
        <v>14</v>
      </c>
      <c r="W1" s="21" t="s">
        <v>710</v>
      </c>
      <c r="X1" s="21" t="s">
        <v>867</v>
      </c>
      <c r="Y1" s="21" t="s">
        <v>1122</v>
      </c>
      <c r="Z1" s="21" t="s">
        <v>15</v>
      </c>
      <c r="AA1" s="21" t="s">
        <v>13</v>
      </c>
      <c r="AB1" s="21" t="s">
        <v>365</v>
      </c>
      <c r="AC1" s="21" t="s">
        <v>715</v>
      </c>
      <c r="AD1" s="21" t="s">
        <v>1123</v>
      </c>
      <c r="AE1" s="21" t="s">
        <v>1124</v>
      </c>
      <c r="AF1" s="21" t="s">
        <v>1125</v>
      </c>
      <c r="AG1" s="21" t="s">
        <v>738</v>
      </c>
      <c r="AH1" s="21" t="s">
        <v>739</v>
      </c>
      <c r="AI1" s="21" t="s">
        <v>1126</v>
      </c>
      <c r="AJ1" s="21" t="s">
        <v>745</v>
      </c>
      <c r="AK1" s="21" t="s">
        <v>105</v>
      </c>
      <c r="AL1" s="21" t="s">
        <v>118</v>
      </c>
      <c r="AM1" s="21" t="s">
        <v>106</v>
      </c>
      <c r="AN1" s="21" t="s">
        <v>89</v>
      </c>
      <c r="AO1" s="21" t="s">
        <v>107</v>
      </c>
      <c r="AP1" s="141" t="s">
        <v>1127</v>
      </c>
      <c r="AQ1" s="21" t="s">
        <v>1128</v>
      </c>
      <c r="AR1" s="21" t="s">
        <v>1129</v>
      </c>
      <c r="AS1" s="21" t="s">
        <v>18</v>
      </c>
      <c r="AT1" s="21" t="s">
        <v>20</v>
      </c>
      <c r="AU1" s="21" t="s">
        <v>119</v>
      </c>
      <c r="AV1" s="21" t="s">
        <v>21</v>
      </c>
      <c r="AW1" s="21" t="s">
        <v>120</v>
      </c>
      <c r="AX1" s="21" t="s">
        <v>788</v>
      </c>
      <c r="AY1" s="21" t="s">
        <v>22</v>
      </c>
      <c r="AZ1" s="21" t="s">
        <v>24</v>
      </c>
      <c r="BA1" s="21" t="s">
        <v>25</v>
      </c>
    </row>
    <row r="2" spans="1:53">
      <c r="A2" s="2">
        <v>891</v>
      </c>
      <c r="B2" s="2">
        <v>9957</v>
      </c>
      <c r="C2" s="22"/>
      <c r="D2" s="22"/>
      <c r="E2" s="22"/>
      <c r="F2" s="22"/>
      <c r="G2" s="22"/>
      <c r="I2" s="20"/>
      <c r="J2" s="20"/>
      <c r="K2" s="22"/>
      <c r="L2" s="22"/>
      <c r="M2" s="22"/>
      <c r="N2" s="22"/>
      <c r="O2" s="22"/>
      <c r="P2" s="22"/>
      <c r="Q2" s="22"/>
      <c r="R2" s="22"/>
      <c r="S2" s="20"/>
      <c r="T2" s="22"/>
      <c r="U2" s="22"/>
      <c r="V2" s="146"/>
      <c r="W2" s="22"/>
      <c r="X2" s="22"/>
      <c r="Y2" s="22"/>
      <c r="Z2" s="22"/>
      <c r="AA2" s="22"/>
      <c r="AB2" s="20"/>
      <c r="AC2" s="22"/>
      <c r="AD2" s="22"/>
      <c r="AE2" s="147"/>
      <c r="AF2" s="22"/>
      <c r="AG2" s="22"/>
      <c r="AH2" s="22"/>
      <c r="AK2" s="22"/>
      <c r="AL2" s="22"/>
      <c r="AM2" s="22"/>
      <c r="AR2" s="22"/>
      <c r="AS2" s="22"/>
      <c r="AT2" s="22"/>
      <c r="AU2" s="29"/>
      <c r="AV2" s="29"/>
      <c r="AW2" s="29"/>
      <c r="AX2" s="20"/>
      <c r="AY2" s="22"/>
      <c r="AZ2" s="22"/>
      <c r="BA2" s="22"/>
    </row>
    <row r="3" spans="1:53" hidden="1">
      <c r="C3" s="22"/>
      <c r="D3" s="22"/>
      <c r="E3" s="22"/>
      <c r="F3" s="22"/>
      <c r="G3" s="22"/>
      <c r="I3" s="20"/>
      <c r="J3" s="20"/>
      <c r="K3" s="22"/>
      <c r="L3" s="22"/>
      <c r="M3" s="22"/>
      <c r="N3" s="22"/>
      <c r="O3" s="22"/>
      <c r="P3" s="22"/>
      <c r="Q3" s="22"/>
      <c r="R3" s="22"/>
      <c r="S3" s="20"/>
      <c r="T3" s="22"/>
      <c r="U3" s="22"/>
      <c r="V3" s="146"/>
      <c r="W3" s="22"/>
      <c r="X3" s="22"/>
      <c r="Y3" s="22"/>
      <c r="Z3" s="22"/>
      <c r="AA3" s="22"/>
      <c r="AB3" s="20"/>
      <c r="AC3" s="22"/>
      <c r="AD3" s="22"/>
      <c r="AE3" s="147"/>
      <c r="AF3" s="22"/>
      <c r="AG3" s="22"/>
      <c r="AH3" s="22"/>
      <c r="AK3" s="22"/>
      <c r="AL3" s="22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 hidden="1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6"/>
      <c r="W4" s="22"/>
      <c r="X4" s="22"/>
      <c r="Y4" s="22"/>
      <c r="Z4" s="22"/>
      <c r="AA4" s="22"/>
      <c r="AB4" s="20"/>
      <c r="AC4" s="22"/>
      <c r="AD4" s="22"/>
      <c r="AE4" s="147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 hidden="1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6"/>
      <c r="W5" s="22"/>
      <c r="X5" s="22"/>
      <c r="Y5" s="22"/>
      <c r="Z5" s="22"/>
      <c r="AA5" s="22"/>
      <c r="AB5" s="20"/>
      <c r="AC5" s="22"/>
      <c r="AD5" s="22"/>
      <c r="AE5" s="147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 hidden="1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6"/>
      <c r="W6" s="22"/>
      <c r="X6" s="22"/>
      <c r="Y6" s="22"/>
      <c r="Z6" s="22"/>
      <c r="AA6" s="22"/>
      <c r="AB6" s="20"/>
      <c r="AC6" s="22"/>
      <c r="AD6" s="22"/>
      <c r="AE6" s="147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 hidden="1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6"/>
      <c r="W7" s="22"/>
      <c r="X7" s="22"/>
      <c r="Y7" s="22"/>
      <c r="Z7" s="22"/>
      <c r="AA7" s="22"/>
      <c r="AB7" s="20"/>
      <c r="AC7" s="22"/>
      <c r="AD7" s="22"/>
      <c r="AE7" s="147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 hidden="1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6"/>
      <c r="W8" s="22"/>
      <c r="X8" s="22"/>
      <c r="Y8" s="22"/>
      <c r="Z8" s="22"/>
      <c r="AA8" s="22"/>
      <c r="AB8" s="20"/>
      <c r="AC8" s="22"/>
      <c r="AD8" s="22"/>
      <c r="AE8" s="147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 hidden="1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6"/>
      <c r="W9" s="22"/>
      <c r="X9" s="22"/>
      <c r="Y9" s="22"/>
      <c r="Z9" s="22"/>
      <c r="AA9" s="22"/>
      <c r="AB9" s="20"/>
      <c r="AC9" s="22"/>
      <c r="AD9" s="22"/>
      <c r="AE9" s="147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 hidden="1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6"/>
      <c r="W10" s="22"/>
      <c r="X10" s="22"/>
      <c r="Y10" s="22"/>
      <c r="Z10" s="22"/>
      <c r="AA10" s="22"/>
      <c r="AB10" s="20"/>
      <c r="AC10" s="22"/>
      <c r="AD10" s="22"/>
      <c r="AE10" s="147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 hidden="1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6"/>
      <c r="W11" s="22"/>
      <c r="X11" s="22"/>
      <c r="Y11" s="22"/>
      <c r="Z11" s="22"/>
      <c r="AA11" s="22"/>
      <c r="AB11" s="20"/>
      <c r="AC11" s="22"/>
      <c r="AD11" s="22"/>
      <c r="AE11" s="147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 hidden="1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6"/>
      <c r="W12" s="22"/>
      <c r="X12" s="22"/>
      <c r="Y12" s="22"/>
      <c r="Z12" s="22"/>
      <c r="AA12" s="22"/>
      <c r="AB12" s="20"/>
      <c r="AC12" s="22"/>
      <c r="AD12" s="22"/>
      <c r="AE12" s="147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 hidden="1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6"/>
      <c r="W13" s="22"/>
      <c r="X13" s="22"/>
      <c r="Y13" s="22"/>
      <c r="Z13" s="22"/>
      <c r="AA13" s="22"/>
      <c r="AB13" s="20"/>
      <c r="AC13" s="22"/>
      <c r="AD13" s="22"/>
      <c r="AE13" s="147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 hidden="1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6"/>
      <c r="W14" s="22"/>
      <c r="X14" s="22"/>
      <c r="Y14" s="22"/>
      <c r="Z14" s="22"/>
      <c r="AA14" s="22"/>
      <c r="AB14" s="20"/>
      <c r="AC14" s="22"/>
      <c r="AD14" s="22"/>
      <c r="AE14" s="147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 hidden="1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6"/>
      <c r="W15" s="22"/>
      <c r="X15" s="22"/>
      <c r="Y15" s="22"/>
      <c r="Z15" s="22"/>
      <c r="AA15" s="22"/>
      <c r="AB15" s="20"/>
      <c r="AC15" s="22"/>
      <c r="AD15" s="22"/>
      <c r="AE15" s="147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 hidden="1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6"/>
      <c r="W16" s="22"/>
      <c r="X16" s="22"/>
      <c r="Y16" s="22"/>
      <c r="Z16" s="22"/>
      <c r="AA16" s="22"/>
      <c r="AB16" s="20"/>
      <c r="AC16" s="22"/>
      <c r="AD16" s="22"/>
      <c r="AE16" s="147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 hidden="1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6"/>
      <c r="W17" s="22"/>
      <c r="X17" s="22"/>
      <c r="Y17" s="22"/>
      <c r="Z17" s="22"/>
      <c r="AA17" s="22"/>
      <c r="AB17" s="20"/>
      <c r="AC17" s="22"/>
      <c r="AD17" s="22"/>
      <c r="AE17" s="147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 hidden="1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6"/>
      <c r="W18" s="22"/>
      <c r="X18" s="22"/>
      <c r="Y18" s="22"/>
      <c r="Z18" s="22"/>
      <c r="AA18" s="22"/>
      <c r="AB18" s="20"/>
      <c r="AC18" s="22"/>
      <c r="AD18" s="22"/>
      <c r="AE18" s="147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 hidden="1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6"/>
      <c r="W19" s="22"/>
      <c r="X19" s="22"/>
      <c r="Y19" s="22"/>
      <c r="Z19" s="22"/>
      <c r="AA19" s="22"/>
      <c r="AB19" s="20"/>
      <c r="AC19" s="22"/>
      <c r="AD19" s="22"/>
      <c r="AE19" s="147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 hidden="1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48"/>
      <c r="AG20" s="22"/>
      <c r="AH20" s="22"/>
      <c r="AK20" s="22"/>
      <c r="AM20" s="22"/>
      <c r="AX20" s="20"/>
      <c r="AY20" s="22"/>
    </row>
    <row r="21" spans="3:53" hidden="1">
      <c r="D21" s="4"/>
      <c r="S21" s="20"/>
      <c r="AE21" s="148"/>
    </row>
    <row r="22" spans="3:53" hidden="1">
      <c r="D22" s="4"/>
      <c r="S22" s="20"/>
      <c r="AE22" s="148"/>
    </row>
    <row r="23" spans="3:53" hidden="1">
      <c r="D23" s="4"/>
      <c r="AE23" s="148"/>
    </row>
    <row r="24" spans="3:53" hidden="1">
      <c r="AE24" s="148"/>
    </row>
    <row r="25" spans="3:53" hidden="1">
      <c r="AE25" s="148"/>
    </row>
    <row r="26" spans="3:53" hidden="1">
      <c r="AE26" s="148"/>
    </row>
    <row r="27" spans="3:53" hidden="1">
      <c r="AE27" s="148"/>
    </row>
    <row r="28" spans="3:53" hidden="1">
      <c r="AE28" s="148"/>
    </row>
    <row r="29" spans="3:53" hidden="1">
      <c r="AE29" s="148"/>
    </row>
    <row r="30" spans="3:53" hidden="1">
      <c r="AE30" s="148"/>
    </row>
    <row r="31" spans="3:53" hidden="1">
      <c r="AE31" s="148"/>
    </row>
    <row r="32" spans="3:53" hidden="1">
      <c r="AE32" s="148"/>
    </row>
    <row r="33" spans="31:31" hidden="1">
      <c r="AE33" s="148"/>
    </row>
    <row r="34" spans="31:31" hidden="1">
      <c r="AE34" s="148"/>
    </row>
    <row r="35" spans="31:31" hidden="1">
      <c r="AE35" s="148"/>
    </row>
    <row r="36" spans="31:31" hidden="1">
      <c r="AE36" s="148"/>
    </row>
    <row r="37" spans="31:31" hidden="1">
      <c r="AE37" s="148"/>
    </row>
    <row r="38" spans="31:31" hidden="1">
      <c r="AE38" s="148"/>
    </row>
    <row r="39" spans="31:31" hidden="1">
      <c r="AE39" s="148"/>
    </row>
    <row r="40" spans="31:31" hidden="1">
      <c r="AE40" s="148"/>
    </row>
    <row r="41" spans="31:31" hidden="1">
      <c r="AE41" s="148"/>
    </row>
    <row r="42" spans="31:31" hidden="1">
      <c r="AE42" s="148"/>
    </row>
    <row r="43" spans="31:31" hidden="1">
      <c r="AE43" s="148"/>
    </row>
    <row r="44" spans="31:31" hidden="1">
      <c r="AE44" s="148"/>
    </row>
    <row r="45" spans="31:31" hidden="1">
      <c r="AE45" s="148"/>
    </row>
    <row r="46" spans="31:31" hidden="1">
      <c r="AE46" s="148"/>
    </row>
    <row r="47" spans="31:31" hidden="1">
      <c r="AE47" s="148"/>
    </row>
    <row r="48" spans="31:31" hidden="1">
      <c r="AE48" s="148"/>
    </row>
    <row r="49" spans="31:31" hidden="1">
      <c r="AE49" s="148"/>
    </row>
    <row r="50" spans="31:31" hidden="1">
      <c r="AE50" s="148"/>
    </row>
    <row r="51" spans="31:31" hidden="1">
      <c r="AE51" s="148"/>
    </row>
    <row r="52" spans="31:31" hidden="1">
      <c r="AE52" s="148"/>
    </row>
    <row r="53" spans="31:31" hidden="1">
      <c r="AE53" s="148"/>
    </row>
    <row r="54" spans="31:31" hidden="1">
      <c r="AE54" s="148"/>
    </row>
    <row r="55" spans="31:31" hidden="1">
      <c r="AE55" s="148"/>
    </row>
    <row r="56" spans="31:31" hidden="1">
      <c r="AE56" s="148"/>
    </row>
    <row r="57" spans="31:31" hidden="1">
      <c r="AE57" s="148"/>
    </row>
    <row r="58" spans="31:31" hidden="1">
      <c r="AE58" s="148"/>
    </row>
    <row r="59" spans="31:31" hidden="1">
      <c r="AE59" s="148"/>
    </row>
    <row r="60" spans="31:31" hidden="1">
      <c r="AE60" s="148"/>
    </row>
    <row r="61" spans="31:31" hidden="1">
      <c r="AE61" s="148"/>
    </row>
    <row r="62" spans="31:31" hidden="1">
      <c r="AE62" s="148"/>
    </row>
    <row r="63" spans="31:31" hidden="1">
      <c r="AE63" s="148"/>
    </row>
    <row r="64" spans="31:31" hidden="1">
      <c r="AE64" s="148"/>
    </row>
    <row r="65" spans="31:31" hidden="1">
      <c r="AE65" s="148"/>
    </row>
    <row r="66" spans="31:31" hidden="1">
      <c r="AE66" s="148"/>
    </row>
    <row r="67" spans="31:31" hidden="1">
      <c r="AE67" s="148"/>
    </row>
    <row r="68" spans="31:31" hidden="1">
      <c r="AE68" s="148"/>
    </row>
    <row r="69" spans="31:31" hidden="1">
      <c r="AE69" s="148"/>
    </row>
    <row r="70" spans="31:31" hidden="1">
      <c r="AE70" s="148"/>
    </row>
    <row r="71" spans="31:31" hidden="1">
      <c r="AE71" s="148"/>
    </row>
    <row r="72" spans="31:31" hidden="1">
      <c r="AE72" s="148"/>
    </row>
    <row r="73" spans="31:31" hidden="1">
      <c r="AE73" s="148"/>
    </row>
    <row r="74" spans="31:31" hidden="1">
      <c r="AE74" s="148"/>
    </row>
    <row r="75" spans="31:31" hidden="1">
      <c r="AE75" s="148"/>
    </row>
    <row r="76" spans="31:31" hidden="1">
      <c r="AE76" s="148"/>
    </row>
    <row r="77" spans="31:31" hidden="1">
      <c r="AE77" s="148"/>
    </row>
    <row r="78" spans="31:31" hidden="1">
      <c r="AE78" s="148"/>
    </row>
    <row r="79" spans="31:31" hidden="1">
      <c r="AE79" s="148"/>
    </row>
    <row r="80" spans="31:31" hidden="1">
      <c r="AE80" s="148"/>
    </row>
    <row r="81" spans="31:31" hidden="1">
      <c r="AE81" s="148"/>
    </row>
    <row r="82" spans="31:31" hidden="1">
      <c r="AE82" s="148"/>
    </row>
    <row r="83" spans="31:31" hidden="1">
      <c r="AE83" s="148"/>
    </row>
    <row r="84" spans="31:31" hidden="1">
      <c r="AE84" s="148"/>
    </row>
    <row r="85" spans="31:31" hidden="1">
      <c r="AE85" s="148"/>
    </row>
    <row r="86" spans="31:31" hidden="1">
      <c r="AE86" s="148"/>
    </row>
    <row r="87" spans="31:31" hidden="1">
      <c r="AE87" s="148"/>
    </row>
    <row r="88" spans="31:31" hidden="1">
      <c r="AE88" s="148"/>
    </row>
    <row r="89" spans="31:31" hidden="1">
      <c r="AE89" s="148"/>
    </row>
    <row r="90" spans="31:31" hidden="1">
      <c r="AE90" s="148"/>
    </row>
    <row r="91" spans="31:31" hidden="1">
      <c r="AE91" s="148"/>
    </row>
    <row r="92" spans="31:31" hidden="1">
      <c r="AE92" s="148"/>
    </row>
    <row r="93" spans="31:31" hidden="1">
      <c r="AE93" s="148"/>
    </row>
    <row r="94" spans="31:31" hidden="1">
      <c r="AE94" s="148"/>
    </row>
    <row r="95" spans="31:31" hidden="1">
      <c r="AE95" s="148"/>
    </row>
    <row r="96" spans="31:31" hidden="1">
      <c r="AE96" s="148"/>
    </row>
    <row r="97" spans="31:31" hidden="1">
      <c r="AE97" s="148"/>
    </row>
    <row r="98" spans="31:31" hidden="1">
      <c r="AE98" s="148"/>
    </row>
    <row r="99" spans="31:31" hidden="1">
      <c r="AE99" s="148"/>
    </row>
    <row r="100" spans="31:31" hidden="1">
      <c r="AE100" s="148"/>
    </row>
    <row r="101" spans="31:31" hidden="1">
      <c r="AE101" s="148"/>
    </row>
    <row r="102" spans="31:31" hidden="1">
      <c r="AE102" s="148"/>
    </row>
    <row r="103" spans="31:31" hidden="1">
      <c r="AE103" s="148"/>
    </row>
    <row r="104" spans="31:31" hidden="1">
      <c r="AE104" s="148"/>
    </row>
    <row r="105" spans="31:31" hidden="1">
      <c r="AE105" s="148"/>
    </row>
    <row r="106" spans="31:31" hidden="1">
      <c r="AE106" s="148"/>
    </row>
    <row r="107" spans="31:31" hidden="1">
      <c r="AE107" s="148"/>
    </row>
    <row r="108" spans="31:31" hidden="1">
      <c r="AE108" s="148"/>
    </row>
    <row r="109" spans="31:31" hidden="1">
      <c r="AE109" s="148"/>
    </row>
    <row r="110" spans="31:31" hidden="1">
      <c r="AE110" s="148"/>
    </row>
    <row r="111" spans="31:31" hidden="1">
      <c r="AE111" s="148"/>
    </row>
    <row r="112" spans="31:31" hidden="1">
      <c r="AE112" s="148"/>
    </row>
    <row r="113" spans="31:31" hidden="1">
      <c r="AE113" s="148"/>
    </row>
    <row r="114" spans="31:31" hidden="1">
      <c r="AE114" s="148"/>
    </row>
    <row r="115" spans="31:31" hidden="1">
      <c r="AE115" s="148"/>
    </row>
    <row r="116" spans="31:31" hidden="1">
      <c r="AE116" s="148"/>
    </row>
    <row r="117" spans="31:31" hidden="1">
      <c r="AE117" s="148"/>
    </row>
    <row r="118" spans="31:31" hidden="1">
      <c r="AE118" s="148"/>
    </row>
    <row r="119" spans="31:31" hidden="1">
      <c r="AE119" s="148"/>
    </row>
    <row r="120" spans="31:31" hidden="1">
      <c r="AE120" s="148"/>
    </row>
    <row r="121" spans="31:31" hidden="1">
      <c r="AE121" s="148"/>
    </row>
    <row r="122" spans="31:31" hidden="1">
      <c r="AE122" s="148"/>
    </row>
    <row r="123" spans="31:31" hidden="1">
      <c r="AE123" s="148"/>
    </row>
    <row r="124" spans="31:31" hidden="1">
      <c r="AE124" s="148"/>
    </row>
    <row r="125" spans="31:31" hidden="1">
      <c r="AE125" s="148"/>
    </row>
    <row r="126" spans="31:31" hidden="1">
      <c r="AE126" s="148"/>
    </row>
    <row r="127" spans="31:31" hidden="1">
      <c r="AE127" s="148"/>
    </row>
    <row r="128" spans="31:31" hidden="1">
      <c r="AE128" s="148"/>
    </row>
    <row r="129" spans="31:31" hidden="1">
      <c r="AE129" s="148"/>
    </row>
    <row r="130" spans="31:31" hidden="1">
      <c r="AE130" s="148"/>
    </row>
    <row r="131" spans="31:31" hidden="1">
      <c r="AE131" s="148"/>
    </row>
    <row r="132" spans="31:31" hidden="1">
      <c r="AE132" s="148"/>
    </row>
    <row r="133" spans="31:31" hidden="1">
      <c r="AE133" s="148"/>
    </row>
    <row r="134" spans="31:31" hidden="1">
      <c r="AE134" s="148"/>
    </row>
    <row r="135" spans="31:31" hidden="1">
      <c r="AE135" s="148"/>
    </row>
    <row r="136" spans="31:31" hidden="1">
      <c r="AE136" s="148"/>
    </row>
    <row r="137" spans="31:31" hidden="1">
      <c r="AE137" s="148"/>
    </row>
    <row r="138" spans="31:31" hidden="1">
      <c r="AE138" s="148"/>
    </row>
    <row r="139" spans="31:31" hidden="1">
      <c r="AE139" s="148"/>
    </row>
    <row r="140" spans="31:31" hidden="1">
      <c r="AE140" s="148"/>
    </row>
    <row r="141" spans="31:31" hidden="1">
      <c r="AE141" s="148"/>
    </row>
    <row r="142" spans="31:31" hidden="1">
      <c r="AE142" s="148"/>
    </row>
    <row r="143" spans="31:31" hidden="1">
      <c r="AE143" s="148"/>
    </row>
    <row r="144" spans="31:31" hidden="1">
      <c r="AE144" s="148"/>
    </row>
    <row r="145" spans="31:31" hidden="1">
      <c r="AE145" s="148"/>
    </row>
    <row r="146" spans="31:31" hidden="1">
      <c r="AE146" s="148"/>
    </row>
    <row r="147" spans="31:31" hidden="1">
      <c r="AE147" s="148"/>
    </row>
    <row r="148" spans="31:31" hidden="1">
      <c r="AE148" s="148"/>
    </row>
    <row r="149" spans="31:31" hidden="1">
      <c r="AE149" s="148"/>
    </row>
    <row r="150" spans="31:31" hidden="1">
      <c r="AE150" s="148"/>
    </row>
    <row r="151" spans="31:31" hidden="1">
      <c r="AE151" s="148"/>
    </row>
    <row r="152" spans="31:31" hidden="1">
      <c r="AE152" s="148"/>
    </row>
    <row r="153" spans="31:31" hidden="1">
      <c r="AE153" s="148"/>
    </row>
    <row r="154" spans="31:31" hidden="1">
      <c r="AE154" s="148"/>
    </row>
    <row r="155" spans="31:31" hidden="1">
      <c r="AE155" s="148"/>
    </row>
    <row r="156" spans="31:31" hidden="1">
      <c r="AE156" s="148"/>
    </row>
    <row r="157" spans="31:31" hidden="1">
      <c r="AE157" s="148"/>
    </row>
    <row r="158" spans="31:31" hidden="1">
      <c r="AE158" s="148"/>
    </row>
    <row r="159" spans="31:31" hidden="1">
      <c r="AE159" s="148"/>
    </row>
    <row r="160" spans="31:31" hidden="1">
      <c r="AE160" s="148"/>
    </row>
    <row r="161" spans="31:31" hidden="1">
      <c r="AE161" s="148"/>
    </row>
    <row r="162" spans="31:31" hidden="1">
      <c r="AE162" s="148"/>
    </row>
    <row r="163" spans="31:31" hidden="1">
      <c r="AE163" s="148"/>
    </row>
    <row r="164" spans="31:31" hidden="1">
      <c r="AE164" s="148"/>
    </row>
    <row r="165" spans="31:31" hidden="1">
      <c r="AE165" s="148"/>
    </row>
    <row r="166" spans="31:31" hidden="1">
      <c r="AE166" s="148"/>
    </row>
    <row r="167" spans="31:31" hidden="1">
      <c r="AE167" s="148"/>
    </row>
    <row r="168" spans="31:31" hidden="1">
      <c r="AE168" s="148"/>
    </row>
    <row r="169" spans="31:31" hidden="1">
      <c r="AE169" s="148"/>
    </row>
    <row r="170" spans="31:31" hidden="1">
      <c r="AE170" s="148"/>
    </row>
    <row r="171" spans="31:31" hidden="1">
      <c r="AE171" s="148"/>
    </row>
    <row r="172" spans="31:31" hidden="1">
      <c r="AE172" s="148"/>
    </row>
    <row r="173" spans="31:31" hidden="1">
      <c r="AE173" s="148"/>
    </row>
    <row r="174" spans="31:31" hidden="1">
      <c r="AE174" s="148"/>
    </row>
    <row r="175" spans="31:31" hidden="1">
      <c r="AE175" s="148"/>
    </row>
    <row r="176" spans="31:31" hidden="1">
      <c r="AE176" s="148"/>
    </row>
    <row r="177" spans="31:31" hidden="1">
      <c r="AE177" s="148"/>
    </row>
    <row r="178" spans="31:31" hidden="1">
      <c r="AE178" s="148"/>
    </row>
    <row r="179" spans="31:31" hidden="1">
      <c r="AE179" s="148"/>
    </row>
    <row r="180" spans="31:31" hidden="1">
      <c r="AE180" s="148"/>
    </row>
    <row r="181" spans="31:31" hidden="1">
      <c r="AE181" s="148"/>
    </row>
    <row r="182" spans="31:31" hidden="1">
      <c r="AE182" s="148"/>
    </row>
    <row r="183" spans="31:31" hidden="1">
      <c r="AE183" s="148"/>
    </row>
    <row r="184" spans="31:31" hidden="1">
      <c r="AE184" s="148"/>
    </row>
    <row r="185" spans="31:31" hidden="1">
      <c r="AE185" s="148"/>
    </row>
    <row r="186" spans="31:31" hidden="1">
      <c r="AE186" s="148"/>
    </row>
    <row r="187" spans="31:31" hidden="1">
      <c r="AE187" s="148"/>
    </row>
    <row r="188" spans="31:31" hidden="1">
      <c r="AE188" s="148"/>
    </row>
    <row r="189" spans="31:31" hidden="1">
      <c r="AE189" s="148"/>
    </row>
    <row r="190" spans="31:31" hidden="1">
      <c r="AE190" s="148"/>
    </row>
    <row r="191" spans="31:31" hidden="1">
      <c r="AE191" s="148"/>
    </row>
    <row r="192" spans="31:31" hidden="1">
      <c r="AE192" s="148"/>
    </row>
    <row r="193" spans="31:31" hidden="1">
      <c r="AE193" s="148"/>
    </row>
    <row r="194" spans="31:31" hidden="1">
      <c r="AE194" s="148"/>
    </row>
    <row r="195" spans="31:31" hidden="1">
      <c r="AE195" s="148"/>
    </row>
    <row r="196" spans="31:31" hidden="1">
      <c r="AE196" s="148"/>
    </row>
    <row r="197" spans="31:31" hidden="1">
      <c r="AE197" s="148"/>
    </row>
    <row r="198" spans="31:31" hidden="1">
      <c r="AE198" s="148"/>
    </row>
    <row r="199" spans="31:31" hidden="1">
      <c r="AE199" s="148"/>
    </row>
    <row r="200" spans="31:31" hidden="1">
      <c r="AE200" s="148"/>
    </row>
    <row r="201" spans="31:31" hidden="1">
      <c r="AE201" s="148"/>
    </row>
    <row r="202" spans="31:31" hidden="1">
      <c r="AE202" s="148"/>
    </row>
    <row r="203" spans="31:31" hidden="1">
      <c r="AE203" s="148"/>
    </row>
    <row r="204" spans="31:31" hidden="1">
      <c r="AE204" s="148"/>
    </row>
    <row r="205" spans="31:31" hidden="1">
      <c r="AE205" s="148"/>
    </row>
    <row r="206" spans="31:31" hidden="1">
      <c r="AE206" s="148"/>
    </row>
    <row r="207" spans="31:31" hidden="1">
      <c r="AE207" s="148"/>
    </row>
    <row r="208" spans="31:31" hidden="1">
      <c r="AE208" s="148"/>
    </row>
    <row r="209" spans="31:31" hidden="1">
      <c r="AE209" s="148"/>
    </row>
    <row r="210" spans="31:31" hidden="1">
      <c r="AE210" s="148"/>
    </row>
    <row r="211" spans="31:31" hidden="1">
      <c r="AE211" s="148"/>
    </row>
    <row r="212" spans="31:31" hidden="1">
      <c r="AE212" s="148"/>
    </row>
    <row r="213" spans="31:31" hidden="1">
      <c r="AE213" s="148"/>
    </row>
    <row r="214" spans="31:31" hidden="1">
      <c r="AE214" s="148"/>
    </row>
    <row r="215" spans="31:31" hidden="1">
      <c r="AE215" s="148"/>
    </row>
    <row r="216" spans="31:31" hidden="1">
      <c r="AE216" s="148"/>
    </row>
    <row r="217" spans="31:31" hidden="1">
      <c r="AE217" s="148"/>
    </row>
    <row r="218" spans="31:31" hidden="1">
      <c r="AE218" s="148"/>
    </row>
    <row r="219" spans="31:31" hidden="1">
      <c r="AE219" s="148"/>
    </row>
    <row r="220" spans="31:31" hidden="1">
      <c r="AE220" s="148"/>
    </row>
    <row r="221" spans="31:31" hidden="1">
      <c r="AE221" s="148"/>
    </row>
    <row r="222" spans="31:31" hidden="1">
      <c r="AE222" s="148"/>
    </row>
    <row r="223" spans="31:31" hidden="1">
      <c r="AE223" s="148"/>
    </row>
    <row r="224" spans="31:31" hidden="1">
      <c r="AE224" s="148"/>
    </row>
    <row r="225" spans="31:31" hidden="1">
      <c r="AE225" s="148"/>
    </row>
    <row r="226" spans="31:31" hidden="1">
      <c r="AE226" s="148"/>
    </row>
    <row r="227" spans="31:31" hidden="1">
      <c r="AE227" s="148"/>
    </row>
    <row r="228" spans="31:31" hidden="1">
      <c r="AE228" s="148"/>
    </row>
    <row r="229" spans="31:31" hidden="1">
      <c r="AE229" s="148"/>
    </row>
    <row r="230" spans="31:31" hidden="1">
      <c r="AE230" s="148"/>
    </row>
    <row r="231" spans="31:31" hidden="1">
      <c r="AE231" s="148"/>
    </row>
    <row r="232" spans="31:31" hidden="1">
      <c r="AE232" s="148"/>
    </row>
    <row r="233" spans="31:31" hidden="1">
      <c r="AE233" s="148"/>
    </row>
    <row r="234" spans="31:31" hidden="1">
      <c r="AE234" s="148"/>
    </row>
    <row r="235" spans="31:31" hidden="1">
      <c r="AE235" s="148"/>
    </row>
    <row r="236" spans="31:31" hidden="1">
      <c r="AE236" s="148"/>
    </row>
    <row r="237" spans="31:31" hidden="1">
      <c r="AE237" s="148"/>
    </row>
    <row r="238" spans="31:31" hidden="1">
      <c r="AE238" s="148"/>
    </row>
    <row r="239" spans="31:31" hidden="1">
      <c r="AE239" s="148"/>
    </row>
    <row r="240" spans="31:31" hidden="1">
      <c r="AE240" s="148"/>
    </row>
    <row r="241" spans="31:31" hidden="1">
      <c r="AE241" s="148"/>
    </row>
    <row r="242" spans="31:31" hidden="1">
      <c r="AE242" s="148"/>
    </row>
    <row r="243" spans="31:31" hidden="1">
      <c r="AE243" s="148"/>
    </row>
    <row r="244" spans="31:31" hidden="1">
      <c r="AE244" s="148"/>
    </row>
    <row r="245" spans="31:31" hidden="1">
      <c r="AE245" s="148"/>
    </row>
    <row r="246" spans="31:31" hidden="1">
      <c r="AE246" s="148"/>
    </row>
    <row r="247" spans="31:31" hidden="1">
      <c r="AE247" s="148"/>
    </row>
    <row r="248" spans="31:31" hidden="1">
      <c r="AE248" s="148"/>
    </row>
    <row r="249" spans="31:31" hidden="1">
      <c r="AE249" s="148"/>
    </row>
    <row r="250" spans="31:31" hidden="1">
      <c r="AE250" s="148"/>
    </row>
    <row r="251" spans="31:31" hidden="1">
      <c r="AE251" s="148"/>
    </row>
    <row r="252" spans="31:31" hidden="1">
      <c r="AE252" s="148"/>
    </row>
    <row r="253" spans="31:31" hidden="1">
      <c r="AE253" s="148"/>
    </row>
    <row r="254" spans="31:31" hidden="1">
      <c r="AE254" s="148"/>
    </row>
    <row r="255" spans="31:31" hidden="1">
      <c r="AE255" s="148"/>
    </row>
    <row r="256" spans="31:31" hidden="1">
      <c r="AE256" s="148"/>
    </row>
    <row r="257" spans="31:31" hidden="1">
      <c r="AE257" s="148"/>
    </row>
    <row r="258" spans="31:31" hidden="1">
      <c r="AE258" s="148"/>
    </row>
    <row r="259" spans="31:31" hidden="1">
      <c r="AE259" s="148"/>
    </row>
    <row r="260" spans="31:31" hidden="1">
      <c r="AE260" s="148"/>
    </row>
    <row r="261" spans="31:31" hidden="1">
      <c r="AE261" s="148"/>
    </row>
    <row r="262" spans="31:31" hidden="1">
      <c r="AE262" s="148"/>
    </row>
    <row r="263" spans="31:31" hidden="1">
      <c r="AE263" s="148"/>
    </row>
    <row r="264" spans="31:31" hidden="1">
      <c r="AE264" s="148"/>
    </row>
    <row r="265" spans="31:31" hidden="1">
      <c r="AE265" s="148"/>
    </row>
    <row r="266" spans="31:31" hidden="1">
      <c r="AE266" s="148"/>
    </row>
    <row r="267" spans="31:31" hidden="1">
      <c r="AE267" s="148"/>
    </row>
    <row r="268" spans="31:31" hidden="1">
      <c r="AE268" s="148"/>
    </row>
    <row r="269" spans="31:31" hidden="1">
      <c r="AE269" s="148"/>
    </row>
    <row r="270" spans="31:31" hidden="1">
      <c r="AE270" s="148"/>
    </row>
    <row r="271" spans="31:31" hidden="1">
      <c r="AE271" s="148"/>
    </row>
    <row r="272" spans="31:31" hidden="1">
      <c r="AE272" s="148"/>
    </row>
    <row r="273" spans="31:31" hidden="1">
      <c r="AE273" s="148"/>
    </row>
    <row r="274" spans="31:31" hidden="1">
      <c r="AE274" s="148"/>
    </row>
    <row r="275" spans="31:31" hidden="1">
      <c r="AE275" s="148"/>
    </row>
    <row r="276" spans="31:31" hidden="1">
      <c r="AE276" s="148"/>
    </row>
    <row r="277" spans="31:31" hidden="1">
      <c r="AE277" s="148"/>
    </row>
    <row r="278" spans="31:31" hidden="1">
      <c r="AE278" s="148"/>
    </row>
    <row r="279" spans="31:31" hidden="1">
      <c r="AE279" s="148"/>
    </row>
    <row r="280" spans="31:31" hidden="1">
      <c r="AE280" s="148"/>
    </row>
    <row r="281" spans="31:31" hidden="1">
      <c r="AE281" s="148"/>
    </row>
    <row r="282" spans="31:31" hidden="1">
      <c r="AE282" s="148"/>
    </row>
    <row r="283" spans="31:31" hidden="1">
      <c r="AE283" s="148"/>
    </row>
    <row r="284" spans="31:31" hidden="1">
      <c r="AE284" s="148"/>
    </row>
    <row r="285" spans="31:31" hidden="1">
      <c r="AE285" s="148"/>
    </row>
    <row r="286" spans="31:31" hidden="1">
      <c r="AE286" s="148"/>
    </row>
    <row r="287" spans="31:31" hidden="1">
      <c r="AE287" s="148"/>
    </row>
    <row r="288" spans="31:31" hidden="1">
      <c r="AE288" s="148"/>
    </row>
    <row r="289" spans="31:31" hidden="1">
      <c r="AE289" s="148"/>
    </row>
    <row r="290" spans="31:31" hidden="1">
      <c r="AE290" s="148"/>
    </row>
    <row r="291" spans="31:31" hidden="1">
      <c r="AE291" s="148"/>
    </row>
    <row r="292" spans="31:31" hidden="1">
      <c r="AE292" s="148"/>
    </row>
    <row r="293" spans="31:31" hidden="1">
      <c r="AE293" s="148"/>
    </row>
    <row r="294" spans="31:31" hidden="1">
      <c r="AE294" s="148"/>
    </row>
    <row r="295" spans="31:31" hidden="1">
      <c r="AE295" s="148"/>
    </row>
    <row r="296" spans="31:31" hidden="1">
      <c r="AE296" s="148"/>
    </row>
    <row r="297" spans="31:31" hidden="1">
      <c r="AE297" s="148"/>
    </row>
    <row r="298" spans="31:31" hidden="1">
      <c r="AE298" s="148"/>
    </row>
    <row r="299" spans="31:31" hidden="1">
      <c r="AE299" s="148"/>
    </row>
    <row r="300" spans="31:31" hidden="1">
      <c r="AE300" s="148"/>
    </row>
    <row r="301" spans="31:31" hidden="1">
      <c r="AE301" s="148"/>
    </row>
    <row r="302" spans="31:31" hidden="1">
      <c r="AE302" s="148"/>
    </row>
    <row r="303" spans="31:31" hidden="1">
      <c r="AE303" s="148"/>
    </row>
    <row r="304" spans="31:31" hidden="1">
      <c r="AE304" s="148"/>
    </row>
    <row r="305" spans="31:31" hidden="1">
      <c r="AE305" s="148"/>
    </row>
    <row r="306" spans="31:31" hidden="1">
      <c r="AE306" s="148"/>
    </row>
    <row r="307" spans="31:31" hidden="1">
      <c r="AE307" s="148"/>
    </row>
    <row r="308" spans="31:31" hidden="1">
      <c r="AE308" s="148"/>
    </row>
    <row r="309" spans="31:31" hidden="1">
      <c r="AE309" s="148"/>
    </row>
    <row r="310" spans="31:31" hidden="1">
      <c r="AE310" s="148"/>
    </row>
    <row r="311" spans="31:31" hidden="1">
      <c r="AE311" s="148"/>
    </row>
    <row r="312" spans="31:31" hidden="1">
      <c r="AE312" s="148"/>
    </row>
    <row r="313" spans="31:31" hidden="1">
      <c r="AE313" s="148"/>
    </row>
    <row r="314" spans="31:31" hidden="1">
      <c r="AE314" s="148"/>
    </row>
    <row r="315" spans="31:31" hidden="1">
      <c r="AE315" s="148"/>
    </row>
    <row r="316" spans="31:31" hidden="1">
      <c r="AE316" s="148"/>
    </row>
    <row r="317" spans="31:31" hidden="1">
      <c r="AE317" s="148"/>
    </row>
    <row r="318" spans="31:31" hidden="1">
      <c r="AE318" s="148"/>
    </row>
    <row r="319" spans="31:31" hidden="1">
      <c r="AE319" s="148"/>
    </row>
    <row r="320" spans="31:31" hidden="1">
      <c r="AE320" s="148"/>
    </row>
    <row r="321" spans="31:31" hidden="1">
      <c r="AE321" s="148"/>
    </row>
    <row r="322" spans="31:31" hidden="1">
      <c r="AE322" s="148"/>
    </row>
    <row r="323" spans="31:31" hidden="1">
      <c r="AE323" s="148"/>
    </row>
    <row r="324" spans="31:31" hidden="1">
      <c r="AE324" s="148"/>
    </row>
    <row r="325" spans="31:31" hidden="1">
      <c r="AE325" s="148"/>
    </row>
    <row r="326" spans="31:31" hidden="1">
      <c r="AE326" s="148"/>
    </row>
    <row r="327" spans="31:31" hidden="1">
      <c r="AE327" s="148"/>
    </row>
    <row r="328" spans="31:31" hidden="1">
      <c r="AE328" s="148"/>
    </row>
    <row r="329" spans="31:31" hidden="1">
      <c r="AE329" s="148"/>
    </row>
    <row r="330" spans="31:31" hidden="1">
      <c r="AE330" s="148"/>
    </row>
    <row r="331" spans="31:31" hidden="1">
      <c r="AE331" s="148"/>
    </row>
    <row r="332" spans="31:31" hidden="1">
      <c r="AE332" s="148"/>
    </row>
    <row r="333" spans="31:31" hidden="1">
      <c r="AE333" s="148"/>
    </row>
    <row r="334" spans="31:31" hidden="1">
      <c r="AE334" s="148"/>
    </row>
    <row r="335" spans="31:31" hidden="1">
      <c r="AE335" s="148"/>
    </row>
    <row r="336" spans="31:31" hidden="1">
      <c r="AE336" s="148"/>
    </row>
    <row r="337" spans="31:31" hidden="1">
      <c r="AE337" s="148"/>
    </row>
    <row r="338" spans="31:31" hidden="1">
      <c r="AE338" s="148"/>
    </row>
    <row r="339" spans="31:31" hidden="1">
      <c r="AE339" s="148"/>
    </row>
    <row r="340" spans="31:31" hidden="1">
      <c r="AE340" s="148"/>
    </row>
    <row r="341" spans="31:31" hidden="1">
      <c r="AE341" s="148"/>
    </row>
    <row r="342" spans="31:31" hidden="1">
      <c r="AE342" s="148"/>
    </row>
    <row r="343" spans="31:31" hidden="1">
      <c r="AE343" s="148"/>
    </row>
    <row r="344" spans="31:31" hidden="1">
      <c r="AE344" s="148"/>
    </row>
    <row r="345" spans="31:31" hidden="1">
      <c r="AE345" s="148"/>
    </row>
    <row r="346" spans="31:31" hidden="1">
      <c r="AE346" s="148"/>
    </row>
    <row r="347" spans="31:31" hidden="1">
      <c r="AE347" s="148"/>
    </row>
    <row r="348" spans="31:31" hidden="1">
      <c r="AE348" s="148"/>
    </row>
    <row r="349" spans="31:31" hidden="1">
      <c r="AE349" s="148"/>
    </row>
    <row r="350" spans="31:31" hidden="1">
      <c r="AE350" s="148"/>
    </row>
    <row r="351" spans="31:31" hidden="1">
      <c r="AE351" s="148"/>
    </row>
    <row r="352" spans="31:31" hidden="1">
      <c r="AE352" s="148"/>
    </row>
    <row r="353" spans="31:31" hidden="1">
      <c r="AE353" s="148"/>
    </row>
    <row r="354" spans="31:31" hidden="1">
      <c r="AE354" s="148"/>
    </row>
    <row r="355" spans="31:31" hidden="1">
      <c r="AE355" s="148"/>
    </row>
    <row r="356" spans="31:31" hidden="1">
      <c r="AE356" s="148"/>
    </row>
    <row r="357" spans="31:31" hidden="1">
      <c r="AE357" s="148"/>
    </row>
    <row r="358" spans="31:31" hidden="1">
      <c r="AE358" s="148"/>
    </row>
    <row r="359" spans="31:31" hidden="1">
      <c r="AE359" s="148"/>
    </row>
    <row r="360" spans="31:31" hidden="1">
      <c r="AE360" s="148"/>
    </row>
    <row r="361" spans="31:31" hidden="1">
      <c r="AE361" s="148"/>
    </row>
    <row r="362" spans="31:31" hidden="1">
      <c r="AE362" s="148"/>
    </row>
    <row r="363" spans="31:31" hidden="1">
      <c r="AE363" s="148"/>
    </row>
    <row r="364" spans="31:31" hidden="1">
      <c r="AE364" s="148"/>
    </row>
    <row r="365" spans="31:31" hidden="1">
      <c r="AE365" s="148"/>
    </row>
    <row r="366" spans="31:31" hidden="1">
      <c r="AE366" s="148"/>
    </row>
    <row r="367" spans="31:31" hidden="1">
      <c r="AE367" s="148"/>
    </row>
    <row r="368" spans="31:31" hidden="1">
      <c r="AE368" s="148"/>
    </row>
    <row r="369" spans="31:31" hidden="1">
      <c r="AE369" s="148"/>
    </row>
    <row r="370" spans="31:31" hidden="1">
      <c r="AE370" s="148"/>
    </row>
    <row r="371" spans="31:31" hidden="1">
      <c r="AE371" s="148"/>
    </row>
    <row r="372" spans="31:31" hidden="1">
      <c r="AE372" s="148"/>
    </row>
    <row r="373" spans="31:31" hidden="1">
      <c r="AE373" s="148"/>
    </row>
    <row r="374" spans="31:31" hidden="1">
      <c r="AE374" s="148"/>
    </row>
    <row r="375" spans="31:31" hidden="1">
      <c r="AE375" s="148"/>
    </row>
    <row r="376" spans="31:31" hidden="1">
      <c r="AE376" s="148"/>
    </row>
    <row r="377" spans="31:31" hidden="1">
      <c r="AE377" s="148"/>
    </row>
    <row r="378" spans="31:31" hidden="1">
      <c r="AE378" s="148"/>
    </row>
    <row r="379" spans="31:31" hidden="1">
      <c r="AE379" s="148"/>
    </row>
    <row r="380" spans="31:31" hidden="1">
      <c r="AE380" s="148"/>
    </row>
    <row r="381" spans="31:31" hidden="1">
      <c r="AE381" s="148"/>
    </row>
    <row r="382" spans="31:31" hidden="1">
      <c r="AE382" s="148"/>
    </row>
    <row r="383" spans="31:31" hidden="1">
      <c r="AE383" s="148"/>
    </row>
    <row r="384" spans="31:31" hidden="1">
      <c r="AE384" s="148"/>
    </row>
    <row r="385" spans="31:31" hidden="1">
      <c r="AE385" s="148"/>
    </row>
    <row r="386" spans="31:31" hidden="1">
      <c r="AE386" s="148"/>
    </row>
    <row r="387" spans="31:31" hidden="1">
      <c r="AE387" s="148"/>
    </row>
    <row r="388" spans="31:31" hidden="1">
      <c r="AE388" s="148"/>
    </row>
    <row r="389" spans="31:31" hidden="1">
      <c r="AE389" s="148"/>
    </row>
    <row r="390" spans="31:31" hidden="1">
      <c r="AE390" s="148"/>
    </row>
    <row r="391" spans="31:31" hidden="1">
      <c r="AE391" s="148"/>
    </row>
    <row r="392" spans="31:31" hidden="1">
      <c r="AE392" s="148"/>
    </row>
    <row r="393" spans="31:31" hidden="1">
      <c r="AE393" s="148"/>
    </row>
    <row r="394" spans="31:31" hidden="1">
      <c r="AE394" s="148"/>
    </row>
    <row r="395" spans="31:31" hidden="1">
      <c r="AE395" s="148"/>
    </row>
    <row r="396" spans="31:31" hidden="1">
      <c r="AE396" s="148"/>
    </row>
    <row r="397" spans="31:31" hidden="1">
      <c r="AE397" s="148"/>
    </row>
    <row r="398" spans="31:31" hidden="1">
      <c r="AE398" s="148"/>
    </row>
    <row r="399" spans="31:31" hidden="1">
      <c r="AE399" s="148"/>
    </row>
    <row r="400" spans="31:31" hidden="1">
      <c r="AE400" s="148"/>
    </row>
    <row r="401" spans="31:31" hidden="1">
      <c r="AE401" s="148"/>
    </row>
    <row r="402" spans="31:31" hidden="1">
      <c r="AE402" s="148"/>
    </row>
    <row r="403" spans="31:31" hidden="1">
      <c r="AE403" s="148"/>
    </row>
    <row r="404" spans="31:31" hidden="1">
      <c r="AE404" s="148"/>
    </row>
    <row r="405" spans="31:31" hidden="1">
      <c r="AE405" s="148"/>
    </row>
    <row r="406" spans="31:31" hidden="1">
      <c r="AE406" s="148"/>
    </row>
    <row r="407" spans="31:31" hidden="1">
      <c r="AE407" s="148"/>
    </row>
    <row r="408" spans="31:31" hidden="1">
      <c r="AE408" s="148"/>
    </row>
    <row r="409" spans="31:31" hidden="1">
      <c r="AE409" s="148"/>
    </row>
    <row r="410" spans="31:31" hidden="1">
      <c r="AE410" s="148"/>
    </row>
    <row r="411" spans="31:31" hidden="1">
      <c r="AE411" s="148"/>
    </row>
    <row r="412" spans="31:31" hidden="1">
      <c r="AE412" s="148"/>
    </row>
    <row r="413" spans="31:31" hidden="1">
      <c r="AE413" s="148"/>
    </row>
    <row r="414" spans="31:31" hidden="1">
      <c r="AE414" s="148"/>
    </row>
    <row r="415" spans="31:31" hidden="1">
      <c r="AE415" s="148"/>
    </row>
    <row r="416" spans="31:31" hidden="1">
      <c r="AE416" s="148"/>
    </row>
    <row r="417" spans="31:31" hidden="1">
      <c r="AE417" s="148"/>
    </row>
    <row r="418" spans="31:31" hidden="1">
      <c r="AE418" s="148"/>
    </row>
    <row r="419" spans="31:31" hidden="1">
      <c r="AE419" s="148"/>
    </row>
    <row r="420" spans="31:31" hidden="1">
      <c r="AE420" s="148"/>
    </row>
    <row r="421" spans="31:31" hidden="1">
      <c r="AE421" s="148"/>
    </row>
    <row r="422" spans="31:31" hidden="1">
      <c r="AE422" s="148"/>
    </row>
    <row r="423" spans="31:31" hidden="1">
      <c r="AE423" s="148"/>
    </row>
    <row r="424" spans="31:31" hidden="1">
      <c r="AE424" s="148"/>
    </row>
    <row r="425" spans="31:31" hidden="1">
      <c r="AE425" s="148"/>
    </row>
    <row r="426" spans="31:31" hidden="1">
      <c r="AE426" s="148"/>
    </row>
    <row r="427" spans="31:31" hidden="1">
      <c r="AE427" s="148"/>
    </row>
    <row r="428" spans="31:31" hidden="1">
      <c r="AE428" s="148"/>
    </row>
    <row r="429" spans="31:31" hidden="1">
      <c r="AE429" s="148"/>
    </row>
    <row r="430" spans="31:31" hidden="1">
      <c r="AE430" s="148"/>
    </row>
    <row r="431" spans="31:31" hidden="1">
      <c r="AE431" s="148"/>
    </row>
    <row r="432" spans="31:31" hidden="1">
      <c r="AE432" s="148"/>
    </row>
    <row r="433" spans="31:31" hidden="1">
      <c r="AE433" s="148"/>
    </row>
    <row r="434" spans="31:31" hidden="1">
      <c r="AE434" s="148"/>
    </row>
    <row r="435" spans="31:31" hidden="1">
      <c r="AE435" s="148"/>
    </row>
    <row r="436" spans="31:31" hidden="1">
      <c r="AE436" s="148"/>
    </row>
    <row r="437" spans="31:31" hidden="1">
      <c r="AE437" s="148"/>
    </row>
    <row r="438" spans="31:31" hidden="1">
      <c r="AE438" s="148"/>
    </row>
    <row r="439" spans="31:31" hidden="1">
      <c r="AE439" s="148"/>
    </row>
    <row r="440" spans="31:31" hidden="1">
      <c r="AE440" s="148"/>
    </row>
    <row r="441" spans="31:31" hidden="1">
      <c r="AE441" s="148"/>
    </row>
    <row r="442" spans="31:31" hidden="1">
      <c r="AE442" s="148"/>
    </row>
    <row r="443" spans="31:31" hidden="1">
      <c r="AE443" s="148"/>
    </row>
    <row r="444" spans="31:31" hidden="1">
      <c r="AE444" s="148"/>
    </row>
    <row r="445" spans="31:31" hidden="1">
      <c r="AE445" s="148"/>
    </row>
    <row r="446" spans="31:31" hidden="1">
      <c r="AE446" s="148"/>
    </row>
    <row r="447" spans="31:31" hidden="1">
      <c r="AE447" s="148"/>
    </row>
    <row r="448" spans="31:31" hidden="1">
      <c r="AE448" s="148"/>
    </row>
    <row r="449" spans="31:31" hidden="1">
      <c r="AE449" s="148"/>
    </row>
    <row r="450" spans="31:31" hidden="1">
      <c r="AE450" s="148"/>
    </row>
    <row r="451" spans="31:31" hidden="1">
      <c r="AE451" s="148"/>
    </row>
    <row r="452" spans="31:31" hidden="1">
      <c r="AE452" s="148"/>
    </row>
    <row r="453" spans="31:31" hidden="1">
      <c r="AE453" s="148"/>
    </row>
    <row r="454" spans="31:31" hidden="1">
      <c r="AE454" s="148"/>
    </row>
    <row r="455" spans="31:31" hidden="1">
      <c r="AE455" s="148"/>
    </row>
    <row r="456" spans="31:31" hidden="1">
      <c r="AE456" s="148"/>
    </row>
    <row r="457" spans="31:31" hidden="1">
      <c r="AE457" s="148"/>
    </row>
    <row r="458" spans="31:31" hidden="1">
      <c r="AE458" s="148"/>
    </row>
    <row r="459" spans="31:31" hidden="1">
      <c r="AE459" s="148"/>
    </row>
    <row r="460" spans="31:31" hidden="1">
      <c r="AE460" s="148"/>
    </row>
    <row r="461" spans="31:31" hidden="1">
      <c r="AE461" s="148"/>
    </row>
    <row r="462" spans="31:31" hidden="1">
      <c r="AE462" s="148"/>
    </row>
    <row r="463" spans="31:31" hidden="1">
      <c r="AE463" s="148"/>
    </row>
    <row r="464" spans="31:31" hidden="1">
      <c r="AE464" s="148"/>
    </row>
    <row r="465" spans="31:31" hidden="1">
      <c r="AE465" s="148"/>
    </row>
    <row r="466" spans="31:31" hidden="1">
      <c r="AE466" s="148"/>
    </row>
    <row r="467" spans="31:31" hidden="1">
      <c r="AE467" s="148"/>
    </row>
    <row r="468" spans="31:31" hidden="1">
      <c r="AE468" s="148"/>
    </row>
    <row r="469" spans="31:31" hidden="1">
      <c r="AE469" s="148"/>
    </row>
    <row r="470" spans="31:31" hidden="1">
      <c r="AE470" s="148"/>
    </row>
    <row r="471" spans="31:31" hidden="1">
      <c r="AE471" s="148"/>
    </row>
    <row r="472" spans="31:31" hidden="1">
      <c r="AE472" s="148"/>
    </row>
    <row r="473" spans="31:31" hidden="1">
      <c r="AE473" s="148"/>
    </row>
    <row r="474" spans="31:31" hidden="1">
      <c r="AE474" s="148"/>
    </row>
    <row r="475" spans="31:31" hidden="1">
      <c r="AE475" s="148"/>
    </row>
    <row r="476" spans="31:31" hidden="1">
      <c r="AE476" s="148"/>
    </row>
    <row r="477" spans="31:31" hidden="1">
      <c r="AE477" s="148"/>
    </row>
    <row r="478" spans="31:31" hidden="1">
      <c r="AE478" s="148"/>
    </row>
    <row r="479" spans="31:31" hidden="1">
      <c r="AE479" s="148"/>
    </row>
    <row r="480" spans="31:31" hidden="1">
      <c r="AE480" s="148"/>
    </row>
    <row r="481" spans="31:31" hidden="1">
      <c r="AE481" s="148"/>
    </row>
    <row r="482" spans="31:31" hidden="1">
      <c r="AE482" s="148"/>
    </row>
    <row r="483" spans="31:31" hidden="1">
      <c r="AE483" s="148"/>
    </row>
    <row r="484" spans="31:31" hidden="1">
      <c r="AE484" s="148"/>
    </row>
    <row r="485" spans="31:31" hidden="1">
      <c r="AE485" s="148"/>
    </row>
    <row r="486" spans="31:31" hidden="1">
      <c r="AE486" s="148"/>
    </row>
    <row r="487" spans="31:31" hidden="1">
      <c r="AE487" s="148"/>
    </row>
    <row r="488" spans="31:31" hidden="1">
      <c r="AE488" s="148"/>
    </row>
    <row r="489" spans="31:31" hidden="1">
      <c r="AE489" s="148"/>
    </row>
    <row r="490" spans="31:31" hidden="1">
      <c r="AE490" s="148"/>
    </row>
    <row r="491" spans="31:31" hidden="1">
      <c r="AE491" s="148"/>
    </row>
    <row r="492" spans="31:31" hidden="1">
      <c r="AE492" s="148"/>
    </row>
    <row r="493" spans="31:31" hidden="1">
      <c r="AE493" s="148"/>
    </row>
    <row r="494" spans="31:31" hidden="1">
      <c r="AE494" s="148"/>
    </row>
    <row r="495" spans="31:31" hidden="1">
      <c r="AE495" s="148"/>
    </row>
    <row r="496" spans="31:31" hidden="1">
      <c r="AE496" s="148"/>
    </row>
    <row r="497" spans="31:31" hidden="1">
      <c r="AE497" s="148"/>
    </row>
    <row r="498" spans="31:31" hidden="1">
      <c r="AE498" s="148"/>
    </row>
    <row r="499" spans="31:31" hidden="1">
      <c r="AE499" s="148"/>
    </row>
    <row r="500" spans="31:31" hidden="1">
      <c r="AE500" s="148"/>
    </row>
    <row r="501" spans="31:31" hidden="1">
      <c r="AE501" s="148"/>
    </row>
    <row r="502" spans="31:31" hidden="1">
      <c r="AE502" s="148"/>
    </row>
    <row r="503" spans="31:31" hidden="1">
      <c r="AE503" s="148"/>
    </row>
    <row r="504" spans="31:31" hidden="1">
      <c r="AE504" s="148"/>
    </row>
    <row r="505" spans="31:31" hidden="1">
      <c r="AE505" s="148"/>
    </row>
    <row r="506" spans="31:31" hidden="1">
      <c r="AE506" s="148"/>
    </row>
    <row r="507" spans="31:31" hidden="1">
      <c r="AE507" s="148"/>
    </row>
    <row r="508" spans="31:31" hidden="1">
      <c r="AE508" s="148"/>
    </row>
    <row r="509" spans="31:31" hidden="1">
      <c r="AE509" s="148"/>
    </row>
    <row r="510" spans="31:31" hidden="1">
      <c r="AE510" s="148"/>
    </row>
    <row r="511" spans="31:31" hidden="1">
      <c r="AE511" s="148"/>
    </row>
    <row r="512" spans="31:31" hidden="1">
      <c r="AE512" s="148"/>
    </row>
    <row r="513" spans="31:31" hidden="1">
      <c r="AE513" s="148"/>
    </row>
    <row r="514" spans="31:31" hidden="1">
      <c r="AE514" s="148"/>
    </row>
    <row r="515" spans="31:31" hidden="1">
      <c r="AE515" s="148"/>
    </row>
    <row r="516" spans="31:31" hidden="1">
      <c r="AE516" s="148"/>
    </row>
    <row r="517" spans="31:31" hidden="1">
      <c r="AE517" s="148"/>
    </row>
    <row r="518" spans="31:31" hidden="1">
      <c r="AE518" s="148"/>
    </row>
    <row r="519" spans="31:31" hidden="1">
      <c r="AE519" s="148"/>
    </row>
    <row r="520" spans="31:31" hidden="1">
      <c r="AE520" s="148"/>
    </row>
    <row r="521" spans="31:31" hidden="1">
      <c r="AE521" s="148"/>
    </row>
    <row r="522" spans="31:31" hidden="1">
      <c r="AE522" s="148"/>
    </row>
    <row r="523" spans="31:31" hidden="1">
      <c r="AE523" s="148"/>
    </row>
    <row r="524" spans="31:31" hidden="1">
      <c r="AE524" s="148"/>
    </row>
    <row r="525" spans="31:31" hidden="1">
      <c r="AE525" s="148"/>
    </row>
    <row r="526" spans="31:31" hidden="1">
      <c r="AE526" s="148"/>
    </row>
    <row r="527" spans="31:31" hidden="1">
      <c r="AE527" s="148"/>
    </row>
    <row r="528" spans="31:31" hidden="1">
      <c r="AE528" s="148"/>
    </row>
    <row r="529" spans="31:31" hidden="1">
      <c r="AE529" s="148"/>
    </row>
    <row r="530" spans="31:31" hidden="1">
      <c r="AE530" s="148"/>
    </row>
    <row r="531" spans="31:31" hidden="1">
      <c r="AE531" s="148"/>
    </row>
    <row r="532" spans="31:31" hidden="1">
      <c r="AE532" s="148"/>
    </row>
    <row r="533" spans="31:31" hidden="1">
      <c r="AE533" s="148"/>
    </row>
    <row r="534" spans="31:31" hidden="1">
      <c r="AE534" s="148"/>
    </row>
    <row r="535" spans="31:31" hidden="1">
      <c r="AE535" s="148"/>
    </row>
    <row r="536" spans="31:31" hidden="1">
      <c r="AE536" s="148"/>
    </row>
    <row r="537" spans="31:31" hidden="1">
      <c r="AE537" s="148"/>
    </row>
    <row r="538" spans="31:31" hidden="1">
      <c r="AE538" s="148"/>
    </row>
    <row r="539" spans="31:31" hidden="1">
      <c r="AE539" s="148"/>
    </row>
    <row r="540" spans="31:31" hidden="1">
      <c r="AE540" s="148"/>
    </row>
    <row r="541" spans="31:31" hidden="1">
      <c r="AE541" s="148"/>
    </row>
    <row r="542" spans="31:31" hidden="1">
      <c r="AE542" s="148"/>
    </row>
    <row r="543" spans="31:31" hidden="1">
      <c r="AE543" s="148"/>
    </row>
    <row r="544" spans="31:31" hidden="1">
      <c r="AE544" s="148"/>
    </row>
    <row r="545" spans="31:31" hidden="1">
      <c r="AE545" s="148"/>
    </row>
    <row r="546" spans="31:31" hidden="1">
      <c r="AE546" s="148"/>
    </row>
    <row r="547" spans="31:31" hidden="1">
      <c r="AE547" s="148"/>
    </row>
    <row r="548" spans="31:31" hidden="1">
      <c r="AE548" s="148"/>
    </row>
    <row r="549" spans="31:31" hidden="1">
      <c r="AE549" s="148"/>
    </row>
    <row r="550" spans="31:31" hidden="1">
      <c r="AE550" s="148"/>
    </row>
    <row r="551" spans="31:31" hidden="1">
      <c r="AE551" s="148"/>
    </row>
    <row r="552" spans="31:31" hidden="1">
      <c r="AE552" s="148"/>
    </row>
    <row r="553" spans="31:31" hidden="1">
      <c r="AE553" s="148"/>
    </row>
    <row r="554" spans="31:31" hidden="1">
      <c r="AE554" s="148"/>
    </row>
    <row r="555" spans="31:31" hidden="1">
      <c r="AE555" s="148"/>
    </row>
    <row r="556" spans="31:31" hidden="1">
      <c r="AE556" s="148"/>
    </row>
    <row r="557" spans="31:31" hidden="1">
      <c r="AE557" s="148"/>
    </row>
    <row r="558" spans="31:31" hidden="1">
      <c r="AE558" s="148"/>
    </row>
    <row r="559" spans="31:31" hidden="1">
      <c r="AE559" s="148"/>
    </row>
    <row r="560" spans="31:31" hidden="1">
      <c r="AE560" s="148"/>
    </row>
    <row r="561" spans="31:31" hidden="1">
      <c r="AE561" s="148"/>
    </row>
    <row r="562" spans="31:31" hidden="1">
      <c r="AE562" s="148"/>
    </row>
    <row r="563" spans="31:31" hidden="1">
      <c r="AE563" s="148"/>
    </row>
    <row r="564" spans="31:31" hidden="1">
      <c r="AE564" s="148"/>
    </row>
    <row r="565" spans="31:31" hidden="1">
      <c r="AE565" s="148"/>
    </row>
    <row r="566" spans="31:31" hidden="1">
      <c r="AE566" s="148"/>
    </row>
    <row r="567" spans="31:31" hidden="1">
      <c r="AE567" s="148"/>
    </row>
    <row r="568" spans="31:31" hidden="1">
      <c r="AE568" s="148"/>
    </row>
    <row r="569" spans="31:31" hidden="1">
      <c r="AE569" s="148"/>
    </row>
    <row r="570" spans="31:31" hidden="1">
      <c r="AE570" s="148"/>
    </row>
    <row r="571" spans="31:31" hidden="1">
      <c r="AE571" s="148"/>
    </row>
    <row r="572" spans="31:31" hidden="1">
      <c r="AE572" s="148"/>
    </row>
    <row r="573" spans="31:31" hidden="1">
      <c r="AE573" s="148"/>
    </row>
    <row r="574" spans="31:31" hidden="1">
      <c r="AE574" s="148"/>
    </row>
    <row r="575" spans="31:31" hidden="1">
      <c r="AE575" s="148"/>
    </row>
    <row r="576" spans="31:31" hidden="1">
      <c r="AE576" s="148"/>
    </row>
    <row r="577" spans="31:31" hidden="1">
      <c r="AE577" s="148"/>
    </row>
    <row r="578" spans="31:31" hidden="1">
      <c r="AE578" s="148"/>
    </row>
    <row r="579" spans="31:31" hidden="1">
      <c r="AE579" s="148"/>
    </row>
    <row r="580" spans="31:31" hidden="1">
      <c r="AE580" s="148"/>
    </row>
    <row r="581" spans="31:31" hidden="1">
      <c r="AE581" s="148"/>
    </row>
    <row r="582" spans="31:31" hidden="1">
      <c r="AE582" s="148"/>
    </row>
    <row r="583" spans="31:31" hidden="1">
      <c r="AE583" s="148"/>
    </row>
    <row r="584" spans="31:31" hidden="1">
      <c r="AE584" s="148"/>
    </row>
    <row r="585" spans="31:31" hidden="1">
      <c r="AE585" s="148"/>
    </row>
    <row r="586" spans="31:31" hidden="1">
      <c r="AE586" s="148"/>
    </row>
    <row r="587" spans="31:31" hidden="1">
      <c r="AE587" s="148"/>
    </row>
    <row r="588" spans="31:31" hidden="1">
      <c r="AE588" s="148"/>
    </row>
    <row r="589" spans="31:31" hidden="1">
      <c r="AE589" s="148"/>
    </row>
    <row r="590" spans="31:31" hidden="1">
      <c r="AE590" s="148"/>
    </row>
    <row r="591" spans="31:31" hidden="1">
      <c r="AE591" s="148"/>
    </row>
    <row r="592" spans="31:31" hidden="1">
      <c r="AE592" s="148"/>
    </row>
    <row r="593" spans="31:31" hidden="1">
      <c r="AE593" s="148"/>
    </row>
    <row r="594" spans="31:31" hidden="1">
      <c r="AE594" s="148"/>
    </row>
    <row r="595" spans="31:31" hidden="1">
      <c r="AE595" s="148"/>
    </row>
    <row r="596" spans="31:31" hidden="1">
      <c r="AE596" s="148"/>
    </row>
    <row r="597" spans="31:31" hidden="1">
      <c r="AE597" s="148"/>
    </row>
    <row r="598" spans="31:31" hidden="1">
      <c r="AE598" s="148"/>
    </row>
    <row r="599" spans="31:31" hidden="1">
      <c r="AE599" s="148"/>
    </row>
    <row r="600" spans="31:31" hidden="1">
      <c r="AE600" s="148"/>
    </row>
    <row r="601" spans="31:31" hidden="1">
      <c r="AE601" s="148"/>
    </row>
    <row r="602" spans="31:31" hidden="1">
      <c r="AE602" s="148"/>
    </row>
    <row r="603" spans="31:31" hidden="1">
      <c r="AE603" s="148"/>
    </row>
    <row r="604" spans="31:31" hidden="1">
      <c r="AE604" s="148"/>
    </row>
    <row r="605" spans="31:31" hidden="1">
      <c r="AE605" s="148"/>
    </row>
    <row r="606" spans="31:31" hidden="1">
      <c r="AE606" s="148"/>
    </row>
    <row r="607" spans="31:31" hidden="1">
      <c r="AE607" s="148"/>
    </row>
    <row r="608" spans="31:31" hidden="1">
      <c r="AE608" s="148"/>
    </row>
    <row r="609" spans="31:31" hidden="1">
      <c r="AE609" s="148"/>
    </row>
    <row r="610" spans="31:31" hidden="1">
      <c r="AE610" s="148"/>
    </row>
    <row r="611" spans="31:31" hidden="1">
      <c r="AE611" s="148"/>
    </row>
    <row r="612" spans="31:31" hidden="1">
      <c r="AE612" s="148"/>
    </row>
    <row r="613" spans="31:31" hidden="1">
      <c r="AE613" s="148"/>
    </row>
    <row r="614" spans="31:31" hidden="1">
      <c r="AE614" s="148"/>
    </row>
    <row r="615" spans="31:31" hidden="1">
      <c r="AE615" s="148"/>
    </row>
    <row r="616" spans="31:31" hidden="1">
      <c r="AE616" s="148"/>
    </row>
    <row r="617" spans="31:31" hidden="1">
      <c r="AE617" s="148"/>
    </row>
    <row r="618" spans="31:31" hidden="1">
      <c r="AE618" s="148"/>
    </row>
    <row r="619" spans="31:31" hidden="1">
      <c r="AE619" s="148"/>
    </row>
    <row r="620" spans="31:31" hidden="1">
      <c r="AE620" s="148"/>
    </row>
    <row r="621" spans="31:31" hidden="1">
      <c r="AE621" s="148"/>
    </row>
    <row r="622" spans="31:31" hidden="1">
      <c r="AE622" s="148"/>
    </row>
    <row r="623" spans="31:31" hidden="1">
      <c r="AE623" s="148"/>
    </row>
    <row r="624" spans="31:31" hidden="1">
      <c r="AE624" s="148"/>
    </row>
    <row r="625" spans="31:31" hidden="1">
      <c r="AE625" s="148"/>
    </row>
    <row r="626" spans="31:31" hidden="1">
      <c r="AE626" s="148"/>
    </row>
    <row r="627" spans="31:31" hidden="1">
      <c r="AE627" s="148"/>
    </row>
    <row r="628" spans="31:31" hidden="1">
      <c r="AE628" s="148"/>
    </row>
    <row r="629" spans="31:31" hidden="1">
      <c r="AE629" s="148"/>
    </row>
    <row r="630" spans="31:31" hidden="1">
      <c r="AE630" s="148"/>
    </row>
    <row r="631" spans="31:31" hidden="1">
      <c r="AE631" s="148"/>
    </row>
    <row r="632" spans="31:31" hidden="1">
      <c r="AE632" s="148"/>
    </row>
    <row r="633" spans="31:31" hidden="1">
      <c r="AE633" s="148"/>
    </row>
    <row r="634" spans="31:31" hidden="1">
      <c r="AE634" s="148"/>
    </row>
    <row r="635" spans="31:31" hidden="1">
      <c r="AE635" s="148"/>
    </row>
    <row r="636" spans="31:31" hidden="1">
      <c r="AE636" s="148"/>
    </row>
    <row r="637" spans="31:31" hidden="1">
      <c r="AE637" s="148"/>
    </row>
    <row r="638" spans="31:31" hidden="1">
      <c r="AE638" s="148"/>
    </row>
    <row r="639" spans="31:31" hidden="1">
      <c r="AE639" s="148"/>
    </row>
    <row r="640" spans="31:31" hidden="1">
      <c r="AE640" s="148"/>
    </row>
    <row r="641" spans="31:31" hidden="1">
      <c r="AE641" s="148"/>
    </row>
    <row r="642" spans="31:31" hidden="1">
      <c r="AE642" s="148"/>
    </row>
    <row r="643" spans="31:31" hidden="1">
      <c r="AE643" s="148"/>
    </row>
    <row r="644" spans="31:31" hidden="1">
      <c r="AE644" s="148"/>
    </row>
    <row r="645" spans="31:31" hidden="1">
      <c r="AE645" s="148"/>
    </row>
    <row r="646" spans="31:31" hidden="1">
      <c r="AE646" s="148"/>
    </row>
    <row r="647" spans="31:31" hidden="1">
      <c r="AE647" s="148"/>
    </row>
    <row r="648" spans="31:31" hidden="1">
      <c r="AE648" s="148"/>
    </row>
    <row r="649" spans="31:31" hidden="1">
      <c r="AE649" s="148"/>
    </row>
    <row r="650" spans="31:31" hidden="1">
      <c r="AE650" s="148"/>
    </row>
    <row r="651" spans="31:31" hidden="1">
      <c r="AE651" s="148"/>
    </row>
    <row r="652" spans="31:31" hidden="1">
      <c r="AE652" s="148"/>
    </row>
    <row r="653" spans="31:31" hidden="1">
      <c r="AE653" s="148"/>
    </row>
    <row r="654" spans="31:31" hidden="1">
      <c r="AE654" s="148"/>
    </row>
    <row r="655" spans="31:31" hidden="1">
      <c r="AE655" s="148"/>
    </row>
    <row r="656" spans="31:31" hidden="1">
      <c r="AE656" s="148"/>
    </row>
    <row r="657" spans="31:31" hidden="1">
      <c r="AE657" s="148"/>
    </row>
    <row r="658" spans="31:31" hidden="1">
      <c r="AE658" s="148"/>
    </row>
    <row r="659" spans="31:31" hidden="1">
      <c r="AE659" s="148"/>
    </row>
    <row r="660" spans="31:31" hidden="1">
      <c r="AE660" s="148"/>
    </row>
    <row r="661" spans="31:31" hidden="1">
      <c r="AE661" s="148"/>
    </row>
    <row r="662" spans="31:31" hidden="1">
      <c r="AE662" s="148"/>
    </row>
    <row r="663" spans="31:31" hidden="1">
      <c r="AE663" s="148"/>
    </row>
    <row r="664" spans="31:31" hidden="1">
      <c r="AE664" s="148"/>
    </row>
    <row r="665" spans="31:31" hidden="1">
      <c r="AE665" s="148"/>
    </row>
    <row r="666" spans="31:31" hidden="1">
      <c r="AE666" s="148"/>
    </row>
    <row r="667" spans="31:31" hidden="1">
      <c r="AE667" s="148"/>
    </row>
    <row r="668" spans="31:31" hidden="1">
      <c r="AE668" s="148"/>
    </row>
    <row r="669" spans="31:31" hidden="1">
      <c r="AE669" s="148"/>
    </row>
    <row r="670" spans="31:31" hidden="1">
      <c r="AE670" s="148"/>
    </row>
    <row r="671" spans="31:31" hidden="1">
      <c r="AE671" s="148"/>
    </row>
    <row r="672" spans="31:31" hidden="1">
      <c r="AE672" s="148"/>
    </row>
    <row r="673" spans="31:31" hidden="1">
      <c r="AE673" s="148"/>
    </row>
    <row r="674" spans="31:31" hidden="1">
      <c r="AE674" s="148"/>
    </row>
    <row r="675" spans="31:31" hidden="1">
      <c r="AE675" s="148"/>
    </row>
    <row r="676" spans="31:31" hidden="1">
      <c r="AE676" s="148"/>
    </row>
    <row r="677" spans="31:31" hidden="1">
      <c r="AE677" s="148"/>
    </row>
    <row r="678" spans="31:31" hidden="1">
      <c r="AE678" s="148"/>
    </row>
    <row r="679" spans="31:31" hidden="1">
      <c r="AE679" s="148"/>
    </row>
    <row r="680" spans="31:31" hidden="1">
      <c r="AE680" s="148"/>
    </row>
    <row r="681" spans="31:31" hidden="1">
      <c r="AE681" s="148"/>
    </row>
    <row r="682" spans="31:31" hidden="1">
      <c r="AE682" s="148"/>
    </row>
    <row r="683" spans="31:31" hidden="1">
      <c r="AE683" s="148"/>
    </row>
    <row r="684" spans="31:31" hidden="1">
      <c r="AE684" s="148"/>
    </row>
    <row r="685" spans="31:31" hidden="1">
      <c r="AE685" s="148"/>
    </row>
    <row r="686" spans="31:31" hidden="1">
      <c r="AE686" s="148"/>
    </row>
    <row r="687" spans="31:31" hidden="1">
      <c r="AE687" s="148"/>
    </row>
    <row r="688" spans="31:31" hidden="1">
      <c r="AE688" s="148"/>
    </row>
    <row r="689" spans="31:31" hidden="1">
      <c r="AE689" s="148"/>
    </row>
    <row r="690" spans="31:31" hidden="1">
      <c r="AE690" s="148"/>
    </row>
    <row r="691" spans="31:31" hidden="1">
      <c r="AE691" s="148"/>
    </row>
    <row r="692" spans="31:31" hidden="1">
      <c r="AE692" s="148"/>
    </row>
    <row r="693" spans="31:31" hidden="1">
      <c r="AE693" s="148"/>
    </row>
    <row r="694" spans="31:31" hidden="1">
      <c r="AE694" s="148"/>
    </row>
    <row r="695" spans="31:31" hidden="1">
      <c r="AE695" s="148"/>
    </row>
    <row r="696" spans="31:31" hidden="1">
      <c r="AE696" s="148"/>
    </row>
    <row r="697" spans="31:31" hidden="1">
      <c r="AE697" s="148"/>
    </row>
    <row r="698" spans="31:31" hidden="1">
      <c r="AE698" s="148"/>
    </row>
    <row r="699" spans="31:31" hidden="1">
      <c r="AE699" s="148"/>
    </row>
    <row r="700" spans="31:31" hidden="1">
      <c r="AE700" s="148"/>
    </row>
    <row r="701" spans="31:31" hidden="1">
      <c r="AE701" s="148"/>
    </row>
    <row r="702" spans="31:31" hidden="1">
      <c r="AE702" s="148"/>
    </row>
    <row r="703" spans="31:31" hidden="1">
      <c r="AE703" s="148"/>
    </row>
    <row r="704" spans="31:31" hidden="1">
      <c r="AE704" s="148"/>
    </row>
    <row r="705" spans="31:31" hidden="1">
      <c r="AE705" s="148"/>
    </row>
    <row r="706" spans="31:31" hidden="1">
      <c r="AE706" s="148"/>
    </row>
    <row r="707" spans="31:31" hidden="1">
      <c r="AE707" s="148"/>
    </row>
    <row r="708" spans="31:31" hidden="1">
      <c r="AE708" s="148"/>
    </row>
    <row r="709" spans="31:31" hidden="1">
      <c r="AE709" s="148"/>
    </row>
    <row r="710" spans="31:31" hidden="1">
      <c r="AE710" s="148"/>
    </row>
    <row r="711" spans="31:31" hidden="1">
      <c r="AE711" s="148"/>
    </row>
    <row r="712" spans="31:31" hidden="1">
      <c r="AE712" s="148"/>
    </row>
    <row r="713" spans="31:31" hidden="1">
      <c r="AE713" s="148"/>
    </row>
    <row r="714" spans="31:31" hidden="1">
      <c r="AE714" s="148"/>
    </row>
    <row r="715" spans="31:31" hidden="1">
      <c r="AE715" s="148"/>
    </row>
    <row r="716" spans="31:31" hidden="1">
      <c r="AE716" s="148"/>
    </row>
    <row r="717" spans="31:31" hidden="1">
      <c r="AE717" s="148"/>
    </row>
    <row r="718" spans="31:31" hidden="1">
      <c r="AE718" s="148"/>
    </row>
    <row r="719" spans="31:31" hidden="1">
      <c r="AE719" s="148"/>
    </row>
    <row r="720" spans="31:31" hidden="1">
      <c r="AE720" s="148"/>
    </row>
    <row r="721" spans="31:31" hidden="1">
      <c r="AE721" s="148"/>
    </row>
    <row r="722" spans="31:31" hidden="1">
      <c r="AE722" s="148"/>
    </row>
    <row r="723" spans="31:31" hidden="1">
      <c r="AE723" s="148"/>
    </row>
    <row r="724" spans="31:31" hidden="1">
      <c r="AE724" s="148"/>
    </row>
    <row r="725" spans="31:31" hidden="1">
      <c r="AE725" s="148"/>
    </row>
    <row r="726" spans="31:31" hidden="1">
      <c r="AE726" s="148"/>
    </row>
    <row r="727" spans="31:31" hidden="1">
      <c r="AE727" s="148"/>
    </row>
    <row r="728" spans="31:31" hidden="1">
      <c r="AE728" s="148"/>
    </row>
    <row r="729" spans="31:31" hidden="1">
      <c r="AE729" s="148"/>
    </row>
    <row r="730" spans="31:31" hidden="1">
      <c r="AE730" s="148"/>
    </row>
    <row r="731" spans="31:31" hidden="1">
      <c r="AE731" s="148"/>
    </row>
    <row r="732" spans="31:31" hidden="1">
      <c r="AE732" s="148"/>
    </row>
    <row r="733" spans="31:31" hidden="1">
      <c r="AE733" s="148"/>
    </row>
    <row r="734" spans="31:31" hidden="1">
      <c r="AE734" s="148"/>
    </row>
    <row r="735" spans="31:31" hidden="1">
      <c r="AE735" s="148"/>
    </row>
    <row r="736" spans="31:31" hidden="1">
      <c r="AE736" s="148"/>
    </row>
    <row r="737" spans="31:31" hidden="1">
      <c r="AE737" s="148"/>
    </row>
    <row r="738" spans="31:31" hidden="1">
      <c r="AE738" s="148"/>
    </row>
    <row r="739" spans="31:31" hidden="1">
      <c r="AE739" s="148"/>
    </row>
    <row r="740" spans="31:31" hidden="1">
      <c r="AE740" s="148"/>
    </row>
    <row r="741" spans="31:31" hidden="1">
      <c r="AE741" s="148"/>
    </row>
    <row r="742" spans="31:31" hidden="1">
      <c r="AE742" s="148"/>
    </row>
    <row r="743" spans="31:31" hidden="1">
      <c r="AE743" s="148"/>
    </row>
    <row r="744" spans="31:31" hidden="1">
      <c r="AE744" s="148"/>
    </row>
    <row r="745" spans="31:31" hidden="1">
      <c r="AE745" s="148"/>
    </row>
    <row r="746" spans="31:31" hidden="1">
      <c r="AE746" s="148"/>
    </row>
    <row r="747" spans="31:31" hidden="1">
      <c r="AE747" s="148"/>
    </row>
    <row r="748" spans="31:31" hidden="1">
      <c r="AE748" s="148"/>
    </row>
    <row r="749" spans="31:31" hidden="1">
      <c r="AE749" s="148"/>
    </row>
    <row r="750" spans="31:31" hidden="1">
      <c r="AE750" s="148"/>
    </row>
    <row r="751" spans="31:31" hidden="1">
      <c r="AE751" s="148"/>
    </row>
    <row r="752" spans="31:31" hidden="1">
      <c r="AE752" s="148"/>
    </row>
    <row r="753" spans="31:31" hidden="1">
      <c r="AE753" s="148"/>
    </row>
    <row r="754" spans="31:31" hidden="1">
      <c r="AE754" s="148"/>
    </row>
    <row r="755" spans="31:31" hidden="1">
      <c r="AE755" s="148"/>
    </row>
    <row r="756" spans="31:31" hidden="1">
      <c r="AE756" s="148"/>
    </row>
    <row r="757" spans="31:31" hidden="1">
      <c r="AE757" s="148"/>
    </row>
    <row r="758" spans="31:31" hidden="1">
      <c r="AE758" s="148"/>
    </row>
    <row r="759" spans="31:31" hidden="1">
      <c r="AE759" s="148"/>
    </row>
    <row r="760" spans="31:31" hidden="1">
      <c r="AE760" s="148"/>
    </row>
    <row r="761" spans="31:31" hidden="1">
      <c r="AE761" s="148"/>
    </row>
    <row r="762" spans="31:31" hidden="1">
      <c r="AE762" s="148"/>
    </row>
    <row r="763" spans="31:31" hidden="1">
      <c r="AE763" s="148"/>
    </row>
    <row r="764" spans="31:31" hidden="1">
      <c r="AE764" s="148"/>
    </row>
    <row r="765" spans="31:31" hidden="1">
      <c r="AE765" s="148"/>
    </row>
    <row r="766" spans="31:31" hidden="1">
      <c r="AE766" s="148"/>
    </row>
    <row r="767" spans="31:31" hidden="1">
      <c r="AE767" s="148"/>
    </row>
    <row r="768" spans="31:31" hidden="1">
      <c r="AE768" s="148"/>
    </row>
    <row r="769" spans="31:31" hidden="1">
      <c r="AE769" s="148"/>
    </row>
    <row r="770" spans="31:31" hidden="1">
      <c r="AE770" s="148"/>
    </row>
    <row r="771" spans="31:31" hidden="1">
      <c r="AE771" s="148"/>
    </row>
    <row r="772" spans="31:31" hidden="1">
      <c r="AE772" s="148"/>
    </row>
    <row r="773" spans="31:31" hidden="1">
      <c r="AE773" s="148"/>
    </row>
    <row r="774" spans="31:31" hidden="1">
      <c r="AE774" s="148"/>
    </row>
    <row r="775" spans="31:31" hidden="1">
      <c r="AE775" s="148"/>
    </row>
    <row r="776" spans="31:31" hidden="1">
      <c r="AE776" s="148"/>
    </row>
    <row r="777" spans="31:31" hidden="1">
      <c r="AE777" s="148"/>
    </row>
    <row r="778" spans="31:31" hidden="1">
      <c r="AE778" s="148"/>
    </row>
    <row r="779" spans="31:31" hidden="1">
      <c r="AE779" s="148"/>
    </row>
    <row r="780" spans="31:31" hidden="1">
      <c r="AE780" s="148"/>
    </row>
    <row r="781" spans="31:31" hidden="1">
      <c r="AE781" s="148"/>
    </row>
    <row r="782" spans="31:31" hidden="1">
      <c r="AE782" s="148"/>
    </row>
    <row r="783" spans="31:31" hidden="1">
      <c r="AE783" s="148"/>
    </row>
    <row r="784" spans="31:31" hidden="1">
      <c r="AE784" s="148"/>
    </row>
    <row r="785" spans="31:31" hidden="1">
      <c r="AE785" s="148"/>
    </row>
    <row r="786" spans="31:31" hidden="1">
      <c r="AE786" s="148"/>
    </row>
    <row r="787" spans="31:31" hidden="1">
      <c r="AE787" s="148"/>
    </row>
    <row r="788" spans="31:31" hidden="1">
      <c r="AE788" s="148"/>
    </row>
    <row r="789" spans="31:31" hidden="1">
      <c r="AE789" s="148"/>
    </row>
    <row r="790" spans="31:31" hidden="1">
      <c r="AE790" s="148"/>
    </row>
    <row r="791" spans="31:31" hidden="1">
      <c r="AE791" s="148"/>
    </row>
    <row r="792" spans="31:31" hidden="1">
      <c r="AE792" s="148"/>
    </row>
    <row r="793" spans="31:31" hidden="1">
      <c r="AE793" s="148"/>
    </row>
    <row r="794" spans="31:31" hidden="1">
      <c r="AE794" s="148"/>
    </row>
    <row r="795" spans="31:31" hidden="1">
      <c r="AE795" s="148"/>
    </row>
    <row r="796" spans="31:31" hidden="1">
      <c r="AE796" s="148"/>
    </row>
    <row r="797" spans="31:31" hidden="1">
      <c r="AE797" s="148"/>
    </row>
    <row r="798" spans="31:31" hidden="1">
      <c r="AE798" s="148"/>
    </row>
    <row r="799" spans="31:31" hidden="1">
      <c r="AE799" s="148"/>
    </row>
    <row r="800" spans="31:31" hidden="1">
      <c r="AE800" s="148"/>
    </row>
    <row r="801" spans="31:31" hidden="1">
      <c r="AE801" s="148"/>
    </row>
    <row r="802" spans="31:31" hidden="1">
      <c r="AE802" s="148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B3" sqref="B3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3" customWidth="1"/>
    <col min="21" max="30" width="11.625" style="2" customWidth="1"/>
    <col min="31" max="16384" width="0" style="2" hidden="1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80</v>
      </c>
      <c r="M1" s="21" t="s">
        <v>127</v>
      </c>
      <c r="N1" s="21" t="s">
        <v>112</v>
      </c>
      <c r="O1" s="21" t="s">
        <v>9</v>
      </c>
      <c r="P1" s="21" t="s">
        <v>10</v>
      </c>
      <c r="Q1" s="21" t="s">
        <v>128</v>
      </c>
      <c r="R1" s="21" t="s">
        <v>11</v>
      </c>
      <c r="S1" s="21" t="s">
        <v>12</v>
      </c>
      <c r="T1" s="141" t="s">
        <v>14</v>
      </c>
      <c r="U1" s="21" t="s">
        <v>15</v>
      </c>
      <c r="V1" s="21" t="s">
        <v>105</v>
      </c>
      <c r="W1" s="21" t="s">
        <v>106</v>
      </c>
      <c r="X1" s="21" t="s">
        <v>89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>
        <v>891</v>
      </c>
      <c r="B2" s="22">
        <v>9957</v>
      </c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6"/>
      <c r="U2" s="22"/>
      <c r="V2" s="22"/>
      <c r="W2" s="22"/>
      <c r="Y2" s="22"/>
      <c r="Z2" s="22"/>
      <c r="AA2" s="22"/>
      <c r="AB2" s="22"/>
      <c r="AC2" s="22"/>
      <c r="AD2" s="22"/>
    </row>
    <row r="3" spans="1:30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6"/>
      <c r="U3" s="22"/>
      <c r="V3" s="22"/>
      <c r="W3" s="22"/>
      <c r="Y3" s="22"/>
      <c r="Z3" s="22"/>
      <c r="AA3" s="22"/>
      <c r="AB3" s="22"/>
      <c r="AC3" s="22"/>
      <c r="AD3" s="22"/>
    </row>
    <row r="4" spans="1:30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6"/>
      <c r="U4" s="22"/>
      <c r="V4" s="22"/>
      <c r="W4" s="22"/>
      <c r="Y4" s="22"/>
      <c r="Z4" s="22"/>
      <c r="AA4" s="22"/>
      <c r="AB4" s="22"/>
      <c r="AC4" s="22"/>
      <c r="AD4" s="22"/>
    </row>
    <row r="5" spans="1:30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6"/>
      <c r="U5" s="22"/>
      <c r="V5" s="22"/>
      <c r="W5" s="22"/>
      <c r="Y5" s="22"/>
      <c r="Z5" s="22"/>
      <c r="AA5" s="22"/>
      <c r="AB5" s="22"/>
      <c r="AC5" s="22"/>
      <c r="AD5" s="22"/>
    </row>
    <row r="6" spans="1:30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6"/>
      <c r="U6" s="22"/>
      <c r="V6" s="22"/>
      <c r="W6" s="22"/>
      <c r="Y6" s="22"/>
      <c r="Z6" s="22"/>
      <c r="AA6" s="22"/>
      <c r="AB6" s="22"/>
      <c r="AC6" s="22"/>
      <c r="AD6" s="22"/>
    </row>
    <row r="7" spans="1:30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6"/>
      <c r="U7" s="22"/>
      <c r="V7" s="22"/>
      <c r="W7" s="22"/>
      <c r="Y7" s="22"/>
      <c r="Z7" s="22"/>
      <c r="AA7" s="22"/>
      <c r="AB7" s="22"/>
      <c r="AC7" s="22"/>
      <c r="AD7" s="22"/>
    </row>
    <row r="8" spans="1:30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6"/>
      <c r="U8" s="22"/>
      <c r="V8" s="22"/>
      <c r="W8" s="22"/>
      <c r="Y8" s="22"/>
      <c r="Z8" s="22"/>
      <c r="AA8" s="22"/>
      <c r="AB8" s="22"/>
      <c r="AC8" s="22"/>
      <c r="AD8" s="22"/>
    </row>
    <row r="9" spans="1:30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6"/>
      <c r="U9" s="22"/>
      <c r="V9" s="22"/>
      <c r="W9" s="22"/>
      <c r="Y9" s="22"/>
      <c r="Z9" s="22"/>
      <c r="AA9" s="22"/>
      <c r="AB9" s="22"/>
      <c r="AC9" s="22"/>
      <c r="AD9" s="22"/>
    </row>
    <row r="10" spans="1:30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6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6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6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6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6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6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6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6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6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6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 hidden="1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 hidden="1">
      <c r="T21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B3" sqref="B3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4" width="11.625" style="2" customWidth="1"/>
    <col min="15" max="15" width="11.625" style="143" customWidth="1"/>
    <col min="16" max="22" width="11.625" style="2" customWidth="1"/>
    <col min="23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121</v>
      </c>
      <c r="D1" s="21" t="s">
        <v>122</v>
      </c>
      <c r="E1" s="21" t="s">
        <v>123</v>
      </c>
      <c r="F1" s="21" t="s">
        <v>5</v>
      </c>
      <c r="G1" s="21" t="s">
        <v>124</v>
      </c>
      <c r="H1" s="21" t="s">
        <v>6</v>
      </c>
      <c r="I1" s="21" t="s">
        <v>7</v>
      </c>
      <c r="J1" s="21" t="s">
        <v>80</v>
      </c>
      <c r="K1" s="21" t="s">
        <v>125</v>
      </c>
      <c r="L1" s="21" t="s">
        <v>10</v>
      </c>
      <c r="M1" s="21" t="s">
        <v>11</v>
      </c>
      <c r="N1" s="21" t="s">
        <v>12</v>
      </c>
      <c r="O1" s="141" t="s">
        <v>14</v>
      </c>
      <c r="P1" s="21" t="s">
        <v>15</v>
      </c>
      <c r="Q1" s="21" t="s">
        <v>90</v>
      </c>
      <c r="R1" s="21" t="s">
        <v>18</v>
      </c>
      <c r="S1" s="21" t="s">
        <v>126</v>
      </c>
      <c r="T1" s="21" t="s">
        <v>20</v>
      </c>
      <c r="U1" s="21" t="s">
        <v>24</v>
      </c>
      <c r="V1" s="21" t="s">
        <v>25</v>
      </c>
    </row>
    <row r="2" spans="1:22">
      <c r="A2" s="22">
        <v>891</v>
      </c>
      <c r="B2" s="22">
        <v>9957</v>
      </c>
      <c r="C2" s="22"/>
      <c r="E2" s="20"/>
      <c r="F2" s="22"/>
      <c r="G2" s="22"/>
      <c r="H2" s="20"/>
      <c r="I2" s="20"/>
      <c r="J2" s="22"/>
      <c r="K2" s="22"/>
      <c r="M2" s="20"/>
      <c r="N2" s="22"/>
      <c r="O2" s="146"/>
      <c r="P2" s="22"/>
      <c r="R2" s="22"/>
      <c r="S2" s="22"/>
      <c r="T2" s="22"/>
      <c r="U2" s="22"/>
      <c r="V2" s="22"/>
    </row>
    <row r="3" spans="1:22" hidden="1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6"/>
      <c r="P3" s="22"/>
      <c r="R3" s="22"/>
      <c r="T3" s="22"/>
      <c r="U3" s="22"/>
      <c r="V3" s="22"/>
    </row>
    <row r="4" spans="1:22" hidden="1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6"/>
      <c r="P4" s="22"/>
      <c r="R4" s="22"/>
      <c r="T4" s="22"/>
      <c r="U4" s="22"/>
      <c r="V4" s="22"/>
    </row>
    <row r="5" spans="1:22" hidden="1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6"/>
      <c r="P5" s="22"/>
      <c r="R5" s="22"/>
      <c r="T5" s="22"/>
      <c r="U5" s="22"/>
      <c r="V5" s="22"/>
    </row>
    <row r="6" spans="1:22" hidden="1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6"/>
      <c r="P6" s="22"/>
      <c r="R6" s="22"/>
      <c r="T6" s="22"/>
      <c r="U6" s="22"/>
      <c r="V6" s="22"/>
    </row>
    <row r="7" spans="1:22" hidden="1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6"/>
      <c r="P7" s="22"/>
      <c r="R7" s="22"/>
      <c r="S7" s="22"/>
      <c r="T7" s="22"/>
      <c r="U7" s="22"/>
      <c r="V7" s="22"/>
    </row>
    <row r="8" spans="1:22" hidden="1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6"/>
      <c r="P8" s="22"/>
      <c r="R8" s="22"/>
      <c r="S8" s="22"/>
      <c r="T8" s="22"/>
      <c r="U8" s="22"/>
      <c r="V8" s="22"/>
    </row>
    <row r="9" spans="1:22" hidden="1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6"/>
      <c r="P9" s="22"/>
      <c r="R9" s="22"/>
      <c r="S9" s="22"/>
      <c r="T9" s="22"/>
      <c r="U9" s="22"/>
      <c r="V9" s="22"/>
    </row>
    <row r="10" spans="1:22" hidden="1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6"/>
      <c r="P10" s="22"/>
      <c r="R10" s="22"/>
      <c r="S10" s="22"/>
      <c r="T10" s="22"/>
      <c r="U10" s="22"/>
      <c r="V10" s="22"/>
    </row>
    <row r="11" spans="1:22" hidden="1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6"/>
      <c r="P11" s="22"/>
      <c r="R11" s="22"/>
      <c r="S11" s="22"/>
      <c r="T11" s="22"/>
      <c r="U11" s="22"/>
      <c r="V11" s="22"/>
    </row>
    <row r="12" spans="1:22" hidden="1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6"/>
      <c r="P12" s="22"/>
      <c r="R12" s="22"/>
      <c r="S12" s="22"/>
      <c r="T12" s="22"/>
      <c r="U12" s="22"/>
      <c r="V12" s="22"/>
    </row>
    <row r="13" spans="1:22" hidden="1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6"/>
      <c r="P13" s="22"/>
      <c r="R13" s="22"/>
      <c r="S13" s="22"/>
      <c r="T13" s="22"/>
      <c r="U13" s="22"/>
      <c r="V13" s="22"/>
    </row>
    <row r="14" spans="1:22" hidden="1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6"/>
      <c r="P14" s="22"/>
      <c r="R14" s="22"/>
      <c r="S14" s="22"/>
      <c r="T14" s="22"/>
      <c r="U14" s="22"/>
      <c r="V14" s="22"/>
    </row>
    <row r="15" spans="1:22" hidden="1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6"/>
      <c r="P15" s="22"/>
      <c r="R15" s="22"/>
      <c r="S15" s="22"/>
      <c r="T15" s="22"/>
      <c r="U15" s="22"/>
      <c r="V15" s="22"/>
    </row>
    <row r="16" spans="1:22" hidden="1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6"/>
      <c r="P16" s="22"/>
      <c r="R16" s="22"/>
      <c r="S16" s="22"/>
      <c r="T16" s="22"/>
      <c r="U16" s="22"/>
      <c r="V16" s="22"/>
    </row>
    <row r="17" spans="1:22" hidden="1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6"/>
      <c r="P17" s="22"/>
      <c r="R17" s="22"/>
      <c r="S17" s="22"/>
      <c r="T17" s="22"/>
      <c r="U17" s="22"/>
      <c r="V17" s="22"/>
    </row>
    <row r="18" spans="1:22" hidden="1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6"/>
      <c r="P18" s="22"/>
      <c r="R18" s="22"/>
      <c r="S18" s="22"/>
      <c r="T18" s="22"/>
      <c r="U18" s="22"/>
      <c r="V18" s="22"/>
    </row>
    <row r="19" spans="1:22" hidden="1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6"/>
      <c r="P19" s="22"/>
      <c r="R19" s="22"/>
      <c r="S19" s="22"/>
      <c r="T19" s="22"/>
      <c r="U19" s="22"/>
      <c r="V19" s="22"/>
    </row>
    <row r="20" spans="1:22" hidden="1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>
      <selection activeCell="C2" sqref="C2"/>
    </sheetView>
  </sheetViews>
  <sheetFormatPr defaultColWidth="0" defaultRowHeight="14.25" zeroHeight="1"/>
  <cols>
    <col min="1" max="24" width="11.625" style="2" customWidth="1"/>
    <col min="25" max="16384" width="0" style="2" hidden="1"/>
  </cols>
  <sheetData>
    <row r="1" spans="1:24" ht="66.75" customHeight="1">
      <c r="A1" s="21" t="s">
        <v>0</v>
      </c>
      <c r="B1" s="21" t="s">
        <v>1</v>
      </c>
      <c r="C1" s="21" t="s">
        <v>110</v>
      </c>
      <c r="D1" s="21" t="s">
        <v>5</v>
      </c>
      <c r="E1" s="21" t="s">
        <v>111</v>
      </c>
      <c r="F1" s="21" t="s">
        <v>80</v>
      </c>
      <c r="G1" s="21" t="s">
        <v>112</v>
      </c>
      <c r="H1" s="21" t="s">
        <v>113</v>
      </c>
      <c r="I1" s="21" t="s">
        <v>114</v>
      </c>
      <c r="J1" s="21" t="s">
        <v>115</v>
      </c>
      <c r="K1" s="21" t="s">
        <v>116</v>
      </c>
      <c r="L1" s="21" t="s">
        <v>117</v>
      </c>
      <c r="M1" s="21" t="s">
        <v>105</v>
      </c>
      <c r="N1" s="21" t="s">
        <v>118</v>
      </c>
      <c r="O1" s="21" t="s">
        <v>106</v>
      </c>
      <c r="P1" s="21" t="s">
        <v>89</v>
      </c>
      <c r="Q1" s="21" t="s">
        <v>11</v>
      </c>
      <c r="R1" s="21" t="s">
        <v>119</v>
      </c>
      <c r="S1" s="21" t="s">
        <v>20</v>
      </c>
      <c r="T1" s="21" t="s">
        <v>21</v>
      </c>
      <c r="U1" s="21" t="s">
        <v>120</v>
      </c>
      <c r="V1" s="21" t="s">
        <v>22</v>
      </c>
      <c r="W1" s="21" t="s">
        <v>24</v>
      </c>
      <c r="X1" s="21" t="s">
        <v>25</v>
      </c>
    </row>
    <row r="2" spans="1:24">
      <c r="A2" s="22">
        <v>891</v>
      </c>
      <c r="B2" s="22">
        <v>9957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 hidden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 hidden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 hidden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 hidden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 hidden="1">
      <c r="D20" s="22"/>
      <c r="E20" s="22"/>
      <c r="F20" s="22"/>
      <c r="H20" s="22"/>
      <c r="I20" s="22"/>
      <c r="L20" s="22"/>
      <c r="M20" s="22"/>
      <c r="O20" s="22"/>
      <c r="V20" s="22"/>
    </row>
    <row r="21" spans="1:24" hidden="1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>
      <selection activeCell="C2" sqref="C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3" width="11.625" style="2" customWidth="1"/>
    <col min="24" max="16384" width="0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101</v>
      </c>
      <c r="E1" s="21" t="s">
        <v>102</v>
      </c>
      <c r="F1" s="21" t="s">
        <v>3</v>
      </c>
      <c r="G1" s="21" t="s">
        <v>4</v>
      </c>
      <c r="H1" s="21" t="s">
        <v>103</v>
      </c>
      <c r="I1" s="21" t="s">
        <v>5</v>
      </c>
      <c r="J1" s="21" t="s">
        <v>6</v>
      </c>
      <c r="K1" s="21" t="s">
        <v>7</v>
      </c>
      <c r="L1" s="21" t="s">
        <v>104</v>
      </c>
      <c r="M1" s="21" t="s">
        <v>80</v>
      </c>
      <c r="N1" s="21" t="s">
        <v>11</v>
      </c>
      <c r="O1" s="21" t="s">
        <v>105</v>
      </c>
      <c r="P1" s="21" t="s">
        <v>106</v>
      </c>
      <c r="Q1" s="21" t="s">
        <v>89</v>
      </c>
      <c r="R1" s="21" t="s">
        <v>107</v>
      </c>
      <c r="S1" s="21" t="s">
        <v>108</v>
      </c>
      <c r="T1" s="21" t="s">
        <v>109</v>
      </c>
      <c r="U1" s="21" t="s">
        <v>20</v>
      </c>
      <c r="V1" s="21" t="s">
        <v>24</v>
      </c>
      <c r="W1" s="21" t="s">
        <v>25</v>
      </c>
    </row>
    <row r="2" spans="1:23">
      <c r="A2" s="22">
        <v>891</v>
      </c>
      <c r="B2" s="22">
        <v>9957</v>
      </c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 hidden="1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 hidden="1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 hidden="1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 hidden="1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I2" sqref="I2:I4"/>
    </sheetView>
  </sheetViews>
  <sheetFormatPr defaultColWidth="0" defaultRowHeight="14.25" zeroHeight="1"/>
  <cols>
    <col min="1" max="18" width="11.625" style="2" customWidth="1"/>
    <col min="19" max="16384" width="0" style="2" hidden="1"/>
  </cols>
  <sheetData>
    <row r="1" spans="1:18" ht="66.75" customHeight="1">
      <c r="A1" s="21" t="s">
        <v>0</v>
      </c>
      <c r="B1" s="21" t="s">
        <v>1</v>
      </c>
      <c r="C1" s="21" t="s">
        <v>86</v>
      </c>
      <c r="D1" s="21" t="s">
        <v>87</v>
      </c>
      <c r="E1" s="21" t="s">
        <v>5</v>
      </c>
      <c r="F1" s="21" t="s">
        <v>6</v>
      </c>
      <c r="G1" s="21" t="s">
        <v>7</v>
      </c>
      <c r="H1" s="21" t="s">
        <v>80</v>
      </c>
      <c r="I1" s="181" t="s">
        <v>88</v>
      </c>
      <c r="J1" s="21" t="s">
        <v>11</v>
      </c>
      <c r="K1" s="181" t="s">
        <v>89</v>
      </c>
      <c r="L1" s="21" t="s">
        <v>90</v>
      </c>
      <c r="M1" s="162" t="s">
        <v>18</v>
      </c>
      <c r="N1" s="21" t="s">
        <v>20</v>
      </c>
      <c r="O1" s="21" t="s">
        <v>21</v>
      </c>
      <c r="P1" s="21" t="s">
        <v>22</v>
      </c>
      <c r="Q1" s="167" t="s">
        <v>24</v>
      </c>
      <c r="R1" s="167" t="s">
        <v>25</v>
      </c>
    </row>
    <row r="2" spans="1:18">
      <c r="A2" s="22">
        <v>891</v>
      </c>
      <c r="B2" s="22">
        <v>9957</v>
      </c>
      <c r="C2" s="29" t="s">
        <v>91</v>
      </c>
      <c r="D2" s="29" t="s">
        <v>92</v>
      </c>
      <c r="E2" s="29" t="s">
        <v>93</v>
      </c>
      <c r="F2" s="20" t="s">
        <v>30</v>
      </c>
      <c r="G2" s="20" t="s">
        <v>30</v>
      </c>
      <c r="H2" s="22" t="s">
        <v>94</v>
      </c>
      <c r="I2" s="18" t="s">
        <v>2480</v>
      </c>
      <c r="J2" s="20" t="s">
        <v>34</v>
      </c>
      <c r="K2" s="182" t="s">
        <v>95</v>
      </c>
      <c r="L2" s="156">
        <v>-200.37200000000001</v>
      </c>
      <c r="M2" s="175">
        <v>1</v>
      </c>
      <c r="N2" s="158">
        <v>-109.8719499999999</v>
      </c>
      <c r="O2" s="22"/>
      <c r="P2" s="20" t="s">
        <v>36</v>
      </c>
      <c r="Q2" s="174">
        <v>1.3337946351069701</v>
      </c>
      <c r="R2" s="174">
        <v>-1.3007418662336E-3</v>
      </c>
    </row>
    <row r="3" spans="1:18">
      <c r="A3" s="22">
        <v>891</v>
      </c>
      <c r="B3" s="22">
        <v>9957</v>
      </c>
      <c r="C3" s="29" t="s">
        <v>96</v>
      </c>
      <c r="D3" s="22" t="s">
        <v>97</v>
      </c>
      <c r="E3" s="29" t="s">
        <v>93</v>
      </c>
      <c r="F3" s="20" t="s">
        <v>30</v>
      </c>
      <c r="G3" s="20" t="s">
        <v>30</v>
      </c>
      <c r="H3" s="22" t="s">
        <v>94</v>
      </c>
      <c r="I3" s="18" t="s">
        <v>2480</v>
      </c>
      <c r="J3" s="20" t="s">
        <v>34</v>
      </c>
      <c r="K3" s="182" t="s">
        <v>95</v>
      </c>
      <c r="L3" s="156">
        <v>94.168000000000006</v>
      </c>
      <c r="M3" s="175">
        <v>1</v>
      </c>
      <c r="N3" s="158">
        <v>3.67</v>
      </c>
      <c r="O3" s="22"/>
      <c r="P3" s="20" t="s">
        <v>36</v>
      </c>
      <c r="Q3" s="174">
        <v>-0.62683728575095399</v>
      </c>
      <c r="R3" s="174">
        <v>6.1130362908312901E-4</v>
      </c>
    </row>
    <row r="4" spans="1:18">
      <c r="A4" s="22">
        <v>891</v>
      </c>
      <c r="B4" s="22">
        <v>9957</v>
      </c>
      <c r="C4" s="29" t="s">
        <v>98</v>
      </c>
      <c r="D4" s="22" t="s">
        <v>99</v>
      </c>
      <c r="E4" s="29" t="s">
        <v>100</v>
      </c>
      <c r="F4" s="20" t="s">
        <v>30</v>
      </c>
      <c r="G4" s="20" t="s">
        <v>30</v>
      </c>
      <c r="H4" s="22" t="s">
        <v>94</v>
      </c>
      <c r="I4" s="18" t="s">
        <v>2480</v>
      </c>
      <c r="J4" s="20" t="s">
        <v>34</v>
      </c>
      <c r="K4" s="182" t="s">
        <v>95</v>
      </c>
      <c r="L4" s="156">
        <v>-44.023000000000003</v>
      </c>
      <c r="M4" s="175">
        <v>1</v>
      </c>
      <c r="N4" s="158">
        <v>-44.023000000000003</v>
      </c>
      <c r="O4" s="22"/>
      <c r="P4" s="20" t="s">
        <v>36</v>
      </c>
      <c r="Q4" s="174">
        <v>0.29304265064398499</v>
      </c>
      <c r="R4" s="174">
        <v>-2.8578075983498602E-4</v>
      </c>
    </row>
    <row r="5" spans="1:18" hidden="1">
      <c r="A5" s="22"/>
      <c r="B5" s="22"/>
      <c r="C5" s="29"/>
      <c r="D5" s="22"/>
      <c r="E5" s="2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 hidden="1">
      <c r="A6" s="22"/>
      <c r="B6" s="22"/>
      <c r="C6" s="29"/>
      <c r="D6" s="22"/>
      <c r="E6" s="2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 hidden="1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 hidden="1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 hidden="1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 hidden="1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 hidden="1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 hidden="1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 hidden="1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 hidden="1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 hidden="1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 hidden="1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 hidden="1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B3" sqref="B3"/>
    </sheetView>
  </sheetViews>
  <sheetFormatPr defaultColWidth="0" defaultRowHeight="14.1" customHeight="1" zeroHeight="1"/>
  <cols>
    <col min="1" max="15" width="11.625" style="2" customWidth="1"/>
    <col min="16" max="16" width="11.625" style="143" customWidth="1"/>
    <col min="17" max="20" width="11.625" style="2" customWidth="1"/>
    <col min="21" max="22" width="0" style="2" hidden="1" customWidth="1"/>
    <col min="23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75</v>
      </c>
      <c r="D1" s="21" t="s">
        <v>76</v>
      </c>
      <c r="E1" s="21" t="s">
        <v>77</v>
      </c>
      <c r="F1" s="21" t="s">
        <v>78</v>
      </c>
      <c r="G1" s="21" t="s">
        <v>79</v>
      </c>
      <c r="H1" s="21" t="s">
        <v>6</v>
      </c>
      <c r="I1" s="21" t="s">
        <v>7</v>
      </c>
      <c r="J1" s="21" t="s">
        <v>80</v>
      </c>
      <c r="K1" s="21" t="s">
        <v>9</v>
      </c>
      <c r="L1" s="21" t="s">
        <v>10</v>
      </c>
      <c r="M1" s="21" t="s">
        <v>81</v>
      </c>
      <c r="N1" s="21" t="s">
        <v>11</v>
      </c>
      <c r="O1" s="21" t="s">
        <v>18</v>
      </c>
      <c r="P1" s="141" t="s">
        <v>14</v>
      </c>
      <c r="Q1" s="21" t="s">
        <v>82</v>
      </c>
      <c r="R1" s="21" t="s">
        <v>83</v>
      </c>
      <c r="S1" s="21" t="s">
        <v>84</v>
      </c>
      <c r="T1" s="21" t="s">
        <v>85</v>
      </c>
      <c r="U1" s="11"/>
      <c r="V1" s="11"/>
    </row>
    <row r="2" spans="1:22" ht="14.1" customHeight="1">
      <c r="A2" s="2">
        <v>891</v>
      </c>
      <c r="B2" s="2">
        <v>9957</v>
      </c>
      <c r="D2" s="22"/>
      <c r="G2" s="20"/>
      <c r="H2" s="20"/>
      <c r="I2" s="20"/>
      <c r="J2" s="22"/>
      <c r="K2" s="22"/>
      <c r="L2" s="22"/>
      <c r="M2" s="22"/>
      <c r="P2" s="142"/>
      <c r="Q2" s="22"/>
      <c r="R2" s="20"/>
      <c r="S2" s="20"/>
      <c r="T2" s="20"/>
    </row>
    <row r="3" spans="1:22" ht="14.1" hidden="1" customHeight="1">
      <c r="D3" s="22"/>
      <c r="H3" s="20"/>
      <c r="I3" s="20"/>
      <c r="J3" s="22"/>
      <c r="K3" s="22"/>
      <c r="L3" s="22"/>
      <c r="M3" s="22"/>
      <c r="Q3" s="22"/>
    </row>
    <row r="4" spans="1:22" ht="14.1" hidden="1" customHeight="1">
      <c r="D4" s="22"/>
      <c r="H4" s="20"/>
      <c r="I4" s="20"/>
      <c r="J4" s="22"/>
      <c r="K4" s="22"/>
      <c r="L4" s="22"/>
      <c r="M4" s="22"/>
      <c r="Q4" s="22"/>
    </row>
    <row r="5" spans="1:22" ht="14.1" hidden="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hidden="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hidden="1" customHeight="1">
      <c r="D7" s="22"/>
      <c r="H7" s="20"/>
      <c r="I7" s="20"/>
      <c r="J7" s="22"/>
      <c r="K7" s="22"/>
      <c r="L7" s="22"/>
      <c r="M7" s="22"/>
      <c r="Q7" s="22"/>
    </row>
    <row r="8" spans="1:22" ht="14.1" hidden="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hidden="1" customHeight="1">
      <c r="D9" s="22"/>
      <c r="H9" s="20"/>
      <c r="I9" s="20"/>
      <c r="J9" s="22"/>
      <c r="K9" s="22"/>
      <c r="L9" s="22"/>
      <c r="M9" s="22"/>
      <c r="Q9" s="22"/>
    </row>
    <row r="10" spans="1:22" ht="13.5" hidden="1" customHeight="1">
      <c r="D10" s="22"/>
      <c r="H10" s="20"/>
      <c r="I10" s="20"/>
      <c r="J10" s="22"/>
      <c r="K10" s="22"/>
      <c r="L10" s="22"/>
      <c r="M10" s="22"/>
      <c r="Q10" s="22"/>
    </row>
    <row r="11" spans="1:22" ht="13.5" hidden="1" customHeight="1">
      <c r="D11" s="22"/>
      <c r="H11" s="20"/>
      <c r="I11" s="20"/>
      <c r="J11" s="22"/>
      <c r="K11" s="22"/>
      <c r="L11" s="22"/>
      <c r="M11" s="22"/>
      <c r="Q11" s="22"/>
    </row>
    <row r="12" spans="1:22" ht="14.1" hidden="1" customHeight="1">
      <c r="D12" s="22"/>
      <c r="H12" s="20"/>
      <c r="I12" s="20"/>
      <c r="J12" s="22"/>
      <c r="K12" s="22"/>
      <c r="L12" s="22"/>
      <c r="M12" s="22"/>
      <c r="Q12" s="22"/>
    </row>
    <row r="13" spans="1:22" ht="14.1" hidden="1" customHeight="1">
      <c r="D13" s="22"/>
      <c r="H13" s="20"/>
      <c r="I13" s="20"/>
      <c r="J13" s="22"/>
      <c r="K13" s="22"/>
      <c r="L13" s="22"/>
      <c r="M13" s="22"/>
      <c r="Q13" s="22"/>
    </row>
    <row r="14" spans="1:22" ht="14.1" hidden="1" customHeight="1">
      <c r="D14" s="22"/>
      <c r="H14" s="20"/>
      <c r="I14" s="20"/>
      <c r="J14" s="22"/>
      <c r="K14" s="22"/>
      <c r="L14" s="22"/>
      <c r="M14" s="22"/>
      <c r="Q14" s="22"/>
    </row>
    <row r="15" spans="1:22" ht="14.1" hidden="1" customHeight="1">
      <c r="D15" s="22"/>
      <c r="H15" s="20"/>
      <c r="I15" s="20"/>
      <c r="J15" s="22"/>
      <c r="K15" s="22"/>
      <c r="L15" s="22"/>
      <c r="M15" s="22"/>
      <c r="Q15" s="22"/>
    </row>
    <row r="16" spans="1:22" ht="14.1" hidden="1" customHeight="1">
      <c r="D16" s="22"/>
      <c r="H16" s="20"/>
      <c r="I16" s="20"/>
      <c r="J16" s="22"/>
      <c r="K16" s="22"/>
      <c r="L16" s="22"/>
      <c r="M16" s="22"/>
      <c r="Q16" s="22"/>
    </row>
    <row r="17" spans="4:17" ht="14.1" hidden="1" customHeight="1">
      <c r="D17" s="22"/>
      <c r="H17" s="20"/>
      <c r="I17" s="20"/>
      <c r="J17" s="22"/>
      <c r="K17" s="22"/>
      <c r="L17" s="22"/>
      <c r="M17" s="22"/>
      <c r="Q17" s="22"/>
    </row>
    <row r="18" spans="4:17" ht="14.1" hidden="1" customHeight="1">
      <c r="D18" s="22"/>
      <c r="H18" s="20"/>
      <c r="I18" s="20"/>
      <c r="J18" s="22"/>
      <c r="K18" s="22"/>
      <c r="L18" s="22"/>
      <c r="M18" s="22"/>
      <c r="Q18" s="22"/>
    </row>
    <row r="19" spans="4:17" ht="14.1" hidden="1" customHeight="1">
      <c r="D19" s="22"/>
      <c r="H19" s="20"/>
      <c r="I19" s="20"/>
      <c r="J19" s="22"/>
      <c r="K19" s="22"/>
      <c r="L19" s="22"/>
      <c r="M19" s="22"/>
      <c r="Q19" s="22"/>
    </row>
    <row r="20" spans="4:17" ht="14.1" hidden="1" customHeight="1">
      <c r="D20" s="22"/>
      <c r="H20" s="20"/>
      <c r="I20" s="20"/>
      <c r="J20" s="22"/>
      <c r="L20" s="22"/>
      <c r="M20" s="22"/>
      <c r="Q20" s="22"/>
    </row>
    <row r="21" spans="4:17" ht="14.1" hidden="1" customHeight="1">
      <c r="D21" s="4"/>
    </row>
    <row r="22" spans="4:17" ht="14.1" hidden="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2"/>
  <sheetViews>
    <sheetView rightToLeft="1" zoomScale="70" zoomScaleNormal="70" workbookViewId="0">
      <selection activeCell="L48" sqref="L48"/>
    </sheetView>
  </sheetViews>
  <sheetFormatPr defaultColWidth="0" defaultRowHeight="14.1" customHeight="1" zeroHeight="1"/>
  <cols>
    <col min="1" max="2" width="11.625" style="2" customWidth="1"/>
    <col min="3" max="3" width="21.625" style="2" customWidth="1"/>
    <col min="4" max="4" width="25.75" style="2" customWidth="1"/>
    <col min="5" max="6" width="11.625" style="2" customWidth="1"/>
    <col min="7" max="7" width="21.625" style="2" customWidth="1"/>
    <col min="8" max="8" width="11.625" style="2" customWidth="1"/>
    <col min="9" max="9" width="12.625" style="2" customWidth="1"/>
    <col min="10" max="11" width="11.625" style="2" customWidth="1"/>
    <col min="12" max="12" width="14.875" style="2" customWidth="1"/>
    <col min="13" max="15" width="11.625" style="2" customWidth="1"/>
    <col min="16" max="16" width="15" style="2" customWidth="1"/>
    <col min="17" max="17" width="11.625" style="2" customWidth="1"/>
    <col min="18" max="22" width="11.625" style="2" hidden="1" customWidth="1"/>
    <col min="23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142</v>
      </c>
      <c r="E1" s="21" t="s">
        <v>143</v>
      </c>
      <c r="F1" s="21" t="s">
        <v>144</v>
      </c>
      <c r="G1" s="21" t="s">
        <v>145</v>
      </c>
      <c r="H1" s="21" t="s">
        <v>146</v>
      </c>
      <c r="I1" s="21" t="s">
        <v>147</v>
      </c>
      <c r="J1" s="21" t="s">
        <v>11</v>
      </c>
      <c r="K1" s="21" t="s">
        <v>148</v>
      </c>
      <c r="L1" s="21" t="s">
        <v>149</v>
      </c>
      <c r="M1" s="21" t="s">
        <v>150</v>
      </c>
      <c r="N1" s="21" t="s">
        <v>151</v>
      </c>
      <c r="O1" s="21" t="s">
        <v>152</v>
      </c>
      <c r="P1" s="21" t="s">
        <v>153</v>
      </c>
      <c r="Q1" s="21" t="s">
        <v>154</v>
      </c>
    </row>
    <row r="2" spans="1:22" ht="14.1" customHeight="1">
      <c r="A2" s="2">
        <v>891</v>
      </c>
      <c r="B2" s="2">
        <v>9957</v>
      </c>
      <c r="C2" s="2" t="s">
        <v>991</v>
      </c>
      <c r="D2" s="2" t="s">
        <v>2485</v>
      </c>
      <c r="E2" s="2">
        <v>111401</v>
      </c>
      <c r="F2" s="22" t="s">
        <v>266</v>
      </c>
      <c r="G2" s="2" t="s">
        <v>2486</v>
      </c>
      <c r="H2" s="2">
        <v>62018254</v>
      </c>
      <c r="I2" s="22" t="s">
        <v>33</v>
      </c>
      <c r="J2" s="2" t="s">
        <v>1140</v>
      </c>
      <c r="K2" s="209">
        <v>44327</v>
      </c>
      <c r="L2" s="212">
        <v>65000</v>
      </c>
      <c r="M2" s="2">
        <v>219.18</v>
      </c>
      <c r="N2" s="212">
        <v>9749</v>
      </c>
      <c r="O2" s="211">
        <v>32.873627999999997</v>
      </c>
      <c r="P2" s="210">
        <v>0.14998461538461536</v>
      </c>
      <c r="Q2" s="209">
        <v>45775</v>
      </c>
      <c r="R2" s="213"/>
      <c r="V2" s="20"/>
    </row>
    <row r="3" spans="1:22" ht="13.5" customHeight="1">
      <c r="A3" s="2">
        <v>891</v>
      </c>
      <c r="B3" s="2">
        <v>9957</v>
      </c>
      <c r="C3" s="2" t="s">
        <v>991</v>
      </c>
      <c r="D3" s="2" t="s">
        <v>2487</v>
      </c>
      <c r="E3" s="2">
        <v>540297413</v>
      </c>
      <c r="F3" s="22" t="s">
        <v>265</v>
      </c>
      <c r="G3" s="2" t="s">
        <v>2488</v>
      </c>
      <c r="H3" s="2">
        <v>62018569</v>
      </c>
      <c r="I3" s="22" t="s">
        <v>33</v>
      </c>
      <c r="J3" s="2" t="s">
        <v>1140</v>
      </c>
      <c r="K3" s="209">
        <v>44384</v>
      </c>
      <c r="L3" s="212">
        <v>90000</v>
      </c>
      <c r="M3" s="2">
        <v>303.48</v>
      </c>
      <c r="N3" s="212">
        <v>22876</v>
      </c>
      <c r="O3" s="211">
        <v>77.137872000000002</v>
      </c>
      <c r="P3" s="210">
        <v>0.25417777777777778</v>
      </c>
      <c r="Q3" s="209">
        <v>46022</v>
      </c>
      <c r="R3" s="213"/>
      <c r="V3" s="20"/>
    </row>
    <row r="4" spans="1:22" ht="13.5" customHeight="1">
      <c r="A4" s="2">
        <v>891</v>
      </c>
      <c r="B4" s="2">
        <v>9957</v>
      </c>
      <c r="C4" s="2" t="s">
        <v>991</v>
      </c>
      <c r="D4" s="2" t="s">
        <v>2489</v>
      </c>
      <c r="E4" s="2">
        <v>104909</v>
      </c>
      <c r="F4" s="22" t="s">
        <v>266</v>
      </c>
      <c r="G4" s="2" t="s">
        <v>2490</v>
      </c>
      <c r="H4" s="2">
        <v>62018734</v>
      </c>
      <c r="I4" s="22" t="s">
        <v>33</v>
      </c>
      <c r="J4" s="2" t="s">
        <v>1140</v>
      </c>
      <c r="K4" s="209">
        <v>44403</v>
      </c>
      <c r="L4" s="212">
        <v>100000</v>
      </c>
      <c r="M4" s="2">
        <v>337.2</v>
      </c>
      <c r="N4" s="212">
        <v>20000</v>
      </c>
      <c r="O4" s="211">
        <v>67.44</v>
      </c>
      <c r="P4" s="210">
        <v>0.2</v>
      </c>
      <c r="Q4" s="209">
        <v>46948</v>
      </c>
      <c r="R4" s="213"/>
      <c r="V4" s="20"/>
    </row>
    <row r="5" spans="1:22" ht="14.1" customHeight="1">
      <c r="A5" s="2">
        <v>891</v>
      </c>
      <c r="B5" s="2">
        <v>9957</v>
      </c>
      <c r="C5" s="2" t="s">
        <v>991</v>
      </c>
      <c r="D5" s="2" t="s">
        <v>2491</v>
      </c>
      <c r="E5" s="2">
        <v>324885</v>
      </c>
      <c r="F5" s="22" t="s">
        <v>266</v>
      </c>
      <c r="G5" s="2" t="s">
        <v>2492</v>
      </c>
      <c r="H5" s="2">
        <v>62018866</v>
      </c>
      <c r="I5" s="22" t="s">
        <v>33</v>
      </c>
      <c r="J5" s="2" t="s">
        <v>1140</v>
      </c>
      <c r="K5" s="209">
        <v>44406</v>
      </c>
      <c r="L5" s="212">
        <v>180000</v>
      </c>
      <c r="M5" s="2">
        <v>606.96</v>
      </c>
      <c r="N5" s="212">
        <v>40039.850000000006</v>
      </c>
      <c r="O5" s="211">
        <v>135.01437420000002</v>
      </c>
      <c r="P5" s="210">
        <v>0.22244361111111113</v>
      </c>
      <c r="Q5" s="209">
        <v>46022</v>
      </c>
      <c r="R5" s="213"/>
      <c r="V5" s="20"/>
    </row>
    <row r="6" spans="1:22" ht="14.1" customHeight="1">
      <c r="A6" s="2">
        <v>891</v>
      </c>
      <c r="B6" s="2">
        <v>9957</v>
      </c>
      <c r="C6" s="2" t="s">
        <v>991</v>
      </c>
      <c r="D6" s="2" t="s">
        <v>2493</v>
      </c>
      <c r="E6" s="2">
        <v>107746</v>
      </c>
      <c r="F6" s="22" t="s">
        <v>266</v>
      </c>
      <c r="G6" s="2" t="s">
        <v>2360</v>
      </c>
      <c r="H6" s="2">
        <v>62018965</v>
      </c>
      <c r="I6" s="22" t="s">
        <v>33</v>
      </c>
      <c r="J6" s="2" t="s">
        <v>1140</v>
      </c>
      <c r="K6" s="209">
        <v>44431</v>
      </c>
      <c r="L6" s="212">
        <v>120000</v>
      </c>
      <c r="M6" s="2">
        <v>404.64</v>
      </c>
      <c r="N6" s="212">
        <v>18000</v>
      </c>
      <c r="O6" s="211">
        <v>60.695999999999998</v>
      </c>
      <c r="P6" s="210">
        <v>0.15</v>
      </c>
      <c r="Q6" s="209">
        <v>46023</v>
      </c>
      <c r="R6" s="213"/>
      <c r="V6" s="20"/>
    </row>
    <row r="7" spans="1:22" ht="14.1" customHeight="1">
      <c r="A7" s="2">
        <v>891</v>
      </c>
      <c r="B7" s="2">
        <v>9957</v>
      </c>
      <c r="C7" s="2" t="s">
        <v>986</v>
      </c>
      <c r="D7" s="2" t="s">
        <v>2494</v>
      </c>
      <c r="E7" s="2">
        <v>4352472</v>
      </c>
      <c r="F7" s="22" t="s">
        <v>266</v>
      </c>
      <c r="G7" s="2" t="s">
        <v>2306</v>
      </c>
      <c r="H7" s="2">
        <v>62019021</v>
      </c>
      <c r="I7" s="22" t="s">
        <v>33</v>
      </c>
      <c r="J7" s="2" t="s">
        <v>1140</v>
      </c>
      <c r="K7" s="209">
        <v>44431</v>
      </c>
      <c r="L7" s="212">
        <v>275000</v>
      </c>
      <c r="M7" s="2">
        <v>927.3</v>
      </c>
      <c r="N7" s="212">
        <v>91558.61</v>
      </c>
      <c r="O7" s="211">
        <v>308.73563292</v>
      </c>
      <c r="P7" s="210">
        <v>0.33294040000000003</v>
      </c>
      <c r="Q7" s="209">
        <v>46727</v>
      </c>
      <c r="R7" s="213"/>
      <c r="V7" s="20"/>
    </row>
    <row r="8" spans="1:22" ht="14.1" customHeight="1">
      <c r="A8" s="2">
        <v>891</v>
      </c>
      <c r="B8" s="2">
        <v>9957</v>
      </c>
      <c r="C8" s="2" t="s">
        <v>989</v>
      </c>
      <c r="D8" s="2" t="s">
        <v>2495</v>
      </c>
      <c r="E8" s="2">
        <v>362595</v>
      </c>
      <c r="F8" s="22" t="s">
        <v>266</v>
      </c>
      <c r="G8" s="2" t="s">
        <v>2246</v>
      </c>
      <c r="H8" s="2">
        <v>62019567</v>
      </c>
      <c r="I8" s="22" t="s">
        <v>33</v>
      </c>
      <c r="J8" s="2" t="s">
        <v>1140</v>
      </c>
      <c r="K8" s="209">
        <v>44481</v>
      </c>
      <c r="L8" s="212">
        <v>67500</v>
      </c>
      <c r="M8" s="2">
        <v>227.61</v>
      </c>
      <c r="N8" s="212">
        <v>6244.0000000000036</v>
      </c>
      <c r="O8" s="211">
        <v>21.05476800000001</v>
      </c>
      <c r="P8" s="210">
        <v>9.2503703703703741E-2</v>
      </c>
      <c r="Q8" s="209">
        <v>46022</v>
      </c>
      <c r="R8" s="213"/>
      <c r="V8" s="20"/>
    </row>
    <row r="9" spans="1:22" ht="14.1" customHeight="1">
      <c r="A9" s="2">
        <v>891</v>
      </c>
      <c r="B9" s="2">
        <v>9957</v>
      </c>
      <c r="C9" s="2" t="s">
        <v>989</v>
      </c>
      <c r="D9" s="2" t="s">
        <v>2495</v>
      </c>
      <c r="E9" s="2">
        <v>362595</v>
      </c>
      <c r="F9" s="22" t="s">
        <v>266</v>
      </c>
      <c r="G9" s="2" t="s">
        <v>2249</v>
      </c>
      <c r="H9" s="2">
        <v>62019575</v>
      </c>
      <c r="I9" s="22" t="s">
        <v>33</v>
      </c>
      <c r="J9" s="2" t="s">
        <v>1140</v>
      </c>
      <c r="K9" s="209">
        <v>44481</v>
      </c>
      <c r="L9" s="212">
        <v>67500</v>
      </c>
      <c r="M9" s="2">
        <v>227.61</v>
      </c>
      <c r="N9" s="212">
        <v>6244.0000000000036</v>
      </c>
      <c r="O9" s="211">
        <v>21.05476800000001</v>
      </c>
      <c r="P9" s="210">
        <v>9.2503703703703741E-2</v>
      </c>
      <c r="Q9" s="209">
        <v>46022</v>
      </c>
      <c r="R9" s="213"/>
      <c r="V9" s="20"/>
    </row>
    <row r="10" spans="1:22" ht="14.1" customHeight="1">
      <c r="A10" s="2">
        <v>891</v>
      </c>
      <c r="B10" s="2">
        <v>9957</v>
      </c>
      <c r="C10" s="2" t="s">
        <v>986</v>
      </c>
      <c r="D10" s="2" t="s">
        <v>2496</v>
      </c>
      <c r="E10" s="2">
        <v>310223474</v>
      </c>
      <c r="F10" s="22" t="s">
        <v>266</v>
      </c>
      <c r="G10" s="2" t="s">
        <v>2497</v>
      </c>
      <c r="H10" s="2">
        <v>62019740</v>
      </c>
      <c r="I10" s="22" t="s">
        <v>33</v>
      </c>
      <c r="J10" s="2" t="s">
        <v>1140</v>
      </c>
      <c r="K10" s="209">
        <v>44518</v>
      </c>
      <c r="L10" s="212">
        <v>185000</v>
      </c>
      <c r="M10" s="2">
        <v>623.82000000000005</v>
      </c>
      <c r="N10" s="212">
        <v>8178.0000000000045</v>
      </c>
      <c r="O10" s="211">
        <v>27.576216000000016</v>
      </c>
      <c r="P10" s="211">
        <v>4.4205405405405428E-2</v>
      </c>
      <c r="Q10" s="209">
        <v>49041</v>
      </c>
      <c r="R10" s="213"/>
    </row>
    <row r="11" spans="1:22" ht="14.1" customHeight="1">
      <c r="A11" s="2">
        <v>891</v>
      </c>
      <c r="B11" s="2">
        <v>9957</v>
      </c>
      <c r="C11" s="2" t="s">
        <v>991</v>
      </c>
      <c r="D11" s="2" t="s">
        <v>2498</v>
      </c>
      <c r="E11" s="2">
        <v>540303633</v>
      </c>
      <c r="F11" s="22" t="s">
        <v>265</v>
      </c>
      <c r="G11" s="2" t="s">
        <v>2241</v>
      </c>
      <c r="H11" s="2">
        <v>62020128</v>
      </c>
      <c r="I11" s="22" t="s">
        <v>33</v>
      </c>
      <c r="J11" s="2" t="s">
        <v>1140</v>
      </c>
      <c r="K11" s="209">
        <v>44581</v>
      </c>
      <c r="L11" s="212">
        <v>100000</v>
      </c>
      <c r="M11" s="2">
        <v>337.2</v>
      </c>
      <c r="N11" s="212">
        <v>65005</v>
      </c>
      <c r="O11" s="211">
        <v>219.19685999999999</v>
      </c>
      <c r="P11" s="211">
        <v>0.65005000000000002</v>
      </c>
      <c r="Q11" s="209">
        <v>45572</v>
      </c>
      <c r="R11" s="213"/>
    </row>
    <row r="12" spans="1:22" ht="14.1" customHeight="1">
      <c r="A12" s="2">
        <v>891</v>
      </c>
      <c r="B12" s="2">
        <v>9957</v>
      </c>
      <c r="C12" s="2" t="s">
        <v>991</v>
      </c>
      <c r="D12" s="2" t="s">
        <v>2499</v>
      </c>
      <c r="E12" s="2">
        <v>382566</v>
      </c>
      <c r="F12" s="22" t="s">
        <v>266</v>
      </c>
      <c r="G12" s="2" t="s">
        <v>2500</v>
      </c>
      <c r="H12" s="2">
        <v>62020284</v>
      </c>
      <c r="I12" s="22" t="s">
        <v>33</v>
      </c>
      <c r="J12" s="2" t="s">
        <v>1140</v>
      </c>
      <c r="K12" s="209">
        <v>44620</v>
      </c>
      <c r="L12" s="212">
        <v>200000</v>
      </c>
      <c r="M12" s="2">
        <v>674.4</v>
      </c>
      <c r="N12" s="212">
        <v>103500</v>
      </c>
      <c r="O12" s="211">
        <v>349.00200000000001</v>
      </c>
      <c r="P12" s="211">
        <v>0.51750000000000007</v>
      </c>
      <c r="Q12" s="209">
        <v>46739</v>
      </c>
      <c r="R12" s="213"/>
    </row>
    <row r="13" spans="1:22" ht="14.1" customHeight="1">
      <c r="A13" s="2">
        <v>891</v>
      </c>
      <c r="B13" s="2">
        <v>9957</v>
      </c>
      <c r="C13" s="2" t="s">
        <v>990</v>
      </c>
      <c r="D13" s="2" t="s">
        <v>2501</v>
      </c>
      <c r="E13" s="2" t="s">
        <v>2502</v>
      </c>
      <c r="F13" s="22" t="s">
        <v>266</v>
      </c>
      <c r="G13" s="2" t="s">
        <v>2261</v>
      </c>
      <c r="H13" s="2">
        <v>62020359</v>
      </c>
      <c r="I13" s="22" t="s">
        <v>33</v>
      </c>
      <c r="J13" s="2" t="s">
        <v>1140</v>
      </c>
      <c r="K13" s="209">
        <v>44635</v>
      </c>
      <c r="L13" s="212">
        <v>600000</v>
      </c>
      <c r="M13" s="2">
        <v>2023.2</v>
      </c>
      <c r="N13" s="212">
        <v>220457</v>
      </c>
      <c r="O13" s="211">
        <v>743.38100399999996</v>
      </c>
      <c r="P13" s="211">
        <v>0.3674283333333333</v>
      </c>
      <c r="Q13" s="209">
        <v>47208</v>
      </c>
      <c r="R13" s="213"/>
    </row>
    <row r="14" spans="1:22" ht="14.1" customHeight="1">
      <c r="A14" s="2">
        <v>891</v>
      </c>
      <c r="B14" s="2">
        <v>9957</v>
      </c>
      <c r="C14" s="2" t="s">
        <v>989</v>
      </c>
      <c r="D14" s="2" t="s">
        <v>2503</v>
      </c>
      <c r="E14" s="2">
        <v>540327830</v>
      </c>
      <c r="F14" s="22" t="s">
        <v>265</v>
      </c>
      <c r="G14" s="2" t="s">
        <v>2366</v>
      </c>
      <c r="H14" s="2">
        <v>62020938</v>
      </c>
      <c r="I14" s="22" t="s">
        <v>33</v>
      </c>
      <c r="J14" s="2" t="s">
        <v>1140</v>
      </c>
      <c r="K14" s="209">
        <v>44858</v>
      </c>
      <c r="L14" s="212">
        <v>78958</v>
      </c>
      <c r="M14" s="2">
        <v>266.246376</v>
      </c>
      <c r="N14" s="212">
        <v>41240</v>
      </c>
      <c r="O14" s="211">
        <v>139.06128000000001</v>
      </c>
      <c r="P14" s="211">
        <v>0.52230299652980072</v>
      </c>
      <c r="Q14" s="209">
        <v>47026</v>
      </c>
      <c r="R14" s="213"/>
    </row>
    <row r="15" spans="1:22" ht="14.1" customHeight="1">
      <c r="A15" s="2">
        <v>891</v>
      </c>
      <c r="B15" s="2">
        <v>9957</v>
      </c>
      <c r="C15" s="2" t="s">
        <v>989</v>
      </c>
      <c r="D15" s="2" t="s">
        <v>2504</v>
      </c>
      <c r="E15" s="2">
        <v>6589505</v>
      </c>
      <c r="F15" s="22" t="s">
        <v>266</v>
      </c>
      <c r="G15" s="2" t="s">
        <v>2315</v>
      </c>
      <c r="H15" s="2">
        <v>62021001</v>
      </c>
      <c r="I15" s="22" t="s">
        <v>33</v>
      </c>
      <c r="J15" s="2" t="s">
        <v>1140</v>
      </c>
      <c r="K15" s="209">
        <v>44887</v>
      </c>
      <c r="L15" s="212">
        <v>150000</v>
      </c>
      <c r="M15" s="2">
        <v>505.8</v>
      </c>
      <c r="N15" s="212">
        <v>59421.45</v>
      </c>
      <c r="O15" s="211">
        <v>200.36912939999996</v>
      </c>
      <c r="P15" s="211">
        <v>0.39614299999999991</v>
      </c>
      <c r="Q15" s="209">
        <v>46608</v>
      </c>
      <c r="R15" s="213"/>
    </row>
    <row r="16" spans="1:22" ht="14.1" customHeight="1">
      <c r="A16" s="2">
        <v>891</v>
      </c>
      <c r="B16" s="2">
        <v>9957</v>
      </c>
      <c r="C16" s="2" t="s">
        <v>989</v>
      </c>
      <c r="D16" s="2" t="s">
        <v>2505</v>
      </c>
      <c r="E16" s="2">
        <v>6196719</v>
      </c>
      <c r="F16" s="22" t="s">
        <v>266</v>
      </c>
      <c r="G16" s="2" t="s">
        <v>2506</v>
      </c>
      <c r="H16" s="2">
        <v>62021076</v>
      </c>
      <c r="I16" s="22" t="s">
        <v>33</v>
      </c>
      <c r="J16" s="2" t="s">
        <v>1140</v>
      </c>
      <c r="K16" s="209">
        <v>44938</v>
      </c>
      <c r="L16" s="212">
        <v>165000</v>
      </c>
      <c r="M16" s="2">
        <v>556.38</v>
      </c>
      <c r="N16" s="212">
        <v>14850.000000000004</v>
      </c>
      <c r="O16" s="211">
        <v>50.074200000000012</v>
      </c>
      <c r="P16" s="211">
        <v>9.0000000000000024E-2</v>
      </c>
      <c r="Q16" s="209">
        <v>46203</v>
      </c>
      <c r="R16" s="213"/>
    </row>
    <row r="17" spans="1:18" ht="14.1" customHeight="1">
      <c r="A17" s="2">
        <v>891</v>
      </c>
      <c r="B17" s="2">
        <v>9957</v>
      </c>
      <c r="C17" s="2" t="s">
        <v>990</v>
      </c>
      <c r="D17" s="2" t="s">
        <v>2507</v>
      </c>
      <c r="E17" s="2" t="s">
        <v>2508</v>
      </c>
      <c r="F17" s="22" t="s">
        <v>266</v>
      </c>
      <c r="G17" s="2" t="s">
        <v>2509</v>
      </c>
      <c r="H17" s="2">
        <v>62000073</v>
      </c>
      <c r="I17" s="22" t="s">
        <v>33</v>
      </c>
      <c r="J17" s="2" t="s">
        <v>1140</v>
      </c>
      <c r="K17" s="209">
        <v>42758</v>
      </c>
      <c r="L17" s="212">
        <v>200100</v>
      </c>
      <c r="M17" s="2">
        <v>674.73719999999992</v>
      </c>
      <c r="N17" s="212">
        <v>10099.999999999987</v>
      </c>
      <c r="O17" s="211">
        <v>34.057199999999952</v>
      </c>
      <c r="P17" s="211">
        <v>5.0474762618690591E-2</v>
      </c>
      <c r="Q17" s="209">
        <v>46022</v>
      </c>
      <c r="R17" s="213"/>
    </row>
    <row r="18" spans="1:18" ht="14.1" customHeight="1">
      <c r="A18" s="2">
        <v>891</v>
      </c>
      <c r="B18" s="2">
        <v>9957</v>
      </c>
      <c r="C18" s="2" t="s">
        <v>991</v>
      </c>
      <c r="D18" s="2" t="s">
        <v>2510</v>
      </c>
      <c r="E18" s="2" t="s">
        <v>2511</v>
      </c>
      <c r="F18" s="22" t="s">
        <v>266</v>
      </c>
      <c r="G18" s="2" t="s">
        <v>2512</v>
      </c>
      <c r="H18" s="2">
        <v>62015433</v>
      </c>
      <c r="I18" s="22" t="s">
        <v>33</v>
      </c>
      <c r="J18" s="2" t="s">
        <v>1140</v>
      </c>
      <c r="K18" s="209">
        <v>43865</v>
      </c>
      <c r="L18" s="212">
        <v>240000</v>
      </c>
      <c r="M18" s="2">
        <v>809.28</v>
      </c>
      <c r="N18" s="212">
        <v>48000</v>
      </c>
      <c r="O18" s="211">
        <v>161.85599999999999</v>
      </c>
      <c r="P18" s="211">
        <v>0.2</v>
      </c>
      <c r="Q18" s="209">
        <v>46422</v>
      </c>
      <c r="R18" s="213"/>
    </row>
    <row r="19" spans="1:18" ht="14.1" customHeight="1">
      <c r="A19" s="2">
        <v>891</v>
      </c>
      <c r="B19" s="2">
        <v>9957</v>
      </c>
      <c r="C19" s="2" t="s">
        <v>991</v>
      </c>
      <c r="D19" s="2" t="s">
        <v>2513</v>
      </c>
      <c r="E19" s="2" t="s">
        <v>2514</v>
      </c>
      <c r="F19" s="22" t="s">
        <v>266</v>
      </c>
      <c r="G19" s="2" t="s">
        <v>2364</v>
      </c>
      <c r="H19" s="2">
        <v>62018098</v>
      </c>
      <c r="I19" s="22" t="s">
        <v>33</v>
      </c>
      <c r="J19" s="2" t="s">
        <v>1140</v>
      </c>
      <c r="K19" s="209">
        <v>44286</v>
      </c>
      <c r="L19" s="212">
        <v>125000</v>
      </c>
      <c r="M19" s="2">
        <v>421.5</v>
      </c>
      <c r="N19" s="212">
        <v>54284.261282051273</v>
      </c>
      <c r="O19" s="211">
        <v>183.04652904307687</v>
      </c>
      <c r="P19" s="211">
        <v>0.43427409025641012</v>
      </c>
      <c r="Q19" s="209">
        <v>46843</v>
      </c>
      <c r="R19" s="213"/>
    </row>
    <row r="20" spans="1:18" ht="14.1" customHeight="1">
      <c r="A20" s="2">
        <v>891</v>
      </c>
      <c r="B20" s="2">
        <v>9957</v>
      </c>
      <c r="C20" s="2" t="s">
        <v>991</v>
      </c>
      <c r="D20" s="2" t="s">
        <v>2515</v>
      </c>
      <c r="E20" s="2" t="s">
        <v>2516</v>
      </c>
      <c r="F20" s="2" t="s">
        <v>266</v>
      </c>
      <c r="G20" s="2" t="s">
        <v>2252</v>
      </c>
      <c r="H20" s="2">
        <v>62017934</v>
      </c>
      <c r="I20" s="2" t="s">
        <v>33</v>
      </c>
      <c r="J20" s="2" t="s">
        <v>1140</v>
      </c>
      <c r="K20" s="209">
        <v>44262</v>
      </c>
      <c r="L20" s="212">
        <v>150000</v>
      </c>
      <c r="M20" s="2">
        <v>505.8</v>
      </c>
      <c r="N20" s="212">
        <v>29959.789999999994</v>
      </c>
      <c r="O20" s="211">
        <v>101.02441187999997</v>
      </c>
      <c r="P20" s="211">
        <v>0.19973193333333328</v>
      </c>
      <c r="Q20" s="209">
        <v>46819</v>
      </c>
      <c r="R20" s="213"/>
    </row>
    <row r="21" spans="1:18" ht="14.1" customHeight="1">
      <c r="A21" s="2">
        <v>891</v>
      </c>
      <c r="B21" s="2">
        <v>9957</v>
      </c>
      <c r="C21" s="2" t="s">
        <v>988</v>
      </c>
      <c r="D21" s="2" t="s">
        <v>2517</v>
      </c>
      <c r="E21" s="2">
        <v>2030</v>
      </c>
      <c r="F21" s="2" t="s">
        <v>266</v>
      </c>
      <c r="G21" s="2" t="s">
        <v>2518</v>
      </c>
      <c r="H21" s="2">
        <v>60397874</v>
      </c>
      <c r="I21" s="2" t="s">
        <v>33</v>
      </c>
      <c r="J21" s="2" t="s">
        <v>1140</v>
      </c>
      <c r="K21" s="209">
        <v>42354</v>
      </c>
      <c r="L21" s="212">
        <v>120000</v>
      </c>
      <c r="M21" s="2">
        <v>404.64</v>
      </c>
      <c r="N21" s="212">
        <v>59381.376000000004</v>
      </c>
      <c r="O21" s="211">
        <v>200.23399987200003</v>
      </c>
      <c r="P21" s="211">
        <v>0.49484480000000008</v>
      </c>
      <c r="Q21" s="209">
        <v>46007</v>
      </c>
      <c r="R21" s="213"/>
    </row>
    <row r="22" spans="1:18" ht="14.1" customHeight="1">
      <c r="A22" s="2">
        <v>891</v>
      </c>
      <c r="B22" s="2">
        <v>9957</v>
      </c>
      <c r="C22" s="2" t="s">
        <v>991</v>
      </c>
      <c r="D22" s="2" t="s">
        <v>2519</v>
      </c>
      <c r="E22" s="2">
        <v>550256168</v>
      </c>
      <c r="F22" s="2" t="s">
        <v>265</v>
      </c>
      <c r="G22" s="2" t="s">
        <v>2349</v>
      </c>
      <c r="H22" s="2">
        <v>60407392</v>
      </c>
      <c r="I22" s="2" t="s">
        <v>33</v>
      </c>
      <c r="J22" s="2" t="s">
        <v>1140</v>
      </c>
      <c r="K22" s="209">
        <v>42516</v>
      </c>
      <c r="L22" s="212">
        <v>75000</v>
      </c>
      <c r="M22" s="2">
        <v>252.9</v>
      </c>
      <c r="N22" s="212">
        <v>562.00000000000387</v>
      </c>
      <c r="O22" s="211">
        <v>1.895064000000013</v>
      </c>
      <c r="P22" s="211">
        <v>7.4933333333333848E-3</v>
      </c>
      <c r="Q22" s="209">
        <v>46022</v>
      </c>
      <c r="R22" s="213"/>
    </row>
    <row r="23" spans="1:18" ht="14.1" customHeight="1">
      <c r="A23" s="2">
        <v>891</v>
      </c>
      <c r="B23" s="2">
        <v>9957</v>
      </c>
      <c r="C23" s="2" t="s">
        <v>991</v>
      </c>
      <c r="D23" s="2" t="s">
        <v>2520</v>
      </c>
      <c r="E23" s="2">
        <v>515333862</v>
      </c>
      <c r="F23" s="2" t="s">
        <v>264</v>
      </c>
      <c r="G23" s="2" t="s">
        <v>2521</v>
      </c>
      <c r="H23" s="2">
        <v>62000395</v>
      </c>
      <c r="I23" s="2" t="s">
        <v>33</v>
      </c>
      <c r="J23" s="2" t="s">
        <v>1140</v>
      </c>
      <c r="K23" s="209">
        <v>42762</v>
      </c>
      <c r="L23" s="212">
        <v>160000</v>
      </c>
      <c r="M23" s="2">
        <v>539.52</v>
      </c>
      <c r="N23" s="212">
        <v>8800.0000000000109</v>
      </c>
      <c r="O23" s="211">
        <v>29.673600000000036</v>
      </c>
      <c r="P23" s="211">
        <v>5.500000000000007E-2</v>
      </c>
      <c r="Q23" s="209">
        <v>46006</v>
      </c>
      <c r="R23" s="213"/>
    </row>
    <row r="24" spans="1:18" ht="14.1" customHeight="1">
      <c r="A24" s="2">
        <v>891</v>
      </c>
      <c r="B24" s="2">
        <v>9957</v>
      </c>
      <c r="C24" s="2" t="s">
        <v>991</v>
      </c>
      <c r="D24" s="2" t="s">
        <v>2522</v>
      </c>
      <c r="E24" s="2" t="s">
        <v>2523</v>
      </c>
      <c r="F24" s="2" t="s">
        <v>266</v>
      </c>
      <c r="G24" s="2" t="s">
        <v>2524</v>
      </c>
      <c r="H24" s="2">
        <v>62000698</v>
      </c>
      <c r="I24" s="2" t="s">
        <v>33</v>
      </c>
      <c r="J24" s="2" t="s">
        <v>1140</v>
      </c>
      <c r="K24" s="209">
        <v>42793</v>
      </c>
      <c r="L24" s="212">
        <v>170000</v>
      </c>
      <c r="M24" s="2">
        <v>573.24</v>
      </c>
      <c r="N24" s="212">
        <v>44276.340000000004</v>
      </c>
      <c r="O24" s="211">
        <v>149.29981848000003</v>
      </c>
      <c r="P24" s="211">
        <v>0.26044905882352948</v>
      </c>
      <c r="Q24" s="209">
        <v>46424</v>
      </c>
      <c r="R24" s="213"/>
    </row>
    <row r="25" spans="1:18" ht="14.1" customHeight="1">
      <c r="A25" s="2">
        <v>891</v>
      </c>
      <c r="B25" s="2">
        <v>9957</v>
      </c>
      <c r="C25" s="2" t="s">
        <v>991</v>
      </c>
      <c r="D25" s="2" t="s">
        <v>2525</v>
      </c>
      <c r="E25" s="2">
        <v>11744</v>
      </c>
      <c r="F25" s="2" t="s">
        <v>266</v>
      </c>
      <c r="G25" s="2" t="s">
        <v>2310</v>
      </c>
      <c r="H25" s="2">
        <v>62010970</v>
      </c>
      <c r="I25" s="2" t="s">
        <v>33</v>
      </c>
      <c r="J25" s="2" t="s">
        <v>1140</v>
      </c>
      <c r="K25" s="209">
        <v>43507</v>
      </c>
      <c r="L25" s="212">
        <v>190000</v>
      </c>
      <c r="M25" s="2">
        <v>640.67999999999995</v>
      </c>
      <c r="N25" s="212">
        <v>10883.610000000008</v>
      </c>
      <c r="O25" s="211">
        <v>36.699532920000024</v>
      </c>
      <c r="P25" s="211">
        <v>5.7282157894736882E-2</v>
      </c>
      <c r="Q25" s="209">
        <v>47119</v>
      </c>
      <c r="R25" s="213"/>
    </row>
    <row r="26" spans="1:18" ht="14.1" customHeight="1">
      <c r="A26" s="2">
        <v>891</v>
      </c>
      <c r="B26" s="2">
        <v>9957</v>
      </c>
      <c r="C26" s="2" t="s">
        <v>986</v>
      </c>
      <c r="D26" s="2" t="s">
        <v>2526</v>
      </c>
      <c r="E26" s="2" t="s">
        <v>2527</v>
      </c>
      <c r="F26" s="2" t="s">
        <v>266</v>
      </c>
      <c r="G26" s="2" t="s">
        <v>2528</v>
      </c>
      <c r="H26" s="2">
        <v>62014261</v>
      </c>
      <c r="I26" s="2" t="s">
        <v>33</v>
      </c>
      <c r="J26" s="2" t="s">
        <v>1140</v>
      </c>
      <c r="K26" s="209">
        <v>43762</v>
      </c>
      <c r="L26" s="212">
        <v>300000</v>
      </c>
      <c r="M26" s="2">
        <v>1011.6</v>
      </c>
      <c r="N26" s="212">
        <v>87679</v>
      </c>
      <c r="O26" s="211">
        <v>295.65358800000001</v>
      </c>
      <c r="P26" s="211">
        <v>0.29226333333333332</v>
      </c>
      <c r="Q26" s="209">
        <v>47392</v>
      </c>
      <c r="R26" s="213"/>
    </row>
    <row r="27" spans="1:18" ht="14.1" customHeight="1">
      <c r="A27" s="2">
        <v>891</v>
      </c>
      <c r="B27" s="2">
        <v>9957</v>
      </c>
      <c r="C27" s="2" t="s">
        <v>991</v>
      </c>
      <c r="D27" s="2" t="s">
        <v>2529</v>
      </c>
      <c r="E27" s="2" t="s">
        <v>2511</v>
      </c>
      <c r="F27" s="2" t="s">
        <v>266</v>
      </c>
      <c r="G27" s="2" t="s">
        <v>2530</v>
      </c>
      <c r="H27" s="2">
        <v>62014352</v>
      </c>
      <c r="I27" s="2" t="s">
        <v>33</v>
      </c>
      <c r="J27" s="2" t="s">
        <v>1140</v>
      </c>
      <c r="K27" s="209">
        <v>43765</v>
      </c>
      <c r="L27" s="212">
        <v>160000</v>
      </c>
      <c r="M27" s="2">
        <v>539.52</v>
      </c>
      <c r="N27" s="212">
        <v>36000</v>
      </c>
      <c r="O27" s="211">
        <v>121.392</v>
      </c>
      <c r="P27" s="211">
        <v>0.22500000000000001</v>
      </c>
      <c r="Q27" s="209">
        <v>47392</v>
      </c>
      <c r="R27" s="213"/>
    </row>
    <row r="28" spans="1:18" ht="14.1" customHeight="1">
      <c r="A28" s="2">
        <v>891</v>
      </c>
      <c r="B28" s="2">
        <v>9957</v>
      </c>
      <c r="C28" s="2" t="s">
        <v>986</v>
      </c>
      <c r="D28" s="2" t="s">
        <v>2531</v>
      </c>
      <c r="E28" s="2" t="s">
        <v>2532</v>
      </c>
      <c r="F28" s="2" t="s">
        <v>266</v>
      </c>
      <c r="G28" s="2" t="s">
        <v>2533</v>
      </c>
      <c r="H28" s="2">
        <v>62014592</v>
      </c>
      <c r="I28" s="2" t="s">
        <v>33</v>
      </c>
      <c r="J28" s="2" t="s">
        <v>1140</v>
      </c>
      <c r="K28" s="209">
        <v>43787</v>
      </c>
      <c r="L28" s="212">
        <v>120000</v>
      </c>
      <c r="M28" s="2">
        <v>404.64</v>
      </c>
      <c r="N28" s="212">
        <v>10410.999999999998</v>
      </c>
      <c r="O28" s="211">
        <v>35.10589199999999</v>
      </c>
      <c r="P28" s="211">
        <v>8.6758333333333312E-2</v>
      </c>
      <c r="Q28" s="209">
        <v>46997</v>
      </c>
      <c r="R28" s="213"/>
    </row>
    <row r="29" spans="1:18" ht="14.1" customHeight="1">
      <c r="A29" s="2">
        <v>891</v>
      </c>
      <c r="B29" s="2">
        <v>9957</v>
      </c>
      <c r="C29" s="2" t="s">
        <v>991</v>
      </c>
      <c r="D29" s="2" t="s">
        <v>2534</v>
      </c>
      <c r="E29" s="2">
        <v>540294501</v>
      </c>
      <c r="F29" s="2" t="s">
        <v>265</v>
      </c>
      <c r="G29" s="2" t="s">
        <v>2535</v>
      </c>
      <c r="H29" s="2">
        <v>62017520</v>
      </c>
      <c r="I29" s="2" t="s">
        <v>33</v>
      </c>
      <c r="J29" s="2" t="s">
        <v>1140</v>
      </c>
      <c r="K29" s="209">
        <v>44117</v>
      </c>
      <c r="L29" s="212">
        <v>170000</v>
      </c>
      <c r="M29" s="2">
        <v>573.24</v>
      </c>
      <c r="N29" s="212">
        <v>23800.000000000011</v>
      </c>
      <c r="O29" s="211">
        <v>80.253600000000034</v>
      </c>
      <c r="P29" s="211">
        <v>0.14000000000000007</v>
      </c>
      <c r="Q29" s="209">
        <v>46996</v>
      </c>
      <c r="R29" s="213"/>
    </row>
    <row r="30" spans="1:18" ht="14.1" customHeight="1">
      <c r="A30" s="2">
        <v>891</v>
      </c>
      <c r="B30" s="2">
        <v>9957</v>
      </c>
      <c r="C30" s="2" t="s">
        <v>987</v>
      </c>
      <c r="D30" s="2" t="s">
        <v>2536</v>
      </c>
      <c r="E30" s="2" t="s">
        <v>2537</v>
      </c>
      <c r="F30" s="2" t="s">
        <v>266</v>
      </c>
      <c r="G30" s="2" t="s">
        <v>2334</v>
      </c>
      <c r="H30" s="2">
        <v>62021282</v>
      </c>
      <c r="I30" s="2" t="s">
        <v>33</v>
      </c>
      <c r="J30" s="2" t="s">
        <v>1140</v>
      </c>
      <c r="K30" s="209">
        <v>45132</v>
      </c>
      <c r="L30" s="212">
        <v>100000</v>
      </c>
      <c r="M30" s="2">
        <v>337.2</v>
      </c>
      <c r="N30" s="212">
        <v>30452</v>
      </c>
      <c r="O30" s="211">
        <v>102.684144</v>
      </c>
      <c r="P30" s="211">
        <v>0.30452000000000001</v>
      </c>
      <c r="Q30" s="209">
        <v>46310</v>
      </c>
      <c r="R30" s="213"/>
    </row>
    <row r="31" spans="1:18" ht="14.1" customHeight="1">
      <c r="A31" s="2">
        <v>891</v>
      </c>
      <c r="B31" s="2">
        <v>9957</v>
      </c>
      <c r="C31" s="2" t="s">
        <v>990</v>
      </c>
      <c r="D31" s="2" t="s">
        <v>2319</v>
      </c>
      <c r="E31" s="2">
        <v>6858778</v>
      </c>
      <c r="F31" s="2" t="s">
        <v>266</v>
      </c>
      <c r="G31" s="2" t="s">
        <v>2319</v>
      </c>
      <c r="H31" s="2">
        <v>62021175</v>
      </c>
      <c r="I31" s="2" t="s">
        <v>33</v>
      </c>
      <c r="J31" s="2" t="s">
        <v>1140</v>
      </c>
      <c r="K31" s="209">
        <v>45057</v>
      </c>
      <c r="L31" s="212">
        <v>100000</v>
      </c>
      <c r="M31" s="2">
        <v>337.2</v>
      </c>
      <c r="N31" s="212">
        <v>59047.21</v>
      </c>
      <c r="O31" s="211">
        <v>199.10719211999998</v>
      </c>
      <c r="P31" s="211">
        <v>0.59047209999999994</v>
      </c>
      <c r="Q31" s="209">
        <v>45747</v>
      </c>
      <c r="R31" s="213"/>
    </row>
    <row r="32" spans="1:18" ht="14.1" customHeight="1">
      <c r="A32" s="2">
        <v>891</v>
      </c>
      <c r="B32" s="2">
        <v>9957</v>
      </c>
      <c r="C32" s="2" t="s">
        <v>990</v>
      </c>
      <c r="D32" s="2" t="s">
        <v>2538</v>
      </c>
      <c r="E32" s="2" t="s">
        <v>2539</v>
      </c>
      <c r="F32" s="2" t="s">
        <v>266</v>
      </c>
      <c r="G32" s="2" t="s">
        <v>2351</v>
      </c>
      <c r="H32" s="2">
        <v>620211181</v>
      </c>
      <c r="I32" s="2" t="s">
        <v>33</v>
      </c>
      <c r="J32" s="2" t="s">
        <v>1146</v>
      </c>
      <c r="K32" s="209">
        <v>44950</v>
      </c>
      <c r="L32" s="212">
        <v>100000</v>
      </c>
      <c r="M32" s="2">
        <v>462.36</v>
      </c>
      <c r="N32" s="212">
        <v>80346.820000000007</v>
      </c>
      <c r="O32" s="211">
        <v>371.491556952</v>
      </c>
      <c r="P32" s="211">
        <v>0.80346819999999997</v>
      </c>
      <c r="Q32" s="209">
        <v>45939</v>
      </c>
      <c r="R32" s="213"/>
    </row>
    <row r="33" spans="1:18" ht="14.1" customHeight="1">
      <c r="A33" s="2">
        <v>891</v>
      </c>
      <c r="B33" s="2">
        <v>9957</v>
      </c>
      <c r="C33" s="2" t="s">
        <v>990</v>
      </c>
      <c r="D33" s="2" t="s">
        <v>2540</v>
      </c>
      <c r="E33" s="2">
        <v>515527968</v>
      </c>
      <c r="F33" s="2" t="s">
        <v>264</v>
      </c>
      <c r="G33" s="2" t="s">
        <v>2273</v>
      </c>
      <c r="H33" s="2">
        <v>62017942</v>
      </c>
      <c r="I33" s="2" t="s">
        <v>33</v>
      </c>
      <c r="J33" s="2" t="s">
        <v>1142</v>
      </c>
      <c r="K33" s="209">
        <v>44262</v>
      </c>
      <c r="L33" s="212">
        <v>170000</v>
      </c>
      <c r="M33" s="2">
        <v>672.38400000000001</v>
      </c>
      <c r="N33" s="212">
        <v>1048.9999999999989</v>
      </c>
      <c r="O33" s="211">
        <v>4.1490047999999948</v>
      </c>
      <c r="P33" s="211">
        <v>6.17058823529411E-3</v>
      </c>
      <c r="Q33" s="209">
        <v>45814</v>
      </c>
      <c r="R33" s="213"/>
    </row>
    <row r="34" spans="1:18" ht="14.1" customHeight="1">
      <c r="A34" s="2">
        <v>891</v>
      </c>
      <c r="B34" s="2">
        <v>9957</v>
      </c>
      <c r="C34" s="2" t="s">
        <v>990</v>
      </c>
      <c r="D34" s="2" t="s">
        <v>2541</v>
      </c>
      <c r="E34" s="2">
        <v>516190006</v>
      </c>
      <c r="F34" s="2" t="s">
        <v>264</v>
      </c>
      <c r="G34" s="2" t="s">
        <v>2542</v>
      </c>
      <c r="H34" s="2">
        <v>62018528</v>
      </c>
      <c r="I34" s="2" t="s">
        <v>33</v>
      </c>
      <c r="J34" s="2" t="s">
        <v>1142</v>
      </c>
      <c r="K34" s="209">
        <v>44382</v>
      </c>
      <c r="L34" s="212">
        <v>125000</v>
      </c>
      <c r="M34" s="2">
        <v>494.4</v>
      </c>
      <c r="N34" s="212">
        <v>20517</v>
      </c>
      <c r="O34" s="211">
        <v>81.148838400000002</v>
      </c>
      <c r="P34" s="211">
        <v>0.164136</v>
      </c>
      <c r="Q34" s="209">
        <v>46939</v>
      </c>
      <c r="R34" s="213"/>
    </row>
    <row r="35" spans="1:18" ht="14.1" customHeight="1">
      <c r="A35" s="2">
        <v>891</v>
      </c>
      <c r="B35" s="2">
        <v>9957</v>
      </c>
      <c r="C35" s="2" t="s">
        <v>987</v>
      </c>
      <c r="D35" s="2" t="s">
        <v>2543</v>
      </c>
      <c r="E35" s="2" t="s">
        <v>2544</v>
      </c>
      <c r="F35" s="2" t="s">
        <v>266</v>
      </c>
      <c r="G35" s="2" t="s">
        <v>2545</v>
      </c>
      <c r="H35" s="2">
        <v>62018891</v>
      </c>
      <c r="I35" s="2" t="s">
        <v>33</v>
      </c>
      <c r="J35" s="2" t="s">
        <v>1142</v>
      </c>
      <c r="K35" s="209">
        <v>44417</v>
      </c>
      <c r="L35" s="212">
        <v>170000</v>
      </c>
      <c r="M35" s="2">
        <v>672.38400000000001</v>
      </c>
      <c r="N35" s="212">
        <v>15898.239999999982</v>
      </c>
      <c r="O35" s="211">
        <v>62.88071884799993</v>
      </c>
      <c r="P35" s="211">
        <v>9.3519058823529302E-2</v>
      </c>
      <c r="Q35" s="209">
        <v>46688</v>
      </c>
      <c r="R35" s="213"/>
    </row>
    <row r="36" spans="1:18" ht="14.1" customHeight="1">
      <c r="A36" s="2">
        <v>891</v>
      </c>
      <c r="B36" s="2">
        <v>9957</v>
      </c>
      <c r="C36" s="2" t="s">
        <v>991</v>
      </c>
      <c r="D36" s="2" t="s">
        <v>2546</v>
      </c>
      <c r="E36" s="2" t="s">
        <v>2547</v>
      </c>
      <c r="F36" s="2" t="s">
        <v>266</v>
      </c>
      <c r="G36" s="2" t="s">
        <v>2357</v>
      </c>
      <c r="H36" s="2">
        <v>62019716</v>
      </c>
      <c r="I36" s="2" t="s">
        <v>33</v>
      </c>
      <c r="J36" s="2" t="s">
        <v>1142</v>
      </c>
      <c r="K36" s="209">
        <v>44508</v>
      </c>
      <c r="L36" s="212">
        <v>100000</v>
      </c>
      <c r="M36" s="2">
        <v>395.52</v>
      </c>
      <c r="N36" s="212">
        <v>12000.000000000005</v>
      </c>
      <c r="O36" s="211">
        <v>47.462400000000024</v>
      </c>
      <c r="P36" s="211">
        <v>0.12000000000000006</v>
      </c>
      <c r="Q36" s="209">
        <v>47066</v>
      </c>
      <c r="R36" s="213"/>
    </row>
    <row r="37" spans="1:18" ht="14.1" customHeight="1">
      <c r="A37" s="2">
        <v>891</v>
      </c>
      <c r="B37" s="2">
        <v>9957</v>
      </c>
      <c r="C37" s="2" t="s">
        <v>990</v>
      </c>
      <c r="D37" s="2" t="s">
        <v>2548</v>
      </c>
      <c r="E37" s="2">
        <v>550257125</v>
      </c>
      <c r="F37" s="2" t="s">
        <v>265</v>
      </c>
      <c r="G37" s="2" t="s">
        <v>2549</v>
      </c>
      <c r="H37" s="2">
        <v>50006691</v>
      </c>
      <c r="I37" s="2" t="s">
        <v>33</v>
      </c>
      <c r="J37" s="2" t="s">
        <v>34</v>
      </c>
      <c r="K37" s="209">
        <v>43801</v>
      </c>
      <c r="L37" s="212">
        <v>700000</v>
      </c>
      <c r="M37" s="2">
        <v>700</v>
      </c>
      <c r="N37" s="212">
        <v>207597</v>
      </c>
      <c r="O37" s="211">
        <v>207.59700000000001</v>
      </c>
      <c r="P37" s="211">
        <v>0.29656714285714286</v>
      </c>
      <c r="Q37" s="209">
        <v>46721</v>
      </c>
      <c r="R37" s="213"/>
    </row>
    <row r="38" spans="1:18" ht="14.1" customHeight="1">
      <c r="A38" s="2">
        <v>891</v>
      </c>
      <c r="B38" s="2">
        <v>9957</v>
      </c>
      <c r="C38" s="2" t="s">
        <v>991</v>
      </c>
      <c r="D38" s="2" t="s">
        <v>2550</v>
      </c>
      <c r="E38" s="2">
        <v>540285145</v>
      </c>
      <c r="F38" s="2" t="s">
        <v>266</v>
      </c>
      <c r="G38" s="2" t="s">
        <v>2178</v>
      </c>
      <c r="H38" s="2">
        <v>62018080</v>
      </c>
      <c r="I38" s="2" t="s">
        <v>33</v>
      </c>
      <c r="J38" s="2" t="s">
        <v>1140</v>
      </c>
      <c r="K38" s="209">
        <v>43572</v>
      </c>
      <c r="L38" s="212">
        <v>125000</v>
      </c>
      <c r="M38" s="2">
        <v>421.5</v>
      </c>
      <c r="N38" s="212">
        <v>38421.000000000007</v>
      </c>
      <c r="O38" s="211">
        <v>129.55561200000002</v>
      </c>
      <c r="P38" s="211">
        <v>0.30736800000000009</v>
      </c>
      <c r="Q38" s="209">
        <v>46112</v>
      </c>
      <c r="R38" s="213"/>
    </row>
    <row r="39" spans="1:18" ht="14.1" customHeight="1">
      <c r="A39" s="2">
        <v>891</v>
      </c>
      <c r="B39" s="2">
        <v>9957</v>
      </c>
      <c r="C39" s="2" t="s">
        <v>991</v>
      </c>
      <c r="D39" s="2" t="s">
        <v>2551</v>
      </c>
      <c r="E39" s="2">
        <v>516445962</v>
      </c>
      <c r="F39" s="2" t="s">
        <v>264</v>
      </c>
      <c r="G39" s="2" t="s">
        <v>2205</v>
      </c>
      <c r="H39" s="2">
        <v>62020158</v>
      </c>
      <c r="I39" s="2" t="s">
        <v>33</v>
      </c>
      <c r="J39" s="2" t="s">
        <v>34</v>
      </c>
      <c r="K39" s="209">
        <v>44598</v>
      </c>
      <c r="L39" s="212">
        <v>715584</v>
      </c>
      <c r="M39" s="2">
        <v>715.58399999999995</v>
      </c>
      <c r="N39" s="212">
        <v>257654</v>
      </c>
      <c r="O39" s="211">
        <v>257.654</v>
      </c>
      <c r="P39" s="211">
        <v>0.36006115284858242</v>
      </c>
      <c r="Q39" s="209">
        <v>46284</v>
      </c>
      <c r="R39" s="213"/>
    </row>
    <row r="40" spans="1:18" ht="14.1" customHeight="1">
      <c r="A40" s="2">
        <v>891</v>
      </c>
      <c r="B40" s="2">
        <v>9957</v>
      </c>
      <c r="C40" s="2" t="s">
        <v>991</v>
      </c>
      <c r="D40" s="2" t="s">
        <v>2181</v>
      </c>
      <c r="E40" s="2" t="s">
        <v>2552</v>
      </c>
      <c r="F40" s="2" t="s">
        <v>266</v>
      </c>
      <c r="G40" s="2" t="s">
        <v>2553</v>
      </c>
      <c r="H40" s="2">
        <v>50007947</v>
      </c>
      <c r="I40" s="2" t="s">
        <v>33</v>
      </c>
      <c r="J40" s="2" t="s">
        <v>34</v>
      </c>
      <c r="K40" s="209">
        <v>45039</v>
      </c>
      <c r="L40" s="212">
        <v>1000000</v>
      </c>
      <c r="M40" s="2">
        <v>1000</v>
      </c>
      <c r="N40" s="212">
        <v>630000</v>
      </c>
      <c r="O40" s="211">
        <v>630</v>
      </c>
      <c r="P40" s="211">
        <v>0.63</v>
      </c>
      <c r="Q40" s="209">
        <v>47923</v>
      </c>
      <c r="R40" s="213"/>
    </row>
    <row r="41" spans="1:18" ht="14.1" customHeight="1">
      <c r="A41" s="2">
        <v>891</v>
      </c>
      <c r="B41" s="2">
        <v>9957</v>
      </c>
      <c r="C41" s="2" t="s">
        <v>987</v>
      </c>
      <c r="D41" s="2" t="s">
        <v>2554</v>
      </c>
      <c r="E41" s="2">
        <v>1987624</v>
      </c>
      <c r="F41" s="2" t="s">
        <v>266</v>
      </c>
      <c r="G41" s="2" t="s">
        <v>2233</v>
      </c>
      <c r="H41" s="2">
        <v>62022132</v>
      </c>
      <c r="I41" s="2" t="s">
        <v>33</v>
      </c>
      <c r="J41" s="2" t="s">
        <v>1140</v>
      </c>
      <c r="K41" s="209">
        <v>45107</v>
      </c>
      <c r="L41" s="212">
        <v>125000</v>
      </c>
      <c r="M41" s="2">
        <v>421.5</v>
      </c>
      <c r="N41" s="212">
        <v>70363.13</v>
      </c>
      <c r="O41" s="211">
        <v>237.26447435999998</v>
      </c>
      <c r="P41" s="211">
        <v>0.56290503999999997</v>
      </c>
      <c r="Q41" s="209">
        <v>47299</v>
      </c>
      <c r="R41" s="213"/>
    </row>
    <row r="42" spans="1:18" ht="14.1" customHeight="1">
      <c r="A42" s="2">
        <v>891</v>
      </c>
      <c r="B42" s="2">
        <v>9957</v>
      </c>
      <c r="C42" s="2" t="s">
        <v>990</v>
      </c>
      <c r="D42" s="2" t="s">
        <v>2235</v>
      </c>
      <c r="E42" s="2" t="s">
        <v>2236</v>
      </c>
      <c r="F42" s="2" t="s">
        <v>266</v>
      </c>
      <c r="G42" s="2" t="s">
        <v>2237</v>
      </c>
      <c r="H42" s="2">
        <v>62022363</v>
      </c>
      <c r="I42" s="2" t="s">
        <v>33</v>
      </c>
      <c r="J42" s="2" t="s">
        <v>1142</v>
      </c>
      <c r="K42" s="209">
        <v>45777</v>
      </c>
      <c r="L42" s="212">
        <v>75000</v>
      </c>
      <c r="M42" s="2">
        <v>296.64</v>
      </c>
      <c r="N42" s="212">
        <v>45562.229999999996</v>
      </c>
      <c r="O42" s="211">
        <v>180.207732096</v>
      </c>
      <c r="P42" s="211">
        <v>0.60749640000000005</v>
      </c>
      <c r="Q42" s="209">
        <v>48699</v>
      </c>
      <c r="R42" s="213"/>
    </row>
  </sheetData>
  <sheetProtection formatColumns="0"/>
  <dataConsolidate/>
  <dataValidations count="2">
    <dataValidation type="list" allowBlank="1" showInputMessage="1" showErrorMessage="1" sqref="F2:F19" xr:uid="{00000000-0002-0000-1E00-000000000000}">
      <formula1>Issuer_Number_Fund</formula1>
    </dataValidation>
    <dataValidation type="list" allowBlank="1" showInputMessage="1" showErrorMessage="1" sqref="I2:I19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5" s="52" customFormat="1" ht="45">
      <c r="A1" s="51" t="s">
        <v>155</v>
      </c>
      <c r="B1" s="51" t="s">
        <v>156</v>
      </c>
      <c r="C1" s="51" t="s">
        <v>157</v>
      </c>
      <c r="D1" s="51" t="s">
        <v>158</v>
      </c>
    </row>
    <row r="2" spans="1:5">
      <c r="A2" s="86"/>
      <c r="B2" s="86" t="s">
        <v>159</v>
      </c>
      <c r="C2" s="23" t="s">
        <v>30</v>
      </c>
      <c r="D2" s="23"/>
    </row>
    <row r="3" spans="1:5">
      <c r="A3" s="87"/>
      <c r="B3" s="87"/>
      <c r="C3" s="23" t="s">
        <v>160</v>
      </c>
      <c r="D3" s="23"/>
    </row>
    <row r="4" spans="1:5" ht="42.75">
      <c r="A4" s="79"/>
      <c r="B4" s="100" t="s">
        <v>161</v>
      </c>
      <c r="C4" s="24" t="s">
        <v>30</v>
      </c>
      <c r="D4" s="24"/>
    </row>
    <row r="5" spans="1:5">
      <c r="A5" s="80"/>
      <c r="B5" s="101"/>
      <c r="C5" s="24" t="s">
        <v>162</v>
      </c>
      <c r="D5" s="24"/>
    </row>
    <row r="6" spans="1:5">
      <c r="A6" s="80"/>
      <c r="B6" s="101"/>
      <c r="C6" s="24" t="s">
        <v>163</v>
      </c>
      <c r="D6" s="24"/>
    </row>
    <row r="7" spans="1:5">
      <c r="A7" s="80"/>
      <c r="B7" s="101"/>
      <c r="C7" s="24" t="s">
        <v>164</v>
      </c>
      <c r="D7" s="24"/>
    </row>
    <row r="8" spans="1:5">
      <c r="A8" s="80"/>
      <c r="B8" s="101"/>
      <c r="C8" s="24" t="s">
        <v>165</v>
      </c>
      <c r="D8" s="24"/>
    </row>
    <row r="9" spans="1:5">
      <c r="A9" s="80"/>
      <c r="B9" s="101"/>
      <c r="C9" s="24" t="s">
        <v>166</v>
      </c>
      <c r="D9" s="24"/>
    </row>
    <row r="10" spans="1:5">
      <c r="A10" s="80"/>
      <c r="B10" s="101"/>
      <c r="C10" s="24" t="s">
        <v>167</v>
      </c>
      <c r="D10" s="24"/>
    </row>
    <row r="11" spans="1:5">
      <c r="A11" s="80"/>
      <c r="B11" s="101"/>
      <c r="C11" s="24" t="s">
        <v>168</v>
      </c>
      <c r="D11" s="24"/>
      <c r="E11" t="s">
        <v>169</v>
      </c>
    </row>
    <row r="12" spans="1:5">
      <c r="A12" s="80"/>
      <c r="B12" s="101"/>
      <c r="C12" s="24" t="s">
        <v>170</v>
      </c>
      <c r="D12" s="24"/>
      <c r="E12" t="s">
        <v>169</v>
      </c>
    </row>
    <row r="13" spans="1:5">
      <c r="A13" s="80"/>
      <c r="B13" s="101"/>
      <c r="C13" s="24" t="s">
        <v>171</v>
      </c>
      <c r="D13" s="24"/>
    </row>
    <row r="14" spans="1:5">
      <c r="A14" s="80"/>
      <c r="B14" s="101"/>
      <c r="C14" s="24" t="s">
        <v>172</v>
      </c>
      <c r="D14" s="24"/>
    </row>
    <row r="15" spans="1:5">
      <c r="A15" s="80"/>
      <c r="B15" s="101"/>
      <c r="C15" s="24" t="s">
        <v>173</v>
      </c>
      <c r="D15" s="24"/>
    </row>
    <row r="16" spans="1:5">
      <c r="A16" s="80"/>
      <c r="B16" s="101"/>
      <c r="C16" s="24" t="s">
        <v>174</v>
      </c>
      <c r="D16" s="24"/>
    </row>
    <row r="17" spans="1:4">
      <c r="A17" s="80"/>
      <c r="B17" s="101"/>
      <c r="C17" s="24" t="s">
        <v>175</v>
      </c>
      <c r="D17" s="24"/>
    </row>
    <row r="18" spans="1:4">
      <c r="A18" s="80"/>
      <c r="B18" s="101"/>
      <c r="C18" s="24" t="s">
        <v>176</v>
      </c>
      <c r="D18" s="24"/>
    </row>
    <row r="19" spans="1:4">
      <c r="A19" s="80"/>
      <c r="B19" s="101"/>
      <c r="C19" s="24" t="s">
        <v>177</v>
      </c>
      <c r="D19" s="24"/>
    </row>
    <row r="20" spans="1:4">
      <c r="A20" s="80"/>
      <c r="B20" s="101"/>
      <c r="C20" s="24" t="s">
        <v>178</v>
      </c>
      <c r="D20" s="24"/>
    </row>
    <row r="21" spans="1:4">
      <c r="A21" s="80"/>
      <c r="B21" s="101"/>
      <c r="C21" s="24" t="s">
        <v>179</v>
      </c>
      <c r="D21" s="24"/>
    </row>
    <row r="22" spans="1:4">
      <c r="A22" s="80"/>
      <c r="B22" s="101"/>
      <c r="C22" s="24" t="s">
        <v>180</v>
      </c>
      <c r="D22" s="24"/>
    </row>
    <row r="23" spans="1:4">
      <c r="A23" s="80"/>
      <c r="B23" s="101"/>
      <c r="C23" s="24" t="s">
        <v>181</v>
      </c>
      <c r="D23" s="24"/>
    </row>
    <row r="24" spans="1:4">
      <c r="A24" s="80"/>
      <c r="B24" s="101"/>
      <c r="C24" s="24" t="s">
        <v>182</v>
      </c>
      <c r="D24" s="24"/>
    </row>
    <row r="25" spans="1:4">
      <c r="A25" s="80"/>
      <c r="B25" s="101"/>
      <c r="C25" s="24" t="s">
        <v>183</v>
      </c>
      <c r="D25" s="24"/>
    </row>
    <row r="26" spans="1:4">
      <c r="A26" s="80"/>
      <c r="B26" s="101"/>
      <c r="C26" s="24" t="s">
        <v>184</v>
      </c>
      <c r="D26" s="24"/>
    </row>
    <row r="27" spans="1:4">
      <c r="A27" s="80"/>
      <c r="B27" s="101"/>
      <c r="C27" s="24" t="s">
        <v>185</v>
      </c>
      <c r="D27" s="24"/>
    </row>
    <row r="28" spans="1:4">
      <c r="A28" s="80"/>
      <c r="B28" s="101"/>
      <c r="C28" s="24" t="s">
        <v>186</v>
      </c>
      <c r="D28" s="24"/>
    </row>
    <row r="29" spans="1:4">
      <c r="A29" s="80"/>
      <c r="B29" s="101"/>
      <c r="C29" s="24" t="s">
        <v>187</v>
      </c>
      <c r="D29" s="24"/>
    </row>
    <row r="30" spans="1:4">
      <c r="A30" s="80"/>
      <c r="B30" s="101"/>
      <c r="C30" s="24" t="s">
        <v>188</v>
      </c>
      <c r="D30" s="24"/>
    </row>
    <row r="31" spans="1:4">
      <c r="A31" s="80"/>
      <c r="B31" s="101"/>
      <c r="C31" s="24" t="s">
        <v>189</v>
      </c>
      <c r="D31" s="24"/>
    </row>
    <row r="32" spans="1:4">
      <c r="A32" s="80"/>
      <c r="B32" s="101"/>
      <c r="C32" s="24" t="s">
        <v>190</v>
      </c>
      <c r="D32" s="24"/>
    </row>
    <row r="33" spans="1:5">
      <c r="A33" s="80"/>
      <c r="B33" s="101"/>
      <c r="C33" s="24" t="s">
        <v>191</v>
      </c>
      <c r="D33" s="24"/>
    </row>
    <row r="34" spans="1:5">
      <c r="A34" s="80"/>
      <c r="B34" s="101"/>
      <c r="C34" s="24" t="s">
        <v>192</v>
      </c>
      <c r="D34" s="24"/>
    </row>
    <row r="35" spans="1:5">
      <c r="A35" s="80"/>
      <c r="B35" s="101"/>
      <c r="C35" s="24" t="s">
        <v>193</v>
      </c>
      <c r="D35" s="24"/>
    </row>
    <row r="36" spans="1:5">
      <c r="A36" s="80"/>
      <c r="B36" s="101"/>
      <c r="C36" s="24" t="s">
        <v>194</v>
      </c>
      <c r="D36" s="24"/>
      <c r="E36" t="s">
        <v>169</v>
      </c>
    </row>
    <row r="37" spans="1:5">
      <c r="A37" s="80"/>
      <c r="B37" s="101"/>
      <c r="C37" s="11" t="s">
        <v>195</v>
      </c>
      <c r="D37" s="24"/>
      <c r="E37" t="s">
        <v>169</v>
      </c>
    </row>
    <row r="38" spans="1:5">
      <c r="A38" s="80"/>
      <c r="B38" s="101"/>
      <c r="C38" s="24" t="s">
        <v>196</v>
      </c>
      <c r="D38" s="24"/>
    </row>
    <row r="39" spans="1:5">
      <c r="A39" s="80"/>
      <c r="B39" s="101"/>
      <c r="C39" s="24" t="s">
        <v>197</v>
      </c>
      <c r="D39" s="24"/>
    </row>
    <row r="40" spans="1:5">
      <c r="A40" s="80"/>
      <c r="B40" s="101"/>
      <c r="C40" s="24" t="s">
        <v>198</v>
      </c>
      <c r="D40" s="24"/>
      <c r="E40" t="s">
        <v>169</v>
      </c>
    </row>
    <row r="41" spans="1:5">
      <c r="A41" s="80"/>
      <c r="B41" s="101"/>
      <c r="C41" s="24" t="s">
        <v>199</v>
      </c>
      <c r="D41" s="24"/>
    </row>
    <row r="42" spans="1:5">
      <c r="A42" s="80"/>
      <c r="B42" s="101"/>
      <c r="C42" s="24" t="s">
        <v>200</v>
      </c>
      <c r="D42" s="24"/>
    </row>
    <row r="43" spans="1:5">
      <c r="A43" s="80"/>
      <c r="B43" s="101"/>
      <c r="C43" s="24" t="s">
        <v>201</v>
      </c>
      <c r="D43" s="24"/>
    </row>
    <row r="44" spans="1:5">
      <c r="A44" s="80"/>
      <c r="B44" s="101"/>
      <c r="C44" s="24" t="s">
        <v>202</v>
      </c>
      <c r="D44" s="24"/>
    </row>
    <row r="45" spans="1:5">
      <c r="A45" s="80"/>
      <c r="B45" s="101"/>
      <c r="C45" s="24" t="s">
        <v>203</v>
      </c>
      <c r="D45" s="24"/>
    </row>
    <row r="46" spans="1:5">
      <c r="A46" s="80"/>
      <c r="B46" s="101"/>
      <c r="C46" s="24" t="s">
        <v>204</v>
      </c>
      <c r="D46" s="24"/>
      <c r="E46" t="s">
        <v>169</v>
      </c>
    </row>
    <row r="47" spans="1:5">
      <c r="A47" s="80"/>
      <c r="B47" s="101"/>
      <c r="C47" s="24" t="s">
        <v>205</v>
      </c>
      <c r="D47" s="24"/>
    </row>
    <row r="48" spans="1:5">
      <c r="A48" s="80"/>
      <c r="B48" s="101"/>
      <c r="C48" s="24" t="s">
        <v>206</v>
      </c>
      <c r="D48" s="24"/>
    </row>
    <row r="49" spans="1:5">
      <c r="A49" s="80"/>
      <c r="B49" s="101"/>
      <c r="C49" s="24" t="s">
        <v>207</v>
      </c>
      <c r="D49" s="24"/>
    </row>
    <row r="50" spans="1:5">
      <c r="A50" s="80"/>
      <c r="B50" s="101"/>
      <c r="C50" s="24" t="s">
        <v>208</v>
      </c>
      <c r="D50" s="24"/>
    </row>
    <row r="51" spans="1:5">
      <c r="A51" s="80"/>
      <c r="B51" s="101"/>
      <c r="C51" s="24" t="s">
        <v>209</v>
      </c>
      <c r="D51" s="24"/>
    </row>
    <row r="52" spans="1:5">
      <c r="A52" s="80"/>
      <c r="B52" s="101"/>
      <c r="C52" s="24" t="s">
        <v>210</v>
      </c>
      <c r="D52" s="24"/>
    </row>
    <row r="53" spans="1:5">
      <c r="A53" s="80"/>
      <c r="B53" s="101"/>
      <c r="C53" s="24" t="s">
        <v>211</v>
      </c>
      <c r="D53" s="24"/>
    </row>
    <row r="54" spans="1:5">
      <c r="A54" s="80"/>
      <c r="B54" s="101"/>
      <c r="C54" s="24" t="s">
        <v>212</v>
      </c>
      <c r="D54" s="24"/>
    </row>
    <row r="55" spans="1:5">
      <c r="A55" s="80"/>
      <c r="B55" s="101"/>
      <c r="C55" s="24" t="s">
        <v>213</v>
      </c>
      <c r="D55" s="24"/>
    </row>
    <row r="56" spans="1:5">
      <c r="A56" s="80"/>
      <c r="B56" s="101"/>
      <c r="C56" s="24" t="s">
        <v>214</v>
      </c>
      <c r="D56" s="24"/>
    </row>
    <row r="57" spans="1:5">
      <c r="A57" s="80"/>
      <c r="B57" s="101"/>
      <c r="C57" s="24" t="s">
        <v>215</v>
      </c>
      <c r="D57" s="24"/>
    </row>
    <row r="58" spans="1:5">
      <c r="A58" s="80"/>
      <c r="B58" s="101"/>
      <c r="C58" s="24" t="s">
        <v>216</v>
      </c>
      <c r="D58" s="24"/>
    </row>
    <row r="59" spans="1:5">
      <c r="A59" s="80"/>
      <c r="B59" s="101"/>
      <c r="C59" s="24" t="s">
        <v>217</v>
      </c>
      <c r="D59" s="24"/>
    </row>
    <row r="60" spans="1:5">
      <c r="A60" s="80"/>
      <c r="B60" s="101"/>
      <c r="C60" s="24" t="s">
        <v>218</v>
      </c>
      <c r="D60" s="24"/>
    </row>
    <row r="61" spans="1:5">
      <c r="A61" s="80"/>
      <c r="B61" s="101"/>
      <c r="C61" s="24" t="s">
        <v>219</v>
      </c>
      <c r="D61" s="24"/>
    </row>
    <row r="62" spans="1:5">
      <c r="A62" s="80"/>
      <c r="B62" s="101"/>
      <c r="C62" s="24" t="s">
        <v>220</v>
      </c>
      <c r="D62" s="24"/>
    </row>
    <row r="63" spans="1:5">
      <c r="A63" s="80"/>
      <c r="B63" s="101"/>
      <c r="C63" s="24" t="s">
        <v>221</v>
      </c>
      <c r="D63" s="24"/>
      <c r="E63" t="s">
        <v>169</v>
      </c>
    </row>
    <row r="64" spans="1:5">
      <c r="A64" s="80"/>
      <c r="B64" s="101"/>
      <c r="C64" s="24" t="s">
        <v>222</v>
      </c>
      <c r="D64" s="24"/>
    </row>
    <row r="65" spans="1:4">
      <c r="A65" s="80"/>
      <c r="B65" s="101"/>
      <c r="C65" s="24" t="s">
        <v>223</v>
      </c>
      <c r="D65" s="24"/>
    </row>
    <row r="66" spans="1:4">
      <c r="A66" s="80"/>
      <c r="B66" s="101"/>
      <c r="C66" s="24" t="s">
        <v>224</v>
      </c>
      <c r="D66" s="24"/>
    </row>
    <row r="67" spans="1:4">
      <c r="A67" s="80"/>
      <c r="B67" s="101"/>
      <c r="C67" s="24" t="s">
        <v>225</v>
      </c>
      <c r="D67" s="24"/>
    </row>
    <row r="68" spans="1:4">
      <c r="A68" s="80"/>
      <c r="B68" s="101"/>
      <c r="C68" s="24" t="s">
        <v>226</v>
      </c>
      <c r="D68" s="24"/>
    </row>
    <row r="69" spans="1:4">
      <c r="A69" s="80"/>
      <c r="B69" s="101"/>
      <c r="C69" s="24" t="s">
        <v>227</v>
      </c>
      <c r="D69" s="24"/>
    </row>
    <row r="70" spans="1:4">
      <c r="A70" s="80"/>
      <c r="B70" s="101"/>
      <c r="C70" s="24" t="s">
        <v>228</v>
      </c>
      <c r="D70" s="24"/>
    </row>
    <row r="71" spans="1:4">
      <c r="A71" s="80"/>
      <c r="B71" s="101"/>
      <c r="C71" s="24" t="s">
        <v>229</v>
      </c>
      <c r="D71" s="24"/>
    </row>
    <row r="72" spans="1:4">
      <c r="A72" s="80"/>
      <c r="B72" s="101"/>
      <c r="C72" s="24" t="s">
        <v>230</v>
      </c>
      <c r="D72" s="24"/>
    </row>
    <row r="73" spans="1:4">
      <c r="A73" s="80"/>
      <c r="B73" s="101"/>
      <c r="C73" s="24" t="s">
        <v>231</v>
      </c>
      <c r="D73" s="24"/>
    </row>
    <row r="74" spans="1:4">
      <c r="A74" s="80"/>
      <c r="B74" s="101"/>
      <c r="C74" s="24" t="s">
        <v>232</v>
      </c>
      <c r="D74" s="24"/>
    </row>
    <row r="75" spans="1:4">
      <c r="A75" s="80"/>
      <c r="B75" s="101"/>
      <c r="C75" s="24" t="s">
        <v>233</v>
      </c>
      <c r="D75" s="24"/>
    </row>
    <row r="76" spans="1:4">
      <c r="A76" s="80"/>
      <c r="B76" s="101"/>
      <c r="C76" s="24" t="s">
        <v>234</v>
      </c>
      <c r="D76" s="24"/>
    </row>
    <row r="77" spans="1:4">
      <c r="A77" s="80"/>
      <c r="B77" s="101"/>
      <c r="C77" s="24" t="s">
        <v>235</v>
      </c>
      <c r="D77" s="24"/>
    </row>
    <row r="78" spans="1:4">
      <c r="A78" s="80"/>
      <c r="B78" s="101"/>
      <c r="C78" s="24" t="s">
        <v>236</v>
      </c>
      <c r="D78" s="24"/>
    </row>
    <row r="79" spans="1:4">
      <c r="A79" s="80"/>
      <c r="B79" s="101"/>
      <c r="C79" s="24" t="s">
        <v>237</v>
      </c>
      <c r="D79" s="24"/>
    </row>
    <row r="80" spans="1:4">
      <c r="A80" s="80"/>
      <c r="B80" s="101"/>
      <c r="C80" s="24" t="s">
        <v>238</v>
      </c>
      <c r="D80" s="24"/>
    </row>
    <row r="81" spans="1:5">
      <c r="A81" s="80"/>
      <c r="B81" s="101"/>
      <c r="C81" s="24" t="s">
        <v>239</v>
      </c>
      <c r="D81" s="24"/>
    </row>
    <row r="82" spans="1:5">
      <c r="A82" s="80"/>
      <c r="B82" s="101"/>
      <c r="C82" s="24" t="s">
        <v>240</v>
      </c>
      <c r="D82" s="24"/>
    </row>
    <row r="83" spans="1:5">
      <c r="A83" s="80"/>
      <c r="B83" s="101"/>
      <c r="C83" s="24" t="s">
        <v>241</v>
      </c>
      <c r="D83" s="24"/>
    </row>
    <row r="84" spans="1:5">
      <c r="A84" s="80"/>
      <c r="B84" s="101"/>
      <c r="C84" s="24" t="s">
        <v>242</v>
      </c>
      <c r="D84" s="24"/>
    </row>
    <row r="85" spans="1:5">
      <c r="A85" s="80"/>
      <c r="B85" s="101"/>
      <c r="C85" s="24" t="s">
        <v>243</v>
      </c>
      <c r="D85" s="24"/>
    </row>
    <row r="86" spans="1:5">
      <c r="A86" s="80"/>
      <c r="B86" s="101"/>
      <c r="C86" s="24" t="s">
        <v>244</v>
      </c>
      <c r="D86" s="24"/>
    </row>
    <row r="87" spans="1:5">
      <c r="A87" s="80"/>
      <c r="B87" s="101"/>
      <c r="C87" s="24" t="s">
        <v>245</v>
      </c>
      <c r="D87" s="24"/>
    </row>
    <row r="88" spans="1:5">
      <c r="A88" s="80"/>
      <c r="B88" s="101"/>
      <c r="C88" s="24" t="s">
        <v>246</v>
      </c>
      <c r="D88" s="24"/>
    </row>
    <row r="89" spans="1:5">
      <c r="A89" s="80"/>
      <c r="B89" s="101"/>
      <c r="C89" s="24" t="s">
        <v>247</v>
      </c>
      <c r="D89" s="24"/>
    </row>
    <row r="90" spans="1:5">
      <c r="A90" s="80"/>
      <c r="B90" s="101"/>
      <c r="C90" s="24" t="s">
        <v>248</v>
      </c>
      <c r="D90" s="24"/>
    </row>
    <row r="91" spans="1:5">
      <c r="A91" s="80"/>
      <c r="B91" s="101"/>
      <c r="C91" s="24" t="s">
        <v>249</v>
      </c>
      <c r="D91" s="24"/>
    </row>
    <row r="92" spans="1:5">
      <c r="A92" s="80"/>
      <c r="B92" s="101"/>
      <c r="C92" s="24" t="s">
        <v>250</v>
      </c>
      <c r="D92" s="24"/>
    </row>
    <row r="93" spans="1:5">
      <c r="A93" s="80"/>
      <c r="B93" s="101"/>
      <c r="C93" s="24" t="s">
        <v>251</v>
      </c>
      <c r="D93" s="24"/>
    </row>
    <row r="94" spans="1:5">
      <c r="A94" s="80"/>
      <c r="B94" s="101"/>
      <c r="C94" s="24" t="s">
        <v>252</v>
      </c>
      <c r="D94" s="24" t="s">
        <v>253</v>
      </c>
      <c r="E94" t="s">
        <v>169</v>
      </c>
    </row>
    <row r="95" spans="1:5">
      <c r="A95" s="80"/>
      <c r="B95" s="101"/>
      <c r="C95" s="24" t="s">
        <v>254</v>
      </c>
      <c r="D95" s="24" t="s">
        <v>255</v>
      </c>
      <c r="E95" t="s">
        <v>169</v>
      </c>
    </row>
    <row r="96" spans="1:5">
      <c r="A96" s="80"/>
      <c r="B96" s="101"/>
      <c r="C96" s="24" t="s">
        <v>256</v>
      </c>
      <c r="D96" s="24" t="s">
        <v>255</v>
      </c>
      <c r="E96" t="s">
        <v>169</v>
      </c>
    </row>
    <row r="97" spans="1:5">
      <c r="A97" s="80"/>
      <c r="B97" s="101"/>
      <c r="C97" s="24" t="s">
        <v>257</v>
      </c>
      <c r="D97" s="24" t="s">
        <v>255</v>
      </c>
      <c r="E97" t="s">
        <v>169</v>
      </c>
    </row>
    <row r="98" spans="1:5">
      <c r="A98" s="80"/>
      <c r="B98" s="101"/>
      <c r="C98" s="24" t="s">
        <v>258</v>
      </c>
      <c r="D98" s="24" t="s">
        <v>255</v>
      </c>
      <c r="E98" t="s">
        <v>169</v>
      </c>
    </row>
    <row r="99" spans="1:5">
      <c r="A99" s="80"/>
      <c r="B99" s="101"/>
      <c r="C99" s="24" t="s">
        <v>259</v>
      </c>
      <c r="D99" s="24" t="s">
        <v>255</v>
      </c>
      <c r="E99" t="s">
        <v>169</v>
      </c>
    </row>
    <row r="100" spans="1:5">
      <c r="A100" s="80"/>
      <c r="B100" s="101"/>
      <c r="C100" s="24" t="s">
        <v>260</v>
      </c>
      <c r="D100" s="24" t="s">
        <v>255</v>
      </c>
      <c r="E100" t="s">
        <v>169</v>
      </c>
    </row>
    <row r="101" spans="1:5">
      <c r="A101" s="80"/>
      <c r="B101" s="101"/>
      <c r="C101" s="24" t="s">
        <v>261</v>
      </c>
      <c r="D101" s="24" t="s">
        <v>255</v>
      </c>
      <c r="E101" t="s">
        <v>169</v>
      </c>
    </row>
    <row r="102" spans="1:5">
      <c r="A102" s="80"/>
      <c r="B102" s="101"/>
      <c r="C102" s="24" t="s">
        <v>262</v>
      </c>
      <c r="D102" s="24" t="s">
        <v>255</v>
      </c>
      <c r="E102" t="s">
        <v>169</v>
      </c>
    </row>
    <row r="103" spans="1:5">
      <c r="A103" s="80"/>
      <c r="B103" s="101"/>
      <c r="C103" s="24" t="s">
        <v>263</v>
      </c>
      <c r="D103" s="24" t="s">
        <v>255</v>
      </c>
      <c r="E103" t="s">
        <v>169</v>
      </c>
    </row>
    <row r="104" spans="1:5">
      <c r="A104" s="75"/>
      <c r="B104" s="75" t="s">
        <v>102</v>
      </c>
      <c r="C104" s="23" t="s">
        <v>264</v>
      </c>
      <c r="D104" s="23"/>
    </row>
    <row r="105" spans="1:5">
      <c r="A105" s="76"/>
      <c r="B105" s="76"/>
      <c r="C105" s="23" t="s">
        <v>101</v>
      </c>
      <c r="D105" s="23"/>
    </row>
    <row r="106" spans="1:5">
      <c r="A106" s="76"/>
      <c r="B106" s="76"/>
      <c r="C106" s="23" t="s">
        <v>265</v>
      </c>
      <c r="D106" s="23"/>
    </row>
    <row r="107" spans="1:5">
      <c r="A107" s="76"/>
      <c r="B107" s="76"/>
      <c r="C107" s="23" t="s">
        <v>266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267</v>
      </c>
      <c r="D109" s="23"/>
    </row>
    <row r="110" spans="1:5">
      <c r="A110" s="77"/>
      <c r="B110" s="77"/>
      <c r="C110" s="23" t="s">
        <v>268</v>
      </c>
      <c r="D110" s="23"/>
    </row>
    <row r="111" spans="1:5">
      <c r="A111" s="80"/>
      <c r="B111" s="66" t="s">
        <v>123</v>
      </c>
      <c r="C111" s="24" t="s">
        <v>264</v>
      </c>
      <c r="D111" s="24"/>
    </row>
    <row r="112" spans="1:5">
      <c r="A112" s="80"/>
      <c r="B112" s="67"/>
      <c r="C112" s="24" t="s">
        <v>269</v>
      </c>
      <c r="D112" s="24"/>
    </row>
    <row r="113" spans="1:4">
      <c r="A113" s="80"/>
      <c r="B113" s="68"/>
      <c r="C113" s="24" t="s">
        <v>270</v>
      </c>
      <c r="D113" s="24"/>
    </row>
    <row r="114" spans="1:4">
      <c r="A114" s="93"/>
      <c r="B114" s="93" t="s">
        <v>271</v>
      </c>
      <c r="C114" s="23" t="s">
        <v>264</v>
      </c>
      <c r="D114" s="23"/>
    </row>
    <row r="115" spans="1:4">
      <c r="A115" s="93"/>
      <c r="B115" s="93"/>
      <c r="C115" s="23" t="s">
        <v>265</v>
      </c>
      <c r="D115" s="23"/>
    </row>
    <row r="116" spans="1:4">
      <c r="A116" s="93"/>
      <c r="B116" s="93"/>
      <c r="C116" s="23" t="s">
        <v>266</v>
      </c>
      <c r="D116" s="23"/>
    </row>
    <row r="117" spans="1:4">
      <c r="A117" s="93"/>
      <c r="B117" s="93"/>
      <c r="C117" s="23" t="s">
        <v>267</v>
      </c>
      <c r="D117" s="23"/>
    </row>
    <row r="118" spans="1:4">
      <c r="A118" s="79"/>
      <c r="B118" s="94" t="s">
        <v>76</v>
      </c>
      <c r="C118" s="24" t="s">
        <v>264</v>
      </c>
      <c r="D118" s="24"/>
    </row>
    <row r="119" spans="1:4">
      <c r="A119" s="12"/>
      <c r="B119" s="112"/>
      <c r="C119" s="24" t="s">
        <v>272</v>
      </c>
      <c r="D119" s="24"/>
    </row>
    <row r="120" spans="1:4">
      <c r="A120" s="12"/>
      <c r="B120" s="112"/>
      <c r="C120" s="24" t="s">
        <v>266</v>
      </c>
      <c r="D120" s="24"/>
    </row>
    <row r="121" spans="1:4">
      <c r="A121" s="12"/>
      <c r="B121" s="112"/>
      <c r="C121" s="24" t="s">
        <v>33</v>
      </c>
      <c r="D121" s="24"/>
    </row>
    <row r="122" spans="1:4">
      <c r="A122" s="12"/>
      <c r="B122" s="112"/>
      <c r="C122" s="24" t="s">
        <v>265</v>
      </c>
      <c r="D122" s="24"/>
    </row>
    <row r="123" spans="1:4">
      <c r="A123" s="12"/>
      <c r="B123" s="112"/>
      <c r="C123" s="24" t="s">
        <v>273</v>
      </c>
      <c r="D123" s="24"/>
    </row>
    <row r="124" spans="1:4">
      <c r="A124" s="12"/>
      <c r="B124" s="112"/>
      <c r="C124" s="24" t="s">
        <v>274</v>
      </c>
      <c r="D124" s="24"/>
    </row>
    <row r="125" spans="1:4">
      <c r="A125" s="12"/>
      <c r="B125" s="112"/>
      <c r="C125" s="24" t="s">
        <v>267</v>
      </c>
      <c r="D125" s="24"/>
    </row>
    <row r="126" spans="1:4">
      <c r="A126" s="80"/>
      <c r="B126" s="95"/>
      <c r="C126" s="24" t="s">
        <v>268</v>
      </c>
      <c r="D126" s="24"/>
    </row>
    <row r="127" spans="1:4">
      <c r="A127" s="75"/>
      <c r="B127" s="75" t="s">
        <v>103</v>
      </c>
      <c r="C127" s="23" t="s">
        <v>275</v>
      </c>
      <c r="D127" s="23"/>
    </row>
    <row r="128" spans="1:4">
      <c r="A128" s="76"/>
      <c r="B128" s="76"/>
      <c r="C128" s="23" t="s">
        <v>276</v>
      </c>
      <c r="D128" s="23"/>
    </row>
    <row r="129" spans="1:5">
      <c r="A129" s="76"/>
      <c r="B129" s="76"/>
      <c r="C129" s="23" t="s">
        <v>277</v>
      </c>
      <c r="D129" s="23"/>
    </row>
    <row r="130" spans="1:5">
      <c r="A130" s="76"/>
      <c r="B130" s="76"/>
      <c r="C130" s="23" t="s">
        <v>278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279</v>
      </c>
      <c r="C132" s="24" t="s">
        <v>275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268</v>
      </c>
      <c r="D134" s="24"/>
    </row>
    <row r="135" spans="1:5">
      <c r="A135" s="82"/>
      <c r="B135" s="82" t="s">
        <v>280</v>
      </c>
      <c r="C135" s="23" t="s">
        <v>281</v>
      </c>
      <c r="D135" s="23"/>
    </row>
    <row r="136" spans="1:5">
      <c r="A136" s="83"/>
      <c r="B136" s="83"/>
      <c r="C136" s="23" t="s">
        <v>282</v>
      </c>
      <c r="D136" s="23"/>
      <c r="E136" t="s">
        <v>169</v>
      </c>
    </row>
    <row r="137" spans="1:5">
      <c r="A137" s="83"/>
      <c r="B137" s="83"/>
      <c r="C137" s="23" t="s">
        <v>283</v>
      </c>
      <c r="D137" s="23" t="s">
        <v>284</v>
      </c>
    </row>
    <row r="138" spans="1:5">
      <c r="A138" s="83"/>
      <c r="B138" s="83"/>
      <c r="C138" s="23" t="s">
        <v>285</v>
      </c>
      <c r="D138" s="23" t="s">
        <v>286</v>
      </c>
    </row>
    <row r="139" spans="1:5">
      <c r="A139" s="83"/>
      <c r="B139" s="83"/>
      <c r="C139" s="23" t="s">
        <v>287</v>
      </c>
      <c r="D139" s="23"/>
    </row>
    <row r="140" spans="1:5">
      <c r="A140" s="83"/>
      <c r="B140" s="83"/>
      <c r="C140" s="23" t="s">
        <v>288</v>
      </c>
      <c r="D140" s="23"/>
    </row>
    <row r="141" spans="1:5">
      <c r="A141" s="83"/>
      <c r="B141" s="83"/>
      <c r="C141" s="23" t="s">
        <v>289</v>
      </c>
      <c r="D141" s="23"/>
    </row>
    <row r="142" spans="1:5">
      <c r="A142" s="83"/>
      <c r="B142" s="83"/>
      <c r="C142" s="23" t="s">
        <v>290</v>
      </c>
      <c r="D142" s="23"/>
    </row>
    <row r="143" spans="1:5">
      <c r="A143" s="83"/>
      <c r="B143" s="83"/>
      <c r="C143" s="23" t="s">
        <v>291</v>
      </c>
      <c r="D143" s="23"/>
    </row>
    <row r="144" spans="1:5">
      <c r="A144" s="83"/>
      <c r="B144" s="83"/>
      <c r="C144" s="23" t="s">
        <v>292</v>
      </c>
      <c r="D144" s="23"/>
    </row>
    <row r="145" spans="1:4">
      <c r="A145" s="83"/>
      <c r="B145" s="83"/>
      <c r="C145" s="23" t="s">
        <v>268</v>
      </c>
      <c r="D145" s="23"/>
    </row>
    <row r="146" spans="1:4">
      <c r="A146" s="79"/>
      <c r="B146" s="72" t="s">
        <v>293</v>
      </c>
      <c r="C146" s="24" t="s">
        <v>294</v>
      </c>
      <c r="D146" s="24"/>
    </row>
    <row r="147" spans="1:4">
      <c r="A147" s="81"/>
      <c r="B147" s="74"/>
      <c r="C147" s="24" t="s">
        <v>94</v>
      </c>
      <c r="D147" s="24"/>
    </row>
    <row r="148" spans="1:4">
      <c r="A148" s="61"/>
      <c r="B148" s="111" t="s">
        <v>8</v>
      </c>
      <c r="C148" s="23" t="s">
        <v>31</v>
      </c>
      <c r="D148" s="23" t="s">
        <v>295</v>
      </c>
    </row>
    <row r="149" spans="1:4">
      <c r="A149" s="62"/>
      <c r="B149" s="62"/>
      <c r="C149" s="23" t="s">
        <v>296</v>
      </c>
      <c r="D149" s="23" t="s">
        <v>297</v>
      </c>
    </row>
    <row r="150" spans="1:4">
      <c r="A150" s="62"/>
      <c r="B150" s="62"/>
      <c r="C150" s="23" t="s">
        <v>298</v>
      </c>
      <c r="D150" s="23" t="s">
        <v>299</v>
      </c>
    </row>
    <row r="151" spans="1:4">
      <c r="A151" s="62"/>
      <c r="B151" s="62"/>
      <c r="C151" s="23" t="s">
        <v>300</v>
      </c>
      <c r="D151" s="23" t="s">
        <v>301</v>
      </c>
    </row>
    <row r="152" spans="1:4">
      <c r="A152" s="62"/>
      <c r="B152" s="62"/>
      <c r="C152" s="23" t="s">
        <v>302</v>
      </c>
      <c r="D152" s="23" t="s">
        <v>303</v>
      </c>
    </row>
    <row r="153" spans="1:4">
      <c r="A153" s="62"/>
      <c r="B153" s="62"/>
      <c r="C153" s="23" t="s">
        <v>304</v>
      </c>
      <c r="D153" s="23" t="s">
        <v>305</v>
      </c>
    </row>
    <row r="154" spans="1:4">
      <c r="A154" s="62"/>
      <c r="B154" s="62"/>
      <c r="C154" s="23" t="s">
        <v>306</v>
      </c>
      <c r="D154" s="23" t="s">
        <v>307</v>
      </c>
    </row>
    <row r="155" spans="1:4">
      <c r="A155" s="62"/>
      <c r="B155" s="62"/>
      <c r="C155" s="23" t="s">
        <v>308</v>
      </c>
      <c r="D155" s="23" t="s">
        <v>309</v>
      </c>
    </row>
    <row r="156" spans="1:4">
      <c r="A156" s="62"/>
      <c r="B156" s="62"/>
      <c r="C156" s="23" t="s">
        <v>310</v>
      </c>
      <c r="D156" s="23" t="s">
        <v>311</v>
      </c>
    </row>
    <row r="157" spans="1:4">
      <c r="A157" s="62"/>
      <c r="B157" s="62"/>
      <c r="C157" s="23" t="s">
        <v>312</v>
      </c>
      <c r="D157" s="23" t="s">
        <v>313</v>
      </c>
    </row>
    <row r="158" spans="1:4">
      <c r="A158" s="62"/>
      <c r="B158" s="62"/>
      <c r="C158" s="23" t="s">
        <v>314</v>
      </c>
      <c r="D158" s="23" t="s">
        <v>315</v>
      </c>
    </row>
    <row r="159" spans="1:4">
      <c r="A159" s="62"/>
      <c r="B159" s="62"/>
      <c r="C159" s="23" t="s">
        <v>316</v>
      </c>
      <c r="D159" s="23" t="s">
        <v>317</v>
      </c>
    </row>
    <row r="160" spans="1:4">
      <c r="A160" s="62"/>
      <c r="B160" s="62"/>
      <c r="C160" s="23" t="s">
        <v>318</v>
      </c>
      <c r="D160" s="23" t="s">
        <v>319</v>
      </c>
    </row>
    <row r="161" spans="1:4">
      <c r="A161" s="62"/>
      <c r="B161" s="62"/>
      <c r="C161" s="23" t="s">
        <v>320</v>
      </c>
      <c r="D161" s="23" t="s">
        <v>321</v>
      </c>
    </row>
    <row r="162" spans="1:4">
      <c r="A162" s="62"/>
      <c r="B162" s="62"/>
      <c r="C162" s="23" t="s">
        <v>322</v>
      </c>
      <c r="D162" s="23" t="s">
        <v>323</v>
      </c>
    </row>
    <row r="163" spans="1:4">
      <c r="A163" s="62"/>
      <c r="B163" s="62"/>
      <c r="C163" s="23" t="s">
        <v>324</v>
      </c>
      <c r="D163" s="23" t="s">
        <v>325</v>
      </c>
    </row>
    <row r="164" spans="1:4">
      <c r="A164" s="62"/>
      <c r="B164" s="62"/>
      <c r="C164" s="23" t="s">
        <v>326</v>
      </c>
      <c r="D164" s="23" t="s">
        <v>327</v>
      </c>
    </row>
    <row r="165" spans="1:4">
      <c r="A165" s="62"/>
      <c r="B165" s="62"/>
      <c r="C165" s="23" t="s">
        <v>328</v>
      </c>
      <c r="D165" s="23" t="s">
        <v>329</v>
      </c>
    </row>
    <row r="166" spans="1:4">
      <c r="A166" s="62"/>
      <c r="B166" s="62"/>
      <c r="C166" s="23" t="s">
        <v>330</v>
      </c>
      <c r="D166" s="23" t="s">
        <v>331</v>
      </c>
    </row>
    <row r="167" spans="1:4">
      <c r="A167" s="62"/>
      <c r="B167" s="62"/>
      <c r="C167" s="23" t="s">
        <v>332</v>
      </c>
      <c r="D167" s="23" t="s">
        <v>333</v>
      </c>
    </row>
    <row r="168" spans="1:4">
      <c r="A168" s="62"/>
      <c r="B168" s="62"/>
      <c r="C168" s="23" t="s">
        <v>334</v>
      </c>
      <c r="D168" s="23" t="s">
        <v>335</v>
      </c>
    </row>
    <row r="169" spans="1:4">
      <c r="A169" s="62"/>
      <c r="B169" s="62"/>
      <c r="C169" s="23" t="s">
        <v>336</v>
      </c>
      <c r="D169" s="23" t="s">
        <v>337</v>
      </c>
    </row>
    <row r="170" spans="1:4">
      <c r="A170" s="62"/>
      <c r="B170" s="62"/>
      <c r="C170" s="23" t="s">
        <v>338</v>
      </c>
      <c r="D170" s="23" t="s">
        <v>339</v>
      </c>
    </row>
    <row r="171" spans="1:4">
      <c r="A171" s="62"/>
      <c r="B171" s="62"/>
      <c r="C171" s="23" t="s">
        <v>340</v>
      </c>
      <c r="D171" s="23" t="s">
        <v>341</v>
      </c>
    </row>
    <row r="172" spans="1:4">
      <c r="A172" s="62"/>
      <c r="B172" s="62"/>
      <c r="C172" s="23" t="s">
        <v>342</v>
      </c>
      <c r="D172" s="23" t="s">
        <v>343</v>
      </c>
    </row>
    <row r="173" spans="1:4">
      <c r="A173" s="62"/>
      <c r="B173" s="62"/>
      <c r="C173" s="23" t="s">
        <v>344</v>
      </c>
      <c r="D173" s="23" t="s">
        <v>345</v>
      </c>
    </row>
    <row r="174" spans="1:4">
      <c r="A174" s="62"/>
      <c r="B174" s="62"/>
      <c r="C174" s="23" t="s">
        <v>346</v>
      </c>
      <c r="D174" s="23" t="s">
        <v>347</v>
      </c>
    </row>
    <row r="175" spans="1:4">
      <c r="A175" s="62"/>
      <c r="B175" s="62"/>
      <c r="C175" s="23" t="s">
        <v>348</v>
      </c>
      <c r="D175" s="23" t="s">
        <v>349</v>
      </c>
    </row>
    <row r="176" spans="1:4">
      <c r="A176" s="62"/>
      <c r="B176" s="62"/>
      <c r="C176" s="23" t="s">
        <v>350</v>
      </c>
      <c r="D176" s="23" t="s">
        <v>351</v>
      </c>
    </row>
    <row r="177" spans="1:5">
      <c r="A177" s="62"/>
      <c r="B177" s="62"/>
      <c r="C177" s="23" t="s">
        <v>352</v>
      </c>
      <c r="D177" s="23" t="s">
        <v>353</v>
      </c>
    </row>
    <row r="178" spans="1:5">
      <c r="A178" s="62"/>
      <c r="B178" s="62"/>
      <c r="C178" s="23" t="s">
        <v>354</v>
      </c>
      <c r="D178" s="23" t="s">
        <v>355</v>
      </c>
    </row>
    <row r="179" spans="1:5">
      <c r="A179" s="62"/>
      <c r="B179" s="62"/>
      <c r="C179" s="23" t="s">
        <v>356</v>
      </c>
      <c r="D179" s="23" t="s">
        <v>357</v>
      </c>
    </row>
    <row r="180" spans="1:5">
      <c r="A180" s="62"/>
      <c r="B180" s="62"/>
      <c r="C180" s="23" t="s">
        <v>358</v>
      </c>
      <c r="D180" s="23" t="s">
        <v>359</v>
      </c>
      <c r="E180" t="s">
        <v>169</v>
      </c>
    </row>
    <row r="181" spans="1:5">
      <c r="A181" s="62"/>
      <c r="B181" s="62"/>
      <c r="C181" s="23" t="s">
        <v>268</v>
      </c>
      <c r="D181" s="23" t="s">
        <v>268</v>
      </c>
    </row>
    <row r="182" spans="1:5">
      <c r="A182" s="79"/>
      <c r="B182" s="72" t="s">
        <v>360</v>
      </c>
      <c r="C182" s="54" t="s">
        <v>361</v>
      </c>
      <c r="D182" s="54"/>
    </row>
    <row r="183" spans="1:5">
      <c r="A183" s="80"/>
      <c r="B183" s="73"/>
      <c r="C183" s="54" t="s">
        <v>362</v>
      </c>
      <c r="D183" s="54"/>
    </row>
    <row r="184" spans="1:5">
      <c r="A184" s="80"/>
      <c r="B184" s="73"/>
      <c r="C184" s="54" t="s">
        <v>363</v>
      </c>
      <c r="D184" s="54"/>
    </row>
    <row r="185" spans="1:5">
      <c r="A185" s="81"/>
      <c r="B185" s="74"/>
      <c r="C185" s="55" t="s">
        <v>364</v>
      </c>
      <c r="D185" s="55"/>
    </row>
    <row r="186" spans="1:5">
      <c r="A186" s="75"/>
      <c r="B186" s="75" t="s">
        <v>365</v>
      </c>
      <c r="C186" s="53" t="s">
        <v>366</v>
      </c>
      <c r="D186" s="53"/>
    </row>
    <row r="187" spans="1:5">
      <c r="A187" s="76"/>
      <c r="B187" s="76"/>
      <c r="C187" s="53" t="s">
        <v>367</v>
      </c>
      <c r="D187" s="53"/>
    </row>
    <row r="188" spans="1:5">
      <c r="A188" s="79"/>
      <c r="B188" s="72" t="s">
        <v>10</v>
      </c>
      <c r="C188" s="55" t="s">
        <v>368</v>
      </c>
      <c r="D188" s="55" t="s">
        <v>369</v>
      </c>
    </row>
    <row r="189" spans="1:5">
      <c r="A189" s="80"/>
      <c r="B189" s="73"/>
      <c r="C189" s="55" t="s">
        <v>370</v>
      </c>
      <c r="D189" s="55" t="s">
        <v>371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372</v>
      </c>
      <c r="D191" s="55" t="s">
        <v>373</v>
      </c>
    </row>
    <row r="192" spans="1:5">
      <c r="A192" s="80"/>
      <c r="B192" s="73"/>
      <c r="C192" s="55" t="s">
        <v>374</v>
      </c>
      <c r="D192" s="55" t="s">
        <v>375</v>
      </c>
    </row>
    <row r="193" spans="1:4">
      <c r="A193" s="80"/>
      <c r="B193" s="73"/>
      <c r="C193" s="55" t="s">
        <v>376</v>
      </c>
      <c r="D193" s="55" t="s">
        <v>377</v>
      </c>
    </row>
    <row r="194" spans="1:4">
      <c r="A194" s="80"/>
      <c r="B194" s="73"/>
      <c r="C194" s="55" t="s">
        <v>378</v>
      </c>
      <c r="D194" s="55" t="s">
        <v>379</v>
      </c>
    </row>
    <row r="195" spans="1:4">
      <c r="A195" s="80"/>
      <c r="B195" s="73"/>
      <c r="C195" s="55" t="s">
        <v>380</v>
      </c>
      <c r="D195" s="55" t="s">
        <v>381</v>
      </c>
    </row>
    <row r="196" spans="1:4">
      <c r="A196" s="80"/>
      <c r="B196" s="73"/>
      <c r="C196" s="55" t="s">
        <v>382</v>
      </c>
      <c r="D196" s="55" t="s">
        <v>383</v>
      </c>
    </row>
    <row r="197" spans="1:4">
      <c r="A197" s="80"/>
      <c r="B197" s="73"/>
      <c r="C197" s="55" t="s">
        <v>384</v>
      </c>
      <c r="D197" s="55" t="s">
        <v>385</v>
      </c>
    </row>
    <row r="198" spans="1:4">
      <c r="A198" s="80"/>
      <c r="B198" s="73"/>
      <c r="C198" s="55" t="s">
        <v>386</v>
      </c>
      <c r="D198" s="55" t="s">
        <v>387</v>
      </c>
    </row>
    <row r="199" spans="1:4">
      <c r="A199" s="80"/>
      <c r="B199" s="73"/>
      <c r="C199" s="55" t="s">
        <v>388</v>
      </c>
      <c r="D199" s="55" t="s">
        <v>389</v>
      </c>
    </row>
    <row r="200" spans="1:4">
      <c r="A200" s="80"/>
      <c r="B200" s="73"/>
      <c r="C200" s="55" t="s">
        <v>268</v>
      </c>
      <c r="D200" s="55" t="s">
        <v>268</v>
      </c>
    </row>
    <row r="201" spans="1:4">
      <c r="A201" s="81"/>
      <c r="B201" s="74"/>
      <c r="C201" s="55" t="s">
        <v>364</v>
      </c>
      <c r="D201" s="55" t="s">
        <v>390</v>
      </c>
    </row>
    <row r="202" spans="1:4">
      <c r="A202" s="111"/>
      <c r="B202" s="111" t="s">
        <v>104</v>
      </c>
      <c r="C202" s="23" t="s">
        <v>391</v>
      </c>
      <c r="D202" s="23"/>
    </row>
    <row r="203" spans="1:4">
      <c r="A203" s="62"/>
      <c r="B203" s="62"/>
      <c r="C203" s="23" t="s">
        <v>392</v>
      </c>
      <c r="D203" s="23"/>
    </row>
    <row r="204" spans="1:4">
      <c r="A204" s="62"/>
      <c r="B204" s="62"/>
      <c r="C204" s="23" t="s">
        <v>393</v>
      </c>
      <c r="D204" s="23"/>
    </row>
    <row r="205" spans="1:4">
      <c r="A205" s="62"/>
      <c r="B205" s="62"/>
      <c r="C205" s="23" t="s">
        <v>394</v>
      </c>
      <c r="D205" s="23"/>
    </row>
    <row r="206" spans="1:4">
      <c r="A206" s="62"/>
      <c r="B206" s="62"/>
      <c r="C206" s="23" t="s">
        <v>395</v>
      </c>
      <c r="D206" s="23"/>
    </row>
    <row r="207" spans="1:4">
      <c r="A207" s="62"/>
      <c r="B207" s="62"/>
      <c r="C207" s="23" t="s">
        <v>396</v>
      </c>
      <c r="D207" s="23"/>
    </row>
    <row r="208" spans="1:4">
      <c r="A208" s="62"/>
      <c r="B208" s="62"/>
      <c r="C208" s="23" t="s">
        <v>397</v>
      </c>
      <c r="D208" s="23"/>
    </row>
    <row r="209" spans="1:5">
      <c r="A209" s="62"/>
      <c r="B209" s="62"/>
      <c r="C209" s="23" t="s">
        <v>398</v>
      </c>
      <c r="D209" s="23"/>
    </row>
    <row r="210" spans="1:5">
      <c r="A210" s="62"/>
      <c r="B210" s="62"/>
      <c r="C210" s="23" t="s">
        <v>399</v>
      </c>
      <c r="D210" s="23"/>
    </row>
    <row r="211" spans="1:5">
      <c r="A211" s="62"/>
      <c r="B211" s="62"/>
      <c r="C211" s="23" t="s">
        <v>400</v>
      </c>
      <c r="D211" s="23"/>
    </row>
    <row r="212" spans="1:5">
      <c r="A212" s="62"/>
      <c r="B212" s="62"/>
      <c r="C212" s="23" t="s">
        <v>401</v>
      </c>
      <c r="D212" s="23"/>
    </row>
    <row r="213" spans="1:5">
      <c r="A213" s="62"/>
      <c r="B213" s="62"/>
      <c r="C213" s="23" t="s">
        <v>402</v>
      </c>
      <c r="D213" s="23"/>
    </row>
    <row r="214" spans="1:5">
      <c r="A214" s="62"/>
      <c r="B214" s="62"/>
      <c r="C214" s="23" t="s">
        <v>403</v>
      </c>
      <c r="D214" s="23"/>
    </row>
    <row r="215" spans="1:5">
      <c r="A215" s="62"/>
      <c r="B215" s="62"/>
      <c r="C215" s="23" t="s">
        <v>404</v>
      </c>
      <c r="D215" s="23"/>
    </row>
    <row r="216" spans="1:5">
      <c r="A216" s="62"/>
      <c r="B216" s="62"/>
      <c r="C216" s="23" t="s">
        <v>405</v>
      </c>
      <c r="D216" s="23"/>
    </row>
    <row r="217" spans="1:5">
      <c r="A217" s="62"/>
      <c r="B217" s="62"/>
      <c r="C217" s="23" t="s">
        <v>406</v>
      </c>
      <c r="D217" s="23"/>
    </row>
    <row r="218" spans="1:5">
      <c r="A218" s="62"/>
      <c r="B218" s="62"/>
      <c r="C218" s="23" t="s">
        <v>407</v>
      </c>
      <c r="D218" s="23" t="s">
        <v>408</v>
      </c>
      <c r="E218" t="s">
        <v>169</v>
      </c>
    </row>
    <row r="219" spans="1:5">
      <c r="A219" s="62"/>
      <c r="B219" s="62"/>
      <c r="C219" s="23" t="s">
        <v>409</v>
      </c>
      <c r="D219" s="23"/>
    </row>
    <row r="220" spans="1:5">
      <c r="A220" s="62"/>
      <c r="B220" s="62"/>
      <c r="C220" s="23" t="s">
        <v>410</v>
      </c>
      <c r="D220" s="23"/>
    </row>
    <row r="221" spans="1:5">
      <c r="A221" s="62"/>
      <c r="B221" s="62"/>
      <c r="C221" s="23" t="s">
        <v>411</v>
      </c>
      <c r="D221" s="23"/>
    </row>
    <row r="222" spans="1:5">
      <c r="A222" s="62"/>
      <c r="B222" s="62"/>
      <c r="C222" s="23" t="s">
        <v>412</v>
      </c>
      <c r="D222" s="23"/>
    </row>
    <row r="223" spans="1:5">
      <c r="A223" s="62"/>
      <c r="B223" s="62"/>
      <c r="C223" s="23" t="s">
        <v>413</v>
      </c>
      <c r="D223" s="23"/>
    </row>
    <row r="224" spans="1:5">
      <c r="A224" s="62"/>
      <c r="B224" s="62"/>
      <c r="C224" s="23" t="s">
        <v>414</v>
      </c>
      <c r="D224" s="23"/>
    </row>
    <row r="225" spans="1:4">
      <c r="A225" s="62"/>
      <c r="B225" s="62"/>
      <c r="C225" s="23" t="s">
        <v>415</v>
      </c>
      <c r="D225" s="23"/>
    </row>
    <row r="226" spans="1:4">
      <c r="A226" s="62"/>
      <c r="B226" s="62"/>
      <c r="C226" s="23" t="s">
        <v>416</v>
      </c>
      <c r="D226" s="23"/>
    </row>
    <row r="227" spans="1:4">
      <c r="A227" s="62"/>
      <c r="B227" s="62"/>
      <c r="C227" s="23" t="s">
        <v>417</v>
      </c>
      <c r="D227" s="23"/>
    </row>
    <row r="228" spans="1:4">
      <c r="A228" s="62"/>
      <c r="B228" s="62"/>
      <c r="C228" s="23" t="s">
        <v>418</v>
      </c>
      <c r="D228" s="23"/>
    </row>
    <row r="229" spans="1:4">
      <c r="A229" s="62"/>
      <c r="B229" s="62"/>
      <c r="C229" s="23" t="s">
        <v>419</v>
      </c>
      <c r="D229" s="23"/>
    </row>
    <row r="230" spans="1:4">
      <c r="A230" s="62"/>
      <c r="B230" s="62"/>
      <c r="C230" s="23" t="s">
        <v>420</v>
      </c>
      <c r="D230" s="23"/>
    </row>
    <row r="231" spans="1:4">
      <c r="A231" s="62"/>
      <c r="B231" s="62"/>
      <c r="C231" s="23" t="s">
        <v>421</v>
      </c>
      <c r="D231" s="23"/>
    </row>
    <row r="232" spans="1:4">
      <c r="A232" s="62"/>
      <c r="B232" s="62"/>
      <c r="C232" s="23" t="s">
        <v>422</v>
      </c>
      <c r="D232" s="23"/>
    </row>
    <row r="233" spans="1:4">
      <c r="A233" s="62"/>
      <c r="B233" s="62"/>
      <c r="C233" s="23" t="s">
        <v>423</v>
      </c>
      <c r="D233" s="23"/>
    </row>
    <row r="234" spans="1:4">
      <c r="A234" s="62"/>
      <c r="B234" s="62"/>
      <c r="C234" s="23" t="s">
        <v>424</v>
      </c>
      <c r="D234" s="23"/>
    </row>
    <row r="235" spans="1:4">
      <c r="A235" s="62"/>
      <c r="B235" s="62"/>
      <c r="C235" s="23" t="s">
        <v>425</v>
      </c>
      <c r="D235" s="23"/>
    </row>
    <row r="236" spans="1:4">
      <c r="A236" s="62"/>
      <c r="B236" s="62"/>
      <c r="C236" s="23" t="s">
        <v>426</v>
      </c>
      <c r="D236" s="23"/>
    </row>
    <row r="237" spans="1:4">
      <c r="A237" s="62"/>
      <c r="B237" s="62"/>
      <c r="C237" s="23" t="s">
        <v>427</v>
      </c>
      <c r="D237" s="23"/>
    </row>
    <row r="238" spans="1:4">
      <c r="A238" s="62"/>
      <c r="B238" s="62"/>
      <c r="C238" s="23" t="s">
        <v>428</v>
      </c>
      <c r="D238" s="23"/>
    </row>
    <row r="239" spans="1:4">
      <c r="A239" s="62"/>
      <c r="B239" s="62"/>
      <c r="C239" s="23" t="s">
        <v>429</v>
      </c>
      <c r="D239" s="23"/>
    </row>
    <row r="240" spans="1:4">
      <c r="A240" s="62"/>
      <c r="B240" s="62"/>
      <c r="C240" s="23" t="s">
        <v>430</v>
      </c>
      <c r="D240" s="23"/>
    </row>
    <row r="241" spans="1:4">
      <c r="A241" s="62"/>
      <c r="B241" s="62"/>
      <c r="C241" s="23" t="s">
        <v>431</v>
      </c>
      <c r="D241" s="23"/>
    </row>
    <row r="242" spans="1:4">
      <c r="A242" s="62"/>
      <c r="B242" s="62"/>
      <c r="C242" s="23" t="s">
        <v>432</v>
      </c>
      <c r="D242" s="23"/>
    </row>
    <row r="243" spans="1:4">
      <c r="A243" s="62"/>
      <c r="B243" s="62"/>
      <c r="C243" s="23" t="s">
        <v>433</v>
      </c>
      <c r="D243" s="23"/>
    </row>
    <row r="244" spans="1:4">
      <c r="A244" s="62"/>
      <c r="B244" s="62"/>
      <c r="C244" s="23" t="s">
        <v>434</v>
      </c>
      <c r="D244" s="23"/>
    </row>
    <row r="245" spans="1:4">
      <c r="A245" s="62"/>
      <c r="B245" s="62"/>
      <c r="C245" s="23" t="s">
        <v>435</v>
      </c>
      <c r="D245" s="23"/>
    </row>
    <row r="246" spans="1:4">
      <c r="A246" s="62"/>
      <c r="B246" s="62"/>
      <c r="C246" s="23" t="s">
        <v>436</v>
      </c>
      <c r="D246" s="23"/>
    </row>
    <row r="247" spans="1:4">
      <c r="A247" s="62"/>
      <c r="B247" s="62"/>
      <c r="C247" s="23" t="s">
        <v>437</v>
      </c>
      <c r="D247" s="23"/>
    </row>
    <row r="248" spans="1:4">
      <c r="A248" s="62"/>
      <c r="B248" s="62"/>
      <c r="C248" s="23" t="s">
        <v>438</v>
      </c>
      <c r="D248" s="23"/>
    </row>
    <row r="249" spans="1:4">
      <c r="A249" s="62"/>
      <c r="B249" s="62"/>
      <c r="C249" s="23" t="s">
        <v>439</v>
      </c>
      <c r="D249" s="23"/>
    </row>
    <row r="250" spans="1:4">
      <c r="A250" s="62"/>
      <c r="B250" s="62"/>
      <c r="C250" s="23" t="s">
        <v>440</v>
      </c>
      <c r="D250" s="23"/>
    </row>
    <row r="251" spans="1:4">
      <c r="A251" s="62"/>
      <c r="B251" s="62"/>
      <c r="C251" s="23" t="s">
        <v>441</v>
      </c>
      <c r="D251" s="23"/>
    </row>
    <row r="252" spans="1:4">
      <c r="A252" s="62"/>
      <c r="B252" s="62"/>
      <c r="C252" s="23" t="s">
        <v>268</v>
      </c>
      <c r="D252" s="23"/>
    </row>
    <row r="253" spans="1:4">
      <c r="A253" s="62"/>
      <c r="B253" s="62"/>
      <c r="C253" s="23" t="s">
        <v>442</v>
      </c>
      <c r="D253" s="23"/>
    </row>
    <row r="254" spans="1:4">
      <c r="A254" s="62"/>
      <c r="B254" s="62"/>
      <c r="C254" s="23" t="s">
        <v>443</v>
      </c>
      <c r="D254" s="23"/>
    </row>
    <row r="255" spans="1:4">
      <c r="A255" s="62"/>
      <c r="B255" s="62"/>
      <c r="C255" s="23" t="s">
        <v>444</v>
      </c>
      <c r="D255" s="23"/>
    </row>
    <row r="256" spans="1:4">
      <c r="A256" s="62"/>
      <c r="B256" s="62"/>
      <c r="C256" s="23" t="s">
        <v>445</v>
      </c>
      <c r="D256" s="23"/>
    </row>
    <row r="257" spans="1:5">
      <c r="A257" s="62"/>
      <c r="B257" s="62"/>
      <c r="C257" s="23" t="s">
        <v>446</v>
      </c>
      <c r="D257" s="23"/>
    </row>
    <row r="258" spans="1:5">
      <c r="A258" s="62"/>
      <c r="B258" s="62"/>
      <c r="C258" s="23" t="s">
        <v>447</v>
      </c>
      <c r="D258" s="23"/>
    </row>
    <row r="259" spans="1:5">
      <c r="A259" s="62"/>
      <c r="B259" s="62"/>
      <c r="C259" s="23" t="s">
        <v>448</v>
      </c>
      <c r="D259" s="23"/>
    </row>
    <row r="260" spans="1:5">
      <c r="A260" s="62"/>
      <c r="B260" s="62"/>
      <c r="C260" s="23" t="s">
        <v>449</v>
      </c>
      <c r="D260" s="23"/>
    </row>
    <row r="261" spans="1:5">
      <c r="A261" s="62"/>
      <c r="B261" s="62"/>
      <c r="C261" s="23" t="s">
        <v>450</v>
      </c>
      <c r="D261" s="23"/>
    </row>
    <row r="262" spans="1:5">
      <c r="A262" s="62"/>
      <c r="B262" s="62"/>
      <c r="C262" s="23" t="s">
        <v>451</v>
      </c>
      <c r="D262" s="23"/>
    </row>
    <row r="263" spans="1:5">
      <c r="A263" s="62"/>
      <c r="B263" s="62"/>
      <c r="C263" s="23" t="s">
        <v>452</v>
      </c>
      <c r="D263" s="23"/>
    </row>
    <row r="264" spans="1:5">
      <c r="A264" s="62"/>
      <c r="B264" s="62"/>
      <c r="C264" s="23" t="s">
        <v>453</v>
      </c>
      <c r="D264" s="23"/>
    </row>
    <row r="265" spans="1:5">
      <c r="A265" s="62"/>
      <c r="B265" s="62"/>
      <c r="C265" s="23" t="s">
        <v>454</v>
      </c>
      <c r="D265" s="23"/>
    </row>
    <row r="266" spans="1:5">
      <c r="A266" s="62"/>
      <c r="B266" s="62"/>
      <c r="C266" s="23" t="s">
        <v>455</v>
      </c>
      <c r="D266" s="23"/>
    </row>
    <row r="267" spans="1:5">
      <c r="A267" s="62"/>
      <c r="B267" s="62"/>
      <c r="C267" s="23" t="s">
        <v>456</v>
      </c>
      <c r="D267" s="23"/>
    </row>
    <row r="268" spans="1:5">
      <c r="A268" s="62"/>
      <c r="B268" s="62"/>
      <c r="C268" s="23" t="s">
        <v>457</v>
      </c>
      <c r="D268" s="23"/>
    </row>
    <row r="269" spans="1:5">
      <c r="A269" s="62"/>
      <c r="B269" s="62"/>
      <c r="C269" s="23" t="s">
        <v>458</v>
      </c>
      <c r="D269" s="23"/>
    </row>
    <row r="270" spans="1:5">
      <c r="A270" s="62"/>
      <c r="B270" s="62"/>
      <c r="C270" s="23" t="s">
        <v>459</v>
      </c>
      <c r="D270" s="23" t="s">
        <v>460</v>
      </c>
      <c r="E270" t="s">
        <v>169</v>
      </c>
    </row>
    <row r="271" spans="1:5">
      <c r="A271" s="62"/>
      <c r="B271" s="62"/>
      <c r="C271" s="23" t="s">
        <v>461</v>
      </c>
      <c r="D271" s="23" t="s">
        <v>462</v>
      </c>
      <c r="E271" t="s">
        <v>169</v>
      </c>
    </row>
    <row r="272" spans="1:5">
      <c r="A272" s="62"/>
      <c r="B272" s="62"/>
      <c r="C272" s="23" t="s">
        <v>463</v>
      </c>
      <c r="D272" s="23" t="s">
        <v>464</v>
      </c>
      <c r="E272" t="s">
        <v>169</v>
      </c>
    </row>
    <row r="273" spans="1:5">
      <c r="A273" s="62"/>
      <c r="B273" s="62"/>
      <c r="C273" s="23" t="s">
        <v>465</v>
      </c>
      <c r="D273" s="23"/>
    </row>
    <row r="274" spans="1:5">
      <c r="A274" s="62"/>
      <c r="B274" s="62"/>
      <c r="C274" s="23" t="s">
        <v>466</v>
      </c>
      <c r="D274" s="23" t="s">
        <v>467</v>
      </c>
      <c r="E274" t="s">
        <v>169</v>
      </c>
    </row>
    <row r="275" spans="1:5">
      <c r="A275" s="62"/>
      <c r="B275" s="62"/>
      <c r="C275" s="23" t="s">
        <v>468</v>
      </c>
      <c r="D275" s="23"/>
    </row>
    <row r="276" spans="1:5">
      <c r="A276" s="62"/>
      <c r="B276" s="62"/>
      <c r="C276" s="23" t="s">
        <v>469</v>
      </c>
      <c r="D276" s="23"/>
    </row>
    <row r="277" spans="1:5">
      <c r="A277" s="62"/>
      <c r="B277" s="62"/>
      <c r="C277" s="23" t="s">
        <v>470</v>
      </c>
      <c r="D277" s="23"/>
    </row>
    <row r="278" spans="1:5">
      <c r="A278" s="62"/>
      <c r="B278" s="62"/>
      <c r="C278" s="23" t="s">
        <v>471</v>
      </c>
      <c r="D278" s="23"/>
    </row>
    <row r="279" spans="1:5">
      <c r="A279" s="62"/>
      <c r="B279" s="62"/>
      <c r="C279" s="23" t="s">
        <v>472</v>
      </c>
      <c r="D279" s="23"/>
    </row>
    <row r="280" spans="1:5">
      <c r="A280" s="62"/>
      <c r="B280" s="62"/>
      <c r="C280" s="23" t="s">
        <v>473</v>
      </c>
      <c r="D280" s="23"/>
    </row>
    <row r="281" spans="1:5">
      <c r="A281" s="62"/>
      <c r="B281" s="62"/>
      <c r="C281" s="23" t="s">
        <v>474</v>
      </c>
      <c r="D281" s="23"/>
    </row>
    <row r="282" spans="1:5">
      <c r="A282" s="62"/>
      <c r="B282" s="62"/>
      <c r="C282" s="23" t="s">
        <v>475</v>
      </c>
      <c r="D282" s="23" t="s">
        <v>476</v>
      </c>
      <c r="E282" t="s">
        <v>169</v>
      </c>
    </row>
    <row r="283" spans="1:5">
      <c r="A283" s="62"/>
      <c r="B283" s="62"/>
      <c r="C283" s="23" t="s">
        <v>477</v>
      </c>
      <c r="D283" s="23"/>
    </row>
    <row r="284" spans="1:5">
      <c r="A284" s="62"/>
      <c r="B284" s="62"/>
      <c r="C284" s="23" t="s">
        <v>478</v>
      </c>
      <c r="D284" s="23" t="s">
        <v>479</v>
      </c>
      <c r="E284" t="s">
        <v>169</v>
      </c>
    </row>
    <row r="285" spans="1:5">
      <c r="A285" s="62"/>
      <c r="B285" s="62"/>
      <c r="C285" s="23" t="s">
        <v>480</v>
      </c>
      <c r="D285" s="23"/>
    </row>
    <row r="286" spans="1:5">
      <c r="A286" s="62"/>
      <c r="B286" s="62"/>
      <c r="C286" s="23" t="s">
        <v>481</v>
      </c>
      <c r="D286" s="23"/>
    </row>
    <row r="287" spans="1:5">
      <c r="A287" s="62"/>
      <c r="B287" s="62"/>
      <c r="C287" s="23" t="s">
        <v>482</v>
      </c>
      <c r="D287" s="23"/>
    </row>
    <row r="288" spans="1:5">
      <c r="A288" s="62"/>
      <c r="B288" s="62"/>
      <c r="C288" s="23" t="s">
        <v>483</v>
      </c>
      <c r="D288" s="23"/>
    </row>
    <row r="289" spans="1:5">
      <c r="A289" s="62"/>
      <c r="B289" s="62"/>
      <c r="C289" s="23" t="s">
        <v>484</v>
      </c>
      <c r="D289" s="23" t="s">
        <v>485</v>
      </c>
      <c r="E289" t="s">
        <v>169</v>
      </c>
    </row>
    <row r="290" spans="1:5">
      <c r="A290" s="62"/>
      <c r="B290" s="62"/>
      <c r="C290" s="23" t="s">
        <v>486</v>
      </c>
      <c r="D290" s="23"/>
    </row>
    <row r="291" spans="1:5">
      <c r="A291" s="62"/>
      <c r="B291" s="62"/>
      <c r="C291" s="23" t="s">
        <v>487</v>
      </c>
      <c r="D291" s="23"/>
    </row>
    <row r="292" spans="1:5">
      <c r="A292" s="62"/>
      <c r="B292" s="62"/>
      <c r="C292" s="23" t="s">
        <v>488</v>
      </c>
      <c r="D292" s="23"/>
    </row>
    <row r="293" spans="1:5">
      <c r="A293" s="62"/>
      <c r="B293" s="62"/>
      <c r="C293" s="23" t="s">
        <v>489</v>
      </c>
      <c r="D293" s="23"/>
    </row>
    <row r="294" spans="1:5">
      <c r="A294" s="62"/>
      <c r="B294" s="62"/>
      <c r="C294" s="23" t="s">
        <v>490</v>
      </c>
      <c r="D294" s="23"/>
    </row>
    <row r="295" spans="1:5">
      <c r="A295" s="62"/>
      <c r="B295" s="62"/>
      <c r="C295" s="23" t="s">
        <v>491</v>
      </c>
      <c r="D295" s="23"/>
    </row>
    <row r="296" spans="1:5">
      <c r="A296" s="62"/>
      <c r="B296" s="62"/>
      <c r="C296" s="23" t="s">
        <v>492</v>
      </c>
      <c r="D296" s="23"/>
    </row>
    <row r="297" spans="1:5">
      <c r="A297" s="62"/>
      <c r="B297" s="62"/>
      <c r="C297" s="23" t="s">
        <v>493</v>
      </c>
      <c r="D297" s="23" t="s">
        <v>494</v>
      </c>
      <c r="E297" t="s">
        <v>169</v>
      </c>
    </row>
    <row r="298" spans="1:5">
      <c r="A298" s="62"/>
      <c r="B298" s="62"/>
      <c r="C298" s="23" t="s">
        <v>495</v>
      </c>
      <c r="D298" s="23"/>
    </row>
    <row r="299" spans="1:5">
      <c r="A299" s="62"/>
      <c r="B299" s="62"/>
      <c r="C299" s="23" t="s">
        <v>496</v>
      </c>
      <c r="D299" s="23"/>
    </row>
    <row r="300" spans="1:5">
      <c r="A300" s="62"/>
      <c r="B300" s="62"/>
      <c r="C300" s="130" t="s">
        <v>497</v>
      </c>
      <c r="D300" s="23"/>
      <c r="E300" t="s">
        <v>169</v>
      </c>
    </row>
    <row r="301" spans="1:5">
      <c r="A301" s="62"/>
      <c r="B301" s="62"/>
      <c r="C301" s="23" t="s">
        <v>498</v>
      </c>
      <c r="D301" s="23"/>
    </row>
    <row r="302" spans="1:5">
      <c r="A302" s="62"/>
      <c r="B302" s="62"/>
      <c r="C302" s="23" t="s">
        <v>499</v>
      </c>
      <c r="D302" s="23"/>
    </row>
    <row r="303" spans="1:5">
      <c r="A303" s="62"/>
      <c r="B303" s="62"/>
      <c r="C303" s="23" t="s">
        <v>500</v>
      </c>
      <c r="D303" s="23"/>
    </row>
    <row r="304" spans="1:5">
      <c r="A304" s="62"/>
      <c r="B304" s="62"/>
      <c r="C304" s="23" t="s">
        <v>501</v>
      </c>
      <c r="D304" s="23"/>
    </row>
    <row r="305" spans="1:5">
      <c r="A305" s="62"/>
      <c r="B305" s="62"/>
      <c r="C305" s="23" t="s">
        <v>502</v>
      </c>
      <c r="D305" s="23"/>
    </row>
    <row r="306" spans="1:5">
      <c r="A306" s="62"/>
      <c r="B306" s="62"/>
      <c r="C306" s="23" t="s">
        <v>503</v>
      </c>
      <c r="D306" s="23"/>
    </row>
    <row r="307" spans="1:5">
      <c r="A307" s="62"/>
      <c r="B307" s="62"/>
      <c r="C307" s="23" t="s">
        <v>504</v>
      </c>
      <c r="D307" s="23"/>
    </row>
    <row r="308" spans="1:5">
      <c r="A308" s="62"/>
      <c r="B308" s="62"/>
      <c r="C308" s="23" t="s">
        <v>505</v>
      </c>
      <c r="D308" s="23"/>
    </row>
    <row r="309" spans="1:5">
      <c r="A309" s="62"/>
      <c r="B309" s="62"/>
      <c r="C309" s="23" t="s">
        <v>506</v>
      </c>
      <c r="D309" s="23"/>
    </row>
    <row r="310" spans="1:5">
      <c r="A310" s="62"/>
      <c r="B310" s="62"/>
      <c r="C310" s="130" t="s">
        <v>507</v>
      </c>
      <c r="D310" s="23"/>
      <c r="E310" t="s">
        <v>169</v>
      </c>
    </row>
    <row r="311" spans="1:5">
      <c r="A311" s="62"/>
      <c r="B311" s="62"/>
      <c r="C311" s="130" t="s">
        <v>508</v>
      </c>
      <c r="D311" s="23"/>
      <c r="E311" t="s">
        <v>169</v>
      </c>
    </row>
    <row r="312" spans="1:5">
      <c r="A312" s="62"/>
      <c r="B312" s="62"/>
      <c r="C312" s="130" t="s">
        <v>509</v>
      </c>
      <c r="D312" s="23"/>
      <c r="E312" t="s">
        <v>169</v>
      </c>
    </row>
    <row r="313" spans="1:5">
      <c r="A313" s="62"/>
      <c r="B313" s="62"/>
      <c r="C313" s="23" t="s">
        <v>510</v>
      </c>
      <c r="D313" s="23"/>
    </row>
    <row r="314" spans="1:5">
      <c r="A314" s="62"/>
      <c r="B314" s="62"/>
      <c r="C314" s="23" t="s">
        <v>511</v>
      </c>
      <c r="D314" s="23"/>
    </row>
    <row r="315" spans="1:5">
      <c r="A315" s="62"/>
      <c r="B315" s="62"/>
      <c r="C315" s="23" t="s">
        <v>512</v>
      </c>
      <c r="D315" s="23"/>
    </row>
    <row r="316" spans="1:5">
      <c r="A316" s="62"/>
      <c r="B316" s="62"/>
      <c r="C316" s="23" t="s">
        <v>513</v>
      </c>
      <c r="D316" s="23"/>
    </row>
    <row r="317" spans="1:5">
      <c r="A317" s="62"/>
      <c r="B317" s="62"/>
      <c r="C317" s="23" t="s">
        <v>514</v>
      </c>
      <c r="D317" s="23"/>
    </row>
    <row r="318" spans="1:5">
      <c r="A318" s="62"/>
      <c r="B318" s="62"/>
      <c r="C318" s="23" t="s">
        <v>515</v>
      </c>
      <c r="D318" s="125" t="s">
        <v>516</v>
      </c>
      <c r="E318" t="s">
        <v>169</v>
      </c>
    </row>
    <row r="319" spans="1:5">
      <c r="A319" s="62"/>
      <c r="B319" s="62"/>
      <c r="C319" s="23" t="s">
        <v>517</v>
      </c>
      <c r="D319" s="23"/>
    </row>
    <row r="320" spans="1:5">
      <c r="A320" s="62"/>
      <c r="B320" s="62"/>
      <c r="C320" s="23" t="s">
        <v>518</v>
      </c>
      <c r="D320" s="23"/>
    </row>
    <row r="321" spans="1:5">
      <c r="A321" s="62"/>
      <c r="B321" s="62"/>
      <c r="C321" s="23" t="s">
        <v>519</v>
      </c>
      <c r="D321" s="23"/>
    </row>
    <row r="322" spans="1:5">
      <c r="A322" s="62"/>
      <c r="B322" s="62"/>
      <c r="C322" s="23" t="s">
        <v>520</v>
      </c>
      <c r="D322" s="23"/>
    </row>
    <row r="323" spans="1:5">
      <c r="A323" s="62"/>
      <c r="B323" s="62"/>
      <c r="C323" s="23" t="s">
        <v>521</v>
      </c>
      <c r="D323" s="23"/>
    </row>
    <row r="324" spans="1:5">
      <c r="A324" s="62"/>
      <c r="B324" s="62"/>
      <c r="C324" s="23" t="s">
        <v>522</v>
      </c>
      <c r="D324" s="23"/>
    </row>
    <row r="325" spans="1:5">
      <c r="A325" s="62"/>
      <c r="B325" s="62"/>
      <c r="C325" s="23" t="s">
        <v>523</v>
      </c>
      <c r="D325" s="23"/>
    </row>
    <row r="326" spans="1:5">
      <c r="A326" s="62"/>
      <c r="B326" s="62"/>
      <c r="C326" s="23" t="s">
        <v>524</v>
      </c>
      <c r="D326" s="23"/>
    </row>
    <row r="327" spans="1:5">
      <c r="A327" s="62"/>
      <c r="B327" s="62"/>
      <c r="C327" s="23" t="s">
        <v>525</v>
      </c>
      <c r="D327" s="23"/>
    </row>
    <row r="328" spans="1:5">
      <c r="A328" s="79"/>
      <c r="B328" s="69" t="s">
        <v>526</v>
      </c>
      <c r="C328" s="55" t="s">
        <v>527</v>
      </c>
      <c r="D328" s="55"/>
      <c r="E328" t="s">
        <v>169</v>
      </c>
    </row>
    <row r="329" spans="1:5">
      <c r="A329" s="80"/>
      <c r="B329" s="70"/>
      <c r="C329" s="55" t="s">
        <v>528</v>
      </c>
      <c r="D329" s="55"/>
      <c r="E329" t="s">
        <v>169</v>
      </c>
    </row>
    <row r="330" spans="1:5">
      <c r="A330" s="80"/>
      <c r="B330" s="70"/>
      <c r="C330" s="127" t="s">
        <v>529</v>
      </c>
      <c r="D330" s="55"/>
      <c r="E330" t="s">
        <v>169</v>
      </c>
    </row>
    <row r="331" spans="1:5">
      <c r="A331" s="80"/>
      <c r="B331" s="70"/>
      <c r="C331" s="126" t="s">
        <v>530</v>
      </c>
      <c r="D331" s="55"/>
      <c r="E331" t="s">
        <v>169</v>
      </c>
    </row>
    <row r="332" spans="1:5">
      <c r="A332" s="80"/>
      <c r="B332" s="70"/>
      <c r="C332" s="126" t="s">
        <v>531</v>
      </c>
      <c r="D332" s="55"/>
      <c r="E332" t="s">
        <v>169</v>
      </c>
    </row>
    <row r="333" spans="1:5">
      <c r="A333" s="80"/>
      <c r="B333" s="70"/>
      <c r="C333" s="126" t="s">
        <v>532</v>
      </c>
      <c r="D333" s="55"/>
      <c r="E333" t="s">
        <v>169</v>
      </c>
    </row>
    <row r="334" spans="1:5">
      <c r="A334" s="80"/>
      <c r="B334" s="70"/>
      <c r="C334" s="126" t="s">
        <v>533</v>
      </c>
      <c r="D334" s="55"/>
      <c r="E334" t="s">
        <v>169</v>
      </c>
    </row>
    <row r="335" spans="1:5">
      <c r="A335" s="80"/>
      <c r="B335" s="70"/>
      <c r="C335" s="55" t="s">
        <v>534</v>
      </c>
      <c r="D335" s="55"/>
      <c r="E335" t="s">
        <v>169</v>
      </c>
    </row>
    <row r="336" spans="1:5">
      <c r="A336" s="80"/>
      <c r="B336" s="70"/>
      <c r="C336" s="55" t="s">
        <v>535</v>
      </c>
      <c r="D336" s="55"/>
      <c r="E336" t="s">
        <v>169</v>
      </c>
    </row>
    <row r="337" spans="1:5">
      <c r="A337" s="80"/>
      <c r="B337" s="70"/>
      <c r="C337" s="55" t="s">
        <v>536</v>
      </c>
      <c r="D337" s="55"/>
      <c r="E337" t="s">
        <v>169</v>
      </c>
    </row>
    <row r="338" spans="1:5">
      <c r="A338" s="80"/>
      <c r="B338" s="70"/>
      <c r="C338" s="55" t="s">
        <v>537</v>
      </c>
      <c r="D338" s="55"/>
      <c r="E338" t="s">
        <v>169</v>
      </c>
    </row>
    <row r="339" spans="1:5">
      <c r="A339" s="80"/>
      <c r="B339" s="70"/>
      <c r="C339" s="55" t="s">
        <v>538</v>
      </c>
      <c r="D339" s="55"/>
      <c r="E339" t="s">
        <v>169</v>
      </c>
    </row>
    <row r="340" spans="1:5">
      <c r="A340" s="80"/>
      <c r="B340" s="70"/>
      <c r="C340" s="55" t="s">
        <v>539</v>
      </c>
      <c r="D340" s="55"/>
      <c r="E340" t="s">
        <v>169</v>
      </c>
    </row>
    <row r="341" spans="1:5">
      <c r="A341" s="80"/>
      <c r="B341" s="70"/>
      <c r="C341" s="55" t="s">
        <v>540</v>
      </c>
      <c r="D341" s="55"/>
      <c r="E341" t="s">
        <v>169</v>
      </c>
    </row>
    <row r="342" spans="1:5">
      <c r="A342" s="80"/>
      <c r="B342" s="70"/>
      <c r="C342" s="55" t="s">
        <v>541</v>
      </c>
      <c r="D342" s="55"/>
      <c r="E342" t="s">
        <v>169</v>
      </c>
    </row>
    <row r="343" spans="1:5">
      <c r="A343" s="80"/>
      <c r="B343" s="70"/>
      <c r="C343" s="55" t="s">
        <v>542</v>
      </c>
      <c r="D343" s="55"/>
      <c r="E343" t="s">
        <v>169</v>
      </c>
    </row>
    <row r="344" spans="1:5">
      <c r="A344" s="80"/>
      <c r="B344" s="70"/>
      <c r="C344" s="55" t="s">
        <v>543</v>
      </c>
      <c r="D344" s="55"/>
      <c r="E344" t="s">
        <v>169</v>
      </c>
    </row>
    <row r="345" spans="1:5">
      <c r="A345" s="80"/>
      <c r="B345" s="70"/>
      <c r="C345" s="55" t="s">
        <v>544</v>
      </c>
      <c r="D345" s="55"/>
      <c r="E345" t="s">
        <v>169</v>
      </c>
    </row>
    <row r="346" spans="1:5">
      <c r="A346" s="80"/>
      <c r="B346" s="70"/>
      <c r="C346" s="55" t="s">
        <v>545</v>
      </c>
      <c r="D346" s="55"/>
      <c r="E346" t="s">
        <v>169</v>
      </c>
    </row>
    <row r="347" spans="1:5">
      <c r="A347" s="80"/>
      <c r="B347" s="70"/>
      <c r="C347" s="55" t="s">
        <v>546</v>
      </c>
      <c r="D347" s="55"/>
      <c r="E347" t="s">
        <v>169</v>
      </c>
    </row>
    <row r="348" spans="1:5">
      <c r="A348" s="80"/>
      <c r="B348" s="70"/>
      <c r="C348" s="55" t="s">
        <v>547</v>
      </c>
      <c r="D348" s="55"/>
      <c r="E348" t="s">
        <v>169</v>
      </c>
    </row>
    <row r="349" spans="1:5">
      <c r="A349" s="80"/>
      <c r="B349" s="70"/>
      <c r="C349" s="55" t="s">
        <v>548</v>
      </c>
      <c r="D349" s="55"/>
      <c r="E349" t="s">
        <v>169</v>
      </c>
    </row>
    <row r="350" spans="1:5">
      <c r="A350" s="80"/>
      <c r="B350" s="70"/>
      <c r="C350" s="55" t="s">
        <v>549</v>
      </c>
      <c r="D350" s="55"/>
      <c r="E350" t="s">
        <v>169</v>
      </c>
    </row>
    <row r="351" spans="1:5">
      <c r="A351" s="80"/>
      <c r="B351" s="70"/>
      <c r="C351" s="55" t="s">
        <v>550</v>
      </c>
      <c r="D351" s="55"/>
      <c r="E351" t="s">
        <v>169</v>
      </c>
    </row>
    <row r="352" spans="1:5">
      <c r="A352" s="80"/>
      <c r="B352" s="70"/>
      <c r="C352" s="55" t="s">
        <v>551</v>
      </c>
      <c r="D352" s="55"/>
      <c r="E352" t="s">
        <v>169</v>
      </c>
    </row>
    <row r="353" spans="1:5">
      <c r="A353" s="80"/>
      <c r="B353" s="70"/>
      <c r="C353" s="55" t="s">
        <v>552</v>
      </c>
      <c r="D353" s="55"/>
      <c r="E353" t="s">
        <v>169</v>
      </c>
    </row>
    <row r="354" spans="1:5">
      <c r="A354" s="80"/>
      <c r="B354" s="70"/>
      <c r="C354" s="55" t="s">
        <v>553</v>
      </c>
      <c r="D354" s="55"/>
      <c r="E354" t="s">
        <v>169</v>
      </c>
    </row>
    <row r="355" spans="1:5">
      <c r="A355" s="80"/>
      <c r="B355" s="70"/>
      <c r="C355" s="55" t="s">
        <v>554</v>
      </c>
      <c r="D355" s="55"/>
      <c r="E355" t="s">
        <v>169</v>
      </c>
    </row>
    <row r="356" spans="1:5">
      <c r="A356" s="80"/>
      <c r="B356" s="70"/>
      <c r="C356" s="55" t="s">
        <v>555</v>
      </c>
      <c r="D356" s="55"/>
      <c r="E356" t="s">
        <v>169</v>
      </c>
    </row>
    <row r="357" spans="1:5">
      <c r="A357" s="80"/>
      <c r="B357" s="70"/>
      <c r="C357" s="55" t="s">
        <v>556</v>
      </c>
      <c r="D357" s="55"/>
      <c r="E357" t="s">
        <v>169</v>
      </c>
    </row>
    <row r="358" spans="1:5">
      <c r="A358" s="80"/>
      <c r="B358" s="70"/>
      <c r="C358" s="55" t="s">
        <v>557</v>
      </c>
      <c r="D358" s="55"/>
      <c r="E358" t="s">
        <v>169</v>
      </c>
    </row>
    <row r="359" spans="1:5">
      <c r="A359" s="80"/>
      <c r="B359" s="70"/>
      <c r="C359" s="55" t="s">
        <v>558</v>
      </c>
      <c r="D359" s="55"/>
      <c r="E359" t="s">
        <v>169</v>
      </c>
    </row>
    <row r="360" spans="1:5">
      <c r="A360" s="80"/>
      <c r="B360" s="70"/>
      <c r="C360" s="55" t="s">
        <v>559</v>
      </c>
      <c r="D360" s="55"/>
      <c r="E360" t="s">
        <v>169</v>
      </c>
    </row>
    <row r="361" spans="1:5">
      <c r="A361" s="80"/>
      <c r="B361" s="70"/>
      <c r="C361" s="55" t="s">
        <v>560</v>
      </c>
      <c r="D361" s="55"/>
      <c r="E361" t="s">
        <v>169</v>
      </c>
    </row>
    <row r="362" spans="1:5">
      <c r="A362" s="80"/>
      <c r="B362" s="70"/>
      <c r="C362" s="55" t="s">
        <v>561</v>
      </c>
      <c r="D362" s="55"/>
      <c r="E362" t="s">
        <v>169</v>
      </c>
    </row>
    <row r="363" spans="1:5">
      <c r="A363" s="80"/>
      <c r="B363" s="70"/>
      <c r="C363" s="55" t="s">
        <v>562</v>
      </c>
      <c r="D363" s="55"/>
      <c r="E363" t="s">
        <v>169</v>
      </c>
    </row>
    <row r="364" spans="1:5">
      <c r="A364" s="80"/>
      <c r="B364" s="70"/>
      <c r="C364" s="55" t="s">
        <v>563</v>
      </c>
      <c r="D364" s="55"/>
      <c r="E364" t="s">
        <v>169</v>
      </c>
    </row>
    <row r="365" spans="1:5">
      <c r="A365" s="80"/>
      <c r="B365" s="70"/>
      <c r="C365" s="55" t="s">
        <v>564</v>
      </c>
      <c r="D365" s="55"/>
      <c r="E365" t="s">
        <v>169</v>
      </c>
    </row>
    <row r="366" spans="1:5">
      <c r="A366" s="80"/>
      <c r="B366" s="70"/>
      <c r="C366" s="55" t="s">
        <v>565</v>
      </c>
      <c r="D366" s="55"/>
      <c r="E366" t="s">
        <v>169</v>
      </c>
    </row>
    <row r="367" spans="1:5">
      <c r="A367" s="80"/>
      <c r="B367" s="70"/>
      <c r="C367" s="55" t="s">
        <v>566</v>
      </c>
      <c r="D367" s="55"/>
      <c r="E367" t="s">
        <v>169</v>
      </c>
    </row>
    <row r="368" spans="1:5">
      <c r="A368" s="80"/>
      <c r="B368" s="70"/>
      <c r="C368" s="55" t="s">
        <v>567</v>
      </c>
      <c r="D368" s="55"/>
      <c r="E368" t="s">
        <v>169</v>
      </c>
    </row>
    <row r="369" spans="1:5">
      <c r="A369" s="80"/>
      <c r="B369" s="70"/>
      <c r="C369" s="55" t="s">
        <v>568</v>
      </c>
      <c r="D369" s="55"/>
      <c r="E369" t="s">
        <v>169</v>
      </c>
    </row>
    <row r="370" spans="1:5">
      <c r="A370" s="80"/>
      <c r="B370" s="70"/>
      <c r="C370" s="55" t="s">
        <v>569</v>
      </c>
      <c r="D370" s="55"/>
      <c r="E370" t="s">
        <v>169</v>
      </c>
    </row>
    <row r="371" spans="1:5">
      <c r="A371" s="80"/>
      <c r="B371" s="70"/>
      <c r="C371" s="55" t="s">
        <v>570</v>
      </c>
      <c r="D371" s="55"/>
      <c r="E371" t="s">
        <v>169</v>
      </c>
    </row>
    <row r="372" spans="1:5">
      <c r="A372" s="80"/>
      <c r="B372" s="70"/>
      <c r="C372" s="55" t="s">
        <v>571</v>
      </c>
      <c r="D372" s="55"/>
      <c r="E372" t="s">
        <v>169</v>
      </c>
    </row>
    <row r="373" spans="1:5">
      <c r="A373" s="80"/>
      <c r="B373" s="70"/>
      <c r="C373" s="55" t="s">
        <v>572</v>
      </c>
      <c r="D373" s="55"/>
      <c r="E373" t="s">
        <v>169</v>
      </c>
    </row>
    <row r="374" spans="1:5">
      <c r="A374" s="80"/>
      <c r="B374" s="70"/>
      <c r="C374" s="55" t="s">
        <v>573</v>
      </c>
      <c r="D374" s="55"/>
      <c r="E374" t="s">
        <v>169</v>
      </c>
    </row>
    <row r="375" spans="1:5">
      <c r="A375" s="80"/>
      <c r="B375" s="70"/>
      <c r="C375" s="55" t="s">
        <v>574</v>
      </c>
      <c r="D375" s="55"/>
      <c r="E375" t="s">
        <v>169</v>
      </c>
    </row>
    <row r="376" spans="1:5">
      <c r="A376" s="80"/>
      <c r="B376" s="70"/>
      <c r="C376" s="55" t="s">
        <v>575</v>
      </c>
      <c r="D376" s="55"/>
      <c r="E376" t="s">
        <v>169</v>
      </c>
    </row>
    <row r="377" spans="1:5">
      <c r="A377" s="80"/>
      <c r="B377" s="70"/>
      <c r="C377" s="55" t="s">
        <v>576</v>
      </c>
      <c r="D377" s="55"/>
      <c r="E377" t="s">
        <v>169</v>
      </c>
    </row>
    <row r="378" spans="1:5">
      <c r="A378" s="80"/>
      <c r="B378" s="70"/>
      <c r="C378" s="55" t="s">
        <v>577</v>
      </c>
      <c r="D378" s="55"/>
      <c r="E378" t="s">
        <v>169</v>
      </c>
    </row>
    <row r="379" spans="1:5">
      <c r="A379" s="80"/>
      <c r="B379" s="70"/>
      <c r="C379" s="55" t="s">
        <v>578</v>
      </c>
      <c r="D379" s="55"/>
      <c r="E379" t="s">
        <v>169</v>
      </c>
    </row>
    <row r="380" spans="1:5">
      <c r="A380" s="80"/>
      <c r="B380" s="70"/>
      <c r="C380" s="55" t="s">
        <v>579</v>
      </c>
      <c r="D380" s="55"/>
      <c r="E380" t="s">
        <v>169</v>
      </c>
    </row>
    <row r="381" spans="1:5">
      <c r="A381" s="80"/>
      <c r="B381" s="70"/>
      <c r="C381" s="55" t="s">
        <v>580</v>
      </c>
      <c r="D381" s="55"/>
      <c r="E381" t="s">
        <v>169</v>
      </c>
    </row>
    <row r="382" spans="1:5">
      <c r="A382" s="80"/>
      <c r="B382" s="70"/>
      <c r="C382" s="55" t="s">
        <v>581</v>
      </c>
      <c r="D382" s="55"/>
      <c r="E382" t="s">
        <v>169</v>
      </c>
    </row>
    <row r="383" spans="1:5">
      <c r="A383" s="80"/>
      <c r="B383" s="70"/>
      <c r="C383" s="55" t="s">
        <v>582</v>
      </c>
      <c r="D383" s="55"/>
      <c r="E383" t="s">
        <v>169</v>
      </c>
    </row>
    <row r="384" spans="1:5">
      <c r="A384" s="80"/>
      <c r="B384" s="70"/>
      <c r="C384" s="55" t="s">
        <v>583</v>
      </c>
      <c r="D384" s="55"/>
      <c r="E384" t="s">
        <v>169</v>
      </c>
    </row>
    <row r="385" spans="1:5">
      <c r="A385" s="80"/>
      <c r="B385" s="70"/>
      <c r="C385" s="55" t="s">
        <v>584</v>
      </c>
      <c r="D385" s="55"/>
      <c r="E385" t="s">
        <v>169</v>
      </c>
    </row>
    <row r="386" spans="1:5">
      <c r="A386" s="80"/>
      <c r="B386" s="70"/>
      <c r="C386" s="55" t="s">
        <v>585</v>
      </c>
      <c r="D386" s="55"/>
      <c r="E386" t="s">
        <v>169</v>
      </c>
    </row>
    <row r="387" spans="1:5">
      <c r="A387" s="80"/>
      <c r="B387" s="70"/>
      <c r="C387" s="55" t="s">
        <v>586</v>
      </c>
      <c r="D387" s="55"/>
      <c r="E387" t="s">
        <v>169</v>
      </c>
    </row>
    <row r="388" spans="1:5">
      <c r="A388" s="80"/>
      <c r="B388" s="70"/>
      <c r="C388" s="55" t="s">
        <v>587</v>
      </c>
      <c r="D388" s="55"/>
      <c r="E388" t="s">
        <v>169</v>
      </c>
    </row>
    <row r="389" spans="1:5">
      <c r="A389" s="80"/>
      <c r="B389" s="70"/>
      <c r="C389" s="55" t="s">
        <v>588</v>
      </c>
      <c r="D389" s="55"/>
      <c r="E389" t="s">
        <v>169</v>
      </c>
    </row>
    <row r="390" spans="1:5">
      <c r="A390" s="80"/>
      <c r="B390" s="70"/>
      <c r="C390" s="55" t="s">
        <v>589</v>
      </c>
      <c r="D390" s="55"/>
      <c r="E390" t="s">
        <v>169</v>
      </c>
    </row>
    <row r="391" spans="1:5">
      <c r="A391" s="80"/>
      <c r="B391" s="70"/>
      <c r="C391" s="55" t="s">
        <v>590</v>
      </c>
      <c r="D391" s="55"/>
      <c r="E391" t="s">
        <v>169</v>
      </c>
    </row>
    <row r="392" spans="1:5">
      <c r="A392" s="80"/>
      <c r="B392" s="70"/>
      <c r="C392" s="55" t="s">
        <v>591</v>
      </c>
      <c r="D392" s="55"/>
      <c r="E392" t="s">
        <v>169</v>
      </c>
    </row>
    <row r="393" spans="1:5">
      <c r="A393" s="80"/>
      <c r="B393" s="70"/>
      <c r="C393" s="55" t="s">
        <v>592</v>
      </c>
      <c r="D393" s="55"/>
      <c r="E393" t="s">
        <v>169</v>
      </c>
    </row>
    <row r="394" spans="1:5">
      <c r="A394" s="80"/>
      <c r="B394" s="70"/>
      <c r="C394" s="55" t="s">
        <v>593</v>
      </c>
      <c r="D394" s="55"/>
      <c r="E394" t="s">
        <v>169</v>
      </c>
    </row>
    <row r="395" spans="1:5">
      <c r="A395" s="80"/>
      <c r="B395" s="70"/>
      <c r="C395" s="55" t="s">
        <v>594</v>
      </c>
      <c r="D395" s="55"/>
      <c r="E395" t="s">
        <v>169</v>
      </c>
    </row>
    <row r="396" spans="1:5">
      <c r="A396" s="80"/>
      <c r="B396" s="70"/>
      <c r="C396" s="55" t="s">
        <v>595</v>
      </c>
      <c r="D396" s="55"/>
      <c r="E396" t="s">
        <v>169</v>
      </c>
    </row>
    <row r="397" spans="1:5">
      <c r="A397" s="80"/>
      <c r="B397" s="70"/>
      <c r="C397" s="55" t="s">
        <v>596</v>
      </c>
      <c r="D397" s="55"/>
      <c r="E397" t="s">
        <v>169</v>
      </c>
    </row>
    <row r="398" spans="1:5">
      <c r="A398" s="80"/>
      <c r="B398" s="70"/>
      <c r="C398" s="55" t="s">
        <v>597</v>
      </c>
      <c r="D398" s="55"/>
      <c r="E398" t="s">
        <v>169</v>
      </c>
    </row>
    <row r="399" spans="1:5">
      <c r="A399" s="80"/>
      <c r="B399" s="70"/>
      <c r="C399" s="55" t="s">
        <v>598</v>
      </c>
      <c r="D399" s="55"/>
      <c r="E399" t="s">
        <v>169</v>
      </c>
    </row>
    <row r="400" spans="1:5">
      <c r="A400" s="80"/>
      <c r="B400" s="70"/>
      <c r="C400" s="55" t="s">
        <v>599</v>
      </c>
      <c r="D400" s="55"/>
      <c r="E400" t="s">
        <v>169</v>
      </c>
    </row>
    <row r="401" spans="1:5">
      <c r="A401" s="80"/>
      <c r="B401" s="70"/>
      <c r="C401" s="55" t="s">
        <v>600</v>
      </c>
      <c r="D401" s="55"/>
      <c r="E401" t="s">
        <v>169</v>
      </c>
    </row>
    <row r="402" spans="1:5">
      <c r="A402" s="80"/>
      <c r="B402" s="70"/>
      <c r="C402" s="55" t="s">
        <v>601</v>
      </c>
      <c r="D402" s="55"/>
      <c r="E402" t="s">
        <v>169</v>
      </c>
    </row>
    <row r="403" spans="1:5">
      <c r="A403" s="80"/>
      <c r="B403" s="70"/>
      <c r="C403" s="55" t="s">
        <v>602</v>
      </c>
      <c r="D403" s="55"/>
      <c r="E403" t="s">
        <v>169</v>
      </c>
    </row>
    <row r="404" spans="1:5">
      <c r="A404" s="80"/>
      <c r="B404" s="70"/>
      <c r="C404" s="55" t="s">
        <v>603</v>
      </c>
      <c r="D404" s="55"/>
      <c r="E404" t="s">
        <v>169</v>
      </c>
    </row>
    <row r="405" spans="1:5">
      <c r="A405" s="80"/>
      <c r="B405" s="70"/>
      <c r="C405" s="55" t="s">
        <v>604</v>
      </c>
      <c r="D405" s="55"/>
      <c r="E405" t="s">
        <v>169</v>
      </c>
    </row>
    <row r="406" spans="1:5">
      <c r="A406" s="80"/>
      <c r="B406" s="70"/>
      <c r="C406" s="55" t="s">
        <v>605</v>
      </c>
      <c r="D406" s="55"/>
      <c r="E406" t="s">
        <v>169</v>
      </c>
    </row>
    <row r="407" spans="1:5">
      <c r="A407" s="80"/>
      <c r="B407" s="70"/>
      <c r="C407" s="55" t="s">
        <v>606</v>
      </c>
      <c r="D407" s="55"/>
      <c r="E407" t="s">
        <v>169</v>
      </c>
    </row>
    <row r="408" spans="1:5">
      <c r="A408" s="80"/>
      <c r="B408" s="70"/>
      <c r="C408" s="55" t="s">
        <v>607</v>
      </c>
      <c r="D408" s="55"/>
      <c r="E408" t="s">
        <v>169</v>
      </c>
    </row>
    <row r="409" spans="1:5">
      <c r="A409" s="80"/>
      <c r="B409" s="70"/>
      <c r="C409" s="55" t="s">
        <v>608</v>
      </c>
      <c r="D409" s="55"/>
      <c r="E409" t="s">
        <v>169</v>
      </c>
    </row>
    <row r="410" spans="1:5">
      <c r="A410" s="80"/>
      <c r="B410" s="70"/>
      <c r="C410" s="55" t="s">
        <v>609</v>
      </c>
      <c r="D410" s="55"/>
      <c r="E410" t="s">
        <v>169</v>
      </c>
    </row>
    <row r="411" spans="1:5">
      <c r="A411" s="80"/>
      <c r="B411" s="70"/>
      <c r="C411" s="55" t="s">
        <v>610</v>
      </c>
      <c r="D411" s="55"/>
      <c r="E411" t="s">
        <v>169</v>
      </c>
    </row>
    <row r="412" spans="1:5">
      <c r="A412" s="80"/>
      <c r="B412" s="70"/>
      <c r="C412" s="55" t="s">
        <v>611</v>
      </c>
      <c r="D412" s="55"/>
      <c r="E412" t="s">
        <v>169</v>
      </c>
    </row>
    <row r="413" spans="1:5">
      <c r="A413" s="80"/>
      <c r="B413" s="70"/>
      <c r="C413" s="55" t="s">
        <v>612</v>
      </c>
      <c r="D413" s="55"/>
      <c r="E413" t="s">
        <v>169</v>
      </c>
    </row>
    <row r="414" spans="1:5">
      <c r="A414" s="80"/>
      <c r="B414" s="70"/>
      <c r="C414" s="55" t="s">
        <v>613</v>
      </c>
      <c r="D414" s="55"/>
      <c r="E414" t="s">
        <v>169</v>
      </c>
    </row>
    <row r="415" spans="1:5">
      <c r="A415" s="80"/>
      <c r="B415" s="70"/>
      <c r="C415" s="55" t="s">
        <v>614</v>
      </c>
      <c r="D415" s="55"/>
      <c r="E415" t="s">
        <v>169</v>
      </c>
    </row>
    <row r="416" spans="1:5">
      <c r="A416" s="80"/>
      <c r="B416" s="70"/>
      <c r="C416" s="55" t="s">
        <v>615</v>
      </c>
      <c r="D416" s="55"/>
      <c r="E416" t="s">
        <v>169</v>
      </c>
    </row>
    <row r="417" spans="1:5">
      <c r="A417" s="80"/>
      <c r="B417" s="70"/>
      <c r="C417" s="55" t="s">
        <v>616</v>
      </c>
      <c r="D417" s="55"/>
      <c r="E417" t="s">
        <v>169</v>
      </c>
    </row>
    <row r="418" spans="1:5">
      <c r="A418" s="80"/>
      <c r="B418" s="70"/>
      <c r="C418" s="55" t="s">
        <v>617</v>
      </c>
      <c r="D418" s="55"/>
      <c r="E418" t="s">
        <v>169</v>
      </c>
    </row>
    <row r="419" spans="1:5">
      <c r="A419" s="80"/>
      <c r="B419" s="70"/>
      <c r="C419" s="55" t="s">
        <v>618</v>
      </c>
      <c r="D419" s="55"/>
      <c r="E419" t="s">
        <v>169</v>
      </c>
    </row>
    <row r="420" spans="1:5">
      <c r="A420" s="80"/>
      <c r="B420" s="70"/>
      <c r="C420" s="55" t="s">
        <v>619</v>
      </c>
      <c r="D420" s="55"/>
      <c r="E420" t="s">
        <v>169</v>
      </c>
    </row>
    <row r="421" spans="1:5">
      <c r="A421" s="80"/>
      <c r="B421" s="70"/>
      <c r="C421" s="55" t="s">
        <v>620</v>
      </c>
      <c r="D421" s="55"/>
      <c r="E421" t="s">
        <v>169</v>
      </c>
    </row>
    <row r="422" spans="1:5">
      <c r="A422" s="80"/>
      <c r="B422" s="70"/>
      <c r="C422" s="55" t="s">
        <v>621</v>
      </c>
      <c r="D422" s="55"/>
      <c r="E422" t="s">
        <v>169</v>
      </c>
    </row>
    <row r="423" spans="1:5">
      <c r="A423" s="80"/>
      <c r="B423" s="70"/>
      <c r="C423" s="55" t="s">
        <v>622</v>
      </c>
      <c r="D423" s="55"/>
      <c r="E423" t="s">
        <v>169</v>
      </c>
    </row>
    <row r="424" spans="1:5">
      <c r="A424" s="80"/>
      <c r="B424" s="70"/>
      <c r="C424" s="55" t="s">
        <v>623</v>
      </c>
      <c r="D424" s="55"/>
      <c r="E424" t="s">
        <v>169</v>
      </c>
    </row>
    <row r="425" spans="1:5">
      <c r="A425" s="80"/>
      <c r="B425" s="70"/>
      <c r="C425" s="55" t="s">
        <v>624</v>
      </c>
      <c r="D425" s="55"/>
      <c r="E425" t="s">
        <v>169</v>
      </c>
    </row>
    <row r="426" spans="1:5">
      <c r="A426" s="80"/>
      <c r="B426" s="70"/>
      <c r="C426" s="55" t="s">
        <v>625</v>
      </c>
      <c r="D426" s="55"/>
      <c r="E426" t="s">
        <v>169</v>
      </c>
    </row>
    <row r="427" spans="1:5">
      <c r="A427" s="80"/>
      <c r="B427" s="70"/>
      <c r="C427" s="55" t="s">
        <v>626</v>
      </c>
      <c r="D427" s="55"/>
      <c r="E427" t="s">
        <v>169</v>
      </c>
    </row>
    <row r="428" spans="1:5">
      <c r="A428" s="80"/>
      <c r="B428" s="70"/>
      <c r="C428" s="55" t="s">
        <v>627</v>
      </c>
      <c r="D428" s="55"/>
      <c r="E428" t="s">
        <v>169</v>
      </c>
    </row>
    <row r="429" spans="1:5">
      <c r="A429" s="80"/>
      <c r="B429" s="70"/>
      <c r="C429" s="55" t="s">
        <v>628</v>
      </c>
      <c r="D429" s="55"/>
      <c r="E429" t="s">
        <v>169</v>
      </c>
    </row>
    <row r="430" spans="1:5">
      <c r="A430" s="80"/>
      <c r="B430" s="70"/>
      <c r="C430" s="55" t="s">
        <v>629</v>
      </c>
      <c r="D430" s="55"/>
      <c r="E430" t="s">
        <v>169</v>
      </c>
    </row>
    <row r="431" spans="1:5">
      <c r="A431" s="80"/>
      <c r="B431" s="70"/>
      <c r="C431" s="55" t="s">
        <v>630</v>
      </c>
      <c r="D431" s="55"/>
      <c r="E431" t="s">
        <v>169</v>
      </c>
    </row>
    <row r="432" spans="1:5">
      <c r="A432" s="80"/>
      <c r="B432" s="70"/>
      <c r="C432" s="55" t="s">
        <v>631</v>
      </c>
      <c r="D432" s="55"/>
      <c r="E432" t="s">
        <v>169</v>
      </c>
    </row>
    <row r="433" spans="1:5">
      <c r="A433" s="80"/>
      <c r="B433" s="70"/>
      <c r="C433" s="55" t="s">
        <v>632</v>
      </c>
      <c r="D433" s="55"/>
      <c r="E433" t="s">
        <v>169</v>
      </c>
    </row>
    <row r="434" spans="1:5">
      <c r="A434" s="80"/>
      <c r="B434" s="70"/>
      <c r="C434" s="55" t="s">
        <v>633</v>
      </c>
      <c r="D434" s="55"/>
      <c r="E434" t="s">
        <v>169</v>
      </c>
    </row>
    <row r="435" spans="1:5">
      <c r="A435" s="80"/>
      <c r="B435" s="70"/>
      <c r="C435" s="55" t="s">
        <v>634</v>
      </c>
      <c r="D435" s="55"/>
      <c r="E435" t="s">
        <v>169</v>
      </c>
    </row>
    <row r="436" spans="1:5">
      <c r="A436" s="80"/>
      <c r="B436" s="70"/>
      <c r="C436" s="55" t="s">
        <v>635</v>
      </c>
      <c r="D436" s="55"/>
      <c r="E436" t="s">
        <v>169</v>
      </c>
    </row>
    <row r="437" spans="1:5">
      <c r="A437" s="80"/>
      <c r="B437" s="70"/>
      <c r="C437" s="55" t="s">
        <v>636</v>
      </c>
      <c r="D437" s="55"/>
      <c r="E437" t="s">
        <v>169</v>
      </c>
    </row>
    <row r="438" spans="1:5">
      <c r="A438" s="80"/>
      <c r="B438" s="70"/>
      <c r="C438" s="55" t="s">
        <v>637</v>
      </c>
      <c r="D438" s="55"/>
      <c r="E438" t="s">
        <v>169</v>
      </c>
    </row>
    <row r="439" spans="1:5">
      <c r="A439" s="80"/>
      <c r="B439" s="70"/>
      <c r="C439" s="55" t="s">
        <v>638</v>
      </c>
      <c r="D439" s="55"/>
      <c r="E439" t="s">
        <v>169</v>
      </c>
    </row>
    <row r="440" spans="1:5">
      <c r="A440" s="80"/>
      <c r="B440" s="70"/>
      <c r="C440" s="55" t="s">
        <v>639</v>
      </c>
      <c r="D440" s="55"/>
      <c r="E440" t="s">
        <v>169</v>
      </c>
    </row>
    <row r="441" spans="1:5">
      <c r="A441" s="80"/>
      <c r="B441" s="70"/>
      <c r="C441" s="55" t="s">
        <v>640</v>
      </c>
      <c r="D441" s="55"/>
      <c r="E441" t="s">
        <v>169</v>
      </c>
    </row>
    <row r="442" spans="1:5">
      <c r="A442" s="80"/>
      <c r="B442" s="70"/>
      <c r="C442" s="55" t="s">
        <v>641</v>
      </c>
      <c r="D442" s="55"/>
      <c r="E442" t="s">
        <v>169</v>
      </c>
    </row>
    <row r="443" spans="1:5">
      <c r="A443" s="80"/>
      <c r="B443" s="70"/>
      <c r="C443" s="55" t="s">
        <v>642</v>
      </c>
      <c r="D443" s="55"/>
      <c r="E443" t="s">
        <v>169</v>
      </c>
    </row>
    <row r="444" spans="1:5">
      <c r="A444" s="80"/>
      <c r="B444" s="70"/>
      <c r="C444" s="55" t="s">
        <v>643</v>
      </c>
      <c r="D444" s="55"/>
      <c r="E444" t="s">
        <v>169</v>
      </c>
    </row>
    <row r="445" spans="1:5">
      <c r="A445" s="80"/>
      <c r="B445" s="70"/>
      <c r="C445" s="55" t="s">
        <v>644</v>
      </c>
      <c r="D445" s="55"/>
      <c r="E445" t="s">
        <v>169</v>
      </c>
    </row>
    <row r="446" spans="1:5">
      <c r="A446" s="80"/>
      <c r="B446" s="70"/>
      <c r="C446" s="55" t="s">
        <v>645</v>
      </c>
      <c r="D446" s="55"/>
      <c r="E446" t="s">
        <v>169</v>
      </c>
    </row>
    <row r="447" spans="1:5">
      <c r="A447" s="80"/>
      <c r="B447" s="70"/>
      <c r="C447" s="55" t="s">
        <v>646</v>
      </c>
      <c r="D447" s="55"/>
      <c r="E447" t="s">
        <v>169</v>
      </c>
    </row>
    <row r="448" spans="1:5">
      <c r="A448" s="80"/>
      <c r="B448" s="70"/>
      <c r="C448" s="55" t="s">
        <v>647</v>
      </c>
      <c r="D448" s="55"/>
      <c r="E448" t="s">
        <v>169</v>
      </c>
    </row>
    <row r="449" spans="1:5">
      <c r="A449" s="80"/>
      <c r="B449" s="70"/>
      <c r="C449" s="55" t="s">
        <v>648</v>
      </c>
      <c r="D449" s="55"/>
      <c r="E449" t="s">
        <v>169</v>
      </c>
    </row>
    <row r="450" spans="1:5">
      <c r="A450" s="80"/>
      <c r="B450" s="70"/>
      <c r="C450" s="55" t="s">
        <v>649</v>
      </c>
      <c r="D450" s="55"/>
      <c r="E450" t="s">
        <v>169</v>
      </c>
    </row>
    <row r="451" spans="1:5">
      <c r="A451" s="80"/>
      <c r="B451" s="70"/>
      <c r="C451" s="55" t="s">
        <v>650</v>
      </c>
      <c r="D451" s="55"/>
      <c r="E451" t="s">
        <v>169</v>
      </c>
    </row>
    <row r="452" spans="1:5">
      <c r="A452" s="80"/>
      <c r="B452" s="70"/>
      <c r="C452" s="55" t="s">
        <v>651</v>
      </c>
      <c r="D452" s="55"/>
      <c r="E452" t="s">
        <v>169</v>
      </c>
    </row>
    <row r="453" spans="1:5">
      <c r="A453" s="80"/>
      <c r="B453" s="70"/>
      <c r="C453" s="55" t="s">
        <v>652</v>
      </c>
      <c r="D453" s="55"/>
      <c r="E453" t="s">
        <v>169</v>
      </c>
    </row>
    <row r="454" spans="1:5">
      <c r="A454" s="80"/>
      <c r="B454" s="70"/>
      <c r="C454" s="55" t="s">
        <v>653</v>
      </c>
      <c r="D454" s="55"/>
      <c r="E454" t="s">
        <v>169</v>
      </c>
    </row>
    <row r="455" spans="1:5">
      <c r="A455" s="80"/>
      <c r="B455" s="70"/>
      <c r="C455" s="55" t="s">
        <v>654</v>
      </c>
      <c r="D455" s="55"/>
      <c r="E455" t="s">
        <v>169</v>
      </c>
    </row>
    <row r="456" spans="1:5">
      <c r="A456" s="80"/>
      <c r="B456" s="70"/>
      <c r="C456" s="55" t="s">
        <v>655</v>
      </c>
      <c r="D456" s="55"/>
      <c r="E456" t="s">
        <v>169</v>
      </c>
    </row>
    <row r="457" spans="1:5">
      <c r="A457" s="80"/>
      <c r="B457" s="70"/>
      <c r="C457" s="55" t="s">
        <v>656</v>
      </c>
      <c r="D457" s="55"/>
      <c r="E457" t="s">
        <v>169</v>
      </c>
    </row>
    <row r="458" spans="1:5">
      <c r="A458" s="80"/>
      <c r="B458" s="70"/>
      <c r="C458" s="55" t="s">
        <v>657</v>
      </c>
      <c r="D458" s="55"/>
      <c r="E458" t="s">
        <v>169</v>
      </c>
    </row>
    <row r="459" spans="1:5">
      <c r="A459" s="80"/>
      <c r="B459" s="70"/>
      <c r="C459" s="55" t="s">
        <v>658</v>
      </c>
      <c r="D459" s="55"/>
      <c r="E459" t="s">
        <v>169</v>
      </c>
    </row>
    <row r="460" spans="1:5">
      <c r="A460" s="80"/>
      <c r="B460" s="70"/>
      <c r="C460" s="55" t="s">
        <v>659</v>
      </c>
      <c r="D460" s="55"/>
      <c r="E460" t="s">
        <v>169</v>
      </c>
    </row>
    <row r="461" spans="1:5">
      <c r="A461" s="80"/>
      <c r="B461" s="70"/>
      <c r="C461" s="55" t="s">
        <v>660</v>
      </c>
      <c r="D461" s="55"/>
      <c r="E461" t="s">
        <v>169</v>
      </c>
    </row>
    <row r="462" spans="1:5">
      <c r="A462" s="80"/>
      <c r="B462" s="70"/>
      <c r="C462" s="55" t="s">
        <v>661</v>
      </c>
      <c r="D462" s="55"/>
      <c r="E462" t="s">
        <v>169</v>
      </c>
    </row>
    <row r="463" spans="1:5">
      <c r="A463" s="80"/>
      <c r="B463" s="70"/>
      <c r="C463" s="55" t="s">
        <v>662</v>
      </c>
      <c r="D463" s="55"/>
      <c r="E463" t="s">
        <v>169</v>
      </c>
    </row>
    <row r="464" spans="1:5">
      <c r="A464" s="80"/>
      <c r="B464" s="70"/>
      <c r="C464" s="55" t="s">
        <v>663</v>
      </c>
      <c r="D464" s="55"/>
      <c r="E464" t="s">
        <v>169</v>
      </c>
    </row>
    <row r="465" spans="1:5">
      <c r="A465" s="80"/>
      <c r="B465" s="70"/>
      <c r="C465" s="55" t="s">
        <v>664</v>
      </c>
      <c r="D465" s="55"/>
      <c r="E465" t="s">
        <v>169</v>
      </c>
    </row>
    <row r="466" spans="1:5">
      <c r="A466" s="80"/>
      <c r="B466" s="70"/>
      <c r="C466" s="55" t="s">
        <v>665</v>
      </c>
      <c r="D466" s="55"/>
      <c r="E466" t="s">
        <v>169</v>
      </c>
    </row>
    <row r="467" spans="1:5">
      <c r="A467" s="80"/>
      <c r="B467" s="70"/>
      <c r="C467" s="55" t="s">
        <v>666</v>
      </c>
      <c r="D467" s="55"/>
      <c r="E467" t="s">
        <v>169</v>
      </c>
    </row>
    <row r="468" spans="1:5">
      <c r="A468" s="80"/>
      <c r="B468" s="70"/>
      <c r="C468" s="55" t="s">
        <v>667</v>
      </c>
      <c r="D468" s="55"/>
      <c r="E468" t="s">
        <v>169</v>
      </c>
    </row>
    <row r="469" spans="1:5">
      <c r="A469" s="80"/>
      <c r="B469" s="70"/>
      <c r="C469" s="55" t="s">
        <v>668</v>
      </c>
      <c r="D469" s="55"/>
      <c r="E469" t="s">
        <v>169</v>
      </c>
    </row>
    <row r="470" spans="1:5">
      <c r="A470" s="80"/>
      <c r="B470" s="70"/>
      <c r="C470" s="55" t="s">
        <v>669</v>
      </c>
      <c r="D470" s="55"/>
      <c r="E470" t="s">
        <v>169</v>
      </c>
    </row>
    <row r="471" spans="1:5">
      <c r="A471" s="80"/>
      <c r="B471" s="70"/>
      <c r="C471" s="55" t="s">
        <v>670</v>
      </c>
      <c r="D471" s="55"/>
      <c r="E471" t="s">
        <v>169</v>
      </c>
    </row>
    <row r="472" spans="1:5">
      <c r="A472" s="80"/>
      <c r="B472" s="70"/>
      <c r="C472" s="55" t="s">
        <v>671</v>
      </c>
      <c r="D472" s="55"/>
      <c r="E472" t="s">
        <v>169</v>
      </c>
    </row>
    <row r="473" spans="1:5">
      <c r="A473" s="80"/>
      <c r="B473" s="70"/>
      <c r="C473" s="55" t="s">
        <v>672</v>
      </c>
      <c r="D473" s="55"/>
      <c r="E473" t="s">
        <v>169</v>
      </c>
    </row>
    <row r="474" spans="1:5">
      <c r="A474" s="80"/>
      <c r="B474" s="70"/>
      <c r="C474" s="55" t="s">
        <v>673</v>
      </c>
      <c r="D474" s="55"/>
      <c r="E474" t="s">
        <v>169</v>
      </c>
    </row>
    <row r="475" spans="1:5">
      <c r="A475" s="80"/>
      <c r="B475" s="70"/>
      <c r="C475" s="55" t="s">
        <v>674</v>
      </c>
      <c r="D475" s="55"/>
      <c r="E475" t="s">
        <v>169</v>
      </c>
    </row>
    <row r="476" spans="1:5">
      <c r="A476" s="80"/>
      <c r="B476" s="70"/>
      <c r="C476" s="55" t="s">
        <v>675</v>
      </c>
      <c r="D476" s="55"/>
      <c r="E476" t="s">
        <v>169</v>
      </c>
    </row>
    <row r="477" spans="1:5">
      <c r="A477" s="80"/>
      <c r="B477" s="70"/>
      <c r="C477" s="55" t="s">
        <v>676</v>
      </c>
      <c r="D477" s="55"/>
      <c r="E477" t="s">
        <v>169</v>
      </c>
    </row>
    <row r="478" spans="1:5">
      <c r="A478" s="80"/>
      <c r="B478" s="70"/>
      <c r="C478" s="55" t="s">
        <v>677</v>
      </c>
      <c r="D478" s="55"/>
      <c r="E478" t="s">
        <v>169</v>
      </c>
    </row>
    <row r="479" spans="1:5">
      <c r="A479" s="80"/>
      <c r="B479" s="70"/>
      <c r="C479" s="55" t="s">
        <v>678</v>
      </c>
      <c r="D479" s="55"/>
      <c r="E479" t="s">
        <v>169</v>
      </c>
    </row>
    <row r="480" spans="1:5">
      <c r="A480" s="80"/>
      <c r="B480" s="70"/>
      <c r="C480" s="55" t="s">
        <v>679</v>
      </c>
      <c r="D480" s="55"/>
      <c r="E480" t="s">
        <v>169</v>
      </c>
    </row>
    <row r="481" spans="1:5">
      <c r="A481" s="80"/>
      <c r="B481" s="70"/>
      <c r="C481" s="55" t="s">
        <v>680</v>
      </c>
      <c r="D481" s="55"/>
      <c r="E481" t="s">
        <v>169</v>
      </c>
    </row>
    <row r="482" spans="1:5">
      <c r="A482" s="80"/>
      <c r="B482" s="70"/>
      <c r="C482" s="55" t="s">
        <v>681</v>
      </c>
      <c r="D482" s="55"/>
      <c r="E482" t="s">
        <v>169</v>
      </c>
    </row>
    <row r="483" spans="1:5">
      <c r="A483" s="80"/>
      <c r="B483" s="70"/>
      <c r="C483" s="55" t="s">
        <v>682</v>
      </c>
      <c r="D483" s="55"/>
      <c r="E483" t="s">
        <v>169</v>
      </c>
    </row>
    <row r="484" spans="1:5">
      <c r="A484" s="80"/>
      <c r="B484" s="70"/>
      <c r="C484" s="55" t="s">
        <v>683</v>
      </c>
      <c r="D484" s="55"/>
      <c r="E484" t="s">
        <v>169</v>
      </c>
    </row>
    <row r="485" spans="1:5">
      <c r="A485" s="80"/>
      <c r="B485" s="70"/>
      <c r="C485" s="55" t="s">
        <v>684</v>
      </c>
      <c r="D485" s="55"/>
      <c r="E485" t="s">
        <v>169</v>
      </c>
    </row>
    <row r="486" spans="1:5">
      <c r="A486" s="80"/>
      <c r="B486" s="70"/>
      <c r="C486" s="55" t="s">
        <v>685</v>
      </c>
      <c r="D486" s="55"/>
      <c r="E486" t="s">
        <v>169</v>
      </c>
    </row>
    <row r="487" spans="1:5">
      <c r="A487" s="80"/>
      <c r="B487" s="70"/>
      <c r="C487" s="55" t="s">
        <v>686</v>
      </c>
      <c r="D487" s="55"/>
      <c r="E487" t="s">
        <v>169</v>
      </c>
    </row>
    <row r="488" spans="1:5">
      <c r="A488" s="80"/>
      <c r="B488" s="70"/>
      <c r="C488" s="55" t="s">
        <v>687</v>
      </c>
      <c r="D488" s="55"/>
      <c r="E488" t="s">
        <v>169</v>
      </c>
    </row>
    <row r="489" spans="1:5">
      <c r="A489" s="80"/>
      <c r="B489" s="70"/>
      <c r="C489" s="55" t="s">
        <v>268</v>
      </c>
      <c r="D489" s="55"/>
    </row>
    <row r="490" spans="1:5">
      <c r="A490" s="80"/>
      <c r="B490" s="70"/>
      <c r="C490" s="55" t="s">
        <v>688</v>
      </c>
      <c r="D490" s="55"/>
    </row>
    <row r="491" spans="1:5">
      <c r="A491" s="80"/>
      <c r="B491" s="70"/>
      <c r="C491" s="55" t="s">
        <v>689</v>
      </c>
      <c r="D491" s="55"/>
    </row>
    <row r="492" spans="1:5">
      <c r="A492" s="80"/>
      <c r="B492" s="70"/>
      <c r="C492" s="55" t="s">
        <v>690</v>
      </c>
      <c r="D492" s="55"/>
    </row>
    <row r="493" spans="1:5">
      <c r="A493" s="80"/>
      <c r="B493" s="70"/>
      <c r="C493" s="55" t="s">
        <v>691</v>
      </c>
      <c r="D493" s="55"/>
    </row>
    <row r="494" spans="1:5">
      <c r="A494" s="80"/>
      <c r="B494" s="70"/>
      <c r="C494" s="55" t="s">
        <v>692</v>
      </c>
      <c r="D494" s="55"/>
    </row>
    <row r="495" spans="1:5">
      <c r="A495" s="80"/>
      <c r="B495" s="70"/>
      <c r="C495" s="55" t="s">
        <v>693</v>
      </c>
      <c r="D495" s="55"/>
    </row>
    <row r="496" spans="1:5">
      <c r="A496" s="80"/>
      <c r="B496" s="70"/>
      <c r="C496" s="55" t="s">
        <v>694</v>
      </c>
      <c r="D496" s="55"/>
    </row>
    <row r="497" spans="1:4">
      <c r="A497" s="80"/>
      <c r="B497" s="70"/>
      <c r="C497" s="55" t="s">
        <v>695</v>
      </c>
      <c r="D497" s="55"/>
    </row>
    <row r="498" spans="1:4">
      <c r="A498" s="81"/>
      <c r="B498" s="71"/>
      <c r="C498" s="55" t="s">
        <v>525</v>
      </c>
      <c r="D498" s="55"/>
    </row>
    <row r="499" spans="1:4">
      <c r="A499" s="111"/>
      <c r="B499" s="115" t="s">
        <v>696</v>
      </c>
      <c r="C499" s="53" t="s">
        <v>395</v>
      </c>
      <c r="D499" s="53"/>
    </row>
    <row r="500" spans="1:4">
      <c r="A500" s="62"/>
      <c r="B500" s="115"/>
      <c r="C500" s="53" t="s">
        <v>697</v>
      </c>
      <c r="D500" s="53"/>
    </row>
    <row r="501" spans="1:4">
      <c r="A501" s="62"/>
      <c r="B501" s="115"/>
      <c r="C501" s="53" t="s">
        <v>698</v>
      </c>
      <c r="D501" s="53"/>
    </row>
    <row r="502" spans="1:4">
      <c r="A502" s="62"/>
      <c r="B502" s="115"/>
      <c r="C502" s="53" t="s">
        <v>699</v>
      </c>
      <c r="D502" s="53"/>
    </row>
    <row r="503" spans="1:4">
      <c r="A503" s="62"/>
      <c r="B503" s="115"/>
      <c r="C503" s="53" t="s">
        <v>700</v>
      </c>
      <c r="D503" s="53"/>
    </row>
    <row r="504" spans="1:4">
      <c r="A504" s="62"/>
      <c r="B504" s="115"/>
      <c r="C504" s="53" t="s">
        <v>701</v>
      </c>
      <c r="D504" s="53"/>
    </row>
    <row r="505" spans="1:4">
      <c r="A505" s="62"/>
      <c r="B505" s="115"/>
      <c r="C505" s="53" t="s">
        <v>702</v>
      </c>
      <c r="D505" s="53"/>
    </row>
    <row r="506" spans="1:4">
      <c r="A506" s="62"/>
      <c r="B506" s="115"/>
      <c r="C506" s="53" t="s">
        <v>703</v>
      </c>
      <c r="D506" s="53"/>
    </row>
    <row r="507" spans="1:4">
      <c r="A507" s="62"/>
      <c r="B507" s="115"/>
      <c r="C507" s="53" t="s">
        <v>704</v>
      </c>
      <c r="D507" s="53"/>
    </row>
    <row r="508" spans="1:4">
      <c r="A508" s="62"/>
      <c r="B508" s="115"/>
      <c r="C508" s="53" t="s">
        <v>705</v>
      </c>
      <c r="D508" s="53"/>
    </row>
    <row r="509" spans="1:4">
      <c r="A509" s="62"/>
      <c r="B509" s="115"/>
      <c r="C509" s="53" t="s">
        <v>706</v>
      </c>
      <c r="D509" s="53"/>
    </row>
    <row r="510" spans="1:4">
      <c r="A510" s="62"/>
      <c r="B510" s="115"/>
      <c r="C510" s="53" t="s">
        <v>707</v>
      </c>
      <c r="D510" s="53"/>
    </row>
    <row r="511" spans="1:4">
      <c r="A511" s="62"/>
      <c r="B511" s="115"/>
      <c r="C511" s="53" t="s">
        <v>708</v>
      </c>
      <c r="D511" s="53"/>
    </row>
    <row r="512" spans="1:4">
      <c r="A512" s="62"/>
      <c r="B512" s="115"/>
      <c r="C512" s="53" t="s">
        <v>441</v>
      </c>
      <c r="D512" s="53"/>
    </row>
    <row r="513" spans="1:4">
      <c r="A513" s="62"/>
      <c r="B513" s="115"/>
      <c r="C513" s="53" t="s">
        <v>268</v>
      </c>
      <c r="D513" s="53"/>
    </row>
    <row r="514" spans="1:4">
      <c r="A514" s="80"/>
      <c r="B514" s="66" t="s">
        <v>709</v>
      </c>
      <c r="C514" s="55" t="s">
        <v>294</v>
      </c>
      <c r="D514" s="55"/>
    </row>
    <row r="515" spans="1:4">
      <c r="A515" s="81"/>
      <c r="B515" s="68"/>
      <c r="C515" s="55" t="s">
        <v>94</v>
      </c>
      <c r="D515" s="55"/>
    </row>
    <row r="516" spans="1:4">
      <c r="A516" s="62"/>
      <c r="B516" s="115" t="s">
        <v>710</v>
      </c>
      <c r="C516" s="53" t="s">
        <v>711</v>
      </c>
      <c r="D516" s="53"/>
    </row>
    <row r="517" spans="1:4">
      <c r="A517" s="62"/>
      <c r="B517" s="115"/>
      <c r="C517" s="53" t="s">
        <v>712</v>
      </c>
      <c r="D517" s="53"/>
    </row>
    <row r="518" spans="1:4">
      <c r="A518" s="62"/>
      <c r="B518" s="115"/>
      <c r="C518" s="53" t="s">
        <v>713</v>
      </c>
      <c r="D518" s="53"/>
    </row>
    <row r="519" spans="1:4">
      <c r="A519" s="62"/>
      <c r="B519" s="115"/>
      <c r="C519" s="53" t="s">
        <v>714</v>
      </c>
      <c r="D519" s="53"/>
    </row>
    <row r="520" spans="1:4">
      <c r="A520" s="113"/>
      <c r="B520" s="66" t="s">
        <v>715</v>
      </c>
      <c r="C520" s="55" t="s">
        <v>716</v>
      </c>
      <c r="D520" s="55"/>
    </row>
    <row r="521" spans="1:4">
      <c r="A521" s="78"/>
      <c r="B521" s="67"/>
      <c r="C521" s="55" t="s">
        <v>717</v>
      </c>
      <c r="D521" s="55"/>
    </row>
    <row r="522" spans="1:4">
      <c r="A522" s="78"/>
      <c r="B522" s="67"/>
      <c r="C522" s="55" t="s">
        <v>718</v>
      </c>
      <c r="D522" s="55"/>
    </row>
    <row r="523" spans="1:4">
      <c r="A523" s="78"/>
      <c r="B523" s="67"/>
      <c r="C523" s="55" t="s">
        <v>719</v>
      </c>
      <c r="D523" s="55"/>
    </row>
    <row r="524" spans="1:4">
      <c r="A524" s="78"/>
      <c r="B524" s="67"/>
      <c r="C524" s="55" t="s">
        <v>720</v>
      </c>
      <c r="D524" s="55"/>
    </row>
    <row r="525" spans="1:4">
      <c r="A525" s="78"/>
      <c r="B525" s="67"/>
      <c r="C525" s="55" t="s">
        <v>721</v>
      </c>
      <c r="D525" s="55"/>
    </row>
    <row r="526" spans="1:4">
      <c r="A526" s="78"/>
      <c r="B526" s="67"/>
      <c r="C526" s="55" t="s">
        <v>722</v>
      </c>
      <c r="D526" s="55"/>
    </row>
    <row r="527" spans="1:4">
      <c r="A527" s="78"/>
      <c r="B527" s="67"/>
      <c r="C527" s="55" t="s">
        <v>723</v>
      </c>
      <c r="D527" s="55"/>
    </row>
    <row r="528" spans="1:4">
      <c r="A528" s="78"/>
      <c r="B528" s="67"/>
      <c r="C528" s="55" t="s">
        <v>724</v>
      </c>
      <c r="D528" s="55"/>
    </row>
    <row r="529" spans="1:4">
      <c r="A529" s="78"/>
      <c r="B529" s="67"/>
      <c r="C529" s="55" t="s">
        <v>705</v>
      </c>
      <c r="D529" s="55"/>
    </row>
    <row r="530" spans="1:4">
      <c r="B530" s="67"/>
      <c r="C530" s="55" t="s">
        <v>725</v>
      </c>
      <c r="D530" s="55"/>
    </row>
    <row r="531" spans="1:4" ht="15">
      <c r="A531" s="78"/>
      <c r="B531" s="67"/>
      <c r="C531" s="55" t="s">
        <v>726</v>
      </c>
      <c r="D531" s="55" t="s">
        <v>727</v>
      </c>
    </row>
    <row r="532" spans="1:4" ht="15">
      <c r="A532" s="78"/>
      <c r="B532" s="67"/>
      <c r="C532" s="55" t="s">
        <v>728</v>
      </c>
      <c r="D532" s="55" t="s">
        <v>727</v>
      </c>
    </row>
    <row r="533" spans="1:4" ht="15">
      <c r="A533" s="78"/>
      <c r="B533" s="67"/>
      <c r="C533" s="55" t="s">
        <v>729</v>
      </c>
      <c r="D533" s="55" t="s">
        <v>727</v>
      </c>
    </row>
    <row r="534" spans="1:4">
      <c r="A534" s="78"/>
      <c r="B534" s="67"/>
      <c r="C534" s="55" t="s">
        <v>730</v>
      </c>
      <c r="D534" s="55"/>
    </row>
    <row r="535" spans="1:4">
      <c r="A535" s="78"/>
      <c r="B535" s="67"/>
      <c r="C535" s="55" t="s">
        <v>731</v>
      </c>
      <c r="D535" s="55"/>
    </row>
    <row r="536" spans="1:4">
      <c r="A536" s="78"/>
      <c r="B536" s="67"/>
      <c r="C536" s="55" t="s">
        <v>732</v>
      </c>
      <c r="D536" s="55"/>
    </row>
    <row r="537" spans="1:4">
      <c r="A537" s="78"/>
      <c r="B537" s="67"/>
      <c r="C537" s="55" t="s">
        <v>733</v>
      </c>
      <c r="D537" s="55"/>
    </row>
    <row r="538" spans="1:4">
      <c r="A538" s="78"/>
      <c r="B538" s="67"/>
      <c r="C538" s="55" t="s">
        <v>734</v>
      </c>
      <c r="D538" s="55"/>
    </row>
    <row r="539" spans="1:4">
      <c r="A539" s="78"/>
      <c r="B539" s="67"/>
      <c r="C539" s="55" t="s">
        <v>735</v>
      </c>
      <c r="D539" s="55"/>
    </row>
    <row r="540" spans="1:4">
      <c r="A540" s="78"/>
      <c r="B540" s="67"/>
      <c r="C540" s="55" t="s">
        <v>736</v>
      </c>
      <c r="D540" s="55"/>
    </row>
    <row r="541" spans="1:4">
      <c r="A541" s="78"/>
      <c r="B541" s="67"/>
      <c r="C541" s="55" t="s">
        <v>737</v>
      </c>
      <c r="D541" s="55"/>
    </row>
    <row r="542" spans="1:4">
      <c r="A542" s="78"/>
      <c r="B542" s="67"/>
      <c r="C542" s="55" t="s">
        <v>441</v>
      </c>
      <c r="D542" s="55"/>
    </row>
    <row r="543" spans="1:4">
      <c r="A543" s="78"/>
      <c r="B543" s="67"/>
      <c r="C543" s="55" t="s">
        <v>268</v>
      </c>
      <c r="D543" s="56"/>
    </row>
    <row r="544" spans="1:4">
      <c r="A544" s="84"/>
      <c r="B544" s="57" t="s">
        <v>738</v>
      </c>
      <c r="C544" s="53" t="s">
        <v>294</v>
      </c>
      <c r="D544" s="53"/>
    </row>
    <row r="545" spans="1:4">
      <c r="A545" s="85"/>
      <c r="B545" s="114"/>
      <c r="C545" s="53" t="s">
        <v>94</v>
      </c>
      <c r="D545" s="53"/>
    </row>
    <row r="546" spans="1:4">
      <c r="A546" s="78"/>
      <c r="B546" s="66" t="s">
        <v>739</v>
      </c>
      <c r="C546" s="55" t="s">
        <v>740</v>
      </c>
      <c r="D546" s="55"/>
    </row>
    <row r="547" spans="1:4">
      <c r="A547" s="78"/>
      <c r="B547" s="67"/>
      <c r="C547" s="55" t="s">
        <v>741</v>
      </c>
      <c r="D547" s="55"/>
    </row>
    <row r="548" spans="1:4">
      <c r="A548" s="78"/>
      <c r="B548" s="67"/>
      <c r="C548" s="55" t="s">
        <v>742</v>
      </c>
      <c r="D548" s="55"/>
    </row>
    <row r="549" spans="1:4">
      <c r="A549" s="78"/>
      <c r="B549" s="67"/>
      <c r="C549" s="55" t="s">
        <v>743</v>
      </c>
      <c r="D549" s="55"/>
    </row>
    <row r="550" spans="1:4">
      <c r="A550" s="78"/>
      <c r="B550" s="67"/>
      <c r="C550" s="55" t="s">
        <v>744</v>
      </c>
      <c r="D550" s="55"/>
    </row>
    <row r="551" spans="1:4">
      <c r="A551" s="84"/>
      <c r="B551" s="57" t="s">
        <v>745</v>
      </c>
      <c r="C551" s="53" t="s">
        <v>294</v>
      </c>
      <c r="D551" s="53"/>
    </row>
    <row r="552" spans="1:4">
      <c r="A552" s="85"/>
      <c r="B552" s="114"/>
      <c r="C552" s="53" t="s">
        <v>94</v>
      </c>
      <c r="D552" s="53"/>
    </row>
    <row r="553" spans="1:4">
      <c r="A553" s="63"/>
      <c r="B553" s="66" t="s">
        <v>746</v>
      </c>
      <c r="C553" s="55" t="s">
        <v>747</v>
      </c>
      <c r="D553" s="55"/>
    </row>
    <row r="554" spans="1:4">
      <c r="A554" s="64"/>
      <c r="B554" s="64"/>
      <c r="C554" s="55" t="s">
        <v>748</v>
      </c>
      <c r="D554" s="55"/>
    </row>
    <row r="555" spans="1:4">
      <c r="A555" s="64"/>
      <c r="B555" s="64"/>
      <c r="C555" s="55" t="s">
        <v>749</v>
      </c>
      <c r="D555" s="55"/>
    </row>
    <row r="556" spans="1:4">
      <c r="A556" s="64"/>
      <c r="B556" s="64"/>
      <c r="C556" s="55" t="s">
        <v>750</v>
      </c>
      <c r="D556" s="55"/>
    </row>
    <row r="557" spans="1:4">
      <c r="A557" s="64"/>
      <c r="B557" s="64"/>
      <c r="C557" s="55" t="s">
        <v>751</v>
      </c>
      <c r="D557" s="55"/>
    </row>
    <row r="558" spans="1:4">
      <c r="A558" s="64"/>
      <c r="B558" s="64"/>
      <c r="C558" s="55" t="s">
        <v>752</v>
      </c>
      <c r="D558" s="55"/>
    </row>
    <row r="559" spans="1:4">
      <c r="A559" s="64"/>
      <c r="B559" s="64"/>
      <c r="C559" s="55" t="s">
        <v>753</v>
      </c>
      <c r="D559" s="55"/>
    </row>
    <row r="560" spans="1:4">
      <c r="A560" s="64"/>
      <c r="B560" s="64"/>
      <c r="C560" s="55" t="s">
        <v>754</v>
      </c>
      <c r="D560" s="55"/>
    </row>
    <row r="561" spans="1:4">
      <c r="A561" s="64"/>
      <c r="B561" s="64"/>
      <c r="C561" s="55" t="s">
        <v>755</v>
      </c>
      <c r="D561" s="55"/>
    </row>
    <row r="562" spans="1:4">
      <c r="A562" s="64"/>
      <c r="B562" s="64"/>
      <c r="C562" s="55" t="s">
        <v>756</v>
      </c>
      <c r="D562" s="55"/>
    </row>
    <row r="563" spans="1:4">
      <c r="A563" s="64"/>
      <c r="B563" s="64"/>
      <c r="C563" s="55" t="s">
        <v>757</v>
      </c>
      <c r="D563" s="55"/>
    </row>
    <row r="564" spans="1:4">
      <c r="A564" s="64"/>
      <c r="B564" s="64"/>
      <c r="C564" s="55" t="s">
        <v>758</v>
      </c>
      <c r="D564" s="55"/>
    </row>
    <row r="565" spans="1:4">
      <c r="A565" s="64"/>
      <c r="B565" s="64"/>
      <c r="C565" s="55" t="s">
        <v>759</v>
      </c>
      <c r="D565" s="55"/>
    </row>
    <row r="566" spans="1:4">
      <c r="A566" s="64"/>
      <c r="B566" s="64"/>
      <c r="C566" s="55" t="s">
        <v>760</v>
      </c>
      <c r="D566" s="55"/>
    </row>
    <row r="567" spans="1:4">
      <c r="A567" s="64"/>
      <c r="B567" s="64"/>
      <c r="C567" s="55" t="s">
        <v>761</v>
      </c>
      <c r="D567" s="55"/>
    </row>
    <row r="568" spans="1:4">
      <c r="A568" s="64"/>
      <c r="B568" s="64"/>
      <c r="C568" s="55" t="s">
        <v>762</v>
      </c>
      <c r="D568" s="55"/>
    </row>
    <row r="569" spans="1:4">
      <c r="A569" s="64"/>
      <c r="B569" s="64"/>
      <c r="C569" s="55" t="s">
        <v>763</v>
      </c>
      <c r="D569" s="55"/>
    </row>
    <row r="570" spans="1:4">
      <c r="A570" s="64"/>
      <c r="B570" s="64"/>
      <c r="C570" s="55" t="s">
        <v>764</v>
      </c>
      <c r="D570" s="55"/>
    </row>
    <row r="571" spans="1:4">
      <c r="A571" s="64"/>
      <c r="B571" s="64"/>
      <c r="C571" s="55" t="s">
        <v>765</v>
      </c>
      <c r="D571" s="55"/>
    </row>
    <row r="572" spans="1:4">
      <c r="A572" s="64"/>
      <c r="B572" s="64"/>
      <c r="C572" s="55" t="s">
        <v>766</v>
      </c>
      <c r="D572" s="55"/>
    </row>
    <row r="573" spans="1:4">
      <c r="A573" s="64"/>
      <c r="B573" s="64"/>
      <c r="C573" s="55" t="s">
        <v>767</v>
      </c>
      <c r="D573" s="55"/>
    </row>
    <row r="574" spans="1:4">
      <c r="A574" s="64"/>
      <c r="B574" s="64"/>
      <c r="C574" s="55" t="s">
        <v>768</v>
      </c>
      <c r="D574" s="55"/>
    </row>
    <row r="575" spans="1:4">
      <c r="A575" s="64"/>
      <c r="B575" s="64"/>
      <c r="C575" s="55" t="s">
        <v>769</v>
      </c>
      <c r="D575" s="55"/>
    </row>
    <row r="576" spans="1:4">
      <c r="A576" s="64"/>
      <c r="B576" s="64"/>
      <c r="C576" s="55" t="s">
        <v>770</v>
      </c>
      <c r="D576" s="55"/>
    </row>
    <row r="577" spans="1:5">
      <c r="A577" s="64"/>
      <c r="B577" s="64"/>
      <c r="C577" s="55" t="s">
        <v>771</v>
      </c>
      <c r="D577" s="55"/>
    </row>
    <row r="578" spans="1:5">
      <c r="A578" s="64"/>
      <c r="B578" s="64"/>
      <c r="C578" s="55" t="s">
        <v>772</v>
      </c>
      <c r="D578" s="55"/>
    </row>
    <row r="579" spans="1:5">
      <c r="A579" s="64"/>
      <c r="B579" s="64"/>
      <c r="C579" s="55" t="s">
        <v>773</v>
      </c>
      <c r="D579" s="55"/>
    </row>
    <row r="580" spans="1:5">
      <c r="A580" s="64"/>
      <c r="B580" s="64"/>
      <c r="C580" s="55" t="s">
        <v>774</v>
      </c>
      <c r="D580" s="55"/>
      <c r="E580" t="s">
        <v>169</v>
      </c>
    </row>
    <row r="581" spans="1:5">
      <c r="A581" s="64"/>
      <c r="B581" s="64"/>
      <c r="C581" s="55" t="s">
        <v>775</v>
      </c>
      <c r="D581" s="55"/>
      <c r="E581" t="s">
        <v>169</v>
      </c>
    </row>
    <row r="582" spans="1:5">
      <c r="A582" s="64"/>
      <c r="B582" s="64"/>
      <c r="C582" s="55" t="s">
        <v>776</v>
      </c>
      <c r="D582" s="55"/>
    </row>
    <row r="583" spans="1:5">
      <c r="A583" s="64"/>
      <c r="B583" s="64"/>
      <c r="C583" s="55" t="s">
        <v>777</v>
      </c>
      <c r="D583" s="55"/>
    </row>
    <row r="584" spans="1:5">
      <c r="A584" s="64"/>
      <c r="B584" s="64"/>
      <c r="C584" s="55" t="s">
        <v>778</v>
      </c>
      <c r="D584" s="55"/>
    </row>
    <row r="585" spans="1:5">
      <c r="A585" s="64"/>
      <c r="B585" s="64"/>
      <c r="C585" s="55" t="s">
        <v>779</v>
      </c>
      <c r="D585" s="55"/>
    </row>
    <row r="586" spans="1:5">
      <c r="A586" s="64"/>
      <c r="B586" s="64"/>
      <c r="C586" s="55" t="s">
        <v>780</v>
      </c>
      <c r="D586" s="55"/>
    </row>
    <row r="587" spans="1:5">
      <c r="A587" s="64"/>
      <c r="B587" s="64"/>
      <c r="C587" s="55" t="s">
        <v>781</v>
      </c>
      <c r="D587" s="55"/>
    </row>
    <row r="588" spans="1:5">
      <c r="A588" s="64"/>
      <c r="B588" s="64"/>
      <c r="C588" s="55" t="s">
        <v>782</v>
      </c>
      <c r="D588" s="55"/>
    </row>
    <row r="589" spans="1:5">
      <c r="A589" s="64"/>
      <c r="B589" s="64"/>
      <c r="C589" s="55" t="s">
        <v>783</v>
      </c>
      <c r="D589" s="55"/>
    </row>
    <row r="590" spans="1:5">
      <c r="A590" s="64"/>
      <c r="B590" s="64"/>
      <c r="C590" s="55" t="s">
        <v>784</v>
      </c>
      <c r="D590" s="55"/>
    </row>
    <row r="591" spans="1:5">
      <c r="A591" s="65"/>
      <c r="B591" s="65"/>
      <c r="C591" s="55" t="s">
        <v>785</v>
      </c>
      <c r="D591" s="55"/>
    </row>
    <row r="592" spans="1:5">
      <c r="A592" s="62"/>
      <c r="B592" s="115" t="s">
        <v>82</v>
      </c>
      <c r="C592" s="53" t="s">
        <v>786</v>
      </c>
      <c r="D592" s="53"/>
    </row>
    <row r="593" spans="1:4">
      <c r="A593" s="62"/>
      <c r="B593" s="115"/>
      <c r="C593" s="53" t="s">
        <v>787</v>
      </c>
      <c r="D593" s="53"/>
    </row>
    <row r="594" spans="1:4">
      <c r="A594" s="62"/>
      <c r="B594" s="115"/>
      <c r="C594" s="53" t="s">
        <v>268</v>
      </c>
      <c r="D594" s="53"/>
    </row>
    <row r="595" spans="1:4">
      <c r="A595" s="66"/>
      <c r="B595" s="72" t="s">
        <v>788</v>
      </c>
      <c r="C595" s="55" t="s">
        <v>294</v>
      </c>
      <c r="D595" s="55"/>
    </row>
    <row r="596" spans="1:4">
      <c r="A596" s="116"/>
      <c r="B596" s="118"/>
      <c r="C596" s="117" t="s">
        <v>94</v>
      </c>
      <c r="D596" s="55"/>
    </row>
    <row r="597" spans="1:4">
      <c r="A597" s="111"/>
      <c r="B597" s="111" t="s">
        <v>789</v>
      </c>
      <c r="C597" s="53" t="s">
        <v>790</v>
      </c>
      <c r="D597" s="53"/>
    </row>
    <row r="598" spans="1:4">
      <c r="A598" s="62"/>
      <c r="B598" s="62"/>
      <c r="C598" s="53" t="s">
        <v>791</v>
      </c>
      <c r="D598" s="53"/>
    </row>
    <row r="599" spans="1:4">
      <c r="A599" s="62"/>
      <c r="B599" s="62"/>
      <c r="C599" s="53" t="s">
        <v>792</v>
      </c>
      <c r="D599" s="53"/>
    </row>
    <row r="600" spans="1:4">
      <c r="A600" s="62"/>
      <c r="B600" s="62"/>
      <c r="C600" s="53" t="s">
        <v>793</v>
      </c>
      <c r="D600" s="53"/>
    </row>
    <row r="601" spans="1:4">
      <c r="A601" s="62"/>
      <c r="B601" s="62"/>
      <c r="C601" s="53" t="s">
        <v>794</v>
      </c>
      <c r="D601" s="53"/>
    </row>
    <row r="602" spans="1:4">
      <c r="A602" s="62"/>
      <c r="B602" s="62"/>
      <c r="C602" s="53" t="s">
        <v>795</v>
      </c>
      <c r="D602" s="53"/>
    </row>
    <row r="603" spans="1:4">
      <c r="A603" s="62"/>
      <c r="B603" s="62"/>
      <c r="C603" s="53" t="s">
        <v>796</v>
      </c>
      <c r="D603" s="53"/>
    </row>
    <row r="604" spans="1:4">
      <c r="A604" s="62"/>
      <c r="B604" s="62"/>
      <c r="C604" s="53" t="s">
        <v>797</v>
      </c>
      <c r="D604" s="53"/>
    </row>
    <row r="605" spans="1:4">
      <c r="A605" s="62"/>
      <c r="B605" s="62"/>
      <c r="C605" s="53" t="s">
        <v>798</v>
      </c>
      <c r="D605" s="53"/>
    </row>
    <row r="606" spans="1:4">
      <c r="A606" s="62"/>
      <c r="B606" s="62"/>
      <c r="C606" s="53" t="s">
        <v>799</v>
      </c>
      <c r="D606" s="53"/>
    </row>
    <row r="607" spans="1:4">
      <c r="A607" s="62"/>
      <c r="B607" s="62"/>
      <c r="C607" s="53" t="s">
        <v>800</v>
      </c>
      <c r="D607" s="53"/>
    </row>
    <row r="608" spans="1:4">
      <c r="A608" s="62"/>
      <c r="B608" s="62"/>
      <c r="C608" s="53" t="s">
        <v>801</v>
      </c>
      <c r="D608" s="53"/>
    </row>
    <row r="609" spans="1:5">
      <c r="A609" s="62"/>
      <c r="B609" s="62"/>
      <c r="C609" s="53" t="s">
        <v>802</v>
      </c>
      <c r="D609" s="53"/>
    </row>
    <row r="610" spans="1:5">
      <c r="A610" s="62"/>
      <c r="B610" s="62"/>
      <c r="C610" s="53" t="s">
        <v>803</v>
      </c>
      <c r="D610" s="53"/>
    </row>
    <row r="611" spans="1:5">
      <c r="A611" s="62"/>
      <c r="B611" s="62"/>
      <c r="C611" s="53" t="s">
        <v>804</v>
      </c>
      <c r="D611" s="53"/>
    </row>
    <row r="612" spans="1:5">
      <c r="A612" s="62"/>
      <c r="B612" s="62"/>
      <c r="C612" s="53" t="s">
        <v>805</v>
      </c>
      <c r="D612" s="53"/>
    </row>
    <row r="613" spans="1:5">
      <c r="A613" s="62"/>
      <c r="B613" s="62"/>
      <c r="C613" s="53" t="s">
        <v>806</v>
      </c>
      <c r="D613" s="53"/>
    </row>
    <row r="614" spans="1:5">
      <c r="A614" s="62"/>
      <c r="B614" s="62"/>
      <c r="C614" s="53" t="s">
        <v>807</v>
      </c>
      <c r="D614" s="53"/>
    </row>
    <row r="615" spans="1:5">
      <c r="A615" s="62"/>
      <c r="B615" s="62"/>
      <c r="C615" s="53" t="s">
        <v>808</v>
      </c>
      <c r="D615" s="53"/>
    </row>
    <row r="616" spans="1:5">
      <c r="A616" s="62"/>
      <c r="B616" s="62"/>
      <c r="C616" s="53" t="s">
        <v>809</v>
      </c>
      <c r="D616" s="53"/>
    </row>
    <row r="617" spans="1:5">
      <c r="A617" s="62"/>
      <c r="B617" s="62"/>
      <c r="C617" s="53" t="s">
        <v>810</v>
      </c>
      <c r="D617" s="53"/>
    </row>
    <row r="618" spans="1:5">
      <c r="A618" s="62"/>
      <c r="B618" s="62"/>
      <c r="C618" s="53" t="s">
        <v>811</v>
      </c>
      <c r="D618" s="53"/>
    </row>
    <row r="619" spans="1:5">
      <c r="A619" s="62"/>
      <c r="B619" s="62"/>
      <c r="C619" s="53" t="s">
        <v>812</v>
      </c>
      <c r="D619" s="53"/>
    </row>
    <row r="620" spans="1:5">
      <c r="A620" s="62"/>
      <c r="B620" s="62"/>
      <c r="C620" s="53" t="s">
        <v>525</v>
      </c>
      <c r="D620" s="53"/>
    </row>
    <row r="621" spans="1:5">
      <c r="A621" s="62"/>
      <c r="B621" s="62"/>
      <c r="C621" s="53" t="s">
        <v>813</v>
      </c>
      <c r="D621" s="53"/>
      <c r="E621" t="s">
        <v>169</v>
      </c>
    </row>
    <row r="622" spans="1:5">
      <c r="A622" s="66"/>
      <c r="B622" s="66" t="s">
        <v>113</v>
      </c>
      <c r="C622" s="55" t="s">
        <v>814</v>
      </c>
      <c r="D622" s="55"/>
    </row>
    <row r="623" spans="1:5">
      <c r="A623" s="67"/>
      <c r="B623" s="67"/>
      <c r="C623" s="55" t="s">
        <v>815</v>
      </c>
      <c r="D623" s="55"/>
    </row>
    <row r="624" spans="1:5">
      <c r="A624" s="67"/>
      <c r="B624" s="67"/>
      <c r="C624" s="55" t="s">
        <v>816</v>
      </c>
      <c r="D624" s="55"/>
    </row>
    <row r="625" spans="1:5">
      <c r="A625" s="67"/>
      <c r="B625" s="67"/>
      <c r="C625" s="55" t="s">
        <v>817</v>
      </c>
      <c r="D625" s="55"/>
    </row>
    <row r="626" spans="1:5">
      <c r="A626" s="67"/>
      <c r="B626" s="67"/>
      <c r="C626" s="55" t="s">
        <v>818</v>
      </c>
      <c r="D626" s="55"/>
      <c r="E626" t="s">
        <v>169</v>
      </c>
    </row>
    <row r="627" spans="1:5">
      <c r="A627" s="67"/>
      <c r="B627" s="67"/>
      <c r="C627" s="55" t="s">
        <v>819</v>
      </c>
      <c r="D627" s="55"/>
    </row>
    <row r="628" spans="1:5">
      <c r="A628" s="67"/>
      <c r="B628" s="67"/>
      <c r="C628" s="55" t="s">
        <v>820</v>
      </c>
      <c r="D628" s="55"/>
    </row>
    <row r="629" spans="1:5">
      <c r="A629" s="67"/>
      <c r="B629" s="67"/>
      <c r="C629" s="55" t="s">
        <v>417</v>
      </c>
      <c r="D629" s="55"/>
    </row>
    <row r="630" spans="1:5">
      <c r="A630" s="67"/>
      <c r="B630" s="67"/>
      <c r="C630" s="55" t="s">
        <v>821</v>
      </c>
      <c r="D630" s="55"/>
    </row>
    <row r="631" spans="1:5">
      <c r="A631" s="67"/>
      <c r="B631" s="67"/>
      <c r="C631" s="55" t="s">
        <v>822</v>
      </c>
      <c r="D631" s="55"/>
    </row>
    <row r="632" spans="1:5">
      <c r="A632" s="67"/>
      <c r="B632" s="67"/>
      <c r="C632" s="55" t="s">
        <v>823</v>
      </c>
      <c r="D632" s="55"/>
    </row>
    <row r="633" spans="1:5">
      <c r="A633" s="68"/>
      <c r="B633" s="68"/>
      <c r="C633" s="55" t="s">
        <v>268</v>
      </c>
      <c r="D633" s="55"/>
    </row>
    <row r="634" spans="1:5">
      <c r="A634" s="62"/>
      <c r="B634" s="115" t="s">
        <v>114</v>
      </c>
      <c r="C634" s="53" t="s">
        <v>824</v>
      </c>
      <c r="D634" s="53" t="s">
        <v>825</v>
      </c>
    </row>
    <row r="635" spans="1:5">
      <c r="A635" s="62"/>
      <c r="B635" s="115"/>
      <c r="C635" s="53" t="s">
        <v>826</v>
      </c>
      <c r="D635" s="53" t="s">
        <v>827</v>
      </c>
    </row>
    <row r="636" spans="1:5">
      <c r="A636" s="62"/>
      <c r="B636" s="115"/>
      <c r="C636" s="53" t="s">
        <v>828</v>
      </c>
      <c r="D636" s="53" t="s">
        <v>829</v>
      </c>
    </row>
    <row r="637" spans="1:5">
      <c r="A637" s="62"/>
      <c r="B637" s="115"/>
      <c r="C637" s="53" t="s">
        <v>830</v>
      </c>
      <c r="D637" s="53" t="s">
        <v>831</v>
      </c>
    </row>
    <row r="638" spans="1:5">
      <c r="A638" s="62"/>
      <c r="B638" s="115"/>
      <c r="C638" s="53" t="s">
        <v>832</v>
      </c>
      <c r="D638" s="53" t="s">
        <v>833</v>
      </c>
    </row>
    <row r="639" spans="1:5">
      <c r="A639" s="62"/>
      <c r="B639" s="115"/>
      <c r="C639" s="53" t="s">
        <v>834</v>
      </c>
      <c r="D639" s="53" t="s">
        <v>835</v>
      </c>
    </row>
    <row r="640" spans="1:5">
      <c r="A640" s="62"/>
      <c r="B640" s="115"/>
      <c r="C640" s="53" t="s">
        <v>836</v>
      </c>
      <c r="D640" s="53" t="s">
        <v>837</v>
      </c>
    </row>
    <row r="641" spans="1:4">
      <c r="A641" s="62"/>
      <c r="B641" s="115"/>
      <c r="C641" s="53" t="s">
        <v>838</v>
      </c>
      <c r="D641" s="53" t="s">
        <v>838</v>
      </c>
    </row>
    <row r="642" spans="1:4">
      <c r="A642" s="62"/>
      <c r="B642" s="115"/>
      <c r="C642" s="53" t="s">
        <v>268</v>
      </c>
      <c r="D642" s="53"/>
    </row>
    <row r="643" spans="1:4">
      <c r="A643" s="69"/>
      <c r="B643" s="69" t="s">
        <v>839</v>
      </c>
      <c r="C643" s="55" t="s">
        <v>840</v>
      </c>
      <c r="D643" s="55" t="s">
        <v>841</v>
      </c>
    </row>
    <row r="644" spans="1:4">
      <c r="A644" s="70"/>
      <c r="B644" s="70"/>
      <c r="C644" s="55" t="s">
        <v>842</v>
      </c>
      <c r="D644" s="55" t="s">
        <v>843</v>
      </c>
    </row>
    <row r="645" spans="1:4">
      <c r="A645" s="70"/>
      <c r="B645" s="70"/>
      <c r="C645" s="55" t="s">
        <v>844</v>
      </c>
      <c r="D645" s="55" t="s">
        <v>845</v>
      </c>
    </row>
    <row r="646" spans="1:4">
      <c r="A646" s="70"/>
      <c r="B646" s="70"/>
      <c r="C646" s="55" t="s">
        <v>846</v>
      </c>
      <c r="D646" s="55" t="s">
        <v>847</v>
      </c>
    </row>
    <row r="647" spans="1:4">
      <c r="A647" s="70"/>
      <c r="B647" s="70"/>
      <c r="C647" s="55" t="s">
        <v>848</v>
      </c>
      <c r="D647" s="55"/>
    </row>
    <row r="648" spans="1:4">
      <c r="A648" s="71"/>
      <c r="B648" s="71"/>
      <c r="C648" s="55" t="s">
        <v>268</v>
      </c>
      <c r="D648" s="55"/>
    </row>
    <row r="649" spans="1:4">
      <c r="A649" s="62"/>
      <c r="B649" s="115" t="s">
        <v>105</v>
      </c>
      <c r="C649" s="53" t="s">
        <v>849</v>
      </c>
      <c r="D649" s="53"/>
    </row>
    <row r="650" spans="1:4">
      <c r="A650" s="62"/>
      <c r="B650" s="115"/>
      <c r="C650" s="53" t="s">
        <v>850</v>
      </c>
      <c r="D650" s="53"/>
    </row>
    <row r="651" spans="1:4">
      <c r="A651" s="62"/>
      <c r="B651" s="115"/>
      <c r="C651" s="53" t="s">
        <v>851</v>
      </c>
      <c r="D651" s="53"/>
    </row>
    <row r="652" spans="1:4">
      <c r="A652" s="62"/>
      <c r="B652" s="115"/>
      <c r="C652" s="53" t="s">
        <v>852</v>
      </c>
      <c r="D652" s="53"/>
    </row>
    <row r="653" spans="1:4">
      <c r="A653" s="62"/>
      <c r="B653" s="115"/>
      <c r="C653" s="53" t="s">
        <v>268</v>
      </c>
      <c r="D653" s="53"/>
    </row>
    <row r="654" spans="1:4">
      <c r="A654" s="69"/>
      <c r="B654" s="69" t="s">
        <v>106</v>
      </c>
      <c r="C654" s="55" t="s">
        <v>853</v>
      </c>
      <c r="D654" s="55"/>
    </row>
    <row r="655" spans="1:4">
      <c r="A655" s="70"/>
      <c r="B655" s="70"/>
      <c r="C655" s="55" t="s">
        <v>854</v>
      </c>
      <c r="D655" s="55"/>
    </row>
    <row r="656" spans="1:4">
      <c r="A656" s="62"/>
      <c r="B656" s="115" t="s">
        <v>22</v>
      </c>
      <c r="C656" s="53" t="s">
        <v>36</v>
      </c>
      <c r="D656" s="53"/>
    </row>
    <row r="657" spans="1:6">
      <c r="A657" s="62"/>
      <c r="B657" s="115"/>
      <c r="C657" s="53" t="s">
        <v>855</v>
      </c>
      <c r="D657" s="53"/>
    </row>
    <row r="658" spans="1:6">
      <c r="A658" s="69"/>
      <c r="B658" s="69" t="s">
        <v>856</v>
      </c>
      <c r="C658" s="55" t="s">
        <v>857</v>
      </c>
      <c r="D658" s="55"/>
    </row>
    <row r="659" spans="1:6">
      <c r="A659" s="70"/>
      <c r="B659" s="70"/>
      <c r="C659" s="55" t="s">
        <v>858</v>
      </c>
      <c r="D659" s="55"/>
    </row>
    <row r="660" spans="1:6">
      <c r="A660" s="70"/>
      <c r="B660" s="70"/>
      <c r="C660" s="55" t="s">
        <v>859</v>
      </c>
      <c r="D660" s="55"/>
    </row>
    <row r="661" spans="1:6">
      <c r="A661" s="70"/>
      <c r="B661" s="70"/>
      <c r="C661" s="55" t="s">
        <v>860</v>
      </c>
      <c r="D661" s="55"/>
    </row>
    <row r="662" spans="1:6">
      <c r="A662" s="70"/>
      <c r="B662" s="70"/>
      <c r="C662" s="55" t="s">
        <v>861</v>
      </c>
      <c r="D662" s="55"/>
    </row>
    <row r="663" spans="1:6">
      <c r="A663" s="70"/>
      <c r="B663" s="70"/>
      <c r="C663" s="55" t="s">
        <v>862</v>
      </c>
      <c r="D663" s="55"/>
    </row>
    <row r="664" spans="1:6">
      <c r="A664" s="70"/>
      <c r="B664" s="70"/>
      <c r="C664" s="55" t="s">
        <v>268</v>
      </c>
      <c r="D664" s="55"/>
    </row>
    <row r="665" spans="1:6">
      <c r="A665" s="71"/>
      <c r="B665" s="71"/>
      <c r="C665" s="55" t="s">
        <v>863</v>
      </c>
      <c r="D665" s="55"/>
    </row>
    <row r="666" spans="1:6">
      <c r="A666" s="62"/>
      <c r="B666" s="115" t="s">
        <v>864</v>
      </c>
      <c r="C666" s="53" t="s">
        <v>865</v>
      </c>
      <c r="D666" s="53"/>
    </row>
    <row r="667" spans="1:6">
      <c r="A667" s="62"/>
      <c r="B667" s="115"/>
      <c r="C667" s="53" t="s">
        <v>866</v>
      </c>
      <c r="D667" s="53"/>
      <c r="F667" s="8"/>
    </row>
    <row r="668" spans="1:6">
      <c r="A668" s="69"/>
      <c r="B668" s="69" t="s">
        <v>867</v>
      </c>
      <c r="C668" s="55" t="s">
        <v>868</v>
      </c>
      <c r="D668" s="55"/>
    </row>
    <row r="669" spans="1:6">
      <c r="A669" s="70"/>
      <c r="B669" s="70"/>
      <c r="C669" s="55" t="s">
        <v>869</v>
      </c>
      <c r="D669" s="55"/>
    </row>
    <row r="670" spans="1:6">
      <c r="A670" s="70"/>
      <c r="B670" s="70"/>
      <c r="C670" s="55" t="s">
        <v>870</v>
      </c>
      <c r="D670" s="55"/>
    </row>
    <row r="671" spans="1:6">
      <c r="A671" s="70"/>
      <c r="B671" s="70"/>
      <c r="C671" s="55" t="s">
        <v>871</v>
      </c>
      <c r="D671" s="55"/>
    </row>
    <row r="672" spans="1:6">
      <c r="A672" s="70"/>
      <c r="B672" s="70"/>
      <c r="C672" s="55" t="s">
        <v>872</v>
      </c>
      <c r="D672" s="55"/>
    </row>
    <row r="673" spans="1:4">
      <c r="A673" s="70"/>
      <c r="B673" s="70"/>
      <c r="C673" s="55" t="s">
        <v>873</v>
      </c>
      <c r="D673" s="55"/>
    </row>
    <row r="674" spans="1:4">
      <c r="A674" s="70"/>
      <c r="B674" s="70"/>
      <c r="C674" s="55" t="s">
        <v>874</v>
      </c>
      <c r="D674" s="55"/>
    </row>
    <row r="675" spans="1:4">
      <c r="A675" s="70"/>
      <c r="B675" s="70"/>
      <c r="C675" s="55" t="s">
        <v>875</v>
      </c>
      <c r="D675" s="55"/>
    </row>
    <row r="676" spans="1:4">
      <c r="A676" s="70"/>
      <c r="B676" s="70"/>
      <c r="C676" s="55" t="s">
        <v>876</v>
      </c>
      <c r="D676" s="55"/>
    </row>
    <row r="677" spans="1:4">
      <c r="A677" s="70"/>
      <c r="B677" s="70"/>
      <c r="C677" s="55" t="s">
        <v>877</v>
      </c>
      <c r="D677" s="55"/>
    </row>
    <row r="678" spans="1:4">
      <c r="A678" s="70"/>
      <c r="B678" s="70"/>
      <c r="C678" s="55" t="s">
        <v>525</v>
      </c>
      <c r="D678" s="55"/>
    </row>
    <row r="679" spans="1:4">
      <c r="A679" s="71"/>
      <c r="B679" s="71"/>
      <c r="C679" s="55" t="s">
        <v>863</v>
      </c>
      <c r="D679" s="55"/>
    </row>
    <row r="680" spans="1:4">
      <c r="A680" s="91"/>
      <c r="B680" s="91" t="s">
        <v>878</v>
      </c>
      <c r="C680" s="53" t="s">
        <v>857</v>
      </c>
      <c r="D680" s="53"/>
    </row>
    <row r="681" spans="1:4">
      <c r="A681" s="93"/>
      <c r="B681" s="93"/>
      <c r="C681" s="53" t="s">
        <v>858</v>
      </c>
      <c r="D681" s="53"/>
    </row>
    <row r="682" spans="1:4">
      <c r="A682" s="93"/>
      <c r="B682" s="93"/>
      <c r="C682" s="53" t="s">
        <v>859</v>
      </c>
      <c r="D682" s="53"/>
    </row>
    <row r="683" spans="1:4">
      <c r="A683" s="93"/>
      <c r="B683" s="93"/>
      <c r="C683" s="53" t="s">
        <v>860</v>
      </c>
      <c r="D683" s="53"/>
    </row>
    <row r="684" spans="1:4">
      <c r="A684" s="93"/>
      <c r="B684" s="93"/>
      <c r="C684" s="53" t="s">
        <v>861</v>
      </c>
      <c r="D684" s="53"/>
    </row>
    <row r="685" spans="1:4">
      <c r="A685" s="93"/>
      <c r="B685" s="93"/>
      <c r="C685" s="53" t="s">
        <v>862</v>
      </c>
      <c r="D685" s="53"/>
    </row>
    <row r="686" spans="1:4">
      <c r="A686" s="93"/>
      <c r="B686" s="93"/>
      <c r="C686" s="53" t="s">
        <v>268</v>
      </c>
      <c r="D686" s="53"/>
    </row>
    <row r="687" spans="1:4">
      <c r="A687" s="93"/>
      <c r="B687" s="93"/>
      <c r="C687" s="53" t="s">
        <v>863</v>
      </c>
      <c r="D687" s="53"/>
    </row>
    <row r="688" spans="1:4">
      <c r="A688" s="69"/>
      <c r="B688" s="66" t="s">
        <v>879</v>
      </c>
      <c r="C688" s="55" t="s">
        <v>880</v>
      </c>
      <c r="D688" s="55"/>
    </row>
    <row r="689" spans="1:4">
      <c r="A689" s="70"/>
      <c r="B689" s="68"/>
      <c r="C689" s="55" t="s">
        <v>881</v>
      </c>
      <c r="D689" s="55"/>
    </row>
    <row r="690" spans="1:4">
      <c r="A690" s="91"/>
      <c r="B690" s="91" t="s">
        <v>882</v>
      </c>
      <c r="C690" s="53" t="s">
        <v>883</v>
      </c>
      <c r="D690" s="53"/>
    </row>
    <row r="691" spans="1:4">
      <c r="A691" s="93"/>
      <c r="B691" s="93"/>
      <c r="C691" s="53" t="s">
        <v>884</v>
      </c>
      <c r="D691" s="53"/>
    </row>
    <row r="692" spans="1:4">
      <c r="A692" s="69"/>
      <c r="B692" s="69" t="s">
        <v>885</v>
      </c>
      <c r="C692" s="55" t="s">
        <v>886</v>
      </c>
      <c r="D692" s="55"/>
    </row>
    <row r="693" spans="1:4">
      <c r="A693" s="70"/>
      <c r="B693" s="70"/>
      <c r="C693" s="55" t="s">
        <v>702</v>
      </c>
      <c r="D693" s="55"/>
    </row>
    <row r="694" spans="1:4">
      <c r="A694" s="70"/>
      <c r="B694" s="70"/>
      <c r="C694" s="55" t="s">
        <v>887</v>
      </c>
      <c r="D694" s="55"/>
    </row>
    <row r="695" spans="1:4">
      <c r="A695" s="70"/>
      <c r="B695" s="70"/>
      <c r="C695" s="55" t="s">
        <v>888</v>
      </c>
      <c r="D695" s="55"/>
    </row>
    <row r="696" spans="1:4">
      <c r="A696" s="70"/>
      <c r="B696" s="70"/>
      <c r="C696" s="55" t="s">
        <v>889</v>
      </c>
      <c r="D696" s="55"/>
    </row>
    <row r="697" spans="1:4">
      <c r="A697" s="70"/>
      <c r="B697" s="70"/>
      <c r="C697" s="55" t="s">
        <v>104</v>
      </c>
      <c r="D697" s="55"/>
    </row>
    <row r="698" spans="1:4">
      <c r="A698" s="70"/>
      <c r="B698" s="70"/>
      <c r="C698" s="55" t="s">
        <v>890</v>
      </c>
      <c r="D698" s="55"/>
    </row>
    <row r="699" spans="1:4">
      <c r="A699" s="70"/>
      <c r="B699" s="70"/>
      <c r="C699" s="55" t="s">
        <v>891</v>
      </c>
      <c r="D699" s="55"/>
    </row>
    <row r="700" spans="1:4">
      <c r="A700" s="70"/>
      <c r="B700" s="70"/>
      <c r="C700" s="55" t="s">
        <v>268</v>
      </c>
      <c r="D700" s="55"/>
    </row>
    <row r="701" spans="1:4">
      <c r="A701" s="91"/>
      <c r="B701" s="91" t="s">
        <v>892</v>
      </c>
      <c r="C701" s="53" t="s">
        <v>391</v>
      </c>
      <c r="D701" s="53"/>
    </row>
    <row r="702" spans="1:4">
      <c r="A702" s="93"/>
      <c r="B702" s="93"/>
      <c r="C702" s="53" t="s">
        <v>392</v>
      </c>
      <c r="D702" s="53"/>
    </row>
    <row r="703" spans="1:4">
      <c r="A703" s="93"/>
      <c r="B703" s="93"/>
      <c r="C703" s="53" t="s">
        <v>393</v>
      </c>
      <c r="D703" s="53"/>
    </row>
    <row r="704" spans="1:4">
      <c r="A704" s="93"/>
      <c r="B704" s="93"/>
      <c r="C704" s="53" t="s">
        <v>394</v>
      </c>
      <c r="D704" s="53"/>
    </row>
    <row r="705" spans="1:5">
      <c r="A705" s="93"/>
      <c r="B705" s="93"/>
      <c r="C705" s="53" t="s">
        <v>395</v>
      </c>
      <c r="D705" s="53"/>
    </row>
    <row r="706" spans="1:5">
      <c r="A706" s="93"/>
      <c r="B706" s="93"/>
      <c r="C706" s="53" t="s">
        <v>396</v>
      </c>
      <c r="D706" s="53"/>
    </row>
    <row r="707" spans="1:5">
      <c r="A707" s="93"/>
      <c r="B707" s="93"/>
      <c r="C707" s="53" t="s">
        <v>398</v>
      </c>
      <c r="D707" s="53"/>
    </row>
    <row r="708" spans="1:5">
      <c r="A708" s="93"/>
      <c r="B708" s="93"/>
      <c r="C708" s="53" t="s">
        <v>399</v>
      </c>
      <c r="D708" s="53"/>
    </row>
    <row r="709" spans="1:5">
      <c r="A709" s="93"/>
      <c r="B709" s="93"/>
      <c r="C709" s="53" t="s">
        <v>400</v>
      </c>
      <c r="D709" s="53"/>
    </row>
    <row r="710" spans="1:5">
      <c r="A710" s="93"/>
      <c r="B710" s="93"/>
      <c r="C710" s="53" t="s">
        <v>401</v>
      </c>
      <c r="D710" s="53"/>
    </row>
    <row r="711" spans="1:5">
      <c r="A711" s="93"/>
      <c r="B711" s="93"/>
      <c r="C711" s="53" t="s">
        <v>402</v>
      </c>
      <c r="D711" s="53"/>
    </row>
    <row r="712" spans="1:5">
      <c r="A712" s="93"/>
      <c r="B712" s="93"/>
      <c r="C712" s="53" t="s">
        <v>403</v>
      </c>
      <c r="D712" s="53"/>
    </row>
    <row r="713" spans="1:5">
      <c r="A713" s="93"/>
      <c r="B713" s="93"/>
      <c r="C713" s="53" t="s">
        <v>404</v>
      </c>
      <c r="D713" s="53"/>
    </row>
    <row r="714" spans="1:5">
      <c r="A714" s="93"/>
      <c r="B714" s="93"/>
      <c r="C714" s="53" t="s">
        <v>405</v>
      </c>
      <c r="D714" s="53"/>
    </row>
    <row r="715" spans="1:5">
      <c r="A715" s="93"/>
      <c r="B715" s="93"/>
      <c r="C715" s="53" t="s">
        <v>406</v>
      </c>
      <c r="D715" s="53"/>
    </row>
    <row r="716" spans="1:5">
      <c r="A716" s="93"/>
      <c r="B716" s="93"/>
      <c r="C716" s="53" t="s">
        <v>407</v>
      </c>
      <c r="D716" s="53" t="s">
        <v>408</v>
      </c>
      <c r="E716" t="s">
        <v>169</v>
      </c>
    </row>
    <row r="717" spans="1:5">
      <c r="A717" s="93"/>
      <c r="B717" s="93"/>
      <c r="C717" s="53" t="s">
        <v>409</v>
      </c>
      <c r="D717" s="53"/>
    </row>
    <row r="718" spans="1:5">
      <c r="A718" s="93"/>
      <c r="B718" s="93"/>
      <c r="C718" s="53" t="s">
        <v>410</v>
      </c>
      <c r="D718" s="53"/>
    </row>
    <row r="719" spans="1:5">
      <c r="A719" s="93"/>
      <c r="B719" s="93"/>
      <c r="C719" s="53" t="s">
        <v>411</v>
      </c>
      <c r="D719" s="53"/>
    </row>
    <row r="720" spans="1:5">
      <c r="A720" s="93"/>
      <c r="B720" s="93"/>
      <c r="C720" s="53" t="s">
        <v>412</v>
      </c>
      <c r="D720" s="53"/>
    </row>
    <row r="721" spans="1:4">
      <c r="A721" s="93"/>
      <c r="B721" s="93"/>
      <c r="C721" s="53" t="s">
        <v>413</v>
      </c>
      <c r="D721" s="53"/>
    </row>
    <row r="722" spans="1:4">
      <c r="A722" s="93"/>
      <c r="B722" s="93"/>
      <c r="C722" s="53" t="s">
        <v>414</v>
      </c>
      <c r="D722" s="53"/>
    </row>
    <row r="723" spans="1:4">
      <c r="A723" s="93"/>
      <c r="B723" s="93"/>
      <c r="C723" s="53" t="s">
        <v>415</v>
      </c>
      <c r="D723" s="53"/>
    </row>
    <row r="724" spans="1:4">
      <c r="A724" s="93"/>
      <c r="B724" s="93"/>
      <c r="C724" s="53" t="s">
        <v>416</v>
      </c>
      <c r="D724" s="53"/>
    </row>
    <row r="725" spans="1:4">
      <c r="A725" s="93"/>
      <c r="B725" s="93"/>
      <c r="C725" s="53" t="s">
        <v>417</v>
      </c>
      <c r="D725" s="53"/>
    </row>
    <row r="726" spans="1:4">
      <c r="A726" s="93"/>
      <c r="B726" s="93"/>
      <c r="C726" s="53" t="s">
        <v>418</v>
      </c>
      <c r="D726" s="53"/>
    </row>
    <row r="727" spans="1:4">
      <c r="A727" s="93"/>
      <c r="B727" s="93"/>
      <c r="C727" s="53" t="s">
        <v>419</v>
      </c>
      <c r="D727" s="53"/>
    </row>
    <row r="728" spans="1:4">
      <c r="A728" s="93"/>
      <c r="B728" s="93"/>
      <c r="C728" s="53" t="s">
        <v>420</v>
      </c>
      <c r="D728" s="53"/>
    </row>
    <row r="729" spans="1:4">
      <c r="A729" s="93"/>
      <c r="B729" s="93"/>
      <c r="C729" s="53" t="s">
        <v>421</v>
      </c>
      <c r="D729" s="53"/>
    </row>
    <row r="730" spans="1:4">
      <c r="A730" s="93"/>
      <c r="B730" s="93"/>
      <c r="C730" s="53" t="s">
        <v>422</v>
      </c>
      <c r="D730" s="53"/>
    </row>
    <row r="731" spans="1:4">
      <c r="A731" s="93"/>
      <c r="B731" s="93"/>
      <c r="C731" s="53" t="s">
        <v>423</v>
      </c>
      <c r="D731" s="53"/>
    </row>
    <row r="732" spans="1:4">
      <c r="A732" s="93"/>
      <c r="B732" s="93"/>
      <c r="C732" s="53" t="s">
        <v>424</v>
      </c>
      <c r="D732" s="53"/>
    </row>
    <row r="733" spans="1:4">
      <c r="A733" s="93"/>
      <c r="B733" s="93"/>
      <c r="C733" s="53" t="s">
        <v>425</v>
      </c>
      <c r="D733" s="53"/>
    </row>
    <row r="734" spans="1:4">
      <c r="A734" s="93"/>
      <c r="B734" s="93"/>
      <c r="C734" s="53" t="s">
        <v>426</v>
      </c>
      <c r="D734" s="53"/>
    </row>
    <row r="735" spans="1:4">
      <c r="A735" s="93"/>
      <c r="B735" s="93"/>
      <c r="C735" s="53" t="s">
        <v>427</v>
      </c>
      <c r="D735" s="53"/>
    </row>
    <row r="736" spans="1:4">
      <c r="A736" s="93"/>
      <c r="B736" s="93"/>
      <c r="C736" s="53" t="s">
        <v>428</v>
      </c>
      <c r="D736" s="53"/>
    </row>
    <row r="737" spans="1:4">
      <c r="A737" s="93"/>
      <c r="B737" s="93"/>
      <c r="C737" s="53" t="s">
        <v>429</v>
      </c>
      <c r="D737" s="53"/>
    </row>
    <row r="738" spans="1:4">
      <c r="A738" s="93"/>
      <c r="B738" s="93"/>
      <c r="C738" s="53" t="s">
        <v>430</v>
      </c>
      <c r="D738" s="53"/>
    </row>
    <row r="739" spans="1:4">
      <c r="A739" s="93"/>
      <c r="B739" s="93"/>
      <c r="C739" s="53" t="s">
        <v>431</v>
      </c>
      <c r="D739" s="53"/>
    </row>
    <row r="740" spans="1:4">
      <c r="A740" s="93"/>
      <c r="B740" s="93"/>
      <c r="C740" s="53" t="s">
        <v>432</v>
      </c>
      <c r="D740" s="53"/>
    </row>
    <row r="741" spans="1:4">
      <c r="A741" s="93"/>
      <c r="B741" s="93"/>
      <c r="C741" s="53" t="s">
        <v>433</v>
      </c>
      <c r="D741" s="53"/>
    </row>
    <row r="742" spans="1:4">
      <c r="A742" s="93"/>
      <c r="B742" s="93"/>
      <c r="C742" s="53" t="s">
        <v>434</v>
      </c>
      <c r="D742" s="53"/>
    </row>
    <row r="743" spans="1:4">
      <c r="A743" s="93"/>
      <c r="B743" s="93"/>
      <c r="C743" s="53" t="s">
        <v>435</v>
      </c>
      <c r="D743" s="53"/>
    </row>
    <row r="744" spans="1:4">
      <c r="A744" s="93"/>
      <c r="B744" s="93"/>
      <c r="C744" s="53" t="s">
        <v>436</v>
      </c>
      <c r="D744" s="53"/>
    </row>
    <row r="745" spans="1:4">
      <c r="A745" s="93"/>
      <c r="B745" s="93"/>
      <c r="C745" s="53" t="s">
        <v>437</v>
      </c>
      <c r="D745" s="53"/>
    </row>
    <row r="746" spans="1:4">
      <c r="A746" s="93"/>
      <c r="B746" s="93"/>
      <c r="C746" s="53" t="s">
        <v>438</v>
      </c>
      <c r="D746" s="53"/>
    </row>
    <row r="747" spans="1:4">
      <c r="A747" s="93"/>
      <c r="B747" s="93"/>
      <c r="C747" s="53" t="s">
        <v>439</v>
      </c>
      <c r="D747" s="53"/>
    </row>
    <row r="748" spans="1:4">
      <c r="A748" s="93"/>
      <c r="B748" s="93"/>
      <c r="C748" s="53" t="s">
        <v>440</v>
      </c>
      <c r="D748" s="53"/>
    </row>
    <row r="749" spans="1:4">
      <c r="A749" s="93"/>
      <c r="B749" s="93"/>
      <c r="C749" s="53" t="s">
        <v>441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162</v>
      </c>
      <c r="D751" s="53"/>
    </row>
    <row r="752" spans="1:4">
      <c r="A752" s="93"/>
      <c r="B752" s="93"/>
      <c r="C752" s="53" t="s">
        <v>163</v>
      </c>
      <c r="D752" s="53"/>
    </row>
    <row r="753" spans="1:4">
      <c r="A753" s="93"/>
      <c r="B753" s="93"/>
      <c r="C753" s="53" t="s">
        <v>164</v>
      </c>
      <c r="D753" s="53"/>
    </row>
    <row r="754" spans="1:4">
      <c r="A754" s="93"/>
      <c r="B754" s="93"/>
      <c r="C754" s="53" t="s">
        <v>165</v>
      </c>
      <c r="D754" s="53"/>
    </row>
    <row r="755" spans="1:4">
      <c r="A755" s="93"/>
      <c r="B755" s="93"/>
      <c r="C755" s="53" t="s">
        <v>166</v>
      </c>
      <c r="D755" s="53"/>
    </row>
    <row r="756" spans="1:4">
      <c r="A756" s="93"/>
      <c r="B756" s="93"/>
      <c r="C756" s="53" t="s">
        <v>167</v>
      </c>
      <c r="D756" s="53"/>
    </row>
    <row r="757" spans="1:4">
      <c r="A757" s="93"/>
      <c r="B757" s="93"/>
      <c r="C757" s="53" t="s">
        <v>168</v>
      </c>
      <c r="D757" s="53"/>
    </row>
    <row r="758" spans="1:4">
      <c r="A758" s="93"/>
      <c r="B758" s="93"/>
      <c r="C758" s="53" t="s">
        <v>170</v>
      </c>
      <c r="D758" s="53"/>
    </row>
    <row r="759" spans="1:4">
      <c r="A759" s="93"/>
      <c r="B759" s="93"/>
      <c r="C759" s="53" t="s">
        <v>171</v>
      </c>
      <c r="D759" s="53"/>
    </row>
    <row r="760" spans="1:4">
      <c r="A760" s="93"/>
      <c r="B760" s="93"/>
      <c r="C760" s="53" t="s">
        <v>172</v>
      </c>
      <c r="D760" s="53"/>
    </row>
    <row r="761" spans="1:4">
      <c r="A761" s="93"/>
      <c r="B761" s="93"/>
      <c r="C761" s="53" t="s">
        <v>173</v>
      </c>
      <c r="D761" s="53"/>
    </row>
    <row r="762" spans="1:4">
      <c r="A762" s="93"/>
      <c r="B762" s="93"/>
      <c r="C762" s="53" t="s">
        <v>174</v>
      </c>
      <c r="D762" s="53"/>
    </row>
    <row r="763" spans="1:4">
      <c r="A763" s="93"/>
      <c r="B763" s="93"/>
      <c r="C763" s="53" t="s">
        <v>175</v>
      </c>
      <c r="D763" s="53"/>
    </row>
    <row r="764" spans="1:4">
      <c r="A764" s="93"/>
      <c r="B764" s="93"/>
      <c r="C764" s="53" t="s">
        <v>176</v>
      </c>
      <c r="D764" s="53"/>
    </row>
    <row r="765" spans="1:4">
      <c r="A765" s="93"/>
      <c r="B765" s="93"/>
      <c r="C765" s="53" t="s">
        <v>177</v>
      </c>
      <c r="D765" s="53"/>
    </row>
    <row r="766" spans="1:4">
      <c r="A766" s="93"/>
      <c r="B766" s="93"/>
      <c r="C766" s="53" t="s">
        <v>178</v>
      </c>
      <c r="D766" s="53"/>
    </row>
    <row r="767" spans="1:4">
      <c r="A767" s="93"/>
      <c r="B767" s="93"/>
      <c r="C767" s="53" t="s">
        <v>179</v>
      </c>
      <c r="D767" s="53"/>
    </row>
    <row r="768" spans="1:4">
      <c r="A768" s="93"/>
      <c r="B768" s="93"/>
      <c r="C768" s="53" t="s">
        <v>180</v>
      </c>
      <c r="D768" s="53"/>
    </row>
    <row r="769" spans="1:5">
      <c r="A769" s="93"/>
      <c r="B769" s="93"/>
      <c r="C769" s="53" t="s">
        <v>181</v>
      </c>
      <c r="D769" s="53"/>
    </row>
    <row r="770" spans="1:5">
      <c r="A770" s="93"/>
      <c r="B770" s="93"/>
      <c r="C770" s="53" t="s">
        <v>182</v>
      </c>
      <c r="D770" s="53"/>
    </row>
    <row r="771" spans="1:5">
      <c r="A771" s="93"/>
      <c r="B771" s="93"/>
      <c r="C771" s="53" t="s">
        <v>183</v>
      </c>
      <c r="D771" s="53"/>
    </row>
    <row r="772" spans="1:5">
      <c r="A772" s="93"/>
      <c r="B772" s="93"/>
      <c r="C772" s="53" t="s">
        <v>184</v>
      </c>
      <c r="D772" s="53"/>
    </row>
    <row r="773" spans="1:5">
      <c r="A773" s="93"/>
      <c r="B773" s="93"/>
      <c r="C773" s="53" t="s">
        <v>185</v>
      </c>
      <c r="D773" s="53"/>
    </row>
    <row r="774" spans="1:5">
      <c r="A774" s="93"/>
      <c r="B774" s="93"/>
      <c r="C774" s="53" t="s">
        <v>186</v>
      </c>
      <c r="D774" s="53"/>
    </row>
    <row r="775" spans="1:5">
      <c r="A775" s="93"/>
      <c r="B775" s="93"/>
      <c r="C775" s="53" t="s">
        <v>187</v>
      </c>
      <c r="D775" s="53"/>
    </row>
    <row r="776" spans="1:5">
      <c r="A776" s="93"/>
      <c r="B776" s="93"/>
      <c r="C776" s="53" t="s">
        <v>188</v>
      </c>
      <c r="D776" s="53"/>
    </row>
    <row r="777" spans="1:5">
      <c r="A777" s="93"/>
      <c r="B777" s="93"/>
      <c r="C777" s="53" t="s">
        <v>189</v>
      </c>
      <c r="D777" s="53"/>
    </row>
    <row r="778" spans="1:5">
      <c r="A778" s="93"/>
      <c r="B778" s="93"/>
      <c r="C778" s="53" t="s">
        <v>190</v>
      </c>
      <c r="D778" s="53"/>
    </row>
    <row r="779" spans="1:5">
      <c r="A779" s="93"/>
      <c r="B779" s="93"/>
      <c r="C779" s="53" t="s">
        <v>191</v>
      </c>
      <c r="D779" s="53"/>
    </row>
    <row r="780" spans="1:5">
      <c r="A780" s="93"/>
      <c r="B780" s="93"/>
      <c r="C780" s="53" t="s">
        <v>192</v>
      </c>
      <c r="D780" s="53"/>
    </row>
    <row r="781" spans="1:5">
      <c r="A781" s="93"/>
      <c r="B781" s="93"/>
      <c r="C781" s="53" t="s">
        <v>193</v>
      </c>
      <c r="D781" s="53"/>
    </row>
    <row r="782" spans="1:5">
      <c r="A782" s="93"/>
      <c r="B782" s="93"/>
      <c r="C782" s="53" t="s">
        <v>194</v>
      </c>
      <c r="D782" s="53"/>
      <c r="E782" t="s">
        <v>169</v>
      </c>
    </row>
    <row r="783" spans="1:5">
      <c r="A783" s="93"/>
      <c r="B783" s="93"/>
      <c r="C783" s="53" t="s">
        <v>195</v>
      </c>
      <c r="D783" s="53"/>
      <c r="E783" t="s">
        <v>169</v>
      </c>
    </row>
    <row r="784" spans="1:5">
      <c r="A784" s="93"/>
      <c r="B784" s="93"/>
      <c r="C784" s="53" t="s">
        <v>198</v>
      </c>
      <c r="D784" s="53"/>
      <c r="E784" t="s">
        <v>169</v>
      </c>
    </row>
    <row r="785" spans="1:5">
      <c r="A785" s="93"/>
      <c r="B785" s="93"/>
      <c r="C785" s="53" t="s">
        <v>199</v>
      </c>
      <c r="D785" s="53"/>
    </row>
    <row r="786" spans="1:5">
      <c r="A786" s="93"/>
      <c r="B786" s="93"/>
      <c r="C786" s="53" t="s">
        <v>200</v>
      </c>
      <c r="D786" s="53"/>
    </row>
    <row r="787" spans="1:5">
      <c r="A787" s="93"/>
      <c r="B787" s="93"/>
      <c r="C787" s="53" t="s">
        <v>201</v>
      </c>
      <c r="D787" s="53"/>
    </row>
    <row r="788" spans="1:5">
      <c r="A788" s="93"/>
      <c r="B788" s="93"/>
      <c r="C788" s="53" t="s">
        <v>202</v>
      </c>
      <c r="D788" s="53"/>
    </row>
    <row r="789" spans="1:5">
      <c r="A789" s="93"/>
      <c r="B789" s="93"/>
      <c r="C789" s="53" t="s">
        <v>203</v>
      </c>
      <c r="D789" s="53"/>
    </row>
    <row r="790" spans="1:5">
      <c r="A790" s="93"/>
      <c r="B790" s="93"/>
      <c r="C790" s="53" t="s">
        <v>204</v>
      </c>
      <c r="D790" s="53"/>
      <c r="E790" t="s">
        <v>169</v>
      </c>
    </row>
    <row r="791" spans="1:5">
      <c r="A791" s="93"/>
      <c r="B791" s="93"/>
      <c r="C791" s="53" t="s">
        <v>205</v>
      </c>
      <c r="D791" s="53"/>
    </row>
    <row r="792" spans="1:5">
      <c r="A792" s="93"/>
      <c r="B792" s="93"/>
      <c r="C792" s="53" t="s">
        <v>206</v>
      </c>
      <c r="D792" s="53"/>
    </row>
    <row r="793" spans="1:5">
      <c r="A793" s="93"/>
      <c r="B793" s="93"/>
      <c r="C793" s="53" t="s">
        <v>207</v>
      </c>
      <c r="D793" s="53"/>
    </row>
    <row r="794" spans="1:5">
      <c r="A794" s="93"/>
      <c r="B794" s="93"/>
      <c r="C794" s="53" t="s">
        <v>893</v>
      </c>
      <c r="D794" s="53"/>
    </row>
    <row r="795" spans="1:5">
      <c r="A795" s="93"/>
      <c r="B795" s="93"/>
      <c r="C795" s="53" t="s">
        <v>208</v>
      </c>
      <c r="D795" s="53"/>
    </row>
    <row r="796" spans="1:5">
      <c r="A796" s="93"/>
      <c r="B796" s="93"/>
      <c r="C796" s="53" t="s">
        <v>209</v>
      </c>
      <c r="D796" s="53"/>
    </row>
    <row r="797" spans="1:5">
      <c r="A797" s="93"/>
      <c r="B797" s="93"/>
      <c r="C797" s="53" t="s">
        <v>210</v>
      </c>
      <c r="D797" s="53"/>
    </row>
    <row r="798" spans="1:5">
      <c r="A798" s="93"/>
      <c r="B798" s="93"/>
      <c r="C798" s="53" t="s">
        <v>211</v>
      </c>
      <c r="D798" s="53"/>
    </row>
    <row r="799" spans="1:5">
      <c r="A799" s="93"/>
      <c r="B799" s="93"/>
      <c r="C799" s="53" t="s">
        <v>212</v>
      </c>
      <c r="D799" s="53"/>
    </row>
    <row r="800" spans="1:5">
      <c r="A800" s="93"/>
      <c r="B800" s="93"/>
      <c r="C800" s="53" t="s">
        <v>213</v>
      </c>
      <c r="D800" s="53"/>
    </row>
    <row r="801" spans="1:5">
      <c r="A801" s="93"/>
      <c r="B801" s="93"/>
      <c r="C801" s="53" t="s">
        <v>214</v>
      </c>
      <c r="D801" s="53"/>
    </row>
    <row r="802" spans="1:5">
      <c r="A802" s="93"/>
      <c r="B802" s="93"/>
      <c r="C802" s="53" t="s">
        <v>215</v>
      </c>
      <c r="D802" s="53"/>
    </row>
    <row r="803" spans="1:5">
      <c r="A803" s="93"/>
      <c r="B803" s="93"/>
      <c r="C803" s="53" t="s">
        <v>216</v>
      </c>
      <c r="D803" s="53"/>
    </row>
    <row r="804" spans="1:5">
      <c r="A804" s="93"/>
      <c r="B804" s="93"/>
      <c r="C804" s="53" t="s">
        <v>217</v>
      </c>
      <c r="D804" s="53"/>
    </row>
    <row r="805" spans="1:5">
      <c r="A805" s="93"/>
      <c r="B805" s="93"/>
      <c r="C805" s="53" t="s">
        <v>218</v>
      </c>
      <c r="D805" s="53"/>
    </row>
    <row r="806" spans="1:5">
      <c r="A806" s="93"/>
      <c r="B806" s="93"/>
      <c r="C806" s="53" t="s">
        <v>219</v>
      </c>
      <c r="D806" s="53"/>
    </row>
    <row r="807" spans="1:5">
      <c r="A807" s="93"/>
      <c r="B807" s="93"/>
      <c r="C807" s="53" t="s">
        <v>220</v>
      </c>
      <c r="D807" s="53"/>
    </row>
    <row r="808" spans="1:5">
      <c r="A808" s="93"/>
      <c r="B808" s="93"/>
      <c r="C808" s="53" t="s">
        <v>222</v>
      </c>
      <c r="D808" s="53"/>
    </row>
    <row r="809" spans="1:5">
      <c r="A809" s="93"/>
      <c r="B809" s="93"/>
      <c r="C809" s="53" t="s">
        <v>221</v>
      </c>
      <c r="D809" s="53"/>
      <c r="E809" t="s">
        <v>169</v>
      </c>
    </row>
    <row r="810" spans="1:5">
      <c r="A810" s="93"/>
      <c r="B810" s="93"/>
      <c r="C810" s="53" t="s">
        <v>223</v>
      </c>
      <c r="D810" s="53"/>
    </row>
    <row r="811" spans="1:5">
      <c r="A811" s="93"/>
      <c r="B811" s="93"/>
      <c r="C811" s="53" t="s">
        <v>224</v>
      </c>
      <c r="D811" s="53"/>
    </row>
    <row r="812" spans="1:5">
      <c r="A812" s="93"/>
      <c r="B812" s="93"/>
      <c r="C812" s="53" t="s">
        <v>225</v>
      </c>
      <c r="D812" s="53"/>
    </row>
    <row r="813" spans="1:5">
      <c r="A813" s="93"/>
      <c r="B813" s="93"/>
      <c r="C813" s="53" t="s">
        <v>226</v>
      </c>
      <c r="D813" s="53"/>
    </row>
    <row r="814" spans="1:5">
      <c r="A814" s="93"/>
      <c r="B814" s="93"/>
      <c r="C814" s="53" t="s">
        <v>227</v>
      </c>
      <c r="D814" s="53"/>
    </row>
    <row r="815" spans="1:5">
      <c r="A815" s="93"/>
      <c r="B815" s="93"/>
      <c r="C815" s="53" t="s">
        <v>228</v>
      </c>
      <c r="D815" s="53"/>
    </row>
    <row r="816" spans="1:5">
      <c r="A816" s="93"/>
      <c r="B816" s="93"/>
      <c r="C816" s="53" t="s">
        <v>229</v>
      </c>
      <c r="D816" s="53"/>
    </row>
    <row r="817" spans="1:4">
      <c r="A817" s="93"/>
      <c r="B817" s="93"/>
      <c r="C817" s="53" t="s">
        <v>230</v>
      </c>
      <c r="D817" s="53"/>
    </row>
    <row r="818" spans="1:4">
      <c r="A818" s="93"/>
      <c r="B818" s="93"/>
      <c r="C818" s="53" t="s">
        <v>231</v>
      </c>
      <c r="D818" s="53"/>
    </row>
    <row r="819" spans="1:4">
      <c r="A819" s="93"/>
      <c r="B819" s="93"/>
      <c r="C819" s="53" t="s">
        <v>232</v>
      </c>
      <c r="D819" s="53"/>
    </row>
    <row r="820" spans="1:4">
      <c r="A820" s="93"/>
      <c r="B820" s="93"/>
      <c r="C820" s="53" t="s">
        <v>233</v>
      </c>
      <c r="D820" s="53"/>
    </row>
    <row r="821" spans="1:4">
      <c r="A821" s="93"/>
      <c r="B821" s="93"/>
      <c r="C821" s="53" t="s">
        <v>234</v>
      </c>
      <c r="D821" s="53"/>
    </row>
    <row r="822" spans="1:4">
      <c r="A822" s="93"/>
      <c r="B822" s="93"/>
      <c r="C822" s="53" t="s">
        <v>235</v>
      </c>
      <c r="D822" s="53"/>
    </row>
    <row r="823" spans="1:4">
      <c r="A823" s="93"/>
      <c r="B823" s="93"/>
      <c r="C823" s="53" t="s">
        <v>236</v>
      </c>
      <c r="D823" s="53"/>
    </row>
    <row r="824" spans="1:4">
      <c r="A824" s="93"/>
      <c r="B824" s="93"/>
      <c r="C824" s="53" t="s">
        <v>237</v>
      </c>
      <c r="D824" s="53"/>
    </row>
    <row r="825" spans="1:4">
      <c r="A825" s="93"/>
      <c r="B825" s="93"/>
      <c r="C825" s="53" t="s">
        <v>238</v>
      </c>
      <c r="D825" s="53"/>
    </row>
    <row r="826" spans="1:4">
      <c r="A826" s="93"/>
      <c r="B826" s="93"/>
      <c r="C826" s="53" t="s">
        <v>239</v>
      </c>
      <c r="D826" s="53"/>
    </row>
    <row r="827" spans="1:4">
      <c r="A827" s="93"/>
      <c r="B827" s="93"/>
      <c r="C827" s="53" t="s">
        <v>240</v>
      </c>
      <c r="D827" s="53"/>
    </row>
    <row r="828" spans="1:4">
      <c r="A828" s="93"/>
      <c r="B828" s="93"/>
      <c r="C828" s="53" t="s">
        <v>241</v>
      </c>
      <c r="D828" s="53"/>
    </row>
    <row r="829" spans="1:4">
      <c r="A829" s="93"/>
      <c r="B829" s="93"/>
      <c r="C829" s="53" t="s">
        <v>242</v>
      </c>
      <c r="D829" s="53"/>
    </row>
    <row r="830" spans="1:4">
      <c r="A830" s="93"/>
      <c r="B830" s="93"/>
      <c r="C830" s="53" t="s">
        <v>243</v>
      </c>
      <c r="D830" s="53"/>
    </row>
    <row r="831" spans="1:4">
      <c r="A831" s="93"/>
      <c r="B831" s="93"/>
      <c r="C831" s="53" t="s">
        <v>894</v>
      </c>
      <c r="D831" s="123" t="s">
        <v>895</v>
      </c>
    </row>
    <row r="832" spans="1:4">
      <c r="A832" s="93"/>
      <c r="B832" s="93"/>
      <c r="C832" s="53" t="s">
        <v>896</v>
      </c>
      <c r="D832" s="123" t="s">
        <v>255</v>
      </c>
    </row>
    <row r="833" spans="1:4">
      <c r="A833" s="93"/>
      <c r="B833" s="93"/>
      <c r="C833" s="53" t="s">
        <v>897</v>
      </c>
      <c r="D833" s="123" t="s">
        <v>255</v>
      </c>
    </row>
    <row r="834" spans="1:4" ht="15">
      <c r="A834" s="93"/>
      <c r="B834" s="93"/>
      <c r="C834" s="53" t="s">
        <v>898</v>
      </c>
      <c r="D834" s="121"/>
    </row>
    <row r="835" spans="1:4">
      <c r="A835" s="93"/>
      <c r="B835" s="93"/>
      <c r="C835" s="53" t="s">
        <v>251</v>
      </c>
      <c r="D835" s="53"/>
    </row>
    <row r="836" spans="1:4">
      <c r="A836" s="93"/>
      <c r="B836" s="93"/>
      <c r="C836" s="53" t="s">
        <v>246</v>
      </c>
      <c r="D836" s="53"/>
    </row>
    <row r="837" spans="1:4">
      <c r="A837" s="93"/>
      <c r="B837" s="93"/>
      <c r="C837" s="53" t="s">
        <v>247</v>
      </c>
      <c r="D837" s="53"/>
    </row>
    <row r="838" spans="1:4">
      <c r="A838" s="93"/>
      <c r="B838" s="93"/>
      <c r="C838" s="53" t="s">
        <v>244</v>
      </c>
      <c r="D838" s="53"/>
    </row>
    <row r="839" spans="1:4">
      <c r="A839" s="93"/>
      <c r="B839" s="93"/>
      <c r="C839" s="53" t="s">
        <v>248</v>
      </c>
      <c r="D839" s="53"/>
    </row>
    <row r="840" spans="1:4">
      <c r="A840" s="93"/>
      <c r="B840" s="93"/>
      <c r="C840" s="53" t="s">
        <v>245</v>
      </c>
      <c r="D840" s="53"/>
    </row>
    <row r="841" spans="1:4">
      <c r="A841" s="93"/>
      <c r="B841" s="93"/>
      <c r="C841" s="53" t="s">
        <v>249</v>
      </c>
      <c r="D841" s="53"/>
    </row>
    <row r="842" spans="1:4">
      <c r="A842" s="93"/>
      <c r="B842" s="93"/>
      <c r="C842" s="53" t="s">
        <v>899</v>
      </c>
      <c r="D842" s="53"/>
    </row>
    <row r="843" spans="1:4">
      <c r="A843" s="93"/>
      <c r="B843" s="93"/>
      <c r="C843" s="53" t="s">
        <v>900</v>
      </c>
      <c r="D843" s="53"/>
    </row>
    <row r="844" spans="1:4">
      <c r="A844" s="93"/>
      <c r="B844" s="93"/>
      <c r="C844" s="53" t="s">
        <v>901</v>
      </c>
      <c r="D844" s="53"/>
    </row>
    <row r="845" spans="1:4">
      <c r="A845" s="93"/>
      <c r="B845" s="93"/>
      <c r="C845" s="53" t="s">
        <v>902</v>
      </c>
      <c r="D845" s="53"/>
    </row>
    <row r="846" spans="1:4">
      <c r="A846" s="93"/>
      <c r="B846" s="93"/>
      <c r="C846" s="53" t="s">
        <v>903</v>
      </c>
      <c r="D846" s="53"/>
    </row>
    <row r="847" spans="1:4">
      <c r="A847" s="93"/>
      <c r="B847" s="93"/>
      <c r="C847" s="53" t="s">
        <v>904</v>
      </c>
      <c r="D847" s="53"/>
    </row>
    <row r="848" spans="1:4">
      <c r="A848" s="93"/>
      <c r="B848" s="93"/>
      <c r="C848" s="53" t="s">
        <v>905</v>
      </c>
      <c r="D848" s="53"/>
    </row>
    <row r="849" spans="1:4">
      <c r="A849" s="93"/>
      <c r="B849" s="93"/>
      <c r="C849" s="53" t="s">
        <v>906</v>
      </c>
      <c r="D849" s="53"/>
    </row>
    <row r="850" spans="1:4">
      <c r="A850" s="93"/>
      <c r="B850" s="93"/>
      <c r="C850" s="53" t="s">
        <v>268</v>
      </c>
      <c r="D850" s="53"/>
    </row>
    <row r="851" spans="1:4">
      <c r="A851" s="66" t="s">
        <v>907</v>
      </c>
      <c r="B851" s="66"/>
      <c r="C851" s="55" t="s">
        <v>294</v>
      </c>
      <c r="D851" s="55"/>
    </row>
    <row r="852" spans="1:4">
      <c r="A852" s="67"/>
      <c r="B852" s="67"/>
      <c r="C852" s="55" t="s">
        <v>94</v>
      </c>
      <c r="D852" s="55"/>
    </row>
    <row r="853" spans="1:4">
      <c r="A853" s="93" t="s">
        <v>908</v>
      </c>
      <c r="B853" s="93" t="s">
        <v>5</v>
      </c>
      <c r="C853" s="53" t="s">
        <v>909</v>
      </c>
      <c r="D853" s="53"/>
    </row>
    <row r="854" spans="1:4">
      <c r="A854" s="93"/>
      <c r="B854" s="93"/>
      <c r="C854" s="53" t="s">
        <v>910</v>
      </c>
      <c r="D854" s="53"/>
    </row>
    <row r="855" spans="1:4">
      <c r="A855" s="93"/>
      <c r="B855" s="93"/>
      <c r="C855" s="53" t="s">
        <v>911</v>
      </c>
      <c r="D855" s="53"/>
    </row>
    <row r="856" spans="1:4">
      <c r="A856" s="93"/>
      <c r="B856" s="93"/>
      <c r="C856" s="53" t="s">
        <v>912</v>
      </c>
      <c r="D856" s="53"/>
    </row>
    <row r="857" spans="1:4">
      <c r="A857" s="93"/>
      <c r="B857" s="93"/>
      <c r="C857" s="53" t="s">
        <v>913</v>
      </c>
      <c r="D857" s="53"/>
    </row>
    <row r="858" spans="1:4">
      <c r="A858" s="93"/>
      <c r="B858" s="93"/>
      <c r="C858" s="53" t="s">
        <v>914</v>
      </c>
      <c r="D858" s="53"/>
    </row>
    <row r="859" spans="1:4">
      <c r="A859" s="93"/>
      <c r="B859" s="93"/>
      <c r="C859" s="53" t="s">
        <v>915</v>
      </c>
      <c r="D859" s="53"/>
    </row>
    <row r="860" spans="1:4">
      <c r="A860" s="93"/>
      <c r="B860" s="93"/>
      <c r="C860" s="53" t="s">
        <v>916</v>
      </c>
      <c r="D860" s="53"/>
    </row>
    <row r="861" spans="1:4">
      <c r="A861" s="93"/>
      <c r="B861" s="93"/>
      <c r="C861" s="53" t="s">
        <v>917</v>
      </c>
      <c r="D861" s="53"/>
    </row>
    <row r="862" spans="1:4">
      <c r="A862" s="66" t="s">
        <v>918</v>
      </c>
      <c r="B862" s="66" t="s">
        <v>5</v>
      </c>
      <c r="C862" s="55" t="s">
        <v>29</v>
      </c>
      <c r="D862" s="55"/>
    </row>
    <row r="863" spans="1:4">
      <c r="A863" s="67"/>
      <c r="B863" s="67"/>
      <c r="C863" s="55" t="s">
        <v>919</v>
      </c>
      <c r="D863" s="55"/>
    </row>
    <row r="864" spans="1:4">
      <c r="A864" s="67"/>
      <c r="B864" s="67"/>
      <c r="C864" s="55" t="s">
        <v>46</v>
      </c>
      <c r="D864" s="55"/>
    </row>
    <row r="865" spans="1:4">
      <c r="A865" s="67"/>
      <c r="B865" s="67"/>
      <c r="C865" s="55" t="s">
        <v>920</v>
      </c>
      <c r="D865" s="55"/>
    </row>
    <row r="866" spans="1:4">
      <c r="A866" s="67"/>
      <c r="B866" s="67"/>
      <c r="C866" s="55" t="s">
        <v>921</v>
      </c>
      <c r="D866" s="55"/>
    </row>
    <row r="867" spans="1:4">
      <c r="A867" s="67"/>
      <c r="B867" s="67"/>
      <c r="C867" s="55" t="s">
        <v>922</v>
      </c>
      <c r="D867" s="55"/>
    </row>
    <row r="868" spans="1:4">
      <c r="A868" s="67"/>
      <c r="B868" s="67"/>
      <c r="C868" s="55" t="s">
        <v>923</v>
      </c>
      <c r="D868" s="55"/>
    </row>
    <row r="869" spans="1:4">
      <c r="A869" s="67"/>
      <c r="B869" s="67"/>
      <c r="C869" s="55" t="s">
        <v>924</v>
      </c>
      <c r="D869" s="55"/>
    </row>
    <row r="870" spans="1:4">
      <c r="A870" s="93" t="s">
        <v>925</v>
      </c>
      <c r="B870" s="93" t="s">
        <v>5</v>
      </c>
      <c r="C870" s="53" t="s">
        <v>29</v>
      </c>
      <c r="D870" s="53"/>
    </row>
    <row r="871" spans="1:4">
      <c r="A871" s="93"/>
      <c r="B871" s="93"/>
      <c r="C871" s="53" t="s">
        <v>46</v>
      </c>
      <c r="D871" s="53"/>
    </row>
    <row r="872" spans="1:4">
      <c r="A872" s="93"/>
      <c r="B872" s="93"/>
      <c r="C872" s="53" t="s">
        <v>921</v>
      </c>
      <c r="D872" s="53"/>
    </row>
    <row r="873" spans="1:4">
      <c r="A873" s="93"/>
      <c r="B873" s="93"/>
      <c r="C873" s="53" t="s">
        <v>268</v>
      </c>
      <c r="D873" s="53"/>
    </row>
    <row r="874" spans="1:4">
      <c r="A874" s="66" t="s">
        <v>926</v>
      </c>
      <c r="B874" s="66" t="s">
        <v>5</v>
      </c>
      <c r="C874" s="55" t="s">
        <v>927</v>
      </c>
      <c r="D874" s="55"/>
    </row>
    <row r="875" spans="1:4">
      <c r="A875" s="67"/>
      <c r="B875" s="67"/>
      <c r="C875" s="55" t="s">
        <v>712</v>
      </c>
      <c r="D875" s="55"/>
    </row>
    <row r="876" spans="1:4">
      <c r="A876" s="67"/>
      <c r="B876" s="67"/>
      <c r="C876" s="55" t="s">
        <v>713</v>
      </c>
      <c r="D876" s="55"/>
    </row>
    <row r="877" spans="1:4">
      <c r="A877" s="67"/>
      <c r="B877" s="67"/>
      <c r="C877" s="55" t="s">
        <v>714</v>
      </c>
      <c r="D877" s="55"/>
    </row>
    <row r="878" spans="1:4">
      <c r="A878" s="67"/>
      <c r="B878" s="67"/>
      <c r="C878" s="55" t="s">
        <v>928</v>
      </c>
      <c r="D878" s="55"/>
    </row>
    <row r="879" spans="1:4">
      <c r="A879" s="67"/>
      <c r="B879" s="67"/>
      <c r="C879" s="55" t="s">
        <v>929</v>
      </c>
      <c r="D879" s="55"/>
    </row>
    <row r="880" spans="1:4">
      <c r="A880" s="67"/>
      <c r="B880" s="67"/>
      <c r="C880" s="55" t="s">
        <v>930</v>
      </c>
      <c r="D880" s="55"/>
    </row>
    <row r="881" spans="1:5">
      <c r="A881" s="67"/>
      <c r="B881" s="67"/>
      <c r="C881" s="55" t="s">
        <v>931</v>
      </c>
      <c r="D881" s="55"/>
    </row>
    <row r="882" spans="1:5">
      <c r="A882" s="67"/>
      <c r="B882" s="67"/>
      <c r="C882" s="55" t="s">
        <v>932</v>
      </c>
      <c r="D882" s="55" t="s">
        <v>932</v>
      </c>
      <c r="E882" t="s">
        <v>169</v>
      </c>
    </row>
    <row r="883" spans="1:5">
      <c r="A883" s="68"/>
      <c r="B883" s="68"/>
      <c r="C883" s="55" t="s">
        <v>268</v>
      </c>
      <c r="D883" s="55"/>
    </row>
    <row r="884" spans="1:5">
      <c r="A884" s="82" t="s">
        <v>933</v>
      </c>
      <c r="B884" s="82" t="s">
        <v>5</v>
      </c>
      <c r="C884" s="53" t="s">
        <v>889</v>
      </c>
      <c r="D884" s="53"/>
    </row>
    <row r="885" spans="1:5">
      <c r="A885" s="83"/>
      <c r="B885" s="83"/>
      <c r="C885" s="53" t="s">
        <v>934</v>
      </c>
      <c r="D885" s="53"/>
    </row>
    <row r="886" spans="1:5">
      <c r="A886" s="83"/>
      <c r="B886" s="83"/>
      <c r="C886" s="53" t="s">
        <v>935</v>
      </c>
      <c r="D886" s="53"/>
    </row>
    <row r="887" spans="1:5">
      <c r="A887" s="83"/>
      <c r="B887" s="83"/>
      <c r="C887" s="53" t="s">
        <v>936</v>
      </c>
      <c r="D887" s="53"/>
    </row>
    <row r="888" spans="1:5">
      <c r="A888" s="83"/>
      <c r="B888" s="83"/>
      <c r="C888" s="53" t="s">
        <v>937</v>
      </c>
      <c r="D888" s="53"/>
    </row>
    <row r="889" spans="1:5">
      <c r="A889" s="83"/>
      <c r="B889" s="83"/>
      <c r="C889" s="53" t="s">
        <v>938</v>
      </c>
      <c r="D889" s="53" t="s">
        <v>939</v>
      </c>
    </row>
    <row r="890" spans="1:5">
      <c r="A890" s="83"/>
      <c r="B890" s="83"/>
      <c r="C890" s="53" t="s">
        <v>940</v>
      </c>
      <c r="D890" s="53"/>
    </row>
    <row r="891" spans="1:5">
      <c r="A891" s="66" t="s">
        <v>428</v>
      </c>
      <c r="B891" s="66" t="s">
        <v>5</v>
      </c>
      <c r="C891" s="55" t="s">
        <v>941</v>
      </c>
      <c r="D891" s="55"/>
    </row>
    <row r="892" spans="1:5">
      <c r="A892" s="67"/>
      <c r="B892" s="67"/>
      <c r="C892" s="55" t="s">
        <v>942</v>
      </c>
      <c r="D892" s="55"/>
    </row>
    <row r="893" spans="1:5">
      <c r="A893" s="67"/>
      <c r="B893" s="67"/>
      <c r="C893" s="55" t="s">
        <v>943</v>
      </c>
      <c r="D893" s="55"/>
    </row>
    <row r="894" spans="1:5">
      <c r="A894" s="67"/>
      <c r="B894" s="67"/>
      <c r="C894" s="55" t="s">
        <v>944</v>
      </c>
      <c r="D894" s="55"/>
    </row>
    <row r="895" spans="1:5">
      <c r="A895" s="67"/>
      <c r="B895" s="67"/>
      <c r="C895" s="55" t="s">
        <v>945</v>
      </c>
      <c r="D895" s="55"/>
    </row>
    <row r="896" spans="1:5">
      <c r="A896" s="67"/>
      <c r="B896" s="67"/>
      <c r="C896" s="55" t="s">
        <v>268</v>
      </c>
      <c r="D896" s="55"/>
    </row>
    <row r="897" spans="1:4">
      <c r="A897" s="82" t="s">
        <v>946</v>
      </c>
      <c r="B897" s="82" t="s">
        <v>5</v>
      </c>
      <c r="C897" s="53" t="s">
        <v>947</v>
      </c>
      <c r="D897" s="53"/>
    </row>
    <row r="898" spans="1:4">
      <c r="A898" s="83"/>
      <c r="B898" s="83"/>
      <c r="C898" s="53" t="s">
        <v>948</v>
      </c>
      <c r="D898" s="53"/>
    </row>
    <row r="899" spans="1:4">
      <c r="A899" s="83"/>
      <c r="B899" s="83"/>
      <c r="C899" s="53" t="s">
        <v>889</v>
      </c>
      <c r="D899" s="53"/>
    </row>
    <row r="900" spans="1:4">
      <c r="A900" s="83"/>
      <c r="B900" s="83"/>
      <c r="C900" s="53" t="s">
        <v>268</v>
      </c>
      <c r="D900" s="53"/>
    </row>
    <row r="901" spans="1:4">
      <c r="A901" s="66" t="s">
        <v>949</v>
      </c>
      <c r="B901" s="66" t="s">
        <v>5</v>
      </c>
      <c r="C901" s="55" t="s">
        <v>950</v>
      </c>
      <c r="D901" s="55"/>
    </row>
    <row r="902" spans="1:4">
      <c r="A902" s="67"/>
      <c r="B902" s="67"/>
      <c r="C902" s="55" t="s">
        <v>951</v>
      </c>
      <c r="D902" s="55"/>
    </row>
    <row r="903" spans="1:4">
      <c r="A903" s="67"/>
      <c r="B903" s="67"/>
      <c r="C903" s="55" t="s">
        <v>703</v>
      </c>
      <c r="D903" s="55"/>
    </row>
    <row r="904" spans="1:4">
      <c r="A904" s="67"/>
      <c r="B904" s="67"/>
      <c r="C904" s="55" t="s">
        <v>952</v>
      </c>
      <c r="D904" s="55"/>
    </row>
    <row r="905" spans="1:4">
      <c r="A905" s="67"/>
      <c r="B905" s="67"/>
      <c r="C905" s="55" t="s">
        <v>953</v>
      </c>
      <c r="D905" s="55"/>
    </row>
    <row r="906" spans="1:4">
      <c r="A906" s="92" t="s">
        <v>954</v>
      </c>
      <c r="B906" s="92" t="s">
        <v>5</v>
      </c>
      <c r="C906" s="58" t="s">
        <v>955</v>
      </c>
      <c r="D906" s="58"/>
    </row>
    <row r="907" spans="1:4">
      <c r="A907" s="93"/>
      <c r="B907" s="93"/>
      <c r="C907" s="58" t="s">
        <v>956</v>
      </c>
      <c r="D907" s="58"/>
    </row>
    <row r="908" spans="1:4">
      <c r="A908" s="93"/>
      <c r="B908" s="93"/>
      <c r="C908" s="53" t="s">
        <v>957</v>
      </c>
      <c r="D908" s="53"/>
    </row>
    <row r="909" spans="1:4">
      <c r="A909" s="93"/>
      <c r="B909" s="93"/>
      <c r="C909" s="53" t="s">
        <v>958</v>
      </c>
      <c r="D909" s="53"/>
    </row>
    <row r="910" spans="1:4">
      <c r="A910" s="93"/>
      <c r="B910" s="93"/>
      <c r="C910" s="53" t="s">
        <v>959</v>
      </c>
      <c r="D910" s="53"/>
    </row>
    <row r="911" spans="1:4">
      <c r="A911" s="93"/>
      <c r="B911" s="93"/>
      <c r="C911" s="53" t="s">
        <v>960</v>
      </c>
      <c r="D911" s="53"/>
    </row>
    <row r="912" spans="1:4">
      <c r="A912" s="88" t="s">
        <v>961</v>
      </c>
      <c r="B912" s="88" t="s">
        <v>5</v>
      </c>
      <c r="C912" s="60" t="s">
        <v>29</v>
      </c>
      <c r="D912" s="60"/>
    </row>
    <row r="913" spans="1:5">
      <c r="A913" s="70"/>
      <c r="B913" s="70"/>
      <c r="C913" s="60" t="s">
        <v>919</v>
      </c>
      <c r="D913" s="60"/>
    </row>
    <row r="914" spans="1:5">
      <c r="A914" s="70"/>
      <c r="B914" s="70"/>
      <c r="C914" s="55" t="s">
        <v>46</v>
      </c>
      <c r="D914" s="55"/>
    </row>
    <row r="915" spans="1:5">
      <c r="A915" s="70"/>
      <c r="B915" s="70"/>
      <c r="C915" s="55" t="s">
        <v>920</v>
      </c>
      <c r="D915" s="55"/>
    </row>
    <row r="916" spans="1:5">
      <c r="A916" s="70"/>
      <c r="B916" s="70"/>
      <c r="C916" s="55" t="s">
        <v>921</v>
      </c>
      <c r="D916" s="55"/>
    </row>
    <row r="917" spans="1:5">
      <c r="A917" s="70"/>
      <c r="B917" s="70"/>
      <c r="C917" s="55" t="s">
        <v>922</v>
      </c>
      <c r="D917" s="55"/>
    </row>
    <row r="918" spans="1:5">
      <c r="A918" s="70"/>
      <c r="B918" s="70"/>
      <c r="C918" s="60" t="s">
        <v>923</v>
      </c>
      <c r="D918" s="60"/>
    </row>
    <row r="919" spans="1:5">
      <c r="A919" s="70"/>
      <c r="B919" s="70"/>
      <c r="C919" s="60" t="s">
        <v>924</v>
      </c>
      <c r="D919" s="60"/>
    </row>
    <row r="920" spans="1:5" ht="15">
      <c r="A920" s="92" t="s">
        <v>962</v>
      </c>
      <c r="B920" s="92" t="s">
        <v>5</v>
      </c>
      <c r="C920" s="58" t="s">
        <v>963</v>
      </c>
      <c r="D920" s="58"/>
      <c r="E920" s="59"/>
    </row>
    <row r="921" spans="1:5" ht="15">
      <c r="A921" s="93"/>
      <c r="B921" s="93"/>
      <c r="C921" s="58" t="s">
        <v>964</v>
      </c>
      <c r="D921" s="58"/>
      <c r="E921" s="59"/>
    </row>
    <row r="922" spans="1:5" ht="15">
      <c r="A922" s="93"/>
      <c r="B922" s="93"/>
      <c r="C922" s="53" t="s">
        <v>965</v>
      </c>
      <c r="D922" s="53"/>
      <c r="E922" s="59"/>
    </row>
    <row r="923" spans="1:5" ht="15">
      <c r="A923" s="93"/>
      <c r="B923" s="93"/>
      <c r="C923" s="53" t="s">
        <v>966</v>
      </c>
      <c r="D923" s="53"/>
      <c r="E923" s="59"/>
    </row>
    <row r="924" spans="1:5" ht="15">
      <c r="A924" s="93"/>
      <c r="B924" s="93"/>
      <c r="C924" s="53" t="s">
        <v>967</v>
      </c>
      <c r="D924" s="53"/>
      <c r="E924" s="59"/>
    </row>
    <row r="925" spans="1:5">
      <c r="A925" s="93"/>
      <c r="B925" s="93"/>
      <c r="C925" s="53" t="s">
        <v>268</v>
      </c>
      <c r="D925" s="53"/>
    </row>
    <row r="926" spans="1:5">
      <c r="A926" s="88" t="s">
        <v>968</v>
      </c>
      <c r="B926" s="88" t="s">
        <v>5</v>
      </c>
      <c r="C926" s="55" t="s">
        <v>969</v>
      </c>
      <c r="D926" s="55"/>
    </row>
    <row r="927" spans="1:5">
      <c r="A927" s="70"/>
      <c r="B927" s="70"/>
      <c r="C927" s="55" t="s">
        <v>970</v>
      </c>
      <c r="D927" s="55"/>
    </row>
    <row r="928" spans="1:5">
      <c r="A928" s="70"/>
      <c r="B928" s="70"/>
      <c r="C928" s="55" t="s">
        <v>971</v>
      </c>
      <c r="D928" s="55"/>
    </row>
    <row r="929" spans="1:5">
      <c r="A929" s="89" t="s">
        <v>972</v>
      </c>
      <c r="B929" s="89" t="s">
        <v>5</v>
      </c>
      <c r="C929" s="58" t="s">
        <v>973</v>
      </c>
      <c r="D929" s="58"/>
    </row>
    <row r="930" spans="1:5">
      <c r="A930" s="90"/>
      <c r="B930" s="90"/>
      <c r="C930" s="58" t="s">
        <v>712</v>
      </c>
      <c r="D930" s="58"/>
    </row>
    <row r="931" spans="1:5">
      <c r="A931" s="90"/>
      <c r="B931" s="90"/>
      <c r="C931" s="53" t="s">
        <v>927</v>
      </c>
      <c r="D931" s="53"/>
    </row>
    <row r="932" spans="1:5">
      <c r="A932" s="90"/>
      <c r="B932" s="90"/>
      <c r="C932" s="53" t="s">
        <v>713</v>
      </c>
      <c r="D932" s="53"/>
    </row>
    <row r="933" spans="1:5">
      <c r="A933" s="90"/>
      <c r="B933" s="90"/>
      <c r="C933" s="53" t="s">
        <v>268</v>
      </c>
      <c r="D933" s="53"/>
    </row>
    <row r="934" spans="1:5">
      <c r="A934" s="96" t="s">
        <v>974</v>
      </c>
      <c r="B934" s="96" t="s">
        <v>5</v>
      </c>
      <c r="C934" s="60" t="s">
        <v>927</v>
      </c>
      <c r="D934" s="60"/>
    </row>
    <row r="935" spans="1:5">
      <c r="A935" s="97"/>
      <c r="B935" s="97"/>
      <c r="C935" s="60" t="s">
        <v>712</v>
      </c>
      <c r="D935" s="60"/>
    </row>
    <row r="936" spans="1:5">
      <c r="A936" s="97"/>
      <c r="B936" s="97"/>
      <c r="C936" s="55" t="s">
        <v>713</v>
      </c>
      <c r="D936" s="55"/>
    </row>
    <row r="937" spans="1:5">
      <c r="A937" s="97"/>
      <c r="B937" s="97"/>
      <c r="C937" s="55" t="s">
        <v>714</v>
      </c>
      <c r="D937" s="55"/>
    </row>
    <row r="938" spans="1:5">
      <c r="A938" s="97"/>
      <c r="B938" s="97"/>
      <c r="C938" s="55" t="s">
        <v>975</v>
      </c>
      <c r="D938" s="55"/>
    </row>
    <row r="939" spans="1:5">
      <c r="A939" s="97"/>
      <c r="B939" s="97"/>
      <c r="C939" s="60" t="s">
        <v>975</v>
      </c>
      <c r="D939" s="60"/>
    </row>
    <row r="940" spans="1:5">
      <c r="A940" s="97"/>
      <c r="B940" s="97"/>
      <c r="C940" s="60" t="s">
        <v>929</v>
      </c>
      <c r="D940" s="60"/>
    </row>
    <row r="941" spans="1:5">
      <c r="A941" s="97"/>
      <c r="B941" s="97"/>
      <c r="C941" s="55" t="s">
        <v>930</v>
      </c>
      <c r="D941" s="55"/>
    </row>
    <row r="942" spans="1:5">
      <c r="A942" s="97"/>
      <c r="B942" s="97"/>
      <c r="C942" s="60" t="s">
        <v>931</v>
      </c>
      <c r="D942" s="60"/>
    </row>
    <row r="943" spans="1:5">
      <c r="A943" s="97"/>
      <c r="B943" s="97"/>
      <c r="C943" s="60" t="s">
        <v>973</v>
      </c>
      <c r="D943" s="60"/>
    </row>
    <row r="944" spans="1:5">
      <c r="A944" s="97"/>
      <c r="B944" s="97"/>
      <c r="C944" s="55" t="s">
        <v>976</v>
      </c>
      <c r="D944" s="55" t="s">
        <v>976</v>
      </c>
      <c r="E944" t="s">
        <v>169</v>
      </c>
    </row>
    <row r="945" spans="1:4">
      <c r="A945" s="119"/>
      <c r="B945" s="119"/>
      <c r="C945" s="55" t="s">
        <v>268</v>
      </c>
      <c r="D945" s="55"/>
    </row>
    <row r="946" spans="1:4" ht="14.25" customHeight="1">
      <c r="A946" s="89" t="s">
        <v>977</v>
      </c>
      <c r="B946" s="89" t="s">
        <v>5</v>
      </c>
      <c r="C946" s="58" t="s">
        <v>978</v>
      </c>
      <c r="D946" s="58"/>
    </row>
    <row r="947" spans="1:4">
      <c r="A947" s="90"/>
      <c r="B947" s="90"/>
      <c r="C947" s="58" t="s">
        <v>979</v>
      </c>
      <c r="D947" s="58"/>
    </row>
    <row r="948" spans="1:4">
      <c r="A948" s="90"/>
      <c r="B948" s="90"/>
      <c r="C948" s="53" t="s">
        <v>980</v>
      </c>
      <c r="D948" s="53"/>
    </row>
    <row r="949" spans="1:4">
      <c r="A949" s="90"/>
      <c r="B949" s="90"/>
      <c r="C949" s="53" t="s">
        <v>981</v>
      </c>
      <c r="D949" s="53"/>
    </row>
    <row r="950" spans="1:4">
      <c r="A950" s="90"/>
      <c r="B950" s="90"/>
      <c r="C950" s="53" t="s">
        <v>982</v>
      </c>
      <c r="D950" s="53"/>
    </row>
    <row r="951" spans="1:4">
      <c r="A951" s="90"/>
      <c r="B951" s="90"/>
      <c r="C951" s="58" t="s">
        <v>724</v>
      </c>
      <c r="D951" s="58"/>
    </row>
    <row r="952" spans="1:4">
      <c r="A952" s="90"/>
      <c r="B952" s="90"/>
      <c r="C952" s="58" t="s">
        <v>973</v>
      </c>
      <c r="D952" s="58"/>
    </row>
    <row r="953" spans="1:4">
      <c r="A953" s="90"/>
      <c r="B953" s="90"/>
      <c r="C953" s="53" t="s">
        <v>983</v>
      </c>
      <c r="D953" s="53" t="s">
        <v>984</v>
      </c>
    </row>
    <row r="954" spans="1:4">
      <c r="A954" s="90"/>
      <c r="B954" s="90"/>
      <c r="C954" s="53" t="s">
        <v>938</v>
      </c>
      <c r="D954" s="53" t="s">
        <v>939</v>
      </c>
    </row>
    <row r="955" spans="1:4">
      <c r="A955" s="90"/>
      <c r="B955" s="90"/>
      <c r="C955" s="53" t="s">
        <v>268</v>
      </c>
      <c r="D955" s="53"/>
    </row>
    <row r="956" spans="1:4">
      <c r="A956" s="96" t="s">
        <v>732</v>
      </c>
      <c r="B956" s="96" t="s">
        <v>5</v>
      </c>
      <c r="C956" s="55" t="s">
        <v>985</v>
      </c>
      <c r="D956" s="55"/>
    </row>
    <row r="957" spans="1:4">
      <c r="A957" s="97"/>
      <c r="B957" s="97"/>
      <c r="C957" s="55" t="s">
        <v>986</v>
      </c>
      <c r="D957" s="55"/>
    </row>
    <row r="958" spans="1:4">
      <c r="A958" s="97"/>
      <c r="B958" s="97"/>
      <c r="C958" s="55" t="s">
        <v>987</v>
      </c>
      <c r="D958" s="55"/>
    </row>
    <row r="959" spans="1:4">
      <c r="A959" s="97"/>
      <c r="B959" s="97"/>
      <c r="C959" s="55" t="s">
        <v>988</v>
      </c>
      <c r="D959" s="55"/>
    </row>
    <row r="960" spans="1:4">
      <c r="A960" s="97"/>
      <c r="B960" s="97"/>
      <c r="C960" s="55" t="s">
        <v>989</v>
      </c>
      <c r="D960" s="55"/>
    </row>
    <row r="961" spans="1:5">
      <c r="A961" s="97"/>
      <c r="B961" s="97"/>
      <c r="C961" s="55" t="s">
        <v>990</v>
      </c>
      <c r="D961" s="55"/>
    </row>
    <row r="962" spans="1:5">
      <c r="A962" s="97"/>
      <c r="B962" s="97"/>
      <c r="C962" s="55" t="s">
        <v>991</v>
      </c>
      <c r="D962" s="55"/>
    </row>
    <row r="963" spans="1:5">
      <c r="A963" s="97"/>
      <c r="B963" s="97"/>
      <c r="C963" s="55" t="s">
        <v>813</v>
      </c>
      <c r="D963" s="55"/>
      <c r="E963" t="s">
        <v>169</v>
      </c>
    </row>
    <row r="964" spans="1:5">
      <c r="A964" s="98" t="s">
        <v>992</v>
      </c>
      <c r="B964" s="89" t="s">
        <v>5</v>
      </c>
      <c r="C964" s="53" t="s">
        <v>950</v>
      </c>
      <c r="D964" s="53"/>
    </row>
    <row r="965" spans="1:5">
      <c r="A965" s="99"/>
      <c r="B965" s="90"/>
      <c r="C965" s="53" t="s">
        <v>951</v>
      </c>
      <c r="D965" s="53"/>
    </row>
    <row r="966" spans="1:5">
      <c r="A966" s="99"/>
      <c r="B966" s="90"/>
      <c r="C966" s="53" t="s">
        <v>703</v>
      </c>
      <c r="D966" s="53"/>
    </row>
    <row r="967" spans="1:5">
      <c r="A967" s="99"/>
      <c r="B967" s="90"/>
      <c r="C967" s="53" t="s">
        <v>952</v>
      </c>
      <c r="D967" s="53"/>
    </row>
    <row r="968" spans="1:5">
      <c r="A968" s="99"/>
      <c r="B968" s="90"/>
      <c r="C968" s="53" t="s">
        <v>953</v>
      </c>
      <c r="D968" s="53"/>
    </row>
    <row r="969" spans="1:5">
      <c r="A969" s="99"/>
      <c r="B969" s="90"/>
      <c r="C969" s="53" t="s">
        <v>993</v>
      </c>
      <c r="D969" s="53"/>
      <c r="E969" t="s">
        <v>169</v>
      </c>
    </row>
    <row r="970" spans="1:5">
      <c r="A970" s="100" t="s">
        <v>994</v>
      </c>
      <c r="B970" s="96" t="s">
        <v>5</v>
      </c>
      <c r="C970" s="55" t="s">
        <v>995</v>
      </c>
      <c r="D970" s="55"/>
    </row>
    <row r="971" spans="1:5">
      <c r="A971" s="101"/>
      <c r="B971" s="97"/>
      <c r="C971" s="55" t="s">
        <v>996</v>
      </c>
      <c r="D971" s="55"/>
    </row>
    <row r="972" spans="1:5">
      <c r="A972" s="101"/>
      <c r="B972" s="97"/>
      <c r="C972" s="55" t="s">
        <v>997</v>
      </c>
      <c r="D972" s="55"/>
    </row>
    <row r="973" spans="1:5">
      <c r="A973" s="101"/>
      <c r="B973" s="97"/>
      <c r="C973" s="55" t="s">
        <v>998</v>
      </c>
      <c r="D973" s="55"/>
    </row>
    <row r="974" spans="1:5">
      <c r="A974" s="101"/>
      <c r="B974" s="97"/>
      <c r="C974" s="55" t="s">
        <v>999</v>
      </c>
      <c r="D974" s="55"/>
    </row>
    <row r="975" spans="1:5">
      <c r="A975" s="101"/>
      <c r="B975" s="97"/>
      <c r="C975" s="55" t="s">
        <v>1000</v>
      </c>
      <c r="D975" s="55"/>
    </row>
    <row r="976" spans="1:5">
      <c r="A976" s="120"/>
      <c r="B976" s="119"/>
      <c r="C976" s="55" t="s">
        <v>268</v>
      </c>
      <c r="D976" s="55"/>
    </row>
    <row r="977" spans="1:5">
      <c r="A977" s="89" t="s">
        <v>1001</v>
      </c>
      <c r="B977" s="89" t="s">
        <v>5</v>
      </c>
      <c r="C977" s="53" t="s">
        <v>1002</v>
      </c>
      <c r="D977" s="53"/>
      <c r="E977" t="s">
        <v>1003</v>
      </c>
    </row>
    <row r="978" spans="1:5">
      <c r="A978" s="90"/>
      <c r="B978" s="90"/>
      <c r="C978" s="53" t="s">
        <v>1004</v>
      </c>
      <c r="D978" s="53"/>
    </row>
    <row r="979" spans="1:5">
      <c r="A979" s="90"/>
      <c r="B979" s="90"/>
      <c r="C979" s="53" t="s">
        <v>1005</v>
      </c>
      <c r="D979" s="53"/>
    </row>
    <row r="980" spans="1:5">
      <c r="A980" s="90"/>
      <c r="B980" s="90"/>
      <c r="C980" s="53" t="s">
        <v>1006</v>
      </c>
      <c r="D980" s="53"/>
    </row>
    <row r="981" spans="1:5">
      <c r="A981" s="90"/>
      <c r="B981" s="90"/>
      <c r="C981" s="53" t="s">
        <v>1007</v>
      </c>
      <c r="D981" s="53"/>
    </row>
    <row r="982" spans="1:5">
      <c r="A982" s="90"/>
      <c r="B982" s="90"/>
      <c r="C982" s="53" t="s">
        <v>1008</v>
      </c>
      <c r="D982" s="53"/>
    </row>
    <row r="983" spans="1:5">
      <c r="A983" s="90"/>
      <c r="B983" s="90"/>
      <c r="C983" s="53" t="s">
        <v>1009</v>
      </c>
      <c r="D983" s="53"/>
    </row>
    <row r="984" spans="1:5">
      <c r="A984" s="90"/>
      <c r="B984" s="90"/>
      <c r="C984" s="53" t="s">
        <v>1010</v>
      </c>
      <c r="D984" s="53"/>
    </row>
    <row r="985" spans="1:5">
      <c r="A985" s="90"/>
      <c r="B985" s="90"/>
      <c r="C985" s="53" t="s">
        <v>1011</v>
      </c>
      <c r="D985" s="53" t="s">
        <v>1012</v>
      </c>
      <c r="E985" t="s">
        <v>169</v>
      </c>
    </row>
    <row r="986" spans="1:5">
      <c r="A986" s="100" t="s">
        <v>1013</v>
      </c>
      <c r="B986" s="96" t="s">
        <v>5</v>
      </c>
      <c r="C986" s="55" t="s">
        <v>955</v>
      </c>
      <c r="D986" s="55"/>
    </row>
    <row r="987" spans="1:5">
      <c r="A987" s="101"/>
      <c r="B987" s="97"/>
      <c r="C987" s="55" t="s">
        <v>956</v>
      </c>
      <c r="D987" s="55"/>
    </row>
    <row r="988" spans="1:5">
      <c r="A988" s="101"/>
      <c r="B988" s="97"/>
      <c r="C988" s="55" t="s">
        <v>1014</v>
      </c>
      <c r="D988" s="55"/>
    </row>
    <row r="989" spans="1:5">
      <c r="A989" s="101"/>
      <c r="B989" s="97"/>
      <c r="C989" s="55" t="s">
        <v>1015</v>
      </c>
      <c r="D989" s="55"/>
    </row>
    <row r="990" spans="1:5">
      <c r="A990" s="101"/>
      <c r="B990" s="97"/>
      <c r="C990" s="55" t="s">
        <v>1016</v>
      </c>
      <c r="D990" s="55"/>
    </row>
    <row r="991" spans="1:5">
      <c r="A991" s="101"/>
      <c r="B991" s="97"/>
      <c r="C991" s="55" t="s">
        <v>1017</v>
      </c>
      <c r="D991" s="55"/>
    </row>
    <row r="992" spans="1:5">
      <c r="A992" s="89" t="s">
        <v>1018</v>
      </c>
      <c r="B992" s="89" t="s">
        <v>5</v>
      </c>
      <c r="C992" s="53" t="s">
        <v>712</v>
      </c>
      <c r="D992" s="53"/>
    </row>
    <row r="993" spans="1:5">
      <c r="A993" s="90"/>
      <c r="B993" s="90"/>
      <c r="C993" s="53" t="s">
        <v>927</v>
      </c>
      <c r="D993" s="53"/>
    </row>
    <row r="994" spans="1:5">
      <c r="A994" s="90"/>
      <c r="B994" s="90"/>
      <c r="C994" s="53" t="s">
        <v>924</v>
      </c>
      <c r="D994" s="53"/>
    </row>
    <row r="995" spans="1:5">
      <c r="A995" s="90"/>
      <c r="B995" s="90"/>
      <c r="C995" s="53" t="s">
        <v>713</v>
      </c>
      <c r="D995" s="53"/>
    </row>
    <row r="996" spans="1:5">
      <c r="A996" s="90"/>
      <c r="B996" s="90"/>
      <c r="C996" s="53" t="s">
        <v>1019</v>
      </c>
      <c r="D996" s="53" t="s">
        <v>1020</v>
      </c>
    </row>
    <row r="997" spans="1:5">
      <c r="A997" s="90"/>
      <c r="B997" s="90"/>
      <c r="C997" s="53" t="s">
        <v>268</v>
      </c>
      <c r="D997" s="53"/>
    </row>
    <row r="998" spans="1:5">
      <c r="A998" s="96" t="s">
        <v>1021</v>
      </c>
      <c r="B998" s="96" t="s">
        <v>5</v>
      </c>
      <c r="C998" s="55" t="s">
        <v>1022</v>
      </c>
      <c r="D998" s="55"/>
      <c r="E998" t="s">
        <v>1003</v>
      </c>
    </row>
    <row r="999" spans="1:5">
      <c r="A999" s="97"/>
      <c r="B999" s="97"/>
      <c r="C999" s="55" t="s">
        <v>1023</v>
      </c>
      <c r="D999" s="55"/>
    </row>
    <row r="1000" spans="1:5">
      <c r="A1000" s="89" t="s">
        <v>1024</v>
      </c>
      <c r="B1000" s="89" t="s">
        <v>5</v>
      </c>
      <c r="C1000" s="53" t="s">
        <v>1025</v>
      </c>
      <c r="D1000" s="53"/>
    </row>
    <row r="1001" spans="1:5">
      <c r="A1001" s="90"/>
      <c r="B1001" s="90"/>
      <c r="C1001" s="53" t="s">
        <v>1026</v>
      </c>
      <c r="D1001" s="53"/>
    </row>
    <row r="1002" spans="1:5">
      <c r="A1002" s="90"/>
      <c r="B1002" s="90"/>
      <c r="C1002" s="53" t="s">
        <v>1027</v>
      </c>
      <c r="D1002" s="53"/>
    </row>
    <row r="1003" spans="1:5">
      <c r="A1003" s="90"/>
      <c r="B1003" s="90"/>
      <c r="C1003" s="53" t="s">
        <v>1028</v>
      </c>
      <c r="D1003" s="53"/>
      <c r="E1003" t="s">
        <v>169</v>
      </c>
    </row>
    <row r="1004" spans="1:5">
      <c r="A1004" s="90"/>
      <c r="B1004" s="90"/>
      <c r="C1004" s="53" t="s">
        <v>1029</v>
      </c>
      <c r="D1004" s="53"/>
    </row>
    <row r="1005" spans="1:5">
      <c r="A1005" s="90"/>
      <c r="B1005" s="90"/>
      <c r="C1005" s="53" t="s">
        <v>1030</v>
      </c>
      <c r="D1005" s="53"/>
    </row>
    <row r="1006" spans="1:5">
      <c r="A1006" s="90"/>
      <c r="B1006" s="90"/>
      <c r="C1006" s="53" t="s">
        <v>1031</v>
      </c>
      <c r="D1006" s="53"/>
      <c r="E1006" t="s">
        <v>169</v>
      </c>
    </row>
    <row r="1007" spans="1:5">
      <c r="A1007" s="90"/>
      <c r="B1007" s="90"/>
      <c r="C1007" s="53" t="s">
        <v>1032</v>
      </c>
      <c r="D1007" s="53"/>
    </row>
    <row r="1008" spans="1:5">
      <c r="A1008" s="90"/>
      <c r="B1008" s="90"/>
      <c r="C1008" s="53" t="s">
        <v>1033</v>
      </c>
      <c r="D1008" s="53"/>
    </row>
    <row r="1009" spans="1:4">
      <c r="A1009" s="90"/>
      <c r="B1009" s="90"/>
      <c r="C1009" s="53" t="s">
        <v>1034</v>
      </c>
      <c r="D1009" s="53"/>
    </row>
    <row r="1010" spans="1:4">
      <c r="A1010" s="90"/>
      <c r="B1010" s="90"/>
      <c r="C1010" s="53" t="s">
        <v>1035</v>
      </c>
      <c r="D1010" s="53"/>
    </row>
    <row r="1011" spans="1:4">
      <c r="A1011" s="90"/>
      <c r="B1011" s="90"/>
      <c r="C1011" s="53" t="s">
        <v>1036</v>
      </c>
      <c r="D1011" s="53"/>
    </row>
    <row r="1012" spans="1:4">
      <c r="A1012" s="90"/>
      <c r="B1012" s="90"/>
      <c r="C1012" s="53" t="s">
        <v>1037</v>
      </c>
      <c r="D1012" s="53"/>
    </row>
    <row r="1013" spans="1:4">
      <c r="A1013" s="90"/>
      <c r="B1013" s="90"/>
      <c r="C1013" s="53" t="s">
        <v>1038</v>
      </c>
      <c r="D1013" s="53"/>
    </row>
    <row r="1014" spans="1:4">
      <c r="A1014" s="90"/>
      <c r="B1014" s="90"/>
      <c r="C1014" s="53" t="s">
        <v>1039</v>
      </c>
      <c r="D1014" s="53"/>
    </row>
    <row r="1015" spans="1:4">
      <c r="A1015" s="90"/>
      <c r="B1015" s="90"/>
      <c r="C1015" s="53" t="s">
        <v>93</v>
      </c>
      <c r="D1015" s="53"/>
    </row>
    <row r="1016" spans="1:4">
      <c r="A1016" s="90"/>
      <c r="B1016" s="90"/>
      <c r="C1016" s="53" t="s">
        <v>1040</v>
      </c>
      <c r="D1016" s="53"/>
    </row>
    <row r="1017" spans="1:4">
      <c r="A1017" s="90"/>
      <c r="B1017" s="90"/>
      <c r="C1017" s="53" t="s">
        <v>100</v>
      </c>
      <c r="D1017" s="53"/>
    </row>
    <row r="1018" spans="1:4">
      <c r="A1018" s="90"/>
      <c r="B1018" s="90"/>
      <c r="C1018" s="53" t="s">
        <v>1041</v>
      </c>
      <c r="D1018" s="53"/>
    </row>
    <row r="1019" spans="1:4">
      <c r="A1019" s="90"/>
      <c r="B1019" s="90"/>
      <c r="C1019" s="53" t="s">
        <v>1042</v>
      </c>
      <c r="D1019" s="53"/>
    </row>
    <row r="1020" spans="1:4">
      <c r="A1020" s="90"/>
      <c r="B1020" s="90"/>
      <c r="C1020" s="53" t="s">
        <v>1043</v>
      </c>
      <c r="D1020" s="53"/>
    </row>
    <row r="1021" spans="1:4">
      <c r="A1021" s="90"/>
      <c r="B1021" s="90"/>
      <c r="C1021" s="53" t="s">
        <v>1044</v>
      </c>
      <c r="D1021" s="53"/>
    </row>
    <row r="1022" spans="1:4">
      <c r="A1022" s="90"/>
      <c r="B1022" s="90"/>
      <c r="C1022" s="53" t="s">
        <v>1045</v>
      </c>
      <c r="D1022" s="53"/>
    </row>
    <row r="1023" spans="1:4">
      <c r="A1023" s="90"/>
      <c r="B1023" s="90"/>
      <c r="C1023" s="53" t="s">
        <v>1046</v>
      </c>
      <c r="D1023" s="53"/>
    </row>
    <row r="1024" spans="1:4">
      <c r="A1024" s="90"/>
      <c r="B1024" s="90"/>
      <c r="C1024" s="53" t="s">
        <v>1047</v>
      </c>
      <c r="D1024" s="53"/>
    </row>
    <row r="1025" spans="1:5">
      <c r="A1025" s="90"/>
      <c r="B1025" s="90"/>
      <c r="C1025" s="53" t="s">
        <v>1048</v>
      </c>
      <c r="D1025" s="53"/>
    </row>
    <row r="1026" spans="1:5">
      <c r="A1026" s="90"/>
      <c r="B1026" s="90"/>
      <c r="C1026" s="53" t="s">
        <v>1049</v>
      </c>
      <c r="D1026" s="53"/>
    </row>
    <row r="1027" spans="1:5">
      <c r="A1027" s="90"/>
      <c r="B1027" s="90"/>
      <c r="C1027" s="53" t="s">
        <v>1050</v>
      </c>
      <c r="D1027" s="53"/>
    </row>
    <row r="1028" spans="1:5">
      <c r="A1028" s="90"/>
      <c r="B1028" s="90"/>
      <c r="C1028" s="53" t="s">
        <v>1051</v>
      </c>
      <c r="D1028" s="53"/>
    </row>
    <row r="1029" spans="1:5">
      <c r="A1029" s="90"/>
      <c r="B1029" s="90"/>
      <c r="C1029" s="53" t="s">
        <v>1052</v>
      </c>
      <c r="D1029" s="53"/>
    </row>
    <row r="1030" spans="1:5">
      <c r="A1030" s="90"/>
      <c r="B1030" s="90"/>
      <c r="C1030" s="53" t="s">
        <v>1053</v>
      </c>
      <c r="D1030" s="53"/>
    </row>
    <row r="1031" spans="1:5">
      <c r="A1031" s="90"/>
      <c r="B1031" s="90"/>
      <c r="C1031" s="129" t="s">
        <v>1054</v>
      </c>
      <c r="D1031" s="53"/>
      <c r="E1031" t="s">
        <v>169</v>
      </c>
    </row>
    <row r="1032" spans="1:5">
      <c r="A1032" s="90"/>
      <c r="B1032" s="90"/>
      <c r="C1032" s="53" t="s">
        <v>1055</v>
      </c>
      <c r="D1032" s="53"/>
    </row>
    <row r="1033" spans="1:5">
      <c r="A1033" s="90"/>
      <c r="B1033" s="90"/>
      <c r="C1033" s="53" t="s">
        <v>268</v>
      </c>
      <c r="D1033" s="53"/>
    </row>
    <row r="1034" spans="1:5">
      <c r="A1034" s="66" t="s">
        <v>1056</v>
      </c>
      <c r="B1034" s="66" t="s">
        <v>5</v>
      </c>
      <c r="C1034" s="55" t="s">
        <v>1057</v>
      </c>
      <c r="D1034" s="55"/>
      <c r="E1034" t="s">
        <v>1003</v>
      </c>
    </row>
    <row r="1035" spans="1:5">
      <c r="A1035" s="67"/>
      <c r="B1035" s="67"/>
      <c r="C1035" s="55" t="s">
        <v>1058</v>
      </c>
      <c r="D1035" s="55"/>
    </row>
    <row r="1036" spans="1:5">
      <c r="A1036" s="67"/>
      <c r="B1036" s="67"/>
      <c r="C1036" s="55" t="s">
        <v>268</v>
      </c>
      <c r="D1036" s="55"/>
    </row>
    <row r="1037" spans="1:5">
      <c r="A1037" s="89" t="s">
        <v>1059</v>
      </c>
      <c r="B1037" s="89" t="s">
        <v>5</v>
      </c>
      <c r="C1037" s="53" t="s">
        <v>1060</v>
      </c>
      <c r="D1037" s="53"/>
    </row>
    <row r="1038" spans="1:5" hidden="1">
      <c r="A1038" s="90"/>
      <c r="B1038" s="90"/>
      <c r="C1038" s="53" t="s">
        <v>1061</v>
      </c>
      <c r="D1038" s="53" t="s">
        <v>1062</v>
      </c>
    </row>
    <row r="1039" spans="1:5" hidden="1">
      <c r="A1039" s="90"/>
      <c r="B1039" s="90"/>
      <c r="C1039" s="53" t="s">
        <v>1063</v>
      </c>
      <c r="D1039" s="53" t="s">
        <v>1064</v>
      </c>
    </row>
    <row r="1040" spans="1:5" hidden="1">
      <c r="A1040" s="90"/>
      <c r="B1040" s="90"/>
      <c r="C1040" s="53" t="s">
        <v>1065</v>
      </c>
      <c r="D1040" s="53" t="s">
        <v>1066</v>
      </c>
    </row>
    <row r="1044" spans="4:4" hidden="1">
      <c r="D1044" s="17"/>
    </row>
    <row r="1045" spans="4:4" hidden="1">
      <c r="D1045" s="17"/>
    </row>
    <row r="1046" spans="4:4" hidden="1">
      <c r="D1046" s="17"/>
    </row>
    <row r="1047" spans="4:4" hidden="1">
      <c r="D1047" s="17"/>
    </row>
    <row r="1073" spans="1:3" s="11" customFormat="1" hidden="1"/>
    <row r="1074" spans="1:3" s="11" customFormat="1" hidden="1">
      <c r="A1074" s="42"/>
    </row>
    <row r="1075" spans="1:3" s="11" customFormat="1" hidden="1">
      <c r="C1075" s="17"/>
    </row>
    <row r="1076" spans="1:3" s="11" customFormat="1" hidden="1">
      <c r="C1076" s="17" t="s">
        <v>264</v>
      </c>
    </row>
    <row r="1077" spans="1:3" s="11" customFormat="1" hidden="1">
      <c r="C1077" s="17" t="s">
        <v>101</v>
      </c>
    </row>
    <row r="1078" spans="1:3" s="11" customFormat="1" hidden="1">
      <c r="C1078" s="17" t="s">
        <v>265</v>
      </c>
    </row>
    <row r="1079" spans="1:3" s="11" customFormat="1" hidden="1">
      <c r="C1079" s="17" t="s">
        <v>267</v>
      </c>
    </row>
    <row r="1080" spans="1:3" s="11" customFormat="1" hidden="1">
      <c r="C1080" s="17"/>
    </row>
    <row r="1081" spans="1:3" s="11" customFormat="1" hidden="1">
      <c r="C1081" s="17" t="s">
        <v>264</v>
      </c>
    </row>
    <row r="1082" spans="1:3" s="11" customFormat="1" hidden="1">
      <c r="C1082" s="17" t="s">
        <v>101</v>
      </c>
    </row>
    <row r="1083" spans="1:3" s="11" customFormat="1" hidden="1">
      <c r="C1083" s="17" t="s">
        <v>265</v>
      </c>
    </row>
    <row r="1084" spans="1:3" s="11" customFormat="1" hidden="1">
      <c r="C1084" s="17" t="s">
        <v>267</v>
      </c>
    </row>
    <row r="1085" spans="1:3" s="11" customFormat="1" hidden="1">
      <c r="C1085" s="17" t="s">
        <v>266</v>
      </c>
    </row>
    <row r="1086" spans="1:3" s="11" customFormat="1" hidden="1">
      <c r="C1086" s="17"/>
    </row>
    <row r="1087" spans="1:3" s="11" customFormat="1" hidden="1">
      <c r="C1087" s="17" t="s">
        <v>264</v>
      </c>
    </row>
    <row r="1088" spans="1:3" s="11" customFormat="1" hidden="1">
      <c r="C1088" s="17" t="s">
        <v>101</v>
      </c>
    </row>
    <row r="1089" spans="3:3" s="11" customFormat="1" hidden="1">
      <c r="C1089" s="17" t="s">
        <v>267</v>
      </c>
    </row>
    <row r="1090" spans="3:3" s="11" customFormat="1" hidden="1">
      <c r="C1090" s="17"/>
    </row>
    <row r="1091" spans="3:3" s="11" customFormat="1" hidden="1">
      <c r="C1091" s="17" t="s">
        <v>851</v>
      </c>
    </row>
    <row r="1092" spans="3:3" s="11" customFormat="1" hidden="1">
      <c r="C1092" s="17" t="s">
        <v>268</v>
      </c>
    </row>
    <row r="1093" spans="3:3" s="11" customFormat="1" hidden="1">
      <c r="C1093" s="17"/>
    </row>
    <row r="1094" spans="3:3" s="11" customFormat="1" hidden="1">
      <c r="C1094" s="17" t="s">
        <v>395</v>
      </c>
    </row>
    <row r="1095" spans="3:3" s="11" customFormat="1" hidden="1">
      <c r="C1095" s="17" t="s">
        <v>697</v>
      </c>
    </row>
    <row r="1096" spans="3:3" s="11" customFormat="1" hidden="1">
      <c r="C1096" s="17" t="s">
        <v>698</v>
      </c>
    </row>
    <row r="1097" spans="3:3" s="11" customFormat="1" hidden="1">
      <c r="C1097" s="17" t="s">
        <v>701</v>
      </c>
    </row>
    <row r="1098" spans="3:3" s="11" customFormat="1" hidden="1">
      <c r="C1098" s="17" t="s">
        <v>702</v>
      </c>
    </row>
    <row r="1099" spans="3:3" s="11" customFormat="1" hidden="1">
      <c r="C1099" s="17" t="s">
        <v>703</v>
      </c>
    </row>
    <row r="1100" spans="3:3" s="11" customFormat="1" hidden="1">
      <c r="C1100" s="17" t="s">
        <v>704</v>
      </c>
    </row>
    <row r="1101" spans="3:3" s="11" customFormat="1" hidden="1">
      <c r="C1101" s="17" t="s">
        <v>705</v>
      </c>
    </row>
    <row r="1102" spans="3:3" s="11" customFormat="1" hidden="1">
      <c r="C1102" s="17" t="s">
        <v>706</v>
      </c>
    </row>
    <row r="1103" spans="3:3" s="11" customFormat="1" hidden="1">
      <c r="C1103" s="17" t="s">
        <v>708</v>
      </c>
    </row>
    <row r="1104" spans="3:3" s="11" customFormat="1" hidden="1">
      <c r="C1104" s="17" t="s">
        <v>441</v>
      </c>
    </row>
    <row r="1105" spans="3:3" s="11" customFormat="1" hidden="1">
      <c r="C1105" s="17" t="s">
        <v>268</v>
      </c>
    </row>
    <row r="1106" spans="3:3" s="11" customFormat="1" hidden="1">
      <c r="C1106" s="17"/>
    </row>
    <row r="1107" spans="3:3" s="11" customFormat="1" hidden="1">
      <c r="C1107" s="17"/>
    </row>
    <row r="1108" spans="3:3" hidden="1">
      <c r="C1108" s="17" t="s">
        <v>849</v>
      </c>
    </row>
    <row r="1109" spans="3:3" s="11" customFormat="1" hidden="1">
      <c r="C1109" s="17" t="s">
        <v>850</v>
      </c>
    </row>
    <row r="1110" spans="3:3" s="11" customFormat="1" hidden="1">
      <c r="C1110" s="17" t="s">
        <v>852</v>
      </c>
    </row>
    <row r="1111" spans="3:3" s="11" customFormat="1" hidden="1">
      <c r="C1111" s="17" t="s">
        <v>268</v>
      </c>
    </row>
    <row r="1112" spans="3:3" s="11" customFormat="1" hidden="1">
      <c r="C1112" s="17"/>
    </row>
    <row r="1113" spans="3:3" s="11" customFormat="1" hidden="1">
      <c r="C1113" s="17" t="s">
        <v>275</v>
      </c>
    </row>
    <row r="1114" spans="3:3" s="11" customFormat="1" hidden="1">
      <c r="C1114" s="17" t="s">
        <v>276</v>
      </c>
    </row>
    <row r="1115" spans="3:3" s="11" customFormat="1" hidden="1">
      <c r="C1115" s="17" t="s">
        <v>33</v>
      </c>
    </row>
    <row r="1116" spans="3:3" s="11" customFormat="1" hidden="1">
      <c r="C1116" s="17" t="s">
        <v>268</v>
      </c>
    </row>
    <row r="1117" spans="3:3" s="11" customFormat="1" hidden="1">
      <c r="C1117" s="17"/>
    </row>
    <row r="1118" spans="3:3" s="11" customFormat="1" hidden="1">
      <c r="C1118" s="17" t="s">
        <v>281</v>
      </c>
    </row>
    <row r="1119" spans="3:3" s="11" customFormat="1" hidden="1">
      <c r="C1119" s="17" t="s">
        <v>1067</v>
      </c>
    </row>
    <row r="1120" spans="3:3" s="11" customFormat="1" hidden="1">
      <c r="C1120" s="17"/>
    </row>
    <row r="1121" spans="3:3" hidden="1">
      <c r="C1121" s="17" t="s">
        <v>281</v>
      </c>
    </row>
    <row r="1122" spans="3:3" s="11" customFormat="1" hidden="1">
      <c r="C1122" s="17" t="s">
        <v>283</v>
      </c>
    </row>
    <row r="1123" spans="3:3" s="11" customFormat="1" hidden="1">
      <c r="C1123" s="17" t="s">
        <v>285</v>
      </c>
    </row>
    <row r="1124" spans="3:3" s="11" customFormat="1" hidden="1">
      <c r="C1124" s="17" t="s">
        <v>287</v>
      </c>
    </row>
    <row r="1125" spans="3:3" hidden="1">
      <c r="C1125" s="17" t="s">
        <v>292</v>
      </c>
    </row>
    <row r="1126" spans="3:3" hidden="1">
      <c r="C1126" s="17" t="s">
        <v>268</v>
      </c>
    </row>
    <row r="1129" spans="3:3" hidden="1">
      <c r="C1129" s="17" t="s">
        <v>391</v>
      </c>
    </row>
    <row r="1130" spans="3:3" hidden="1">
      <c r="C1130" s="17" t="s">
        <v>392</v>
      </c>
    </row>
    <row r="1131" spans="3:3" hidden="1">
      <c r="C1131" s="17" t="s">
        <v>394</v>
      </c>
    </row>
    <row r="1132" spans="3:3" hidden="1">
      <c r="C1132" s="17" t="s">
        <v>395</v>
      </c>
    </row>
    <row r="1133" spans="3:3" hidden="1">
      <c r="C1133" s="17" t="s">
        <v>396</v>
      </c>
    </row>
    <row r="1134" spans="3:3" hidden="1">
      <c r="C1134" s="17" t="s">
        <v>398</v>
      </c>
    </row>
    <row r="1135" spans="3:3" hidden="1">
      <c r="C1135" s="17" t="s">
        <v>399</v>
      </c>
    </row>
    <row r="1136" spans="3:3" hidden="1">
      <c r="C1136" s="17" t="s">
        <v>400</v>
      </c>
    </row>
    <row r="1137" spans="3:3" hidden="1">
      <c r="C1137" s="17" t="s">
        <v>401</v>
      </c>
    </row>
    <row r="1138" spans="3:3" hidden="1">
      <c r="C1138" s="17" t="s">
        <v>402</v>
      </c>
    </row>
    <row r="1139" spans="3:3" hidden="1">
      <c r="C1139" s="17" t="s">
        <v>403</v>
      </c>
    </row>
    <row r="1140" spans="3:3" hidden="1">
      <c r="C1140" s="17" t="s">
        <v>404</v>
      </c>
    </row>
    <row r="1141" spans="3:3" hidden="1">
      <c r="C1141" s="17" t="s">
        <v>405</v>
      </c>
    </row>
    <row r="1142" spans="3:3" hidden="1">
      <c r="C1142" s="17" t="s">
        <v>406</v>
      </c>
    </row>
    <row r="1143" spans="3:3" hidden="1">
      <c r="C1143" s="17" t="s">
        <v>407</v>
      </c>
    </row>
    <row r="1144" spans="3:3" hidden="1">
      <c r="C1144" s="17" t="s">
        <v>409</v>
      </c>
    </row>
    <row r="1145" spans="3:3" hidden="1">
      <c r="C1145" s="17" t="s">
        <v>410</v>
      </c>
    </row>
    <row r="1146" spans="3:3" hidden="1">
      <c r="C1146" s="17" t="s">
        <v>411</v>
      </c>
    </row>
    <row r="1147" spans="3:3" hidden="1">
      <c r="C1147" s="17" t="s">
        <v>413</v>
      </c>
    </row>
    <row r="1148" spans="3:3" hidden="1">
      <c r="C1148" s="17" t="s">
        <v>414</v>
      </c>
    </row>
    <row r="1149" spans="3:3" hidden="1">
      <c r="C1149" s="17" t="s">
        <v>415</v>
      </c>
    </row>
    <row r="1150" spans="3:3" hidden="1">
      <c r="C1150" s="17" t="s">
        <v>416</v>
      </c>
    </row>
    <row r="1151" spans="3:3" hidden="1">
      <c r="C1151" s="17" t="s">
        <v>417</v>
      </c>
    </row>
    <row r="1152" spans="3:3" hidden="1">
      <c r="C1152" s="17" t="s">
        <v>418</v>
      </c>
    </row>
    <row r="1153" spans="3:3" hidden="1">
      <c r="C1153" s="17" t="s">
        <v>419</v>
      </c>
    </row>
    <row r="1154" spans="3:3" hidden="1">
      <c r="C1154" s="17" t="s">
        <v>420</v>
      </c>
    </row>
    <row r="1155" spans="3:3" hidden="1">
      <c r="C1155" s="17" t="s">
        <v>421</v>
      </c>
    </row>
    <row r="1156" spans="3:3" hidden="1">
      <c r="C1156" s="17" t="s">
        <v>422</v>
      </c>
    </row>
    <row r="1157" spans="3:3" hidden="1">
      <c r="C1157" s="17" t="s">
        <v>423</v>
      </c>
    </row>
    <row r="1158" spans="3:3" hidden="1">
      <c r="C1158" s="17" t="s">
        <v>424</v>
      </c>
    </row>
    <row r="1159" spans="3:3" hidden="1">
      <c r="C1159" s="17" t="s">
        <v>425</v>
      </c>
    </row>
    <row r="1160" spans="3:3" hidden="1">
      <c r="C1160" s="17" t="s">
        <v>426</v>
      </c>
    </row>
    <row r="1161" spans="3:3" hidden="1">
      <c r="C1161" s="17" t="s">
        <v>427</v>
      </c>
    </row>
    <row r="1162" spans="3:3" hidden="1">
      <c r="C1162" s="17" t="s">
        <v>428</v>
      </c>
    </row>
    <row r="1163" spans="3:3" ht="14.45" hidden="1" customHeight="1">
      <c r="C1163" s="17" t="s">
        <v>429</v>
      </c>
    </row>
    <row r="1164" spans="3:3" hidden="1">
      <c r="C1164" s="17" t="s">
        <v>431</v>
      </c>
    </row>
    <row r="1165" spans="3:3" hidden="1">
      <c r="C1165" s="17" t="s">
        <v>432</v>
      </c>
    </row>
    <row r="1166" spans="3:3" hidden="1">
      <c r="C1166" s="17" t="s">
        <v>433</v>
      </c>
    </row>
    <row r="1167" spans="3:3" hidden="1">
      <c r="C1167" s="17" t="s">
        <v>434</v>
      </c>
    </row>
    <row r="1168" spans="3:3" hidden="1">
      <c r="C1168" s="17" t="s">
        <v>436</v>
      </c>
    </row>
    <row r="1169" spans="3:3" hidden="1">
      <c r="C1169" s="17" t="s">
        <v>440</v>
      </c>
    </row>
    <row r="1170" spans="3:3" hidden="1">
      <c r="C1170" s="17" t="s">
        <v>268</v>
      </c>
    </row>
    <row r="1171" spans="3:3" hidden="1">
      <c r="C1171" s="17" t="s">
        <v>442</v>
      </c>
    </row>
    <row r="1172" spans="3:3" hidden="1">
      <c r="C1172" s="17" t="s">
        <v>443</v>
      </c>
    </row>
    <row r="1173" spans="3:3" hidden="1">
      <c r="C1173" s="17" t="s">
        <v>444</v>
      </c>
    </row>
    <row r="1174" spans="3:3" hidden="1">
      <c r="C1174" s="17" t="s">
        <v>445</v>
      </c>
    </row>
    <row r="1175" spans="3:3" hidden="1">
      <c r="C1175" s="17" t="s">
        <v>446</v>
      </c>
    </row>
    <row r="1176" spans="3:3" hidden="1">
      <c r="C1176" s="17" t="s">
        <v>447</v>
      </c>
    </row>
    <row r="1177" spans="3:3" hidden="1">
      <c r="C1177" s="17" t="s">
        <v>448</v>
      </c>
    </row>
    <row r="1178" spans="3:3" hidden="1">
      <c r="C1178" s="17" t="s">
        <v>449</v>
      </c>
    </row>
    <row r="1179" spans="3:3" hidden="1">
      <c r="C1179" s="17" t="s">
        <v>450</v>
      </c>
    </row>
    <row r="1180" spans="3:3" hidden="1">
      <c r="C1180" s="17" t="s">
        <v>451</v>
      </c>
    </row>
    <row r="1181" spans="3:3" hidden="1">
      <c r="C1181" s="17" t="s">
        <v>452</v>
      </c>
    </row>
    <row r="1182" spans="3:3" hidden="1">
      <c r="C1182" s="17" t="s">
        <v>453</v>
      </c>
    </row>
    <row r="1183" spans="3:3" hidden="1">
      <c r="C1183" s="17" t="s">
        <v>454</v>
      </c>
    </row>
    <row r="1184" spans="3:3" hidden="1">
      <c r="C1184" s="17" t="s">
        <v>455</v>
      </c>
    </row>
    <row r="1185" spans="3:3" hidden="1">
      <c r="C1185" s="17" t="s">
        <v>456</v>
      </c>
    </row>
    <row r="1186" spans="3:3" hidden="1">
      <c r="C1186" s="17" t="s">
        <v>457</v>
      </c>
    </row>
    <row r="1187" spans="3:3" hidden="1">
      <c r="C1187" s="17" t="s">
        <v>458</v>
      </c>
    </row>
    <row r="1188" spans="3:3" hidden="1">
      <c r="C1188" s="17" t="s">
        <v>459</v>
      </c>
    </row>
    <row r="1189" spans="3:3" hidden="1">
      <c r="C1189" s="17" t="s">
        <v>461</v>
      </c>
    </row>
    <row r="1190" spans="3:3" hidden="1">
      <c r="C1190" s="17" t="s">
        <v>463</v>
      </c>
    </row>
    <row r="1191" spans="3:3" hidden="1">
      <c r="C1191" s="17" t="s">
        <v>465</v>
      </c>
    </row>
    <row r="1192" spans="3:3" hidden="1">
      <c r="C1192" s="128" t="s">
        <v>466</v>
      </c>
    </row>
    <row r="1193" spans="3:3" hidden="1">
      <c r="C1193" s="17" t="s">
        <v>468</v>
      </c>
    </row>
    <row r="1194" spans="3:3" hidden="1">
      <c r="C1194" s="17" t="s">
        <v>469</v>
      </c>
    </row>
    <row r="1195" spans="3:3" hidden="1">
      <c r="C1195" s="17" t="s">
        <v>470</v>
      </c>
    </row>
    <row r="1196" spans="3:3" hidden="1">
      <c r="C1196" s="17" t="s">
        <v>471</v>
      </c>
    </row>
    <row r="1197" spans="3:3" hidden="1">
      <c r="C1197" s="17" t="s">
        <v>472</v>
      </c>
    </row>
    <row r="1198" spans="3:3" hidden="1">
      <c r="C1198" s="17" t="s">
        <v>473</v>
      </c>
    </row>
    <row r="1199" spans="3:3" hidden="1">
      <c r="C1199" s="17" t="s">
        <v>474</v>
      </c>
    </row>
    <row r="1200" spans="3:3" hidden="1">
      <c r="C1200" s="17" t="s">
        <v>475</v>
      </c>
    </row>
    <row r="1201" spans="3:3" hidden="1">
      <c r="C1201" s="17" t="s">
        <v>477</v>
      </c>
    </row>
    <row r="1202" spans="3:3" hidden="1">
      <c r="C1202" s="17" t="s">
        <v>478</v>
      </c>
    </row>
    <row r="1203" spans="3:3" hidden="1">
      <c r="C1203" s="17" t="s">
        <v>480</v>
      </c>
    </row>
    <row r="1204" spans="3:3" hidden="1">
      <c r="C1204" s="17" t="s">
        <v>481</v>
      </c>
    </row>
    <row r="1205" spans="3:3" hidden="1">
      <c r="C1205" s="17" t="s">
        <v>482</v>
      </c>
    </row>
    <row r="1206" spans="3:3" hidden="1">
      <c r="C1206" s="17" t="s">
        <v>483</v>
      </c>
    </row>
    <row r="1207" spans="3:3" hidden="1">
      <c r="C1207" s="17" t="s">
        <v>484</v>
      </c>
    </row>
    <row r="1208" spans="3:3" hidden="1">
      <c r="C1208" s="17" t="s">
        <v>486</v>
      </c>
    </row>
    <row r="1209" spans="3:3" hidden="1">
      <c r="C1209" s="17" t="s">
        <v>487</v>
      </c>
    </row>
    <row r="1210" spans="3:3" hidden="1">
      <c r="C1210" s="17" t="s">
        <v>488</v>
      </c>
    </row>
    <row r="1211" spans="3:3" hidden="1">
      <c r="C1211" s="17" t="s">
        <v>489</v>
      </c>
    </row>
    <row r="1212" spans="3:3" hidden="1">
      <c r="C1212" s="17" t="s">
        <v>490</v>
      </c>
    </row>
    <row r="1213" spans="3:3" hidden="1">
      <c r="C1213" s="17" t="s">
        <v>491</v>
      </c>
    </row>
    <row r="1214" spans="3:3" hidden="1">
      <c r="C1214" s="17" t="s">
        <v>492</v>
      </c>
    </row>
    <row r="1215" spans="3:3" hidden="1">
      <c r="C1215" s="17" t="s">
        <v>493</v>
      </c>
    </row>
    <row r="1216" spans="3:3" hidden="1">
      <c r="C1216" s="17" t="s">
        <v>495</v>
      </c>
    </row>
    <row r="1217" spans="3:3" hidden="1">
      <c r="C1217" s="17" t="s">
        <v>496</v>
      </c>
    </row>
    <row r="1218" spans="3:3" hidden="1">
      <c r="C1218" s="17" t="s">
        <v>497</v>
      </c>
    </row>
    <row r="1219" spans="3:3" hidden="1">
      <c r="C1219" s="17" t="s">
        <v>498</v>
      </c>
    </row>
    <row r="1220" spans="3:3" hidden="1">
      <c r="C1220" s="17" t="s">
        <v>499</v>
      </c>
    </row>
    <row r="1221" spans="3:3" hidden="1">
      <c r="C1221" s="17" t="s">
        <v>500</v>
      </c>
    </row>
    <row r="1222" spans="3:3" hidden="1">
      <c r="C1222" s="17" t="s">
        <v>501</v>
      </c>
    </row>
    <row r="1223" spans="3:3" hidden="1">
      <c r="C1223" s="17" t="s">
        <v>502</v>
      </c>
    </row>
    <row r="1224" spans="3:3" hidden="1">
      <c r="C1224" s="17" t="s">
        <v>503</v>
      </c>
    </row>
    <row r="1225" spans="3:3" hidden="1">
      <c r="C1225" s="17" t="s">
        <v>504</v>
      </c>
    </row>
    <row r="1226" spans="3:3" hidden="1">
      <c r="C1226" s="17" t="s">
        <v>505</v>
      </c>
    </row>
    <row r="1227" spans="3:3" hidden="1">
      <c r="C1227" s="17" t="s">
        <v>506</v>
      </c>
    </row>
    <row r="1228" spans="3:3" hidden="1">
      <c r="C1228" s="17" t="s">
        <v>507</v>
      </c>
    </row>
    <row r="1229" spans="3:3" hidden="1">
      <c r="C1229" s="17" t="s">
        <v>508</v>
      </c>
    </row>
    <row r="1230" spans="3:3" hidden="1">
      <c r="C1230" s="17" t="s">
        <v>509</v>
      </c>
    </row>
    <row r="1231" spans="3:3" hidden="1">
      <c r="C1231" s="17" t="s">
        <v>510</v>
      </c>
    </row>
    <row r="1232" spans="3:3" hidden="1">
      <c r="C1232" s="17" t="s">
        <v>511</v>
      </c>
    </row>
    <row r="1233" spans="3:3" hidden="1">
      <c r="C1233" s="17" t="s">
        <v>512</v>
      </c>
    </row>
    <row r="1234" spans="3:3" hidden="1">
      <c r="C1234" s="17" t="s">
        <v>513</v>
      </c>
    </row>
    <row r="1235" spans="3:3" hidden="1">
      <c r="C1235" s="17" t="s">
        <v>514</v>
      </c>
    </row>
    <row r="1236" spans="3:3" hidden="1">
      <c r="C1236" s="17" t="s">
        <v>515</v>
      </c>
    </row>
    <row r="1237" spans="3:3" hidden="1">
      <c r="C1237" s="17" t="s">
        <v>517</v>
      </c>
    </row>
    <row r="1238" spans="3:3" hidden="1">
      <c r="C1238" s="17" t="s">
        <v>518</v>
      </c>
    </row>
    <row r="1239" spans="3:3" hidden="1">
      <c r="C1239" s="17" t="s">
        <v>519</v>
      </c>
    </row>
    <row r="1240" spans="3:3" hidden="1">
      <c r="C1240" s="17" t="s">
        <v>520</v>
      </c>
    </row>
    <row r="1241" spans="3:3" hidden="1">
      <c r="C1241" s="17" t="s">
        <v>521</v>
      </c>
    </row>
    <row r="1242" spans="3:3" hidden="1">
      <c r="C1242" s="17" t="s">
        <v>522</v>
      </c>
    </row>
    <row r="1243" spans="3:3" hidden="1">
      <c r="C1243" s="17" t="s">
        <v>523</v>
      </c>
    </row>
    <row r="1244" spans="3:3" hidden="1">
      <c r="C1244" s="17" t="s">
        <v>524</v>
      </c>
    </row>
    <row r="1245" spans="3:3" hidden="1">
      <c r="C1245" s="17" t="s">
        <v>525</v>
      </c>
    </row>
    <row r="1248" spans="3:3" hidden="1">
      <c r="C1248" s="17" t="s">
        <v>282</v>
      </c>
    </row>
    <row r="1249" spans="3:3" hidden="1">
      <c r="C1249" s="17" t="s">
        <v>283</v>
      </c>
    </row>
    <row r="1250" spans="3:3" hidden="1">
      <c r="C1250" s="17" t="s">
        <v>285</v>
      </c>
    </row>
    <row r="1251" spans="3:3" hidden="1">
      <c r="C1251" s="17" t="s">
        <v>288</v>
      </c>
    </row>
    <row r="1252" spans="3:3" hidden="1">
      <c r="C1252" s="17" t="s">
        <v>290</v>
      </c>
    </row>
    <row r="1253" spans="3:3" hidden="1">
      <c r="C1253" s="17" t="s">
        <v>268</v>
      </c>
    </row>
    <row r="1255" spans="3:3" hidden="1">
      <c r="C1255" s="17" t="s">
        <v>282</v>
      </c>
    </row>
    <row r="1256" spans="3:3" hidden="1">
      <c r="C1256" s="17" t="s">
        <v>287</v>
      </c>
    </row>
    <row r="1257" spans="3:3" hidden="1">
      <c r="C1257" s="17" t="s">
        <v>292</v>
      </c>
    </row>
    <row r="1258" spans="3:3" hidden="1">
      <c r="C1258" s="17" t="s">
        <v>283</v>
      </c>
    </row>
    <row r="1259" spans="3:3" hidden="1">
      <c r="C1259" s="17" t="s">
        <v>268</v>
      </c>
    </row>
    <row r="1261" spans="3:3" hidden="1">
      <c r="C1261" s="17" t="s">
        <v>281</v>
      </c>
    </row>
    <row r="1262" spans="3:3" hidden="1">
      <c r="C1262" s="17" t="s">
        <v>283</v>
      </c>
    </row>
    <row r="1263" spans="3:3" hidden="1">
      <c r="C1263" s="17" t="s">
        <v>290</v>
      </c>
    </row>
    <row r="1264" spans="3:3" hidden="1">
      <c r="C1264" s="17" t="s">
        <v>288</v>
      </c>
    </row>
    <row r="1265" spans="3:3" hidden="1">
      <c r="C1265" s="17" t="s">
        <v>268</v>
      </c>
    </row>
    <row r="1267" spans="3:3" hidden="1">
      <c r="C1267" s="17" t="s">
        <v>282</v>
      </c>
    </row>
    <row r="1268" spans="3:3" hidden="1">
      <c r="C1268" s="17" t="s">
        <v>283</v>
      </c>
    </row>
    <row r="1269" spans="3:3" hidden="1">
      <c r="C1269" s="17" t="s">
        <v>268</v>
      </c>
    </row>
    <row r="1272" spans="3:3" hidden="1">
      <c r="C1272" s="17" t="s">
        <v>281</v>
      </c>
    </row>
    <row r="1273" spans="3:3" hidden="1">
      <c r="C1273" s="17" t="s">
        <v>283</v>
      </c>
    </row>
    <row r="1274" spans="3:3" hidden="1">
      <c r="C1274" s="17" t="s">
        <v>285</v>
      </c>
    </row>
    <row r="1275" spans="3:3" hidden="1">
      <c r="C1275" s="17" t="s">
        <v>287</v>
      </c>
    </row>
    <row r="1276" spans="3:3" hidden="1">
      <c r="C1276" s="17" t="s">
        <v>288</v>
      </c>
    </row>
    <row r="1277" spans="3:3" hidden="1">
      <c r="C1277" s="17" t="s">
        <v>289</v>
      </c>
    </row>
    <row r="1278" spans="3:3" hidden="1">
      <c r="C1278" s="17" t="s">
        <v>290</v>
      </c>
    </row>
    <row r="1279" spans="3:3" hidden="1">
      <c r="C1279" s="17" t="s">
        <v>291</v>
      </c>
    </row>
    <row r="1280" spans="3:3" hidden="1">
      <c r="C1280" s="17" t="s">
        <v>292</v>
      </c>
    </row>
    <row r="1281" spans="3:3" hidden="1">
      <c r="C1281" s="17" t="s">
        <v>268</v>
      </c>
    </row>
    <row r="1283" spans="3:3" hidden="1">
      <c r="C1283" s="17" t="s">
        <v>31</v>
      </c>
    </row>
    <row r="1284" spans="3:3" hidden="1">
      <c r="C1284" s="17" t="s">
        <v>296</v>
      </c>
    </row>
    <row r="1285" spans="3:3" hidden="1">
      <c r="C1285" s="17" t="s">
        <v>298</v>
      </c>
    </row>
    <row r="1286" spans="3:3" hidden="1">
      <c r="C1286" s="17" t="s">
        <v>300</v>
      </c>
    </row>
    <row r="1287" spans="3:3" hidden="1">
      <c r="C1287" s="17" t="s">
        <v>302</v>
      </c>
    </row>
    <row r="1288" spans="3:3" hidden="1">
      <c r="C1288" s="17" t="s">
        <v>304</v>
      </c>
    </row>
    <row r="1289" spans="3:3" hidden="1">
      <c r="C1289" s="17" t="s">
        <v>306</v>
      </c>
    </row>
    <row r="1290" spans="3:3" hidden="1">
      <c r="C1290" s="17" t="s">
        <v>308</v>
      </c>
    </row>
    <row r="1291" spans="3:3" hidden="1">
      <c r="C1291" s="17" t="s">
        <v>310</v>
      </c>
    </row>
    <row r="1292" spans="3:3" hidden="1">
      <c r="C1292" s="17" t="s">
        <v>312</v>
      </c>
    </row>
    <row r="1293" spans="3:3" hidden="1">
      <c r="C1293" s="17" t="s">
        <v>314</v>
      </c>
    </row>
    <row r="1294" spans="3:3" hidden="1">
      <c r="C1294" s="17" t="s">
        <v>316</v>
      </c>
    </row>
    <row r="1295" spans="3:3" hidden="1">
      <c r="C1295" s="17" t="s">
        <v>318</v>
      </c>
    </row>
    <row r="1296" spans="3:3" hidden="1">
      <c r="C1296" s="17" t="s">
        <v>320</v>
      </c>
    </row>
    <row r="1297" spans="3:3" hidden="1">
      <c r="C1297" s="17" t="s">
        <v>322</v>
      </c>
    </row>
    <row r="1298" spans="3:3" hidden="1">
      <c r="C1298" s="17" t="s">
        <v>324</v>
      </c>
    </row>
    <row r="1299" spans="3:3" hidden="1">
      <c r="C1299" s="17" t="s">
        <v>326</v>
      </c>
    </row>
    <row r="1300" spans="3:3" hidden="1">
      <c r="C1300" s="17" t="s">
        <v>328</v>
      </c>
    </row>
    <row r="1301" spans="3:3" hidden="1">
      <c r="C1301" s="17" t="s">
        <v>330</v>
      </c>
    </row>
    <row r="1302" spans="3:3" hidden="1">
      <c r="C1302" s="17" t="s">
        <v>332</v>
      </c>
    </row>
    <row r="1303" spans="3:3" hidden="1">
      <c r="C1303" s="17" t="s">
        <v>334</v>
      </c>
    </row>
    <row r="1304" spans="3:3" hidden="1">
      <c r="C1304" s="17" t="s">
        <v>336</v>
      </c>
    </row>
    <row r="1305" spans="3:3" hidden="1">
      <c r="C1305" s="17" t="s">
        <v>338</v>
      </c>
    </row>
    <row r="1306" spans="3:3" hidden="1">
      <c r="C1306" s="17" t="s">
        <v>340</v>
      </c>
    </row>
    <row r="1307" spans="3:3" hidden="1">
      <c r="C1307" s="17" t="s">
        <v>342</v>
      </c>
    </row>
    <row r="1308" spans="3:3" hidden="1">
      <c r="C1308" s="17" t="s">
        <v>344</v>
      </c>
    </row>
    <row r="1309" spans="3:3" hidden="1">
      <c r="C1309" s="17" t="s">
        <v>346</v>
      </c>
    </row>
    <row r="1310" spans="3:3" hidden="1">
      <c r="C1310" s="17" t="s">
        <v>348</v>
      </c>
    </row>
    <row r="1311" spans="3:3" hidden="1">
      <c r="C1311" s="17" t="s">
        <v>350</v>
      </c>
    </row>
    <row r="1312" spans="3:3" hidden="1">
      <c r="C1312" s="17" t="s">
        <v>352</v>
      </c>
    </row>
    <row r="1313" spans="3:3" hidden="1">
      <c r="C1313" s="17" t="s">
        <v>354</v>
      </c>
    </row>
    <row r="1314" spans="3:3" hidden="1">
      <c r="C1314" s="17" t="s">
        <v>356</v>
      </c>
    </row>
    <row r="1315" spans="3:3" hidden="1">
      <c r="C1315" s="17" t="s">
        <v>268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hidden="1" customWidth="1"/>
  </cols>
  <sheetData>
    <row r="1" spans="1:5" ht="15.75">
      <c r="A1" s="106" t="s">
        <v>1068</v>
      </c>
      <c r="B1" s="107" t="s">
        <v>1069</v>
      </c>
      <c r="C1" s="107" t="s">
        <v>1070</v>
      </c>
      <c r="D1" s="108" t="s">
        <v>1071</v>
      </c>
      <c r="E1" s="122"/>
    </row>
    <row r="2" spans="1:5" ht="15.75" outlineLevel="1">
      <c r="A2" s="38" t="s">
        <v>908</v>
      </c>
      <c r="B2" s="39" t="s">
        <v>0</v>
      </c>
      <c r="C2" s="38">
        <v>5.0999999999999996</v>
      </c>
      <c r="D2" s="110"/>
    </row>
    <row r="3" spans="1:5" ht="15.75" outlineLevel="1">
      <c r="A3" s="38" t="s">
        <v>908</v>
      </c>
      <c r="B3" s="39" t="s">
        <v>1</v>
      </c>
      <c r="C3" s="38">
        <v>5.2</v>
      </c>
      <c r="D3" s="110"/>
    </row>
    <row r="4" spans="1:5" ht="15.75" outlineLevel="1">
      <c r="A4" s="38" t="s">
        <v>908</v>
      </c>
      <c r="B4" s="39" t="s">
        <v>121</v>
      </c>
      <c r="C4" s="38">
        <v>5.4</v>
      </c>
      <c r="D4" s="110"/>
    </row>
    <row r="5" spans="1:5" ht="15.75" outlineLevel="1">
      <c r="A5" s="38" t="s">
        <v>908</v>
      </c>
      <c r="B5" s="39" t="s">
        <v>122</v>
      </c>
      <c r="C5" s="38">
        <v>5.7</v>
      </c>
      <c r="D5" s="110"/>
    </row>
    <row r="6" spans="1:5" ht="15.75" outlineLevel="1">
      <c r="A6" s="38" t="s">
        <v>908</v>
      </c>
      <c r="B6" s="39" t="s">
        <v>123</v>
      </c>
      <c r="C6" s="38">
        <v>5.1100000000000003</v>
      </c>
      <c r="D6" s="110"/>
    </row>
    <row r="7" spans="1:5" ht="15.75" outlineLevel="1">
      <c r="A7" s="38" t="s">
        <v>908</v>
      </c>
      <c r="B7" s="39" t="s">
        <v>5</v>
      </c>
      <c r="C7" s="38">
        <v>5.26</v>
      </c>
      <c r="D7" s="110"/>
    </row>
    <row r="8" spans="1:5" ht="15.75" outlineLevel="1">
      <c r="A8" s="38" t="s">
        <v>908</v>
      </c>
      <c r="B8" s="39" t="s">
        <v>6</v>
      </c>
      <c r="C8" s="38">
        <v>5.27</v>
      </c>
      <c r="D8" s="110"/>
    </row>
    <row r="9" spans="1:5" ht="15.75" outlineLevel="1">
      <c r="A9" s="38" t="s">
        <v>908</v>
      </c>
      <c r="B9" s="39" t="s">
        <v>80</v>
      </c>
      <c r="C9" s="38">
        <v>5.36</v>
      </c>
      <c r="D9" s="110"/>
    </row>
    <row r="10" spans="1:5" ht="15.75" outlineLevel="1">
      <c r="A10" s="38" t="s">
        <v>908</v>
      </c>
      <c r="B10" s="39" t="s">
        <v>125</v>
      </c>
      <c r="C10" s="40">
        <v>5.5</v>
      </c>
      <c r="D10" s="110"/>
    </row>
    <row r="11" spans="1:5" ht="15.75" outlineLevel="1">
      <c r="A11" s="38" t="s">
        <v>908</v>
      </c>
      <c r="B11" s="39" t="s">
        <v>10</v>
      </c>
      <c r="C11" s="38">
        <v>5.51</v>
      </c>
      <c r="D11" s="110"/>
    </row>
    <row r="12" spans="1:5" ht="15.75" outlineLevel="1">
      <c r="A12" s="38" t="s">
        <v>908</v>
      </c>
      <c r="B12" s="39" t="s">
        <v>11</v>
      </c>
      <c r="C12" s="38">
        <v>5.53</v>
      </c>
      <c r="D12" s="110"/>
    </row>
    <row r="13" spans="1:5" ht="15.75" outlineLevel="1">
      <c r="A13" s="38" t="s">
        <v>908</v>
      </c>
      <c r="B13" s="39" t="s">
        <v>90</v>
      </c>
      <c r="C13" s="38">
        <v>5.59</v>
      </c>
      <c r="D13" s="110"/>
    </row>
    <row r="14" spans="1:5" ht="15.75" outlineLevel="1">
      <c r="A14" s="38" t="s">
        <v>908</v>
      </c>
      <c r="B14" s="39" t="s">
        <v>18</v>
      </c>
      <c r="C14" s="38">
        <v>5.54</v>
      </c>
      <c r="D14" s="110"/>
    </row>
    <row r="15" spans="1:5" ht="15.75" outlineLevel="1">
      <c r="A15" s="38" t="s">
        <v>908</v>
      </c>
      <c r="B15" s="39" t="s">
        <v>14</v>
      </c>
      <c r="C15" s="40">
        <v>5.7</v>
      </c>
      <c r="D15" s="109" t="s">
        <v>1072</v>
      </c>
    </row>
    <row r="16" spans="1:5" ht="15.75" outlineLevel="1">
      <c r="A16" s="38" t="s">
        <v>908</v>
      </c>
      <c r="B16" s="39" t="s">
        <v>20</v>
      </c>
      <c r="C16" s="38">
        <v>5.63</v>
      </c>
      <c r="D16" s="110"/>
    </row>
    <row r="17" spans="1:4" ht="15.75" outlineLevel="1">
      <c r="A17" s="38" t="s">
        <v>908</v>
      </c>
      <c r="B17" s="39" t="s">
        <v>24</v>
      </c>
      <c r="C17" s="38">
        <v>5.47</v>
      </c>
      <c r="D17" s="110"/>
    </row>
    <row r="18" spans="1:4" ht="15.75" outlineLevel="1">
      <c r="A18" s="38" t="s">
        <v>908</v>
      </c>
      <c r="B18" s="39" t="s">
        <v>25</v>
      </c>
      <c r="C18" s="38">
        <v>5.48</v>
      </c>
      <c r="D18" s="110"/>
    </row>
    <row r="19" spans="1:4" ht="15.75">
      <c r="A19" s="44" t="s">
        <v>908</v>
      </c>
      <c r="B19" s="39"/>
      <c r="C19" s="38"/>
      <c r="D19" s="110"/>
    </row>
    <row r="20" spans="1:4" ht="15.75" outlineLevel="1">
      <c r="A20" s="38" t="s">
        <v>918</v>
      </c>
      <c r="B20" s="39" t="s">
        <v>0</v>
      </c>
      <c r="C20" s="38">
        <v>5.0999999999999996</v>
      </c>
      <c r="D20" s="110"/>
    </row>
    <row r="21" spans="1:4" ht="15.75" outlineLevel="1">
      <c r="A21" s="38" t="s">
        <v>918</v>
      </c>
      <c r="B21" s="39" t="s">
        <v>1</v>
      </c>
      <c r="C21" s="38">
        <v>5.2</v>
      </c>
      <c r="D21" s="110"/>
    </row>
    <row r="22" spans="1:4" ht="15.75" outlineLevel="1">
      <c r="A22" s="38" t="s">
        <v>918</v>
      </c>
      <c r="B22" s="39" t="s">
        <v>2</v>
      </c>
      <c r="C22" s="38">
        <v>5.3</v>
      </c>
      <c r="D22" s="110"/>
    </row>
    <row r="23" spans="1:4" ht="15.75" outlineLevel="1">
      <c r="A23" s="38" t="s">
        <v>918</v>
      </c>
      <c r="B23" s="39" t="s">
        <v>1073</v>
      </c>
      <c r="C23" s="38">
        <v>5.14</v>
      </c>
      <c r="D23" s="110"/>
    </row>
    <row r="24" spans="1:4" ht="15.75" outlineLevel="1">
      <c r="A24" s="38" t="s">
        <v>918</v>
      </c>
      <c r="B24" s="39" t="s">
        <v>4</v>
      </c>
      <c r="C24" s="38">
        <v>5.19</v>
      </c>
      <c r="D24" s="110"/>
    </row>
    <row r="25" spans="1:4" ht="15.75" outlineLevel="1">
      <c r="A25" s="38" t="s">
        <v>918</v>
      </c>
      <c r="B25" s="39" t="s">
        <v>5</v>
      </c>
      <c r="C25" s="38">
        <v>5.26</v>
      </c>
      <c r="D25" s="110"/>
    </row>
    <row r="26" spans="1:4" ht="15.75" outlineLevel="1">
      <c r="A26" s="38" t="s">
        <v>918</v>
      </c>
      <c r="B26" s="39" t="s">
        <v>6</v>
      </c>
      <c r="C26" s="38">
        <v>5.27</v>
      </c>
      <c r="D26" s="110"/>
    </row>
    <row r="27" spans="1:4" ht="15.75" outlineLevel="1">
      <c r="A27" s="38" t="s">
        <v>918</v>
      </c>
      <c r="B27" s="39" t="s">
        <v>7</v>
      </c>
      <c r="C27" s="38">
        <v>5.28</v>
      </c>
      <c r="D27" s="110"/>
    </row>
    <row r="28" spans="1:4" ht="15.75" outlineLevel="1">
      <c r="A28" s="38" t="s">
        <v>918</v>
      </c>
      <c r="B28" s="39" t="s">
        <v>8</v>
      </c>
      <c r="C28" s="40">
        <v>5.3</v>
      </c>
      <c r="D28" s="110"/>
    </row>
    <row r="29" spans="1:4" ht="15.75" outlineLevel="1">
      <c r="A29" s="38" t="s">
        <v>918</v>
      </c>
      <c r="B29" s="39" t="s">
        <v>9</v>
      </c>
      <c r="C29" s="38">
        <v>5.49</v>
      </c>
      <c r="D29" s="110"/>
    </row>
    <row r="30" spans="1:4" ht="15.75" outlineLevel="1">
      <c r="A30" s="38" t="s">
        <v>918</v>
      </c>
      <c r="B30" s="39" t="s">
        <v>10</v>
      </c>
      <c r="C30" s="38">
        <v>5.51</v>
      </c>
      <c r="D30" s="110"/>
    </row>
    <row r="31" spans="1:4" ht="15.75" outlineLevel="1">
      <c r="A31" s="38" t="s">
        <v>918</v>
      </c>
      <c r="B31" s="39" t="s">
        <v>11</v>
      </c>
      <c r="C31" s="38">
        <v>5.53</v>
      </c>
      <c r="D31" s="110"/>
    </row>
    <row r="32" spans="1:4" ht="15.75" outlineLevel="1">
      <c r="A32" s="38" t="s">
        <v>918</v>
      </c>
      <c r="B32" s="39" t="s">
        <v>12</v>
      </c>
      <c r="C32" s="38">
        <v>5.69</v>
      </c>
      <c r="D32" s="110"/>
    </row>
    <row r="33" spans="1:4" ht="15.75" outlineLevel="1">
      <c r="A33" s="38" t="s">
        <v>918</v>
      </c>
      <c r="B33" s="39" t="s">
        <v>13</v>
      </c>
      <c r="C33" s="38">
        <v>5.75</v>
      </c>
      <c r="D33" s="110"/>
    </row>
    <row r="34" spans="1:4" ht="15.75" outlineLevel="1">
      <c r="A34" s="38" t="s">
        <v>918</v>
      </c>
      <c r="B34" s="39" t="s">
        <v>14</v>
      </c>
      <c r="C34" s="40">
        <v>5.7</v>
      </c>
      <c r="D34" s="110"/>
    </row>
    <row r="35" spans="1:4" ht="15.75" outlineLevel="1">
      <c r="A35" s="38" t="s">
        <v>918</v>
      </c>
      <c r="B35" s="39" t="s">
        <v>15</v>
      </c>
      <c r="C35" s="38">
        <v>5.74</v>
      </c>
      <c r="D35" s="110"/>
    </row>
    <row r="36" spans="1:4" ht="15.75" outlineLevel="1">
      <c r="A36" s="38" t="s">
        <v>918</v>
      </c>
      <c r="B36" s="39" t="s">
        <v>16</v>
      </c>
      <c r="C36" s="38">
        <v>5.62</v>
      </c>
      <c r="D36" s="110"/>
    </row>
    <row r="37" spans="1:4" ht="15.75" outlineLevel="1">
      <c r="A37" s="38" t="s">
        <v>918</v>
      </c>
      <c r="B37" s="39" t="s">
        <v>17</v>
      </c>
      <c r="C37" s="38">
        <v>5.58</v>
      </c>
      <c r="D37" s="110"/>
    </row>
    <row r="38" spans="1:4" ht="15.75" outlineLevel="1">
      <c r="A38" s="38" t="s">
        <v>918</v>
      </c>
      <c r="B38" s="39" t="s">
        <v>18</v>
      </c>
      <c r="C38" s="38">
        <v>5.54</v>
      </c>
      <c r="D38" s="110"/>
    </row>
    <row r="39" spans="1:4" ht="15.75" outlineLevel="1">
      <c r="A39" s="38" t="s">
        <v>918</v>
      </c>
      <c r="B39" s="39" t="s">
        <v>19</v>
      </c>
      <c r="C39" s="38">
        <v>5.55</v>
      </c>
      <c r="D39" s="110"/>
    </row>
    <row r="40" spans="1:4" ht="15.75" outlineLevel="1">
      <c r="A40" s="38" t="s">
        <v>918</v>
      </c>
      <c r="B40" s="39" t="s">
        <v>20</v>
      </c>
      <c r="C40" s="38">
        <v>5.63</v>
      </c>
      <c r="D40" s="110"/>
    </row>
    <row r="41" spans="1:4" ht="15.75" outlineLevel="1">
      <c r="A41" s="38" t="s">
        <v>918</v>
      </c>
      <c r="B41" s="39" t="s">
        <v>21</v>
      </c>
      <c r="C41" s="38">
        <v>5.65</v>
      </c>
      <c r="D41" s="110"/>
    </row>
    <row r="42" spans="1:4" ht="15.75" outlineLevel="1">
      <c r="A42" s="38" t="s">
        <v>918</v>
      </c>
      <c r="B42" s="39" t="s">
        <v>22</v>
      </c>
      <c r="C42" s="38">
        <v>5.68</v>
      </c>
      <c r="D42" s="110"/>
    </row>
    <row r="43" spans="1:4" ht="15.75" outlineLevel="1">
      <c r="A43" s="38" t="s">
        <v>918</v>
      </c>
      <c r="B43" s="39" t="s">
        <v>23</v>
      </c>
      <c r="C43" s="38">
        <v>5.45</v>
      </c>
      <c r="D43" s="110"/>
    </row>
    <row r="44" spans="1:4" ht="15.75" outlineLevel="1">
      <c r="A44" s="38" t="s">
        <v>918</v>
      </c>
      <c r="B44" s="39" t="s">
        <v>24</v>
      </c>
      <c r="C44" s="38">
        <v>5.47</v>
      </c>
      <c r="D44" s="110"/>
    </row>
    <row r="45" spans="1:4" ht="15.75" outlineLevel="1">
      <c r="A45" s="38" t="s">
        <v>918</v>
      </c>
      <c r="B45" s="39" t="s">
        <v>25</v>
      </c>
      <c r="C45" s="38">
        <v>5.48</v>
      </c>
      <c r="D45" s="110"/>
    </row>
    <row r="46" spans="1:4" ht="15.75">
      <c r="A46" s="44" t="s">
        <v>918</v>
      </c>
      <c r="B46" s="39"/>
      <c r="C46" s="38"/>
      <c r="D46" s="110"/>
    </row>
    <row r="47" spans="1:4" ht="15.75" outlineLevel="1">
      <c r="A47" s="38" t="s">
        <v>925</v>
      </c>
      <c r="B47" s="39" t="s">
        <v>0</v>
      </c>
      <c r="C47" s="38">
        <v>5.0999999999999996</v>
      </c>
      <c r="D47" s="110"/>
    </row>
    <row r="48" spans="1:4" ht="15.75" outlineLevel="1">
      <c r="A48" s="38" t="s">
        <v>925</v>
      </c>
      <c r="B48" s="39" t="s">
        <v>1</v>
      </c>
      <c r="C48" s="38">
        <v>5.2</v>
      </c>
      <c r="D48" s="110"/>
    </row>
    <row r="49" spans="1:4" ht="15.75" outlineLevel="1">
      <c r="A49" s="38" t="s">
        <v>925</v>
      </c>
      <c r="B49" s="39" t="s">
        <v>2</v>
      </c>
      <c r="C49" s="38">
        <v>5.3</v>
      </c>
      <c r="D49" s="110"/>
    </row>
    <row r="50" spans="1:4" ht="15.75" outlineLevel="1">
      <c r="A50" s="38" t="s">
        <v>925</v>
      </c>
      <c r="B50" s="39" t="s">
        <v>101</v>
      </c>
      <c r="C50" s="38">
        <v>5.6</v>
      </c>
      <c r="D50" s="110"/>
    </row>
    <row r="51" spans="1:4" ht="15.75" outlineLevel="1">
      <c r="A51" s="38" t="s">
        <v>925</v>
      </c>
      <c r="B51" s="39" t="s">
        <v>1074</v>
      </c>
      <c r="C51" s="40">
        <v>5.0999999999999996</v>
      </c>
      <c r="D51" s="110"/>
    </row>
    <row r="52" spans="1:4" ht="15.75" outlineLevel="1">
      <c r="A52" s="38" t="s">
        <v>925</v>
      </c>
      <c r="B52" s="39" t="s">
        <v>1073</v>
      </c>
      <c r="C52" s="38">
        <v>5.14</v>
      </c>
      <c r="D52" s="110"/>
    </row>
    <row r="53" spans="1:4" ht="15.75" outlineLevel="1">
      <c r="A53" s="38" t="s">
        <v>925</v>
      </c>
      <c r="B53" s="39" t="s">
        <v>4</v>
      </c>
      <c r="C53" s="38">
        <v>5.19</v>
      </c>
      <c r="D53" s="110"/>
    </row>
    <row r="54" spans="1:4" ht="15.75" outlineLevel="1">
      <c r="A54" s="38" t="s">
        <v>925</v>
      </c>
      <c r="B54" s="39" t="s">
        <v>103</v>
      </c>
      <c r="C54" s="38">
        <v>5.24</v>
      </c>
      <c r="D54" s="110"/>
    </row>
    <row r="55" spans="1:4" ht="15.75" outlineLevel="1">
      <c r="A55" s="38" t="s">
        <v>925</v>
      </c>
      <c r="B55" s="39" t="s">
        <v>5</v>
      </c>
      <c r="C55" s="38">
        <v>5.26</v>
      </c>
      <c r="D55" s="110"/>
    </row>
    <row r="56" spans="1:4" ht="15.75" outlineLevel="1">
      <c r="A56" s="38" t="s">
        <v>925</v>
      </c>
      <c r="B56" s="39" t="s">
        <v>6</v>
      </c>
      <c r="C56" s="38">
        <v>5.27</v>
      </c>
      <c r="D56" s="110"/>
    </row>
    <row r="57" spans="1:4" ht="15.75" outlineLevel="1">
      <c r="A57" s="38" t="s">
        <v>925</v>
      </c>
      <c r="B57" s="39" t="s">
        <v>7</v>
      </c>
      <c r="C57" s="38">
        <v>5.28</v>
      </c>
      <c r="D57" s="110"/>
    </row>
    <row r="58" spans="1:4" ht="15.75" outlineLevel="1">
      <c r="A58" s="38" t="s">
        <v>925</v>
      </c>
      <c r="B58" s="39" t="s">
        <v>8</v>
      </c>
      <c r="C58" s="40">
        <v>5.3</v>
      </c>
      <c r="D58" s="110"/>
    </row>
    <row r="59" spans="1:4" ht="15.75" outlineLevel="1">
      <c r="A59" s="38" t="s">
        <v>925</v>
      </c>
      <c r="B59" s="39" t="s">
        <v>104</v>
      </c>
      <c r="C59" s="38">
        <v>5.31</v>
      </c>
      <c r="D59" s="110"/>
    </row>
    <row r="60" spans="1:4" ht="15.75" outlineLevel="1">
      <c r="A60" s="38" t="s">
        <v>925</v>
      </c>
      <c r="B60" s="39" t="s">
        <v>80</v>
      </c>
      <c r="C60" s="38">
        <v>5.36</v>
      </c>
      <c r="D60" s="110"/>
    </row>
    <row r="61" spans="1:4" ht="15.75" outlineLevel="1">
      <c r="A61" s="38" t="s">
        <v>925</v>
      </c>
      <c r="B61" s="39" t="s">
        <v>9</v>
      </c>
      <c r="C61" s="38">
        <v>5.49</v>
      </c>
      <c r="D61" s="110"/>
    </row>
    <row r="62" spans="1:4" ht="15.75" outlineLevel="1">
      <c r="A62" s="38" t="s">
        <v>925</v>
      </c>
      <c r="B62" s="39" t="s">
        <v>10</v>
      </c>
      <c r="C62" s="38">
        <v>5.51</v>
      </c>
      <c r="D62" s="110"/>
    </row>
    <row r="63" spans="1:4" ht="15.75" outlineLevel="1">
      <c r="A63" s="38" t="s">
        <v>925</v>
      </c>
      <c r="B63" s="39" t="s">
        <v>1075</v>
      </c>
      <c r="C63" s="38">
        <v>5.52</v>
      </c>
      <c r="D63" s="110"/>
    </row>
    <row r="64" spans="1:4" ht="15.75" outlineLevel="1">
      <c r="A64" s="38" t="s">
        <v>925</v>
      </c>
      <c r="B64" s="39" t="s">
        <v>11</v>
      </c>
      <c r="C64" s="38">
        <v>5.53</v>
      </c>
      <c r="D64" s="110"/>
    </row>
    <row r="65" spans="1:4" ht="15.75" outlineLevel="1">
      <c r="A65" s="38" t="s">
        <v>925</v>
      </c>
      <c r="B65" s="39" t="s">
        <v>12</v>
      </c>
      <c r="C65" s="38">
        <v>5.69</v>
      </c>
      <c r="D65" s="110"/>
    </row>
    <row r="66" spans="1:4" ht="15.75" outlineLevel="1">
      <c r="A66" s="38" t="s">
        <v>925</v>
      </c>
      <c r="B66" s="39" t="s">
        <v>867</v>
      </c>
      <c r="C66" s="40">
        <v>5.72</v>
      </c>
      <c r="D66" s="110"/>
    </row>
    <row r="67" spans="1:4" ht="15.75" outlineLevel="1">
      <c r="A67" s="38" t="s">
        <v>925</v>
      </c>
      <c r="B67" s="39" t="s">
        <v>13</v>
      </c>
      <c r="C67" s="38">
        <v>5.75</v>
      </c>
      <c r="D67" s="110"/>
    </row>
    <row r="68" spans="1:4" ht="15.75" outlineLevel="1">
      <c r="A68" s="38" t="s">
        <v>925</v>
      </c>
      <c r="B68" s="39" t="s">
        <v>14</v>
      </c>
      <c r="C68" s="40">
        <v>5.7</v>
      </c>
      <c r="D68" s="110"/>
    </row>
    <row r="69" spans="1:4" ht="15.75" outlineLevel="1">
      <c r="A69" s="38" t="s">
        <v>925</v>
      </c>
      <c r="B69" s="39" t="s">
        <v>15</v>
      </c>
      <c r="C69" s="38">
        <v>5.74</v>
      </c>
      <c r="D69" s="110"/>
    </row>
    <row r="70" spans="1:4" ht="15.75" outlineLevel="1">
      <c r="A70" s="38" t="s">
        <v>925</v>
      </c>
      <c r="B70" s="39" t="s">
        <v>365</v>
      </c>
      <c r="C70" s="38">
        <v>5.76</v>
      </c>
      <c r="D70" s="110"/>
    </row>
    <row r="71" spans="1:4" ht="15.75" outlineLevel="1">
      <c r="A71" s="38" t="s">
        <v>925</v>
      </c>
      <c r="B71" s="39" t="s">
        <v>788</v>
      </c>
      <c r="C71" s="38">
        <v>5.89</v>
      </c>
      <c r="D71" s="109" t="s">
        <v>1072</v>
      </c>
    </row>
    <row r="72" spans="1:4" ht="15.75" outlineLevel="1">
      <c r="A72" s="38" t="s">
        <v>925</v>
      </c>
      <c r="B72" s="39" t="s">
        <v>17</v>
      </c>
      <c r="C72" s="38">
        <v>5.58</v>
      </c>
      <c r="D72" s="110"/>
    </row>
    <row r="73" spans="1:4" ht="15.75" outlineLevel="1">
      <c r="A73" s="38" t="s">
        <v>925</v>
      </c>
      <c r="B73" s="39" t="s">
        <v>16</v>
      </c>
      <c r="C73" s="38">
        <v>5.62</v>
      </c>
      <c r="D73" s="110"/>
    </row>
    <row r="74" spans="1:4" ht="15.75" outlineLevel="1">
      <c r="A74" s="38" t="s">
        <v>925</v>
      </c>
      <c r="B74" s="39" t="s">
        <v>18</v>
      </c>
      <c r="C74" s="38">
        <v>5.54</v>
      </c>
      <c r="D74" s="110"/>
    </row>
    <row r="75" spans="1:4" ht="15.75" outlineLevel="1">
      <c r="A75" s="38" t="s">
        <v>925</v>
      </c>
      <c r="B75" s="39" t="s">
        <v>19</v>
      </c>
      <c r="C75" s="38">
        <v>5.55</v>
      </c>
      <c r="D75" s="110"/>
    </row>
    <row r="76" spans="1:4" ht="15.75" outlineLevel="1">
      <c r="A76" s="38" t="s">
        <v>925</v>
      </c>
      <c r="B76" s="39" t="s">
        <v>20</v>
      </c>
      <c r="C76" s="38">
        <v>5.63</v>
      </c>
      <c r="D76" s="110"/>
    </row>
    <row r="77" spans="1:4" ht="15.75" outlineLevel="1">
      <c r="A77" s="38" t="s">
        <v>925</v>
      </c>
      <c r="B77" s="39" t="s">
        <v>21</v>
      </c>
      <c r="C77" s="38">
        <v>5.65</v>
      </c>
      <c r="D77" s="110"/>
    </row>
    <row r="78" spans="1:4" ht="15.75" outlineLevel="1">
      <c r="A78" s="38" t="s">
        <v>925</v>
      </c>
      <c r="B78" s="39" t="s">
        <v>120</v>
      </c>
      <c r="C78" s="38">
        <v>5.66</v>
      </c>
      <c r="D78" s="110"/>
    </row>
    <row r="79" spans="1:4" ht="15.75" outlineLevel="1">
      <c r="A79" s="38" t="s">
        <v>925</v>
      </c>
      <c r="B79" s="39" t="s">
        <v>22</v>
      </c>
      <c r="C79" s="38">
        <v>5.68</v>
      </c>
      <c r="D79" s="110"/>
    </row>
    <row r="80" spans="1:4" ht="15.75" outlineLevel="1">
      <c r="A80" s="38" t="s">
        <v>925</v>
      </c>
      <c r="B80" s="39" t="s">
        <v>23</v>
      </c>
      <c r="C80" s="38">
        <v>5.45</v>
      </c>
      <c r="D80" s="110"/>
    </row>
    <row r="81" spans="1:4" ht="15.75" outlineLevel="1">
      <c r="A81" s="38" t="s">
        <v>925</v>
      </c>
      <c r="B81" s="39" t="s">
        <v>24</v>
      </c>
      <c r="C81" s="38">
        <v>5.47</v>
      </c>
      <c r="D81" s="110"/>
    </row>
    <row r="82" spans="1:4" ht="15.75" outlineLevel="1">
      <c r="A82" s="38" t="s">
        <v>925</v>
      </c>
      <c r="B82" s="39" t="s">
        <v>25</v>
      </c>
      <c r="C82" s="38">
        <v>5.48</v>
      </c>
      <c r="D82" s="110"/>
    </row>
    <row r="83" spans="1:4" ht="15.75">
      <c r="A83" s="44" t="s">
        <v>925</v>
      </c>
      <c r="B83" s="39"/>
      <c r="C83" s="38"/>
      <c r="D83" s="110"/>
    </row>
    <row r="84" spans="1:4" ht="15.75" outlineLevel="1">
      <c r="A84" s="38" t="s">
        <v>926</v>
      </c>
      <c r="B84" s="39" t="s">
        <v>0</v>
      </c>
      <c r="C84" s="38">
        <v>5.0999999999999996</v>
      </c>
      <c r="D84" s="110"/>
    </row>
    <row r="85" spans="1:4" ht="15.75" outlineLevel="1">
      <c r="A85" s="38" t="s">
        <v>926</v>
      </c>
      <c r="B85" s="39" t="s">
        <v>1</v>
      </c>
      <c r="C85" s="38">
        <v>5.2</v>
      </c>
      <c r="D85" s="110"/>
    </row>
    <row r="86" spans="1:4" ht="15.75" outlineLevel="1">
      <c r="A86" s="38" t="s">
        <v>926</v>
      </c>
      <c r="B86" s="39" t="s">
        <v>2</v>
      </c>
      <c r="C86" s="38">
        <v>5.3</v>
      </c>
      <c r="D86" s="110"/>
    </row>
    <row r="87" spans="1:4" ht="15.75" outlineLevel="1">
      <c r="A87" s="38" t="s">
        <v>926</v>
      </c>
      <c r="B87" s="39" t="s">
        <v>101</v>
      </c>
      <c r="C87" s="38">
        <v>5.6</v>
      </c>
      <c r="D87" s="110"/>
    </row>
    <row r="88" spans="1:4" ht="15.75" outlineLevel="1">
      <c r="A88" s="38" t="s">
        <v>926</v>
      </c>
      <c r="B88" s="39" t="s">
        <v>1074</v>
      </c>
      <c r="C88" s="40">
        <v>5.0999999999999996</v>
      </c>
      <c r="D88" s="110"/>
    </row>
    <row r="89" spans="1:4" ht="15.75" outlineLevel="1">
      <c r="A89" s="38" t="s">
        <v>926</v>
      </c>
      <c r="B89" s="39" t="s">
        <v>1073</v>
      </c>
      <c r="C89" s="38">
        <v>5.14</v>
      </c>
      <c r="D89" s="110"/>
    </row>
    <row r="90" spans="1:4" ht="15.75" outlineLevel="1">
      <c r="A90" s="38" t="s">
        <v>926</v>
      </c>
      <c r="B90" s="39" t="s">
        <v>4</v>
      </c>
      <c r="C90" s="38">
        <v>5.19</v>
      </c>
      <c r="D90" s="110"/>
    </row>
    <row r="91" spans="1:4" ht="15.75" outlineLevel="1">
      <c r="A91" s="38" t="s">
        <v>926</v>
      </c>
      <c r="B91" s="39" t="s">
        <v>103</v>
      </c>
      <c r="C91" s="38">
        <v>5.24</v>
      </c>
      <c r="D91" s="110"/>
    </row>
    <row r="92" spans="1:4" ht="15.75" outlineLevel="1">
      <c r="A92" s="38" t="s">
        <v>926</v>
      </c>
      <c r="B92" s="39" t="s">
        <v>5</v>
      </c>
      <c r="C92" s="38">
        <v>5.26</v>
      </c>
      <c r="D92" s="110"/>
    </row>
    <row r="93" spans="1:4" ht="15.75" outlineLevel="1">
      <c r="A93" s="38" t="s">
        <v>926</v>
      </c>
      <c r="B93" s="39" t="s">
        <v>6</v>
      </c>
      <c r="C93" s="38">
        <v>5.27</v>
      </c>
      <c r="D93" s="110"/>
    </row>
    <row r="94" spans="1:4" ht="15.75" outlineLevel="1">
      <c r="A94" s="38" t="s">
        <v>926</v>
      </c>
      <c r="B94" s="39" t="s">
        <v>7</v>
      </c>
      <c r="C94" s="38">
        <v>5.28</v>
      </c>
      <c r="D94" s="110"/>
    </row>
    <row r="95" spans="1:4" ht="15.75" outlineLevel="1">
      <c r="A95" s="38" t="s">
        <v>926</v>
      </c>
      <c r="B95" s="39" t="s">
        <v>280</v>
      </c>
      <c r="C95" s="38">
        <v>5.29</v>
      </c>
      <c r="D95" s="110"/>
    </row>
    <row r="96" spans="1:4" ht="15.75" outlineLevel="1">
      <c r="A96" s="38" t="s">
        <v>926</v>
      </c>
      <c r="B96" s="39" t="s">
        <v>8</v>
      </c>
      <c r="C96" s="40">
        <v>5.3</v>
      </c>
      <c r="D96" s="110"/>
    </row>
    <row r="97" spans="1:4" ht="15.75" outlineLevel="1">
      <c r="A97" s="38" t="s">
        <v>926</v>
      </c>
      <c r="B97" s="39" t="s">
        <v>104</v>
      </c>
      <c r="C97" s="38">
        <v>5.31</v>
      </c>
      <c r="D97" s="110"/>
    </row>
    <row r="98" spans="1:4" ht="15.75" outlineLevel="1">
      <c r="A98" s="38" t="s">
        <v>926</v>
      </c>
      <c r="B98" s="39" t="s">
        <v>80</v>
      </c>
      <c r="C98" s="38">
        <v>5.36</v>
      </c>
      <c r="D98" s="110"/>
    </row>
    <row r="99" spans="1:4" ht="15.75" outlineLevel="1">
      <c r="A99" s="38" t="s">
        <v>926</v>
      </c>
      <c r="B99" s="39" t="s">
        <v>9</v>
      </c>
      <c r="C99" s="38">
        <v>5.49</v>
      </c>
      <c r="D99" s="110"/>
    </row>
    <row r="100" spans="1:4" ht="15.75" outlineLevel="1">
      <c r="A100" s="38" t="s">
        <v>926</v>
      </c>
      <c r="B100" s="39" t="s">
        <v>10</v>
      </c>
      <c r="C100" s="38">
        <v>5.51</v>
      </c>
      <c r="D100" s="110"/>
    </row>
    <row r="101" spans="1:4" ht="15.75" outlineLevel="1">
      <c r="A101" s="38" t="s">
        <v>926</v>
      </c>
      <c r="B101" s="39" t="s">
        <v>1075</v>
      </c>
      <c r="C101" s="38">
        <v>5.52</v>
      </c>
      <c r="D101" s="110"/>
    </row>
    <row r="102" spans="1:4" ht="15.75" outlineLevel="1">
      <c r="A102" s="38" t="s">
        <v>926</v>
      </c>
      <c r="B102" s="39" t="s">
        <v>11</v>
      </c>
      <c r="C102" s="38">
        <v>5.53</v>
      </c>
      <c r="D102" s="110"/>
    </row>
    <row r="103" spans="1:4" ht="15.75" outlineLevel="1">
      <c r="A103" s="38" t="s">
        <v>926</v>
      </c>
      <c r="B103" s="39" t="s">
        <v>12</v>
      </c>
      <c r="C103" s="38">
        <v>5.69</v>
      </c>
      <c r="D103" s="110"/>
    </row>
    <row r="104" spans="1:4" ht="15.75" outlineLevel="1">
      <c r="A104" s="38" t="s">
        <v>926</v>
      </c>
      <c r="B104" s="39" t="s">
        <v>13</v>
      </c>
      <c r="C104" s="38">
        <v>5.75</v>
      </c>
      <c r="D104" s="110"/>
    </row>
    <row r="105" spans="1:4" ht="15.75" outlineLevel="1">
      <c r="A105" s="38" t="s">
        <v>926</v>
      </c>
      <c r="B105" s="39" t="s">
        <v>14</v>
      </c>
      <c r="C105" s="40">
        <v>5.7</v>
      </c>
      <c r="D105" s="110"/>
    </row>
    <row r="106" spans="1:4" ht="15.75" outlineLevel="1">
      <c r="A106" s="38" t="s">
        <v>926</v>
      </c>
      <c r="B106" s="39" t="s">
        <v>15</v>
      </c>
      <c r="C106" s="38">
        <v>5.74</v>
      </c>
      <c r="D106" s="110"/>
    </row>
    <row r="107" spans="1:4" ht="15.75" outlineLevel="1">
      <c r="A107" s="38" t="s">
        <v>926</v>
      </c>
      <c r="B107" s="39" t="s">
        <v>365</v>
      </c>
      <c r="C107" s="38">
        <v>5.76</v>
      </c>
      <c r="D107" s="110"/>
    </row>
    <row r="108" spans="1:4" ht="15.75" outlineLevel="1">
      <c r="A108" s="38" t="s">
        <v>926</v>
      </c>
      <c r="B108" s="39" t="s">
        <v>788</v>
      </c>
      <c r="C108" s="38">
        <v>5.89</v>
      </c>
      <c r="D108" s="109" t="s">
        <v>1072</v>
      </c>
    </row>
    <row r="109" spans="1:4" ht="15.75" outlineLevel="1">
      <c r="A109" s="38" t="s">
        <v>926</v>
      </c>
      <c r="B109" s="39" t="s">
        <v>17</v>
      </c>
      <c r="C109" s="38">
        <v>5.58</v>
      </c>
      <c r="D109" s="110"/>
    </row>
    <row r="110" spans="1:4" ht="15.75" outlineLevel="1">
      <c r="A110" s="38" t="s">
        <v>926</v>
      </c>
      <c r="B110" s="39" t="s">
        <v>16</v>
      </c>
      <c r="C110" s="38">
        <v>5.62</v>
      </c>
      <c r="D110" s="110"/>
    </row>
    <row r="111" spans="1:4" ht="15.75" outlineLevel="1">
      <c r="A111" s="38" t="s">
        <v>926</v>
      </c>
      <c r="B111" s="39" t="s">
        <v>18</v>
      </c>
      <c r="C111" s="38">
        <v>5.54</v>
      </c>
      <c r="D111" s="110"/>
    </row>
    <row r="112" spans="1:4" ht="15.75" outlineLevel="1">
      <c r="A112" s="38" t="s">
        <v>926</v>
      </c>
      <c r="B112" s="39" t="s">
        <v>19</v>
      </c>
      <c r="C112" s="38">
        <v>5.55</v>
      </c>
      <c r="D112" s="110"/>
    </row>
    <row r="113" spans="1:4" ht="15.75" outlineLevel="1">
      <c r="A113" s="38" t="s">
        <v>926</v>
      </c>
      <c r="B113" s="39" t="s">
        <v>21</v>
      </c>
      <c r="C113" s="38">
        <v>5.65</v>
      </c>
      <c r="D113" s="110"/>
    </row>
    <row r="114" spans="1:4" ht="15.75" outlineLevel="1">
      <c r="A114" s="38" t="s">
        <v>926</v>
      </c>
      <c r="B114" s="39" t="s">
        <v>120</v>
      </c>
      <c r="C114" s="38">
        <v>5.66</v>
      </c>
      <c r="D114" s="110"/>
    </row>
    <row r="115" spans="1:4" ht="15.75" outlineLevel="1">
      <c r="A115" s="38" t="s">
        <v>926</v>
      </c>
      <c r="B115" s="39" t="s">
        <v>22</v>
      </c>
      <c r="C115" s="38">
        <v>5.68</v>
      </c>
      <c r="D115" s="110"/>
    </row>
    <row r="116" spans="1:4" ht="15.75" outlineLevel="1">
      <c r="A116" s="38" t="s">
        <v>926</v>
      </c>
      <c r="B116" s="39" t="s">
        <v>23</v>
      </c>
      <c r="C116" s="38">
        <v>5.45</v>
      </c>
      <c r="D116" s="110"/>
    </row>
    <row r="117" spans="1:4" ht="15.75" outlineLevel="1">
      <c r="A117" s="38" t="s">
        <v>926</v>
      </c>
      <c r="B117" s="39" t="s">
        <v>24</v>
      </c>
      <c r="C117" s="38">
        <v>5.47</v>
      </c>
      <c r="D117" s="110"/>
    </row>
    <row r="118" spans="1:4" ht="15.75" outlineLevel="1">
      <c r="A118" s="38" t="s">
        <v>926</v>
      </c>
      <c r="B118" s="39" t="s">
        <v>25</v>
      </c>
      <c r="C118" s="38">
        <v>5.48</v>
      </c>
      <c r="D118" s="110"/>
    </row>
    <row r="119" spans="1:4" ht="15.75">
      <c r="A119" s="44" t="s">
        <v>926</v>
      </c>
      <c r="B119" s="39"/>
      <c r="C119" s="38"/>
      <c r="D119" s="110"/>
    </row>
    <row r="120" spans="1:4" ht="15.75" outlineLevel="1">
      <c r="A120" s="38" t="s">
        <v>1076</v>
      </c>
      <c r="B120" s="39" t="s">
        <v>0</v>
      </c>
      <c r="C120" s="38">
        <v>5.0999999999999996</v>
      </c>
      <c r="D120" s="110"/>
    </row>
    <row r="121" spans="1:4" ht="15.75" outlineLevel="1">
      <c r="A121" s="38" t="s">
        <v>1076</v>
      </c>
      <c r="B121" s="39" t="s">
        <v>1</v>
      </c>
      <c r="C121" s="38">
        <v>5.2</v>
      </c>
      <c r="D121" s="110"/>
    </row>
    <row r="122" spans="1:4" ht="15.75" outlineLevel="1">
      <c r="A122" s="38" t="s">
        <v>1076</v>
      </c>
      <c r="B122" s="39" t="s">
        <v>2</v>
      </c>
      <c r="C122" s="38">
        <v>5.3</v>
      </c>
      <c r="D122" s="110"/>
    </row>
    <row r="123" spans="1:4" ht="15.75" outlineLevel="1">
      <c r="A123" s="38" t="s">
        <v>1076</v>
      </c>
      <c r="B123" s="39" t="s">
        <v>101</v>
      </c>
      <c r="C123" s="38">
        <v>5.6</v>
      </c>
      <c r="D123" s="110"/>
    </row>
    <row r="124" spans="1:4" ht="15.75" outlineLevel="1">
      <c r="A124" s="38" t="s">
        <v>1076</v>
      </c>
      <c r="B124" s="39" t="s">
        <v>1074</v>
      </c>
      <c r="C124" s="40">
        <v>5.0999999999999996</v>
      </c>
      <c r="D124" s="110"/>
    </row>
    <row r="125" spans="1:4" ht="15.75" outlineLevel="1">
      <c r="A125" s="38" t="s">
        <v>1076</v>
      </c>
      <c r="B125" s="39" t="s">
        <v>1073</v>
      </c>
      <c r="C125" s="38">
        <v>5.14</v>
      </c>
      <c r="D125" s="110"/>
    </row>
    <row r="126" spans="1:4" ht="15.75" outlineLevel="1">
      <c r="A126" s="38" t="s">
        <v>1076</v>
      </c>
      <c r="B126" s="39" t="s">
        <v>4</v>
      </c>
      <c r="C126" s="38">
        <v>5.19</v>
      </c>
      <c r="D126" s="110"/>
    </row>
    <row r="127" spans="1:4" ht="15.75" outlineLevel="1">
      <c r="A127" s="38" t="s">
        <v>1076</v>
      </c>
      <c r="B127" s="39" t="s">
        <v>103</v>
      </c>
      <c r="C127" s="38">
        <v>5.24</v>
      </c>
      <c r="D127" s="110"/>
    </row>
    <row r="128" spans="1:4" ht="15.75" outlineLevel="1">
      <c r="A128" s="38" t="s">
        <v>1076</v>
      </c>
      <c r="B128" s="39" t="s">
        <v>5</v>
      </c>
      <c r="C128" s="38">
        <v>5.26</v>
      </c>
      <c r="D128" s="110"/>
    </row>
    <row r="129" spans="1:4" ht="15.75" outlineLevel="1">
      <c r="A129" s="38" t="s">
        <v>1076</v>
      </c>
      <c r="B129" s="39" t="s">
        <v>6</v>
      </c>
      <c r="C129" s="38">
        <v>5.27</v>
      </c>
      <c r="D129" s="110"/>
    </row>
    <row r="130" spans="1:4" ht="15.75" outlineLevel="1">
      <c r="A130" s="38" t="s">
        <v>1076</v>
      </c>
      <c r="B130" s="39" t="s">
        <v>7</v>
      </c>
      <c r="C130" s="38">
        <v>5.28</v>
      </c>
      <c r="D130" s="110"/>
    </row>
    <row r="131" spans="1:4" ht="15.75" outlineLevel="1">
      <c r="A131" s="38" t="s">
        <v>1076</v>
      </c>
      <c r="B131" s="39" t="s">
        <v>280</v>
      </c>
      <c r="C131" s="38">
        <v>5.29</v>
      </c>
      <c r="D131" s="110"/>
    </row>
    <row r="132" spans="1:4" ht="15.75" outlineLevel="1">
      <c r="A132" s="38" t="s">
        <v>1076</v>
      </c>
      <c r="B132" s="39" t="s">
        <v>8</v>
      </c>
      <c r="C132" s="40">
        <v>5.3</v>
      </c>
      <c r="D132" s="110"/>
    </row>
    <row r="133" spans="1:4" ht="15.75" outlineLevel="1">
      <c r="A133" s="38" t="s">
        <v>1076</v>
      </c>
      <c r="B133" s="39" t="s">
        <v>104</v>
      </c>
      <c r="C133" s="38">
        <v>5.31</v>
      </c>
      <c r="D133" s="110"/>
    </row>
    <row r="134" spans="1:4" ht="15.75" outlineLevel="1">
      <c r="A134" s="38" t="s">
        <v>1076</v>
      </c>
      <c r="B134" s="39" t="s">
        <v>80</v>
      </c>
      <c r="C134" s="38">
        <v>5.36</v>
      </c>
      <c r="D134" s="110"/>
    </row>
    <row r="135" spans="1:4" ht="15.75" outlineLevel="1">
      <c r="A135" s="38" t="s">
        <v>1076</v>
      </c>
      <c r="B135" s="39" t="s">
        <v>11</v>
      </c>
      <c r="C135" s="38">
        <v>5.53</v>
      </c>
      <c r="D135" s="110"/>
    </row>
    <row r="136" spans="1:4" ht="15.75" outlineLevel="1">
      <c r="A136" s="38" t="s">
        <v>1076</v>
      </c>
      <c r="B136" s="39" t="s">
        <v>17</v>
      </c>
      <c r="C136" s="38">
        <v>5.58</v>
      </c>
      <c r="D136" s="110"/>
    </row>
    <row r="137" spans="1:4" ht="15.75" outlineLevel="1">
      <c r="A137" s="38" t="s">
        <v>1076</v>
      </c>
      <c r="B137" s="39" t="s">
        <v>16</v>
      </c>
      <c r="C137" s="38">
        <v>5.62</v>
      </c>
      <c r="D137" s="110"/>
    </row>
    <row r="138" spans="1:4" ht="15.75" outlineLevel="1">
      <c r="A138" s="38" t="s">
        <v>1076</v>
      </c>
      <c r="B138" s="39" t="s">
        <v>18</v>
      </c>
      <c r="C138" s="38">
        <v>5.54</v>
      </c>
      <c r="D138" s="110"/>
    </row>
    <row r="139" spans="1:4" ht="15.75" outlineLevel="1">
      <c r="A139" s="38" t="s">
        <v>1076</v>
      </c>
      <c r="B139" s="39" t="s">
        <v>19</v>
      </c>
      <c r="C139" s="38">
        <v>5.55</v>
      </c>
      <c r="D139" s="110"/>
    </row>
    <row r="140" spans="1:4" ht="15.75" outlineLevel="1">
      <c r="A140" s="38" t="s">
        <v>1076</v>
      </c>
      <c r="B140" s="39" t="s">
        <v>20</v>
      </c>
      <c r="C140" s="38">
        <v>5.63</v>
      </c>
      <c r="D140" s="110"/>
    </row>
    <row r="141" spans="1:4" ht="15.75" outlineLevel="1">
      <c r="A141" s="38" t="s">
        <v>1076</v>
      </c>
      <c r="B141" s="39" t="s">
        <v>23</v>
      </c>
      <c r="C141" s="38">
        <v>5.45</v>
      </c>
      <c r="D141" s="110"/>
    </row>
    <row r="142" spans="1:4" ht="15.75" outlineLevel="1">
      <c r="A142" s="38" t="s">
        <v>1076</v>
      </c>
      <c r="B142" s="39" t="s">
        <v>24</v>
      </c>
      <c r="C142" s="38">
        <v>5.47</v>
      </c>
      <c r="D142" s="110"/>
    </row>
    <row r="143" spans="1:4" ht="15.75" outlineLevel="1">
      <c r="A143" s="38" t="s">
        <v>1076</v>
      </c>
      <c r="B143" s="39" t="s">
        <v>25</v>
      </c>
      <c r="C143" s="38">
        <v>5.48</v>
      </c>
      <c r="D143" s="110"/>
    </row>
    <row r="144" spans="1:4" ht="15.75">
      <c r="A144" s="44" t="s">
        <v>1076</v>
      </c>
      <c r="B144" s="39"/>
      <c r="C144" s="38"/>
      <c r="D144" s="110"/>
    </row>
    <row r="145" spans="1:4" ht="15.75" outlineLevel="1">
      <c r="A145" s="38" t="s">
        <v>428</v>
      </c>
      <c r="B145" s="39" t="s">
        <v>0</v>
      </c>
      <c r="C145" s="38">
        <v>5.0999999999999996</v>
      </c>
      <c r="D145" s="110"/>
    </row>
    <row r="146" spans="1:4" ht="15.75" outlineLevel="1">
      <c r="A146" s="38" t="s">
        <v>428</v>
      </c>
      <c r="B146" s="39" t="s">
        <v>1</v>
      </c>
      <c r="C146" s="38">
        <v>5.2</v>
      </c>
      <c r="D146" s="110"/>
    </row>
    <row r="147" spans="1:4" ht="15.75" outlineLevel="1">
      <c r="A147" s="38" t="s">
        <v>428</v>
      </c>
      <c r="B147" s="39" t="s">
        <v>2</v>
      </c>
      <c r="C147" s="38">
        <v>5.3</v>
      </c>
      <c r="D147" s="110"/>
    </row>
    <row r="148" spans="1:4" ht="15.75" outlineLevel="1">
      <c r="A148" s="38" t="s">
        <v>428</v>
      </c>
      <c r="B148" s="39" t="s">
        <v>101</v>
      </c>
      <c r="C148" s="38">
        <v>5.6</v>
      </c>
      <c r="D148" s="110"/>
    </row>
    <row r="149" spans="1:4" ht="15.75" outlineLevel="1">
      <c r="A149" s="38" t="s">
        <v>428</v>
      </c>
      <c r="B149" s="39" t="s">
        <v>1074</v>
      </c>
      <c r="C149" s="40">
        <v>5.0999999999999996</v>
      </c>
      <c r="D149" s="110"/>
    </row>
    <row r="150" spans="1:4" ht="15.75" outlineLevel="1">
      <c r="A150" s="38" t="s">
        <v>428</v>
      </c>
      <c r="B150" s="39" t="s">
        <v>1073</v>
      </c>
      <c r="C150" s="38">
        <v>5.14</v>
      </c>
      <c r="D150" s="110"/>
    </row>
    <row r="151" spans="1:4" ht="15.75" outlineLevel="1">
      <c r="A151" s="38" t="s">
        <v>428</v>
      </c>
      <c r="B151" s="39" t="s">
        <v>4</v>
      </c>
      <c r="C151" s="38">
        <v>5.19</v>
      </c>
      <c r="D151" s="110"/>
    </row>
    <row r="152" spans="1:4" ht="15.75" outlineLevel="1">
      <c r="A152" s="38" t="s">
        <v>428</v>
      </c>
      <c r="B152" s="39" t="s">
        <v>103</v>
      </c>
      <c r="C152" s="38">
        <v>5.24</v>
      </c>
      <c r="D152" s="110"/>
    </row>
    <row r="153" spans="1:4" ht="15.75" outlineLevel="1">
      <c r="A153" s="38" t="s">
        <v>428</v>
      </c>
      <c r="B153" s="39" t="s">
        <v>5</v>
      </c>
      <c r="C153" s="38">
        <v>5.26</v>
      </c>
      <c r="D153" s="110"/>
    </row>
    <row r="154" spans="1:4" ht="15.75" outlineLevel="1">
      <c r="A154" s="38" t="s">
        <v>428</v>
      </c>
      <c r="B154" s="39" t="s">
        <v>6</v>
      </c>
      <c r="C154" s="38">
        <v>5.27</v>
      </c>
      <c r="D154" s="110"/>
    </row>
    <row r="155" spans="1:4" ht="15.75" outlineLevel="1">
      <c r="A155" s="38" t="s">
        <v>428</v>
      </c>
      <c r="B155" s="39" t="s">
        <v>7</v>
      </c>
      <c r="C155" s="38">
        <v>5.28</v>
      </c>
      <c r="D155" s="110"/>
    </row>
    <row r="156" spans="1:4" ht="15.75" outlineLevel="1">
      <c r="A156" s="38" t="s">
        <v>428</v>
      </c>
      <c r="B156" s="39" t="s">
        <v>8</v>
      </c>
      <c r="C156" s="40">
        <v>5.3</v>
      </c>
      <c r="D156" s="110"/>
    </row>
    <row r="157" spans="1:4" ht="15.75" outlineLevel="1">
      <c r="A157" s="38" t="s">
        <v>428</v>
      </c>
      <c r="B157" s="39" t="s">
        <v>526</v>
      </c>
      <c r="C157" s="38">
        <v>5.32</v>
      </c>
      <c r="D157" s="110"/>
    </row>
    <row r="158" spans="1:4" ht="15.75" outlineLevel="1">
      <c r="A158" s="38" t="s">
        <v>428</v>
      </c>
      <c r="B158" s="39" t="s">
        <v>80</v>
      </c>
      <c r="C158" s="38">
        <v>5.36</v>
      </c>
      <c r="D158" s="110"/>
    </row>
    <row r="159" spans="1:4" ht="15.75" outlineLevel="1">
      <c r="A159" s="38" t="s">
        <v>428</v>
      </c>
      <c r="B159" s="39" t="s">
        <v>11</v>
      </c>
      <c r="C159" s="38">
        <v>5.53</v>
      </c>
      <c r="D159" s="110"/>
    </row>
    <row r="160" spans="1:4" ht="15.75" outlineLevel="1">
      <c r="A160" s="38" t="s">
        <v>428</v>
      </c>
      <c r="B160" s="39" t="s">
        <v>17</v>
      </c>
      <c r="C160" s="38">
        <v>5.58</v>
      </c>
      <c r="D160" s="110"/>
    </row>
    <row r="161" spans="1:5" ht="15.75" outlineLevel="1">
      <c r="A161" s="38" t="s">
        <v>428</v>
      </c>
      <c r="B161" s="39" t="s">
        <v>18</v>
      </c>
      <c r="C161" s="38">
        <v>5.54</v>
      </c>
      <c r="D161" s="110"/>
    </row>
    <row r="162" spans="1:5" ht="15.75" outlineLevel="1">
      <c r="A162" s="38" t="s">
        <v>428</v>
      </c>
      <c r="B162" s="39" t="s">
        <v>19</v>
      </c>
      <c r="C162" s="38">
        <v>5.55</v>
      </c>
      <c r="D162" s="110"/>
    </row>
    <row r="163" spans="1:5" ht="15.75" outlineLevel="1">
      <c r="A163" s="38" t="s">
        <v>428</v>
      </c>
      <c r="B163" s="39" t="s">
        <v>16</v>
      </c>
      <c r="C163" s="38">
        <v>5.62</v>
      </c>
      <c r="D163" s="110"/>
      <c r="E163" t="s">
        <v>1077</v>
      </c>
    </row>
    <row r="164" spans="1:5" ht="15.75" outlineLevel="1">
      <c r="A164" s="38" t="s">
        <v>428</v>
      </c>
      <c r="B164" s="39" t="s">
        <v>20</v>
      </c>
      <c r="C164" s="38">
        <v>5.63</v>
      </c>
      <c r="D164" s="110"/>
    </row>
    <row r="165" spans="1:5" ht="15.75" outlineLevel="1">
      <c r="A165" s="38" t="s">
        <v>428</v>
      </c>
      <c r="B165" s="39" t="s">
        <v>23</v>
      </c>
      <c r="C165" s="38">
        <v>5.45</v>
      </c>
      <c r="D165" s="110"/>
    </row>
    <row r="166" spans="1:5" ht="15.75" outlineLevel="1">
      <c r="A166" s="38" t="s">
        <v>428</v>
      </c>
      <c r="B166" s="39" t="s">
        <v>24</v>
      </c>
      <c r="C166" s="38">
        <v>5.47</v>
      </c>
      <c r="D166" s="110"/>
    </row>
    <row r="167" spans="1:5" ht="15.75" outlineLevel="1">
      <c r="A167" s="38" t="s">
        <v>428</v>
      </c>
      <c r="B167" s="39" t="s">
        <v>25</v>
      </c>
      <c r="C167" s="38">
        <v>5.48</v>
      </c>
      <c r="D167" s="110"/>
    </row>
    <row r="168" spans="1:5" ht="15.75">
      <c r="A168" s="44" t="s">
        <v>428</v>
      </c>
      <c r="B168" s="39"/>
      <c r="C168" s="38"/>
      <c r="D168" s="110"/>
    </row>
    <row r="169" spans="1:5" ht="15.75" outlineLevel="1">
      <c r="A169" s="38" t="s">
        <v>946</v>
      </c>
      <c r="B169" s="39" t="s">
        <v>0</v>
      </c>
      <c r="C169" s="38">
        <v>5.0999999999999996</v>
      </c>
      <c r="D169" s="110"/>
    </row>
    <row r="170" spans="1:5" ht="15.75" outlineLevel="1">
      <c r="A170" s="38" t="s">
        <v>946</v>
      </c>
      <c r="B170" s="39" t="s">
        <v>1</v>
      </c>
      <c r="C170" s="38">
        <v>5.2</v>
      </c>
      <c r="D170" s="110"/>
    </row>
    <row r="171" spans="1:5" ht="15.75" outlineLevel="1">
      <c r="A171" s="38" t="s">
        <v>946</v>
      </c>
      <c r="B171" s="39" t="s">
        <v>2</v>
      </c>
      <c r="C171" s="38">
        <v>5.3</v>
      </c>
      <c r="D171" s="110"/>
    </row>
    <row r="172" spans="1:5" ht="15.75" outlineLevel="1">
      <c r="A172" s="38" t="s">
        <v>946</v>
      </c>
      <c r="B172" s="39" t="s">
        <v>101</v>
      </c>
      <c r="C172" s="38">
        <v>5.6</v>
      </c>
      <c r="D172" s="110"/>
    </row>
    <row r="173" spans="1:5" ht="15.75" outlineLevel="1">
      <c r="A173" s="38" t="s">
        <v>946</v>
      </c>
      <c r="B173" s="39" t="s">
        <v>1074</v>
      </c>
      <c r="C173" s="40">
        <v>5.0999999999999996</v>
      </c>
      <c r="D173" s="110"/>
    </row>
    <row r="174" spans="1:5" ht="15.75" outlineLevel="1">
      <c r="A174" s="38" t="s">
        <v>946</v>
      </c>
      <c r="B174" s="39" t="s">
        <v>1073</v>
      </c>
      <c r="C174" s="38">
        <v>5.14</v>
      </c>
      <c r="D174" s="110"/>
    </row>
    <row r="175" spans="1:5" ht="15.75" outlineLevel="1">
      <c r="A175" s="38" t="s">
        <v>946</v>
      </c>
      <c r="B175" s="39" t="s">
        <v>4</v>
      </c>
      <c r="C175" s="38">
        <v>5.19</v>
      </c>
      <c r="D175" s="110"/>
    </row>
    <row r="176" spans="1:5" ht="15.75" outlineLevel="1">
      <c r="A176" s="38" t="s">
        <v>946</v>
      </c>
      <c r="B176" s="39" t="s">
        <v>103</v>
      </c>
      <c r="C176" s="38">
        <v>5.24</v>
      </c>
      <c r="D176" s="110"/>
    </row>
    <row r="177" spans="1:4" ht="15.75" outlineLevel="1">
      <c r="A177" s="38" t="s">
        <v>946</v>
      </c>
      <c r="B177" s="39" t="s">
        <v>5</v>
      </c>
      <c r="C177" s="38">
        <v>5.26</v>
      </c>
      <c r="D177" s="110"/>
    </row>
    <row r="178" spans="1:4" ht="15.75" outlineLevel="1">
      <c r="A178" s="38" t="s">
        <v>946</v>
      </c>
      <c r="B178" s="39" t="s">
        <v>6</v>
      </c>
      <c r="C178" s="38">
        <v>5.27</v>
      </c>
      <c r="D178" s="110"/>
    </row>
    <row r="179" spans="1:4" ht="15.75" outlineLevel="1">
      <c r="A179" s="38" t="s">
        <v>946</v>
      </c>
      <c r="B179" s="39" t="s">
        <v>7</v>
      </c>
      <c r="C179" s="38">
        <v>5.28</v>
      </c>
      <c r="D179" s="110"/>
    </row>
    <row r="180" spans="1:4" ht="15.75" outlineLevel="1">
      <c r="A180" s="38" t="s">
        <v>946</v>
      </c>
      <c r="B180" s="39" t="s">
        <v>280</v>
      </c>
      <c r="C180" s="38">
        <v>5.29</v>
      </c>
      <c r="D180" s="110"/>
    </row>
    <row r="181" spans="1:4" ht="15.75" outlineLevel="1">
      <c r="A181" s="38" t="s">
        <v>946</v>
      </c>
      <c r="B181" s="39" t="s">
        <v>8</v>
      </c>
      <c r="C181" s="40">
        <v>5.3</v>
      </c>
      <c r="D181" s="110"/>
    </row>
    <row r="182" spans="1:4" ht="15.75" outlineLevel="1">
      <c r="A182" s="38" t="s">
        <v>946</v>
      </c>
      <c r="B182" s="39" t="s">
        <v>526</v>
      </c>
      <c r="C182" s="38">
        <v>5.32</v>
      </c>
      <c r="D182" s="110"/>
    </row>
    <row r="183" spans="1:4" ht="15.75" outlineLevel="1">
      <c r="A183" s="38" t="s">
        <v>946</v>
      </c>
      <c r="B183" s="39" t="s">
        <v>80</v>
      </c>
      <c r="C183" s="38">
        <v>5.36</v>
      </c>
      <c r="D183" s="110"/>
    </row>
    <row r="184" spans="1:4" ht="15.75" outlineLevel="1">
      <c r="A184" s="38" t="s">
        <v>946</v>
      </c>
      <c r="B184" s="39" t="s">
        <v>11</v>
      </c>
      <c r="C184" s="38">
        <v>5.53</v>
      </c>
      <c r="D184" s="110"/>
    </row>
    <row r="185" spans="1:4" ht="15.75" outlineLevel="1">
      <c r="A185" s="38" t="s">
        <v>946</v>
      </c>
      <c r="B185" s="39" t="s">
        <v>17</v>
      </c>
      <c r="C185" s="38">
        <v>5.58</v>
      </c>
      <c r="D185" s="110"/>
    </row>
    <row r="186" spans="1:4" ht="15.75" outlineLevel="1">
      <c r="A186" s="38" t="s">
        <v>946</v>
      </c>
      <c r="B186" s="39" t="s">
        <v>18</v>
      </c>
      <c r="C186" s="38">
        <v>5.54</v>
      </c>
      <c r="D186" s="110"/>
    </row>
    <row r="187" spans="1:4" ht="15.75" outlineLevel="1">
      <c r="A187" s="38" t="s">
        <v>946</v>
      </c>
      <c r="B187" s="39" t="s">
        <v>19</v>
      </c>
      <c r="C187" s="38">
        <v>5.55</v>
      </c>
      <c r="D187" s="110"/>
    </row>
    <row r="188" spans="1:4" ht="15.75" outlineLevel="1">
      <c r="A188" s="38" t="s">
        <v>946</v>
      </c>
      <c r="B188" s="39" t="s">
        <v>20</v>
      </c>
      <c r="C188" s="38">
        <v>5.63</v>
      </c>
      <c r="D188" s="110"/>
    </row>
    <row r="189" spans="1:4" ht="15.75" outlineLevel="1">
      <c r="A189" s="38" t="s">
        <v>946</v>
      </c>
      <c r="B189" s="39" t="s">
        <v>23</v>
      </c>
      <c r="C189" s="38">
        <v>5.45</v>
      </c>
      <c r="D189" s="110"/>
    </row>
    <row r="190" spans="1:4" ht="15.75" outlineLevel="1">
      <c r="A190" s="38" t="s">
        <v>946</v>
      </c>
      <c r="B190" s="39" t="s">
        <v>24</v>
      </c>
      <c r="C190" s="38">
        <v>5.47</v>
      </c>
      <c r="D190" s="110"/>
    </row>
    <row r="191" spans="1:4" ht="15.75" outlineLevel="1">
      <c r="A191" s="38" t="s">
        <v>946</v>
      </c>
      <c r="B191" s="39" t="s">
        <v>25</v>
      </c>
      <c r="C191" s="38">
        <v>5.48</v>
      </c>
      <c r="D191" s="110"/>
    </row>
    <row r="192" spans="1:4" ht="15.75">
      <c r="A192" s="44" t="s">
        <v>946</v>
      </c>
      <c r="B192" s="39"/>
      <c r="C192" s="38"/>
      <c r="D192" s="110"/>
    </row>
    <row r="193" spans="1:4" ht="15.75" outlineLevel="1">
      <c r="A193" s="38" t="s">
        <v>1078</v>
      </c>
      <c r="B193" s="39" t="s">
        <v>0</v>
      </c>
      <c r="C193" s="38">
        <v>5.0999999999999996</v>
      </c>
      <c r="D193" s="110"/>
    </row>
    <row r="194" spans="1:4" ht="15.75" outlineLevel="1">
      <c r="A194" s="38" t="s">
        <v>1078</v>
      </c>
      <c r="B194" s="39" t="s">
        <v>1</v>
      </c>
      <c r="C194" s="38">
        <v>5.2</v>
      </c>
      <c r="D194" s="110"/>
    </row>
    <row r="195" spans="1:4" ht="15.75" outlineLevel="1">
      <c r="A195" s="38" t="s">
        <v>1078</v>
      </c>
      <c r="B195" s="39" t="s">
        <v>2</v>
      </c>
      <c r="C195" s="38">
        <v>5.3</v>
      </c>
      <c r="D195" s="110"/>
    </row>
    <row r="196" spans="1:4" ht="15.75" outlineLevel="1">
      <c r="A196" s="38" t="s">
        <v>1078</v>
      </c>
      <c r="B196" s="39" t="s">
        <v>101</v>
      </c>
      <c r="C196" s="38">
        <v>5.6</v>
      </c>
      <c r="D196" s="110"/>
    </row>
    <row r="197" spans="1:4" ht="15.75" outlineLevel="1">
      <c r="A197" s="38" t="s">
        <v>1078</v>
      </c>
      <c r="B197" s="39" t="s">
        <v>1074</v>
      </c>
      <c r="C197" s="40">
        <v>5.0999999999999996</v>
      </c>
      <c r="D197" s="110"/>
    </row>
    <row r="198" spans="1:4" ht="15.75" outlineLevel="1">
      <c r="A198" s="38" t="s">
        <v>1078</v>
      </c>
      <c r="B198" s="39" t="s">
        <v>1073</v>
      </c>
      <c r="C198" s="38">
        <v>5.14</v>
      </c>
      <c r="D198" s="110"/>
    </row>
    <row r="199" spans="1:4" ht="15.75" outlineLevel="1">
      <c r="A199" s="38" t="s">
        <v>1078</v>
      </c>
      <c r="B199" s="39" t="s">
        <v>4</v>
      </c>
      <c r="C199" s="38">
        <v>5.19</v>
      </c>
      <c r="D199" s="110"/>
    </row>
    <row r="200" spans="1:4" ht="15.75" outlineLevel="1">
      <c r="A200" s="38" t="s">
        <v>1078</v>
      </c>
      <c r="B200" s="39" t="s">
        <v>103</v>
      </c>
      <c r="C200" s="38">
        <v>5.24</v>
      </c>
      <c r="D200" s="110"/>
    </row>
    <row r="201" spans="1:4" ht="15.75" outlineLevel="1">
      <c r="A201" s="38" t="s">
        <v>1078</v>
      </c>
      <c r="B201" s="39" t="s">
        <v>6</v>
      </c>
      <c r="C201" s="38">
        <v>5.27</v>
      </c>
      <c r="D201" s="110"/>
    </row>
    <row r="202" spans="1:4" ht="15.75" outlineLevel="1">
      <c r="A202" s="38" t="s">
        <v>1078</v>
      </c>
      <c r="B202" s="39" t="s">
        <v>7</v>
      </c>
      <c r="C202" s="38">
        <v>5.28</v>
      </c>
      <c r="D202" s="110"/>
    </row>
    <row r="203" spans="1:4" ht="15.75" outlineLevel="1">
      <c r="A203" s="38" t="s">
        <v>1078</v>
      </c>
      <c r="B203" s="39" t="s">
        <v>280</v>
      </c>
      <c r="C203" s="38">
        <v>5.29</v>
      </c>
      <c r="D203" s="110"/>
    </row>
    <row r="204" spans="1:4" ht="15.75" outlineLevel="1">
      <c r="A204" s="38" t="s">
        <v>1078</v>
      </c>
      <c r="B204" s="39" t="s">
        <v>8</v>
      </c>
      <c r="C204" s="40">
        <v>5.3</v>
      </c>
      <c r="D204" s="110"/>
    </row>
    <row r="205" spans="1:4" ht="15.75" outlineLevel="1">
      <c r="A205" s="38" t="s">
        <v>1078</v>
      </c>
      <c r="B205" s="39" t="s">
        <v>1079</v>
      </c>
      <c r="C205" s="38">
        <v>5.34</v>
      </c>
      <c r="D205" s="110"/>
    </row>
    <row r="206" spans="1:4" ht="15.75" outlineLevel="1">
      <c r="A206" s="38" t="s">
        <v>1078</v>
      </c>
      <c r="B206" s="39" t="s">
        <v>104</v>
      </c>
      <c r="C206" s="38">
        <v>5.31</v>
      </c>
      <c r="D206" s="110"/>
    </row>
    <row r="207" spans="1:4" ht="15.75" outlineLevel="1">
      <c r="A207" s="38" t="s">
        <v>1078</v>
      </c>
      <c r="B207" s="39" t="s">
        <v>1080</v>
      </c>
      <c r="C207" s="38">
        <v>5.101</v>
      </c>
      <c r="D207" s="110"/>
    </row>
    <row r="208" spans="1:4" ht="15.75" outlineLevel="1">
      <c r="A208" s="38" t="s">
        <v>1078</v>
      </c>
      <c r="B208" s="39" t="s">
        <v>80</v>
      </c>
      <c r="C208" s="38">
        <v>5.36</v>
      </c>
      <c r="D208" s="110"/>
    </row>
    <row r="209" spans="1:4" ht="15.75" outlineLevel="1">
      <c r="A209" s="38" t="s">
        <v>1078</v>
      </c>
      <c r="B209" s="39" t="s">
        <v>11</v>
      </c>
      <c r="C209" s="38">
        <v>5.53</v>
      </c>
      <c r="D209" s="110"/>
    </row>
    <row r="210" spans="1:4" ht="15.75" outlineLevel="1">
      <c r="A210" s="38" t="s">
        <v>1078</v>
      </c>
      <c r="B210" s="39" t="s">
        <v>1081</v>
      </c>
      <c r="C210" s="38">
        <v>5.1020000000000003</v>
      </c>
      <c r="D210" s="110"/>
    </row>
    <row r="211" spans="1:4" ht="15.75" outlineLevel="1">
      <c r="A211" s="38" t="s">
        <v>1078</v>
      </c>
      <c r="B211" s="39" t="s">
        <v>1082</v>
      </c>
      <c r="C211" s="41">
        <v>5.0999999999999996</v>
      </c>
      <c r="D211" s="110"/>
    </row>
    <row r="212" spans="1:4" ht="15.75" outlineLevel="1">
      <c r="A212" s="38" t="s">
        <v>1078</v>
      </c>
      <c r="B212" s="39" t="s">
        <v>17</v>
      </c>
      <c r="C212" s="38">
        <v>5.58</v>
      </c>
      <c r="D212" s="110"/>
    </row>
    <row r="213" spans="1:4" ht="15.75" outlineLevel="1">
      <c r="A213" s="38" t="s">
        <v>1078</v>
      </c>
      <c r="B213" s="39" t="s">
        <v>18</v>
      </c>
      <c r="C213" s="38">
        <v>5.54</v>
      </c>
      <c r="D213" s="110"/>
    </row>
    <row r="214" spans="1:4" ht="15.75" outlineLevel="1">
      <c r="A214" s="38" t="s">
        <v>1078</v>
      </c>
      <c r="B214" s="39" t="s">
        <v>19</v>
      </c>
      <c r="C214" s="38">
        <v>5.55</v>
      </c>
      <c r="D214" s="110"/>
    </row>
    <row r="215" spans="1:4" ht="15.75" outlineLevel="1">
      <c r="A215" s="38" t="s">
        <v>1078</v>
      </c>
      <c r="B215" s="39" t="s">
        <v>20</v>
      </c>
      <c r="C215" s="38">
        <v>5.63</v>
      </c>
      <c r="D215" s="110"/>
    </row>
    <row r="216" spans="1:4" ht="15.75" outlineLevel="1">
      <c r="A216" s="38" t="s">
        <v>1078</v>
      </c>
      <c r="B216" s="39" t="s">
        <v>24</v>
      </c>
      <c r="C216" s="38">
        <v>5.47</v>
      </c>
      <c r="D216" s="110"/>
    </row>
    <row r="217" spans="1:4" ht="15.75" outlineLevel="1">
      <c r="A217" s="38" t="s">
        <v>1078</v>
      </c>
      <c r="B217" s="39" t="s">
        <v>25</v>
      </c>
      <c r="C217" s="38">
        <v>5.48</v>
      </c>
      <c r="D217" s="110"/>
    </row>
    <row r="218" spans="1:4" ht="15.75">
      <c r="A218" s="44" t="s">
        <v>1078</v>
      </c>
      <c r="B218" s="39"/>
      <c r="C218" s="38"/>
      <c r="D218" s="110"/>
    </row>
    <row r="219" spans="1:4" ht="15.75" outlineLevel="1">
      <c r="A219" s="38" t="s">
        <v>949</v>
      </c>
      <c r="B219" s="39" t="s">
        <v>0</v>
      </c>
      <c r="C219" s="38">
        <v>5.0999999999999996</v>
      </c>
      <c r="D219" s="110"/>
    </row>
    <row r="220" spans="1:4" ht="15.75" outlineLevel="1">
      <c r="A220" s="38" t="s">
        <v>949</v>
      </c>
      <c r="B220" s="39" t="s">
        <v>1</v>
      </c>
      <c r="C220" s="38">
        <v>5.2</v>
      </c>
      <c r="D220" s="110"/>
    </row>
    <row r="221" spans="1:4" ht="15.75" outlineLevel="1">
      <c r="A221" s="38" t="s">
        <v>949</v>
      </c>
      <c r="B221" s="39" t="s">
        <v>2</v>
      </c>
      <c r="C221" s="38">
        <v>5.3</v>
      </c>
      <c r="D221" s="110"/>
    </row>
    <row r="222" spans="1:4" ht="15.75" outlineLevel="1">
      <c r="A222" s="38" t="s">
        <v>949</v>
      </c>
      <c r="B222" s="39" t="s">
        <v>101</v>
      </c>
      <c r="C222" s="38">
        <v>5.6</v>
      </c>
      <c r="D222" s="110"/>
    </row>
    <row r="223" spans="1:4" ht="15.75" outlineLevel="1">
      <c r="A223" s="38" t="s">
        <v>949</v>
      </c>
      <c r="B223" s="39" t="s">
        <v>1074</v>
      </c>
      <c r="C223" s="40">
        <v>5.0999999999999996</v>
      </c>
      <c r="D223" s="110"/>
    </row>
    <row r="224" spans="1:4" ht="15.75" outlineLevel="1">
      <c r="A224" s="38" t="s">
        <v>949</v>
      </c>
      <c r="B224" s="39" t="s">
        <v>1073</v>
      </c>
      <c r="C224" s="38">
        <v>5.14</v>
      </c>
      <c r="D224" s="110"/>
    </row>
    <row r="225" spans="1:4" ht="15.75" outlineLevel="1">
      <c r="A225" s="38" t="s">
        <v>949</v>
      </c>
      <c r="B225" s="39" t="s">
        <v>4</v>
      </c>
      <c r="C225" s="38">
        <v>5.19</v>
      </c>
      <c r="D225" s="110"/>
    </row>
    <row r="226" spans="1:4" ht="15.75" outlineLevel="1">
      <c r="A226" s="38" t="s">
        <v>949</v>
      </c>
      <c r="B226" s="39" t="s">
        <v>103</v>
      </c>
      <c r="C226" s="38">
        <v>5.24</v>
      </c>
      <c r="D226" s="110"/>
    </row>
    <row r="227" spans="1:4" ht="15.75" outlineLevel="1">
      <c r="A227" s="38" t="s">
        <v>949</v>
      </c>
      <c r="B227" s="39" t="s">
        <v>5</v>
      </c>
      <c r="C227" s="38">
        <v>5.26</v>
      </c>
      <c r="D227" s="110"/>
    </row>
    <row r="228" spans="1:4" ht="15.75" outlineLevel="1">
      <c r="A228" s="38" t="s">
        <v>949</v>
      </c>
      <c r="B228" s="39" t="s">
        <v>6</v>
      </c>
      <c r="C228" s="38">
        <v>5.27</v>
      </c>
      <c r="D228" s="110"/>
    </row>
    <row r="229" spans="1:4" ht="15.75" outlineLevel="1">
      <c r="A229" s="38" t="s">
        <v>949</v>
      </c>
      <c r="B229" s="39" t="s">
        <v>7</v>
      </c>
      <c r="C229" s="38">
        <v>5.28</v>
      </c>
      <c r="D229" s="110"/>
    </row>
    <row r="230" spans="1:4" ht="15.75" outlineLevel="1">
      <c r="A230" s="38" t="s">
        <v>949</v>
      </c>
      <c r="B230" s="39" t="s">
        <v>280</v>
      </c>
      <c r="C230" s="38">
        <v>5.29</v>
      </c>
      <c r="D230" s="110"/>
    </row>
    <row r="231" spans="1:4" ht="15.75" outlineLevel="1">
      <c r="A231" s="38" t="s">
        <v>949</v>
      </c>
      <c r="B231" s="39" t="s">
        <v>8</v>
      </c>
      <c r="C231" s="40">
        <v>5.3</v>
      </c>
      <c r="D231" s="110"/>
    </row>
    <row r="232" spans="1:4" ht="15.75" outlineLevel="1">
      <c r="A232" s="38" t="s">
        <v>949</v>
      </c>
      <c r="B232" s="39" t="s">
        <v>104</v>
      </c>
      <c r="C232" s="38">
        <v>5.31</v>
      </c>
      <c r="D232" s="110"/>
    </row>
    <row r="233" spans="1:4" ht="15.75" outlineLevel="1">
      <c r="A233" s="38" t="s">
        <v>949</v>
      </c>
      <c r="B233" s="39" t="s">
        <v>127</v>
      </c>
      <c r="C233" s="38">
        <v>5.33</v>
      </c>
      <c r="D233" s="110"/>
    </row>
    <row r="234" spans="1:4" ht="15.75" outlineLevel="1">
      <c r="A234" s="38" t="s">
        <v>949</v>
      </c>
      <c r="B234" s="39" t="s">
        <v>1080</v>
      </c>
      <c r="C234" s="38">
        <v>5.101</v>
      </c>
      <c r="D234" s="110"/>
    </row>
    <row r="235" spans="1:4" ht="15.75" outlineLevel="1">
      <c r="A235" s="38" t="s">
        <v>949</v>
      </c>
      <c r="B235" s="39" t="s">
        <v>80</v>
      </c>
      <c r="C235" s="38">
        <v>5.36</v>
      </c>
      <c r="D235" s="110"/>
    </row>
    <row r="236" spans="1:4" ht="15.75" outlineLevel="1">
      <c r="A236" s="38" t="s">
        <v>949</v>
      </c>
      <c r="B236" s="39" t="s">
        <v>11</v>
      </c>
      <c r="C236" s="38">
        <v>5.53</v>
      </c>
      <c r="D236" s="110"/>
    </row>
    <row r="237" spans="1:4" ht="15.75" outlineLevel="1">
      <c r="A237" s="38" t="s">
        <v>949</v>
      </c>
      <c r="B237" s="39" t="s">
        <v>1081</v>
      </c>
      <c r="C237" s="38">
        <v>5.1020000000000003</v>
      </c>
      <c r="D237" s="110"/>
    </row>
    <row r="238" spans="1:4" ht="15.75" outlineLevel="1">
      <c r="A238" s="38" t="s">
        <v>949</v>
      </c>
      <c r="B238" s="39" t="s">
        <v>17</v>
      </c>
      <c r="C238" s="38">
        <v>5.58</v>
      </c>
      <c r="D238" s="110"/>
    </row>
    <row r="239" spans="1:4" ht="15.75" outlineLevel="1">
      <c r="A239" s="38" t="s">
        <v>949</v>
      </c>
      <c r="B239" s="39" t="s">
        <v>18</v>
      </c>
      <c r="C239" s="38">
        <v>5.54</v>
      </c>
      <c r="D239" s="110"/>
    </row>
    <row r="240" spans="1:4" ht="15.75" outlineLevel="1">
      <c r="A240" s="38" t="s">
        <v>949</v>
      </c>
      <c r="B240" s="39" t="s">
        <v>19</v>
      </c>
      <c r="C240" s="38">
        <v>5.55</v>
      </c>
      <c r="D240" s="110"/>
    </row>
    <row r="241" spans="1:4" ht="15.75" outlineLevel="1">
      <c r="A241" s="38" t="s">
        <v>949</v>
      </c>
      <c r="B241" s="39" t="s">
        <v>20</v>
      </c>
      <c r="C241" s="38">
        <v>5.63</v>
      </c>
      <c r="D241" s="110"/>
    </row>
    <row r="242" spans="1:4" ht="15.75" outlineLevel="1">
      <c r="A242" s="38" t="s">
        <v>949</v>
      </c>
      <c r="B242" s="39" t="s">
        <v>24</v>
      </c>
      <c r="C242" s="38">
        <v>5.47</v>
      </c>
      <c r="D242" s="110"/>
    </row>
    <row r="243" spans="1:4" ht="15.75" outlineLevel="1">
      <c r="A243" s="38" t="s">
        <v>949</v>
      </c>
      <c r="B243" s="39" t="s">
        <v>25</v>
      </c>
      <c r="C243" s="38">
        <v>5.48</v>
      </c>
      <c r="D243" s="110"/>
    </row>
    <row r="244" spans="1:4" ht="15.75">
      <c r="A244" s="44" t="s">
        <v>949</v>
      </c>
      <c r="B244" s="39"/>
      <c r="C244" s="38"/>
      <c r="D244" s="110"/>
    </row>
    <row r="245" spans="1:4" ht="15.75" outlineLevel="1">
      <c r="A245" s="38" t="s">
        <v>1083</v>
      </c>
      <c r="B245" s="39" t="s">
        <v>0</v>
      </c>
      <c r="C245" s="38">
        <v>5.0999999999999996</v>
      </c>
      <c r="D245" s="110"/>
    </row>
    <row r="246" spans="1:4" ht="15.75" outlineLevel="1">
      <c r="A246" s="38" t="s">
        <v>1083</v>
      </c>
      <c r="B246" s="39" t="s">
        <v>1</v>
      </c>
      <c r="C246" s="38">
        <v>5.2</v>
      </c>
      <c r="D246" s="110"/>
    </row>
    <row r="247" spans="1:4" ht="15.75" outlineLevel="1">
      <c r="A247" s="38" t="s">
        <v>1083</v>
      </c>
      <c r="B247" s="39" t="s">
        <v>2</v>
      </c>
      <c r="C247" s="38">
        <v>5.3</v>
      </c>
      <c r="D247" s="110"/>
    </row>
    <row r="248" spans="1:4" ht="15.75" outlineLevel="1">
      <c r="A248" s="38" t="s">
        <v>1083</v>
      </c>
      <c r="B248" s="39" t="s">
        <v>101</v>
      </c>
      <c r="C248" s="38">
        <v>5.6</v>
      </c>
      <c r="D248" s="110"/>
    </row>
    <row r="249" spans="1:4" ht="15.75" outlineLevel="1">
      <c r="A249" s="38" t="s">
        <v>1083</v>
      </c>
      <c r="B249" s="39" t="s">
        <v>1074</v>
      </c>
      <c r="C249" s="40">
        <v>5.0999999999999996</v>
      </c>
      <c r="D249" s="110"/>
    </row>
    <row r="250" spans="1:4" ht="15.75" outlineLevel="1">
      <c r="A250" s="38" t="s">
        <v>1083</v>
      </c>
      <c r="B250" s="39" t="s">
        <v>1073</v>
      </c>
      <c r="C250" s="38">
        <v>5.14</v>
      </c>
      <c r="D250" s="110"/>
    </row>
    <row r="251" spans="1:4" ht="15.75" outlineLevel="1">
      <c r="A251" s="38" t="s">
        <v>1083</v>
      </c>
      <c r="B251" s="39" t="s">
        <v>4</v>
      </c>
      <c r="C251" s="38">
        <v>5.19</v>
      </c>
      <c r="D251" s="110"/>
    </row>
    <row r="252" spans="1:4" ht="15.75" outlineLevel="1">
      <c r="A252" s="38" t="s">
        <v>1083</v>
      </c>
      <c r="B252" s="39" t="s">
        <v>103</v>
      </c>
      <c r="C252" s="38">
        <v>5.24</v>
      </c>
      <c r="D252" s="110"/>
    </row>
    <row r="253" spans="1:4" ht="15.75" outlineLevel="1">
      <c r="A253" s="38" t="s">
        <v>1083</v>
      </c>
      <c r="B253" s="39" t="s">
        <v>6</v>
      </c>
      <c r="C253" s="38">
        <v>5.27</v>
      </c>
      <c r="D253" s="110"/>
    </row>
    <row r="254" spans="1:4" ht="15.75" outlineLevel="1">
      <c r="A254" s="38" t="s">
        <v>1083</v>
      </c>
      <c r="B254" s="39" t="s">
        <v>7</v>
      </c>
      <c r="C254" s="38">
        <v>5.28</v>
      </c>
      <c r="D254" s="110"/>
    </row>
    <row r="255" spans="1:4" ht="15.75" outlineLevel="1">
      <c r="A255" s="38" t="s">
        <v>1083</v>
      </c>
      <c r="B255" s="39" t="s">
        <v>8</v>
      </c>
      <c r="C255" s="40">
        <v>5.3</v>
      </c>
      <c r="D255" s="110"/>
    </row>
    <row r="256" spans="1:4" ht="15.75" outlineLevel="1">
      <c r="A256" s="38" t="s">
        <v>1083</v>
      </c>
      <c r="B256" s="39" t="s">
        <v>127</v>
      </c>
      <c r="C256" s="38">
        <v>5.33</v>
      </c>
      <c r="D256" s="110"/>
    </row>
    <row r="257" spans="1:4" ht="15.75" outlineLevel="1">
      <c r="A257" s="38" t="s">
        <v>1083</v>
      </c>
      <c r="B257" s="39" t="s">
        <v>80</v>
      </c>
      <c r="C257" s="38">
        <v>5.36</v>
      </c>
      <c r="D257" s="110"/>
    </row>
    <row r="258" spans="1:4" ht="15.75" outlineLevel="1">
      <c r="A258" s="38" t="s">
        <v>1083</v>
      </c>
      <c r="B258" s="39" t="s">
        <v>11</v>
      </c>
      <c r="C258" s="38">
        <v>5.53</v>
      </c>
      <c r="D258" s="110"/>
    </row>
    <row r="259" spans="1:4" ht="15.75" outlineLevel="1">
      <c r="A259" s="38" t="s">
        <v>1083</v>
      </c>
      <c r="B259" s="39" t="s">
        <v>17</v>
      </c>
      <c r="C259" s="38">
        <v>5.58</v>
      </c>
      <c r="D259" s="110"/>
    </row>
    <row r="260" spans="1:4" ht="15.75" outlineLevel="1">
      <c r="A260" s="38" t="s">
        <v>1083</v>
      </c>
      <c r="B260" s="39" t="s">
        <v>18</v>
      </c>
      <c r="C260" s="38">
        <v>5.54</v>
      </c>
      <c r="D260" s="110"/>
    </row>
    <row r="261" spans="1:4" ht="15.75" outlineLevel="1">
      <c r="A261" s="38" t="s">
        <v>1083</v>
      </c>
      <c r="B261" s="39" t="s">
        <v>19</v>
      </c>
      <c r="C261" s="38">
        <v>5.55</v>
      </c>
      <c r="D261" s="110"/>
    </row>
    <row r="262" spans="1:4" ht="15.75" outlineLevel="1">
      <c r="A262" s="38" t="s">
        <v>1083</v>
      </c>
      <c r="B262" s="39" t="s">
        <v>20</v>
      </c>
      <c r="C262" s="38">
        <v>5.63</v>
      </c>
      <c r="D262" s="110"/>
    </row>
    <row r="263" spans="1:4" ht="15.75" outlineLevel="1">
      <c r="A263" s="38" t="s">
        <v>1083</v>
      </c>
      <c r="B263" s="39" t="s">
        <v>24</v>
      </c>
      <c r="C263" s="38">
        <v>5.47</v>
      </c>
      <c r="D263" s="110"/>
    </row>
    <row r="264" spans="1:4" ht="15.75" outlineLevel="1">
      <c r="A264" s="38" t="s">
        <v>1083</v>
      </c>
      <c r="B264" s="39" t="s">
        <v>25</v>
      </c>
      <c r="C264" s="38">
        <v>5.48</v>
      </c>
      <c r="D264" s="110"/>
    </row>
    <row r="265" spans="1:4" ht="15.75">
      <c r="A265" s="44" t="s">
        <v>1083</v>
      </c>
      <c r="B265" s="39"/>
      <c r="C265" s="38"/>
      <c r="D265" s="110"/>
    </row>
    <row r="266" spans="1:4" ht="15.75" outlineLevel="1">
      <c r="A266" s="38" t="s">
        <v>954</v>
      </c>
      <c r="B266" s="39" t="s">
        <v>0</v>
      </c>
      <c r="C266" s="38">
        <v>5.0999999999999996</v>
      </c>
      <c r="D266" s="110"/>
    </row>
    <row r="267" spans="1:4" ht="15.75" outlineLevel="1">
      <c r="A267" s="38" t="s">
        <v>954</v>
      </c>
      <c r="B267" s="39" t="s">
        <v>1</v>
      </c>
      <c r="C267" s="38">
        <v>5.2</v>
      </c>
      <c r="D267" s="110"/>
    </row>
    <row r="268" spans="1:4" ht="15.75" outlineLevel="1">
      <c r="A268" s="38" t="s">
        <v>954</v>
      </c>
      <c r="B268" s="39" t="s">
        <v>2</v>
      </c>
      <c r="C268" s="38">
        <v>5.3</v>
      </c>
      <c r="D268" s="110"/>
    </row>
    <row r="269" spans="1:4" ht="15.75" outlineLevel="1">
      <c r="A269" s="38" t="s">
        <v>954</v>
      </c>
      <c r="B269" s="39" t="s">
        <v>101</v>
      </c>
      <c r="C269" s="38">
        <v>5.6</v>
      </c>
      <c r="D269" s="110"/>
    </row>
    <row r="270" spans="1:4" ht="15.75" outlineLevel="1">
      <c r="A270" s="38" t="s">
        <v>954</v>
      </c>
      <c r="B270" s="39" t="s">
        <v>1074</v>
      </c>
      <c r="C270" s="40">
        <v>5.0999999999999996</v>
      </c>
      <c r="D270" s="110"/>
    </row>
    <row r="271" spans="1:4" ht="15.75" outlineLevel="1">
      <c r="A271" s="38" t="s">
        <v>954</v>
      </c>
      <c r="B271" s="39" t="s">
        <v>1073</v>
      </c>
      <c r="C271" s="38">
        <v>5.14</v>
      </c>
      <c r="D271" s="110"/>
    </row>
    <row r="272" spans="1:4" ht="15.75" outlineLevel="1">
      <c r="A272" s="38" t="s">
        <v>954</v>
      </c>
      <c r="B272" s="39" t="s">
        <v>4</v>
      </c>
      <c r="C272" s="38">
        <v>5.19</v>
      </c>
      <c r="D272" s="110"/>
    </row>
    <row r="273" spans="1:4" ht="15.75" outlineLevel="1">
      <c r="A273" s="38" t="s">
        <v>954</v>
      </c>
      <c r="B273" s="39" t="s">
        <v>103</v>
      </c>
      <c r="C273" s="38">
        <v>5.24</v>
      </c>
      <c r="D273" s="110"/>
    </row>
    <row r="274" spans="1:4" ht="15.75" outlineLevel="1">
      <c r="A274" s="38" t="s">
        <v>954</v>
      </c>
      <c r="B274" s="39" t="s">
        <v>5</v>
      </c>
      <c r="C274" s="38">
        <v>5.26</v>
      </c>
      <c r="D274" s="110"/>
    </row>
    <row r="275" spans="1:4" ht="15.75" outlineLevel="1">
      <c r="A275" s="38" t="s">
        <v>954</v>
      </c>
      <c r="B275" s="39" t="s">
        <v>6</v>
      </c>
      <c r="C275" s="38">
        <v>5.27</v>
      </c>
      <c r="D275" s="110"/>
    </row>
    <row r="276" spans="1:4" ht="15.75" outlineLevel="1">
      <c r="A276" s="38" t="s">
        <v>954</v>
      </c>
      <c r="B276" s="39" t="s">
        <v>7</v>
      </c>
      <c r="C276" s="38">
        <v>5.28</v>
      </c>
      <c r="D276" s="110"/>
    </row>
    <row r="277" spans="1:4" ht="15.75" outlineLevel="1">
      <c r="A277" s="38" t="s">
        <v>954</v>
      </c>
      <c r="B277" s="39" t="s">
        <v>280</v>
      </c>
      <c r="C277" s="38">
        <v>5.29</v>
      </c>
      <c r="D277" s="110"/>
    </row>
    <row r="278" spans="1:4" ht="15.75" outlineLevel="1">
      <c r="A278" s="38" t="s">
        <v>954</v>
      </c>
      <c r="B278" s="39" t="s">
        <v>8</v>
      </c>
      <c r="C278" s="40">
        <v>5.3</v>
      </c>
      <c r="D278" s="110"/>
    </row>
    <row r="279" spans="1:4" ht="15.75" outlineLevel="1">
      <c r="A279" s="38" t="s">
        <v>954</v>
      </c>
      <c r="B279" s="39" t="s">
        <v>127</v>
      </c>
      <c r="C279" s="38">
        <v>5.33</v>
      </c>
      <c r="D279" s="110"/>
    </row>
    <row r="280" spans="1:4" ht="15.75" outlineLevel="1">
      <c r="A280" s="38" t="s">
        <v>954</v>
      </c>
      <c r="B280" s="39" t="s">
        <v>80</v>
      </c>
      <c r="C280" s="38">
        <v>5.36</v>
      </c>
      <c r="D280" s="110"/>
    </row>
    <row r="281" spans="1:4" ht="15.75" outlineLevel="1">
      <c r="A281" s="38" t="s">
        <v>954</v>
      </c>
      <c r="B281" s="39" t="s">
        <v>12</v>
      </c>
      <c r="C281" s="38">
        <v>5.69</v>
      </c>
      <c r="D281" s="110"/>
    </row>
    <row r="282" spans="1:4" ht="15.75" outlineLevel="1">
      <c r="A282" s="38" t="s">
        <v>954</v>
      </c>
      <c r="B282" s="39" t="s">
        <v>14</v>
      </c>
      <c r="C282" s="40">
        <v>5.7</v>
      </c>
      <c r="D282" s="110"/>
    </row>
    <row r="283" spans="1:4" ht="15.75" outlineLevel="1">
      <c r="A283" s="38" t="s">
        <v>954</v>
      </c>
      <c r="B283" s="39" t="s">
        <v>15</v>
      </c>
      <c r="C283" s="38">
        <v>5.74</v>
      </c>
      <c r="D283" s="110"/>
    </row>
    <row r="284" spans="1:4" ht="15.75" outlineLevel="1">
      <c r="A284" s="38" t="s">
        <v>954</v>
      </c>
      <c r="B284" s="39" t="s">
        <v>9</v>
      </c>
      <c r="C284" s="38">
        <v>5.49</v>
      </c>
      <c r="D284" s="110"/>
    </row>
    <row r="285" spans="1:4" ht="15.75" outlineLevel="1">
      <c r="A285" s="38" t="s">
        <v>954</v>
      </c>
      <c r="B285" s="39" t="s">
        <v>10</v>
      </c>
      <c r="C285" s="38">
        <v>5.51</v>
      </c>
      <c r="D285" s="110"/>
    </row>
    <row r="286" spans="1:4" ht="15.75" outlineLevel="1">
      <c r="A286" s="38" t="s">
        <v>954</v>
      </c>
      <c r="B286" s="39" t="s">
        <v>1075</v>
      </c>
      <c r="C286" s="38">
        <v>5.52</v>
      </c>
      <c r="D286" s="110"/>
    </row>
    <row r="287" spans="1:4" ht="15.75" outlineLevel="1">
      <c r="A287" s="38" t="s">
        <v>954</v>
      </c>
      <c r="B287" s="39" t="s">
        <v>11</v>
      </c>
      <c r="C287" s="38">
        <v>5.53</v>
      </c>
      <c r="D287" s="110"/>
    </row>
    <row r="288" spans="1:4" ht="15.75" outlineLevel="1">
      <c r="A288" s="38" t="s">
        <v>954</v>
      </c>
      <c r="B288" s="39" t="s">
        <v>17</v>
      </c>
      <c r="C288" s="38">
        <v>5.58</v>
      </c>
      <c r="D288" s="110"/>
    </row>
    <row r="289" spans="1:4" ht="15.75" outlineLevel="1">
      <c r="A289" s="38" t="s">
        <v>954</v>
      </c>
      <c r="B289" s="39" t="s">
        <v>18</v>
      </c>
      <c r="C289" s="38">
        <v>5.54</v>
      </c>
      <c r="D289" s="110"/>
    </row>
    <row r="290" spans="1:4" ht="15.75" outlineLevel="1">
      <c r="A290" s="38" t="s">
        <v>954</v>
      </c>
      <c r="B290" s="39" t="s">
        <v>19</v>
      </c>
      <c r="C290" s="38">
        <v>5.55</v>
      </c>
      <c r="D290" s="110"/>
    </row>
    <row r="291" spans="1:4" ht="15.75" outlineLevel="1">
      <c r="A291" s="38" t="s">
        <v>954</v>
      </c>
      <c r="B291" s="39" t="s">
        <v>20</v>
      </c>
      <c r="C291" s="38">
        <v>5.63</v>
      </c>
      <c r="D291" s="110"/>
    </row>
    <row r="292" spans="1:4" ht="15.75" outlineLevel="1">
      <c r="A292" s="38" t="s">
        <v>954</v>
      </c>
      <c r="B292" s="39" t="s">
        <v>24</v>
      </c>
      <c r="C292" s="38">
        <v>5.47</v>
      </c>
      <c r="D292" s="110"/>
    </row>
    <row r="293" spans="1:4" ht="15.75" outlineLevel="1">
      <c r="A293" s="38" t="s">
        <v>954</v>
      </c>
      <c r="B293" s="39" t="s">
        <v>25</v>
      </c>
      <c r="C293" s="38">
        <v>5.48</v>
      </c>
      <c r="D293" s="110"/>
    </row>
    <row r="294" spans="1:4" ht="15.75">
      <c r="A294" s="44" t="s">
        <v>954</v>
      </c>
      <c r="B294" s="39"/>
      <c r="C294" s="38"/>
      <c r="D294" s="110"/>
    </row>
    <row r="295" spans="1:4" ht="15.75" outlineLevel="1">
      <c r="A295" s="38" t="s">
        <v>961</v>
      </c>
      <c r="B295" s="39" t="s">
        <v>0</v>
      </c>
      <c r="C295" s="38">
        <v>5.0999999999999996</v>
      </c>
      <c r="D295" s="110"/>
    </row>
    <row r="296" spans="1:4" ht="15.75" outlineLevel="1">
      <c r="A296" s="38" t="s">
        <v>961</v>
      </c>
      <c r="B296" s="39" t="s">
        <v>1</v>
      </c>
      <c r="C296" s="38">
        <v>5.2</v>
      </c>
      <c r="D296" s="110"/>
    </row>
    <row r="297" spans="1:4" ht="15.75" outlineLevel="1">
      <c r="A297" s="38" t="s">
        <v>961</v>
      </c>
      <c r="B297" s="39" t="s">
        <v>2</v>
      </c>
      <c r="C297" s="38">
        <v>5.3</v>
      </c>
      <c r="D297" s="110"/>
    </row>
    <row r="298" spans="1:4" ht="15.75" outlineLevel="1">
      <c r="A298" s="38" t="s">
        <v>961</v>
      </c>
      <c r="B298" s="39" t="s">
        <v>1073</v>
      </c>
      <c r="C298" s="38">
        <v>5.14</v>
      </c>
      <c r="D298" s="110"/>
    </row>
    <row r="299" spans="1:4" ht="15.75" outlineLevel="1">
      <c r="A299" s="38" t="s">
        <v>961</v>
      </c>
      <c r="B299" s="39" t="s">
        <v>4</v>
      </c>
      <c r="C299" s="38">
        <v>5.19</v>
      </c>
      <c r="D299" s="110"/>
    </row>
    <row r="300" spans="1:4" ht="15.75" outlineLevel="1">
      <c r="A300" s="38" t="s">
        <v>961</v>
      </c>
      <c r="B300" s="39" t="s">
        <v>103</v>
      </c>
      <c r="C300" s="38">
        <v>5.24</v>
      </c>
      <c r="D300" s="110"/>
    </row>
    <row r="301" spans="1:4" ht="15.75" outlineLevel="1">
      <c r="A301" s="38" t="s">
        <v>961</v>
      </c>
      <c r="B301" s="39" t="s">
        <v>5</v>
      </c>
      <c r="C301" s="38">
        <v>5.26</v>
      </c>
      <c r="D301" s="110"/>
    </row>
    <row r="302" spans="1:4" ht="15.75" outlineLevel="1">
      <c r="A302" s="38" t="s">
        <v>961</v>
      </c>
      <c r="B302" s="39" t="s">
        <v>6</v>
      </c>
      <c r="C302" s="38">
        <v>5.27</v>
      </c>
      <c r="D302" s="110"/>
    </row>
    <row r="303" spans="1:4" ht="15.75" outlineLevel="1">
      <c r="A303" s="38" t="s">
        <v>961</v>
      </c>
      <c r="B303" s="39" t="s">
        <v>7</v>
      </c>
      <c r="C303" s="38">
        <v>5.28</v>
      </c>
      <c r="D303" s="110"/>
    </row>
    <row r="304" spans="1:4" ht="15.75" outlineLevel="1">
      <c r="A304" s="38" t="s">
        <v>961</v>
      </c>
      <c r="B304" s="39" t="s">
        <v>112</v>
      </c>
      <c r="C304" s="38">
        <v>5.37</v>
      </c>
      <c r="D304" s="110"/>
    </row>
    <row r="305" spans="1:4" ht="15.75" outlineLevel="1">
      <c r="A305" s="38" t="s">
        <v>961</v>
      </c>
      <c r="B305" s="39" t="s">
        <v>9</v>
      </c>
      <c r="C305" s="38">
        <v>5.49</v>
      </c>
      <c r="D305" s="110"/>
    </row>
    <row r="306" spans="1:4" ht="15.75" outlineLevel="1">
      <c r="A306" s="38" t="s">
        <v>961</v>
      </c>
      <c r="B306" s="39" t="s">
        <v>10</v>
      </c>
      <c r="C306" s="38">
        <v>5.51</v>
      </c>
      <c r="D306" s="110"/>
    </row>
    <row r="307" spans="1:4" ht="15.75" outlineLevel="1">
      <c r="A307" s="38" t="s">
        <v>961</v>
      </c>
      <c r="B307" s="39" t="s">
        <v>11</v>
      </c>
      <c r="C307" s="38">
        <v>5.53</v>
      </c>
      <c r="D307" s="110"/>
    </row>
    <row r="308" spans="1:4" ht="15.75" outlineLevel="1">
      <c r="A308" s="38" t="s">
        <v>961</v>
      </c>
      <c r="B308" s="39" t="s">
        <v>12</v>
      </c>
      <c r="C308" s="38">
        <v>5.69</v>
      </c>
      <c r="D308" s="110"/>
    </row>
    <row r="309" spans="1:4" ht="15.75" outlineLevel="1">
      <c r="A309" s="38" t="s">
        <v>961</v>
      </c>
      <c r="B309" s="39" t="s">
        <v>13</v>
      </c>
      <c r="C309" s="38">
        <v>5.75</v>
      </c>
      <c r="D309" s="110"/>
    </row>
    <row r="310" spans="1:4" ht="15.75" outlineLevel="1">
      <c r="A310" s="38" t="s">
        <v>961</v>
      </c>
      <c r="B310" s="39" t="s">
        <v>14</v>
      </c>
      <c r="C310" s="40">
        <v>5.7</v>
      </c>
      <c r="D310" s="110"/>
    </row>
    <row r="311" spans="1:4" ht="15.75" outlineLevel="1">
      <c r="A311" s="38" t="s">
        <v>961</v>
      </c>
      <c r="B311" s="39" t="s">
        <v>15</v>
      </c>
      <c r="C311" s="38">
        <v>5.74</v>
      </c>
      <c r="D311" s="110"/>
    </row>
    <row r="312" spans="1:4" ht="15.75" outlineLevel="1">
      <c r="A312" s="38" t="s">
        <v>961</v>
      </c>
      <c r="B312" s="39" t="s">
        <v>17</v>
      </c>
      <c r="C312" s="38">
        <v>5.58</v>
      </c>
      <c r="D312" s="110"/>
    </row>
    <row r="313" spans="1:4" ht="15.75" outlineLevel="1">
      <c r="A313" s="38" t="s">
        <v>961</v>
      </c>
      <c r="B313" s="39" t="s">
        <v>18</v>
      </c>
      <c r="C313" s="38">
        <v>5.54</v>
      </c>
      <c r="D313" s="110"/>
    </row>
    <row r="314" spans="1:4" ht="15.75" outlineLevel="1">
      <c r="A314" s="38" t="s">
        <v>961</v>
      </c>
      <c r="B314" s="39" t="s">
        <v>19</v>
      </c>
      <c r="C314" s="38">
        <v>5.55</v>
      </c>
      <c r="D314" s="110"/>
    </row>
    <row r="315" spans="1:4" ht="15.75" outlineLevel="1">
      <c r="A315" s="38" t="s">
        <v>961</v>
      </c>
      <c r="B315" s="39" t="s">
        <v>20</v>
      </c>
      <c r="C315" s="38">
        <v>5.63</v>
      </c>
      <c r="D315" s="110"/>
    </row>
    <row r="316" spans="1:4" ht="15.75" outlineLevel="1">
      <c r="A316" s="38" t="s">
        <v>961</v>
      </c>
      <c r="B316" s="39" t="s">
        <v>21</v>
      </c>
      <c r="C316" s="38">
        <v>5.65</v>
      </c>
      <c r="D316" s="110"/>
    </row>
    <row r="317" spans="1:4" ht="15.75" outlineLevel="1">
      <c r="A317" s="38" t="s">
        <v>961</v>
      </c>
      <c r="B317" s="39" t="s">
        <v>22</v>
      </c>
      <c r="C317" s="38">
        <v>5.68</v>
      </c>
      <c r="D317" s="110"/>
    </row>
    <row r="318" spans="1:4" ht="15.75" outlineLevel="1">
      <c r="A318" s="38" t="s">
        <v>961</v>
      </c>
      <c r="B318" s="39" t="s">
        <v>24</v>
      </c>
      <c r="C318" s="38">
        <v>5.47</v>
      </c>
      <c r="D318" s="110"/>
    </row>
    <row r="319" spans="1:4" ht="15.75" outlineLevel="1">
      <c r="A319" s="38" t="s">
        <v>961</v>
      </c>
      <c r="B319" s="39" t="s">
        <v>25</v>
      </c>
      <c r="C319" s="38">
        <v>5.48</v>
      </c>
      <c r="D319" s="110"/>
    </row>
    <row r="320" spans="1:4" ht="15.75">
      <c r="A320" s="44" t="s">
        <v>961</v>
      </c>
      <c r="B320" s="39"/>
      <c r="C320" s="38"/>
      <c r="D320" s="110"/>
    </row>
    <row r="321" spans="1:4" ht="15.75" outlineLevel="1">
      <c r="A321" s="38" t="s">
        <v>962</v>
      </c>
      <c r="B321" s="39" t="s">
        <v>0</v>
      </c>
      <c r="C321" s="38">
        <v>5.0999999999999996</v>
      </c>
      <c r="D321" s="110"/>
    </row>
    <row r="322" spans="1:4" ht="15.75" outlineLevel="1">
      <c r="A322" s="38" t="s">
        <v>962</v>
      </c>
      <c r="B322" s="39" t="s">
        <v>1</v>
      </c>
      <c r="C322" s="38">
        <v>5.2</v>
      </c>
      <c r="D322" s="110"/>
    </row>
    <row r="323" spans="1:4" ht="15.75" outlineLevel="1">
      <c r="A323" s="38" t="s">
        <v>962</v>
      </c>
      <c r="B323" s="39" t="s">
        <v>5</v>
      </c>
      <c r="C323" s="38">
        <v>5.26</v>
      </c>
      <c r="D323" s="110"/>
    </row>
    <row r="324" spans="1:4" ht="15.75" outlineLevel="1">
      <c r="A324" s="38" t="s">
        <v>962</v>
      </c>
      <c r="B324" s="39" t="s">
        <v>1073</v>
      </c>
      <c r="C324" s="38">
        <v>5.14</v>
      </c>
      <c r="D324" s="110"/>
    </row>
    <row r="325" spans="1:4" ht="15.75" outlineLevel="1">
      <c r="A325" s="38" t="s">
        <v>962</v>
      </c>
      <c r="B325" s="39" t="s">
        <v>4</v>
      </c>
      <c r="C325" s="38">
        <v>5.19</v>
      </c>
      <c r="D325" s="110"/>
    </row>
    <row r="326" spans="1:4" ht="15.75" outlineLevel="1">
      <c r="A326" s="38" t="s">
        <v>962</v>
      </c>
      <c r="B326" s="39" t="s">
        <v>112</v>
      </c>
      <c r="C326" s="38">
        <v>5.37</v>
      </c>
      <c r="D326" s="110"/>
    </row>
    <row r="327" spans="1:4" ht="15.75" outlineLevel="1">
      <c r="A327" s="38" t="s">
        <v>962</v>
      </c>
      <c r="B327" s="39" t="s">
        <v>12</v>
      </c>
      <c r="C327" s="38">
        <v>5.69</v>
      </c>
      <c r="D327" s="110"/>
    </row>
    <row r="328" spans="1:4" ht="15.75" outlineLevel="1">
      <c r="A328" s="38" t="s">
        <v>962</v>
      </c>
      <c r="B328" s="39" t="s">
        <v>710</v>
      </c>
      <c r="C328" s="40">
        <v>5.8</v>
      </c>
      <c r="D328" s="110"/>
    </row>
    <row r="329" spans="1:4" ht="15.75" outlineLevel="1">
      <c r="A329" s="38" t="s">
        <v>962</v>
      </c>
      <c r="B329" s="39" t="s">
        <v>13</v>
      </c>
      <c r="C329" s="38">
        <v>5.75</v>
      </c>
      <c r="D329" s="110"/>
    </row>
    <row r="330" spans="1:4" ht="15.75" outlineLevel="1">
      <c r="A330" s="38" t="s">
        <v>962</v>
      </c>
      <c r="B330" s="39" t="s">
        <v>14</v>
      </c>
      <c r="C330" s="40">
        <v>5.7</v>
      </c>
      <c r="D330" s="110"/>
    </row>
    <row r="331" spans="1:4" ht="15.75" outlineLevel="1">
      <c r="A331" s="38" t="s">
        <v>962</v>
      </c>
      <c r="B331" s="39" t="s">
        <v>15</v>
      </c>
      <c r="C331" s="38">
        <v>5.74</v>
      </c>
      <c r="D331" s="110"/>
    </row>
    <row r="332" spans="1:4" ht="15.75" outlineLevel="1">
      <c r="A332" s="38" t="s">
        <v>962</v>
      </c>
      <c r="B332" s="39" t="s">
        <v>17</v>
      </c>
      <c r="C332" s="38">
        <v>5.58</v>
      </c>
      <c r="D332" s="110"/>
    </row>
    <row r="333" spans="1:4" ht="15.75" outlineLevel="1">
      <c r="A333" s="38" t="s">
        <v>962</v>
      </c>
      <c r="B333" s="39" t="s">
        <v>19</v>
      </c>
      <c r="C333" s="38">
        <v>5.55</v>
      </c>
      <c r="D333" s="110"/>
    </row>
    <row r="334" spans="1:4" ht="15.75" outlineLevel="1">
      <c r="A334" s="38" t="s">
        <v>962</v>
      </c>
      <c r="B334" s="39" t="s">
        <v>20</v>
      </c>
      <c r="C334" s="38">
        <v>5.63</v>
      </c>
      <c r="D334" s="110"/>
    </row>
    <row r="335" spans="1:4" ht="15.75" outlineLevel="1">
      <c r="A335" s="38" t="s">
        <v>962</v>
      </c>
      <c r="B335" s="39" t="s">
        <v>21</v>
      </c>
      <c r="C335" s="38">
        <v>5.65</v>
      </c>
      <c r="D335" s="110"/>
    </row>
    <row r="336" spans="1:4" ht="15.75" outlineLevel="1">
      <c r="A336" s="38" t="s">
        <v>962</v>
      </c>
      <c r="B336" s="39" t="s">
        <v>22</v>
      </c>
      <c r="C336" s="38">
        <v>5.68</v>
      </c>
      <c r="D336" s="110"/>
    </row>
    <row r="337" spans="1:4" ht="15.75" outlineLevel="1">
      <c r="A337" s="38" t="s">
        <v>962</v>
      </c>
      <c r="B337" s="39" t="s">
        <v>24</v>
      </c>
      <c r="C337" s="38">
        <v>5.47</v>
      </c>
      <c r="D337" s="110"/>
    </row>
    <row r="338" spans="1:4" ht="15.75" outlineLevel="1">
      <c r="A338" s="38" t="s">
        <v>962</v>
      </c>
      <c r="B338" s="39" t="s">
        <v>25</v>
      </c>
      <c r="C338" s="38">
        <v>5.48</v>
      </c>
      <c r="D338" s="110"/>
    </row>
    <row r="339" spans="1:4" ht="15.75">
      <c r="A339" s="44" t="s">
        <v>962</v>
      </c>
      <c r="B339" s="39"/>
      <c r="C339" s="38"/>
      <c r="D339" s="110"/>
    </row>
    <row r="340" spans="1:4" ht="15.75" outlineLevel="1">
      <c r="A340" s="38" t="s">
        <v>968</v>
      </c>
      <c r="B340" s="39" t="s">
        <v>1084</v>
      </c>
      <c r="C340" s="38">
        <v>5.0999999999999996</v>
      </c>
      <c r="D340" s="110"/>
    </row>
    <row r="341" spans="1:4" ht="15.75" outlineLevel="1">
      <c r="A341" s="38" t="s">
        <v>968</v>
      </c>
      <c r="B341" s="39" t="s">
        <v>1</v>
      </c>
      <c r="C341" s="38">
        <v>5.2</v>
      </c>
      <c r="D341" s="110"/>
    </row>
    <row r="342" spans="1:4" ht="15.75" outlineLevel="1">
      <c r="A342" s="38" t="s">
        <v>968</v>
      </c>
      <c r="B342" s="39" t="s">
        <v>5</v>
      </c>
      <c r="C342" s="38">
        <v>5.26</v>
      </c>
      <c r="D342" s="110"/>
    </row>
    <row r="343" spans="1:4" ht="15.75" outlineLevel="1">
      <c r="A343" s="38" t="s">
        <v>968</v>
      </c>
      <c r="B343" s="39" t="s">
        <v>1085</v>
      </c>
      <c r="C343" s="38">
        <v>5.38</v>
      </c>
      <c r="D343" s="110"/>
    </row>
    <row r="344" spans="1:4" ht="15.75" outlineLevel="1">
      <c r="A344" s="38" t="s">
        <v>968</v>
      </c>
      <c r="B344" s="39" t="s">
        <v>1086</v>
      </c>
      <c r="C344" s="38">
        <v>5.39</v>
      </c>
      <c r="D344" s="110"/>
    </row>
    <row r="345" spans="1:4" ht="15.75" outlineLevel="1">
      <c r="A345" s="38" t="s">
        <v>968</v>
      </c>
      <c r="B345" s="39" t="s">
        <v>1087</v>
      </c>
      <c r="C345" s="40">
        <v>5.6</v>
      </c>
      <c r="D345" s="110"/>
    </row>
    <row r="346" spans="1:4" ht="15.75" outlineLevel="1">
      <c r="A346" s="38" t="s">
        <v>968</v>
      </c>
      <c r="B346" s="39" t="s">
        <v>25</v>
      </c>
      <c r="C346" s="38">
        <v>5.48</v>
      </c>
      <c r="D346" s="110"/>
    </row>
    <row r="347" spans="1:4" ht="15.75">
      <c r="A347" s="44" t="s">
        <v>968</v>
      </c>
      <c r="B347" s="39"/>
      <c r="C347" s="38"/>
      <c r="D347" s="110"/>
    </row>
    <row r="348" spans="1:4" ht="15.75" outlineLevel="1">
      <c r="A348" s="38" t="s">
        <v>972</v>
      </c>
      <c r="B348" s="39" t="s">
        <v>0</v>
      </c>
      <c r="C348" s="38">
        <v>5.0999999999999996</v>
      </c>
      <c r="D348" s="110"/>
    </row>
    <row r="349" spans="1:4" ht="15.75" outlineLevel="1">
      <c r="A349" s="38" t="s">
        <v>972</v>
      </c>
      <c r="B349" s="39" t="s">
        <v>1</v>
      </c>
      <c r="C349" s="38">
        <v>5.2</v>
      </c>
      <c r="D349" s="110"/>
    </row>
    <row r="350" spans="1:4" ht="15.75" outlineLevel="1">
      <c r="A350" s="38" t="s">
        <v>972</v>
      </c>
      <c r="B350" s="39" t="s">
        <v>2</v>
      </c>
      <c r="C350" s="38">
        <v>5.3</v>
      </c>
      <c r="D350" s="110"/>
    </row>
    <row r="351" spans="1:4" ht="15.75" outlineLevel="1">
      <c r="A351" s="38" t="s">
        <v>972</v>
      </c>
      <c r="B351" s="39" t="s">
        <v>101</v>
      </c>
      <c r="C351" s="38">
        <v>5.6</v>
      </c>
      <c r="D351" s="110"/>
    </row>
    <row r="352" spans="1:4" ht="15.75" outlineLevel="1">
      <c r="A352" s="38" t="s">
        <v>972</v>
      </c>
      <c r="B352" s="39" t="s">
        <v>1074</v>
      </c>
      <c r="C352" s="40">
        <v>5.0999999999999996</v>
      </c>
      <c r="D352" s="110"/>
    </row>
    <row r="353" spans="1:4" ht="15.75" outlineLevel="1">
      <c r="A353" s="38" t="s">
        <v>972</v>
      </c>
      <c r="B353" s="39" t="s">
        <v>1073</v>
      </c>
      <c r="C353" s="38">
        <v>5.14</v>
      </c>
      <c r="D353" s="110"/>
    </row>
    <row r="354" spans="1:4" ht="15.75" outlineLevel="1">
      <c r="A354" s="38" t="s">
        <v>972</v>
      </c>
      <c r="B354" s="39" t="s">
        <v>4</v>
      </c>
      <c r="C354" s="38">
        <v>5.19</v>
      </c>
      <c r="D354" s="110"/>
    </row>
    <row r="355" spans="1:4" ht="15.75" outlineLevel="1">
      <c r="A355" s="38" t="s">
        <v>972</v>
      </c>
      <c r="B355" s="39" t="s">
        <v>103</v>
      </c>
      <c r="C355" s="38">
        <v>5.24</v>
      </c>
      <c r="D355" s="110"/>
    </row>
    <row r="356" spans="1:4" ht="15.75" outlineLevel="1">
      <c r="A356" s="38" t="s">
        <v>972</v>
      </c>
      <c r="B356" s="39" t="s">
        <v>5</v>
      </c>
      <c r="C356" s="38">
        <v>5.26</v>
      </c>
      <c r="D356" s="110"/>
    </row>
    <row r="357" spans="1:4" ht="15.75" outlineLevel="1">
      <c r="A357" s="38" t="s">
        <v>972</v>
      </c>
      <c r="B357" s="39" t="s">
        <v>6</v>
      </c>
      <c r="C357" s="38">
        <v>5.27</v>
      </c>
      <c r="D357" s="110"/>
    </row>
    <row r="358" spans="1:4" ht="15.75" outlineLevel="1">
      <c r="A358" s="38" t="s">
        <v>972</v>
      </c>
      <c r="B358" s="39" t="s">
        <v>7</v>
      </c>
      <c r="C358" s="38">
        <v>5.28</v>
      </c>
      <c r="D358" s="110"/>
    </row>
    <row r="359" spans="1:4" ht="15.75" outlineLevel="1">
      <c r="A359" s="38" t="s">
        <v>972</v>
      </c>
      <c r="B359" s="39" t="s">
        <v>104</v>
      </c>
      <c r="C359" s="38">
        <v>5.31</v>
      </c>
      <c r="D359" s="110"/>
    </row>
    <row r="360" spans="1:4" ht="15.75" outlineLevel="1">
      <c r="A360" s="38" t="s">
        <v>972</v>
      </c>
      <c r="B360" s="39" t="s">
        <v>80</v>
      </c>
      <c r="C360" s="38">
        <v>5.36</v>
      </c>
      <c r="D360" s="110"/>
    </row>
    <row r="361" spans="1:4" ht="15.75" outlineLevel="1">
      <c r="A361" s="38" t="s">
        <v>972</v>
      </c>
      <c r="B361" s="39" t="s">
        <v>112</v>
      </c>
      <c r="C361" s="38">
        <v>5.37</v>
      </c>
      <c r="D361" s="110"/>
    </row>
    <row r="362" spans="1:4" ht="15.75" outlineLevel="1">
      <c r="A362" s="38" t="s">
        <v>972</v>
      </c>
      <c r="B362" s="39" t="s">
        <v>9</v>
      </c>
      <c r="C362" s="38">
        <v>5.49</v>
      </c>
      <c r="D362" s="110"/>
    </row>
    <row r="363" spans="1:4" ht="15.75" outlineLevel="1">
      <c r="A363" s="38" t="s">
        <v>972</v>
      </c>
      <c r="B363" s="39" t="s">
        <v>10</v>
      </c>
      <c r="C363" s="38">
        <v>5.51</v>
      </c>
      <c r="D363" s="110"/>
    </row>
    <row r="364" spans="1:4" ht="15.75" outlineLevel="1">
      <c r="A364" s="38" t="s">
        <v>972</v>
      </c>
      <c r="B364" s="39" t="s">
        <v>1075</v>
      </c>
      <c r="C364" s="38">
        <v>5.52</v>
      </c>
      <c r="D364" s="110"/>
    </row>
    <row r="365" spans="1:4" ht="15.75" outlineLevel="1">
      <c r="A365" s="38" t="s">
        <v>972</v>
      </c>
      <c r="B365" s="39" t="s">
        <v>11</v>
      </c>
      <c r="C365" s="38">
        <v>5.53</v>
      </c>
      <c r="D365" s="110"/>
    </row>
    <row r="366" spans="1:4" ht="15.75" outlineLevel="1">
      <c r="A366" s="38" t="s">
        <v>972</v>
      </c>
      <c r="B366" s="39" t="s">
        <v>12</v>
      </c>
      <c r="C366" s="38">
        <v>5.69</v>
      </c>
      <c r="D366" s="110"/>
    </row>
    <row r="367" spans="1:4" ht="15.75" outlineLevel="1">
      <c r="A367" s="38" t="s">
        <v>972</v>
      </c>
      <c r="B367" s="39" t="s">
        <v>710</v>
      </c>
      <c r="C367" s="40">
        <v>5.8</v>
      </c>
      <c r="D367" s="110"/>
    </row>
    <row r="368" spans="1:4" ht="15.75" outlineLevel="1">
      <c r="A368" s="38" t="s">
        <v>972</v>
      </c>
      <c r="B368" s="39" t="s">
        <v>867</v>
      </c>
      <c r="C368" s="40">
        <v>5.72</v>
      </c>
      <c r="D368" s="110"/>
    </row>
    <row r="369" spans="1:4" ht="15.75" outlineLevel="1">
      <c r="A369" s="38" t="s">
        <v>972</v>
      </c>
      <c r="B369" s="39" t="s">
        <v>13</v>
      </c>
      <c r="C369" s="38">
        <v>5.75</v>
      </c>
      <c r="D369" s="110"/>
    </row>
    <row r="370" spans="1:4" ht="15.75" outlineLevel="1">
      <c r="A370" s="38" t="s">
        <v>972</v>
      </c>
      <c r="B370" s="39" t="s">
        <v>14</v>
      </c>
      <c r="C370" s="40">
        <v>5.7</v>
      </c>
      <c r="D370" s="110"/>
    </row>
    <row r="371" spans="1:4" ht="15.75" outlineLevel="1">
      <c r="A371" s="38" t="s">
        <v>972</v>
      </c>
      <c r="B371" s="39" t="s">
        <v>15</v>
      </c>
      <c r="C371" s="38">
        <v>5.74</v>
      </c>
      <c r="D371" s="110"/>
    </row>
    <row r="372" spans="1:4" ht="15.75" outlineLevel="1">
      <c r="A372" s="38" t="s">
        <v>972</v>
      </c>
      <c r="B372" s="39" t="s">
        <v>365</v>
      </c>
      <c r="C372" s="38">
        <v>5.76</v>
      </c>
      <c r="D372" s="110"/>
    </row>
    <row r="373" spans="1:4" ht="15.75" outlineLevel="1">
      <c r="A373" s="38" t="s">
        <v>972</v>
      </c>
      <c r="B373" s="39" t="s">
        <v>788</v>
      </c>
      <c r="C373" s="38">
        <v>5.89</v>
      </c>
      <c r="D373" s="109" t="s">
        <v>1072</v>
      </c>
    </row>
    <row r="374" spans="1:4" ht="15.75" outlineLevel="1">
      <c r="A374" s="38" t="s">
        <v>972</v>
      </c>
      <c r="B374" s="39" t="s">
        <v>105</v>
      </c>
      <c r="C374" s="38">
        <v>5.109</v>
      </c>
      <c r="D374" s="109"/>
    </row>
    <row r="375" spans="1:4" ht="15.75" outlineLevel="1">
      <c r="A375" s="38" t="s">
        <v>972</v>
      </c>
      <c r="B375" s="39" t="s">
        <v>106</v>
      </c>
      <c r="C375" s="38">
        <v>5.1109999999999998</v>
      </c>
      <c r="D375" s="110"/>
    </row>
    <row r="376" spans="1:4" ht="15.75" outlineLevel="1">
      <c r="A376" s="38" t="s">
        <v>972</v>
      </c>
      <c r="B376" s="39" t="s">
        <v>89</v>
      </c>
      <c r="C376" s="38">
        <v>5.1120000000000001</v>
      </c>
      <c r="D376" s="110"/>
    </row>
    <row r="377" spans="1:4" ht="15.75" outlineLevel="1">
      <c r="A377" s="38" t="s">
        <v>972</v>
      </c>
      <c r="B377" s="39" t="s">
        <v>1088</v>
      </c>
      <c r="C377" s="38">
        <v>5.1130000000000004</v>
      </c>
      <c r="D377" s="110"/>
    </row>
    <row r="378" spans="1:4" ht="15.75" outlineLevel="1">
      <c r="A378" s="38" t="s">
        <v>972</v>
      </c>
      <c r="B378" s="39" t="s">
        <v>17</v>
      </c>
      <c r="C378" s="38">
        <v>5.58</v>
      </c>
      <c r="D378" s="110"/>
    </row>
    <row r="379" spans="1:4" ht="15.75" outlineLevel="1">
      <c r="A379" s="38" t="s">
        <v>972</v>
      </c>
      <c r="B379" s="39" t="s">
        <v>18</v>
      </c>
      <c r="C379" s="38">
        <v>5.54</v>
      </c>
      <c r="D379" s="110"/>
    </row>
    <row r="380" spans="1:4" ht="15.75" outlineLevel="1">
      <c r="A380" s="38" t="s">
        <v>972</v>
      </c>
      <c r="B380" s="39" t="s">
        <v>19</v>
      </c>
      <c r="C380" s="38">
        <v>5.55</v>
      </c>
      <c r="D380" s="110"/>
    </row>
    <row r="381" spans="1:4" ht="15.75" outlineLevel="1">
      <c r="A381" s="38" t="s">
        <v>972</v>
      </c>
      <c r="B381" s="39" t="s">
        <v>20</v>
      </c>
      <c r="C381" s="38">
        <v>5.63</v>
      </c>
      <c r="D381" s="110"/>
    </row>
    <row r="382" spans="1:4" ht="15.75" outlineLevel="1">
      <c r="A382" s="38" t="s">
        <v>972</v>
      </c>
      <c r="B382" s="39" t="s">
        <v>21</v>
      </c>
      <c r="C382" s="38">
        <v>5.65</v>
      </c>
      <c r="D382" s="110"/>
    </row>
    <row r="383" spans="1:4" ht="15.75" outlineLevel="1">
      <c r="A383" s="38" t="s">
        <v>972</v>
      </c>
      <c r="B383" s="39" t="s">
        <v>120</v>
      </c>
      <c r="C383" s="38">
        <v>5.66</v>
      </c>
      <c r="D383" s="110"/>
    </row>
    <row r="384" spans="1:4" ht="15.75" outlineLevel="1">
      <c r="A384" s="38" t="s">
        <v>972</v>
      </c>
      <c r="B384" s="39" t="s">
        <v>22</v>
      </c>
      <c r="C384" s="38">
        <v>5.68</v>
      </c>
      <c r="D384" s="110"/>
    </row>
    <row r="385" spans="1:4" ht="15.75" outlineLevel="1">
      <c r="A385" s="38" t="s">
        <v>972</v>
      </c>
      <c r="B385" s="39" t="s">
        <v>24</v>
      </c>
      <c r="C385" s="38">
        <v>5.47</v>
      </c>
      <c r="D385" s="110"/>
    </row>
    <row r="386" spans="1:4" ht="15.75" outlineLevel="1">
      <c r="A386" s="38" t="s">
        <v>972</v>
      </c>
      <c r="B386" s="39" t="s">
        <v>25</v>
      </c>
      <c r="C386" s="38">
        <v>5.48</v>
      </c>
      <c r="D386" s="110"/>
    </row>
    <row r="387" spans="1:4" ht="15.75">
      <c r="A387" s="44" t="s">
        <v>972</v>
      </c>
      <c r="B387" s="39"/>
      <c r="C387" s="38"/>
      <c r="D387" s="110"/>
    </row>
    <row r="388" spans="1:4" ht="15.75" outlineLevel="1">
      <c r="A388" s="38" t="s">
        <v>974</v>
      </c>
      <c r="B388" s="39" t="s">
        <v>0</v>
      </c>
      <c r="C388" s="38">
        <v>5.0999999999999996</v>
      </c>
      <c r="D388" s="110"/>
    </row>
    <row r="389" spans="1:4" ht="15.75" outlineLevel="1">
      <c r="A389" s="38" t="s">
        <v>974</v>
      </c>
      <c r="B389" s="39" t="s">
        <v>1</v>
      </c>
      <c r="C389" s="38">
        <v>5.2</v>
      </c>
      <c r="D389" s="110"/>
    </row>
    <row r="390" spans="1:4" ht="15.75" outlineLevel="1">
      <c r="A390" s="38" t="s">
        <v>974</v>
      </c>
      <c r="B390" s="39" t="s">
        <v>2</v>
      </c>
      <c r="C390" s="38">
        <v>5.3</v>
      </c>
      <c r="D390" s="110"/>
    </row>
    <row r="391" spans="1:4" ht="15.75" outlineLevel="1">
      <c r="A391" s="38" t="s">
        <v>974</v>
      </c>
      <c r="B391" s="39" t="s">
        <v>101</v>
      </c>
      <c r="C391" s="38">
        <v>5.6</v>
      </c>
      <c r="D391" s="110"/>
    </row>
    <row r="392" spans="1:4" ht="15.75" outlineLevel="1">
      <c r="A392" s="38" t="s">
        <v>974</v>
      </c>
      <c r="B392" s="39" t="s">
        <v>1074</v>
      </c>
      <c r="C392" s="40">
        <v>5.0999999999999996</v>
      </c>
      <c r="D392" s="110"/>
    </row>
    <row r="393" spans="1:4" ht="15.75" outlineLevel="1">
      <c r="A393" s="38" t="s">
        <v>974</v>
      </c>
      <c r="B393" s="39" t="s">
        <v>1073</v>
      </c>
      <c r="C393" s="38">
        <v>5.14</v>
      </c>
      <c r="D393" s="110"/>
    </row>
    <row r="394" spans="1:4" ht="15.75" outlineLevel="1">
      <c r="A394" s="38" t="s">
        <v>974</v>
      </c>
      <c r="B394" s="39" t="s">
        <v>4</v>
      </c>
      <c r="C394" s="38">
        <v>5.19</v>
      </c>
      <c r="D394" s="110"/>
    </row>
    <row r="395" spans="1:4" ht="15.75" outlineLevel="1">
      <c r="A395" s="38" t="s">
        <v>974</v>
      </c>
      <c r="B395" s="39" t="s">
        <v>103</v>
      </c>
      <c r="C395" s="38">
        <v>5.24</v>
      </c>
      <c r="D395" s="110"/>
    </row>
    <row r="396" spans="1:4" ht="15.75" outlineLevel="1">
      <c r="A396" s="38" t="s">
        <v>974</v>
      </c>
      <c r="B396" s="39" t="s">
        <v>5</v>
      </c>
      <c r="C396" s="38">
        <v>5.26</v>
      </c>
      <c r="D396" s="110"/>
    </row>
    <row r="397" spans="1:4" ht="15.75" outlineLevel="1">
      <c r="A397" s="38" t="s">
        <v>974</v>
      </c>
      <c r="B397" s="39" t="s">
        <v>6</v>
      </c>
      <c r="C397" s="38">
        <v>5.27</v>
      </c>
      <c r="D397" s="110"/>
    </row>
    <row r="398" spans="1:4" ht="15.75" outlineLevel="1">
      <c r="A398" s="38" t="s">
        <v>974</v>
      </c>
      <c r="B398" s="39" t="s">
        <v>7</v>
      </c>
      <c r="C398" s="38">
        <v>5.28</v>
      </c>
      <c r="D398" s="110"/>
    </row>
    <row r="399" spans="1:4" ht="15.75" outlineLevel="1">
      <c r="A399" s="38" t="s">
        <v>974</v>
      </c>
      <c r="B399" s="39" t="s">
        <v>280</v>
      </c>
      <c r="C399" s="38">
        <v>5.29</v>
      </c>
      <c r="D399" s="110"/>
    </row>
    <row r="400" spans="1:4" ht="15.75" outlineLevel="1">
      <c r="A400" s="38" t="s">
        <v>974</v>
      </c>
      <c r="B400" s="39" t="s">
        <v>104</v>
      </c>
      <c r="C400" s="38">
        <v>5.31</v>
      </c>
      <c r="D400" s="110"/>
    </row>
    <row r="401" spans="1:4" ht="15.75" outlineLevel="1">
      <c r="A401" s="38" t="s">
        <v>974</v>
      </c>
      <c r="B401" s="39" t="s">
        <v>80</v>
      </c>
      <c r="C401" s="38">
        <v>5.36</v>
      </c>
      <c r="D401" s="110"/>
    </row>
    <row r="402" spans="1:4" ht="15.75" outlineLevel="1">
      <c r="A402" s="38" t="s">
        <v>974</v>
      </c>
      <c r="B402" s="39" t="s">
        <v>112</v>
      </c>
      <c r="C402" s="38">
        <v>5.37</v>
      </c>
      <c r="D402" s="110"/>
    </row>
    <row r="403" spans="1:4" ht="15.75" outlineLevel="1">
      <c r="A403" s="38" t="s">
        <v>974</v>
      </c>
      <c r="B403" s="39" t="s">
        <v>9</v>
      </c>
      <c r="C403" s="38">
        <v>5.49</v>
      </c>
      <c r="D403" s="110"/>
    </row>
    <row r="404" spans="1:4" ht="15.75" outlineLevel="1">
      <c r="A404" s="38" t="s">
        <v>974</v>
      </c>
      <c r="B404" s="39" t="s">
        <v>10</v>
      </c>
      <c r="C404" s="38">
        <v>5.51</v>
      </c>
      <c r="D404" s="110"/>
    </row>
    <row r="405" spans="1:4" ht="15.75" outlineLevel="1">
      <c r="A405" s="38" t="s">
        <v>974</v>
      </c>
      <c r="B405" s="39" t="s">
        <v>1075</v>
      </c>
      <c r="C405" s="38">
        <v>5.52</v>
      </c>
      <c r="D405" s="110"/>
    </row>
    <row r="406" spans="1:4" ht="15.75" outlineLevel="1">
      <c r="A406" s="38" t="s">
        <v>974</v>
      </c>
      <c r="B406" s="39" t="s">
        <v>11</v>
      </c>
      <c r="C406" s="38">
        <v>5.53</v>
      </c>
      <c r="D406" s="110"/>
    </row>
    <row r="407" spans="1:4" ht="15.75" outlineLevel="1">
      <c r="A407" s="38" t="s">
        <v>974</v>
      </c>
      <c r="B407" s="39" t="s">
        <v>12</v>
      </c>
      <c r="C407" s="38">
        <v>5.69</v>
      </c>
      <c r="D407" s="110"/>
    </row>
    <row r="408" spans="1:4" ht="15.75" outlineLevel="1">
      <c r="A408" s="38" t="s">
        <v>974</v>
      </c>
      <c r="B408" s="39" t="s">
        <v>13</v>
      </c>
      <c r="C408" s="38">
        <v>5.75</v>
      </c>
      <c r="D408" s="110"/>
    </row>
    <row r="409" spans="1:4" ht="15.75" outlineLevel="1">
      <c r="A409" s="38" t="s">
        <v>974</v>
      </c>
      <c r="B409" s="39" t="s">
        <v>15</v>
      </c>
      <c r="C409" s="38">
        <v>5.74</v>
      </c>
      <c r="D409" s="110"/>
    </row>
    <row r="410" spans="1:4" ht="15.75" outlineLevel="1">
      <c r="A410" s="38" t="s">
        <v>974</v>
      </c>
      <c r="B410" s="39" t="s">
        <v>14</v>
      </c>
      <c r="C410" s="40">
        <v>5.7</v>
      </c>
      <c r="D410" s="110"/>
    </row>
    <row r="411" spans="1:4" ht="15.75" outlineLevel="1">
      <c r="A411" s="38" t="s">
        <v>974</v>
      </c>
      <c r="B411" s="39" t="s">
        <v>365</v>
      </c>
      <c r="C411" s="38">
        <v>5.76</v>
      </c>
      <c r="D411" s="110"/>
    </row>
    <row r="412" spans="1:4" ht="15.75" outlineLevel="1">
      <c r="A412" s="38" t="s">
        <v>974</v>
      </c>
      <c r="B412" s="39" t="s">
        <v>788</v>
      </c>
      <c r="C412" s="38">
        <v>5.89</v>
      </c>
      <c r="D412" s="109" t="s">
        <v>1072</v>
      </c>
    </row>
    <row r="413" spans="1:4" ht="15.75" outlineLevel="1">
      <c r="A413" s="38" t="s">
        <v>974</v>
      </c>
      <c r="B413" s="39" t="s">
        <v>105</v>
      </c>
      <c r="C413" s="38">
        <v>5.109</v>
      </c>
      <c r="D413" s="110"/>
    </row>
    <row r="414" spans="1:4" ht="15.75" outlineLevel="1">
      <c r="A414" s="38" t="s">
        <v>974</v>
      </c>
      <c r="B414" s="39" t="s">
        <v>106</v>
      </c>
      <c r="C414" s="38">
        <v>5.1109999999999998</v>
      </c>
      <c r="D414" s="110"/>
    </row>
    <row r="415" spans="1:4" ht="15.75" outlineLevel="1">
      <c r="A415" s="38" t="s">
        <v>974</v>
      </c>
      <c r="B415" s="39" t="s">
        <v>89</v>
      </c>
      <c r="C415" s="38">
        <v>5.1120000000000001</v>
      </c>
      <c r="D415" s="110"/>
    </row>
    <row r="416" spans="1:4" ht="15.75" outlineLevel="1">
      <c r="A416" s="38" t="s">
        <v>974</v>
      </c>
      <c r="B416" s="39" t="s">
        <v>1088</v>
      </c>
      <c r="C416" s="38">
        <v>5.1130000000000004</v>
      </c>
      <c r="D416" s="110"/>
    </row>
    <row r="417" spans="1:4" ht="15.75" outlineLevel="1">
      <c r="A417" s="38" t="s">
        <v>974</v>
      </c>
      <c r="B417" s="39" t="s">
        <v>17</v>
      </c>
      <c r="C417" s="38">
        <v>5.58</v>
      </c>
      <c r="D417" s="110"/>
    </row>
    <row r="418" spans="1:4" ht="15.75" outlineLevel="1">
      <c r="A418" s="38" t="s">
        <v>974</v>
      </c>
      <c r="B418" s="39" t="s">
        <v>18</v>
      </c>
      <c r="C418" s="38">
        <v>5.54</v>
      </c>
      <c r="D418" s="110"/>
    </row>
    <row r="419" spans="1:4" ht="15.75" outlineLevel="1">
      <c r="A419" s="38" t="s">
        <v>974</v>
      </c>
      <c r="B419" s="39" t="s">
        <v>19</v>
      </c>
      <c r="C419" s="38">
        <v>5.55</v>
      </c>
      <c r="D419" s="110"/>
    </row>
    <row r="420" spans="1:4" ht="15.75" outlineLevel="1">
      <c r="A420" s="38" t="s">
        <v>974</v>
      </c>
      <c r="B420" s="39" t="s">
        <v>20</v>
      </c>
      <c r="C420" s="38">
        <v>5.63</v>
      </c>
      <c r="D420" s="110"/>
    </row>
    <row r="421" spans="1:4" ht="15.75" outlineLevel="1">
      <c r="A421" s="38" t="s">
        <v>974</v>
      </c>
      <c r="B421" s="39" t="s">
        <v>21</v>
      </c>
      <c r="C421" s="38">
        <v>5.65</v>
      </c>
      <c r="D421" s="110"/>
    </row>
    <row r="422" spans="1:4" ht="15.75" outlineLevel="1">
      <c r="A422" s="38" t="s">
        <v>974</v>
      </c>
      <c r="B422" s="39" t="s">
        <v>120</v>
      </c>
      <c r="C422" s="38">
        <v>5.66</v>
      </c>
      <c r="D422" s="110"/>
    </row>
    <row r="423" spans="1:4" ht="15.75" outlineLevel="1">
      <c r="A423" s="38" t="s">
        <v>974</v>
      </c>
      <c r="B423" s="39" t="s">
        <v>22</v>
      </c>
      <c r="C423" s="38">
        <v>5.68</v>
      </c>
      <c r="D423" s="110"/>
    </row>
    <row r="424" spans="1:4" ht="15.75" outlineLevel="1">
      <c r="A424" s="38" t="s">
        <v>974</v>
      </c>
      <c r="B424" s="39" t="s">
        <v>24</v>
      </c>
      <c r="C424" s="38">
        <v>5.47</v>
      </c>
      <c r="D424" s="110"/>
    </row>
    <row r="425" spans="1:4" ht="15.75" outlineLevel="1">
      <c r="A425" s="38" t="s">
        <v>974</v>
      </c>
      <c r="B425" s="39" t="s">
        <v>25</v>
      </c>
      <c r="C425" s="38">
        <v>5.48</v>
      </c>
      <c r="D425" s="110"/>
    </row>
    <row r="426" spans="1:4" ht="15.75">
      <c r="A426" s="44" t="s">
        <v>974</v>
      </c>
      <c r="B426" s="39"/>
      <c r="C426" s="38"/>
      <c r="D426" s="110"/>
    </row>
    <row r="427" spans="1:4" ht="15.75" outlineLevel="1">
      <c r="A427" s="38" t="s">
        <v>1089</v>
      </c>
      <c r="B427" s="39" t="s">
        <v>0</v>
      </c>
      <c r="C427" s="38">
        <v>5.0999999999999996</v>
      </c>
      <c r="D427" s="110"/>
    </row>
    <row r="428" spans="1:4" ht="15.75" outlineLevel="1">
      <c r="A428" s="38" t="s">
        <v>1089</v>
      </c>
      <c r="B428" s="39" t="s">
        <v>1</v>
      </c>
      <c r="C428" s="38">
        <v>5.2</v>
      </c>
      <c r="D428" s="110"/>
    </row>
    <row r="429" spans="1:4" ht="15.75" outlineLevel="1">
      <c r="A429" s="38" t="s">
        <v>1089</v>
      </c>
      <c r="B429" s="39" t="s">
        <v>2</v>
      </c>
      <c r="C429" s="38">
        <v>5.3</v>
      </c>
      <c r="D429" s="110"/>
    </row>
    <row r="430" spans="1:4" ht="15.75" outlineLevel="1">
      <c r="A430" s="38" t="s">
        <v>1089</v>
      </c>
      <c r="B430" s="39" t="s">
        <v>101</v>
      </c>
      <c r="C430" s="38">
        <v>5.6</v>
      </c>
      <c r="D430" s="110"/>
    </row>
    <row r="431" spans="1:4" ht="15.75" outlineLevel="1">
      <c r="A431" s="38" t="s">
        <v>1089</v>
      </c>
      <c r="B431" s="39" t="s">
        <v>1074</v>
      </c>
      <c r="C431" s="40">
        <v>5.0999999999999996</v>
      </c>
      <c r="D431" s="110"/>
    </row>
    <row r="432" spans="1:4" ht="15.75" outlineLevel="1">
      <c r="A432" s="38" t="s">
        <v>1089</v>
      </c>
      <c r="B432" s="39" t="s">
        <v>1073</v>
      </c>
      <c r="C432" s="38">
        <v>5.14</v>
      </c>
      <c r="D432" s="110"/>
    </row>
    <row r="433" spans="1:4" ht="15.75" outlineLevel="1">
      <c r="A433" s="38" t="s">
        <v>1089</v>
      </c>
      <c r="B433" s="39" t="s">
        <v>4</v>
      </c>
      <c r="C433" s="38">
        <v>5.19</v>
      </c>
      <c r="D433" s="110"/>
    </row>
    <row r="434" spans="1:4" ht="15.75" outlineLevel="1">
      <c r="A434" s="38" t="s">
        <v>1089</v>
      </c>
      <c r="B434" s="39" t="s">
        <v>103</v>
      </c>
      <c r="C434" s="38">
        <v>5.24</v>
      </c>
      <c r="D434" s="110"/>
    </row>
    <row r="435" spans="1:4" ht="15.75" outlineLevel="1">
      <c r="A435" s="38" t="s">
        <v>1089</v>
      </c>
      <c r="B435" s="39" t="s">
        <v>5</v>
      </c>
      <c r="C435" s="38">
        <v>5.26</v>
      </c>
      <c r="D435" s="110"/>
    </row>
    <row r="436" spans="1:4" ht="15.75" outlineLevel="1">
      <c r="A436" s="38" t="s">
        <v>1089</v>
      </c>
      <c r="B436" s="39" t="s">
        <v>6</v>
      </c>
      <c r="C436" s="38">
        <v>5.27</v>
      </c>
      <c r="D436" s="110"/>
    </row>
    <row r="437" spans="1:4" ht="15.75" outlineLevel="1">
      <c r="A437" s="38" t="s">
        <v>1089</v>
      </c>
      <c r="B437" s="39" t="s">
        <v>7</v>
      </c>
      <c r="C437" s="38">
        <v>5.28</v>
      </c>
      <c r="D437" s="110"/>
    </row>
    <row r="438" spans="1:4" ht="15.75" outlineLevel="1">
      <c r="A438" s="38" t="s">
        <v>1089</v>
      </c>
      <c r="B438" s="39" t="s">
        <v>280</v>
      </c>
      <c r="C438" s="38">
        <v>5.29</v>
      </c>
      <c r="D438" s="110"/>
    </row>
    <row r="439" spans="1:4" ht="15.75" outlineLevel="1">
      <c r="A439" s="38" t="s">
        <v>1089</v>
      </c>
      <c r="B439" s="39" t="s">
        <v>104</v>
      </c>
      <c r="C439" s="38">
        <v>5.31</v>
      </c>
      <c r="D439" s="110"/>
    </row>
    <row r="440" spans="1:4" ht="15.75" outlineLevel="1">
      <c r="A440" s="38" t="s">
        <v>1089</v>
      </c>
      <c r="B440" s="39" t="s">
        <v>80</v>
      </c>
      <c r="C440" s="38">
        <v>5.36</v>
      </c>
      <c r="D440" s="110"/>
    </row>
    <row r="441" spans="1:4" ht="15.75" outlineLevel="1">
      <c r="A441" s="38" t="s">
        <v>1089</v>
      </c>
      <c r="B441" s="39" t="s">
        <v>112</v>
      </c>
      <c r="C441" s="38">
        <v>5.37</v>
      </c>
      <c r="D441" s="110"/>
    </row>
    <row r="442" spans="1:4" ht="15.75" outlineLevel="1">
      <c r="A442" s="38" t="s">
        <v>1089</v>
      </c>
      <c r="B442" s="39" t="s">
        <v>11</v>
      </c>
      <c r="C442" s="38">
        <v>5.53</v>
      </c>
      <c r="D442" s="110"/>
    </row>
    <row r="443" spans="1:4" ht="15.75" outlineLevel="1">
      <c r="A443" s="38" t="s">
        <v>1089</v>
      </c>
      <c r="B443" s="39" t="s">
        <v>105</v>
      </c>
      <c r="C443" s="38">
        <v>5.109</v>
      </c>
      <c r="D443" s="110"/>
    </row>
    <row r="444" spans="1:4" ht="15.75" outlineLevel="1">
      <c r="A444" s="38" t="s">
        <v>1089</v>
      </c>
      <c r="B444" s="39" t="s">
        <v>106</v>
      </c>
      <c r="C444" s="38">
        <v>5.1109999999999998</v>
      </c>
      <c r="D444" s="110"/>
    </row>
    <row r="445" spans="1:4" ht="15.75" outlineLevel="1">
      <c r="A445" s="38" t="s">
        <v>1089</v>
      </c>
      <c r="B445" s="39" t="s">
        <v>89</v>
      </c>
      <c r="C445" s="38">
        <v>5.1120000000000001</v>
      </c>
      <c r="D445" s="110"/>
    </row>
    <row r="446" spans="1:4" ht="15.75" outlineLevel="1">
      <c r="A446" s="38" t="s">
        <v>1089</v>
      </c>
      <c r="B446" s="39" t="s">
        <v>1088</v>
      </c>
      <c r="C446" s="38">
        <v>5.1130000000000004</v>
      </c>
      <c r="D446" s="110"/>
    </row>
    <row r="447" spans="1:4" ht="15.75" outlineLevel="1">
      <c r="A447" s="38" t="s">
        <v>1089</v>
      </c>
      <c r="B447" s="39" t="s">
        <v>17</v>
      </c>
      <c r="C447" s="38">
        <v>5.58</v>
      </c>
      <c r="D447" s="110"/>
    </row>
    <row r="448" spans="1:4" ht="15.75" outlineLevel="1">
      <c r="A448" s="38" t="s">
        <v>1089</v>
      </c>
      <c r="B448" s="39" t="s">
        <v>18</v>
      </c>
      <c r="C448" s="38">
        <v>5.54</v>
      </c>
      <c r="D448" s="110"/>
    </row>
    <row r="449" spans="1:4" ht="15.75" outlineLevel="1">
      <c r="A449" s="38" t="s">
        <v>1089</v>
      </c>
      <c r="B449" s="39" t="s">
        <v>19</v>
      </c>
      <c r="C449" s="38">
        <v>5.55</v>
      </c>
      <c r="D449" s="110"/>
    </row>
    <row r="450" spans="1:4" ht="15.75" outlineLevel="1">
      <c r="A450" s="38" t="s">
        <v>1089</v>
      </c>
      <c r="B450" s="39" t="s">
        <v>20</v>
      </c>
      <c r="C450" s="38">
        <v>5.63</v>
      </c>
      <c r="D450" s="110"/>
    </row>
    <row r="451" spans="1:4" ht="15.75" outlineLevel="1">
      <c r="A451" s="38" t="s">
        <v>1089</v>
      </c>
      <c r="B451" s="39" t="s">
        <v>24</v>
      </c>
      <c r="C451" s="38">
        <v>5.47</v>
      </c>
      <c r="D451" s="110"/>
    </row>
    <row r="452" spans="1:4" ht="15.75" outlineLevel="1">
      <c r="A452" s="38" t="s">
        <v>1089</v>
      </c>
      <c r="B452" s="39" t="s">
        <v>25</v>
      </c>
      <c r="C452" s="38">
        <v>5.48</v>
      </c>
      <c r="D452" s="110"/>
    </row>
    <row r="453" spans="1:4" ht="15.75">
      <c r="A453" s="44" t="s">
        <v>1089</v>
      </c>
      <c r="B453" s="39"/>
      <c r="C453" s="38"/>
      <c r="D453" s="110"/>
    </row>
    <row r="454" spans="1:4" ht="15.75" outlineLevel="1">
      <c r="A454" s="38" t="s">
        <v>732</v>
      </c>
      <c r="B454" s="39" t="s">
        <v>0</v>
      </c>
      <c r="C454" s="38">
        <v>5.0999999999999996</v>
      </c>
      <c r="D454" s="110"/>
    </row>
    <row r="455" spans="1:4" ht="15.75" outlineLevel="1">
      <c r="A455" s="38" t="s">
        <v>732</v>
      </c>
      <c r="B455" s="39" t="s">
        <v>1</v>
      </c>
      <c r="C455" s="38">
        <v>5.2</v>
      </c>
      <c r="D455" s="110"/>
    </row>
    <row r="456" spans="1:4" ht="15.75" outlineLevel="1">
      <c r="A456" s="38" t="s">
        <v>732</v>
      </c>
      <c r="B456" s="39" t="s">
        <v>142</v>
      </c>
      <c r="C456" s="38">
        <v>5.5</v>
      </c>
      <c r="D456" s="110"/>
    </row>
    <row r="457" spans="1:4" ht="15.75" outlineLevel="1">
      <c r="A457" s="38" t="s">
        <v>732</v>
      </c>
      <c r="B457" s="39" t="s">
        <v>143</v>
      </c>
      <c r="C457" s="38">
        <v>5.8</v>
      </c>
      <c r="D457" s="109" t="s">
        <v>1072</v>
      </c>
    </row>
    <row r="458" spans="1:4" ht="15.75" outlineLevel="1">
      <c r="A458" s="38" t="s">
        <v>732</v>
      </c>
      <c r="B458" s="39" t="s">
        <v>144</v>
      </c>
      <c r="C458" s="38">
        <v>5.12</v>
      </c>
      <c r="D458" s="109" t="s">
        <v>1072</v>
      </c>
    </row>
    <row r="459" spans="1:4" ht="15.75" outlineLevel="1">
      <c r="A459" s="38" t="s">
        <v>732</v>
      </c>
      <c r="B459" s="39" t="s">
        <v>145</v>
      </c>
      <c r="C459" s="38">
        <v>5.15</v>
      </c>
      <c r="D459" s="110"/>
    </row>
    <row r="460" spans="1:4" ht="15.75" outlineLevel="1">
      <c r="A460" s="38" t="s">
        <v>732</v>
      </c>
      <c r="B460" s="39" t="s">
        <v>146</v>
      </c>
      <c r="C460" s="40">
        <v>5.2</v>
      </c>
      <c r="D460" s="109"/>
    </row>
    <row r="461" spans="1:4" ht="15.75" outlineLevel="1">
      <c r="A461" s="38" t="s">
        <v>732</v>
      </c>
      <c r="B461" s="39" t="s">
        <v>147</v>
      </c>
      <c r="C461" s="38">
        <v>5.25</v>
      </c>
      <c r="D461" s="110"/>
    </row>
    <row r="462" spans="1:4" ht="15.75" outlineLevel="1">
      <c r="A462" s="38" t="s">
        <v>732</v>
      </c>
      <c r="B462" s="39" t="s">
        <v>5</v>
      </c>
      <c r="C462" s="38">
        <v>5.26</v>
      </c>
      <c r="D462" s="110"/>
    </row>
    <row r="463" spans="1:4" ht="15.75" outlineLevel="1">
      <c r="A463" s="38" t="s">
        <v>732</v>
      </c>
      <c r="B463" s="39" t="s">
        <v>789</v>
      </c>
      <c r="C463" s="38">
        <v>5.1139999999999999</v>
      </c>
      <c r="D463" s="109" t="s">
        <v>1072</v>
      </c>
    </row>
    <row r="464" spans="1:4" ht="15.75" outlineLevel="1">
      <c r="A464" s="38" t="s">
        <v>732</v>
      </c>
      <c r="B464" s="39" t="s">
        <v>6</v>
      </c>
      <c r="C464" s="38">
        <v>5.27</v>
      </c>
      <c r="D464" s="110"/>
    </row>
    <row r="465" spans="1:4" ht="15.75" outlineLevel="1">
      <c r="A465" s="38" t="s">
        <v>732</v>
      </c>
      <c r="B465" s="39" t="s">
        <v>1090</v>
      </c>
      <c r="C465" s="38">
        <v>5.1150000000000002</v>
      </c>
      <c r="D465" s="109" t="s">
        <v>1072</v>
      </c>
    </row>
    <row r="466" spans="1:4" ht="15.75" outlineLevel="1">
      <c r="A466" s="38" t="s">
        <v>732</v>
      </c>
      <c r="B466" s="39" t="s">
        <v>1091</v>
      </c>
      <c r="C466" s="38">
        <v>5.1159999999999997</v>
      </c>
      <c r="D466" s="109" t="s">
        <v>1072</v>
      </c>
    </row>
    <row r="467" spans="1:4" ht="15.75" outlineLevel="1">
      <c r="A467" s="38" t="s">
        <v>732</v>
      </c>
      <c r="B467" s="39" t="s">
        <v>7</v>
      </c>
      <c r="C467" s="38">
        <v>5.28</v>
      </c>
      <c r="D467" s="110"/>
    </row>
    <row r="468" spans="1:4" ht="15.75" outlineLevel="1">
      <c r="A468" s="38" t="s">
        <v>732</v>
      </c>
      <c r="B468" s="39" t="s">
        <v>80</v>
      </c>
      <c r="C468" s="38">
        <v>5.36</v>
      </c>
      <c r="D468" s="110"/>
    </row>
    <row r="469" spans="1:4" ht="15.75" outlineLevel="1">
      <c r="A469" s="38" t="s">
        <v>732</v>
      </c>
      <c r="B469" s="39" t="s">
        <v>112</v>
      </c>
      <c r="C469" s="38">
        <v>5.37</v>
      </c>
      <c r="D469" s="110"/>
    </row>
    <row r="470" spans="1:4" ht="15.75" outlineLevel="1">
      <c r="A470" s="38" t="s">
        <v>732</v>
      </c>
      <c r="B470" s="39" t="s">
        <v>11</v>
      </c>
      <c r="C470" s="38">
        <v>5.53</v>
      </c>
      <c r="D470" s="110"/>
    </row>
    <row r="471" spans="1:4" ht="15.75" outlineLevel="1">
      <c r="A471" s="38" t="s">
        <v>732</v>
      </c>
      <c r="B471" s="39" t="s">
        <v>105</v>
      </c>
      <c r="C471" s="38">
        <v>5.109</v>
      </c>
      <c r="D471" s="110"/>
    </row>
    <row r="472" spans="1:4" ht="15.75" outlineLevel="1">
      <c r="A472" s="38" t="s">
        <v>732</v>
      </c>
      <c r="B472" s="39" t="s">
        <v>106</v>
      </c>
      <c r="C472" s="38">
        <v>5.1109999999999998</v>
      </c>
      <c r="D472" s="110"/>
    </row>
    <row r="473" spans="1:4" ht="15.75" outlineLevel="1">
      <c r="A473" s="38" t="s">
        <v>732</v>
      </c>
      <c r="B473" s="39" t="s">
        <v>89</v>
      </c>
      <c r="C473" s="38">
        <v>5.1120000000000001</v>
      </c>
      <c r="D473" s="110"/>
    </row>
    <row r="474" spans="1:4" ht="15.75" outlineLevel="1">
      <c r="A474" s="38" t="s">
        <v>732</v>
      </c>
      <c r="B474" s="39" t="s">
        <v>18</v>
      </c>
      <c r="C474" s="38">
        <v>5.54</v>
      </c>
      <c r="D474" s="110"/>
    </row>
    <row r="475" spans="1:4" ht="15.75" outlineLevel="1">
      <c r="A475" s="38" t="s">
        <v>732</v>
      </c>
      <c r="B475" s="39" t="s">
        <v>1092</v>
      </c>
      <c r="C475" s="38">
        <v>5.61</v>
      </c>
      <c r="D475" s="110"/>
    </row>
    <row r="476" spans="1:4" ht="15.75" outlineLevel="1">
      <c r="A476" s="38" t="s">
        <v>732</v>
      </c>
      <c r="B476" s="39" t="s">
        <v>20</v>
      </c>
      <c r="C476" s="38">
        <v>5.63</v>
      </c>
      <c r="D476" s="110"/>
    </row>
    <row r="477" spans="1:4" ht="15.75" outlineLevel="1">
      <c r="A477" s="38" t="s">
        <v>732</v>
      </c>
      <c r="B477" s="39" t="s">
        <v>1093</v>
      </c>
      <c r="C477" s="38">
        <v>5.46</v>
      </c>
      <c r="D477" s="110"/>
    </row>
    <row r="478" spans="1:4" ht="15.75" outlineLevel="1">
      <c r="A478" s="38" t="s">
        <v>732</v>
      </c>
      <c r="B478" s="39" t="s">
        <v>24</v>
      </c>
      <c r="C478" s="38">
        <v>5.47</v>
      </c>
      <c r="D478" s="110"/>
    </row>
    <row r="479" spans="1:4" ht="15.75" outlineLevel="1">
      <c r="A479" s="38" t="s">
        <v>732</v>
      </c>
      <c r="B479" s="39" t="s">
        <v>25</v>
      </c>
      <c r="C479" s="38">
        <v>5.48</v>
      </c>
      <c r="D479" s="110"/>
    </row>
    <row r="480" spans="1:4" ht="15.75">
      <c r="A480" s="44" t="s">
        <v>732</v>
      </c>
      <c r="B480" s="39"/>
      <c r="C480" s="38"/>
      <c r="D480" s="110"/>
    </row>
    <row r="481" spans="1:4" ht="15.75" outlineLevel="1">
      <c r="A481" s="38" t="s">
        <v>1094</v>
      </c>
      <c r="B481" s="39" t="s">
        <v>0</v>
      </c>
      <c r="C481" s="38">
        <v>5.0999999999999996</v>
      </c>
      <c r="D481" s="110"/>
    </row>
    <row r="482" spans="1:4" ht="15.75" outlineLevel="1">
      <c r="A482" s="38" t="s">
        <v>1094</v>
      </c>
      <c r="B482" s="39" t="s">
        <v>1</v>
      </c>
      <c r="C482" s="38">
        <v>5.2</v>
      </c>
      <c r="D482" s="110"/>
    </row>
    <row r="483" spans="1:4" ht="15.75" outlineLevel="1">
      <c r="A483" s="38" t="s">
        <v>1094</v>
      </c>
      <c r="B483" s="39" t="s">
        <v>2</v>
      </c>
      <c r="C483" s="38">
        <v>5.3</v>
      </c>
      <c r="D483" s="110"/>
    </row>
    <row r="484" spans="1:4" ht="15.75" outlineLevel="1">
      <c r="A484" s="38" t="s">
        <v>1094</v>
      </c>
      <c r="B484" s="39" t="s">
        <v>101</v>
      </c>
      <c r="C484" s="38">
        <v>5.6</v>
      </c>
      <c r="D484" s="110"/>
    </row>
    <row r="485" spans="1:4" ht="15.75" outlineLevel="1">
      <c r="A485" s="38" t="s">
        <v>1094</v>
      </c>
      <c r="B485" s="39" t="s">
        <v>1074</v>
      </c>
      <c r="C485" s="40">
        <v>5.0999999999999996</v>
      </c>
      <c r="D485" s="110"/>
    </row>
    <row r="486" spans="1:4" ht="15.75" outlineLevel="1">
      <c r="A486" s="38" t="s">
        <v>1094</v>
      </c>
      <c r="B486" s="39" t="s">
        <v>1073</v>
      </c>
      <c r="C486" s="38">
        <v>5.14</v>
      </c>
      <c r="D486" s="110"/>
    </row>
    <row r="487" spans="1:4" ht="15.75" outlineLevel="1">
      <c r="A487" s="38" t="s">
        <v>1094</v>
      </c>
      <c r="B487" s="39" t="s">
        <v>4</v>
      </c>
      <c r="C487" s="38">
        <v>5.19</v>
      </c>
      <c r="D487" s="110"/>
    </row>
    <row r="488" spans="1:4" ht="15.75" outlineLevel="1">
      <c r="A488" s="38" t="s">
        <v>1094</v>
      </c>
      <c r="B488" s="39" t="s">
        <v>103</v>
      </c>
      <c r="C488" s="38">
        <v>5.24</v>
      </c>
      <c r="D488" s="110"/>
    </row>
    <row r="489" spans="1:4" ht="15.75" outlineLevel="1">
      <c r="A489" s="38" t="s">
        <v>1094</v>
      </c>
      <c r="B489" s="39" t="s">
        <v>6</v>
      </c>
      <c r="C489" s="38">
        <v>5.27</v>
      </c>
      <c r="D489" s="110"/>
    </row>
    <row r="490" spans="1:4" ht="15.75" outlineLevel="1">
      <c r="A490" s="38" t="s">
        <v>1094</v>
      </c>
      <c r="B490" s="39" t="s">
        <v>7</v>
      </c>
      <c r="C490" s="38">
        <v>5.28</v>
      </c>
      <c r="D490" s="110"/>
    </row>
    <row r="491" spans="1:4" ht="15.75" outlineLevel="1">
      <c r="A491" s="38" t="s">
        <v>1094</v>
      </c>
      <c r="B491" s="39" t="s">
        <v>280</v>
      </c>
      <c r="C491" s="38">
        <v>5.29</v>
      </c>
      <c r="D491" s="110"/>
    </row>
    <row r="492" spans="1:4" ht="15.75" outlineLevel="1">
      <c r="A492" s="38" t="s">
        <v>1094</v>
      </c>
      <c r="B492" s="39" t="s">
        <v>1079</v>
      </c>
      <c r="C492" s="38">
        <v>5.34</v>
      </c>
      <c r="D492" s="110"/>
    </row>
    <row r="493" spans="1:4" ht="15.75" outlineLevel="1">
      <c r="A493" s="38" t="s">
        <v>1094</v>
      </c>
      <c r="B493" s="39" t="s">
        <v>104</v>
      </c>
      <c r="C493" s="38">
        <v>5.31</v>
      </c>
      <c r="D493" s="110"/>
    </row>
    <row r="494" spans="1:4" ht="15.75" outlineLevel="1">
      <c r="A494" s="38" t="s">
        <v>1094</v>
      </c>
      <c r="B494" s="39" t="s">
        <v>1080</v>
      </c>
      <c r="C494" s="38">
        <v>5.101</v>
      </c>
      <c r="D494" s="110"/>
    </row>
    <row r="495" spans="1:4" ht="15.75" outlineLevel="1">
      <c r="A495" s="38" t="s">
        <v>1094</v>
      </c>
      <c r="B495" s="39" t="s">
        <v>80</v>
      </c>
      <c r="C495" s="38">
        <v>5.36</v>
      </c>
      <c r="D495" s="110"/>
    </row>
    <row r="496" spans="1:4" ht="15.75" outlineLevel="1">
      <c r="A496" s="38" t="s">
        <v>1094</v>
      </c>
      <c r="B496" s="39" t="s">
        <v>112</v>
      </c>
      <c r="C496" s="38">
        <v>5.37</v>
      </c>
      <c r="D496" s="110"/>
    </row>
    <row r="497" spans="1:4" ht="15.75" outlineLevel="1">
      <c r="A497" s="38" t="s">
        <v>1094</v>
      </c>
      <c r="B497" s="39" t="s">
        <v>11</v>
      </c>
      <c r="C497" s="38">
        <v>5.53</v>
      </c>
      <c r="D497" s="110"/>
    </row>
    <row r="498" spans="1:4" ht="15.75" outlineLevel="1">
      <c r="A498" s="38" t="s">
        <v>1094</v>
      </c>
      <c r="B498" s="39" t="s">
        <v>105</v>
      </c>
      <c r="C498" s="38">
        <v>5.109</v>
      </c>
      <c r="D498" s="110"/>
    </row>
    <row r="499" spans="1:4" ht="15.75" outlineLevel="1">
      <c r="A499" s="38" t="s">
        <v>1094</v>
      </c>
      <c r="B499" s="39" t="s">
        <v>106</v>
      </c>
      <c r="C499" s="38">
        <v>5.1109999999999998</v>
      </c>
      <c r="D499" s="110"/>
    </row>
    <row r="500" spans="1:4" ht="15.75" outlineLevel="1">
      <c r="A500" s="38" t="s">
        <v>1094</v>
      </c>
      <c r="B500" s="39" t="s">
        <v>89</v>
      </c>
      <c r="C500" s="38">
        <v>5.1120000000000001</v>
      </c>
      <c r="D500" s="110"/>
    </row>
    <row r="501" spans="1:4" ht="15.75" outlineLevel="1">
      <c r="A501" s="38" t="s">
        <v>1094</v>
      </c>
      <c r="B501" s="39" t="s">
        <v>1081</v>
      </c>
      <c r="C501" s="38">
        <v>5.1020000000000003</v>
      </c>
      <c r="D501" s="110"/>
    </row>
    <row r="502" spans="1:4" ht="15.75" outlineLevel="1">
      <c r="A502" s="38" t="s">
        <v>1094</v>
      </c>
      <c r="B502" s="39" t="s">
        <v>1082</v>
      </c>
      <c r="C502" s="41">
        <v>5.0999999999999996</v>
      </c>
      <c r="D502" s="110"/>
    </row>
    <row r="503" spans="1:4" ht="15.75" outlineLevel="1">
      <c r="A503" s="38" t="s">
        <v>1094</v>
      </c>
      <c r="B503" s="39" t="s">
        <v>17</v>
      </c>
      <c r="C503" s="38">
        <v>5.58</v>
      </c>
      <c r="D503" s="110"/>
    </row>
    <row r="504" spans="1:4" ht="15.75" outlineLevel="1">
      <c r="A504" s="38" t="s">
        <v>1094</v>
      </c>
      <c r="B504" s="39" t="s">
        <v>19</v>
      </c>
      <c r="C504" s="38">
        <v>5.55</v>
      </c>
      <c r="D504" s="110"/>
    </row>
    <row r="505" spans="1:4" ht="15.75" outlineLevel="1">
      <c r="A505" s="38" t="s">
        <v>1094</v>
      </c>
      <c r="B505" s="39" t="s">
        <v>18</v>
      </c>
      <c r="C505" s="38">
        <v>5.54</v>
      </c>
      <c r="D505" s="110"/>
    </row>
    <row r="506" spans="1:4" ht="15.75" outlineLevel="1">
      <c r="A506" s="38" t="s">
        <v>1094</v>
      </c>
      <c r="B506" s="39" t="s">
        <v>20</v>
      </c>
      <c r="C506" s="38">
        <v>5.63</v>
      </c>
      <c r="D506" s="110"/>
    </row>
    <row r="507" spans="1:4" ht="15.75" outlineLevel="1">
      <c r="A507" s="38" t="s">
        <v>1094</v>
      </c>
      <c r="B507" s="39" t="s">
        <v>24</v>
      </c>
      <c r="C507" s="38">
        <v>5.47</v>
      </c>
      <c r="D507" s="110"/>
    </row>
    <row r="508" spans="1:4" ht="15.75" outlineLevel="1">
      <c r="A508" s="38" t="s">
        <v>1094</v>
      </c>
      <c r="B508" s="39" t="s">
        <v>25</v>
      </c>
      <c r="C508" s="38">
        <v>5.48</v>
      </c>
      <c r="D508" s="110"/>
    </row>
    <row r="509" spans="1:4" ht="15.75">
      <c r="A509" s="44" t="s">
        <v>1094</v>
      </c>
      <c r="B509" s="39"/>
      <c r="C509" s="38"/>
      <c r="D509" s="110"/>
    </row>
    <row r="510" spans="1:4" ht="15.75" outlineLevel="1">
      <c r="A510" s="38" t="s">
        <v>992</v>
      </c>
      <c r="B510" s="39" t="s">
        <v>0</v>
      </c>
      <c r="C510" s="38">
        <v>5.0999999999999996</v>
      </c>
      <c r="D510" s="110"/>
    </row>
    <row r="511" spans="1:4" ht="15.75" outlineLevel="1">
      <c r="A511" s="38" t="s">
        <v>992</v>
      </c>
      <c r="B511" s="39" t="s">
        <v>1</v>
      </c>
      <c r="C511" s="38">
        <v>5.2</v>
      </c>
      <c r="D511" s="110"/>
    </row>
    <row r="512" spans="1:4" ht="15.75" outlineLevel="1">
      <c r="A512" s="38" t="s">
        <v>992</v>
      </c>
      <c r="B512" s="39" t="s">
        <v>2</v>
      </c>
      <c r="C512" s="38">
        <v>5.3</v>
      </c>
      <c r="D512" s="110"/>
    </row>
    <row r="513" spans="1:4" ht="15.75" outlineLevel="1">
      <c r="A513" s="38" t="s">
        <v>992</v>
      </c>
      <c r="B513" s="39" t="s">
        <v>101</v>
      </c>
      <c r="C513" s="38">
        <v>5.6</v>
      </c>
      <c r="D513" s="110"/>
    </row>
    <row r="514" spans="1:4" ht="15.75" outlineLevel="1">
      <c r="A514" s="38" t="s">
        <v>992</v>
      </c>
      <c r="B514" s="39" t="s">
        <v>1074</v>
      </c>
      <c r="C514" s="40">
        <v>5.0999999999999996</v>
      </c>
      <c r="D514" s="110"/>
    </row>
    <row r="515" spans="1:4" ht="15.75" outlineLevel="1">
      <c r="A515" s="38" t="s">
        <v>992</v>
      </c>
      <c r="B515" s="39" t="s">
        <v>1073</v>
      </c>
      <c r="C515" s="38">
        <v>5.14</v>
      </c>
      <c r="D515" s="110"/>
    </row>
    <row r="516" spans="1:4" ht="15.75" outlineLevel="1">
      <c r="A516" s="38" t="s">
        <v>992</v>
      </c>
      <c r="B516" s="39" t="s">
        <v>4</v>
      </c>
      <c r="C516" s="38">
        <v>5.19</v>
      </c>
      <c r="D516" s="110"/>
    </row>
    <row r="517" spans="1:4" ht="15.75" outlineLevel="1">
      <c r="A517" s="38" t="s">
        <v>992</v>
      </c>
      <c r="B517" s="39" t="s">
        <v>103</v>
      </c>
      <c r="C517" s="38">
        <v>5.24</v>
      </c>
      <c r="D517" s="110"/>
    </row>
    <row r="518" spans="1:4" ht="15.75" outlineLevel="1">
      <c r="A518" s="38" t="s">
        <v>992</v>
      </c>
      <c r="B518" s="39" t="s">
        <v>5</v>
      </c>
      <c r="C518" s="38">
        <v>5.26</v>
      </c>
      <c r="D518" s="110"/>
    </row>
    <row r="519" spans="1:4" ht="15.75" outlineLevel="1">
      <c r="A519" s="38" t="s">
        <v>992</v>
      </c>
      <c r="B519" s="39" t="s">
        <v>6</v>
      </c>
      <c r="C519" s="38">
        <v>5.27</v>
      </c>
      <c r="D519" s="110"/>
    </row>
    <row r="520" spans="1:4" ht="15.75" outlineLevel="1">
      <c r="A520" s="38" t="s">
        <v>992</v>
      </c>
      <c r="B520" s="39" t="s">
        <v>7</v>
      </c>
      <c r="C520" s="38">
        <v>5.28</v>
      </c>
      <c r="D520" s="110"/>
    </row>
    <row r="521" spans="1:4" ht="15.75" outlineLevel="1">
      <c r="A521" s="38" t="s">
        <v>992</v>
      </c>
      <c r="B521" s="39" t="s">
        <v>104</v>
      </c>
      <c r="C521" s="38">
        <v>5.31</v>
      </c>
      <c r="D521" s="110"/>
    </row>
    <row r="522" spans="1:4" ht="15.75" outlineLevel="1">
      <c r="A522" s="38" t="s">
        <v>992</v>
      </c>
      <c r="B522" s="39" t="s">
        <v>127</v>
      </c>
      <c r="C522" s="38">
        <v>5.33</v>
      </c>
      <c r="D522" s="110"/>
    </row>
    <row r="523" spans="1:4" ht="15.75" outlineLevel="1">
      <c r="A523" s="38" t="s">
        <v>992</v>
      </c>
      <c r="B523" s="39" t="s">
        <v>1080</v>
      </c>
      <c r="C523" s="38">
        <v>5.101</v>
      </c>
      <c r="D523" s="110"/>
    </row>
    <row r="524" spans="1:4" ht="15.75" outlineLevel="1">
      <c r="A524" s="38" t="s">
        <v>992</v>
      </c>
      <c r="B524" s="39" t="s">
        <v>80</v>
      </c>
      <c r="C524" s="38">
        <v>5.36</v>
      </c>
      <c r="D524" s="110"/>
    </row>
    <row r="525" spans="1:4" ht="15.75" outlineLevel="1">
      <c r="A525" s="38" t="s">
        <v>992</v>
      </c>
      <c r="B525" s="39" t="s">
        <v>112</v>
      </c>
      <c r="C525" s="38">
        <v>5.37</v>
      </c>
      <c r="D525" s="110"/>
    </row>
    <row r="526" spans="1:4" ht="15.75" outlineLevel="1">
      <c r="A526" s="38" t="s">
        <v>992</v>
      </c>
      <c r="B526" s="39" t="s">
        <v>11</v>
      </c>
      <c r="C526" s="38">
        <v>5.53</v>
      </c>
      <c r="D526" s="110"/>
    </row>
    <row r="527" spans="1:4" ht="15.75" outlineLevel="1">
      <c r="A527" s="38" t="s">
        <v>992</v>
      </c>
      <c r="B527" s="39" t="s">
        <v>105</v>
      </c>
      <c r="C527" s="38">
        <v>5.109</v>
      </c>
      <c r="D527" s="110"/>
    </row>
    <row r="528" spans="1:4" ht="15.75" outlineLevel="1">
      <c r="A528" s="38" t="s">
        <v>992</v>
      </c>
      <c r="B528" s="39" t="s">
        <v>106</v>
      </c>
      <c r="C528" s="38">
        <v>5.1109999999999998</v>
      </c>
      <c r="D528" s="110"/>
    </row>
    <row r="529" spans="1:4" ht="15.75" outlineLevel="1">
      <c r="A529" s="38" t="s">
        <v>992</v>
      </c>
      <c r="B529" s="39" t="s">
        <v>89</v>
      </c>
      <c r="C529" s="38">
        <v>5.1120000000000001</v>
      </c>
      <c r="D529" s="110"/>
    </row>
    <row r="530" spans="1:4" ht="15.75" outlineLevel="1">
      <c r="A530" s="38" t="s">
        <v>992</v>
      </c>
      <c r="B530" s="39" t="s">
        <v>1081</v>
      </c>
      <c r="C530" s="38">
        <v>5.1020000000000003</v>
      </c>
      <c r="D530" s="110"/>
    </row>
    <row r="531" spans="1:4" ht="15.75" outlineLevel="1">
      <c r="A531" s="38" t="s">
        <v>992</v>
      </c>
      <c r="B531" s="39" t="s">
        <v>1082</v>
      </c>
      <c r="C531" s="41">
        <v>5.0999999999999996</v>
      </c>
      <c r="D531" s="110"/>
    </row>
    <row r="532" spans="1:4" ht="15.75" outlineLevel="1">
      <c r="A532" s="38" t="s">
        <v>992</v>
      </c>
      <c r="B532" s="39" t="s">
        <v>17</v>
      </c>
      <c r="C532" s="38">
        <v>5.58</v>
      </c>
      <c r="D532" s="110"/>
    </row>
    <row r="533" spans="1:4" ht="15.75" outlineLevel="1">
      <c r="A533" s="38" t="s">
        <v>992</v>
      </c>
      <c r="B533" s="39" t="s">
        <v>19</v>
      </c>
      <c r="C533" s="38">
        <v>5.55</v>
      </c>
      <c r="D533" s="110"/>
    </row>
    <row r="534" spans="1:4" ht="15.75" outlineLevel="1">
      <c r="A534" s="38" t="s">
        <v>992</v>
      </c>
      <c r="B534" s="39" t="s">
        <v>18</v>
      </c>
      <c r="C534" s="38">
        <v>5.54</v>
      </c>
      <c r="D534" s="110"/>
    </row>
    <row r="535" spans="1:4" ht="15.75" outlineLevel="1">
      <c r="A535" s="38" t="s">
        <v>992</v>
      </c>
      <c r="B535" s="39" t="s">
        <v>20</v>
      </c>
      <c r="C535" s="38">
        <v>5.63</v>
      </c>
      <c r="D535" s="110"/>
    </row>
    <row r="536" spans="1:4" ht="15.75" outlineLevel="1">
      <c r="A536" s="38" t="s">
        <v>992</v>
      </c>
      <c r="B536" s="39" t="s">
        <v>24</v>
      </c>
      <c r="C536" s="38">
        <v>5.47</v>
      </c>
      <c r="D536" s="110"/>
    </row>
    <row r="537" spans="1:4" ht="15.75" outlineLevel="1">
      <c r="A537" s="38" t="s">
        <v>992</v>
      </c>
      <c r="B537" s="39" t="s">
        <v>25</v>
      </c>
      <c r="C537" s="38">
        <v>5.48</v>
      </c>
      <c r="D537" s="110"/>
    </row>
    <row r="538" spans="1:4" ht="15.75">
      <c r="A538" s="44" t="s">
        <v>992</v>
      </c>
      <c r="B538" s="39"/>
      <c r="C538" s="38"/>
      <c r="D538" s="110"/>
    </row>
    <row r="539" spans="1:4" ht="15.75" outlineLevel="1">
      <c r="A539" s="38" t="s">
        <v>1001</v>
      </c>
      <c r="B539" s="39" t="s">
        <v>0</v>
      </c>
      <c r="C539" s="38">
        <v>5.0999999999999996</v>
      </c>
      <c r="D539" s="110"/>
    </row>
    <row r="540" spans="1:4" ht="15.75" outlineLevel="1">
      <c r="A540" s="38" t="s">
        <v>1001</v>
      </c>
      <c r="B540" s="39" t="s">
        <v>1</v>
      </c>
      <c r="C540" s="38">
        <v>5.2</v>
      </c>
      <c r="D540" s="110"/>
    </row>
    <row r="541" spans="1:4" ht="15.75" outlineLevel="1">
      <c r="A541" s="38" t="s">
        <v>1001</v>
      </c>
      <c r="B541" s="39" t="s">
        <v>5</v>
      </c>
      <c r="C541" s="38">
        <v>5.26</v>
      </c>
      <c r="D541" s="110"/>
    </row>
    <row r="542" spans="1:4" ht="15.75" outlineLevel="1">
      <c r="A542" s="38" t="s">
        <v>1001</v>
      </c>
      <c r="B542" s="39" t="s">
        <v>1095</v>
      </c>
      <c r="C542" s="38">
        <v>5.21</v>
      </c>
      <c r="D542" s="110"/>
    </row>
    <row r="543" spans="1:4" ht="15.75" outlineLevel="1">
      <c r="A543" s="38" t="s">
        <v>1001</v>
      </c>
      <c r="B543" s="39" t="s">
        <v>1096</v>
      </c>
      <c r="C543" s="38">
        <v>5.53</v>
      </c>
      <c r="D543" s="110"/>
    </row>
    <row r="544" spans="1:4" ht="15.75" outlineLevel="1">
      <c r="A544" s="38" t="s">
        <v>1001</v>
      </c>
      <c r="B544" s="39" t="s">
        <v>18</v>
      </c>
      <c r="C544" s="38">
        <v>5.54</v>
      </c>
      <c r="D544" s="110"/>
    </row>
    <row r="545" spans="1:4" ht="15.75" outlineLevel="1">
      <c r="A545" s="38" t="s">
        <v>1001</v>
      </c>
      <c r="B545" s="39" t="s">
        <v>1097</v>
      </c>
      <c r="C545" s="38">
        <v>5.58</v>
      </c>
      <c r="D545" s="110"/>
    </row>
    <row r="546" spans="1:4" ht="15.75" outlineLevel="1">
      <c r="A546" s="38" t="s">
        <v>1001</v>
      </c>
      <c r="B546" s="39" t="s">
        <v>1098</v>
      </c>
      <c r="C546" s="38">
        <v>5.1180000000000003</v>
      </c>
      <c r="D546" s="110"/>
    </row>
    <row r="547" spans="1:4" ht="15.75" outlineLevel="1">
      <c r="A547" s="38" t="s">
        <v>1001</v>
      </c>
      <c r="B547" s="39" t="s">
        <v>1099</v>
      </c>
      <c r="C547" s="38">
        <v>5.47</v>
      </c>
      <c r="D547" s="110"/>
    </row>
    <row r="548" spans="1:4" ht="15.75" outlineLevel="1">
      <c r="A548" s="38" t="s">
        <v>1001</v>
      </c>
      <c r="B548" s="39" t="s">
        <v>1100</v>
      </c>
      <c r="C548" s="38">
        <v>5.48</v>
      </c>
      <c r="D548" s="110"/>
    </row>
    <row r="549" spans="1:4" ht="15.75" outlineLevel="1">
      <c r="A549" s="38" t="s">
        <v>1001</v>
      </c>
      <c r="B549" s="39" t="s">
        <v>1101</v>
      </c>
      <c r="C549" s="38">
        <v>5.21</v>
      </c>
      <c r="D549" s="110"/>
    </row>
    <row r="550" spans="1:4" ht="15.75" outlineLevel="1">
      <c r="A550" s="38" t="s">
        <v>1001</v>
      </c>
      <c r="B550" s="39" t="s">
        <v>1102</v>
      </c>
      <c r="C550" s="38">
        <v>5.53</v>
      </c>
      <c r="D550" s="110"/>
    </row>
    <row r="551" spans="1:4" ht="15.75" outlineLevel="1">
      <c r="A551" s="38" t="s">
        <v>1001</v>
      </c>
      <c r="B551" s="39" t="s">
        <v>18</v>
      </c>
      <c r="C551" s="38">
        <v>5.54</v>
      </c>
      <c r="D551" s="110"/>
    </row>
    <row r="552" spans="1:4" ht="15.75" outlineLevel="1">
      <c r="A552" s="38" t="s">
        <v>1001</v>
      </c>
      <c r="B552" s="39" t="s">
        <v>1103</v>
      </c>
      <c r="C552" s="38">
        <v>5.58</v>
      </c>
      <c r="D552" s="110"/>
    </row>
    <row r="553" spans="1:4" ht="15.75" outlineLevel="1">
      <c r="A553" s="38" t="s">
        <v>1001</v>
      </c>
      <c r="B553" s="39" t="s">
        <v>1104</v>
      </c>
      <c r="C553" s="38">
        <v>5.1180000000000003</v>
      </c>
      <c r="D553" s="110"/>
    </row>
    <row r="554" spans="1:4" ht="15.75" outlineLevel="1">
      <c r="A554" s="38" t="s">
        <v>1001</v>
      </c>
      <c r="B554" s="39" t="s">
        <v>1105</v>
      </c>
      <c r="C554" s="38">
        <v>5.47</v>
      </c>
      <c r="D554" s="110"/>
    </row>
    <row r="555" spans="1:4" ht="15.75" outlineLevel="1">
      <c r="A555" s="38" t="s">
        <v>1001</v>
      </c>
      <c r="B555" s="39" t="s">
        <v>1106</v>
      </c>
      <c r="C555" s="38">
        <v>5.48</v>
      </c>
      <c r="D555" s="110"/>
    </row>
    <row r="556" spans="1:4" ht="15.75" outlineLevel="1">
      <c r="A556" s="38" t="s">
        <v>1001</v>
      </c>
      <c r="B556" s="39" t="s">
        <v>1107</v>
      </c>
      <c r="C556" s="38">
        <v>5.63</v>
      </c>
      <c r="D556" s="110"/>
    </row>
    <row r="557" spans="1:4" ht="15.75" outlineLevel="1">
      <c r="A557" s="38" t="s">
        <v>1001</v>
      </c>
      <c r="B557" s="39" t="s">
        <v>6</v>
      </c>
      <c r="C557" s="38">
        <v>5.27</v>
      </c>
      <c r="D557" s="110"/>
    </row>
    <row r="558" spans="1:4" ht="15.75" outlineLevel="1">
      <c r="A558" s="38" t="s">
        <v>1001</v>
      </c>
      <c r="B558" s="39" t="s">
        <v>7</v>
      </c>
      <c r="C558" s="38">
        <v>5.28</v>
      </c>
      <c r="D558" s="110"/>
    </row>
    <row r="559" spans="1:4" ht="15.75" outlineLevel="1">
      <c r="A559" s="38" t="s">
        <v>1001</v>
      </c>
      <c r="B559" s="39" t="s">
        <v>1108</v>
      </c>
      <c r="C559" s="38">
        <v>5.35</v>
      </c>
      <c r="D559" s="110"/>
    </row>
    <row r="560" spans="1:4" ht="15.75" outlineLevel="1">
      <c r="A560" s="38" t="s">
        <v>1001</v>
      </c>
      <c r="B560" s="39" t="s">
        <v>885</v>
      </c>
      <c r="C560" s="38">
        <v>5.1189999999999998</v>
      </c>
      <c r="D560" s="110"/>
    </row>
    <row r="561" spans="1:4" ht="15.75" outlineLevel="1">
      <c r="A561" s="38" t="s">
        <v>1001</v>
      </c>
      <c r="B561" s="39" t="s">
        <v>892</v>
      </c>
      <c r="C561" s="41">
        <v>5.12</v>
      </c>
      <c r="D561" s="110"/>
    </row>
    <row r="562" spans="1:4" ht="15.75" outlineLevel="1">
      <c r="A562" s="38" t="s">
        <v>1001</v>
      </c>
      <c r="B562" s="39" t="s">
        <v>278</v>
      </c>
      <c r="C562" s="38">
        <v>5.1210000000000004</v>
      </c>
      <c r="D562" s="110"/>
    </row>
    <row r="563" spans="1:4" ht="15.75" outlineLevel="1">
      <c r="A563" s="38" t="s">
        <v>1001</v>
      </c>
      <c r="B563" s="39" t="s">
        <v>80</v>
      </c>
      <c r="C563" s="38">
        <v>5.36</v>
      </c>
      <c r="D563" s="110"/>
    </row>
    <row r="564" spans="1:4" ht="15.75" outlineLevel="1">
      <c r="A564" s="38" t="s">
        <v>1001</v>
      </c>
      <c r="B564" s="39" t="s">
        <v>1109</v>
      </c>
      <c r="C564" s="38">
        <v>5.1219999999999999</v>
      </c>
      <c r="D564" s="110"/>
    </row>
    <row r="565" spans="1:4" ht="15.75" outlineLevel="1">
      <c r="A565" s="38" t="s">
        <v>1001</v>
      </c>
      <c r="B565" s="39" t="s">
        <v>1110</v>
      </c>
      <c r="C565" s="38">
        <v>5.1230000000000002</v>
      </c>
      <c r="D565" s="110"/>
    </row>
    <row r="566" spans="1:4" ht="15.75" outlineLevel="1">
      <c r="A566" s="38" t="s">
        <v>1001</v>
      </c>
      <c r="B566" s="39" t="s">
        <v>856</v>
      </c>
      <c r="C566" s="38">
        <v>5.1239999999999997</v>
      </c>
      <c r="D566" s="110"/>
    </row>
    <row r="567" spans="1:4" ht="15.75" outlineLevel="1">
      <c r="A567" s="38" t="s">
        <v>1001</v>
      </c>
      <c r="B567" s="39" t="s">
        <v>864</v>
      </c>
      <c r="C567" s="38">
        <v>5.125</v>
      </c>
      <c r="D567" s="110"/>
    </row>
    <row r="568" spans="1:4" ht="15.75" outlineLevel="1">
      <c r="A568" s="38" t="s">
        <v>1001</v>
      </c>
      <c r="B568" s="39" t="s">
        <v>1111</v>
      </c>
      <c r="C568" s="38">
        <v>5.1260000000000003</v>
      </c>
      <c r="D568" s="110"/>
    </row>
    <row r="569" spans="1:4" ht="15.75" outlineLevel="1">
      <c r="A569" s="38" t="s">
        <v>1001</v>
      </c>
      <c r="B569" s="39" t="s">
        <v>882</v>
      </c>
      <c r="C569" s="38">
        <v>5.1269999999999998</v>
      </c>
      <c r="D569" s="110"/>
    </row>
    <row r="570" spans="1:4" ht="15.75" outlineLevel="1">
      <c r="A570" s="38" t="s">
        <v>1001</v>
      </c>
      <c r="B570" s="39" t="s">
        <v>867</v>
      </c>
      <c r="C570" s="40">
        <v>5.72</v>
      </c>
      <c r="D570" s="110"/>
    </row>
    <row r="571" spans="1:4" ht="15.75" outlineLevel="1">
      <c r="A571" s="38" t="s">
        <v>1001</v>
      </c>
      <c r="B571" s="39" t="s">
        <v>878</v>
      </c>
      <c r="C571" s="38">
        <v>5.1280000000000001</v>
      </c>
      <c r="D571" s="110"/>
    </row>
    <row r="572" spans="1:4" ht="15.75" outlineLevel="1">
      <c r="A572" s="38" t="s">
        <v>1001</v>
      </c>
      <c r="B572" s="39" t="s">
        <v>1112</v>
      </c>
      <c r="C572" s="38">
        <v>5.1289999999999996</v>
      </c>
      <c r="D572" s="109" t="s">
        <v>1072</v>
      </c>
    </row>
    <row r="573" spans="1:4" ht="15.75" outlineLevel="1">
      <c r="A573" s="38" t="s">
        <v>1001</v>
      </c>
      <c r="B573" s="39" t="s">
        <v>1113</v>
      </c>
      <c r="C573" s="38">
        <v>5.1310000000000002</v>
      </c>
      <c r="D573" s="110"/>
    </row>
    <row r="574" spans="1:4" ht="15.75" outlineLevel="1">
      <c r="A574" s="38" t="s">
        <v>1001</v>
      </c>
      <c r="B574" s="39" t="s">
        <v>1114</v>
      </c>
      <c r="C574" s="38">
        <v>5.1319999999999997</v>
      </c>
      <c r="D574" s="109" t="s">
        <v>1072</v>
      </c>
    </row>
    <row r="575" spans="1:4" ht="15.75" outlineLevel="1">
      <c r="A575" s="38" t="s">
        <v>1001</v>
      </c>
      <c r="B575" s="39" t="s">
        <v>907</v>
      </c>
      <c r="C575" s="38">
        <v>5.133</v>
      </c>
      <c r="D575" s="109" t="s">
        <v>1072</v>
      </c>
    </row>
    <row r="576" spans="1:4" ht="15.75" outlineLevel="1">
      <c r="A576" s="38" t="s">
        <v>1001</v>
      </c>
      <c r="B576" s="39" t="s">
        <v>1115</v>
      </c>
      <c r="C576" s="38">
        <v>5.1340000000000003</v>
      </c>
      <c r="D576" s="109" t="s">
        <v>1072</v>
      </c>
    </row>
    <row r="577" spans="1:4" ht="15.75" outlineLevel="1">
      <c r="A577" s="38" t="s">
        <v>1001</v>
      </c>
      <c r="B577" s="39" t="s">
        <v>1116</v>
      </c>
      <c r="C577" s="41">
        <v>5.13</v>
      </c>
      <c r="D577" s="110"/>
    </row>
    <row r="578" spans="1:4" ht="15.75" outlineLevel="1">
      <c r="A578" s="38" t="s">
        <v>1001</v>
      </c>
      <c r="B578" s="39" t="s">
        <v>24</v>
      </c>
      <c r="C578" s="38">
        <v>5.47</v>
      </c>
      <c r="D578" s="110"/>
    </row>
    <row r="579" spans="1:4" ht="15.75" outlineLevel="1">
      <c r="A579" s="38" t="s">
        <v>1001</v>
      </c>
      <c r="B579" s="39" t="s">
        <v>25</v>
      </c>
      <c r="C579" s="38">
        <v>5.48</v>
      </c>
      <c r="D579" s="110"/>
    </row>
    <row r="580" spans="1:4" ht="15.75">
      <c r="A580" s="44" t="s">
        <v>1001</v>
      </c>
      <c r="B580" s="39"/>
      <c r="C580" s="38"/>
      <c r="D580" s="110"/>
    </row>
    <row r="581" spans="1:4" ht="15.75" outlineLevel="1">
      <c r="A581" s="38" t="s">
        <v>994</v>
      </c>
      <c r="B581" s="39" t="s">
        <v>0</v>
      </c>
      <c r="C581" s="38">
        <v>5.0999999999999996</v>
      </c>
      <c r="D581" s="110"/>
    </row>
    <row r="582" spans="1:4" ht="15.75" outlineLevel="1">
      <c r="A582" s="38" t="s">
        <v>994</v>
      </c>
      <c r="B582" s="39" t="s">
        <v>1</v>
      </c>
      <c r="C582" s="38">
        <v>5.2</v>
      </c>
      <c r="D582" s="110"/>
    </row>
    <row r="583" spans="1:4" ht="15.75" outlineLevel="1">
      <c r="A583" s="38" t="s">
        <v>994</v>
      </c>
      <c r="B583" s="39" t="s">
        <v>75</v>
      </c>
      <c r="C583" s="38">
        <v>5.9</v>
      </c>
      <c r="D583" s="109" t="s">
        <v>1072</v>
      </c>
    </row>
    <row r="584" spans="1:4" ht="15.75" outlineLevel="1">
      <c r="A584" s="38" t="s">
        <v>994</v>
      </c>
      <c r="B584" s="39" t="s">
        <v>76</v>
      </c>
      <c r="C584" s="38">
        <v>5.13</v>
      </c>
      <c r="D584" s="109" t="s">
        <v>1072</v>
      </c>
    </row>
    <row r="585" spans="1:4" ht="15.75" outlineLevel="1">
      <c r="A585" s="38" t="s">
        <v>994</v>
      </c>
      <c r="B585" s="39" t="s">
        <v>77</v>
      </c>
      <c r="C585" s="38">
        <v>5.16</v>
      </c>
      <c r="D585" s="109" t="s">
        <v>1072</v>
      </c>
    </row>
    <row r="586" spans="1:4" ht="15.75" outlineLevel="1">
      <c r="A586" s="38" t="s">
        <v>994</v>
      </c>
      <c r="B586" s="39" t="s">
        <v>78</v>
      </c>
      <c r="C586" s="38">
        <v>5.22</v>
      </c>
      <c r="D586" s="109"/>
    </row>
    <row r="587" spans="1:4" ht="15.75" outlineLevel="1">
      <c r="A587" s="38" t="s">
        <v>994</v>
      </c>
      <c r="B587" s="39" t="s">
        <v>5</v>
      </c>
      <c r="C587" s="38">
        <v>5.26</v>
      </c>
      <c r="D587" s="110"/>
    </row>
    <row r="588" spans="1:4" ht="15.75" outlineLevel="1">
      <c r="A588" s="38" t="s">
        <v>994</v>
      </c>
      <c r="B588" s="39" t="s">
        <v>1117</v>
      </c>
      <c r="C588" s="38">
        <v>5.77</v>
      </c>
      <c r="D588" s="110"/>
    </row>
    <row r="589" spans="1:4" ht="15.75" outlineLevel="1">
      <c r="A589" s="38" t="s">
        <v>994</v>
      </c>
      <c r="B589" s="39" t="s">
        <v>6</v>
      </c>
      <c r="C589" s="38">
        <v>5.27</v>
      </c>
      <c r="D589" s="110"/>
    </row>
    <row r="590" spans="1:4" ht="15.75" outlineLevel="1">
      <c r="A590" s="38" t="s">
        <v>994</v>
      </c>
      <c r="B590" s="39" t="s">
        <v>7</v>
      </c>
      <c r="C590" s="38">
        <v>5.28</v>
      </c>
      <c r="D590" s="109" t="s">
        <v>1072</v>
      </c>
    </row>
    <row r="591" spans="1:4" ht="15.75" outlineLevel="1">
      <c r="A591" s="38" t="s">
        <v>994</v>
      </c>
      <c r="B591" s="39" t="s">
        <v>104</v>
      </c>
      <c r="C591" s="38">
        <v>5.31</v>
      </c>
      <c r="D591" s="110"/>
    </row>
    <row r="592" spans="1:4" ht="15.75" outlineLevel="1">
      <c r="A592" s="38" t="s">
        <v>994</v>
      </c>
      <c r="B592" s="39" t="s">
        <v>80</v>
      </c>
      <c r="C592" s="38">
        <v>5.36</v>
      </c>
      <c r="D592" s="110"/>
    </row>
    <row r="593" spans="1:4" ht="15.75" outlineLevel="1">
      <c r="A593" s="38" t="s">
        <v>994</v>
      </c>
      <c r="B593" s="39" t="s">
        <v>1118</v>
      </c>
      <c r="C593" s="38">
        <v>5.78</v>
      </c>
      <c r="D593" s="110"/>
    </row>
    <row r="594" spans="1:4" ht="15.75" outlineLevel="1">
      <c r="A594" s="38" t="s">
        <v>994</v>
      </c>
      <c r="B594" s="39" t="s">
        <v>1119</v>
      </c>
      <c r="C594" s="38">
        <v>5.79</v>
      </c>
      <c r="D594" s="109" t="s">
        <v>1072</v>
      </c>
    </row>
    <row r="595" spans="1:4" ht="15.75" outlineLevel="1">
      <c r="A595" s="38" t="s">
        <v>994</v>
      </c>
      <c r="B595" s="39" t="s">
        <v>1120</v>
      </c>
      <c r="C595" s="38">
        <v>5.41</v>
      </c>
      <c r="D595" s="110"/>
    </row>
    <row r="596" spans="1:4" ht="15.75" outlineLevel="1">
      <c r="A596" s="38" t="s">
        <v>994</v>
      </c>
      <c r="B596" s="39" t="s">
        <v>9</v>
      </c>
      <c r="C596" s="38">
        <v>5.49</v>
      </c>
      <c r="D596" s="110"/>
    </row>
    <row r="597" spans="1:4" ht="15.75" outlineLevel="1">
      <c r="A597" s="38" t="s">
        <v>994</v>
      </c>
      <c r="B597" s="39" t="s">
        <v>10</v>
      </c>
      <c r="C597" s="38">
        <v>5.51</v>
      </c>
      <c r="D597" s="110"/>
    </row>
    <row r="598" spans="1:4" ht="15.75" outlineLevel="1">
      <c r="A598" s="38" t="s">
        <v>994</v>
      </c>
      <c r="B598" s="39" t="s">
        <v>1121</v>
      </c>
      <c r="C598" s="38">
        <v>5.52</v>
      </c>
      <c r="D598" s="110"/>
    </row>
    <row r="599" spans="1:4" ht="15.75" outlineLevel="1">
      <c r="A599" s="38" t="s">
        <v>994</v>
      </c>
      <c r="B599" s="39" t="s">
        <v>11</v>
      </c>
      <c r="C599" s="38">
        <v>5.53</v>
      </c>
      <c r="D599" s="110"/>
    </row>
    <row r="600" spans="1:4" ht="15.75" outlineLevel="1">
      <c r="A600" s="38" t="s">
        <v>994</v>
      </c>
      <c r="B600" s="39" t="s">
        <v>12</v>
      </c>
      <c r="C600" s="38">
        <v>5.69</v>
      </c>
      <c r="D600" s="110"/>
    </row>
    <row r="601" spans="1:4" ht="15.75" outlineLevel="1">
      <c r="A601" s="38" t="s">
        <v>994</v>
      </c>
      <c r="B601" s="39" t="s">
        <v>82</v>
      </c>
      <c r="C601" s="38">
        <v>5.71</v>
      </c>
      <c r="D601" s="110"/>
    </row>
    <row r="602" spans="1:4" ht="15.75" outlineLevel="1">
      <c r="A602" s="38" t="s">
        <v>994</v>
      </c>
      <c r="B602" s="39" t="s">
        <v>14</v>
      </c>
      <c r="C602" s="40">
        <v>5.7</v>
      </c>
      <c r="D602" s="110"/>
    </row>
    <row r="603" spans="1:4" ht="15.75" outlineLevel="1">
      <c r="A603" s="38" t="s">
        <v>994</v>
      </c>
      <c r="B603" s="39" t="s">
        <v>710</v>
      </c>
      <c r="C603" s="40">
        <v>5.8</v>
      </c>
      <c r="D603" s="109" t="s">
        <v>1072</v>
      </c>
    </row>
    <row r="604" spans="1:4" ht="15.75" outlineLevel="1">
      <c r="A604" s="38" t="s">
        <v>994</v>
      </c>
      <c r="B604" s="39" t="s">
        <v>867</v>
      </c>
      <c r="C604" s="40">
        <v>5.72</v>
      </c>
      <c r="D604" s="109" t="s">
        <v>1072</v>
      </c>
    </row>
    <row r="605" spans="1:4" ht="15.75" outlineLevel="1">
      <c r="A605" s="38" t="s">
        <v>994</v>
      </c>
      <c r="B605" s="39" t="s">
        <v>1122</v>
      </c>
      <c r="C605" s="38">
        <v>5.73</v>
      </c>
      <c r="D605" s="109" t="s">
        <v>1072</v>
      </c>
    </row>
    <row r="606" spans="1:4" ht="15.75" outlineLevel="1">
      <c r="A606" s="38" t="s">
        <v>994</v>
      </c>
      <c r="B606" s="39" t="s">
        <v>15</v>
      </c>
      <c r="C606" s="38">
        <v>5.74</v>
      </c>
      <c r="D606" s="110"/>
    </row>
    <row r="607" spans="1:4" ht="15.75" outlineLevel="1">
      <c r="A607" s="38" t="s">
        <v>994</v>
      </c>
      <c r="B607" s="39" t="s">
        <v>13</v>
      </c>
      <c r="C607" s="38">
        <v>5.75</v>
      </c>
      <c r="D607" s="110"/>
    </row>
    <row r="608" spans="1:4" ht="15.75" outlineLevel="1">
      <c r="A608" s="38" t="s">
        <v>994</v>
      </c>
      <c r="B608" s="39" t="s">
        <v>365</v>
      </c>
      <c r="C608" s="38">
        <v>5.76</v>
      </c>
      <c r="D608" s="110"/>
    </row>
    <row r="609" spans="1:4" ht="15.75" outlineLevel="1">
      <c r="A609" s="38" t="s">
        <v>994</v>
      </c>
      <c r="B609" s="39" t="s">
        <v>715</v>
      </c>
      <c r="C609" s="38">
        <v>5.81</v>
      </c>
      <c r="D609" s="109" t="s">
        <v>1072</v>
      </c>
    </row>
    <row r="610" spans="1:4" ht="15.75" outlineLevel="1">
      <c r="A610" s="38" t="s">
        <v>994</v>
      </c>
      <c r="B610" s="39" t="s">
        <v>1123</v>
      </c>
      <c r="C610" s="38">
        <v>5.82</v>
      </c>
      <c r="D610" s="109" t="s">
        <v>1072</v>
      </c>
    </row>
    <row r="611" spans="1:4" ht="15.75" outlineLevel="1">
      <c r="A611" s="38" t="s">
        <v>994</v>
      </c>
      <c r="B611" s="39" t="s">
        <v>1124</v>
      </c>
      <c r="C611" s="38">
        <v>5.83</v>
      </c>
      <c r="D611" s="109" t="s">
        <v>1072</v>
      </c>
    </row>
    <row r="612" spans="1:4" ht="15.75" outlineLevel="1">
      <c r="A612" s="38" t="s">
        <v>994</v>
      </c>
      <c r="B612" s="39" t="s">
        <v>1125</v>
      </c>
      <c r="C612" s="38">
        <v>5.84</v>
      </c>
      <c r="D612" s="110"/>
    </row>
    <row r="613" spans="1:4" ht="15.75" outlineLevel="1">
      <c r="A613" s="38" t="s">
        <v>994</v>
      </c>
      <c r="B613" s="39" t="s">
        <v>738</v>
      </c>
      <c r="C613" s="38">
        <v>5.85</v>
      </c>
      <c r="D613" s="109" t="s">
        <v>1072</v>
      </c>
    </row>
    <row r="614" spans="1:4" ht="15.75" outlineLevel="1">
      <c r="A614" s="38" t="s">
        <v>994</v>
      </c>
      <c r="B614" s="39" t="s">
        <v>739</v>
      </c>
      <c r="C614" s="38">
        <v>5.86</v>
      </c>
      <c r="D614" s="109" t="s">
        <v>1072</v>
      </c>
    </row>
    <row r="615" spans="1:4" ht="15.75" outlineLevel="1">
      <c r="A615" s="38" t="s">
        <v>994</v>
      </c>
      <c r="B615" s="39" t="s">
        <v>1126</v>
      </c>
      <c r="C615" s="38">
        <v>5.88</v>
      </c>
      <c r="D615" s="109" t="s">
        <v>1072</v>
      </c>
    </row>
    <row r="616" spans="1:4" ht="15.75" outlineLevel="1">
      <c r="A616" s="38" t="s">
        <v>994</v>
      </c>
      <c r="B616" s="39" t="s">
        <v>745</v>
      </c>
      <c r="C616" s="38">
        <v>5.87</v>
      </c>
      <c r="D616" s="110"/>
    </row>
    <row r="617" spans="1:4" ht="15.75" outlineLevel="1">
      <c r="A617" s="38" t="s">
        <v>994</v>
      </c>
      <c r="B617" s="39" t="s">
        <v>105</v>
      </c>
      <c r="C617" s="38">
        <v>5.109</v>
      </c>
      <c r="D617" s="110"/>
    </row>
    <row r="618" spans="1:4" ht="15.75" outlineLevel="1">
      <c r="A618" s="38" t="s">
        <v>994</v>
      </c>
      <c r="B618" s="39" t="s">
        <v>118</v>
      </c>
      <c r="C618" s="41">
        <v>5.1100000000000003</v>
      </c>
      <c r="D618" s="109" t="s">
        <v>1072</v>
      </c>
    </row>
    <row r="619" spans="1:4" ht="15.75" outlineLevel="1">
      <c r="A619" s="38" t="s">
        <v>994</v>
      </c>
      <c r="B619" s="39" t="s">
        <v>106</v>
      </c>
      <c r="C619" s="38">
        <v>5.1109999999999998</v>
      </c>
      <c r="D619" s="110"/>
    </row>
    <row r="620" spans="1:4" ht="15.75" outlineLevel="1">
      <c r="A620" s="38" t="s">
        <v>994</v>
      </c>
      <c r="B620" s="39" t="s">
        <v>89</v>
      </c>
      <c r="C620" s="38">
        <v>5.1120000000000001</v>
      </c>
      <c r="D620" s="110"/>
    </row>
    <row r="621" spans="1:4" ht="15.75" outlineLevel="1">
      <c r="A621" s="38" t="s">
        <v>994</v>
      </c>
      <c r="B621" s="39" t="s">
        <v>1088</v>
      </c>
      <c r="C621" s="38">
        <v>5.1130000000000004</v>
      </c>
      <c r="D621" s="110"/>
    </row>
    <row r="622" spans="1:4" ht="15.75" outlineLevel="1">
      <c r="A622" s="38" t="s">
        <v>994</v>
      </c>
      <c r="B622" s="39" t="s">
        <v>1127</v>
      </c>
      <c r="C622" s="38">
        <v>5.99</v>
      </c>
      <c r="D622" s="109" t="s">
        <v>1072</v>
      </c>
    </row>
    <row r="623" spans="1:4" ht="15.75" outlineLevel="1">
      <c r="A623" s="38" t="s">
        <v>994</v>
      </c>
      <c r="B623" s="39" t="s">
        <v>1128</v>
      </c>
      <c r="C623" s="38">
        <v>5.58</v>
      </c>
      <c r="D623" s="109"/>
    </row>
    <row r="624" spans="1:4" ht="15.75" outlineLevel="1">
      <c r="A624" s="38" t="s">
        <v>994</v>
      </c>
      <c r="B624" s="39" t="s">
        <v>18</v>
      </c>
      <c r="C624" s="38">
        <v>5.54</v>
      </c>
      <c r="D624" s="110"/>
    </row>
    <row r="625" spans="1:4" ht="15.75" outlineLevel="1">
      <c r="A625" s="38" t="s">
        <v>994</v>
      </c>
      <c r="B625" s="39" t="s">
        <v>1129</v>
      </c>
      <c r="C625" s="38">
        <v>5.56</v>
      </c>
      <c r="D625" s="110"/>
    </row>
    <row r="626" spans="1:4" ht="15.75" outlineLevel="1">
      <c r="A626" s="38" t="s">
        <v>994</v>
      </c>
      <c r="B626" s="39" t="s">
        <v>20</v>
      </c>
      <c r="C626" s="38">
        <v>5.63</v>
      </c>
      <c r="D626" s="110"/>
    </row>
    <row r="627" spans="1:4" ht="15.75" outlineLevel="1">
      <c r="A627" s="38" t="s">
        <v>994</v>
      </c>
      <c r="B627" s="39" t="s">
        <v>119</v>
      </c>
      <c r="C627" s="38">
        <v>5.64</v>
      </c>
      <c r="D627" s="110"/>
    </row>
    <row r="628" spans="1:4" ht="15.75" outlineLevel="1">
      <c r="A628" s="38" t="s">
        <v>994</v>
      </c>
      <c r="B628" s="39" t="s">
        <v>21</v>
      </c>
      <c r="C628" s="38">
        <v>5.65</v>
      </c>
      <c r="D628" s="110"/>
    </row>
    <row r="629" spans="1:4" ht="15.75" outlineLevel="1">
      <c r="A629" s="38" t="s">
        <v>994</v>
      </c>
      <c r="B629" s="39" t="s">
        <v>120</v>
      </c>
      <c r="C629" s="38">
        <v>5.66</v>
      </c>
      <c r="D629" s="110"/>
    </row>
    <row r="630" spans="1:4" ht="15.75" outlineLevel="1">
      <c r="A630" s="38" t="s">
        <v>994</v>
      </c>
      <c r="B630" s="39" t="s">
        <v>788</v>
      </c>
      <c r="C630" s="38">
        <v>5.89</v>
      </c>
      <c r="D630" s="109" t="s">
        <v>1072</v>
      </c>
    </row>
    <row r="631" spans="1:4" ht="15.75" outlineLevel="1">
      <c r="A631" s="38" t="s">
        <v>994</v>
      </c>
      <c r="B631" s="39" t="s">
        <v>22</v>
      </c>
      <c r="C631" s="38">
        <v>5.68</v>
      </c>
      <c r="D631" s="110"/>
    </row>
    <row r="632" spans="1:4" ht="15.75" outlineLevel="1">
      <c r="A632" s="38" t="s">
        <v>994</v>
      </c>
      <c r="B632" s="39" t="s">
        <v>24</v>
      </c>
      <c r="C632" s="38">
        <v>5.47</v>
      </c>
      <c r="D632" s="110"/>
    </row>
    <row r="633" spans="1:4" ht="15.75" outlineLevel="1">
      <c r="A633" s="38" t="s">
        <v>994</v>
      </c>
      <c r="B633" s="39" t="s">
        <v>25</v>
      </c>
      <c r="C633" s="38">
        <v>5.48</v>
      </c>
      <c r="D633" s="110"/>
    </row>
    <row r="634" spans="1:4" ht="15.75">
      <c r="A634" s="44" t="s">
        <v>994</v>
      </c>
      <c r="B634" s="39"/>
      <c r="C634" s="38"/>
      <c r="D634" s="110"/>
    </row>
    <row r="635" spans="1:4" ht="15.75" outlineLevel="1">
      <c r="A635" s="38" t="s">
        <v>1013</v>
      </c>
      <c r="B635" s="39" t="s">
        <v>0</v>
      </c>
      <c r="C635" s="38">
        <v>5.0999999999999996</v>
      </c>
      <c r="D635" s="110"/>
    </row>
    <row r="636" spans="1:4" ht="15.75" outlineLevel="1">
      <c r="A636" s="38" t="s">
        <v>1013</v>
      </c>
      <c r="B636" s="39" t="s">
        <v>1</v>
      </c>
      <c r="C636" s="38">
        <v>5.2</v>
      </c>
      <c r="D636" s="110"/>
    </row>
    <row r="637" spans="1:4" ht="15.75" outlineLevel="1">
      <c r="A637" s="38" t="s">
        <v>1013</v>
      </c>
      <c r="B637" s="39" t="s">
        <v>2</v>
      </c>
      <c r="C637" s="38">
        <v>5.3</v>
      </c>
      <c r="D637" s="110"/>
    </row>
    <row r="638" spans="1:4" ht="15.75" outlineLevel="1">
      <c r="A638" s="38" t="s">
        <v>1013</v>
      </c>
      <c r="B638" s="39" t="s">
        <v>101</v>
      </c>
      <c r="C638" s="38">
        <v>5.6</v>
      </c>
      <c r="D638" s="110"/>
    </row>
    <row r="639" spans="1:4" ht="15.75" outlineLevel="1">
      <c r="A639" s="38" t="s">
        <v>1013</v>
      </c>
      <c r="B639" s="39" t="s">
        <v>1074</v>
      </c>
      <c r="C639" s="40">
        <v>5.0999999999999996</v>
      </c>
      <c r="D639" s="110"/>
    </row>
    <row r="640" spans="1:4" ht="15.75" outlineLevel="1">
      <c r="A640" s="38" t="s">
        <v>1013</v>
      </c>
      <c r="B640" s="39" t="s">
        <v>1073</v>
      </c>
      <c r="C640" s="38">
        <v>5.14</v>
      </c>
      <c r="D640" s="110"/>
    </row>
    <row r="641" spans="1:4" ht="15.75" outlineLevel="1">
      <c r="A641" s="38" t="s">
        <v>1013</v>
      </c>
      <c r="B641" s="39" t="s">
        <v>4</v>
      </c>
      <c r="C641" s="38">
        <v>5.19</v>
      </c>
      <c r="D641" s="110"/>
    </row>
    <row r="642" spans="1:4" ht="15.75" outlineLevel="1">
      <c r="A642" s="38" t="s">
        <v>1013</v>
      </c>
      <c r="B642" s="39" t="s">
        <v>103</v>
      </c>
      <c r="C642" s="38">
        <v>5.24</v>
      </c>
      <c r="D642" s="110"/>
    </row>
    <row r="643" spans="1:4" ht="15.75" outlineLevel="1">
      <c r="A643" s="38" t="s">
        <v>1013</v>
      </c>
      <c r="B643" s="39" t="s">
        <v>5</v>
      </c>
      <c r="C643" s="38">
        <v>5.26</v>
      </c>
      <c r="D643" s="110"/>
    </row>
    <row r="644" spans="1:4" ht="15.75" outlineLevel="1">
      <c r="A644" s="38" t="s">
        <v>1013</v>
      </c>
      <c r="B644" s="39" t="s">
        <v>6</v>
      </c>
      <c r="C644" s="38">
        <v>5.27</v>
      </c>
      <c r="D644" s="110"/>
    </row>
    <row r="645" spans="1:4" ht="15.75" outlineLevel="1">
      <c r="A645" s="38" t="s">
        <v>1013</v>
      </c>
      <c r="B645" s="39" t="s">
        <v>7</v>
      </c>
      <c r="C645" s="38">
        <v>5.28</v>
      </c>
      <c r="D645" s="110"/>
    </row>
    <row r="646" spans="1:4" ht="15.75" outlineLevel="1">
      <c r="A646" s="38" t="s">
        <v>1013</v>
      </c>
      <c r="B646" s="39" t="s">
        <v>80</v>
      </c>
      <c r="C646" s="38">
        <v>5.36</v>
      </c>
      <c r="D646" s="110"/>
    </row>
    <row r="647" spans="1:4" ht="15.75" outlineLevel="1">
      <c r="A647" s="38" t="s">
        <v>1013</v>
      </c>
      <c r="B647" s="39" t="s">
        <v>127</v>
      </c>
      <c r="C647" s="38">
        <v>5.33</v>
      </c>
      <c r="D647" s="110"/>
    </row>
    <row r="648" spans="1:4" ht="15.75" outlineLevel="1">
      <c r="A648" s="38" t="s">
        <v>1013</v>
      </c>
      <c r="B648" s="39" t="s">
        <v>112</v>
      </c>
      <c r="C648" s="38">
        <v>5.37</v>
      </c>
      <c r="D648" s="110"/>
    </row>
    <row r="649" spans="1:4" ht="15.75" outlineLevel="1">
      <c r="A649" s="38" t="s">
        <v>1013</v>
      </c>
      <c r="B649" s="39" t="s">
        <v>9</v>
      </c>
      <c r="C649" s="38">
        <v>5.49</v>
      </c>
      <c r="D649" s="110"/>
    </row>
    <row r="650" spans="1:4" ht="15.75" outlineLevel="1">
      <c r="A650" s="38" t="s">
        <v>1013</v>
      </c>
      <c r="B650" s="39" t="s">
        <v>10</v>
      </c>
      <c r="C650" s="38">
        <v>5.51</v>
      </c>
      <c r="D650" s="110"/>
    </row>
    <row r="651" spans="1:4" ht="15.75" outlineLevel="1">
      <c r="A651" s="38" t="s">
        <v>1013</v>
      </c>
      <c r="B651" s="39" t="s">
        <v>1075</v>
      </c>
      <c r="C651" s="38">
        <v>5.52</v>
      </c>
      <c r="D651" s="110"/>
    </row>
    <row r="652" spans="1:4" ht="15.75" outlineLevel="1">
      <c r="A652" s="38" t="s">
        <v>1013</v>
      </c>
      <c r="B652" s="39" t="s">
        <v>11</v>
      </c>
      <c r="C652" s="38">
        <v>5.53</v>
      </c>
      <c r="D652" s="110"/>
    </row>
    <row r="653" spans="1:4" ht="15.75" outlineLevel="1">
      <c r="A653" s="38" t="s">
        <v>1013</v>
      </c>
      <c r="B653" s="39" t="s">
        <v>12</v>
      </c>
      <c r="C653" s="38">
        <v>5.69</v>
      </c>
      <c r="D653" s="110"/>
    </row>
    <row r="654" spans="1:4" ht="15.75" outlineLevel="1">
      <c r="A654" s="38" t="s">
        <v>1013</v>
      </c>
      <c r="B654" s="39" t="s">
        <v>14</v>
      </c>
      <c r="C654" s="40">
        <v>5.7</v>
      </c>
      <c r="D654" s="110"/>
    </row>
    <row r="655" spans="1:4" ht="15.75" outlineLevel="1">
      <c r="A655" s="38" t="s">
        <v>1013</v>
      </c>
      <c r="B655" s="39" t="s">
        <v>15</v>
      </c>
      <c r="C655" s="38">
        <v>5.74</v>
      </c>
      <c r="D655" s="110"/>
    </row>
    <row r="656" spans="1:4" ht="15.75" outlineLevel="1">
      <c r="A656" s="38" t="s">
        <v>1013</v>
      </c>
      <c r="B656" s="39" t="s">
        <v>105</v>
      </c>
      <c r="C656" s="38">
        <v>5.109</v>
      </c>
      <c r="D656" s="110"/>
    </row>
    <row r="657" spans="1:4" ht="15.75" outlineLevel="1">
      <c r="A657" s="38" t="s">
        <v>1013</v>
      </c>
      <c r="B657" s="39" t="s">
        <v>106</v>
      </c>
      <c r="C657" s="38">
        <v>5.1109999999999998</v>
      </c>
      <c r="D657" s="110"/>
    </row>
    <row r="658" spans="1:4" ht="15.75" outlineLevel="1">
      <c r="A658" s="38" t="s">
        <v>1013</v>
      </c>
      <c r="B658" s="39" t="s">
        <v>89</v>
      </c>
      <c r="C658" s="38">
        <v>5.1120000000000001</v>
      </c>
      <c r="D658" s="110"/>
    </row>
    <row r="659" spans="1:4" ht="15.75" outlineLevel="1">
      <c r="A659" s="38" t="s">
        <v>1013</v>
      </c>
      <c r="B659" s="39" t="s">
        <v>17</v>
      </c>
      <c r="C659" s="38">
        <v>5.58</v>
      </c>
      <c r="D659" s="110"/>
    </row>
    <row r="660" spans="1:4" ht="15.75" outlineLevel="1">
      <c r="A660" s="38" t="s">
        <v>1013</v>
      </c>
      <c r="B660" s="39" t="s">
        <v>18</v>
      </c>
      <c r="C660" s="38">
        <v>5.54</v>
      </c>
      <c r="D660" s="110"/>
    </row>
    <row r="661" spans="1:4" ht="15.75" outlineLevel="1">
      <c r="A661" s="38" t="s">
        <v>1013</v>
      </c>
      <c r="B661" s="39" t="s">
        <v>19</v>
      </c>
      <c r="C661" s="38">
        <v>5.55</v>
      </c>
      <c r="D661" s="110"/>
    </row>
    <row r="662" spans="1:4" ht="15.75" outlineLevel="1">
      <c r="A662" s="38" t="s">
        <v>1013</v>
      </c>
      <c r="B662" s="39" t="s">
        <v>20</v>
      </c>
      <c r="C662" s="38">
        <v>5.63</v>
      </c>
      <c r="D662" s="110"/>
    </row>
    <row r="663" spans="1:4" ht="15.75" outlineLevel="1">
      <c r="A663" s="38" t="s">
        <v>1013</v>
      </c>
      <c r="B663" s="39" t="s">
        <v>24</v>
      </c>
      <c r="C663" s="38">
        <v>5.47</v>
      </c>
      <c r="D663" s="110"/>
    </row>
    <row r="664" spans="1:4" ht="15.75" outlineLevel="1">
      <c r="A664" s="38" t="s">
        <v>1013</v>
      </c>
      <c r="B664" s="39" t="s">
        <v>25</v>
      </c>
      <c r="C664" s="38">
        <v>5.48</v>
      </c>
      <c r="D664" s="110"/>
    </row>
    <row r="665" spans="1:4" ht="15.75">
      <c r="A665" s="44" t="s">
        <v>1013</v>
      </c>
      <c r="B665" s="39"/>
      <c r="C665" s="38"/>
      <c r="D665" s="110"/>
    </row>
    <row r="666" spans="1:4" ht="15.75" outlineLevel="1">
      <c r="A666" s="38" t="s">
        <v>1018</v>
      </c>
      <c r="B666" s="39" t="s">
        <v>0</v>
      </c>
      <c r="C666" s="38">
        <v>5.0999999999999996</v>
      </c>
      <c r="D666" s="110"/>
    </row>
    <row r="667" spans="1:4" ht="15.75" outlineLevel="1">
      <c r="A667" s="38" t="s">
        <v>1018</v>
      </c>
      <c r="B667" s="39" t="s">
        <v>1</v>
      </c>
      <c r="C667" s="38">
        <v>5.2</v>
      </c>
      <c r="D667" s="110"/>
    </row>
    <row r="668" spans="1:4" ht="15.75" outlineLevel="1">
      <c r="A668" s="38" t="s">
        <v>1018</v>
      </c>
      <c r="B668" s="39" t="s">
        <v>121</v>
      </c>
      <c r="C668" s="38">
        <v>5.4</v>
      </c>
      <c r="D668" s="110"/>
    </row>
    <row r="669" spans="1:4" ht="15.75" outlineLevel="1">
      <c r="A669" s="38" t="s">
        <v>1018</v>
      </c>
      <c r="B669" s="39" t="s">
        <v>122</v>
      </c>
      <c r="C669" s="38">
        <v>5.7</v>
      </c>
      <c r="D669" s="110"/>
    </row>
    <row r="670" spans="1:4" ht="15.75" outlineLevel="1">
      <c r="A670" s="38" t="s">
        <v>1018</v>
      </c>
      <c r="B670" s="39" t="s">
        <v>123</v>
      </c>
      <c r="C670" s="38">
        <v>5.1100000000000003</v>
      </c>
      <c r="D670" s="110"/>
    </row>
    <row r="671" spans="1:4" ht="15.75" outlineLevel="1">
      <c r="A671" s="38" t="s">
        <v>1018</v>
      </c>
      <c r="B671" s="39" t="s">
        <v>5</v>
      </c>
      <c r="C671" s="38">
        <v>5.26</v>
      </c>
      <c r="D671" s="110"/>
    </row>
    <row r="672" spans="1:4" ht="15.75" outlineLevel="1">
      <c r="A672" s="38" t="s">
        <v>1018</v>
      </c>
      <c r="B672" s="39" t="s">
        <v>124</v>
      </c>
      <c r="C672" s="38">
        <v>5.43</v>
      </c>
      <c r="D672" s="110"/>
    </row>
    <row r="673" spans="1:4" ht="15.75" outlineLevel="1">
      <c r="A673" s="38" t="s">
        <v>1018</v>
      </c>
      <c r="B673" s="39" t="s">
        <v>6</v>
      </c>
      <c r="C673" s="38">
        <v>5.27</v>
      </c>
      <c r="D673" s="110"/>
    </row>
    <row r="674" spans="1:4" ht="15.75" outlineLevel="1">
      <c r="A674" s="38" t="s">
        <v>1018</v>
      </c>
      <c r="B674" s="39" t="s">
        <v>7</v>
      </c>
      <c r="C674" s="38">
        <v>5.28</v>
      </c>
      <c r="D674" s="110"/>
    </row>
    <row r="675" spans="1:4" ht="15.75" outlineLevel="1">
      <c r="A675" s="38" t="s">
        <v>1018</v>
      </c>
      <c r="B675" s="39" t="s">
        <v>80</v>
      </c>
      <c r="C675" s="38">
        <v>5.36</v>
      </c>
      <c r="D675" s="110"/>
    </row>
    <row r="676" spans="1:4" ht="15.75" outlineLevel="1">
      <c r="A676" s="38" t="s">
        <v>1018</v>
      </c>
      <c r="B676" s="39" t="s">
        <v>125</v>
      </c>
      <c r="C676" s="40">
        <v>5.5</v>
      </c>
      <c r="D676" s="110"/>
    </row>
    <row r="677" spans="1:4" ht="15.75" outlineLevel="1">
      <c r="A677" s="38" t="s">
        <v>1018</v>
      </c>
      <c r="B677" s="39" t="s">
        <v>10</v>
      </c>
      <c r="C677" s="38">
        <v>5.51</v>
      </c>
      <c r="D677" s="110"/>
    </row>
    <row r="678" spans="1:4" ht="15.75" outlineLevel="1">
      <c r="A678" s="38" t="s">
        <v>1018</v>
      </c>
      <c r="B678" s="39" t="s">
        <v>11</v>
      </c>
      <c r="C678" s="38">
        <v>5.53</v>
      </c>
      <c r="D678" s="110"/>
    </row>
    <row r="679" spans="1:4" ht="15.75" outlineLevel="1">
      <c r="A679" s="38" t="s">
        <v>1018</v>
      </c>
      <c r="B679" s="39" t="s">
        <v>12</v>
      </c>
      <c r="C679" s="38">
        <v>5.69</v>
      </c>
      <c r="D679" s="110"/>
    </row>
    <row r="680" spans="1:4" ht="15.75" outlineLevel="1">
      <c r="A680" s="38" t="s">
        <v>1018</v>
      </c>
      <c r="B680" s="39" t="s">
        <v>14</v>
      </c>
      <c r="C680" s="40">
        <v>5.7</v>
      </c>
      <c r="D680" s="109" t="s">
        <v>1072</v>
      </c>
    </row>
    <row r="681" spans="1:4" ht="15.75" outlineLevel="1">
      <c r="A681" s="38" t="s">
        <v>1018</v>
      </c>
      <c r="B681" s="39" t="s">
        <v>15</v>
      </c>
      <c r="C681" s="38">
        <v>5.74</v>
      </c>
      <c r="D681" s="110"/>
    </row>
    <row r="682" spans="1:4" ht="15.75" outlineLevel="1">
      <c r="A682" s="38" t="s">
        <v>1018</v>
      </c>
      <c r="B682" s="39" t="s">
        <v>90</v>
      </c>
      <c r="C682" s="38">
        <v>5.59</v>
      </c>
      <c r="D682" s="110"/>
    </row>
    <row r="683" spans="1:4" ht="15.75" outlineLevel="1">
      <c r="A683" s="38" t="s">
        <v>1018</v>
      </c>
      <c r="B683" s="39" t="s">
        <v>18</v>
      </c>
      <c r="C683" s="38">
        <v>5.54</v>
      </c>
      <c r="D683" s="110"/>
    </row>
    <row r="684" spans="1:4" ht="15.75" outlineLevel="1">
      <c r="A684" s="38" t="s">
        <v>1018</v>
      </c>
      <c r="B684" s="39" t="s">
        <v>126</v>
      </c>
      <c r="C684" s="38">
        <v>5.57</v>
      </c>
      <c r="D684" s="110"/>
    </row>
    <row r="685" spans="1:4" ht="15.75" outlineLevel="1">
      <c r="A685" s="38" t="s">
        <v>1018</v>
      </c>
      <c r="B685" s="39" t="s">
        <v>20</v>
      </c>
      <c r="C685" s="38">
        <v>5.63</v>
      </c>
      <c r="D685" s="110"/>
    </row>
    <row r="686" spans="1:4" ht="15.75" outlineLevel="1">
      <c r="A686" s="38" t="s">
        <v>1018</v>
      </c>
      <c r="B686" s="39" t="s">
        <v>24</v>
      </c>
      <c r="C686" s="38">
        <v>5.47</v>
      </c>
      <c r="D686" s="110"/>
    </row>
    <row r="687" spans="1:4" ht="15.75" outlineLevel="1">
      <c r="A687" s="38" t="s">
        <v>1018</v>
      </c>
      <c r="B687" s="39" t="s">
        <v>25</v>
      </c>
      <c r="C687" s="38">
        <v>5.48</v>
      </c>
      <c r="D687" s="110"/>
    </row>
    <row r="688" spans="1:4" ht="15.75">
      <c r="A688" s="44" t="s">
        <v>1018</v>
      </c>
      <c r="B688" s="39"/>
      <c r="C688" s="38"/>
      <c r="D688" s="110"/>
    </row>
    <row r="689" spans="1:4" ht="15.75" outlineLevel="1">
      <c r="A689" s="38" t="s">
        <v>1021</v>
      </c>
      <c r="B689" s="39" t="s">
        <v>0</v>
      </c>
      <c r="C689" s="38">
        <v>5.0999999999999996</v>
      </c>
      <c r="D689" s="110"/>
    </row>
    <row r="690" spans="1:4" ht="15.75" outlineLevel="1">
      <c r="A690" s="38" t="s">
        <v>1021</v>
      </c>
      <c r="B690" s="39" t="s">
        <v>1</v>
      </c>
      <c r="C690" s="38">
        <v>5.2</v>
      </c>
      <c r="D690" s="110"/>
    </row>
    <row r="691" spans="1:4" ht="15.75" outlineLevel="1">
      <c r="A691" s="38" t="s">
        <v>1021</v>
      </c>
      <c r="B691" s="39" t="s">
        <v>110</v>
      </c>
      <c r="C691" s="38">
        <v>5.17</v>
      </c>
      <c r="D691" s="110"/>
    </row>
    <row r="692" spans="1:4" ht="15.75" outlineLevel="1">
      <c r="A692" s="38" t="s">
        <v>1021</v>
      </c>
      <c r="B692" s="39" t="s">
        <v>5</v>
      </c>
      <c r="C692" s="38">
        <v>5.26</v>
      </c>
      <c r="D692" s="110"/>
    </row>
    <row r="693" spans="1:4" ht="15.75" outlineLevel="1">
      <c r="A693" s="38" t="s">
        <v>1021</v>
      </c>
      <c r="B693" s="39" t="s">
        <v>111</v>
      </c>
      <c r="C693" s="38">
        <v>5.1029999999999998</v>
      </c>
      <c r="D693" s="110"/>
    </row>
    <row r="694" spans="1:4" ht="15.75" outlineLevel="1">
      <c r="A694" s="38" t="s">
        <v>1021</v>
      </c>
      <c r="B694" s="39" t="s">
        <v>80</v>
      </c>
      <c r="C694" s="38">
        <v>5.36</v>
      </c>
      <c r="D694" s="110"/>
    </row>
    <row r="695" spans="1:4" ht="15.75" outlineLevel="1">
      <c r="A695" s="38" t="s">
        <v>1021</v>
      </c>
      <c r="B695" s="39" t="s">
        <v>112</v>
      </c>
      <c r="C695" s="38">
        <v>5.37</v>
      </c>
      <c r="D695" s="110"/>
    </row>
    <row r="696" spans="1:4" ht="15.75" outlineLevel="1">
      <c r="A696" s="38" t="s">
        <v>1021</v>
      </c>
      <c r="B696" s="39" t="s">
        <v>113</v>
      </c>
      <c r="C696" s="38">
        <v>5.1040000000000001</v>
      </c>
      <c r="D696" s="110"/>
    </row>
    <row r="697" spans="1:4" ht="15.75" outlineLevel="1">
      <c r="A697" s="38" t="s">
        <v>1021</v>
      </c>
      <c r="B697" s="39" t="s">
        <v>114</v>
      </c>
      <c r="C697" s="38">
        <v>5.1050000000000004</v>
      </c>
      <c r="D697" s="110"/>
    </row>
    <row r="698" spans="1:4" ht="15.75" outlineLevel="1">
      <c r="A698" s="38" t="s">
        <v>1021</v>
      </c>
      <c r="B698" s="39" t="s">
        <v>115</v>
      </c>
      <c r="C698" s="38">
        <v>5.1059999999999999</v>
      </c>
      <c r="D698" s="110"/>
    </row>
    <row r="699" spans="1:4" ht="15.75" outlineLevel="1">
      <c r="A699" s="38" t="s">
        <v>1021</v>
      </c>
      <c r="B699" s="39" t="s">
        <v>116</v>
      </c>
      <c r="C699" s="38">
        <v>5.1070000000000002</v>
      </c>
      <c r="D699" s="110"/>
    </row>
    <row r="700" spans="1:4" ht="15.75" outlineLevel="1">
      <c r="A700" s="38" t="s">
        <v>1021</v>
      </c>
      <c r="B700" s="39" t="s">
        <v>839</v>
      </c>
      <c r="C700" s="38">
        <v>5.1079999999999997</v>
      </c>
      <c r="D700" s="109" t="s">
        <v>1072</v>
      </c>
    </row>
    <row r="701" spans="1:4" ht="15.75" outlineLevel="1">
      <c r="A701" s="38" t="s">
        <v>1021</v>
      </c>
      <c r="B701" s="39" t="s">
        <v>105</v>
      </c>
      <c r="C701" s="38">
        <v>5.109</v>
      </c>
      <c r="D701" s="110"/>
    </row>
    <row r="702" spans="1:4" ht="15.75" outlineLevel="1">
      <c r="A702" s="38" t="s">
        <v>1021</v>
      </c>
      <c r="B702" s="39" t="s">
        <v>118</v>
      </c>
      <c r="C702" s="41">
        <v>5.1100000000000003</v>
      </c>
      <c r="D702" s="109" t="s">
        <v>1072</v>
      </c>
    </row>
    <row r="703" spans="1:4" ht="15.75" outlineLevel="1">
      <c r="A703" s="38" t="s">
        <v>1021</v>
      </c>
      <c r="B703" s="39" t="s">
        <v>106</v>
      </c>
      <c r="C703" s="38">
        <v>5.1109999999999998</v>
      </c>
      <c r="D703" s="110"/>
    </row>
    <row r="704" spans="1:4" ht="15.75" outlineLevel="1">
      <c r="A704" s="38" t="s">
        <v>1021</v>
      </c>
      <c r="B704" s="39" t="s">
        <v>89</v>
      </c>
      <c r="C704" s="38">
        <v>5.1120000000000001</v>
      </c>
      <c r="D704" s="110"/>
    </row>
    <row r="705" spans="1:4" ht="15.75" outlineLevel="1">
      <c r="A705" s="38" t="s">
        <v>1021</v>
      </c>
      <c r="B705" s="39" t="s">
        <v>11</v>
      </c>
      <c r="C705" s="38">
        <v>5.53</v>
      </c>
      <c r="D705" s="110"/>
    </row>
    <row r="706" spans="1:4" ht="15.75" outlineLevel="1">
      <c r="A706" s="38" t="s">
        <v>1021</v>
      </c>
      <c r="B706" s="39" t="s">
        <v>119</v>
      </c>
      <c r="C706" s="38">
        <v>5.64</v>
      </c>
      <c r="D706" s="110"/>
    </row>
    <row r="707" spans="1:4" ht="15.75" outlineLevel="1">
      <c r="A707" s="38" t="s">
        <v>1021</v>
      </c>
      <c r="B707" s="39" t="s">
        <v>20</v>
      </c>
      <c r="C707" s="38">
        <v>5.63</v>
      </c>
      <c r="D707" s="110"/>
    </row>
    <row r="708" spans="1:4" ht="15.75" outlineLevel="1">
      <c r="A708" s="38" t="s">
        <v>1021</v>
      </c>
      <c r="B708" s="39" t="s">
        <v>21</v>
      </c>
      <c r="C708" s="38">
        <v>5.65</v>
      </c>
      <c r="D708" s="110"/>
    </row>
    <row r="709" spans="1:4" ht="15.75" outlineLevel="1">
      <c r="A709" s="38" t="s">
        <v>1021</v>
      </c>
      <c r="B709" s="39" t="s">
        <v>120</v>
      </c>
      <c r="C709" s="38">
        <v>5.66</v>
      </c>
      <c r="D709" s="110"/>
    </row>
    <row r="710" spans="1:4" ht="15.75" outlineLevel="1">
      <c r="A710" s="38" t="s">
        <v>1021</v>
      </c>
      <c r="B710" s="39" t="s">
        <v>22</v>
      </c>
      <c r="C710" s="38">
        <v>5.68</v>
      </c>
      <c r="D710" s="110"/>
    </row>
    <row r="711" spans="1:4" ht="15.75" outlineLevel="1">
      <c r="A711" s="38" t="s">
        <v>1021</v>
      </c>
      <c r="B711" s="39" t="s">
        <v>24</v>
      </c>
      <c r="C711" s="38">
        <v>5.47</v>
      </c>
      <c r="D711" s="110"/>
    </row>
    <row r="712" spans="1:4" ht="15.75" outlineLevel="1">
      <c r="A712" s="38" t="s">
        <v>1021</v>
      </c>
      <c r="B712" s="39" t="s">
        <v>25</v>
      </c>
      <c r="C712" s="38">
        <v>5.48</v>
      </c>
      <c r="D712" s="110"/>
    </row>
    <row r="713" spans="1:4" ht="15.75">
      <c r="A713" s="44" t="s">
        <v>1021</v>
      </c>
      <c r="B713" s="39"/>
      <c r="C713" s="38"/>
      <c r="D713" s="110"/>
    </row>
    <row r="714" spans="1:4" ht="15.75" outlineLevel="1">
      <c r="A714" s="38" t="s">
        <v>1130</v>
      </c>
      <c r="B714" s="39" t="s">
        <v>0</v>
      </c>
      <c r="C714" s="38">
        <v>5.0999999999999996</v>
      </c>
      <c r="D714" s="110"/>
    </row>
    <row r="715" spans="1:4" ht="15.75" outlineLevel="1">
      <c r="A715" s="38" t="s">
        <v>1130</v>
      </c>
      <c r="B715" s="39" t="s">
        <v>1</v>
      </c>
      <c r="C715" s="38">
        <v>5.2</v>
      </c>
      <c r="D715" s="110"/>
    </row>
    <row r="716" spans="1:4" ht="15.75" outlineLevel="1">
      <c r="A716" s="38" t="s">
        <v>1130</v>
      </c>
      <c r="B716" s="39" t="s">
        <v>2</v>
      </c>
      <c r="C716" s="38">
        <v>5.3</v>
      </c>
      <c r="D716" s="110"/>
    </row>
    <row r="717" spans="1:4" ht="15.75" outlineLevel="1">
      <c r="A717" s="38" t="s">
        <v>1130</v>
      </c>
      <c r="B717" s="39" t="s">
        <v>101</v>
      </c>
      <c r="C717" s="38">
        <v>5.6</v>
      </c>
      <c r="D717" s="110"/>
    </row>
    <row r="718" spans="1:4" ht="15.75" outlineLevel="1">
      <c r="A718" s="38" t="s">
        <v>1130</v>
      </c>
      <c r="B718" s="39" t="s">
        <v>1074</v>
      </c>
      <c r="C718" s="40">
        <v>5.0999999999999996</v>
      </c>
      <c r="D718" s="110"/>
    </row>
    <row r="719" spans="1:4" ht="15.75" outlineLevel="1">
      <c r="A719" s="38" t="s">
        <v>1130</v>
      </c>
      <c r="B719" s="39" t="s">
        <v>1073</v>
      </c>
      <c r="C719" s="38">
        <v>5.14</v>
      </c>
      <c r="D719" s="110"/>
    </row>
    <row r="720" spans="1:4" ht="15.75" outlineLevel="1">
      <c r="A720" s="38" t="s">
        <v>1130</v>
      </c>
      <c r="B720" s="39" t="s">
        <v>4</v>
      </c>
      <c r="C720" s="38">
        <v>5.19</v>
      </c>
      <c r="D720" s="110"/>
    </row>
    <row r="721" spans="1:4" ht="15.75" outlineLevel="1">
      <c r="A721" s="38" t="s">
        <v>1130</v>
      </c>
      <c r="B721" s="39" t="s">
        <v>103</v>
      </c>
      <c r="C721" s="38">
        <v>5.24</v>
      </c>
      <c r="D721" s="110"/>
    </row>
    <row r="722" spans="1:4" ht="15.75" outlineLevel="1">
      <c r="A722" s="38" t="s">
        <v>1130</v>
      </c>
      <c r="B722" s="39" t="s">
        <v>5</v>
      </c>
      <c r="C722" s="38">
        <v>5.26</v>
      </c>
      <c r="D722" s="110"/>
    </row>
    <row r="723" spans="1:4" ht="15.75" outlineLevel="1">
      <c r="A723" s="38" t="s">
        <v>1130</v>
      </c>
      <c r="B723" s="39" t="s">
        <v>6</v>
      </c>
      <c r="C723" s="38">
        <v>5.27</v>
      </c>
      <c r="D723" s="110"/>
    </row>
    <row r="724" spans="1:4" ht="15.75" outlineLevel="1">
      <c r="A724" s="38" t="s">
        <v>1130</v>
      </c>
      <c r="B724" s="39" t="s">
        <v>7</v>
      </c>
      <c r="C724" s="38">
        <v>5.28</v>
      </c>
      <c r="D724" s="110"/>
    </row>
    <row r="725" spans="1:4" ht="15.75" outlineLevel="1">
      <c r="A725" s="38" t="s">
        <v>1130</v>
      </c>
      <c r="B725" s="39" t="s">
        <v>104</v>
      </c>
      <c r="C725" s="38">
        <v>5.31</v>
      </c>
      <c r="D725" s="110"/>
    </row>
    <row r="726" spans="1:4" ht="15.75" outlineLevel="1">
      <c r="A726" s="38" t="s">
        <v>1130</v>
      </c>
      <c r="B726" s="39" t="s">
        <v>80</v>
      </c>
      <c r="C726" s="38">
        <v>5.36</v>
      </c>
      <c r="D726" s="110"/>
    </row>
    <row r="727" spans="1:4" ht="15.75" outlineLevel="1">
      <c r="A727" s="38" t="s">
        <v>1130</v>
      </c>
      <c r="B727" s="39" t="s">
        <v>11</v>
      </c>
      <c r="C727" s="38">
        <v>5.53</v>
      </c>
      <c r="D727" s="110"/>
    </row>
    <row r="728" spans="1:4" ht="15.75" outlineLevel="1">
      <c r="A728" s="38" t="s">
        <v>1130</v>
      </c>
      <c r="B728" s="39" t="s">
        <v>105</v>
      </c>
      <c r="C728" s="38">
        <v>5.109</v>
      </c>
      <c r="D728" s="110"/>
    </row>
    <row r="729" spans="1:4" ht="15.75" outlineLevel="1">
      <c r="A729" s="38" t="s">
        <v>1130</v>
      </c>
      <c r="B729" s="39" t="s">
        <v>106</v>
      </c>
      <c r="C729" s="38">
        <v>5.1109999999999998</v>
      </c>
      <c r="D729" s="110"/>
    </row>
    <row r="730" spans="1:4" ht="15.75" outlineLevel="1">
      <c r="A730" s="38" t="s">
        <v>1130</v>
      </c>
      <c r="B730" s="39" t="s">
        <v>89</v>
      </c>
      <c r="C730" s="38">
        <v>5.1120000000000001</v>
      </c>
      <c r="D730" s="110"/>
    </row>
    <row r="731" spans="1:4" ht="15.75" outlineLevel="1">
      <c r="A731" s="38" t="s">
        <v>1130</v>
      </c>
      <c r="B731" s="39" t="s">
        <v>1088</v>
      </c>
      <c r="C731" s="38">
        <v>5.1130000000000004</v>
      </c>
      <c r="D731" s="110"/>
    </row>
    <row r="732" spans="1:4" ht="15.75" outlineLevel="1">
      <c r="A732" s="38" t="s">
        <v>1130</v>
      </c>
      <c r="B732" s="39" t="s">
        <v>108</v>
      </c>
      <c r="C732" s="38">
        <v>5.117</v>
      </c>
      <c r="D732" s="110"/>
    </row>
    <row r="733" spans="1:4" ht="15.75" outlineLevel="1">
      <c r="A733" s="38" t="s">
        <v>1130</v>
      </c>
      <c r="B733" s="39" t="s">
        <v>109</v>
      </c>
      <c r="C733" s="38">
        <v>5.67</v>
      </c>
      <c r="D733" s="110"/>
    </row>
    <row r="734" spans="1:4" ht="15.75" outlineLevel="1">
      <c r="A734" s="38" t="s">
        <v>1130</v>
      </c>
      <c r="B734" s="39" t="s">
        <v>20</v>
      </c>
      <c r="C734" s="38">
        <v>5.63</v>
      </c>
      <c r="D734" s="110"/>
    </row>
    <row r="735" spans="1:4" ht="15.75" outlineLevel="1">
      <c r="A735" s="38" t="s">
        <v>1130</v>
      </c>
      <c r="B735" s="39" t="s">
        <v>24</v>
      </c>
      <c r="C735" s="38">
        <v>5.47</v>
      </c>
      <c r="D735" s="110"/>
    </row>
    <row r="736" spans="1:4" ht="15.75" outlineLevel="1">
      <c r="A736" s="38" t="s">
        <v>1130</v>
      </c>
      <c r="B736" s="39" t="s">
        <v>25</v>
      </c>
      <c r="C736" s="38">
        <v>5.48</v>
      </c>
      <c r="D736" s="110"/>
    </row>
    <row r="737" spans="1:4" ht="15.75">
      <c r="A737" s="44" t="s">
        <v>1131</v>
      </c>
      <c r="B737" s="39"/>
      <c r="C737" s="38"/>
      <c r="D737" s="110"/>
    </row>
    <row r="738" spans="1:4" ht="15.75" outlineLevel="1">
      <c r="A738" s="38" t="s">
        <v>1024</v>
      </c>
      <c r="B738" s="39" t="s">
        <v>0</v>
      </c>
      <c r="C738" s="38">
        <v>5.0999999999999996</v>
      </c>
      <c r="D738" s="110"/>
    </row>
    <row r="739" spans="1:4" ht="15.75" outlineLevel="1">
      <c r="A739" s="38" t="s">
        <v>1024</v>
      </c>
      <c r="B739" s="39" t="s">
        <v>1</v>
      </c>
      <c r="C739" s="38">
        <v>5.2</v>
      </c>
      <c r="D739" s="110"/>
    </row>
    <row r="740" spans="1:4" ht="15.75" outlineLevel="1">
      <c r="A740" s="38" t="s">
        <v>1024</v>
      </c>
      <c r="B740" s="39" t="s">
        <v>86</v>
      </c>
      <c r="C740" s="38">
        <v>5.18</v>
      </c>
      <c r="D740" s="110"/>
    </row>
    <row r="741" spans="1:4" ht="15.75" outlineLevel="1">
      <c r="A741" s="38" t="s">
        <v>1024</v>
      </c>
      <c r="B741" s="39" t="s">
        <v>87</v>
      </c>
      <c r="C741" s="38">
        <v>5.23</v>
      </c>
      <c r="D741" s="110"/>
    </row>
    <row r="742" spans="1:4" ht="15.75" outlineLevel="1">
      <c r="A742" s="38" t="s">
        <v>1024</v>
      </c>
      <c r="B742" s="39" t="s">
        <v>5</v>
      </c>
      <c r="C742" s="38">
        <v>5.26</v>
      </c>
      <c r="D742" s="110"/>
    </row>
    <row r="743" spans="1:4" ht="15.75" outlineLevel="1">
      <c r="A743" s="38" t="s">
        <v>1024</v>
      </c>
      <c r="B743" s="39" t="s">
        <v>6</v>
      </c>
      <c r="C743" s="38">
        <v>5.27</v>
      </c>
      <c r="D743" s="110"/>
    </row>
    <row r="744" spans="1:4" ht="15.75" outlineLevel="1">
      <c r="A744" s="38" t="s">
        <v>1024</v>
      </c>
      <c r="B744" s="39" t="s">
        <v>7</v>
      </c>
      <c r="C744" s="38">
        <v>5.28</v>
      </c>
      <c r="D744" s="110"/>
    </row>
    <row r="745" spans="1:4" ht="15.75" outlineLevel="1">
      <c r="A745" s="38" t="s">
        <v>1024</v>
      </c>
      <c r="B745" s="39" t="s">
        <v>80</v>
      </c>
      <c r="C745" s="38">
        <v>5.36</v>
      </c>
      <c r="D745" s="110"/>
    </row>
    <row r="746" spans="1:4" ht="15.75" outlineLevel="1">
      <c r="A746" s="38" t="s">
        <v>1024</v>
      </c>
      <c r="B746" s="39" t="s">
        <v>88</v>
      </c>
      <c r="C746" s="38">
        <v>5.44</v>
      </c>
      <c r="D746" s="110"/>
    </row>
    <row r="747" spans="1:4" ht="15.75" outlineLevel="1">
      <c r="A747" s="38" t="s">
        <v>1024</v>
      </c>
      <c r="B747" s="39" t="s">
        <v>11</v>
      </c>
      <c r="C747" s="38">
        <v>5.53</v>
      </c>
      <c r="D747" s="110"/>
    </row>
    <row r="748" spans="1:4" ht="15.75" outlineLevel="1">
      <c r="A748" s="38" t="s">
        <v>1024</v>
      </c>
      <c r="B748" s="39" t="s">
        <v>89</v>
      </c>
      <c r="C748" s="38">
        <v>5.1120000000000001</v>
      </c>
      <c r="D748" s="110"/>
    </row>
    <row r="749" spans="1:4" ht="15.75" outlineLevel="1">
      <c r="A749" s="38" t="s">
        <v>1024</v>
      </c>
      <c r="B749" s="39" t="s">
        <v>90</v>
      </c>
      <c r="C749" s="38">
        <v>5.59</v>
      </c>
      <c r="D749" s="110"/>
    </row>
    <row r="750" spans="1:4" ht="15.75" outlineLevel="1">
      <c r="A750" s="38" t="s">
        <v>1024</v>
      </c>
      <c r="B750" s="39" t="s">
        <v>18</v>
      </c>
      <c r="C750" s="38">
        <v>5.54</v>
      </c>
      <c r="D750" s="110"/>
    </row>
    <row r="751" spans="1:4" ht="15.75" outlineLevel="1">
      <c r="A751" s="38" t="s">
        <v>1024</v>
      </c>
      <c r="B751" s="39" t="s">
        <v>20</v>
      </c>
      <c r="C751" s="38">
        <v>5.63</v>
      </c>
      <c r="D751" s="110"/>
    </row>
    <row r="752" spans="1:4" ht="15.75" outlineLevel="1">
      <c r="A752" s="38" t="s">
        <v>1024</v>
      </c>
      <c r="B752" s="39" t="s">
        <v>21</v>
      </c>
      <c r="C752" s="38">
        <v>5.65</v>
      </c>
      <c r="D752" s="110"/>
    </row>
    <row r="753" spans="1:4" ht="15.75" outlineLevel="1">
      <c r="A753" s="38" t="s">
        <v>1024</v>
      </c>
      <c r="B753" s="39" t="s">
        <v>22</v>
      </c>
      <c r="C753" s="38">
        <v>5.68</v>
      </c>
      <c r="D753" s="110"/>
    </row>
    <row r="754" spans="1:4" ht="15.75" outlineLevel="1">
      <c r="A754" s="38" t="s">
        <v>1024</v>
      </c>
      <c r="B754" s="39" t="s">
        <v>24</v>
      </c>
      <c r="C754" s="38">
        <v>5.47</v>
      </c>
      <c r="D754" s="110"/>
    </row>
    <row r="755" spans="1:4" ht="15.75" outlineLevel="1">
      <c r="A755" s="38" t="s">
        <v>1024</v>
      </c>
      <c r="B755" s="39" t="s">
        <v>25</v>
      </c>
      <c r="C755" s="38">
        <v>5.48</v>
      </c>
      <c r="D755" s="110"/>
    </row>
    <row r="756" spans="1:4" ht="15.75">
      <c r="A756" s="44" t="s">
        <v>1024</v>
      </c>
      <c r="B756" s="39"/>
      <c r="C756" s="38"/>
      <c r="D756" s="110"/>
    </row>
    <row r="757" spans="1:4" ht="15.75" outlineLevel="1">
      <c r="A757" s="38" t="s">
        <v>1132</v>
      </c>
      <c r="B757" s="39" t="s">
        <v>0</v>
      </c>
      <c r="C757" s="38">
        <v>5.0999999999999996</v>
      </c>
      <c r="D757" s="110"/>
    </row>
    <row r="758" spans="1:4" ht="15.75" outlineLevel="1">
      <c r="A758" s="38" t="s">
        <v>1132</v>
      </c>
      <c r="B758" s="39" t="s">
        <v>1</v>
      </c>
      <c r="C758" s="38">
        <v>5.2</v>
      </c>
      <c r="D758" s="110"/>
    </row>
    <row r="759" spans="1:4" ht="15.75" outlineLevel="1">
      <c r="A759" s="38" t="s">
        <v>1132</v>
      </c>
      <c r="B759" s="39" t="s">
        <v>75</v>
      </c>
      <c r="C759" s="38">
        <v>5.9</v>
      </c>
      <c r="D759" s="109" t="s">
        <v>1072</v>
      </c>
    </row>
    <row r="760" spans="1:4" ht="15.75" outlineLevel="1">
      <c r="A760" s="38" t="s">
        <v>1132</v>
      </c>
      <c r="B760" s="39" t="s">
        <v>76</v>
      </c>
      <c r="C760" s="38">
        <v>5.13</v>
      </c>
      <c r="D760" s="110"/>
    </row>
    <row r="761" spans="1:4" ht="15.75" outlineLevel="1">
      <c r="A761" s="38" t="s">
        <v>1132</v>
      </c>
      <c r="B761" s="39" t="s">
        <v>77</v>
      </c>
      <c r="C761" s="38">
        <v>5.16</v>
      </c>
      <c r="D761" s="109" t="s">
        <v>1072</v>
      </c>
    </row>
    <row r="762" spans="1:4" ht="15.75" outlineLevel="1">
      <c r="A762" s="38" t="s">
        <v>1132</v>
      </c>
      <c r="B762" s="39" t="s">
        <v>78</v>
      </c>
      <c r="C762" s="38">
        <v>5.22</v>
      </c>
      <c r="D762" s="109"/>
    </row>
    <row r="763" spans="1:4" ht="15.75" outlineLevel="1">
      <c r="A763" s="38" t="s">
        <v>1132</v>
      </c>
      <c r="B763" s="39" t="s">
        <v>79</v>
      </c>
      <c r="C763" s="38">
        <v>5.42</v>
      </c>
      <c r="D763" s="110"/>
    </row>
    <row r="764" spans="1:4" ht="15.75" outlineLevel="1">
      <c r="A764" s="38" t="s">
        <v>1132</v>
      </c>
      <c r="B764" s="39" t="s">
        <v>6</v>
      </c>
      <c r="C764" s="38">
        <v>5.27</v>
      </c>
      <c r="D764" s="110"/>
    </row>
    <row r="765" spans="1:4" ht="15.75" outlineLevel="1">
      <c r="A765" s="38" t="s">
        <v>1132</v>
      </c>
      <c r="B765" s="39" t="s">
        <v>7</v>
      </c>
      <c r="C765" s="38">
        <v>5.28</v>
      </c>
      <c r="D765" s="109" t="s">
        <v>1072</v>
      </c>
    </row>
    <row r="766" spans="1:4" ht="15.75" outlineLevel="1">
      <c r="A766" s="38" t="s">
        <v>1132</v>
      </c>
      <c r="B766" s="39" t="s">
        <v>80</v>
      </c>
      <c r="C766" s="38">
        <v>5.36</v>
      </c>
      <c r="D766" s="110"/>
    </row>
    <row r="767" spans="1:4" ht="15.75" outlineLevel="1">
      <c r="A767" s="38" t="s">
        <v>1132</v>
      </c>
      <c r="B767" s="39" t="s">
        <v>9</v>
      </c>
      <c r="C767" s="38">
        <v>5.49</v>
      </c>
      <c r="D767" s="110"/>
    </row>
    <row r="768" spans="1:4" ht="15.75" outlineLevel="1">
      <c r="A768" s="38" t="s">
        <v>1132</v>
      </c>
      <c r="B768" s="39" t="s">
        <v>10</v>
      </c>
      <c r="C768" s="38">
        <v>5.51</v>
      </c>
      <c r="D768" s="110"/>
    </row>
    <row r="769" spans="1:4" ht="15.75" outlineLevel="1">
      <c r="A769" s="38" t="s">
        <v>1132</v>
      </c>
      <c r="B769" s="39" t="s">
        <v>1121</v>
      </c>
      <c r="C769" s="38">
        <v>5.52</v>
      </c>
      <c r="D769" s="110"/>
    </row>
    <row r="770" spans="1:4" ht="15.75" outlineLevel="1">
      <c r="A770" s="38" t="s">
        <v>1132</v>
      </c>
      <c r="B770" s="39" t="s">
        <v>11</v>
      </c>
      <c r="C770" s="38">
        <v>5.53</v>
      </c>
      <c r="D770" s="110"/>
    </row>
    <row r="771" spans="1:4" ht="15.75" outlineLevel="1">
      <c r="A771" s="38" t="s">
        <v>1132</v>
      </c>
      <c r="B771" s="39" t="s">
        <v>18</v>
      </c>
      <c r="C771" s="38">
        <v>5.54</v>
      </c>
      <c r="D771" s="110"/>
    </row>
    <row r="772" spans="1:4" ht="15.75" outlineLevel="1">
      <c r="A772" s="38" t="s">
        <v>1132</v>
      </c>
      <c r="B772" s="39" t="s">
        <v>14</v>
      </c>
      <c r="C772" s="40">
        <v>5.7</v>
      </c>
      <c r="D772" s="110"/>
    </row>
    <row r="773" spans="1:4" ht="15.75" outlineLevel="1">
      <c r="A773" s="38" t="s">
        <v>1132</v>
      </c>
      <c r="B773" s="39" t="s">
        <v>82</v>
      </c>
      <c r="C773" s="38">
        <v>5.71</v>
      </c>
      <c r="D773" s="110"/>
    </row>
    <row r="774" spans="1:4" ht="15.75" outlineLevel="1">
      <c r="A774" s="38" t="s">
        <v>1132</v>
      </c>
      <c r="B774" s="39" t="s">
        <v>83</v>
      </c>
      <c r="C774" s="40">
        <v>5.9</v>
      </c>
      <c r="D774" s="110"/>
    </row>
    <row r="775" spans="1:4" ht="15.75" outlineLevel="1">
      <c r="A775" s="38" t="s">
        <v>1132</v>
      </c>
      <c r="B775" s="39" t="s">
        <v>84</v>
      </c>
      <c r="C775" s="38">
        <v>5.91</v>
      </c>
      <c r="D775" s="110"/>
    </row>
    <row r="776" spans="1:4" ht="15.75" outlineLevel="1">
      <c r="A776" s="38" t="s">
        <v>1132</v>
      </c>
      <c r="B776" s="39" t="s">
        <v>85</v>
      </c>
      <c r="C776" s="38">
        <v>5.97</v>
      </c>
      <c r="D776" s="110"/>
    </row>
    <row r="777" spans="1:4" ht="15.75">
      <c r="A777" s="44" t="s">
        <v>1132</v>
      </c>
      <c r="B777" s="39"/>
      <c r="C777" s="38"/>
      <c r="D777" s="110"/>
    </row>
    <row r="778" spans="1:4" ht="15.75" outlineLevel="1">
      <c r="A778" s="38" t="s">
        <v>1059</v>
      </c>
      <c r="B778" s="39" t="s">
        <v>0</v>
      </c>
      <c r="C778" s="38">
        <v>5.0999999999999996</v>
      </c>
      <c r="D778" s="110"/>
    </row>
    <row r="779" spans="1:4" ht="15.75" outlineLevel="1">
      <c r="A779" s="38" t="s">
        <v>1059</v>
      </c>
      <c r="B779" s="39" t="s">
        <v>1</v>
      </c>
      <c r="C779" s="38">
        <v>5.2</v>
      </c>
      <c r="D779" s="110"/>
    </row>
    <row r="780" spans="1:4" ht="15.75" outlineLevel="1">
      <c r="A780" s="38" t="s">
        <v>1059</v>
      </c>
      <c r="B780" s="39" t="s">
        <v>5</v>
      </c>
      <c r="C780" s="38">
        <v>5.26</v>
      </c>
      <c r="D780" s="110"/>
    </row>
    <row r="781" spans="1:4" ht="15.75" outlineLevel="1">
      <c r="A781" s="38" t="s">
        <v>1059</v>
      </c>
      <c r="B781" s="39" t="s">
        <v>142</v>
      </c>
      <c r="C781" s="38">
        <v>5.5</v>
      </c>
      <c r="D781" s="110"/>
    </row>
    <row r="782" spans="1:4" ht="15.75" outlineLevel="1">
      <c r="A782" s="38" t="s">
        <v>1059</v>
      </c>
      <c r="B782" s="39" t="s">
        <v>143</v>
      </c>
      <c r="C782" s="38">
        <v>5.8</v>
      </c>
      <c r="D782" s="109" t="s">
        <v>1072</v>
      </c>
    </row>
    <row r="783" spans="1:4" ht="15.75" outlineLevel="1">
      <c r="A783" s="38" t="s">
        <v>1059</v>
      </c>
      <c r="B783" s="39" t="s">
        <v>144</v>
      </c>
      <c r="C783" s="38">
        <v>5.12</v>
      </c>
      <c r="D783" s="38"/>
    </row>
    <row r="784" spans="1:4" ht="15.75" outlineLevel="1">
      <c r="A784" s="38" t="s">
        <v>1059</v>
      </c>
      <c r="B784" s="39" t="s">
        <v>145</v>
      </c>
      <c r="C784" s="38">
        <v>5.15</v>
      </c>
      <c r="D784" s="38"/>
    </row>
    <row r="785" spans="1:4" ht="15.75" outlineLevel="1">
      <c r="A785" s="38" t="s">
        <v>1059</v>
      </c>
      <c r="B785" s="39" t="s">
        <v>146</v>
      </c>
      <c r="C785" s="40">
        <v>5.2</v>
      </c>
      <c r="D785" s="109"/>
    </row>
    <row r="786" spans="1:4" ht="15.75" outlineLevel="1">
      <c r="A786" s="38" t="s">
        <v>1059</v>
      </c>
      <c r="B786" s="39" t="s">
        <v>147</v>
      </c>
      <c r="C786" s="38">
        <v>5.25</v>
      </c>
      <c r="D786" s="38"/>
    </row>
    <row r="787" spans="1:4" ht="15.75" outlineLevel="1">
      <c r="A787" s="38" t="s">
        <v>1059</v>
      </c>
      <c r="B787" s="39" t="s">
        <v>11</v>
      </c>
      <c r="C787" s="38">
        <v>5.53</v>
      </c>
      <c r="D787" s="38"/>
    </row>
    <row r="788" spans="1:4" ht="15.75" outlineLevel="1">
      <c r="A788" s="38" t="s">
        <v>1059</v>
      </c>
      <c r="B788" s="39" t="s">
        <v>148</v>
      </c>
      <c r="C788" s="40">
        <v>5.4</v>
      </c>
      <c r="D788" s="38"/>
    </row>
    <row r="789" spans="1:4" ht="15.75" outlineLevel="1">
      <c r="A789" s="38" t="s">
        <v>1059</v>
      </c>
      <c r="B789" s="39" t="s">
        <v>149</v>
      </c>
      <c r="C789" s="38">
        <v>5.92</v>
      </c>
      <c r="D789" s="38"/>
    </row>
    <row r="790" spans="1:4" ht="15.75" outlineLevel="1">
      <c r="A790" s="38" t="s">
        <v>1059</v>
      </c>
      <c r="B790" s="39" t="s">
        <v>150</v>
      </c>
      <c r="C790" s="38">
        <v>5.93</v>
      </c>
      <c r="D790" s="38"/>
    </row>
    <row r="791" spans="1:4" ht="31.5" outlineLevel="1">
      <c r="A791" s="38" t="s">
        <v>1059</v>
      </c>
      <c r="B791" s="39" t="s">
        <v>151</v>
      </c>
      <c r="C791" s="38">
        <v>5.94</v>
      </c>
      <c r="D791" s="38"/>
    </row>
    <row r="792" spans="1:4" ht="15.75" outlineLevel="1">
      <c r="A792" s="38" t="s">
        <v>1059</v>
      </c>
      <c r="B792" s="39" t="s">
        <v>152</v>
      </c>
      <c r="C792" s="38">
        <v>5.95</v>
      </c>
      <c r="D792" s="38"/>
    </row>
    <row r="793" spans="1:4" ht="15.75" outlineLevel="1">
      <c r="A793" s="38" t="s">
        <v>1059</v>
      </c>
      <c r="B793" s="39" t="s">
        <v>153</v>
      </c>
      <c r="C793" s="38">
        <v>5.98</v>
      </c>
      <c r="D793" s="38"/>
    </row>
    <row r="794" spans="1:4" ht="15.75" outlineLevel="1">
      <c r="A794" s="38" t="s">
        <v>1059</v>
      </c>
      <c r="B794" s="39" t="s">
        <v>154</v>
      </c>
      <c r="C794" s="38">
        <v>5.96</v>
      </c>
      <c r="D794" s="38"/>
    </row>
    <row r="795" spans="1:4" ht="15.75">
      <c r="A795" s="44" t="s">
        <v>1059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1148</v>
      </c>
    </row>
    <row r="3" spans="1:2">
      <c r="A3" t="s">
        <v>1149</v>
      </c>
      <c r="B3" t="s">
        <v>1150</v>
      </c>
    </row>
    <row r="4" spans="1:2">
      <c r="A4" t="s">
        <v>131</v>
      </c>
      <c r="B4" t="s">
        <v>1151</v>
      </c>
    </row>
    <row r="5" spans="1:2">
      <c r="A5" t="s">
        <v>1152</v>
      </c>
      <c r="B5" t="s">
        <v>1153</v>
      </c>
    </row>
    <row r="6" spans="1:2">
      <c r="A6" t="s">
        <v>1154</v>
      </c>
      <c r="B6" t="s">
        <v>1155</v>
      </c>
    </row>
    <row r="7" spans="1:2">
      <c r="A7" t="s">
        <v>1156</v>
      </c>
      <c r="B7" t="s">
        <v>1157</v>
      </c>
    </row>
    <row r="8" spans="1:2">
      <c r="A8" t="s">
        <v>1158</v>
      </c>
      <c r="B8" t="s">
        <v>1159</v>
      </c>
    </row>
    <row r="10" spans="1:2" ht="15">
      <c r="A10" s="25" t="s">
        <v>1160</v>
      </c>
    </row>
    <row r="11" spans="1:2">
      <c r="A11" t="s">
        <v>1161</v>
      </c>
    </row>
    <row r="12" spans="1:2">
      <c r="A12" t="s">
        <v>1162</v>
      </c>
      <c r="B12" t="s">
        <v>1163</v>
      </c>
    </row>
    <row r="14" spans="1:2">
      <c r="A14" s="37"/>
    </row>
    <row r="15" spans="1:2" ht="15">
      <c r="A15" s="25" t="s">
        <v>1164</v>
      </c>
    </row>
    <row r="16" spans="1:2">
      <c r="A16" s="35" t="s">
        <v>1165</v>
      </c>
    </row>
    <row r="17" spans="1:2">
      <c r="A17" s="35" t="s">
        <v>1166</v>
      </c>
    </row>
    <row r="18" spans="1:2">
      <c r="A18" s="35" t="s">
        <v>1167</v>
      </c>
    </row>
    <row r="19" spans="1:2">
      <c r="A19" s="35" t="s">
        <v>1168</v>
      </c>
    </row>
    <row r="21" spans="1:2" ht="15">
      <c r="A21" s="36" t="s">
        <v>1169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1170</v>
      </c>
      <c r="B34" s="25" t="s">
        <v>264</v>
      </c>
    </row>
    <row r="35" spans="1:2">
      <c r="A35" s="17" t="s">
        <v>1171</v>
      </c>
      <c r="B35" s="43">
        <v>512310509</v>
      </c>
    </row>
    <row r="36" spans="1:2">
      <c r="A36" t="s">
        <v>1172</v>
      </c>
      <c r="B36" s="43">
        <v>513910703</v>
      </c>
    </row>
    <row r="37" spans="1:2">
      <c r="A37" t="s">
        <v>1173</v>
      </c>
      <c r="B37" s="43">
        <v>512304882</v>
      </c>
    </row>
    <row r="38" spans="1:2">
      <c r="A38" t="s">
        <v>1174</v>
      </c>
      <c r="B38" s="43">
        <v>520030677</v>
      </c>
    </row>
    <row r="39" spans="1:2">
      <c r="A39" t="s">
        <v>1175</v>
      </c>
      <c r="B39" s="43">
        <v>513621110</v>
      </c>
    </row>
    <row r="40" spans="1:2">
      <c r="A40" t="s">
        <v>1176</v>
      </c>
      <c r="B40" s="17">
        <v>513173393</v>
      </c>
    </row>
    <row r="41" spans="1:2">
      <c r="A41" t="s">
        <v>1177</v>
      </c>
      <c r="B41" s="17">
        <v>511880460</v>
      </c>
    </row>
    <row r="42" spans="1:2">
      <c r="A42" t="s">
        <v>1178</v>
      </c>
      <c r="B42" s="17">
        <v>510773922</v>
      </c>
    </row>
    <row r="43" spans="1:2">
      <c r="A43" t="s">
        <v>1179</v>
      </c>
      <c r="B43">
        <v>520021916</v>
      </c>
    </row>
    <row r="44" spans="1:2">
      <c r="A44" t="s">
        <v>1180</v>
      </c>
      <c r="B44">
        <v>520044025</v>
      </c>
    </row>
    <row r="45" spans="1:2">
      <c r="A45" t="s">
        <v>1181</v>
      </c>
      <c r="B45">
        <v>570003152</v>
      </c>
    </row>
    <row r="46" spans="1:2">
      <c r="A46" t="s">
        <v>1182</v>
      </c>
      <c r="B46" s="17">
        <v>520023094</v>
      </c>
    </row>
    <row r="47" spans="1:2">
      <c r="A47" t="s">
        <v>1183</v>
      </c>
      <c r="B47" s="17">
        <v>512711409</v>
      </c>
    </row>
    <row r="48" spans="1:2">
      <c r="A48" t="s">
        <v>1184</v>
      </c>
      <c r="B48">
        <v>515859379</v>
      </c>
    </row>
    <row r="49" spans="1:2">
      <c r="A49" t="s">
        <v>1185</v>
      </c>
      <c r="B49" s="17">
        <v>520030990</v>
      </c>
    </row>
    <row r="50" spans="1:2">
      <c r="A50" t="s">
        <v>1186</v>
      </c>
      <c r="B50" s="17">
        <v>520028812</v>
      </c>
    </row>
    <row r="51" spans="1:2">
      <c r="A51" t="s">
        <v>1187</v>
      </c>
      <c r="B51" s="17">
        <v>520034968</v>
      </c>
    </row>
    <row r="52" spans="1:2">
      <c r="A52" t="s">
        <v>1188</v>
      </c>
      <c r="B52" s="17">
        <v>520031824</v>
      </c>
    </row>
    <row r="53" spans="1:2">
      <c r="A53" t="s">
        <v>1189</v>
      </c>
      <c r="B53" s="17">
        <v>520005497</v>
      </c>
    </row>
    <row r="54" spans="1:2">
      <c r="A54" t="s">
        <v>1190</v>
      </c>
      <c r="B54" s="17">
        <v>520022518</v>
      </c>
    </row>
    <row r="55" spans="1:2">
      <c r="A55" t="s">
        <v>1191</v>
      </c>
      <c r="B55" s="17">
        <v>520028556</v>
      </c>
    </row>
    <row r="56" spans="1:2">
      <c r="A56" t="s">
        <v>1192</v>
      </c>
      <c r="B56" s="17">
        <v>520032269</v>
      </c>
    </row>
    <row r="57" spans="1:2">
      <c r="A57" t="s">
        <v>1193</v>
      </c>
      <c r="B57" s="17">
        <v>520027954</v>
      </c>
    </row>
    <row r="58" spans="1:2">
      <c r="A58" t="s">
        <v>1194</v>
      </c>
      <c r="B58">
        <v>520029620</v>
      </c>
    </row>
    <row r="59" spans="1:2">
      <c r="A59" t="s">
        <v>1195</v>
      </c>
      <c r="B59" s="17">
        <v>520028861</v>
      </c>
    </row>
    <row r="60" spans="1:2">
      <c r="A60" t="s">
        <v>1196</v>
      </c>
      <c r="B60" s="17">
        <v>520030743</v>
      </c>
    </row>
    <row r="61" spans="1:2">
      <c r="A61" t="s">
        <v>1197</v>
      </c>
      <c r="B61">
        <v>520042177</v>
      </c>
    </row>
    <row r="62" spans="1:2">
      <c r="A62" t="s">
        <v>1198</v>
      </c>
      <c r="B62" s="17">
        <v>515447035</v>
      </c>
    </row>
    <row r="63" spans="1:2">
      <c r="A63" t="s">
        <v>1199</v>
      </c>
      <c r="B63" s="17">
        <v>520042607</v>
      </c>
    </row>
    <row r="64" spans="1:2">
      <c r="A64" t="s">
        <v>1200</v>
      </c>
      <c r="B64" s="17">
        <v>513026484</v>
      </c>
    </row>
    <row r="65" spans="1:2">
      <c r="A65" t="s">
        <v>1201</v>
      </c>
      <c r="B65">
        <v>520023185</v>
      </c>
    </row>
    <row r="66" spans="1:2">
      <c r="A66" t="s">
        <v>1202</v>
      </c>
      <c r="B66">
        <v>520004078</v>
      </c>
    </row>
    <row r="67" spans="1:2">
      <c r="A67" t="s">
        <v>1203</v>
      </c>
      <c r="B67" s="17">
        <v>512267592</v>
      </c>
    </row>
    <row r="68" spans="1:2">
      <c r="A68" t="s">
        <v>1204</v>
      </c>
      <c r="B68">
        <v>515764868</v>
      </c>
    </row>
    <row r="69" spans="1:2">
      <c r="A69" t="s">
        <v>1205</v>
      </c>
      <c r="B69" s="17">
        <v>513452003</v>
      </c>
    </row>
    <row r="70" spans="1:2">
      <c r="A70" t="s">
        <v>1206</v>
      </c>
      <c r="B70" s="17">
        <v>510142789</v>
      </c>
    </row>
    <row r="71" spans="1:2">
      <c r="A71" t="s">
        <v>1207</v>
      </c>
      <c r="B71" s="17">
        <v>510960586</v>
      </c>
    </row>
    <row r="72" spans="1:2">
      <c r="A72" t="s">
        <v>1208</v>
      </c>
      <c r="B72" s="17">
        <v>510930670</v>
      </c>
    </row>
    <row r="73" spans="1:2">
      <c r="A73" t="s">
        <v>1209</v>
      </c>
      <c r="B73" s="17">
        <v>510927536</v>
      </c>
    </row>
    <row r="74" spans="1:2">
      <c r="A74" t="s">
        <v>1210</v>
      </c>
      <c r="B74" s="17">
        <v>510930654</v>
      </c>
    </row>
    <row r="75" spans="1:2">
      <c r="A75" t="s">
        <v>1211</v>
      </c>
      <c r="B75" s="17">
        <v>520032566</v>
      </c>
    </row>
    <row r="76" spans="1:2">
      <c r="A76" t="s">
        <v>1212</v>
      </c>
      <c r="B76" s="17">
        <v>513611509</v>
      </c>
    </row>
    <row r="77" spans="1:2">
      <c r="A77" t="s">
        <v>1213</v>
      </c>
      <c r="B77">
        <v>510888985</v>
      </c>
    </row>
    <row r="78" spans="1:2">
      <c r="A78" t="s">
        <v>1214</v>
      </c>
      <c r="B78">
        <v>520024647</v>
      </c>
    </row>
    <row r="79" spans="1:2">
      <c r="A79" t="s">
        <v>1215</v>
      </c>
      <c r="B79" s="17">
        <v>512244146</v>
      </c>
    </row>
    <row r="80" spans="1:2">
      <c r="A80" t="s">
        <v>1216</v>
      </c>
      <c r="B80" s="17">
        <v>510694821</v>
      </c>
    </row>
    <row r="81" spans="1:2">
      <c r="A81" t="s">
        <v>1217</v>
      </c>
      <c r="B81">
        <v>515761625</v>
      </c>
    </row>
    <row r="82" spans="1:2">
      <c r="A82" t="s">
        <v>1218</v>
      </c>
      <c r="B82" s="17">
        <v>511423048</v>
      </c>
    </row>
    <row r="83" spans="1:2">
      <c r="A83" t="s">
        <v>1219</v>
      </c>
      <c r="B83" s="17">
        <v>520019688</v>
      </c>
    </row>
    <row r="84" spans="1:2">
      <c r="A84" t="s">
        <v>1220</v>
      </c>
      <c r="B84">
        <v>520004896</v>
      </c>
    </row>
    <row r="85" spans="1:2">
      <c r="A85" t="s">
        <v>1221</v>
      </c>
      <c r="B85" s="17">
        <v>512237744</v>
      </c>
    </row>
    <row r="86" spans="1:2">
      <c r="A86" t="s">
        <v>1222</v>
      </c>
      <c r="B86" s="17">
        <v>514956465</v>
      </c>
    </row>
    <row r="87" spans="1:2">
      <c r="A87" t="s">
        <v>1223</v>
      </c>
      <c r="B87" s="17">
        <v>512362914</v>
      </c>
    </row>
    <row r="88" spans="1:2">
      <c r="A88" t="s">
        <v>1224</v>
      </c>
      <c r="B88" s="17">
        <v>520042615</v>
      </c>
    </row>
    <row r="89" spans="1:2">
      <c r="A89" t="s">
        <v>1225</v>
      </c>
      <c r="B89" s="17">
        <v>512065202</v>
      </c>
    </row>
    <row r="90" spans="1:2">
      <c r="A90" t="s">
        <v>1226</v>
      </c>
      <c r="B90">
        <v>520042540</v>
      </c>
    </row>
    <row r="91" spans="1:2">
      <c r="A91" t="s">
        <v>1227</v>
      </c>
      <c r="B91" s="17">
        <v>520027715</v>
      </c>
    </row>
    <row r="92" spans="1:2">
      <c r="A92" t="s">
        <v>1228</v>
      </c>
      <c r="B92" s="17">
        <v>512245812</v>
      </c>
    </row>
    <row r="93" spans="1:2">
      <c r="A93" t="s">
        <v>1229</v>
      </c>
      <c r="B93" s="17">
        <v>520022351</v>
      </c>
    </row>
    <row r="94" spans="1:2">
      <c r="A94" t="s">
        <v>1230</v>
      </c>
      <c r="B94" s="17">
        <v>514767490</v>
      </c>
    </row>
    <row r="95" spans="1:2">
      <c r="A95" t="s">
        <v>1231</v>
      </c>
      <c r="B95" s="17">
        <v>520024985</v>
      </c>
    </row>
    <row r="96" spans="1:2">
      <c r="A96" t="s">
        <v>1232</v>
      </c>
      <c r="B96" s="17">
        <v>520042573</v>
      </c>
    </row>
    <row r="97" spans="1:2">
      <c r="A97" t="s">
        <v>1233</v>
      </c>
      <c r="B97" s="17">
        <v>570009449</v>
      </c>
    </row>
    <row r="98" spans="1:2">
      <c r="A98" t="s">
        <v>1234</v>
      </c>
      <c r="B98" s="17">
        <v>520031659</v>
      </c>
    </row>
    <row r="99" spans="1:2">
      <c r="A99" t="s">
        <v>1235</v>
      </c>
      <c r="B99" s="17">
        <v>520042581</v>
      </c>
    </row>
    <row r="100" spans="1:2">
      <c r="A100" t="s">
        <v>1236</v>
      </c>
      <c r="B100">
        <v>520031030</v>
      </c>
    </row>
    <row r="101" spans="1:2">
      <c r="A101" t="s">
        <v>1237</v>
      </c>
      <c r="B101" s="17">
        <v>520030941</v>
      </c>
    </row>
    <row r="102" spans="1:2">
      <c r="A102" t="s">
        <v>1238</v>
      </c>
      <c r="B102" s="17">
        <v>512008335</v>
      </c>
    </row>
    <row r="103" spans="1:2">
      <c r="A103" t="s">
        <v>1239</v>
      </c>
      <c r="B103" s="17">
        <v>520022963</v>
      </c>
    </row>
    <row r="104" spans="1:2">
      <c r="A104" t="s">
        <v>1240</v>
      </c>
      <c r="B104" s="17">
        <v>570011767</v>
      </c>
    </row>
    <row r="105" spans="1:2">
      <c r="A105" t="s">
        <v>1241</v>
      </c>
      <c r="B105" s="17">
        <v>570014928</v>
      </c>
    </row>
    <row r="106" spans="1:2">
      <c r="A106" t="s">
        <v>1242</v>
      </c>
      <c r="B106" s="17">
        <v>570005959</v>
      </c>
    </row>
    <row r="107" spans="1:2">
      <c r="A107" t="s">
        <v>1243</v>
      </c>
      <c r="B107" s="17">
        <v>510800402</v>
      </c>
    </row>
    <row r="108" spans="1:2">
      <c r="A108" t="s">
        <v>1244</v>
      </c>
      <c r="B108" s="17">
        <v>570007476</v>
      </c>
    </row>
    <row r="109" spans="1:2">
      <c r="A109" t="s">
        <v>1245</v>
      </c>
      <c r="B109" s="17">
        <v>570005850</v>
      </c>
    </row>
    <row r="110" spans="1:2">
      <c r="A110" t="s">
        <v>1246</v>
      </c>
      <c r="B110" s="17">
        <v>520020504</v>
      </c>
    </row>
    <row r="111" spans="1:2">
      <c r="A111" t="s">
        <v>1247</v>
      </c>
      <c r="B111" s="17">
        <v>520020447</v>
      </c>
    </row>
    <row r="112" spans="1:2">
      <c r="A112" t="s">
        <v>1248</v>
      </c>
      <c r="B112" s="17">
        <v>511033060</v>
      </c>
    </row>
    <row r="113" spans="1:2">
      <c r="A113" t="s">
        <v>1249</v>
      </c>
      <c r="B113">
        <v>520027848</v>
      </c>
    </row>
    <row r="114" spans="1:2">
      <c r="A114" t="s">
        <v>1250</v>
      </c>
      <c r="B114" s="17">
        <v>570009852</v>
      </c>
    </row>
    <row r="115" spans="1:2">
      <c r="A115" t="s">
        <v>1251</v>
      </c>
      <c r="B115" s="17">
        <v>520027251</v>
      </c>
    </row>
    <row r="116" spans="1:2">
      <c r="A116" t="s">
        <v>1252</v>
      </c>
      <c r="B116" s="17">
        <v>520028390</v>
      </c>
    </row>
    <row r="117" spans="1:2">
      <c r="A117" t="s">
        <v>1253</v>
      </c>
      <c r="B117" s="17">
        <v>510806870</v>
      </c>
    </row>
    <row r="118" spans="1:2">
      <c r="A118" t="s">
        <v>1254</v>
      </c>
      <c r="B118">
        <v>513879189</v>
      </c>
    </row>
    <row r="119" spans="1:2">
      <c r="A119" t="s">
        <v>1255</v>
      </c>
      <c r="B119">
        <v>510015951</v>
      </c>
    </row>
    <row r="120" spans="1:2">
      <c r="A120" t="s">
        <v>1256</v>
      </c>
      <c r="B120" s="17">
        <v>520030693</v>
      </c>
    </row>
    <row r="121" spans="1:2">
      <c r="A121" t="s">
        <v>1257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2025-09-08T13:24:35Z</dcterms:modified>
</cp:coreProperties>
</file>